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<sst xmlns="http://schemas.openxmlformats.org/spreadsheetml/2006/main" count="255" uniqueCount="204">
  <si>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</si>
  <si>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</si>
  <si>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</si>
  <si>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</si>
  <si>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</si>
  <si>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</si>
  <si>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</si>
  <si>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</si>
  <si>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</si>
  <si>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</si>
  <si>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</si>
  <si>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</si>
  <si>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</si>
  <si>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Build Customer Acquisition Channels</t>
  </si>
  <si>
    <t>Organic / Word of Mouth</t>
  </si>
  <si>
    <t>App Traffic</t>
  </si>
  <si>
    <t>Conversion Rate</t>
  </si>
  <si>
    <t>New Customers</t>
  </si>
  <si>
    <t>Paid Advertising</t>
  </si>
  <si>
    <t>Budget per Month</t>
  </si>
  <si>
    <t>Average CPC</t>
  </si>
  <si>
    <t>Affiliates</t>
  </si>
  <si>
    <t>Number of Affiliates</t>
  </si>
  <si>
    <t>New Monthly Leads per Affiliate</t>
  </si>
  <si>
    <t>Transactional</t>
  </si>
  <si>
    <t>Days Selling</t>
  </si>
  <si>
    <t>New Leads per Day</t>
  </si>
  <si>
    <t>Influencers</t>
  </si>
  <si>
    <t>Number of Influencers</t>
  </si>
  <si>
    <t>New Monthly Posts per Influencer</t>
  </si>
  <si>
    <t>New Monthly Leads per Post</t>
  </si>
  <si>
    <t>Customer Referrals</t>
  </si>
  <si>
    <t>Previous Months New Customers</t>
  </si>
  <si>
    <t>Referral Percentage</t>
  </si>
  <si>
    <t>Partnerships</t>
  </si>
  <si>
    <t>Active Partnerships</t>
  </si>
  <si>
    <t>New Monthly Leads per Partnership</t>
  </si>
  <si>
    <t>Email Marketing</t>
  </si>
  <si>
    <t>Mailing List Size</t>
  </si>
  <si>
    <t>Average Number of Emails Sent a Month</t>
  </si>
  <si>
    <t>Response Rate per Email</t>
  </si>
  <si>
    <t>Content Marketing</t>
  </si>
  <si>
    <t>New Pieces of Content</t>
  </si>
  <si>
    <t>New Leads per Piece of Content</t>
  </si>
  <si>
    <t>Direct Sales Team</t>
  </si>
  <si>
    <t>Leads</t>
  </si>
  <si>
    <t>Sales Cycle</t>
  </si>
  <si>
    <t>Total New Customers</t>
  </si>
  <si>
    <t>Revenue - E-Commerce:</t>
  </si>
  <si>
    <t>Product Purchases #1</t>
  </si>
  <si>
    <t>% of Total New Customers</t>
  </si>
  <si>
    <t>Returning Customer Rate</t>
  </si>
  <si>
    <t>Returning Customers</t>
  </si>
  <si>
    <t>Total Customers</t>
  </si>
  <si>
    <t>Previous Months Customers</t>
  </si>
  <si>
    <t>Average Monthly Orders per Customer</t>
  </si>
  <si>
    <t>Total Orders</t>
  </si>
  <si>
    <t>Average Order Value</t>
  </si>
  <si>
    <t>Revenue</t>
  </si>
  <si>
    <t>Product Purchases #2</t>
  </si>
  <si>
    <t>Monthly Subscription Purchases</t>
  </si>
  <si>
    <t>Churn Rate</t>
  </si>
  <si>
    <t>Churned Subscriptions</t>
  </si>
  <si>
    <t>Previous Months Active Subsciptions</t>
  </si>
  <si>
    <t>Retained Subscriptions</t>
  </si>
  <si>
    <t>Active Subscriptions</t>
  </si>
  <si>
    <t>Price</t>
  </si>
  <si>
    <t xml:space="preserve"> + ADD MORE </t>
  </si>
  <si>
    <t>People:</t>
  </si>
  <si>
    <t>Name</t>
  </si>
  <si>
    <t>Salary</t>
  </si>
  <si>
    <t>Benefits</t>
  </si>
  <si>
    <t>Start Date</t>
  </si>
  <si>
    <t>Person 1</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</si>
  <si>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</si>
  <si>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</si>
  <si>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</si>
  <si>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</si>
  <si>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</si>
  <si>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</si>
  <si>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</si>
  <si>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</si>
  <si>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</si>
  <si>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</si>
  <si>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</si>
  <si>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</si>
  <si>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</si>
  <si>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</si>
  <si>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</si>
  <si>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</si>
  <si>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</si>
  <si>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</si>
  <si>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</si>
  <si>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</si>
  <si>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</si>
  <si>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</si>
  <si>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</si>
  <si>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</si>
  <si>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</si>
  <si>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</si>
  <si>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</si>
  <si>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</si>
  <si>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</si>
  <si>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Product Cost</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</si>
  <si>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</si>
  <si>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</si>
  <si>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</si>
  <si>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</si>
  <si>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</si>
  <si>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</si>
  <si>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</si>
  <si>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</si>
  <si>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</si>
  <si>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</si>
  <si>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</si>
  <si>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</si>
  <si>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</si>
  <si>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</si>
  <si>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</si>
  <si>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</si>
  <si>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</si>
  <si>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</si>
  <si>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</si>
  <si>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</si>
  <si>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</si>
  <si>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Other</t>
  </si>
  <si>
    <t>Misc</t>
  </si>
  <si>
    <t>Income Tax Rate</t>
  </si>
  <si>
    <t>Balance Sheet:</t>
  </si>
  <si>
    <t>Assets</t>
  </si>
  <si>
    <t>Starting Cash Balance</t>
  </si>
  <si>
    <t xml:space="preserve">Average days Receivable </t>
  </si>
  <si>
    <t>(payment terms for customers)</t>
  </si>
  <si>
    <t>Inventory</t>
  </si>
  <si>
    <t>Days on Hand</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</si>
  <si>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</si>
  <si>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</si>
  <si>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</si>
  <si>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</si>
  <si>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</si>
  <si>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</si>
  <si>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</si>
  <si>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</si>
  <si>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</si>
  <si>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</si>
  <si>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</si>
  <si>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</si>
  <si>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</si>
  <si>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Equity</t>
  </si>
  <si>
    <t>Starting Paid in Capital</t>
  </si>
  <si>
    <t>Current Equity Dilution</t>
  </si>
  <si>
    <t>New Equity</t>
  </si>
  <si>
    <t xml:space="preserve">Name of Round </t>
  </si>
  <si>
    <t>Amount</t>
  </si>
  <si>
    <t>Date</t>
  </si>
  <si>
    <t>Seed</t>
  </si>
  <si>
    <t>Series A</t>
  </si>
  <si>
    <t>-</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</si>
  <si>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</si>
  <si>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</si>
  <si>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</si>
  <si>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</si>
  <si>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</si>
  <si>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</si>
  <si>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</si>
  <si>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</si>
  <si>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</si>
  <si>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</si>
  <si>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</si>
  <si>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</si>
  <si>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</si>
  <si>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</si>
  <si>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</si>
  <si>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</si>
  <si>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</si>
  <si>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</si>
  <si>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</si>
  <si>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</si>
  <si>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</si>
  <si>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</si>
  <si>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</si>
  <si>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</si>
  <si>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</si>
  <si>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</si>
  <si>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</si>
  <si>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</si>
  <si>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</si>
  <si>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</si>
  <si>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</si>
  <si>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</si>
  <si>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</si>
  <si>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</si>
  <si>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Change in Inventory</t>
  </si>
  <si>
    <t xml:space="preserve">Change in Accounts Payable </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</si>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</sst>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_(&quot;$&quot;* #,##0_);_(&quot;$&quot;* \(#,##0\);_(&quot;$&quot;* &quot;-&quot;??_);_(@_)"/>
    <numFmt numFmtId="166" formatCode="0 &quot;Months&quot;"/>
    <numFmt numFmtId="167" formatCode="&quot;$&quot;#,##0"/>
    <numFmt numFmtId="168" formatCode="&quot;$&quot;#,##0.00"/>
    <numFmt numFmtId="169" formatCode="m/d/yyyy"/>
    <numFmt numFmtId="170" formatCode="_(&quot;$&quot;* #,##0.00_);_(&quot;$&quot;* \(#,##0.00\);_(&quot;$&quot;* &quot;-&quot;??_);_(@_)"/>
  </numFmts>
  <fonts count="35">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00FF"/>
      <name val="Montserrat"/>
    </font>
    <font>
      <b/>
      <color theme="1"/>
      <name val="Montserrat"/>
    </font>
    <font>
      <b/>
      <sz val="14.0"/>
      <color rgb="FF1B202B"/>
      <name val="Montserrat"/>
    </font>
    <font>
      <b/>
      <sz val="12.0"/>
      <color theme="1"/>
      <name val="Montserrat"/>
    </font>
    <font>
      <b/>
      <color rgb="FF1B202B"/>
      <name val="Montserrat"/>
    </font>
    <font>
      <color rgb="FF1B202B"/>
      <name val="Montserrat"/>
    </font>
    <font>
      <b/>
      <color rgb="FF434343"/>
      <name val="Montserrat"/>
    </font>
    <font>
      <b/>
      <color rgb="FF000000"/>
      <name val="Montserrat"/>
    </font>
    <font>
      <color rgb="FF000000"/>
      <name val="Montserrat"/>
    </font>
    <font>
      <sz val="10.0"/>
      <color rgb="FF1B202B"/>
      <name val="Montserrat"/>
    </font>
    <font>
      <b/>
      <sz val="11.0"/>
      <color rgb="FF1B202B"/>
      <name val="Montserrat"/>
    </font>
    <font>
      <b/>
      <sz val="11.0"/>
      <color theme="1"/>
      <name val="Montserrat"/>
    </font>
    <font>
      <b/>
      <i/>
      <color theme="1"/>
      <name val="Montserrat"/>
    </font>
    <font>
      <color theme="1"/>
      <name val="Arial"/>
      <scheme val="minor"/>
    </font>
    <font>
      <i/>
      <color theme="1"/>
      <name val="Montserrat"/>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31">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bottom style="thick">
        <color rgb="FF00CD95"/>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medium">
        <color rgb="FFFFFFFF"/>
      </bottom>
    </border>
    <border>
      <bottom style="thick">
        <color rgb="FF000000"/>
      </bottom>
    </border>
    <border>
      <bottom style="thick">
        <color rgb="FF1B202B"/>
      </bottom>
    </border>
    <border>
      <left style="thin">
        <color rgb="FFFFFFFF"/>
      </left>
      <right style="thin">
        <color rgb="FFFFFFFF"/>
      </right>
      <bottom style="thick">
        <color rgb="FF1B202B"/>
      </bottom>
    </border>
    <border>
      <left style="medium">
        <color rgb="FFFFFFFF"/>
      </left>
      <right style="medium">
        <color rgb="FFFFFFFF"/>
      </right>
      <top style="medium">
        <color rgb="FFFFFFFF"/>
      </top>
      <bottom style="medium">
        <color rgb="FFFFFFFF"/>
      </bottom>
    </border>
    <border>
      <right style="thin">
        <color rgb="FFFFFFFF"/>
      </right>
      <top style="thin">
        <color rgb="FFFFFFFF"/>
      </top>
    </border>
    <border>
      <left style="thin">
        <color rgb="FFFFFFFF"/>
      </left>
      <right style="thin">
        <color rgb="FFFFFFFF"/>
      </right>
      <top style="thin">
        <color rgb="FFFFFFFF"/>
      </top>
    </border>
    <border>
      <left style="medium">
        <color rgb="FFFFFFFF"/>
      </left>
      <right style="medium">
        <color rgb="FFFFFFFF"/>
      </right>
      <top style="medium">
        <color rgb="FFFFFFFF"/>
      </top>
      <bottom style="thick">
        <color rgb="FF1B202B"/>
      </bottom>
    </border>
    <border>
      <left style="medium">
        <color rgb="FFFFFFFF"/>
      </left>
      <right style="medium">
        <color rgb="FFFFFFFF"/>
      </right>
      <top style="medium">
        <color rgb="FFFFFFFF"/>
      </top>
    </border>
    <border>
      <left style="medium">
        <color rgb="FFFFFFFF"/>
      </left>
      <right style="medium">
        <color rgb="FFFFFFFF"/>
      </right>
      <bottom style="medium">
        <color rgb="FFFFFFFF"/>
      </bottom>
    </border>
    <border>
      <left style="medium">
        <color rgb="FFFFFFFF"/>
      </left>
      <right style="medium">
        <color rgb="FFFFFFFF"/>
      </right>
      <top style="medium">
        <color rgb="FFFFFFFF"/>
      </top>
      <bottom style="thick">
        <color rgb="FF000000"/>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top style="medium">
        <color rgb="FFFFFFFF"/>
      </top>
      <bottom style="thick">
        <color rgb="FF000000"/>
      </bottom>
    </border>
    <border>
      <bottom style="thick">
        <color rgb="FFCCCCCC"/>
      </bottom>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3"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0" fillId="5" fontId="17" numFmtId="14" xfId="0" applyAlignment="1" applyFill="1" applyFont="1" applyNumberFormat="1">
      <alignment horizontal="right" vertical="center"/>
    </xf>
    <xf borderId="0" fillId="0" fontId="13" numFmtId="14" xfId="0" applyAlignment="1" applyFont="1" applyNumberFormat="1">
      <alignment horizontal="right" vertical="center"/>
    </xf>
    <xf borderId="0" fillId="0" fontId="13" numFmtId="0" xfId="0" applyAlignment="1" applyFont="1">
      <alignment vertical="center"/>
    </xf>
    <xf borderId="9" fillId="6" fontId="18" numFmtId="0" xfId="0" applyAlignment="1" applyBorder="1" applyFill="1" applyFont="1">
      <alignment readingOrder="0" vertical="center"/>
    </xf>
    <xf borderId="9" fillId="6" fontId="13" numFmtId="0" xfId="0" applyAlignment="1" applyBorder="1" applyFont="1">
      <alignment vertical="center"/>
    </xf>
    <xf borderId="9" fillId="6" fontId="13" numFmtId="0" xfId="0" applyAlignment="1" applyBorder="1" applyFont="1">
      <alignment horizontal="right" vertical="center"/>
    </xf>
    <xf borderId="10" fillId="7" fontId="13" numFmtId="0" xfId="0" applyAlignment="1" applyBorder="1" applyFill="1" applyFont="1">
      <alignment readingOrder="0" vertical="center"/>
    </xf>
    <xf borderId="11" fillId="7" fontId="13" numFmtId="0" xfId="0" applyAlignment="1" applyBorder="1" applyFont="1">
      <alignment vertical="center"/>
    </xf>
    <xf borderId="0" fillId="0" fontId="19" numFmtId="0" xfId="0" applyAlignment="1" applyFont="1">
      <alignment readingOrder="0" vertical="center"/>
    </xf>
    <xf borderId="0" fillId="0" fontId="17" numFmtId="0" xfId="0" applyAlignment="1" applyFont="1">
      <alignment vertical="center"/>
    </xf>
    <xf borderId="0" fillId="0" fontId="3" numFmtId="0" xfId="0" applyAlignment="1" applyFont="1">
      <alignment readingOrder="0" vertical="center"/>
    </xf>
    <xf borderId="12" fillId="5" fontId="20" numFmtId="164" xfId="0" applyAlignment="1" applyBorder="1" applyFont="1" applyNumberFormat="1">
      <alignment horizontal="right" readingOrder="0" vertical="center"/>
    </xf>
    <xf borderId="0" fillId="3" fontId="13" numFmtId="3" xfId="0" applyAlignment="1" applyFont="1" applyNumberFormat="1">
      <alignment horizontal="right" vertical="center"/>
    </xf>
    <xf borderId="13" fillId="0" fontId="13" numFmtId="0" xfId="0" applyAlignment="1" applyBorder="1" applyFont="1">
      <alignment vertical="center"/>
    </xf>
    <xf borderId="14" fillId="0" fontId="13" numFmtId="0" xfId="0" applyAlignment="1" applyBorder="1" applyFont="1">
      <alignment vertical="center"/>
    </xf>
    <xf borderId="15" fillId="5" fontId="17" numFmtId="10" xfId="0" applyAlignment="1" applyBorder="1" applyFont="1" applyNumberFormat="1">
      <alignment horizontal="right" readingOrder="0" vertical="center"/>
    </xf>
    <xf borderId="13" fillId="0" fontId="13" numFmtId="0" xfId="0" applyAlignment="1" applyBorder="1" applyFont="1">
      <alignment vertical="center"/>
    </xf>
    <xf borderId="14" fillId="0" fontId="13" numFmtId="10" xfId="0" applyAlignment="1" applyBorder="1" applyFont="1" applyNumberFormat="1">
      <alignment horizontal="right" vertical="center"/>
    </xf>
    <xf borderId="0" fillId="3" fontId="17" numFmtId="164" xfId="0" applyAlignment="1" applyFont="1" applyNumberFormat="1">
      <alignment horizontal="right" readingOrder="0" vertical="center"/>
    </xf>
    <xf borderId="0" fillId="0" fontId="17" numFmtId="164" xfId="0" applyAlignment="1" applyFont="1" applyNumberFormat="1">
      <alignment horizontal="center" readingOrder="0" vertical="center"/>
    </xf>
    <xf borderId="0" fillId="0" fontId="17" numFmtId="0" xfId="0" applyAlignment="1" applyFont="1">
      <alignment readingOrder="0" vertical="center"/>
    </xf>
    <xf borderId="0" fillId="0" fontId="13" numFmtId="165" xfId="0" applyAlignment="1" applyFont="1" applyNumberFormat="1">
      <alignment vertical="center"/>
    </xf>
    <xf borderId="0" fillId="0" fontId="13" numFmtId="165" xfId="0" applyAlignment="1" applyFont="1" applyNumberFormat="1">
      <alignment readingOrder="0" vertical="center"/>
    </xf>
    <xf borderId="16" fillId="5" fontId="20" numFmtId="165" xfId="0" applyAlignment="1" applyBorder="1" applyFont="1" applyNumberFormat="1">
      <alignment horizontal="right" readingOrder="0" vertical="center"/>
    </xf>
    <xf borderId="17" fillId="0" fontId="21" numFmtId="165" xfId="0" applyAlignment="1" applyBorder="1" applyFont="1" applyNumberFormat="1">
      <alignment horizontal="right" readingOrder="0" vertical="center"/>
    </xf>
    <xf borderId="18" fillId="0" fontId="21" numFmtId="165" xfId="0" applyAlignment="1" applyBorder="1" applyFont="1" applyNumberFormat="1">
      <alignment horizontal="right" readingOrder="0" vertical="center"/>
    </xf>
    <xf borderId="14" fillId="0" fontId="13" numFmtId="0" xfId="0" applyAlignment="1" applyBorder="1" applyFont="1">
      <alignment readingOrder="0" vertical="center"/>
    </xf>
    <xf borderId="19" fillId="5" fontId="17" numFmtId="10" xfId="0" applyAlignment="1" applyBorder="1" applyFont="1" applyNumberFormat="1">
      <alignment horizontal="right" readingOrder="0" vertical="center"/>
    </xf>
    <xf borderId="0" fillId="0" fontId="22" numFmtId="0" xfId="0" applyAlignment="1" applyFont="1">
      <alignment readingOrder="0" vertical="center"/>
    </xf>
    <xf borderId="0" fillId="3" fontId="17" numFmtId="164" xfId="0" applyAlignment="1" applyFont="1" applyNumberFormat="1">
      <alignment horizontal="right" vertical="center"/>
    </xf>
    <xf borderId="0" fillId="0" fontId="17" numFmtId="164" xfId="0" applyAlignment="1" applyFont="1" applyNumberFormat="1">
      <alignment horizontal="center" vertical="center"/>
    </xf>
    <xf borderId="16" fillId="5" fontId="20" numFmtId="164" xfId="0" applyAlignment="1" applyBorder="1" applyFont="1" applyNumberFormat="1">
      <alignment horizontal="right" readingOrder="0" vertical="center"/>
    </xf>
    <xf borderId="16" fillId="5" fontId="17" numFmtId="164" xfId="0" applyAlignment="1" applyBorder="1" applyFont="1" applyNumberFormat="1">
      <alignment horizontal="right" readingOrder="0" vertical="center"/>
    </xf>
    <xf borderId="0" fillId="0" fontId="13" numFmtId="164" xfId="0" applyAlignment="1" applyFont="1" applyNumberFormat="1">
      <alignment horizontal="right" vertical="center"/>
    </xf>
    <xf borderId="0" fillId="0" fontId="13" numFmtId="3" xfId="0" applyAlignment="1" applyFont="1" applyNumberFormat="1">
      <alignment horizontal="right" readingOrder="0" vertical="center"/>
    </xf>
    <xf borderId="0" fillId="0" fontId="3" numFmtId="0" xfId="0" applyAlignment="1" applyFont="1">
      <alignment vertical="center"/>
    </xf>
    <xf borderId="0" fillId="0" fontId="17" numFmtId="0" xfId="0" applyAlignment="1" applyFont="1">
      <alignment vertical="center"/>
    </xf>
    <xf borderId="14" fillId="0" fontId="3" numFmtId="0" xfId="0" applyAlignment="1" applyBorder="1" applyFont="1">
      <alignment vertical="center"/>
    </xf>
    <xf borderId="19" fillId="5" fontId="17" numFmtId="10" xfId="0" applyAlignment="1" applyBorder="1" applyFont="1" applyNumberFormat="1">
      <alignment horizontal="right" vertical="center"/>
    </xf>
    <xf borderId="13" fillId="0" fontId="3" numFmtId="0" xfId="0" applyAlignment="1" applyBorder="1" applyFont="1">
      <alignment vertical="center"/>
    </xf>
    <xf borderId="0" fillId="0" fontId="22" numFmtId="0" xfId="0" applyAlignment="1" applyFont="1">
      <alignment vertical="center"/>
    </xf>
    <xf borderId="0" fillId="0" fontId="3" numFmtId="164" xfId="0" applyAlignment="1" applyFont="1" applyNumberFormat="1">
      <alignment vertical="center"/>
    </xf>
    <xf borderId="16" fillId="5" fontId="17" numFmtId="10" xfId="0" applyAlignment="1" applyBorder="1" applyFont="1" applyNumberFormat="1">
      <alignment horizontal="right" readingOrder="0" vertical="center"/>
    </xf>
    <xf borderId="0" fillId="0" fontId="13" numFmtId="10" xfId="0" applyAlignment="1" applyFont="1" applyNumberFormat="1">
      <alignment horizontal="right" vertical="center"/>
    </xf>
    <xf borderId="16" fillId="5" fontId="23" numFmtId="166" xfId="0" applyAlignment="1" applyBorder="1" applyFont="1" applyNumberFormat="1">
      <alignment horizontal="right" readingOrder="0" vertical="center"/>
    </xf>
    <xf borderId="0" fillId="3" fontId="24" numFmtId="166" xfId="0" applyAlignment="1" applyFont="1" applyNumberFormat="1">
      <alignment horizontal="right" vertical="center"/>
    </xf>
    <xf borderId="0" fillId="3" fontId="23" numFmtId="3" xfId="0" applyAlignment="1" applyFont="1" applyNumberFormat="1">
      <alignment horizontal="right" vertical="center"/>
    </xf>
    <xf borderId="13" fillId="0" fontId="25" numFmtId="0" xfId="0" applyAlignment="1" applyBorder="1" applyFont="1">
      <alignment readingOrder="0" vertical="center"/>
    </xf>
    <xf borderId="13" fillId="0" fontId="13" numFmtId="1" xfId="0" applyAlignment="1" applyBorder="1" applyFont="1" applyNumberFormat="1">
      <alignment horizontal="right" vertical="center"/>
    </xf>
    <xf borderId="0" fillId="0" fontId="7" numFmtId="0" xfId="0" applyAlignment="1" applyFont="1">
      <alignment vertical="center"/>
    </xf>
    <xf borderId="0" fillId="0" fontId="26" numFmtId="0" xfId="0" applyAlignment="1" applyFont="1">
      <alignment readingOrder="0" vertical="center"/>
    </xf>
    <xf borderId="0" fillId="0" fontId="27" numFmtId="0" xfId="0" applyAlignment="1" applyFont="1">
      <alignment horizontal="center" vertical="center"/>
    </xf>
    <xf borderId="0" fillId="0" fontId="27" numFmtId="1" xfId="0" applyAlignment="1" applyFont="1" applyNumberFormat="1">
      <alignment horizontal="right" vertical="center"/>
    </xf>
    <xf borderId="0" fillId="0" fontId="18" numFmtId="0" xfId="0" applyAlignment="1" applyFont="1">
      <alignment readingOrder="0" vertical="center"/>
    </xf>
    <xf borderId="0" fillId="0" fontId="17" numFmtId="3" xfId="0" applyAlignment="1" applyFont="1" applyNumberFormat="1">
      <alignment readingOrder="0" vertical="center"/>
    </xf>
    <xf borderId="0" fillId="0" fontId="3" numFmtId="165" xfId="0" applyAlignment="1" applyFont="1" applyNumberFormat="1">
      <alignment vertical="center"/>
    </xf>
    <xf borderId="20" fillId="0" fontId="3" numFmtId="165" xfId="0" applyAlignment="1" applyBorder="1" applyFont="1" applyNumberFormat="1">
      <alignment vertical="center"/>
    </xf>
    <xf borderId="0" fillId="0" fontId="13" numFmtId="3" xfId="0" applyAlignment="1" applyFont="1" applyNumberFormat="1">
      <alignment readingOrder="0" vertical="center"/>
    </xf>
    <xf borderId="0" fillId="5" fontId="17" numFmtId="10" xfId="0" applyAlignment="1" applyFont="1" applyNumberFormat="1">
      <alignment horizontal="right" readingOrder="0" vertical="center"/>
    </xf>
    <xf borderId="0" fillId="0" fontId="3" numFmtId="10" xfId="0" applyAlignment="1" applyFont="1" applyNumberFormat="1">
      <alignment vertical="center"/>
    </xf>
    <xf borderId="21" fillId="0" fontId="13" numFmtId="1" xfId="0" applyAlignment="1" applyBorder="1" applyFont="1" applyNumberFormat="1">
      <alignment horizontal="right" vertical="center"/>
    </xf>
    <xf borderId="0" fillId="0" fontId="13" numFmtId="1" xfId="0" applyAlignment="1" applyFont="1" applyNumberFormat="1">
      <alignment horizontal="right" vertical="center"/>
    </xf>
    <xf borderId="16" fillId="0" fontId="13" numFmtId="1" xfId="0" applyAlignment="1" applyBorder="1" applyFont="1" applyNumberFormat="1">
      <alignment horizontal="right" vertical="center"/>
    </xf>
    <xf borderId="16" fillId="5" fontId="17" numFmtId="3" xfId="0" applyAlignment="1" applyBorder="1" applyFont="1" applyNumberFormat="1">
      <alignment horizontal="right" readingOrder="0" vertical="center"/>
    </xf>
    <xf borderId="0" fillId="0" fontId="13" numFmtId="165" xfId="0" applyAlignment="1" applyFont="1" applyNumberFormat="1">
      <alignment horizontal="right" vertical="center"/>
    </xf>
    <xf borderId="13" fillId="0" fontId="13" numFmtId="3" xfId="0" applyAlignment="1" applyBorder="1" applyFont="1" applyNumberFormat="1">
      <alignment readingOrder="0" vertical="center"/>
    </xf>
    <xf borderId="22" fillId="5" fontId="17" numFmtId="167" xfId="0" applyAlignment="1" applyBorder="1" applyFont="1" applyNumberFormat="1">
      <alignment horizontal="right" readingOrder="0" vertical="center"/>
    </xf>
    <xf borderId="13" fillId="0" fontId="3" numFmtId="10" xfId="0" applyAlignment="1" applyBorder="1" applyFont="1" applyNumberFormat="1">
      <alignment vertical="center"/>
    </xf>
    <xf borderId="13" fillId="0" fontId="13" numFmtId="167" xfId="0" applyAlignment="1" applyBorder="1" applyFont="1" applyNumberFormat="1">
      <alignment horizontal="right" vertical="center"/>
    </xf>
    <xf borderId="0" fillId="0" fontId="22" numFmtId="3" xfId="0" applyAlignment="1" applyFont="1" applyNumberFormat="1">
      <alignment vertical="center"/>
    </xf>
    <xf borderId="0" fillId="0" fontId="3" numFmtId="167" xfId="0" applyAlignment="1" applyFont="1" applyNumberFormat="1">
      <alignment vertical="center"/>
    </xf>
    <xf borderId="0" fillId="3" fontId="17" numFmtId="167" xfId="0" applyAlignment="1" applyFont="1" applyNumberFormat="1">
      <alignment horizontal="right" vertical="center"/>
    </xf>
    <xf borderId="0" fillId="0" fontId="3" numFmtId="0" xfId="0" applyFont="1"/>
    <xf borderId="0" fillId="0" fontId="17" numFmtId="3" xfId="0" applyAlignment="1" applyFont="1" applyNumberFormat="1">
      <alignment readingOrder="0"/>
    </xf>
    <xf borderId="0" fillId="0" fontId="3" numFmtId="165" xfId="0" applyFont="1" applyNumberFormat="1"/>
    <xf borderId="0" fillId="0" fontId="3" numFmtId="10" xfId="0" applyFont="1" applyNumberFormat="1"/>
    <xf borderId="0" fillId="0" fontId="13" numFmtId="3" xfId="0" applyFont="1" applyNumberFormat="1"/>
    <xf borderId="0" fillId="5" fontId="17" numFmtId="10" xfId="0" applyAlignment="1" applyFont="1" applyNumberFormat="1">
      <alignment horizontal="right" readingOrder="0"/>
    </xf>
    <xf borderId="0" fillId="0" fontId="13" numFmtId="10" xfId="0" applyAlignment="1" applyFont="1" applyNumberFormat="1">
      <alignment horizontal="right"/>
    </xf>
    <xf borderId="0" fillId="0" fontId="3" numFmtId="1" xfId="0" applyFont="1" applyNumberFormat="1"/>
    <xf borderId="0" fillId="0" fontId="13" numFmtId="1" xfId="0" applyAlignment="1" applyFont="1" applyNumberFormat="1">
      <alignment horizontal="right"/>
    </xf>
    <xf borderId="0" fillId="5" fontId="17" numFmtId="10" xfId="0" applyAlignment="1" applyFont="1" applyNumberFormat="1">
      <alignment horizontal="right"/>
    </xf>
    <xf borderId="0" fillId="0" fontId="13" numFmtId="3" xfId="0" applyAlignment="1" applyFont="1" applyNumberFormat="1">
      <alignment shrinkToFit="0" wrapText="0"/>
    </xf>
    <xf borderId="0" fillId="0" fontId="3" numFmtId="0" xfId="0" applyFont="1"/>
    <xf borderId="14" fillId="0" fontId="13" numFmtId="3" xfId="0" applyBorder="1" applyFont="1" applyNumberFormat="1"/>
    <xf borderId="14" fillId="0" fontId="3" numFmtId="0" xfId="0" applyBorder="1" applyFont="1"/>
    <xf borderId="14" fillId="5" fontId="17" numFmtId="168" xfId="0" applyAlignment="1" applyBorder="1" applyFont="1" applyNumberFormat="1">
      <alignment horizontal="right"/>
    </xf>
    <xf borderId="13" fillId="0" fontId="3" numFmtId="0" xfId="0" applyBorder="1" applyFont="1"/>
    <xf borderId="13" fillId="0" fontId="3" numFmtId="165" xfId="0" applyBorder="1" applyFont="1" applyNumberFormat="1"/>
    <xf borderId="14" fillId="0" fontId="13" numFmtId="168" xfId="0" applyAlignment="1" applyBorder="1" applyFont="1" applyNumberFormat="1">
      <alignment horizontal="right"/>
    </xf>
    <xf borderId="0" fillId="0" fontId="22" numFmtId="3" xfId="0" applyFont="1" applyNumberFormat="1"/>
    <xf borderId="0" fillId="0" fontId="3" numFmtId="164" xfId="0" applyFont="1" applyNumberFormat="1"/>
    <xf borderId="0" fillId="3" fontId="17" numFmtId="165" xfId="0" applyAlignment="1" applyFont="1" applyNumberFormat="1">
      <alignment horizontal="right"/>
    </xf>
    <xf borderId="0" fillId="3" fontId="17" numFmtId="167" xfId="0" applyAlignment="1" applyFont="1" applyNumberFormat="1">
      <alignment horizontal="right"/>
    </xf>
    <xf borderId="23" fillId="7" fontId="13" numFmtId="0" xfId="0" applyAlignment="1" applyBorder="1" applyFont="1">
      <alignment readingOrder="0" vertical="center"/>
    </xf>
    <xf borderId="0" fillId="0" fontId="13" numFmtId="3" xfId="0" applyAlignment="1" applyFont="1" applyNumberFormat="1">
      <alignment vertical="center"/>
    </xf>
    <xf borderId="0" fillId="0" fontId="28" numFmtId="0" xfId="0" applyAlignment="1" applyFont="1">
      <alignment readingOrder="0" vertical="center"/>
    </xf>
    <xf borderId="0" fillId="0" fontId="28" numFmtId="0" xfId="0" applyAlignment="1" applyFont="1">
      <alignment horizontal="center" readingOrder="0" vertical="center"/>
    </xf>
    <xf borderId="16" fillId="5" fontId="20" numFmtId="165" xfId="0" applyAlignment="1" applyBorder="1" applyFont="1" applyNumberFormat="1">
      <alignment horizontal="left" vertical="center"/>
    </xf>
    <xf borderId="16" fillId="5" fontId="20" numFmtId="165" xfId="0" applyAlignment="1" applyBorder="1" applyFont="1" applyNumberFormat="1">
      <alignment horizontal="center" readingOrder="0" vertical="center"/>
    </xf>
    <xf borderId="16" fillId="5" fontId="20" numFmtId="9" xfId="0" applyAlignment="1" applyBorder="1" applyFont="1" applyNumberFormat="1">
      <alignment horizontal="center" readingOrder="0" vertical="center"/>
    </xf>
    <xf borderId="24" fillId="5" fontId="20" numFmtId="169" xfId="0" applyAlignment="1" applyBorder="1" applyFont="1" applyNumberFormat="1">
      <alignment horizontal="center" readingOrder="0" vertical="center"/>
    </xf>
    <xf borderId="16" fillId="5" fontId="20" numFmtId="170" xfId="0" applyAlignment="1" applyBorder="1" applyFont="1" applyNumberFormat="1">
      <alignment horizontal="left" vertical="center"/>
    </xf>
    <xf borderId="16" fillId="5" fontId="20" numFmtId="10" xfId="0" applyAlignment="1" applyBorder="1" applyFont="1" applyNumberFormat="1">
      <alignment horizontal="center" readingOrder="0" vertical="center"/>
    </xf>
    <xf borderId="16" fillId="5" fontId="20" numFmtId="170" xfId="0" applyAlignment="1" applyBorder="1" applyFont="1" applyNumberFormat="1">
      <alignment horizontal="left" readingOrder="0" vertical="center"/>
    </xf>
    <xf borderId="22" fillId="5" fontId="20" numFmtId="170" xfId="0" applyAlignment="1" applyBorder="1" applyFont="1" applyNumberFormat="1">
      <alignment horizontal="left" readingOrder="0" vertical="center"/>
    </xf>
    <xf borderId="22" fillId="5" fontId="20" numFmtId="10" xfId="0" applyAlignment="1" applyBorder="1" applyFont="1" applyNumberFormat="1">
      <alignment horizontal="center" readingOrder="0" vertical="center"/>
    </xf>
    <xf borderId="13" fillId="0" fontId="13" numFmtId="165" xfId="0" applyAlignment="1" applyBorder="1" applyFont="1" applyNumberFormat="1">
      <alignment horizontal="right" vertical="center"/>
    </xf>
    <xf borderId="0" fillId="0" fontId="3" numFmtId="165" xfId="0" applyAlignment="1" applyFont="1" applyNumberFormat="1">
      <alignment vertical="bottom"/>
    </xf>
    <xf borderId="0" fillId="0" fontId="22" numFmtId="170" xfId="0" applyAlignment="1" applyFont="1" applyNumberFormat="1">
      <alignment vertical="bottom"/>
    </xf>
    <xf borderId="0" fillId="3" fontId="17" numFmtId="165" xfId="0" applyAlignment="1" applyFont="1" applyNumberFormat="1">
      <alignment horizontal="right" vertical="bottom"/>
    </xf>
    <xf borderId="24" fillId="5" fontId="20" numFmtId="165" xfId="0" applyAlignment="1" applyBorder="1" applyFont="1" applyNumberFormat="1">
      <alignment horizontal="center" readingOrder="0" vertical="center"/>
    </xf>
    <xf borderId="0" fillId="0" fontId="20" numFmtId="165" xfId="0" applyAlignment="1" applyFont="1" applyNumberFormat="1">
      <alignment horizontal="center" readingOrder="0" vertical="center"/>
    </xf>
    <xf borderId="22" fillId="5" fontId="20" numFmtId="165" xfId="0" applyAlignment="1" applyBorder="1" applyFont="1" applyNumberFormat="1">
      <alignment horizontal="left" readingOrder="0" vertical="center"/>
    </xf>
    <xf borderId="25" fillId="5" fontId="20" numFmtId="165" xfId="0" applyAlignment="1" applyBorder="1" applyFont="1" applyNumberFormat="1">
      <alignment horizontal="center" readingOrder="0" vertical="center"/>
    </xf>
    <xf borderId="13" fillId="0" fontId="13" numFmtId="165" xfId="0" applyAlignment="1" applyBorder="1" applyFont="1" applyNumberFormat="1">
      <alignment vertical="center"/>
    </xf>
    <xf borderId="0" fillId="0" fontId="22" numFmtId="165" xfId="0" applyFont="1" applyNumberFormat="1"/>
    <xf borderId="0" fillId="0" fontId="17" numFmtId="170" xfId="0" applyAlignment="1" applyFont="1" applyNumberFormat="1">
      <alignment readingOrder="0" vertical="center"/>
    </xf>
    <xf borderId="0" fillId="0" fontId="28" numFmtId="165" xfId="0" applyAlignment="1" applyFont="1" applyNumberFormat="1">
      <alignment horizontal="center" readingOrder="0" vertical="center"/>
    </xf>
    <xf borderId="0" fillId="0" fontId="22" numFmtId="170" xfId="0" applyFont="1" applyNumberFormat="1"/>
    <xf borderId="0" fillId="0" fontId="13" numFmtId="170" xfId="0" applyAlignment="1" applyFont="1" applyNumberFormat="1">
      <alignment vertical="center"/>
    </xf>
    <xf borderId="26" fillId="0" fontId="17" numFmtId="0" xfId="0" applyAlignment="1" applyBorder="1" applyFont="1">
      <alignment readingOrder="0" vertical="center"/>
    </xf>
    <xf borderId="26" fillId="0" fontId="13" numFmtId="0" xfId="0" applyAlignment="1" applyBorder="1" applyFont="1">
      <alignment vertical="center"/>
    </xf>
    <xf borderId="0" fillId="0" fontId="13" numFmtId="170" xfId="0" applyAlignment="1" applyFont="1" applyNumberFormat="1">
      <alignment horizontal="right" vertical="center"/>
    </xf>
    <xf borderId="0" fillId="5" fontId="20" numFmtId="165" xfId="0" applyAlignment="1" applyFont="1" applyNumberFormat="1">
      <alignment horizontal="center" readingOrder="0" vertical="center"/>
    </xf>
    <xf borderId="20" fillId="5" fontId="20" numFmtId="3" xfId="0" applyAlignment="1" applyBorder="1" applyFont="1" applyNumberFormat="1">
      <alignment horizontal="center" readingOrder="0" vertical="center"/>
    </xf>
    <xf borderId="0" fillId="0" fontId="17" numFmtId="165" xfId="0" applyAlignment="1" applyFont="1" applyNumberFormat="1">
      <alignment horizontal="right" vertical="center"/>
    </xf>
    <xf borderId="24" fillId="5" fontId="20" numFmtId="3" xfId="0" applyAlignment="1" applyBorder="1" applyFont="1" applyNumberFormat="1">
      <alignment horizontal="center" readingOrder="0" vertical="center"/>
    </xf>
    <xf borderId="0" fillId="0" fontId="28" numFmtId="0" xfId="0" applyAlignment="1" applyFont="1">
      <alignment horizontal="center" readingOrder="0" vertical="center"/>
    </xf>
    <xf borderId="0" fillId="0" fontId="17" numFmtId="165" xfId="0" applyAlignment="1" applyFont="1" applyNumberFormat="1">
      <alignment vertical="center"/>
    </xf>
    <xf borderId="16" fillId="0" fontId="20" numFmtId="170" xfId="0" applyAlignment="1" applyBorder="1" applyFont="1" applyNumberFormat="1">
      <alignment horizontal="left" readingOrder="0" vertical="center"/>
    </xf>
    <xf borderId="16" fillId="0" fontId="20" numFmtId="165" xfId="0" applyAlignment="1" applyBorder="1" applyFont="1" applyNumberFormat="1">
      <alignment horizontal="center" readingOrder="0" vertical="center"/>
    </xf>
    <xf borderId="16" fillId="0" fontId="20" numFmtId="169" xfId="0" applyAlignment="1" applyBorder="1" applyFont="1" applyNumberFormat="1">
      <alignment horizontal="center" readingOrder="0" vertical="center"/>
    </xf>
    <xf borderId="24" fillId="0" fontId="20" numFmtId="3" xfId="0" applyAlignment="1" applyBorder="1" applyFont="1" applyNumberFormat="1">
      <alignment horizontal="center" readingOrder="0" vertical="center"/>
    </xf>
    <xf borderId="16" fillId="5" fontId="20" numFmtId="169" xfId="0" applyAlignment="1" applyBorder="1" applyFont="1" applyNumberFormat="1">
      <alignment horizontal="center" readingOrder="0" vertical="center"/>
    </xf>
    <xf borderId="0" fillId="0" fontId="13" numFmtId="170" xfId="0" applyAlignment="1" applyFont="1" applyNumberFormat="1">
      <alignment readingOrder="0" vertical="center"/>
    </xf>
    <xf borderId="0" fillId="0" fontId="17" numFmtId="0" xfId="0" applyAlignment="1" applyFont="1">
      <alignment horizontal="center" readingOrder="0" vertical="center"/>
    </xf>
    <xf borderId="16" fillId="0" fontId="20" numFmtId="10" xfId="0" applyAlignment="1" applyBorder="1" applyFont="1" applyNumberFormat="1">
      <alignment horizontal="center" readingOrder="0" vertical="center"/>
    </xf>
    <xf borderId="0" fillId="0" fontId="29" numFmtId="0" xfId="0" applyAlignment="1" applyFont="1">
      <alignment vertical="center"/>
    </xf>
    <xf borderId="27" fillId="0" fontId="30" numFmtId="0" xfId="0" applyAlignment="1" applyBorder="1" applyFont="1">
      <alignment readingOrder="0" vertical="center"/>
    </xf>
    <xf borderId="27" fillId="0" fontId="13" numFmtId="0" xfId="0" applyAlignment="1" applyBorder="1" applyFont="1">
      <alignment vertical="center"/>
    </xf>
    <xf borderId="21" fillId="0" fontId="20" numFmtId="170" xfId="0" applyAlignment="1" applyBorder="1" applyFont="1" applyNumberFormat="1">
      <alignment horizontal="left" readingOrder="0" vertical="center"/>
    </xf>
    <xf borderId="21" fillId="0" fontId="20" numFmtId="165" xfId="0" applyAlignment="1" applyBorder="1" applyFont="1" applyNumberFormat="1">
      <alignment horizontal="right" readingOrder="0" vertical="center"/>
    </xf>
    <xf borderId="21" fillId="0" fontId="20" numFmtId="169" xfId="0" applyAlignment="1" applyBorder="1" applyFont="1" applyNumberFormat="1">
      <alignment horizontal="right" readingOrder="0" vertical="center"/>
    </xf>
    <xf borderId="0" fillId="0" fontId="29" numFmtId="165" xfId="0" applyAlignment="1" applyFont="1" applyNumberFormat="1">
      <alignment vertical="center"/>
    </xf>
    <xf borderId="16" fillId="5" fontId="20" numFmtId="169" xfId="0" applyAlignment="1" applyBorder="1" applyFont="1" applyNumberFormat="1">
      <alignment horizontal="right" readingOrder="0"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9" fillId="6" fontId="18" numFmtId="0" xfId="0" applyAlignment="1" applyBorder="1" applyFont="1">
      <alignment readingOrder="0"/>
    </xf>
    <xf borderId="9" fillId="6" fontId="13" numFmtId="0" xfId="0" applyBorder="1" applyFont="1"/>
    <xf borderId="0" fillId="0" fontId="13" numFmtId="165" xfId="0" applyFont="1" applyNumberFormat="1"/>
    <xf borderId="28" fillId="0" fontId="17" numFmtId="165" xfId="0" applyAlignment="1" applyBorder="1" applyFont="1" applyNumberFormat="1">
      <alignment readingOrder="0"/>
    </xf>
    <xf borderId="28" fillId="0" fontId="17" numFmtId="165" xfId="0" applyBorder="1" applyFont="1" applyNumberFormat="1"/>
    <xf borderId="29" fillId="0" fontId="17" numFmtId="165" xfId="0" applyAlignment="1" applyBorder="1" applyFont="1" applyNumberFormat="1">
      <alignment readingOrder="0"/>
    </xf>
    <xf borderId="29" fillId="0" fontId="13" numFmtId="165" xfId="0" applyBorder="1" applyFont="1" applyNumberFormat="1"/>
    <xf borderId="29" fillId="0" fontId="17" numFmtId="165" xfId="0" applyBorder="1" applyFont="1" applyNumberFormat="1"/>
    <xf borderId="0" fillId="0" fontId="13" numFmtId="10" xfId="0" applyFont="1" applyNumberFormat="1"/>
    <xf borderId="0" fillId="0" fontId="30" numFmtId="10" xfId="0" applyAlignment="1" applyFont="1" applyNumberFormat="1">
      <alignment readingOrder="0"/>
    </xf>
    <xf borderId="0" fillId="0" fontId="30" numFmtId="10" xfId="0" applyFont="1" applyNumberFormat="1"/>
    <xf borderId="0" fillId="0" fontId="17" numFmtId="165" xfId="0" applyAlignment="1" applyFont="1" applyNumberFormat="1">
      <alignment readingOrder="0"/>
    </xf>
    <xf borderId="0" fillId="0" fontId="13" numFmtId="165" xfId="0" applyAlignment="1" applyFont="1" applyNumberFormat="1">
      <alignment readingOrder="0"/>
    </xf>
    <xf borderId="28" fillId="0" fontId="13" numFmtId="165" xfId="0" applyBorder="1" applyFont="1" applyNumberFormat="1"/>
    <xf borderId="0" fillId="0" fontId="17" numFmtId="165" xfId="0" applyFont="1" applyNumberFormat="1"/>
    <xf borderId="28" fillId="0" fontId="13" numFmtId="165" xfId="0" applyAlignment="1" applyBorder="1" applyFont="1" applyNumberFormat="1">
      <alignment readingOrder="0"/>
    </xf>
    <xf borderId="0" fillId="0" fontId="30" numFmtId="0" xfId="0" applyAlignment="1" applyFont="1">
      <alignment readingOrder="0"/>
    </xf>
    <xf borderId="0" fillId="0" fontId="31" numFmtId="165" xfId="0" applyAlignment="1" applyFont="1" applyNumberFormat="1">
      <alignment readingOrder="0"/>
    </xf>
    <xf borderId="30" fillId="0" fontId="30" numFmtId="165" xfId="0" applyAlignment="1" applyBorder="1" applyFont="1" applyNumberFormat="1">
      <alignment readingOrder="0"/>
    </xf>
    <xf borderId="30" fillId="0" fontId="30" numFmtId="165" xfId="0" applyBorder="1" applyFont="1" applyNumberFormat="1"/>
    <xf borderId="30" fillId="0" fontId="31" numFmtId="165" xfId="0" applyAlignment="1" applyBorder="1" applyFont="1" applyNumberFormat="1">
      <alignment readingOrder="0"/>
    </xf>
    <xf borderId="30" fillId="0" fontId="24" numFmtId="165" xfId="0" applyBorder="1" applyFont="1" applyNumberFormat="1"/>
    <xf borderId="0" fillId="0" fontId="32" numFmtId="165" xfId="0" applyAlignment="1" applyFont="1" applyNumberFormat="1">
      <alignment horizontal="center" readingOrder="0"/>
    </xf>
    <xf borderId="0" fillId="0" fontId="24" numFmtId="165" xfId="0" applyAlignment="1" applyFont="1" applyNumberFormat="1">
      <alignment horizontal="center"/>
    </xf>
    <xf borderId="0" fillId="0" fontId="33" numFmtId="0" xfId="0" applyAlignment="1" applyFont="1">
      <alignment readingOrder="0"/>
    </xf>
    <xf borderId="0" fillId="0" fontId="34"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FbS3c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31"/>
      <c r="D16" s="31"/>
      <c r="E16" s="8"/>
      <c r="F16" s="9"/>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5.0" topLeftCell="F1" activePane="topRight" state="frozen"/>
      <selection activeCell="G2" sqref="G2" pane="topRight"/>
    </sheetView>
  </sheetViews>
  <sheetFormatPr customHeight="1" defaultColWidth="12.63" defaultRowHeight="15.75" outlineLevelRow="1"/>
  <cols>
    <col customWidth="1" min="1" max="1" width="2.38"/>
    <col customWidth="1" min="2" max="2" width="23.88"/>
    <col customWidth="1" min="3" max="3" width="12.38"/>
    <col customWidth="1" min="4" max="5" width="14.13"/>
  </cols>
  <sheetData>
    <row r="1">
      <c r="A1" s="39"/>
      <c r="B1" s="39" t="s">
        <v>8</v>
      </c>
      <c r="C1" s="40"/>
      <c r="D1" s="40"/>
      <c r="E1" s="40"/>
      <c r="F1" s="41"/>
      <c r="G1" s="41">
        <v>1.0</v>
      </c>
      <c r="H1" s="41">
        <v>1.0</v>
      </c>
      <c r="I1" s="41">
        <v>1.0</v>
      </c>
      <c r="J1" s="41">
        <v>1.0</v>
      </c>
      <c r="K1" s="41">
        <v>1.0</v>
      </c>
      <c r="L1" s="41">
        <v>1.0</v>
      </c>
      <c r="M1" s="41">
        <v>1.0</v>
      </c>
      <c r="N1" s="41">
        <v>1.0</v>
      </c>
      <c r="O1" s="41">
        <v>1.0</v>
      </c>
      <c r="P1" s="41">
        <v>1.0</v>
      </c>
      <c r="Q1" s="41">
        <v>1.0</v>
      </c>
      <c r="R1" s="41">
        <v>1.0</v>
      </c>
      <c r="S1" s="41">
        <f t="shared" ref="S1:BN1" si="1">G1+1</f>
        <v>2</v>
      </c>
      <c r="T1" s="41">
        <f t="shared" si="1"/>
        <v>2</v>
      </c>
      <c r="U1" s="41">
        <f t="shared" si="1"/>
        <v>2</v>
      </c>
      <c r="V1" s="41">
        <f t="shared" si="1"/>
        <v>2</v>
      </c>
      <c r="W1" s="41">
        <f t="shared" si="1"/>
        <v>2</v>
      </c>
      <c r="X1" s="41">
        <f t="shared" si="1"/>
        <v>2</v>
      </c>
      <c r="Y1" s="41">
        <f t="shared" si="1"/>
        <v>2</v>
      </c>
      <c r="Z1" s="41">
        <f t="shared" si="1"/>
        <v>2</v>
      </c>
      <c r="AA1" s="41">
        <f t="shared" si="1"/>
        <v>2</v>
      </c>
      <c r="AB1" s="41">
        <f t="shared" si="1"/>
        <v>2</v>
      </c>
      <c r="AC1" s="41">
        <f t="shared" si="1"/>
        <v>2</v>
      </c>
      <c r="AD1" s="41">
        <f t="shared" si="1"/>
        <v>2</v>
      </c>
      <c r="AE1" s="41">
        <f t="shared" si="1"/>
        <v>3</v>
      </c>
      <c r="AF1" s="41">
        <f t="shared" si="1"/>
        <v>3</v>
      </c>
      <c r="AG1" s="41">
        <f t="shared" si="1"/>
        <v>3</v>
      </c>
      <c r="AH1" s="41">
        <f t="shared" si="1"/>
        <v>3</v>
      </c>
      <c r="AI1" s="41">
        <f t="shared" si="1"/>
        <v>3</v>
      </c>
      <c r="AJ1" s="41">
        <f t="shared" si="1"/>
        <v>3</v>
      </c>
      <c r="AK1" s="41">
        <f t="shared" si="1"/>
        <v>3</v>
      </c>
      <c r="AL1" s="41">
        <f t="shared" si="1"/>
        <v>3</v>
      </c>
      <c r="AM1" s="41">
        <f t="shared" si="1"/>
        <v>3</v>
      </c>
      <c r="AN1" s="41">
        <f t="shared" si="1"/>
        <v>3</v>
      </c>
      <c r="AO1" s="41">
        <f t="shared" si="1"/>
        <v>3</v>
      </c>
      <c r="AP1" s="41">
        <f t="shared" si="1"/>
        <v>3</v>
      </c>
      <c r="AQ1" s="41">
        <f t="shared" si="1"/>
        <v>4</v>
      </c>
      <c r="AR1" s="41">
        <f t="shared" si="1"/>
        <v>4</v>
      </c>
      <c r="AS1" s="41">
        <f t="shared" si="1"/>
        <v>4</v>
      </c>
      <c r="AT1" s="41">
        <f t="shared" si="1"/>
        <v>4</v>
      </c>
      <c r="AU1" s="41">
        <f t="shared" si="1"/>
        <v>4</v>
      </c>
      <c r="AV1" s="41">
        <f t="shared" si="1"/>
        <v>4</v>
      </c>
      <c r="AW1" s="41">
        <f t="shared" si="1"/>
        <v>4</v>
      </c>
      <c r="AX1" s="41">
        <f t="shared" si="1"/>
        <v>4</v>
      </c>
      <c r="AY1" s="41">
        <f t="shared" si="1"/>
        <v>4</v>
      </c>
      <c r="AZ1" s="41">
        <f t="shared" si="1"/>
        <v>4</v>
      </c>
      <c r="BA1" s="41">
        <f t="shared" si="1"/>
        <v>4</v>
      </c>
      <c r="BB1" s="41">
        <f t="shared" si="1"/>
        <v>4</v>
      </c>
      <c r="BC1" s="41">
        <f t="shared" si="1"/>
        <v>5</v>
      </c>
      <c r="BD1" s="41">
        <f t="shared" si="1"/>
        <v>5</v>
      </c>
      <c r="BE1" s="41">
        <f t="shared" si="1"/>
        <v>5</v>
      </c>
      <c r="BF1" s="41">
        <f t="shared" si="1"/>
        <v>5</v>
      </c>
      <c r="BG1" s="41">
        <f t="shared" si="1"/>
        <v>5</v>
      </c>
      <c r="BH1" s="41">
        <f t="shared" si="1"/>
        <v>5</v>
      </c>
      <c r="BI1" s="41">
        <f t="shared" si="1"/>
        <v>5</v>
      </c>
      <c r="BJ1" s="41">
        <f t="shared" si="1"/>
        <v>5</v>
      </c>
      <c r="BK1" s="41">
        <f t="shared" si="1"/>
        <v>5</v>
      </c>
      <c r="BL1" s="41">
        <f t="shared" si="1"/>
        <v>5</v>
      </c>
      <c r="BM1" s="41">
        <f t="shared" si="1"/>
        <v>5</v>
      </c>
      <c r="BN1" s="41">
        <f t="shared" si="1"/>
        <v>5</v>
      </c>
    </row>
    <row r="2">
      <c r="A2" s="39"/>
      <c r="B2" s="39" t="s">
        <v>9</v>
      </c>
      <c r="C2" s="42"/>
      <c r="D2" s="42"/>
      <c r="E2" s="42"/>
      <c r="F2" s="43"/>
      <c r="G2" s="43">
        <f t="shared" ref="G2:BN2" si="2">YEAR(G4)</f>
        <v>2026</v>
      </c>
      <c r="H2" s="43">
        <f t="shared" si="2"/>
        <v>2026</v>
      </c>
      <c r="I2" s="43">
        <f t="shared" si="2"/>
        <v>2026</v>
      </c>
      <c r="J2" s="43">
        <f t="shared" si="2"/>
        <v>2026</v>
      </c>
      <c r="K2" s="43">
        <f t="shared" si="2"/>
        <v>2026</v>
      </c>
      <c r="L2" s="43">
        <f t="shared" si="2"/>
        <v>2026</v>
      </c>
      <c r="M2" s="43">
        <f t="shared" si="2"/>
        <v>2026</v>
      </c>
      <c r="N2" s="43">
        <f t="shared" si="2"/>
        <v>2026</v>
      </c>
      <c r="O2" s="43">
        <f t="shared" si="2"/>
        <v>2026</v>
      </c>
      <c r="P2" s="43">
        <f t="shared" si="2"/>
        <v>2026</v>
      </c>
      <c r="Q2" s="43">
        <f t="shared" si="2"/>
        <v>2026</v>
      </c>
      <c r="R2" s="43">
        <f t="shared" si="2"/>
        <v>2027</v>
      </c>
      <c r="S2" s="43">
        <f t="shared" si="2"/>
        <v>2027</v>
      </c>
      <c r="T2" s="43">
        <f t="shared" si="2"/>
        <v>2027</v>
      </c>
      <c r="U2" s="43">
        <f t="shared" si="2"/>
        <v>2027</v>
      </c>
      <c r="V2" s="43">
        <f t="shared" si="2"/>
        <v>2027</v>
      </c>
      <c r="W2" s="43">
        <f t="shared" si="2"/>
        <v>2027</v>
      </c>
      <c r="X2" s="43">
        <f t="shared" si="2"/>
        <v>2027</v>
      </c>
      <c r="Y2" s="43">
        <f t="shared" si="2"/>
        <v>2027</v>
      </c>
      <c r="Z2" s="43">
        <f t="shared" si="2"/>
        <v>2027</v>
      </c>
      <c r="AA2" s="43">
        <f t="shared" si="2"/>
        <v>2027</v>
      </c>
      <c r="AB2" s="43">
        <f t="shared" si="2"/>
        <v>2027</v>
      </c>
      <c r="AC2" s="43">
        <f t="shared" si="2"/>
        <v>2027</v>
      </c>
      <c r="AD2" s="43">
        <f t="shared" si="2"/>
        <v>2028</v>
      </c>
      <c r="AE2" s="43">
        <f t="shared" si="2"/>
        <v>2028</v>
      </c>
      <c r="AF2" s="43">
        <f t="shared" si="2"/>
        <v>2028</v>
      </c>
      <c r="AG2" s="43">
        <f t="shared" si="2"/>
        <v>2028</v>
      </c>
      <c r="AH2" s="43">
        <f t="shared" si="2"/>
        <v>2028</v>
      </c>
      <c r="AI2" s="43">
        <f t="shared" si="2"/>
        <v>2028</v>
      </c>
      <c r="AJ2" s="43">
        <f t="shared" si="2"/>
        <v>2028</v>
      </c>
      <c r="AK2" s="43">
        <f t="shared" si="2"/>
        <v>2028</v>
      </c>
      <c r="AL2" s="43">
        <f t="shared" si="2"/>
        <v>2028</v>
      </c>
      <c r="AM2" s="43">
        <f t="shared" si="2"/>
        <v>2028</v>
      </c>
      <c r="AN2" s="43">
        <f t="shared" si="2"/>
        <v>2028</v>
      </c>
      <c r="AO2" s="43">
        <f t="shared" si="2"/>
        <v>2028</v>
      </c>
      <c r="AP2" s="43">
        <f t="shared" si="2"/>
        <v>2029</v>
      </c>
      <c r="AQ2" s="43">
        <f t="shared" si="2"/>
        <v>2029</v>
      </c>
      <c r="AR2" s="43">
        <f t="shared" si="2"/>
        <v>2029</v>
      </c>
      <c r="AS2" s="43">
        <f t="shared" si="2"/>
        <v>2029</v>
      </c>
      <c r="AT2" s="43">
        <f t="shared" si="2"/>
        <v>2029</v>
      </c>
      <c r="AU2" s="43">
        <f t="shared" si="2"/>
        <v>2029</v>
      </c>
      <c r="AV2" s="43">
        <f t="shared" si="2"/>
        <v>2029</v>
      </c>
      <c r="AW2" s="43">
        <f t="shared" si="2"/>
        <v>2029</v>
      </c>
      <c r="AX2" s="43">
        <f t="shared" si="2"/>
        <v>2029</v>
      </c>
      <c r="AY2" s="43">
        <f t="shared" si="2"/>
        <v>2029</v>
      </c>
      <c r="AZ2" s="43">
        <f t="shared" si="2"/>
        <v>2029</v>
      </c>
      <c r="BA2" s="43">
        <f t="shared" si="2"/>
        <v>2029</v>
      </c>
      <c r="BB2" s="43">
        <f t="shared" si="2"/>
        <v>2030</v>
      </c>
      <c r="BC2" s="43">
        <f t="shared" si="2"/>
        <v>2030</v>
      </c>
      <c r="BD2" s="43">
        <f t="shared" si="2"/>
        <v>2030</v>
      </c>
      <c r="BE2" s="43">
        <f t="shared" si="2"/>
        <v>2030</v>
      </c>
      <c r="BF2" s="43">
        <f t="shared" si="2"/>
        <v>2030</v>
      </c>
      <c r="BG2" s="43">
        <f t="shared" si="2"/>
        <v>2030</v>
      </c>
      <c r="BH2" s="43">
        <f t="shared" si="2"/>
        <v>2030</v>
      </c>
      <c r="BI2" s="43">
        <f t="shared" si="2"/>
        <v>2030</v>
      </c>
      <c r="BJ2" s="43">
        <f t="shared" si="2"/>
        <v>2030</v>
      </c>
      <c r="BK2" s="43">
        <f t="shared" si="2"/>
        <v>2030</v>
      </c>
      <c r="BL2" s="43">
        <f t="shared" si="2"/>
        <v>2030</v>
      </c>
      <c r="BM2" s="43">
        <f t="shared" si="2"/>
        <v>2030</v>
      </c>
      <c r="BN2" s="43">
        <f t="shared" si="2"/>
        <v>2031</v>
      </c>
    </row>
    <row r="3">
      <c r="A3" s="39"/>
      <c r="B3" s="39" t="s">
        <v>10</v>
      </c>
      <c r="C3" s="40"/>
      <c r="D3" s="40"/>
      <c r="E3" s="40"/>
      <c r="F3" s="43"/>
      <c r="G3" s="43">
        <v>1.0</v>
      </c>
      <c r="H3" s="43">
        <f t="shared" ref="H3:BN3" si="3">G3+1</f>
        <v>2</v>
      </c>
      <c r="I3" s="43">
        <f t="shared" si="3"/>
        <v>3</v>
      </c>
      <c r="J3" s="43">
        <f t="shared" si="3"/>
        <v>4</v>
      </c>
      <c r="K3" s="43">
        <f t="shared" si="3"/>
        <v>5</v>
      </c>
      <c r="L3" s="43">
        <f t="shared" si="3"/>
        <v>6</v>
      </c>
      <c r="M3" s="43">
        <f t="shared" si="3"/>
        <v>7</v>
      </c>
      <c r="N3" s="43">
        <f t="shared" si="3"/>
        <v>8</v>
      </c>
      <c r="O3" s="43">
        <f t="shared" si="3"/>
        <v>9</v>
      </c>
      <c r="P3" s="43">
        <f t="shared" si="3"/>
        <v>10</v>
      </c>
      <c r="Q3" s="43">
        <f t="shared" si="3"/>
        <v>11</v>
      </c>
      <c r="R3" s="43">
        <f t="shared" si="3"/>
        <v>12</v>
      </c>
      <c r="S3" s="43">
        <f t="shared" si="3"/>
        <v>13</v>
      </c>
      <c r="T3" s="43">
        <f t="shared" si="3"/>
        <v>14</v>
      </c>
      <c r="U3" s="43">
        <f t="shared" si="3"/>
        <v>15</v>
      </c>
      <c r="V3" s="43">
        <f t="shared" si="3"/>
        <v>16</v>
      </c>
      <c r="W3" s="43">
        <f t="shared" si="3"/>
        <v>17</v>
      </c>
      <c r="X3" s="43">
        <f t="shared" si="3"/>
        <v>18</v>
      </c>
      <c r="Y3" s="43">
        <f t="shared" si="3"/>
        <v>19</v>
      </c>
      <c r="Z3" s="43">
        <f t="shared" si="3"/>
        <v>20</v>
      </c>
      <c r="AA3" s="43">
        <f t="shared" si="3"/>
        <v>21</v>
      </c>
      <c r="AB3" s="43">
        <f t="shared" si="3"/>
        <v>22</v>
      </c>
      <c r="AC3" s="43">
        <f t="shared" si="3"/>
        <v>23</v>
      </c>
      <c r="AD3" s="43">
        <f t="shared" si="3"/>
        <v>24</v>
      </c>
      <c r="AE3" s="43">
        <f t="shared" si="3"/>
        <v>25</v>
      </c>
      <c r="AF3" s="43">
        <f t="shared" si="3"/>
        <v>26</v>
      </c>
      <c r="AG3" s="43">
        <f t="shared" si="3"/>
        <v>27</v>
      </c>
      <c r="AH3" s="43">
        <f t="shared" si="3"/>
        <v>28</v>
      </c>
      <c r="AI3" s="43">
        <f t="shared" si="3"/>
        <v>29</v>
      </c>
      <c r="AJ3" s="43">
        <f t="shared" si="3"/>
        <v>30</v>
      </c>
      <c r="AK3" s="43">
        <f t="shared" si="3"/>
        <v>31</v>
      </c>
      <c r="AL3" s="43">
        <f t="shared" si="3"/>
        <v>32</v>
      </c>
      <c r="AM3" s="43">
        <f t="shared" si="3"/>
        <v>33</v>
      </c>
      <c r="AN3" s="43">
        <f t="shared" si="3"/>
        <v>34</v>
      </c>
      <c r="AO3" s="43">
        <f t="shared" si="3"/>
        <v>35</v>
      </c>
      <c r="AP3" s="43">
        <f t="shared" si="3"/>
        <v>36</v>
      </c>
      <c r="AQ3" s="43">
        <f t="shared" si="3"/>
        <v>37</v>
      </c>
      <c r="AR3" s="43">
        <f t="shared" si="3"/>
        <v>38</v>
      </c>
      <c r="AS3" s="43">
        <f t="shared" si="3"/>
        <v>39</v>
      </c>
      <c r="AT3" s="43">
        <f t="shared" si="3"/>
        <v>40</v>
      </c>
      <c r="AU3" s="43">
        <f t="shared" si="3"/>
        <v>41</v>
      </c>
      <c r="AV3" s="43">
        <f t="shared" si="3"/>
        <v>42</v>
      </c>
      <c r="AW3" s="43">
        <f t="shared" si="3"/>
        <v>43</v>
      </c>
      <c r="AX3" s="43">
        <f t="shared" si="3"/>
        <v>44</v>
      </c>
      <c r="AY3" s="43">
        <f t="shared" si="3"/>
        <v>45</v>
      </c>
      <c r="AZ3" s="43">
        <f t="shared" si="3"/>
        <v>46</v>
      </c>
      <c r="BA3" s="43">
        <f t="shared" si="3"/>
        <v>47</v>
      </c>
      <c r="BB3" s="43">
        <f t="shared" si="3"/>
        <v>48</v>
      </c>
      <c r="BC3" s="43">
        <f t="shared" si="3"/>
        <v>49</v>
      </c>
      <c r="BD3" s="43">
        <f t="shared" si="3"/>
        <v>50</v>
      </c>
      <c r="BE3" s="43">
        <f t="shared" si="3"/>
        <v>51</v>
      </c>
      <c r="BF3" s="43">
        <f t="shared" si="3"/>
        <v>52</v>
      </c>
      <c r="BG3" s="43">
        <f t="shared" si="3"/>
        <v>53</v>
      </c>
      <c r="BH3" s="43">
        <f t="shared" si="3"/>
        <v>54</v>
      </c>
      <c r="BI3" s="43">
        <f t="shared" si="3"/>
        <v>55</v>
      </c>
      <c r="BJ3" s="43">
        <f t="shared" si="3"/>
        <v>56</v>
      </c>
      <c r="BK3" s="43">
        <f t="shared" si="3"/>
        <v>57</v>
      </c>
      <c r="BL3" s="43">
        <f t="shared" si="3"/>
        <v>58</v>
      </c>
      <c r="BM3" s="43">
        <f t="shared" si="3"/>
        <v>59</v>
      </c>
      <c r="BN3" s="43">
        <f t="shared" si="3"/>
        <v>60</v>
      </c>
    </row>
    <row r="4">
      <c r="A4" s="39"/>
      <c r="B4" s="39" t="s">
        <v>11</v>
      </c>
      <c r="C4" s="40"/>
      <c r="D4" s="40"/>
      <c r="E4" s="40"/>
      <c r="F4" s="44"/>
      <c r="G4" s="45">
        <f>eomonth(today(),0)</f>
        <v>46081</v>
      </c>
      <c r="H4" s="46">
        <f t="shared" ref="H4:BN4" si="4">EOMONTH(G4,1)</f>
        <v>46112</v>
      </c>
      <c r="I4" s="46">
        <f t="shared" si="4"/>
        <v>46142</v>
      </c>
      <c r="J4" s="46">
        <f t="shared" si="4"/>
        <v>46173</v>
      </c>
      <c r="K4" s="46">
        <f t="shared" si="4"/>
        <v>46203</v>
      </c>
      <c r="L4" s="46">
        <f t="shared" si="4"/>
        <v>46234</v>
      </c>
      <c r="M4" s="46">
        <f t="shared" si="4"/>
        <v>46265</v>
      </c>
      <c r="N4" s="46">
        <f t="shared" si="4"/>
        <v>46295</v>
      </c>
      <c r="O4" s="46">
        <f t="shared" si="4"/>
        <v>46326</v>
      </c>
      <c r="P4" s="46">
        <f t="shared" si="4"/>
        <v>46356</v>
      </c>
      <c r="Q4" s="46">
        <f t="shared" si="4"/>
        <v>46387</v>
      </c>
      <c r="R4" s="46">
        <f t="shared" si="4"/>
        <v>46418</v>
      </c>
      <c r="S4" s="46">
        <f t="shared" si="4"/>
        <v>46446</v>
      </c>
      <c r="T4" s="46">
        <f t="shared" si="4"/>
        <v>46477</v>
      </c>
      <c r="U4" s="46">
        <f t="shared" si="4"/>
        <v>46507</v>
      </c>
      <c r="V4" s="46">
        <f t="shared" si="4"/>
        <v>46538</v>
      </c>
      <c r="W4" s="46">
        <f t="shared" si="4"/>
        <v>46568</v>
      </c>
      <c r="X4" s="46">
        <f t="shared" si="4"/>
        <v>46599</v>
      </c>
      <c r="Y4" s="46">
        <f t="shared" si="4"/>
        <v>46630</v>
      </c>
      <c r="Z4" s="46">
        <f t="shared" si="4"/>
        <v>46660</v>
      </c>
      <c r="AA4" s="46">
        <f t="shared" si="4"/>
        <v>46691</v>
      </c>
      <c r="AB4" s="46">
        <f t="shared" si="4"/>
        <v>46721</v>
      </c>
      <c r="AC4" s="46">
        <f t="shared" si="4"/>
        <v>46752</v>
      </c>
      <c r="AD4" s="46">
        <f t="shared" si="4"/>
        <v>46783</v>
      </c>
      <c r="AE4" s="46">
        <f t="shared" si="4"/>
        <v>46812</v>
      </c>
      <c r="AF4" s="46">
        <f t="shared" si="4"/>
        <v>46843</v>
      </c>
      <c r="AG4" s="46">
        <f t="shared" si="4"/>
        <v>46873</v>
      </c>
      <c r="AH4" s="46">
        <f t="shared" si="4"/>
        <v>46904</v>
      </c>
      <c r="AI4" s="46">
        <f t="shared" si="4"/>
        <v>46934</v>
      </c>
      <c r="AJ4" s="46">
        <f t="shared" si="4"/>
        <v>46965</v>
      </c>
      <c r="AK4" s="46">
        <f t="shared" si="4"/>
        <v>46996</v>
      </c>
      <c r="AL4" s="46">
        <f t="shared" si="4"/>
        <v>47026</v>
      </c>
      <c r="AM4" s="46">
        <f t="shared" si="4"/>
        <v>47057</v>
      </c>
      <c r="AN4" s="46">
        <f t="shared" si="4"/>
        <v>47087</v>
      </c>
      <c r="AO4" s="46">
        <f t="shared" si="4"/>
        <v>47118</v>
      </c>
      <c r="AP4" s="46">
        <f t="shared" si="4"/>
        <v>47149</v>
      </c>
      <c r="AQ4" s="46">
        <f t="shared" si="4"/>
        <v>47177</v>
      </c>
      <c r="AR4" s="46">
        <f t="shared" si="4"/>
        <v>47208</v>
      </c>
      <c r="AS4" s="46">
        <f t="shared" si="4"/>
        <v>47238</v>
      </c>
      <c r="AT4" s="46">
        <f t="shared" si="4"/>
        <v>47269</v>
      </c>
      <c r="AU4" s="46">
        <f t="shared" si="4"/>
        <v>47299</v>
      </c>
      <c r="AV4" s="46">
        <f t="shared" si="4"/>
        <v>47330</v>
      </c>
      <c r="AW4" s="46">
        <f t="shared" si="4"/>
        <v>47361</v>
      </c>
      <c r="AX4" s="46">
        <f t="shared" si="4"/>
        <v>47391</v>
      </c>
      <c r="AY4" s="46">
        <f t="shared" si="4"/>
        <v>47422</v>
      </c>
      <c r="AZ4" s="46">
        <f t="shared" si="4"/>
        <v>47452</v>
      </c>
      <c r="BA4" s="46">
        <f t="shared" si="4"/>
        <v>47483</v>
      </c>
      <c r="BB4" s="46">
        <f t="shared" si="4"/>
        <v>47514</v>
      </c>
      <c r="BC4" s="46">
        <f t="shared" si="4"/>
        <v>47542</v>
      </c>
      <c r="BD4" s="46">
        <f t="shared" si="4"/>
        <v>47573</v>
      </c>
      <c r="BE4" s="46">
        <f t="shared" si="4"/>
        <v>47603</v>
      </c>
      <c r="BF4" s="46">
        <f t="shared" si="4"/>
        <v>47634</v>
      </c>
      <c r="BG4" s="46">
        <f t="shared" si="4"/>
        <v>47664</v>
      </c>
      <c r="BH4" s="46">
        <f t="shared" si="4"/>
        <v>47695</v>
      </c>
      <c r="BI4" s="46">
        <f t="shared" si="4"/>
        <v>47726</v>
      </c>
      <c r="BJ4" s="46">
        <f t="shared" si="4"/>
        <v>47756</v>
      </c>
      <c r="BK4" s="46">
        <f t="shared" si="4"/>
        <v>47787</v>
      </c>
      <c r="BL4" s="46">
        <f t="shared" si="4"/>
        <v>47817</v>
      </c>
      <c r="BM4" s="46">
        <f t="shared" si="4"/>
        <v>47848</v>
      </c>
      <c r="BN4" s="46">
        <f t="shared" si="4"/>
        <v>47879</v>
      </c>
    </row>
    <row r="5">
      <c r="A5" s="47"/>
      <c r="B5" s="47"/>
      <c r="C5" s="47"/>
      <c r="D5" s="47"/>
      <c r="E5" s="47"/>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c r="A6" s="47"/>
      <c r="B6" s="48" t="s">
        <v>12</v>
      </c>
      <c r="C6" s="49"/>
      <c r="D6" s="49"/>
      <c r="E6" s="49"/>
      <c r="F6" s="49"/>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row>
    <row r="7" outlineLevel="1">
      <c r="A7" s="47"/>
      <c r="B7" s="47"/>
      <c r="C7" s="47"/>
      <c r="D7" s="47"/>
      <c r="E7" s="47"/>
      <c r="F7" s="47"/>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outlineLevel="1">
      <c r="A8" s="47"/>
      <c r="B8" s="51" t="s">
        <v>13</v>
      </c>
      <c r="C8" s="52"/>
      <c r="D8" s="47"/>
      <c r="E8" s="47"/>
      <c r="F8" s="47"/>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outlineLevel="1">
      <c r="A9" s="47"/>
      <c r="B9" s="53"/>
      <c r="C9" s="47"/>
      <c r="D9" s="47"/>
      <c r="E9" s="47"/>
      <c r="F9" s="47"/>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row>
    <row r="10" outlineLevel="1">
      <c r="A10" s="47"/>
      <c r="B10" s="54" t="s">
        <v>14</v>
      </c>
      <c r="C10" s="47"/>
      <c r="D10" s="47"/>
      <c r="E10" s="47"/>
      <c r="F10" s="47"/>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row>
    <row r="11" outlineLevel="1">
      <c r="A11" s="47"/>
      <c r="B11" s="55" t="s">
        <v>15</v>
      </c>
      <c r="C11" s="47"/>
      <c r="D11" s="56">
        <v>1000.0</v>
      </c>
      <c r="E11" s="47"/>
      <c r="F11" s="47"/>
      <c r="G11" s="57">
        <f t="shared" ref="G11:G12" si="6">D11</f>
        <v>1000</v>
      </c>
      <c r="H11" s="57">
        <f t="shared" ref="H11:BN11" si="5">G11</f>
        <v>1000</v>
      </c>
      <c r="I11" s="57">
        <f t="shared" si="5"/>
        <v>1000</v>
      </c>
      <c r="J11" s="57">
        <f t="shared" si="5"/>
        <v>1000</v>
      </c>
      <c r="K11" s="57">
        <f t="shared" si="5"/>
        <v>1000</v>
      </c>
      <c r="L11" s="57">
        <f t="shared" si="5"/>
        <v>1000</v>
      </c>
      <c r="M11" s="57">
        <f t="shared" si="5"/>
        <v>1000</v>
      </c>
      <c r="N11" s="57">
        <f t="shared" si="5"/>
        <v>1000</v>
      </c>
      <c r="O11" s="57">
        <f t="shared" si="5"/>
        <v>1000</v>
      </c>
      <c r="P11" s="57">
        <f t="shared" si="5"/>
        <v>1000</v>
      </c>
      <c r="Q11" s="57">
        <f t="shared" si="5"/>
        <v>1000</v>
      </c>
      <c r="R11" s="57">
        <f t="shared" si="5"/>
        <v>1000</v>
      </c>
      <c r="S11" s="57">
        <f t="shared" si="5"/>
        <v>1000</v>
      </c>
      <c r="T11" s="57">
        <f t="shared" si="5"/>
        <v>1000</v>
      </c>
      <c r="U11" s="57">
        <f t="shared" si="5"/>
        <v>1000</v>
      </c>
      <c r="V11" s="57">
        <f t="shared" si="5"/>
        <v>1000</v>
      </c>
      <c r="W11" s="57">
        <f t="shared" si="5"/>
        <v>1000</v>
      </c>
      <c r="X11" s="57">
        <f t="shared" si="5"/>
        <v>1000</v>
      </c>
      <c r="Y11" s="57">
        <f t="shared" si="5"/>
        <v>1000</v>
      </c>
      <c r="Z11" s="57">
        <f t="shared" si="5"/>
        <v>1000</v>
      </c>
      <c r="AA11" s="57">
        <f t="shared" si="5"/>
        <v>1000</v>
      </c>
      <c r="AB11" s="57">
        <f t="shared" si="5"/>
        <v>1000</v>
      </c>
      <c r="AC11" s="57">
        <f t="shared" si="5"/>
        <v>1000</v>
      </c>
      <c r="AD11" s="57">
        <f t="shared" si="5"/>
        <v>1000</v>
      </c>
      <c r="AE11" s="57">
        <f t="shared" si="5"/>
        <v>1000</v>
      </c>
      <c r="AF11" s="57">
        <f t="shared" si="5"/>
        <v>1000</v>
      </c>
      <c r="AG11" s="57">
        <f t="shared" si="5"/>
        <v>1000</v>
      </c>
      <c r="AH11" s="57">
        <f t="shared" si="5"/>
        <v>1000</v>
      </c>
      <c r="AI11" s="57">
        <f t="shared" si="5"/>
        <v>1000</v>
      </c>
      <c r="AJ11" s="57">
        <f t="shared" si="5"/>
        <v>1000</v>
      </c>
      <c r="AK11" s="57">
        <f t="shared" si="5"/>
        <v>1000</v>
      </c>
      <c r="AL11" s="57">
        <f t="shared" si="5"/>
        <v>1000</v>
      </c>
      <c r="AM11" s="57">
        <f t="shared" si="5"/>
        <v>1000</v>
      </c>
      <c r="AN11" s="57">
        <f t="shared" si="5"/>
        <v>1000</v>
      </c>
      <c r="AO11" s="57">
        <f t="shared" si="5"/>
        <v>1000</v>
      </c>
      <c r="AP11" s="57">
        <f t="shared" si="5"/>
        <v>1000</v>
      </c>
      <c r="AQ11" s="57">
        <f t="shared" si="5"/>
        <v>1000</v>
      </c>
      <c r="AR11" s="57">
        <f t="shared" si="5"/>
        <v>1000</v>
      </c>
      <c r="AS11" s="57">
        <f t="shared" si="5"/>
        <v>1000</v>
      </c>
      <c r="AT11" s="57">
        <f t="shared" si="5"/>
        <v>1000</v>
      </c>
      <c r="AU11" s="57">
        <f t="shared" si="5"/>
        <v>1000</v>
      </c>
      <c r="AV11" s="57">
        <f t="shared" si="5"/>
        <v>1000</v>
      </c>
      <c r="AW11" s="57">
        <f t="shared" si="5"/>
        <v>1000</v>
      </c>
      <c r="AX11" s="57">
        <f t="shared" si="5"/>
        <v>1000</v>
      </c>
      <c r="AY11" s="57">
        <f t="shared" si="5"/>
        <v>1000</v>
      </c>
      <c r="AZ11" s="57">
        <f t="shared" si="5"/>
        <v>1000</v>
      </c>
      <c r="BA11" s="57">
        <f t="shared" si="5"/>
        <v>1000</v>
      </c>
      <c r="BB11" s="57">
        <f t="shared" si="5"/>
        <v>1000</v>
      </c>
      <c r="BC11" s="57">
        <f t="shared" si="5"/>
        <v>1000</v>
      </c>
      <c r="BD11" s="57">
        <f t="shared" si="5"/>
        <v>1000</v>
      </c>
      <c r="BE11" s="57">
        <f t="shared" si="5"/>
        <v>1000</v>
      </c>
      <c r="BF11" s="57">
        <f t="shared" si="5"/>
        <v>1000</v>
      </c>
      <c r="BG11" s="57">
        <f t="shared" si="5"/>
        <v>1000</v>
      </c>
      <c r="BH11" s="57">
        <f t="shared" si="5"/>
        <v>1000</v>
      </c>
      <c r="BI11" s="57">
        <f t="shared" si="5"/>
        <v>1000</v>
      </c>
      <c r="BJ11" s="57">
        <f t="shared" si="5"/>
        <v>1000</v>
      </c>
      <c r="BK11" s="57">
        <f t="shared" si="5"/>
        <v>1000</v>
      </c>
      <c r="BL11" s="57">
        <f t="shared" si="5"/>
        <v>1000</v>
      </c>
      <c r="BM11" s="57">
        <f t="shared" si="5"/>
        <v>1000</v>
      </c>
      <c r="BN11" s="57">
        <f t="shared" si="5"/>
        <v>1000</v>
      </c>
    </row>
    <row r="12" outlineLevel="1">
      <c r="A12" s="47"/>
      <c r="B12" s="58" t="s">
        <v>16</v>
      </c>
      <c r="C12" s="59"/>
      <c r="D12" s="60">
        <v>0.05</v>
      </c>
      <c r="E12" s="61"/>
      <c r="F12" s="61"/>
      <c r="G12" s="62">
        <f t="shared" si="6"/>
        <v>0.05</v>
      </c>
      <c r="H12" s="62">
        <f t="shared" ref="H12:BN12" si="7">G12</f>
        <v>0.05</v>
      </c>
      <c r="I12" s="62">
        <f t="shared" si="7"/>
        <v>0.05</v>
      </c>
      <c r="J12" s="62">
        <f t="shared" si="7"/>
        <v>0.05</v>
      </c>
      <c r="K12" s="62">
        <f t="shared" si="7"/>
        <v>0.05</v>
      </c>
      <c r="L12" s="62">
        <f t="shared" si="7"/>
        <v>0.05</v>
      </c>
      <c r="M12" s="62">
        <f t="shared" si="7"/>
        <v>0.05</v>
      </c>
      <c r="N12" s="62">
        <f t="shared" si="7"/>
        <v>0.05</v>
      </c>
      <c r="O12" s="62">
        <f t="shared" si="7"/>
        <v>0.05</v>
      </c>
      <c r="P12" s="62">
        <f t="shared" si="7"/>
        <v>0.05</v>
      </c>
      <c r="Q12" s="62">
        <f t="shared" si="7"/>
        <v>0.05</v>
      </c>
      <c r="R12" s="62">
        <f t="shared" si="7"/>
        <v>0.05</v>
      </c>
      <c r="S12" s="62">
        <f t="shared" si="7"/>
        <v>0.05</v>
      </c>
      <c r="T12" s="62">
        <f t="shared" si="7"/>
        <v>0.05</v>
      </c>
      <c r="U12" s="62">
        <f t="shared" si="7"/>
        <v>0.05</v>
      </c>
      <c r="V12" s="62">
        <f t="shared" si="7"/>
        <v>0.05</v>
      </c>
      <c r="W12" s="62">
        <f t="shared" si="7"/>
        <v>0.05</v>
      </c>
      <c r="X12" s="62">
        <f t="shared" si="7"/>
        <v>0.05</v>
      </c>
      <c r="Y12" s="62">
        <f t="shared" si="7"/>
        <v>0.05</v>
      </c>
      <c r="Z12" s="62">
        <f t="shared" si="7"/>
        <v>0.05</v>
      </c>
      <c r="AA12" s="62">
        <f t="shared" si="7"/>
        <v>0.05</v>
      </c>
      <c r="AB12" s="62">
        <f t="shared" si="7"/>
        <v>0.05</v>
      </c>
      <c r="AC12" s="62">
        <f t="shared" si="7"/>
        <v>0.05</v>
      </c>
      <c r="AD12" s="62">
        <f t="shared" si="7"/>
        <v>0.05</v>
      </c>
      <c r="AE12" s="62">
        <f t="shared" si="7"/>
        <v>0.05</v>
      </c>
      <c r="AF12" s="62">
        <f t="shared" si="7"/>
        <v>0.05</v>
      </c>
      <c r="AG12" s="62">
        <f t="shared" si="7"/>
        <v>0.05</v>
      </c>
      <c r="AH12" s="62">
        <f t="shared" si="7"/>
        <v>0.05</v>
      </c>
      <c r="AI12" s="62">
        <f t="shared" si="7"/>
        <v>0.05</v>
      </c>
      <c r="AJ12" s="62">
        <f t="shared" si="7"/>
        <v>0.05</v>
      </c>
      <c r="AK12" s="62">
        <f t="shared" si="7"/>
        <v>0.05</v>
      </c>
      <c r="AL12" s="62">
        <f t="shared" si="7"/>
        <v>0.05</v>
      </c>
      <c r="AM12" s="62">
        <f t="shared" si="7"/>
        <v>0.05</v>
      </c>
      <c r="AN12" s="62">
        <f t="shared" si="7"/>
        <v>0.05</v>
      </c>
      <c r="AO12" s="62">
        <f t="shared" si="7"/>
        <v>0.05</v>
      </c>
      <c r="AP12" s="62">
        <f t="shared" si="7"/>
        <v>0.05</v>
      </c>
      <c r="AQ12" s="62">
        <f t="shared" si="7"/>
        <v>0.05</v>
      </c>
      <c r="AR12" s="62">
        <f t="shared" si="7"/>
        <v>0.05</v>
      </c>
      <c r="AS12" s="62">
        <f t="shared" si="7"/>
        <v>0.05</v>
      </c>
      <c r="AT12" s="62">
        <f t="shared" si="7"/>
        <v>0.05</v>
      </c>
      <c r="AU12" s="62">
        <f t="shared" si="7"/>
        <v>0.05</v>
      </c>
      <c r="AV12" s="62">
        <f t="shared" si="7"/>
        <v>0.05</v>
      </c>
      <c r="AW12" s="62">
        <f t="shared" si="7"/>
        <v>0.05</v>
      </c>
      <c r="AX12" s="62">
        <f t="shared" si="7"/>
        <v>0.05</v>
      </c>
      <c r="AY12" s="62">
        <f t="shared" si="7"/>
        <v>0.05</v>
      </c>
      <c r="AZ12" s="62">
        <f t="shared" si="7"/>
        <v>0.05</v>
      </c>
      <c r="BA12" s="62">
        <f t="shared" si="7"/>
        <v>0.05</v>
      </c>
      <c r="BB12" s="62">
        <f t="shared" si="7"/>
        <v>0.05</v>
      </c>
      <c r="BC12" s="62">
        <f t="shared" si="7"/>
        <v>0.05</v>
      </c>
      <c r="BD12" s="62">
        <f t="shared" si="7"/>
        <v>0.05</v>
      </c>
      <c r="BE12" s="62">
        <f t="shared" si="7"/>
        <v>0.05</v>
      </c>
      <c r="BF12" s="62">
        <f t="shared" si="7"/>
        <v>0.05</v>
      </c>
      <c r="BG12" s="62">
        <f t="shared" si="7"/>
        <v>0.05</v>
      </c>
      <c r="BH12" s="62">
        <f t="shared" si="7"/>
        <v>0.05</v>
      </c>
      <c r="BI12" s="62">
        <f t="shared" si="7"/>
        <v>0.05</v>
      </c>
      <c r="BJ12" s="62">
        <f t="shared" si="7"/>
        <v>0.05</v>
      </c>
      <c r="BK12" s="62">
        <f t="shared" si="7"/>
        <v>0.05</v>
      </c>
      <c r="BL12" s="62">
        <f t="shared" si="7"/>
        <v>0.05</v>
      </c>
      <c r="BM12" s="62">
        <f t="shared" si="7"/>
        <v>0.05</v>
      </c>
      <c r="BN12" s="62">
        <f t="shared" si="7"/>
        <v>0.05</v>
      </c>
    </row>
    <row r="13" outlineLevel="1">
      <c r="A13" s="47"/>
      <c r="B13" s="54" t="s">
        <v>17</v>
      </c>
      <c r="C13" s="47"/>
      <c r="D13" s="63"/>
      <c r="E13" s="64"/>
      <c r="F13" s="64"/>
      <c r="G13" s="63">
        <f t="shared" ref="G13:BN13" si="8">G11*G12</f>
        <v>50</v>
      </c>
      <c r="H13" s="63">
        <f t="shared" si="8"/>
        <v>50</v>
      </c>
      <c r="I13" s="63">
        <f t="shared" si="8"/>
        <v>50</v>
      </c>
      <c r="J13" s="63">
        <f t="shared" si="8"/>
        <v>50</v>
      </c>
      <c r="K13" s="63">
        <f t="shared" si="8"/>
        <v>50</v>
      </c>
      <c r="L13" s="63">
        <f t="shared" si="8"/>
        <v>50</v>
      </c>
      <c r="M13" s="63">
        <f t="shared" si="8"/>
        <v>50</v>
      </c>
      <c r="N13" s="63">
        <f t="shared" si="8"/>
        <v>50</v>
      </c>
      <c r="O13" s="63">
        <f t="shared" si="8"/>
        <v>50</v>
      </c>
      <c r="P13" s="63">
        <f t="shared" si="8"/>
        <v>50</v>
      </c>
      <c r="Q13" s="63">
        <f t="shared" si="8"/>
        <v>50</v>
      </c>
      <c r="R13" s="63">
        <f t="shared" si="8"/>
        <v>50</v>
      </c>
      <c r="S13" s="63">
        <f t="shared" si="8"/>
        <v>50</v>
      </c>
      <c r="T13" s="63">
        <f t="shared" si="8"/>
        <v>50</v>
      </c>
      <c r="U13" s="63">
        <f t="shared" si="8"/>
        <v>50</v>
      </c>
      <c r="V13" s="63">
        <f t="shared" si="8"/>
        <v>50</v>
      </c>
      <c r="W13" s="63">
        <f t="shared" si="8"/>
        <v>50</v>
      </c>
      <c r="X13" s="63">
        <f t="shared" si="8"/>
        <v>50</v>
      </c>
      <c r="Y13" s="63">
        <f t="shared" si="8"/>
        <v>50</v>
      </c>
      <c r="Z13" s="63">
        <f t="shared" si="8"/>
        <v>50</v>
      </c>
      <c r="AA13" s="63">
        <f t="shared" si="8"/>
        <v>50</v>
      </c>
      <c r="AB13" s="63">
        <f t="shared" si="8"/>
        <v>50</v>
      </c>
      <c r="AC13" s="63">
        <f t="shared" si="8"/>
        <v>50</v>
      </c>
      <c r="AD13" s="63">
        <f t="shared" si="8"/>
        <v>50</v>
      </c>
      <c r="AE13" s="63">
        <f t="shared" si="8"/>
        <v>50</v>
      </c>
      <c r="AF13" s="63">
        <f t="shared" si="8"/>
        <v>50</v>
      </c>
      <c r="AG13" s="63">
        <f t="shared" si="8"/>
        <v>50</v>
      </c>
      <c r="AH13" s="63">
        <f t="shared" si="8"/>
        <v>50</v>
      </c>
      <c r="AI13" s="63">
        <f t="shared" si="8"/>
        <v>50</v>
      </c>
      <c r="AJ13" s="63">
        <f t="shared" si="8"/>
        <v>50</v>
      </c>
      <c r="AK13" s="63">
        <f t="shared" si="8"/>
        <v>50</v>
      </c>
      <c r="AL13" s="63">
        <f t="shared" si="8"/>
        <v>50</v>
      </c>
      <c r="AM13" s="63">
        <f t="shared" si="8"/>
        <v>50</v>
      </c>
      <c r="AN13" s="63">
        <f t="shared" si="8"/>
        <v>50</v>
      </c>
      <c r="AO13" s="63">
        <f t="shared" si="8"/>
        <v>50</v>
      </c>
      <c r="AP13" s="63">
        <f t="shared" si="8"/>
        <v>50</v>
      </c>
      <c r="AQ13" s="63">
        <f t="shared" si="8"/>
        <v>50</v>
      </c>
      <c r="AR13" s="63">
        <f t="shared" si="8"/>
        <v>50</v>
      </c>
      <c r="AS13" s="63">
        <f t="shared" si="8"/>
        <v>50</v>
      </c>
      <c r="AT13" s="63">
        <f t="shared" si="8"/>
        <v>50</v>
      </c>
      <c r="AU13" s="63">
        <f t="shared" si="8"/>
        <v>50</v>
      </c>
      <c r="AV13" s="63">
        <f t="shared" si="8"/>
        <v>50</v>
      </c>
      <c r="AW13" s="63">
        <f t="shared" si="8"/>
        <v>50</v>
      </c>
      <c r="AX13" s="63">
        <f t="shared" si="8"/>
        <v>50</v>
      </c>
      <c r="AY13" s="63">
        <f t="shared" si="8"/>
        <v>50</v>
      </c>
      <c r="AZ13" s="63">
        <f t="shared" si="8"/>
        <v>50</v>
      </c>
      <c r="BA13" s="63">
        <f t="shared" si="8"/>
        <v>50</v>
      </c>
      <c r="BB13" s="63">
        <f t="shared" si="8"/>
        <v>50</v>
      </c>
      <c r="BC13" s="63">
        <f t="shared" si="8"/>
        <v>50</v>
      </c>
      <c r="BD13" s="63">
        <f t="shared" si="8"/>
        <v>50</v>
      </c>
      <c r="BE13" s="63">
        <f t="shared" si="8"/>
        <v>50</v>
      </c>
      <c r="BF13" s="63">
        <f t="shared" si="8"/>
        <v>50</v>
      </c>
      <c r="BG13" s="63">
        <f t="shared" si="8"/>
        <v>50</v>
      </c>
      <c r="BH13" s="63">
        <f t="shared" si="8"/>
        <v>50</v>
      </c>
      <c r="BI13" s="63">
        <f t="shared" si="8"/>
        <v>50</v>
      </c>
      <c r="BJ13" s="63">
        <f t="shared" si="8"/>
        <v>50</v>
      </c>
      <c r="BK13" s="63">
        <f t="shared" si="8"/>
        <v>50</v>
      </c>
      <c r="BL13" s="63">
        <f t="shared" si="8"/>
        <v>50</v>
      </c>
      <c r="BM13" s="63">
        <f t="shared" si="8"/>
        <v>50</v>
      </c>
      <c r="BN13" s="63">
        <f t="shared" si="8"/>
        <v>50</v>
      </c>
    </row>
    <row r="14" outlineLevel="1">
      <c r="A14" s="47"/>
      <c r="B14" s="47"/>
      <c r="C14" s="47"/>
      <c r="D14" s="43"/>
      <c r="E14" s="47"/>
      <c r="F14" s="47"/>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row>
    <row r="15" outlineLevel="1">
      <c r="A15" s="47"/>
      <c r="B15" s="65" t="s">
        <v>18</v>
      </c>
      <c r="C15" s="47"/>
      <c r="D15" s="43"/>
      <c r="E15" s="47"/>
      <c r="F15" s="47"/>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row>
    <row r="16" outlineLevel="1">
      <c r="A16" s="66"/>
      <c r="B16" s="67" t="s">
        <v>19</v>
      </c>
      <c r="C16" s="66"/>
      <c r="D16" s="68">
        <v>5000.0</v>
      </c>
      <c r="E16" s="66"/>
      <c r="F16" s="66"/>
      <c r="G16" s="69">
        <f t="shared" ref="G16:G18" si="10">D16</f>
        <v>5000</v>
      </c>
      <c r="H16" s="69">
        <f t="shared" ref="H16:BN16" si="9">G16</f>
        <v>5000</v>
      </c>
      <c r="I16" s="70">
        <f t="shared" si="9"/>
        <v>5000</v>
      </c>
      <c r="J16" s="70">
        <f t="shared" si="9"/>
        <v>5000</v>
      </c>
      <c r="K16" s="70">
        <f t="shared" si="9"/>
        <v>5000</v>
      </c>
      <c r="L16" s="70">
        <f t="shared" si="9"/>
        <v>5000</v>
      </c>
      <c r="M16" s="70">
        <f t="shared" si="9"/>
        <v>5000</v>
      </c>
      <c r="N16" s="70">
        <f t="shared" si="9"/>
        <v>5000</v>
      </c>
      <c r="O16" s="70">
        <f t="shared" si="9"/>
        <v>5000</v>
      </c>
      <c r="P16" s="70">
        <f t="shared" si="9"/>
        <v>5000</v>
      </c>
      <c r="Q16" s="70">
        <f t="shared" si="9"/>
        <v>5000</v>
      </c>
      <c r="R16" s="70">
        <f t="shared" si="9"/>
        <v>5000</v>
      </c>
      <c r="S16" s="70">
        <f t="shared" si="9"/>
        <v>5000</v>
      </c>
      <c r="T16" s="70">
        <f t="shared" si="9"/>
        <v>5000</v>
      </c>
      <c r="U16" s="70">
        <f t="shared" si="9"/>
        <v>5000</v>
      </c>
      <c r="V16" s="70">
        <f t="shared" si="9"/>
        <v>5000</v>
      </c>
      <c r="W16" s="70">
        <f t="shared" si="9"/>
        <v>5000</v>
      </c>
      <c r="X16" s="70">
        <f t="shared" si="9"/>
        <v>5000</v>
      </c>
      <c r="Y16" s="70">
        <f t="shared" si="9"/>
        <v>5000</v>
      </c>
      <c r="Z16" s="70">
        <f t="shared" si="9"/>
        <v>5000</v>
      </c>
      <c r="AA16" s="70">
        <f t="shared" si="9"/>
        <v>5000</v>
      </c>
      <c r="AB16" s="70">
        <f t="shared" si="9"/>
        <v>5000</v>
      </c>
      <c r="AC16" s="70">
        <f t="shared" si="9"/>
        <v>5000</v>
      </c>
      <c r="AD16" s="70">
        <f t="shared" si="9"/>
        <v>5000</v>
      </c>
      <c r="AE16" s="70">
        <f t="shared" si="9"/>
        <v>5000</v>
      </c>
      <c r="AF16" s="70">
        <f t="shared" si="9"/>
        <v>5000</v>
      </c>
      <c r="AG16" s="70">
        <f t="shared" si="9"/>
        <v>5000</v>
      </c>
      <c r="AH16" s="70">
        <f t="shared" si="9"/>
        <v>5000</v>
      </c>
      <c r="AI16" s="70">
        <f t="shared" si="9"/>
        <v>5000</v>
      </c>
      <c r="AJ16" s="70">
        <f t="shared" si="9"/>
        <v>5000</v>
      </c>
      <c r="AK16" s="70">
        <f t="shared" si="9"/>
        <v>5000</v>
      </c>
      <c r="AL16" s="70">
        <f t="shared" si="9"/>
        <v>5000</v>
      </c>
      <c r="AM16" s="70">
        <f t="shared" si="9"/>
        <v>5000</v>
      </c>
      <c r="AN16" s="70">
        <f t="shared" si="9"/>
        <v>5000</v>
      </c>
      <c r="AO16" s="70">
        <f t="shared" si="9"/>
        <v>5000</v>
      </c>
      <c r="AP16" s="70">
        <f t="shared" si="9"/>
        <v>5000</v>
      </c>
      <c r="AQ16" s="70">
        <f t="shared" si="9"/>
        <v>5000</v>
      </c>
      <c r="AR16" s="70">
        <f t="shared" si="9"/>
        <v>5000</v>
      </c>
      <c r="AS16" s="70">
        <f t="shared" si="9"/>
        <v>5000</v>
      </c>
      <c r="AT16" s="70">
        <f t="shared" si="9"/>
        <v>5000</v>
      </c>
      <c r="AU16" s="70">
        <f t="shared" si="9"/>
        <v>5000</v>
      </c>
      <c r="AV16" s="70">
        <f t="shared" si="9"/>
        <v>5000</v>
      </c>
      <c r="AW16" s="70">
        <f t="shared" si="9"/>
        <v>5000</v>
      </c>
      <c r="AX16" s="70">
        <f t="shared" si="9"/>
        <v>5000</v>
      </c>
      <c r="AY16" s="70">
        <f t="shared" si="9"/>
        <v>5000</v>
      </c>
      <c r="AZ16" s="70">
        <f t="shared" si="9"/>
        <v>5000</v>
      </c>
      <c r="BA16" s="70">
        <f t="shared" si="9"/>
        <v>5000</v>
      </c>
      <c r="BB16" s="70">
        <f t="shared" si="9"/>
        <v>5000</v>
      </c>
      <c r="BC16" s="70">
        <f t="shared" si="9"/>
        <v>5000</v>
      </c>
      <c r="BD16" s="70">
        <f t="shared" si="9"/>
        <v>5000</v>
      </c>
      <c r="BE16" s="70">
        <f t="shared" si="9"/>
        <v>5000</v>
      </c>
      <c r="BF16" s="70">
        <f t="shared" si="9"/>
        <v>5000</v>
      </c>
      <c r="BG16" s="70">
        <f t="shared" si="9"/>
        <v>5000</v>
      </c>
      <c r="BH16" s="70">
        <f t="shared" si="9"/>
        <v>5000</v>
      </c>
      <c r="BI16" s="70">
        <f t="shared" si="9"/>
        <v>5000</v>
      </c>
      <c r="BJ16" s="70">
        <f t="shared" si="9"/>
        <v>5000</v>
      </c>
      <c r="BK16" s="70">
        <f t="shared" si="9"/>
        <v>5000</v>
      </c>
      <c r="BL16" s="70">
        <f t="shared" si="9"/>
        <v>5000</v>
      </c>
      <c r="BM16" s="70">
        <f t="shared" si="9"/>
        <v>5000</v>
      </c>
      <c r="BN16" s="70">
        <f t="shared" si="9"/>
        <v>5000</v>
      </c>
    </row>
    <row r="17" outlineLevel="1">
      <c r="A17" s="66"/>
      <c r="B17" s="67" t="s">
        <v>20</v>
      </c>
      <c r="C17" s="66"/>
      <c r="D17" s="68">
        <v>2.0</v>
      </c>
      <c r="E17" s="66"/>
      <c r="F17" s="66"/>
      <c r="G17" s="69">
        <f t="shared" si="10"/>
        <v>2</v>
      </c>
      <c r="H17" s="69">
        <f t="shared" ref="H17:BN17" si="11">G17</f>
        <v>2</v>
      </c>
      <c r="I17" s="70">
        <f t="shared" si="11"/>
        <v>2</v>
      </c>
      <c r="J17" s="70">
        <f t="shared" si="11"/>
        <v>2</v>
      </c>
      <c r="K17" s="70">
        <f t="shared" si="11"/>
        <v>2</v>
      </c>
      <c r="L17" s="70">
        <f t="shared" si="11"/>
        <v>2</v>
      </c>
      <c r="M17" s="70">
        <f t="shared" si="11"/>
        <v>2</v>
      </c>
      <c r="N17" s="70">
        <f t="shared" si="11"/>
        <v>2</v>
      </c>
      <c r="O17" s="70">
        <f t="shared" si="11"/>
        <v>2</v>
      </c>
      <c r="P17" s="70">
        <f t="shared" si="11"/>
        <v>2</v>
      </c>
      <c r="Q17" s="70">
        <f t="shared" si="11"/>
        <v>2</v>
      </c>
      <c r="R17" s="70">
        <f t="shared" si="11"/>
        <v>2</v>
      </c>
      <c r="S17" s="70">
        <f t="shared" si="11"/>
        <v>2</v>
      </c>
      <c r="T17" s="70">
        <f t="shared" si="11"/>
        <v>2</v>
      </c>
      <c r="U17" s="70">
        <f t="shared" si="11"/>
        <v>2</v>
      </c>
      <c r="V17" s="70">
        <f t="shared" si="11"/>
        <v>2</v>
      </c>
      <c r="W17" s="70">
        <f t="shared" si="11"/>
        <v>2</v>
      </c>
      <c r="X17" s="70">
        <f t="shared" si="11"/>
        <v>2</v>
      </c>
      <c r="Y17" s="70">
        <f t="shared" si="11"/>
        <v>2</v>
      </c>
      <c r="Z17" s="70">
        <f t="shared" si="11"/>
        <v>2</v>
      </c>
      <c r="AA17" s="70">
        <f t="shared" si="11"/>
        <v>2</v>
      </c>
      <c r="AB17" s="70">
        <f t="shared" si="11"/>
        <v>2</v>
      </c>
      <c r="AC17" s="70">
        <f t="shared" si="11"/>
        <v>2</v>
      </c>
      <c r="AD17" s="70">
        <f t="shared" si="11"/>
        <v>2</v>
      </c>
      <c r="AE17" s="70">
        <f t="shared" si="11"/>
        <v>2</v>
      </c>
      <c r="AF17" s="70">
        <f t="shared" si="11"/>
        <v>2</v>
      </c>
      <c r="AG17" s="70">
        <f t="shared" si="11"/>
        <v>2</v>
      </c>
      <c r="AH17" s="70">
        <f t="shared" si="11"/>
        <v>2</v>
      </c>
      <c r="AI17" s="70">
        <f t="shared" si="11"/>
        <v>2</v>
      </c>
      <c r="AJ17" s="70">
        <f t="shared" si="11"/>
        <v>2</v>
      </c>
      <c r="AK17" s="70">
        <f t="shared" si="11"/>
        <v>2</v>
      </c>
      <c r="AL17" s="70">
        <f t="shared" si="11"/>
        <v>2</v>
      </c>
      <c r="AM17" s="70">
        <f t="shared" si="11"/>
        <v>2</v>
      </c>
      <c r="AN17" s="70">
        <f t="shared" si="11"/>
        <v>2</v>
      </c>
      <c r="AO17" s="70">
        <f t="shared" si="11"/>
        <v>2</v>
      </c>
      <c r="AP17" s="70">
        <f t="shared" si="11"/>
        <v>2</v>
      </c>
      <c r="AQ17" s="70">
        <f t="shared" si="11"/>
        <v>2</v>
      </c>
      <c r="AR17" s="70">
        <f t="shared" si="11"/>
        <v>2</v>
      </c>
      <c r="AS17" s="70">
        <f t="shared" si="11"/>
        <v>2</v>
      </c>
      <c r="AT17" s="70">
        <f t="shared" si="11"/>
        <v>2</v>
      </c>
      <c r="AU17" s="70">
        <f t="shared" si="11"/>
        <v>2</v>
      </c>
      <c r="AV17" s="70">
        <f t="shared" si="11"/>
        <v>2</v>
      </c>
      <c r="AW17" s="70">
        <f t="shared" si="11"/>
        <v>2</v>
      </c>
      <c r="AX17" s="70">
        <f t="shared" si="11"/>
        <v>2</v>
      </c>
      <c r="AY17" s="70">
        <f t="shared" si="11"/>
        <v>2</v>
      </c>
      <c r="AZ17" s="70">
        <f t="shared" si="11"/>
        <v>2</v>
      </c>
      <c r="BA17" s="70">
        <f t="shared" si="11"/>
        <v>2</v>
      </c>
      <c r="BB17" s="70">
        <f t="shared" si="11"/>
        <v>2</v>
      </c>
      <c r="BC17" s="70">
        <f t="shared" si="11"/>
        <v>2</v>
      </c>
      <c r="BD17" s="70">
        <f t="shared" si="11"/>
        <v>2</v>
      </c>
      <c r="BE17" s="70">
        <f t="shared" si="11"/>
        <v>2</v>
      </c>
      <c r="BF17" s="70">
        <f t="shared" si="11"/>
        <v>2</v>
      </c>
      <c r="BG17" s="70">
        <f t="shared" si="11"/>
        <v>2</v>
      </c>
      <c r="BH17" s="70">
        <f t="shared" si="11"/>
        <v>2</v>
      </c>
      <c r="BI17" s="70">
        <f t="shared" si="11"/>
        <v>2</v>
      </c>
      <c r="BJ17" s="70">
        <f t="shared" si="11"/>
        <v>2</v>
      </c>
      <c r="BK17" s="70">
        <f t="shared" si="11"/>
        <v>2</v>
      </c>
      <c r="BL17" s="70">
        <f t="shared" si="11"/>
        <v>2</v>
      </c>
      <c r="BM17" s="70">
        <f t="shared" si="11"/>
        <v>2</v>
      </c>
      <c r="BN17" s="70">
        <f t="shared" si="11"/>
        <v>2</v>
      </c>
    </row>
    <row r="18" outlineLevel="1">
      <c r="A18" s="47"/>
      <c r="B18" s="71" t="s">
        <v>16</v>
      </c>
      <c r="C18" s="59"/>
      <c r="D18" s="72">
        <v>0.05</v>
      </c>
      <c r="E18" s="61"/>
      <c r="F18" s="61"/>
      <c r="G18" s="62">
        <f t="shared" si="10"/>
        <v>0.05</v>
      </c>
      <c r="H18" s="62">
        <f t="shared" ref="H18:BN18" si="12">G18</f>
        <v>0.05</v>
      </c>
      <c r="I18" s="62">
        <f t="shared" si="12"/>
        <v>0.05</v>
      </c>
      <c r="J18" s="62">
        <f t="shared" si="12"/>
        <v>0.05</v>
      </c>
      <c r="K18" s="62">
        <f t="shared" si="12"/>
        <v>0.05</v>
      </c>
      <c r="L18" s="62">
        <f t="shared" si="12"/>
        <v>0.05</v>
      </c>
      <c r="M18" s="62">
        <f t="shared" si="12"/>
        <v>0.05</v>
      </c>
      <c r="N18" s="62">
        <f t="shared" si="12"/>
        <v>0.05</v>
      </c>
      <c r="O18" s="62">
        <f t="shared" si="12"/>
        <v>0.05</v>
      </c>
      <c r="P18" s="62">
        <f t="shared" si="12"/>
        <v>0.05</v>
      </c>
      <c r="Q18" s="62">
        <f t="shared" si="12"/>
        <v>0.05</v>
      </c>
      <c r="R18" s="62">
        <f t="shared" si="12"/>
        <v>0.05</v>
      </c>
      <c r="S18" s="62">
        <f t="shared" si="12"/>
        <v>0.05</v>
      </c>
      <c r="T18" s="62">
        <f t="shared" si="12"/>
        <v>0.05</v>
      </c>
      <c r="U18" s="62">
        <f t="shared" si="12"/>
        <v>0.05</v>
      </c>
      <c r="V18" s="62">
        <f t="shared" si="12"/>
        <v>0.05</v>
      </c>
      <c r="W18" s="62">
        <f t="shared" si="12"/>
        <v>0.05</v>
      </c>
      <c r="X18" s="62">
        <f t="shared" si="12"/>
        <v>0.05</v>
      </c>
      <c r="Y18" s="62">
        <f t="shared" si="12"/>
        <v>0.05</v>
      </c>
      <c r="Z18" s="62">
        <f t="shared" si="12"/>
        <v>0.05</v>
      </c>
      <c r="AA18" s="62">
        <f t="shared" si="12"/>
        <v>0.05</v>
      </c>
      <c r="AB18" s="62">
        <f t="shared" si="12"/>
        <v>0.05</v>
      </c>
      <c r="AC18" s="62">
        <f t="shared" si="12"/>
        <v>0.05</v>
      </c>
      <c r="AD18" s="62">
        <f t="shared" si="12"/>
        <v>0.05</v>
      </c>
      <c r="AE18" s="62">
        <f t="shared" si="12"/>
        <v>0.05</v>
      </c>
      <c r="AF18" s="62">
        <f t="shared" si="12"/>
        <v>0.05</v>
      </c>
      <c r="AG18" s="62">
        <f t="shared" si="12"/>
        <v>0.05</v>
      </c>
      <c r="AH18" s="62">
        <f t="shared" si="12"/>
        <v>0.05</v>
      </c>
      <c r="AI18" s="62">
        <f t="shared" si="12"/>
        <v>0.05</v>
      </c>
      <c r="AJ18" s="62">
        <f t="shared" si="12"/>
        <v>0.05</v>
      </c>
      <c r="AK18" s="62">
        <f t="shared" si="12"/>
        <v>0.05</v>
      </c>
      <c r="AL18" s="62">
        <f t="shared" si="12"/>
        <v>0.05</v>
      </c>
      <c r="AM18" s="62">
        <f t="shared" si="12"/>
        <v>0.05</v>
      </c>
      <c r="AN18" s="62">
        <f t="shared" si="12"/>
        <v>0.05</v>
      </c>
      <c r="AO18" s="62">
        <f t="shared" si="12"/>
        <v>0.05</v>
      </c>
      <c r="AP18" s="62">
        <f t="shared" si="12"/>
        <v>0.05</v>
      </c>
      <c r="AQ18" s="62">
        <f t="shared" si="12"/>
        <v>0.05</v>
      </c>
      <c r="AR18" s="62">
        <f t="shared" si="12"/>
        <v>0.05</v>
      </c>
      <c r="AS18" s="62">
        <f t="shared" si="12"/>
        <v>0.05</v>
      </c>
      <c r="AT18" s="62">
        <f t="shared" si="12"/>
        <v>0.05</v>
      </c>
      <c r="AU18" s="62">
        <f t="shared" si="12"/>
        <v>0.05</v>
      </c>
      <c r="AV18" s="62">
        <f t="shared" si="12"/>
        <v>0.05</v>
      </c>
      <c r="AW18" s="62">
        <f t="shared" si="12"/>
        <v>0.05</v>
      </c>
      <c r="AX18" s="62">
        <f t="shared" si="12"/>
        <v>0.05</v>
      </c>
      <c r="AY18" s="62">
        <f t="shared" si="12"/>
        <v>0.05</v>
      </c>
      <c r="AZ18" s="62">
        <f t="shared" si="12"/>
        <v>0.05</v>
      </c>
      <c r="BA18" s="62">
        <f t="shared" si="12"/>
        <v>0.05</v>
      </c>
      <c r="BB18" s="62">
        <f t="shared" si="12"/>
        <v>0.05</v>
      </c>
      <c r="BC18" s="62">
        <f t="shared" si="12"/>
        <v>0.05</v>
      </c>
      <c r="BD18" s="62">
        <f t="shared" si="12"/>
        <v>0.05</v>
      </c>
      <c r="BE18" s="62">
        <f t="shared" si="12"/>
        <v>0.05</v>
      </c>
      <c r="BF18" s="62">
        <f t="shared" si="12"/>
        <v>0.05</v>
      </c>
      <c r="BG18" s="62">
        <f t="shared" si="12"/>
        <v>0.05</v>
      </c>
      <c r="BH18" s="62">
        <f t="shared" si="12"/>
        <v>0.05</v>
      </c>
      <c r="BI18" s="62">
        <f t="shared" si="12"/>
        <v>0.05</v>
      </c>
      <c r="BJ18" s="62">
        <f t="shared" si="12"/>
        <v>0.05</v>
      </c>
      <c r="BK18" s="62">
        <f t="shared" si="12"/>
        <v>0.05</v>
      </c>
      <c r="BL18" s="62">
        <f t="shared" si="12"/>
        <v>0.05</v>
      </c>
      <c r="BM18" s="62">
        <f t="shared" si="12"/>
        <v>0.05</v>
      </c>
      <c r="BN18" s="62">
        <f t="shared" si="12"/>
        <v>0.05</v>
      </c>
    </row>
    <row r="19" outlineLevel="1">
      <c r="A19" s="47"/>
      <c r="B19" s="73" t="s">
        <v>17</v>
      </c>
      <c r="C19" s="47"/>
      <c r="D19" s="74"/>
      <c r="E19" s="75"/>
      <c r="F19" s="75"/>
      <c r="G19" s="74">
        <f t="shared" ref="G19:BN19" si="13">(G16/G17)*G18</f>
        <v>125</v>
      </c>
      <c r="H19" s="74">
        <f t="shared" si="13"/>
        <v>125</v>
      </c>
      <c r="I19" s="74">
        <f t="shared" si="13"/>
        <v>125</v>
      </c>
      <c r="J19" s="74">
        <f t="shared" si="13"/>
        <v>125</v>
      </c>
      <c r="K19" s="74">
        <f t="shared" si="13"/>
        <v>125</v>
      </c>
      <c r="L19" s="74">
        <f t="shared" si="13"/>
        <v>125</v>
      </c>
      <c r="M19" s="74">
        <f t="shared" si="13"/>
        <v>125</v>
      </c>
      <c r="N19" s="74">
        <f t="shared" si="13"/>
        <v>125</v>
      </c>
      <c r="O19" s="74">
        <f t="shared" si="13"/>
        <v>125</v>
      </c>
      <c r="P19" s="74">
        <f t="shared" si="13"/>
        <v>125</v>
      </c>
      <c r="Q19" s="74">
        <f t="shared" si="13"/>
        <v>125</v>
      </c>
      <c r="R19" s="74">
        <f t="shared" si="13"/>
        <v>125</v>
      </c>
      <c r="S19" s="74">
        <f t="shared" si="13"/>
        <v>125</v>
      </c>
      <c r="T19" s="74">
        <f t="shared" si="13"/>
        <v>125</v>
      </c>
      <c r="U19" s="74">
        <f t="shared" si="13"/>
        <v>125</v>
      </c>
      <c r="V19" s="74">
        <f t="shared" si="13"/>
        <v>125</v>
      </c>
      <c r="W19" s="74">
        <f t="shared" si="13"/>
        <v>125</v>
      </c>
      <c r="X19" s="74">
        <f t="shared" si="13"/>
        <v>125</v>
      </c>
      <c r="Y19" s="74">
        <f t="shared" si="13"/>
        <v>125</v>
      </c>
      <c r="Z19" s="74">
        <f t="shared" si="13"/>
        <v>125</v>
      </c>
      <c r="AA19" s="74">
        <f t="shared" si="13"/>
        <v>125</v>
      </c>
      <c r="AB19" s="74">
        <f t="shared" si="13"/>
        <v>125</v>
      </c>
      <c r="AC19" s="74">
        <f t="shared" si="13"/>
        <v>125</v>
      </c>
      <c r="AD19" s="74">
        <f t="shared" si="13"/>
        <v>125</v>
      </c>
      <c r="AE19" s="74">
        <f t="shared" si="13"/>
        <v>125</v>
      </c>
      <c r="AF19" s="74">
        <f t="shared" si="13"/>
        <v>125</v>
      </c>
      <c r="AG19" s="74">
        <f t="shared" si="13"/>
        <v>125</v>
      </c>
      <c r="AH19" s="74">
        <f t="shared" si="13"/>
        <v>125</v>
      </c>
      <c r="AI19" s="74">
        <f t="shared" si="13"/>
        <v>125</v>
      </c>
      <c r="AJ19" s="74">
        <f t="shared" si="13"/>
        <v>125</v>
      </c>
      <c r="AK19" s="74">
        <f t="shared" si="13"/>
        <v>125</v>
      </c>
      <c r="AL19" s="74">
        <f t="shared" si="13"/>
        <v>125</v>
      </c>
      <c r="AM19" s="74">
        <f t="shared" si="13"/>
        <v>125</v>
      </c>
      <c r="AN19" s="74">
        <f t="shared" si="13"/>
        <v>125</v>
      </c>
      <c r="AO19" s="74">
        <f t="shared" si="13"/>
        <v>125</v>
      </c>
      <c r="AP19" s="74">
        <f t="shared" si="13"/>
        <v>125</v>
      </c>
      <c r="AQ19" s="74">
        <f t="shared" si="13"/>
        <v>125</v>
      </c>
      <c r="AR19" s="74">
        <f t="shared" si="13"/>
        <v>125</v>
      </c>
      <c r="AS19" s="74">
        <f t="shared" si="13"/>
        <v>125</v>
      </c>
      <c r="AT19" s="74">
        <f t="shared" si="13"/>
        <v>125</v>
      </c>
      <c r="AU19" s="74">
        <f t="shared" si="13"/>
        <v>125</v>
      </c>
      <c r="AV19" s="74">
        <f t="shared" si="13"/>
        <v>125</v>
      </c>
      <c r="AW19" s="74">
        <f t="shared" si="13"/>
        <v>125</v>
      </c>
      <c r="AX19" s="74">
        <f t="shared" si="13"/>
        <v>125</v>
      </c>
      <c r="AY19" s="74">
        <f t="shared" si="13"/>
        <v>125</v>
      </c>
      <c r="AZ19" s="74">
        <f t="shared" si="13"/>
        <v>125</v>
      </c>
      <c r="BA19" s="74">
        <f t="shared" si="13"/>
        <v>125</v>
      </c>
      <c r="BB19" s="74">
        <f t="shared" si="13"/>
        <v>125</v>
      </c>
      <c r="BC19" s="74">
        <f t="shared" si="13"/>
        <v>125</v>
      </c>
      <c r="BD19" s="74">
        <f t="shared" si="13"/>
        <v>125</v>
      </c>
      <c r="BE19" s="74">
        <f t="shared" si="13"/>
        <v>125</v>
      </c>
      <c r="BF19" s="74">
        <f t="shared" si="13"/>
        <v>125</v>
      </c>
      <c r="BG19" s="74">
        <f t="shared" si="13"/>
        <v>125</v>
      </c>
      <c r="BH19" s="74">
        <f t="shared" si="13"/>
        <v>125</v>
      </c>
      <c r="BI19" s="74">
        <f t="shared" si="13"/>
        <v>125</v>
      </c>
      <c r="BJ19" s="74">
        <f t="shared" si="13"/>
        <v>125</v>
      </c>
      <c r="BK19" s="74">
        <f t="shared" si="13"/>
        <v>125</v>
      </c>
      <c r="BL19" s="74">
        <f t="shared" si="13"/>
        <v>125</v>
      </c>
      <c r="BM19" s="74">
        <f t="shared" si="13"/>
        <v>125</v>
      </c>
      <c r="BN19" s="74">
        <f t="shared" si="13"/>
        <v>125</v>
      </c>
    </row>
    <row r="20" outlineLevel="1">
      <c r="A20" s="47"/>
      <c r="B20" s="47"/>
      <c r="C20" s="47"/>
      <c r="D20" s="43"/>
      <c r="E20" s="47"/>
      <c r="F20" s="47"/>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row>
    <row r="21" outlineLevel="1">
      <c r="A21" s="47"/>
      <c r="B21" s="65" t="s">
        <v>21</v>
      </c>
      <c r="C21" s="47"/>
      <c r="D21" s="43"/>
      <c r="E21" s="47"/>
      <c r="F21" s="47"/>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row>
    <row r="22" outlineLevel="1">
      <c r="A22" s="47"/>
      <c r="B22" s="39" t="s">
        <v>22</v>
      </c>
      <c r="C22" s="47"/>
      <c r="D22" s="76">
        <v>5.0</v>
      </c>
      <c r="E22" s="47"/>
      <c r="F22" s="47"/>
      <c r="G22" s="57">
        <f t="shared" ref="G22:G24" si="15">D22</f>
        <v>5</v>
      </c>
      <c r="H22" s="57">
        <f t="shared" ref="H22:BN22" si="14">G22</f>
        <v>5</v>
      </c>
      <c r="I22" s="57">
        <f t="shared" si="14"/>
        <v>5</v>
      </c>
      <c r="J22" s="57">
        <f t="shared" si="14"/>
        <v>5</v>
      </c>
      <c r="K22" s="57">
        <f t="shared" si="14"/>
        <v>5</v>
      </c>
      <c r="L22" s="57">
        <f t="shared" si="14"/>
        <v>5</v>
      </c>
      <c r="M22" s="57">
        <f t="shared" si="14"/>
        <v>5</v>
      </c>
      <c r="N22" s="57">
        <f t="shared" si="14"/>
        <v>5</v>
      </c>
      <c r="O22" s="57">
        <f t="shared" si="14"/>
        <v>5</v>
      </c>
      <c r="P22" s="57">
        <f t="shared" si="14"/>
        <v>5</v>
      </c>
      <c r="Q22" s="57">
        <f t="shared" si="14"/>
        <v>5</v>
      </c>
      <c r="R22" s="57">
        <f t="shared" si="14"/>
        <v>5</v>
      </c>
      <c r="S22" s="57">
        <f t="shared" si="14"/>
        <v>5</v>
      </c>
      <c r="T22" s="57">
        <f t="shared" si="14"/>
        <v>5</v>
      </c>
      <c r="U22" s="57">
        <f t="shared" si="14"/>
        <v>5</v>
      </c>
      <c r="V22" s="57">
        <f t="shared" si="14"/>
        <v>5</v>
      </c>
      <c r="W22" s="57">
        <f t="shared" si="14"/>
        <v>5</v>
      </c>
      <c r="X22" s="57">
        <f t="shared" si="14"/>
        <v>5</v>
      </c>
      <c r="Y22" s="57">
        <f t="shared" si="14"/>
        <v>5</v>
      </c>
      <c r="Z22" s="57">
        <f t="shared" si="14"/>
        <v>5</v>
      </c>
      <c r="AA22" s="57">
        <f t="shared" si="14"/>
        <v>5</v>
      </c>
      <c r="AB22" s="57">
        <f t="shared" si="14"/>
        <v>5</v>
      </c>
      <c r="AC22" s="57">
        <f t="shared" si="14"/>
        <v>5</v>
      </c>
      <c r="AD22" s="57">
        <f t="shared" si="14"/>
        <v>5</v>
      </c>
      <c r="AE22" s="57">
        <f t="shared" si="14"/>
        <v>5</v>
      </c>
      <c r="AF22" s="57">
        <f t="shared" si="14"/>
        <v>5</v>
      </c>
      <c r="AG22" s="57">
        <f t="shared" si="14"/>
        <v>5</v>
      </c>
      <c r="AH22" s="57">
        <f t="shared" si="14"/>
        <v>5</v>
      </c>
      <c r="AI22" s="57">
        <f t="shared" si="14"/>
        <v>5</v>
      </c>
      <c r="AJ22" s="57">
        <f t="shared" si="14"/>
        <v>5</v>
      </c>
      <c r="AK22" s="57">
        <f t="shared" si="14"/>
        <v>5</v>
      </c>
      <c r="AL22" s="57">
        <f t="shared" si="14"/>
        <v>5</v>
      </c>
      <c r="AM22" s="57">
        <f t="shared" si="14"/>
        <v>5</v>
      </c>
      <c r="AN22" s="57">
        <f t="shared" si="14"/>
        <v>5</v>
      </c>
      <c r="AO22" s="57">
        <f t="shared" si="14"/>
        <v>5</v>
      </c>
      <c r="AP22" s="57">
        <f t="shared" si="14"/>
        <v>5</v>
      </c>
      <c r="AQ22" s="57">
        <f t="shared" si="14"/>
        <v>5</v>
      </c>
      <c r="AR22" s="57">
        <f t="shared" si="14"/>
        <v>5</v>
      </c>
      <c r="AS22" s="57">
        <f t="shared" si="14"/>
        <v>5</v>
      </c>
      <c r="AT22" s="57">
        <f t="shared" si="14"/>
        <v>5</v>
      </c>
      <c r="AU22" s="57">
        <f t="shared" si="14"/>
        <v>5</v>
      </c>
      <c r="AV22" s="57">
        <f t="shared" si="14"/>
        <v>5</v>
      </c>
      <c r="AW22" s="57">
        <f t="shared" si="14"/>
        <v>5</v>
      </c>
      <c r="AX22" s="57">
        <f t="shared" si="14"/>
        <v>5</v>
      </c>
      <c r="AY22" s="57">
        <f t="shared" si="14"/>
        <v>5</v>
      </c>
      <c r="AZ22" s="57">
        <f t="shared" si="14"/>
        <v>5</v>
      </c>
      <c r="BA22" s="57">
        <f t="shared" si="14"/>
        <v>5</v>
      </c>
      <c r="BB22" s="57">
        <f t="shared" si="14"/>
        <v>5</v>
      </c>
      <c r="BC22" s="57">
        <f t="shared" si="14"/>
        <v>5</v>
      </c>
      <c r="BD22" s="57">
        <f t="shared" si="14"/>
        <v>5</v>
      </c>
      <c r="BE22" s="57">
        <f t="shared" si="14"/>
        <v>5</v>
      </c>
      <c r="BF22" s="57">
        <f t="shared" si="14"/>
        <v>5</v>
      </c>
      <c r="BG22" s="57">
        <f t="shared" si="14"/>
        <v>5</v>
      </c>
      <c r="BH22" s="57">
        <f t="shared" si="14"/>
        <v>5</v>
      </c>
      <c r="BI22" s="57">
        <f t="shared" si="14"/>
        <v>5</v>
      </c>
      <c r="BJ22" s="57">
        <f t="shared" si="14"/>
        <v>5</v>
      </c>
      <c r="BK22" s="57">
        <f t="shared" si="14"/>
        <v>5</v>
      </c>
      <c r="BL22" s="57">
        <f t="shared" si="14"/>
        <v>5</v>
      </c>
      <c r="BM22" s="57">
        <f t="shared" si="14"/>
        <v>5</v>
      </c>
      <c r="BN22" s="57">
        <f t="shared" si="14"/>
        <v>5</v>
      </c>
    </row>
    <row r="23" outlineLevel="1">
      <c r="A23" s="47"/>
      <c r="B23" s="39" t="s">
        <v>23</v>
      </c>
      <c r="C23" s="47"/>
      <c r="D23" s="77">
        <v>50.0</v>
      </c>
      <c r="E23" s="47"/>
      <c r="F23" s="47"/>
      <c r="G23" s="78">
        <f t="shared" si="15"/>
        <v>50</v>
      </c>
      <c r="H23" s="78">
        <f t="shared" ref="H23:BN23" si="16">G23</f>
        <v>50</v>
      </c>
      <c r="I23" s="78">
        <f t="shared" si="16"/>
        <v>50</v>
      </c>
      <c r="J23" s="78">
        <f t="shared" si="16"/>
        <v>50</v>
      </c>
      <c r="K23" s="78">
        <f t="shared" si="16"/>
        <v>50</v>
      </c>
      <c r="L23" s="78">
        <f t="shared" si="16"/>
        <v>50</v>
      </c>
      <c r="M23" s="78">
        <f t="shared" si="16"/>
        <v>50</v>
      </c>
      <c r="N23" s="78">
        <f t="shared" si="16"/>
        <v>50</v>
      </c>
      <c r="O23" s="78">
        <f t="shared" si="16"/>
        <v>50</v>
      </c>
      <c r="P23" s="78">
        <f t="shared" si="16"/>
        <v>50</v>
      </c>
      <c r="Q23" s="78">
        <f t="shared" si="16"/>
        <v>50</v>
      </c>
      <c r="R23" s="78">
        <f t="shared" si="16"/>
        <v>50</v>
      </c>
      <c r="S23" s="78">
        <f t="shared" si="16"/>
        <v>50</v>
      </c>
      <c r="T23" s="78">
        <f t="shared" si="16"/>
        <v>50</v>
      </c>
      <c r="U23" s="78">
        <f t="shared" si="16"/>
        <v>50</v>
      </c>
      <c r="V23" s="78">
        <f t="shared" si="16"/>
        <v>50</v>
      </c>
      <c r="W23" s="78">
        <f t="shared" si="16"/>
        <v>50</v>
      </c>
      <c r="X23" s="78">
        <f t="shared" si="16"/>
        <v>50</v>
      </c>
      <c r="Y23" s="78">
        <f t="shared" si="16"/>
        <v>50</v>
      </c>
      <c r="Z23" s="78">
        <f t="shared" si="16"/>
        <v>50</v>
      </c>
      <c r="AA23" s="78">
        <f t="shared" si="16"/>
        <v>50</v>
      </c>
      <c r="AB23" s="78">
        <f t="shared" si="16"/>
        <v>50</v>
      </c>
      <c r="AC23" s="78">
        <f t="shared" si="16"/>
        <v>50</v>
      </c>
      <c r="AD23" s="78">
        <f t="shared" si="16"/>
        <v>50</v>
      </c>
      <c r="AE23" s="78">
        <f t="shared" si="16"/>
        <v>50</v>
      </c>
      <c r="AF23" s="78">
        <f t="shared" si="16"/>
        <v>50</v>
      </c>
      <c r="AG23" s="78">
        <f t="shared" si="16"/>
        <v>50</v>
      </c>
      <c r="AH23" s="78">
        <f t="shared" si="16"/>
        <v>50</v>
      </c>
      <c r="AI23" s="78">
        <f t="shared" si="16"/>
        <v>50</v>
      </c>
      <c r="AJ23" s="78">
        <f t="shared" si="16"/>
        <v>50</v>
      </c>
      <c r="AK23" s="78">
        <f t="shared" si="16"/>
        <v>50</v>
      </c>
      <c r="AL23" s="78">
        <f t="shared" si="16"/>
        <v>50</v>
      </c>
      <c r="AM23" s="78">
        <f t="shared" si="16"/>
        <v>50</v>
      </c>
      <c r="AN23" s="78">
        <f t="shared" si="16"/>
        <v>50</v>
      </c>
      <c r="AO23" s="78">
        <f t="shared" si="16"/>
        <v>50</v>
      </c>
      <c r="AP23" s="78">
        <f t="shared" si="16"/>
        <v>50</v>
      </c>
      <c r="AQ23" s="78">
        <f t="shared" si="16"/>
        <v>50</v>
      </c>
      <c r="AR23" s="78">
        <f t="shared" si="16"/>
        <v>50</v>
      </c>
      <c r="AS23" s="78">
        <f t="shared" si="16"/>
        <v>50</v>
      </c>
      <c r="AT23" s="78">
        <f t="shared" si="16"/>
        <v>50</v>
      </c>
      <c r="AU23" s="78">
        <f t="shared" si="16"/>
        <v>50</v>
      </c>
      <c r="AV23" s="78">
        <f t="shared" si="16"/>
        <v>50</v>
      </c>
      <c r="AW23" s="78">
        <f t="shared" si="16"/>
        <v>50</v>
      </c>
      <c r="AX23" s="78">
        <f t="shared" si="16"/>
        <v>50</v>
      </c>
      <c r="AY23" s="78">
        <f t="shared" si="16"/>
        <v>50</v>
      </c>
      <c r="AZ23" s="78">
        <f t="shared" si="16"/>
        <v>50</v>
      </c>
      <c r="BA23" s="78">
        <f t="shared" si="16"/>
        <v>50</v>
      </c>
      <c r="BB23" s="78">
        <f t="shared" si="16"/>
        <v>50</v>
      </c>
      <c r="BC23" s="78">
        <f t="shared" si="16"/>
        <v>50</v>
      </c>
      <c r="BD23" s="78">
        <f t="shared" si="16"/>
        <v>50</v>
      </c>
      <c r="BE23" s="78">
        <f t="shared" si="16"/>
        <v>50</v>
      </c>
      <c r="BF23" s="78">
        <f t="shared" si="16"/>
        <v>50</v>
      </c>
      <c r="BG23" s="78">
        <f t="shared" si="16"/>
        <v>50</v>
      </c>
      <c r="BH23" s="78">
        <f t="shared" si="16"/>
        <v>50</v>
      </c>
      <c r="BI23" s="78">
        <f t="shared" si="16"/>
        <v>50</v>
      </c>
      <c r="BJ23" s="78">
        <f t="shared" si="16"/>
        <v>50</v>
      </c>
      <c r="BK23" s="78">
        <f t="shared" si="16"/>
        <v>50</v>
      </c>
      <c r="BL23" s="78">
        <f t="shared" si="16"/>
        <v>50</v>
      </c>
      <c r="BM23" s="78">
        <f t="shared" si="16"/>
        <v>50</v>
      </c>
      <c r="BN23" s="78">
        <f t="shared" si="16"/>
        <v>50</v>
      </c>
    </row>
    <row r="24" outlineLevel="1">
      <c r="A24" s="47"/>
      <c r="B24" s="71" t="s">
        <v>16</v>
      </c>
      <c r="C24" s="59"/>
      <c r="D24" s="72">
        <v>0.05</v>
      </c>
      <c r="E24" s="61"/>
      <c r="F24" s="61"/>
      <c r="G24" s="62">
        <f t="shared" si="15"/>
        <v>0.05</v>
      </c>
      <c r="H24" s="62">
        <f t="shared" ref="H24:BN24" si="17">G24</f>
        <v>0.05</v>
      </c>
      <c r="I24" s="62">
        <f t="shared" si="17"/>
        <v>0.05</v>
      </c>
      <c r="J24" s="62">
        <f t="shared" si="17"/>
        <v>0.05</v>
      </c>
      <c r="K24" s="62">
        <f t="shared" si="17"/>
        <v>0.05</v>
      </c>
      <c r="L24" s="62">
        <f t="shared" si="17"/>
        <v>0.05</v>
      </c>
      <c r="M24" s="62">
        <f t="shared" si="17"/>
        <v>0.05</v>
      </c>
      <c r="N24" s="62">
        <f t="shared" si="17"/>
        <v>0.05</v>
      </c>
      <c r="O24" s="62">
        <f t="shared" si="17"/>
        <v>0.05</v>
      </c>
      <c r="P24" s="62">
        <f t="shared" si="17"/>
        <v>0.05</v>
      </c>
      <c r="Q24" s="62">
        <f t="shared" si="17"/>
        <v>0.05</v>
      </c>
      <c r="R24" s="62">
        <f t="shared" si="17"/>
        <v>0.05</v>
      </c>
      <c r="S24" s="62">
        <f t="shared" si="17"/>
        <v>0.05</v>
      </c>
      <c r="T24" s="62">
        <f t="shared" si="17"/>
        <v>0.05</v>
      </c>
      <c r="U24" s="62">
        <f t="shared" si="17"/>
        <v>0.05</v>
      </c>
      <c r="V24" s="62">
        <f t="shared" si="17"/>
        <v>0.05</v>
      </c>
      <c r="W24" s="62">
        <f t="shared" si="17"/>
        <v>0.05</v>
      </c>
      <c r="X24" s="62">
        <f t="shared" si="17"/>
        <v>0.05</v>
      </c>
      <c r="Y24" s="62">
        <f t="shared" si="17"/>
        <v>0.05</v>
      </c>
      <c r="Z24" s="62">
        <f t="shared" si="17"/>
        <v>0.05</v>
      </c>
      <c r="AA24" s="62">
        <f t="shared" si="17"/>
        <v>0.05</v>
      </c>
      <c r="AB24" s="62">
        <f t="shared" si="17"/>
        <v>0.05</v>
      </c>
      <c r="AC24" s="62">
        <f t="shared" si="17"/>
        <v>0.05</v>
      </c>
      <c r="AD24" s="62">
        <f t="shared" si="17"/>
        <v>0.05</v>
      </c>
      <c r="AE24" s="62">
        <f t="shared" si="17"/>
        <v>0.05</v>
      </c>
      <c r="AF24" s="62">
        <f t="shared" si="17"/>
        <v>0.05</v>
      </c>
      <c r="AG24" s="62">
        <f t="shared" si="17"/>
        <v>0.05</v>
      </c>
      <c r="AH24" s="62">
        <f t="shared" si="17"/>
        <v>0.05</v>
      </c>
      <c r="AI24" s="62">
        <f t="shared" si="17"/>
        <v>0.05</v>
      </c>
      <c r="AJ24" s="62">
        <f t="shared" si="17"/>
        <v>0.05</v>
      </c>
      <c r="AK24" s="62">
        <f t="shared" si="17"/>
        <v>0.05</v>
      </c>
      <c r="AL24" s="62">
        <f t="shared" si="17"/>
        <v>0.05</v>
      </c>
      <c r="AM24" s="62">
        <f t="shared" si="17"/>
        <v>0.05</v>
      </c>
      <c r="AN24" s="62">
        <f t="shared" si="17"/>
        <v>0.05</v>
      </c>
      <c r="AO24" s="62">
        <f t="shared" si="17"/>
        <v>0.05</v>
      </c>
      <c r="AP24" s="62">
        <f t="shared" si="17"/>
        <v>0.05</v>
      </c>
      <c r="AQ24" s="62">
        <f t="shared" si="17"/>
        <v>0.05</v>
      </c>
      <c r="AR24" s="62">
        <f t="shared" si="17"/>
        <v>0.05</v>
      </c>
      <c r="AS24" s="62">
        <f t="shared" si="17"/>
        <v>0.05</v>
      </c>
      <c r="AT24" s="62">
        <f t="shared" si="17"/>
        <v>0.05</v>
      </c>
      <c r="AU24" s="62">
        <f t="shared" si="17"/>
        <v>0.05</v>
      </c>
      <c r="AV24" s="62">
        <f t="shared" si="17"/>
        <v>0.05</v>
      </c>
      <c r="AW24" s="62">
        <f t="shared" si="17"/>
        <v>0.05</v>
      </c>
      <c r="AX24" s="62">
        <f t="shared" si="17"/>
        <v>0.05</v>
      </c>
      <c r="AY24" s="62">
        <f t="shared" si="17"/>
        <v>0.05</v>
      </c>
      <c r="AZ24" s="62">
        <f t="shared" si="17"/>
        <v>0.05</v>
      </c>
      <c r="BA24" s="62">
        <f t="shared" si="17"/>
        <v>0.05</v>
      </c>
      <c r="BB24" s="62">
        <f t="shared" si="17"/>
        <v>0.05</v>
      </c>
      <c r="BC24" s="62">
        <f t="shared" si="17"/>
        <v>0.05</v>
      </c>
      <c r="BD24" s="62">
        <f t="shared" si="17"/>
        <v>0.05</v>
      </c>
      <c r="BE24" s="62">
        <f t="shared" si="17"/>
        <v>0.05</v>
      </c>
      <c r="BF24" s="62">
        <f t="shared" si="17"/>
        <v>0.05</v>
      </c>
      <c r="BG24" s="62">
        <f t="shared" si="17"/>
        <v>0.05</v>
      </c>
      <c r="BH24" s="62">
        <f t="shared" si="17"/>
        <v>0.05</v>
      </c>
      <c r="BI24" s="62">
        <f t="shared" si="17"/>
        <v>0.05</v>
      </c>
      <c r="BJ24" s="62">
        <f t="shared" si="17"/>
        <v>0.05</v>
      </c>
      <c r="BK24" s="62">
        <f t="shared" si="17"/>
        <v>0.05</v>
      </c>
      <c r="BL24" s="62">
        <f t="shared" si="17"/>
        <v>0.05</v>
      </c>
      <c r="BM24" s="62">
        <f t="shared" si="17"/>
        <v>0.05</v>
      </c>
      <c r="BN24" s="62">
        <f t="shared" si="17"/>
        <v>0.05</v>
      </c>
    </row>
    <row r="25" outlineLevel="1">
      <c r="A25" s="47"/>
      <c r="B25" s="73" t="s">
        <v>17</v>
      </c>
      <c r="C25" s="47"/>
      <c r="D25" s="63"/>
      <c r="E25" s="64"/>
      <c r="F25" s="64"/>
      <c r="G25" s="63">
        <f t="shared" ref="G25:BN25" si="18">G22*G23*G24</f>
        <v>12.5</v>
      </c>
      <c r="H25" s="63">
        <f t="shared" si="18"/>
        <v>12.5</v>
      </c>
      <c r="I25" s="63">
        <f t="shared" si="18"/>
        <v>12.5</v>
      </c>
      <c r="J25" s="63">
        <f t="shared" si="18"/>
        <v>12.5</v>
      </c>
      <c r="K25" s="63">
        <f t="shared" si="18"/>
        <v>12.5</v>
      </c>
      <c r="L25" s="63">
        <f t="shared" si="18"/>
        <v>12.5</v>
      </c>
      <c r="M25" s="63">
        <f t="shared" si="18"/>
        <v>12.5</v>
      </c>
      <c r="N25" s="63">
        <f t="shared" si="18"/>
        <v>12.5</v>
      </c>
      <c r="O25" s="63">
        <f t="shared" si="18"/>
        <v>12.5</v>
      </c>
      <c r="P25" s="63">
        <f t="shared" si="18"/>
        <v>12.5</v>
      </c>
      <c r="Q25" s="63">
        <f t="shared" si="18"/>
        <v>12.5</v>
      </c>
      <c r="R25" s="63">
        <f t="shared" si="18"/>
        <v>12.5</v>
      </c>
      <c r="S25" s="63">
        <f t="shared" si="18"/>
        <v>12.5</v>
      </c>
      <c r="T25" s="63">
        <f t="shared" si="18"/>
        <v>12.5</v>
      </c>
      <c r="U25" s="63">
        <f t="shared" si="18"/>
        <v>12.5</v>
      </c>
      <c r="V25" s="63">
        <f t="shared" si="18"/>
        <v>12.5</v>
      </c>
      <c r="W25" s="63">
        <f t="shared" si="18"/>
        <v>12.5</v>
      </c>
      <c r="X25" s="63">
        <f t="shared" si="18"/>
        <v>12.5</v>
      </c>
      <c r="Y25" s="63">
        <f t="shared" si="18"/>
        <v>12.5</v>
      </c>
      <c r="Z25" s="63">
        <f t="shared" si="18"/>
        <v>12.5</v>
      </c>
      <c r="AA25" s="63">
        <f t="shared" si="18"/>
        <v>12.5</v>
      </c>
      <c r="AB25" s="63">
        <f t="shared" si="18"/>
        <v>12.5</v>
      </c>
      <c r="AC25" s="63">
        <f t="shared" si="18"/>
        <v>12.5</v>
      </c>
      <c r="AD25" s="63">
        <f t="shared" si="18"/>
        <v>12.5</v>
      </c>
      <c r="AE25" s="63">
        <f t="shared" si="18"/>
        <v>12.5</v>
      </c>
      <c r="AF25" s="63">
        <f t="shared" si="18"/>
        <v>12.5</v>
      </c>
      <c r="AG25" s="63">
        <f t="shared" si="18"/>
        <v>12.5</v>
      </c>
      <c r="AH25" s="63">
        <f t="shared" si="18"/>
        <v>12.5</v>
      </c>
      <c r="AI25" s="63">
        <f t="shared" si="18"/>
        <v>12.5</v>
      </c>
      <c r="AJ25" s="63">
        <f t="shared" si="18"/>
        <v>12.5</v>
      </c>
      <c r="AK25" s="63">
        <f t="shared" si="18"/>
        <v>12.5</v>
      </c>
      <c r="AL25" s="63">
        <f t="shared" si="18"/>
        <v>12.5</v>
      </c>
      <c r="AM25" s="63">
        <f t="shared" si="18"/>
        <v>12.5</v>
      </c>
      <c r="AN25" s="63">
        <f t="shared" si="18"/>
        <v>12.5</v>
      </c>
      <c r="AO25" s="63">
        <f t="shared" si="18"/>
        <v>12.5</v>
      </c>
      <c r="AP25" s="63">
        <f t="shared" si="18"/>
        <v>12.5</v>
      </c>
      <c r="AQ25" s="63">
        <f t="shared" si="18"/>
        <v>12.5</v>
      </c>
      <c r="AR25" s="63">
        <f t="shared" si="18"/>
        <v>12.5</v>
      </c>
      <c r="AS25" s="63">
        <f t="shared" si="18"/>
        <v>12.5</v>
      </c>
      <c r="AT25" s="63">
        <f t="shared" si="18"/>
        <v>12.5</v>
      </c>
      <c r="AU25" s="63">
        <f t="shared" si="18"/>
        <v>12.5</v>
      </c>
      <c r="AV25" s="63">
        <f t="shared" si="18"/>
        <v>12.5</v>
      </c>
      <c r="AW25" s="63">
        <f t="shared" si="18"/>
        <v>12.5</v>
      </c>
      <c r="AX25" s="63">
        <f t="shared" si="18"/>
        <v>12.5</v>
      </c>
      <c r="AY25" s="63">
        <f t="shared" si="18"/>
        <v>12.5</v>
      </c>
      <c r="AZ25" s="63">
        <f t="shared" si="18"/>
        <v>12.5</v>
      </c>
      <c r="BA25" s="63">
        <f t="shared" si="18"/>
        <v>12.5</v>
      </c>
      <c r="BB25" s="63">
        <f t="shared" si="18"/>
        <v>12.5</v>
      </c>
      <c r="BC25" s="63">
        <f t="shared" si="18"/>
        <v>12.5</v>
      </c>
      <c r="BD25" s="63">
        <f t="shared" si="18"/>
        <v>12.5</v>
      </c>
      <c r="BE25" s="63">
        <f t="shared" si="18"/>
        <v>12.5</v>
      </c>
      <c r="BF25" s="63">
        <f t="shared" si="18"/>
        <v>12.5</v>
      </c>
      <c r="BG25" s="63">
        <f t="shared" si="18"/>
        <v>12.5</v>
      </c>
      <c r="BH25" s="63">
        <f t="shared" si="18"/>
        <v>12.5</v>
      </c>
      <c r="BI25" s="63">
        <f t="shared" si="18"/>
        <v>12.5</v>
      </c>
      <c r="BJ25" s="63">
        <f t="shared" si="18"/>
        <v>12.5</v>
      </c>
      <c r="BK25" s="63">
        <f t="shared" si="18"/>
        <v>12.5</v>
      </c>
      <c r="BL25" s="63">
        <f t="shared" si="18"/>
        <v>12.5</v>
      </c>
      <c r="BM25" s="63">
        <f t="shared" si="18"/>
        <v>12.5</v>
      </c>
      <c r="BN25" s="63">
        <f t="shared" si="18"/>
        <v>12.5</v>
      </c>
    </row>
    <row r="26" outlineLevel="1">
      <c r="A26" s="47"/>
      <c r="B26" s="65"/>
      <c r="C26" s="47"/>
      <c r="D26" s="43"/>
      <c r="E26" s="47"/>
      <c r="F26" s="47"/>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row>
    <row r="27" outlineLevel="1">
      <c r="A27" s="47"/>
      <c r="B27" s="65" t="s">
        <v>24</v>
      </c>
      <c r="C27" s="47"/>
      <c r="D27" s="43"/>
      <c r="E27" s="47"/>
      <c r="F27" s="47"/>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row>
    <row r="28" outlineLevel="1">
      <c r="A28" s="47"/>
      <c r="B28" s="39" t="s">
        <v>25</v>
      </c>
      <c r="C28" s="47"/>
      <c r="D28" s="76">
        <v>1.0</v>
      </c>
      <c r="E28" s="47"/>
      <c r="F28" s="47"/>
      <c r="G28" s="76">
        <v>1.0</v>
      </c>
      <c r="H28" s="76">
        <v>0.0</v>
      </c>
      <c r="I28" s="76">
        <v>0.0</v>
      </c>
      <c r="J28" s="76">
        <v>0.0</v>
      </c>
      <c r="K28" s="76">
        <v>0.0</v>
      </c>
      <c r="L28" s="76">
        <v>0.0</v>
      </c>
      <c r="M28" s="76">
        <v>0.0</v>
      </c>
      <c r="N28" s="76">
        <v>0.0</v>
      </c>
      <c r="O28" s="76">
        <v>0.0</v>
      </c>
      <c r="P28" s="76">
        <v>0.0</v>
      </c>
      <c r="Q28" s="76">
        <v>0.0</v>
      </c>
      <c r="R28" s="76">
        <v>0.0</v>
      </c>
      <c r="S28" s="76">
        <v>0.0</v>
      </c>
      <c r="T28" s="76">
        <v>0.0</v>
      </c>
      <c r="U28" s="76">
        <v>0.0</v>
      </c>
      <c r="V28" s="76">
        <v>0.0</v>
      </c>
      <c r="W28" s="76">
        <v>0.0</v>
      </c>
      <c r="X28" s="76">
        <v>0.0</v>
      </c>
      <c r="Y28" s="76">
        <v>0.0</v>
      </c>
      <c r="Z28" s="76">
        <v>0.0</v>
      </c>
      <c r="AA28" s="76">
        <v>0.0</v>
      </c>
      <c r="AB28" s="76">
        <v>0.0</v>
      </c>
      <c r="AC28" s="76">
        <v>0.0</v>
      </c>
      <c r="AD28" s="76">
        <v>0.0</v>
      </c>
      <c r="AE28" s="76">
        <v>0.0</v>
      </c>
      <c r="AF28" s="76">
        <v>0.0</v>
      </c>
      <c r="AG28" s="76">
        <v>0.0</v>
      </c>
      <c r="AH28" s="76">
        <v>0.0</v>
      </c>
      <c r="AI28" s="76">
        <v>0.0</v>
      </c>
      <c r="AJ28" s="76">
        <v>0.0</v>
      </c>
      <c r="AK28" s="76">
        <v>0.0</v>
      </c>
      <c r="AL28" s="76">
        <v>0.0</v>
      </c>
      <c r="AM28" s="76">
        <v>0.0</v>
      </c>
      <c r="AN28" s="76">
        <v>0.0</v>
      </c>
      <c r="AO28" s="76">
        <v>0.0</v>
      </c>
      <c r="AP28" s="76">
        <v>0.0</v>
      </c>
      <c r="AQ28" s="76">
        <v>0.0</v>
      </c>
      <c r="AR28" s="76">
        <v>0.0</v>
      </c>
      <c r="AS28" s="76">
        <v>0.0</v>
      </c>
      <c r="AT28" s="76">
        <v>0.0</v>
      </c>
      <c r="AU28" s="76">
        <v>0.0</v>
      </c>
      <c r="AV28" s="76">
        <v>0.0</v>
      </c>
      <c r="AW28" s="76">
        <v>0.0</v>
      </c>
      <c r="AX28" s="76">
        <v>0.0</v>
      </c>
      <c r="AY28" s="76">
        <v>0.0</v>
      </c>
      <c r="AZ28" s="76">
        <v>0.0</v>
      </c>
      <c r="BA28" s="76">
        <v>0.0</v>
      </c>
      <c r="BB28" s="76">
        <v>0.0</v>
      </c>
      <c r="BC28" s="76">
        <v>0.0</v>
      </c>
      <c r="BD28" s="76">
        <v>0.0</v>
      </c>
      <c r="BE28" s="76">
        <v>0.0</v>
      </c>
      <c r="BF28" s="76">
        <v>0.0</v>
      </c>
      <c r="BG28" s="76">
        <v>0.0</v>
      </c>
      <c r="BH28" s="76">
        <v>0.0</v>
      </c>
      <c r="BI28" s="76">
        <v>0.0</v>
      </c>
      <c r="BJ28" s="76">
        <v>0.0</v>
      </c>
      <c r="BK28" s="76">
        <v>0.0</v>
      </c>
      <c r="BL28" s="76">
        <v>0.0</v>
      </c>
      <c r="BM28" s="76">
        <v>0.0</v>
      </c>
      <c r="BN28" s="76">
        <v>0.0</v>
      </c>
    </row>
    <row r="29" outlineLevel="1">
      <c r="A29" s="47"/>
      <c r="B29" s="39" t="s">
        <v>26</v>
      </c>
      <c r="C29" s="47"/>
      <c r="D29" s="76">
        <v>10.0</v>
      </c>
      <c r="E29" s="47"/>
      <c r="F29" s="47"/>
      <c r="G29" s="79">
        <f t="shared" ref="G29:G30" si="20">D29</f>
        <v>10</v>
      </c>
      <c r="H29" s="79">
        <f t="shared" ref="H29:BN29" si="19">G29</f>
        <v>10</v>
      </c>
      <c r="I29" s="79">
        <f t="shared" si="19"/>
        <v>10</v>
      </c>
      <c r="J29" s="79">
        <f t="shared" si="19"/>
        <v>10</v>
      </c>
      <c r="K29" s="79">
        <f t="shared" si="19"/>
        <v>10</v>
      </c>
      <c r="L29" s="79">
        <f t="shared" si="19"/>
        <v>10</v>
      </c>
      <c r="M29" s="79">
        <f t="shared" si="19"/>
        <v>10</v>
      </c>
      <c r="N29" s="79">
        <f t="shared" si="19"/>
        <v>10</v>
      </c>
      <c r="O29" s="79">
        <f t="shared" si="19"/>
        <v>10</v>
      </c>
      <c r="P29" s="79">
        <f t="shared" si="19"/>
        <v>10</v>
      </c>
      <c r="Q29" s="79">
        <f t="shared" si="19"/>
        <v>10</v>
      </c>
      <c r="R29" s="79">
        <f t="shared" si="19"/>
        <v>10</v>
      </c>
      <c r="S29" s="79">
        <f t="shared" si="19"/>
        <v>10</v>
      </c>
      <c r="T29" s="79">
        <f t="shared" si="19"/>
        <v>10</v>
      </c>
      <c r="U29" s="79">
        <f t="shared" si="19"/>
        <v>10</v>
      </c>
      <c r="V29" s="79">
        <f t="shared" si="19"/>
        <v>10</v>
      </c>
      <c r="W29" s="79">
        <f t="shared" si="19"/>
        <v>10</v>
      </c>
      <c r="X29" s="79">
        <f t="shared" si="19"/>
        <v>10</v>
      </c>
      <c r="Y29" s="79">
        <f t="shared" si="19"/>
        <v>10</v>
      </c>
      <c r="Z29" s="79">
        <f t="shared" si="19"/>
        <v>10</v>
      </c>
      <c r="AA29" s="79">
        <f t="shared" si="19"/>
        <v>10</v>
      </c>
      <c r="AB29" s="79">
        <f t="shared" si="19"/>
        <v>10</v>
      </c>
      <c r="AC29" s="79">
        <f t="shared" si="19"/>
        <v>10</v>
      </c>
      <c r="AD29" s="79">
        <f t="shared" si="19"/>
        <v>10</v>
      </c>
      <c r="AE29" s="79">
        <f t="shared" si="19"/>
        <v>10</v>
      </c>
      <c r="AF29" s="79">
        <f t="shared" si="19"/>
        <v>10</v>
      </c>
      <c r="AG29" s="79">
        <f t="shared" si="19"/>
        <v>10</v>
      </c>
      <c r="AH29" s="79">
        <f t="shared" si="19"/>
        <v>10</v>
      </c>
      <c r="AI29" s="79">
        <f t="shared" si="19"/>
        <v>10</v>
      </c>
      <c r="AJ29" s="79">
        <f t="shared" si="19"/>
        <v>10</v>
      </c>
      <c r="AK29" s="79">
        <f t="shared" si="19"/>
        <v>10</v>
      </c>
      <c r="AL29" s="79">
        <f t="shared" si="19"/>
        <v>10</v>
      </c>
      <c r="AM29" s="79">
        <f t="shared" si="19"/>
        <v>10</v>
      </c>
      <c r="AN29" s="79">
        <f t="shared" si="19"/>
        <v>10</v>
      </c>
      <c r="AO29" s="79">
        <f t="shared" si="19"/>
        <v>10</v>
      </c>
      <c r="AP29" s="79">
        <f t="shared" si="19"/>
        <v>10</v>
      </c>
      <c r="AQ29" s="79">
        <f t="shared" si="19"/>
        <v>10</v>
      </c>
      <c r="AR29" s="79">
        <f t="shared" si="19"/>
        <v>10</v>
      </c>
      <c r="AS29" s="79">
        <f t="shared" si="19"/>
        <v>10</v>
      </c>
      <c r="AT29" s="79">
        <f t="shared" si="19"/>
        <v>10</v>
      </c>
      <c r="AU29" s="79">
        <f t="shared" si="19"/>
        <v>10</v>
      </c>
      <c r="AV29" s="79">
        <f t="shared" si="19"/>
        <v>10</v>
      </c>
      <c r="AW29" s="79">
        <f t="shared" si="19"/>
        <v>10</v>
      </c>
      <c r="AX29" s="79">
        <f t="shared" si="19"/>
        <v>10</v>
      </c>
      <c r="AY29" s="79">
        <f t="shared" si="19"/>
        <v>10</v>
      </c>
      <c r="AZ29" s="79">
        <f t="shared" si="19"/>
        <v>10</v>
      </c>
      <c r="BA29" s="79">
        <f t="shared" si="19"/>
        <v>10</v>
      </c>
      <c r="BB29" s="79">
        <f t="shared" si="19"/>
        <v>10</v>
      </c>
      <c r="BC29" s="79">
        <f t="shared" si="19"/>
        <v>10</v>
      </c>
      <c r="BD29" s="79">
        <f t="shared" si="19"/>
        <v>10</v>
      </c>
      <c r="BE29" s="79">
        <f t="shared" si="19"/>
        <v>10</v>
      </c>
      <c r="BF29" s="79">
        <f t="shared" si="19"/>
        <v>10</v>
      </c>
      <c r="BG29" s="79">
        <f t="shared" si="19"/>
        <v>10</v>
      </c>
      <c r="BH29" s="79">
        <f t="shared" si="19"/>
        <v>10</v>
      </c>
      <c r="BI29" s="79">
        <f t="shared" si="19"/>
        <v>10</v>
      </c>
      <c r="BJ29" s="79">
        <f t="shared" si="19"/>
        <v>10</v>
      </c>
      <c r="BK29" s="79">
        <f t="shared" si="19"/>
        <v>10</v>
      </c>
      <c r="BL29" s="79">
        <f t="shared" si="19"/>
        <v>10</v>
      </c>
      <c r="BM29" s="79">
        <f t="shared" si="19"/>
        <v>10</v>
      </c>
      <c r="BN29" s="79">
        <f t="shared" si="19"/>
        <v>10</v>
      </c>
    </row>
    <row r="30" outlineLevel="1">
      <c r="A30" s="47"/>
      <c r="B30" s="71" t="s">
        <v>16</v>
      </c>
      <c r="C30" s="59"/>
      <c r="D30" s="72">
        <v>0.05</v>
      </c>
      <c r="E30" s="61"/>
      <c r="F30" s="61"/>
      <c r="G30" s="62">
        <f t="shared" si="20"/>
        <v>0.05</v>
      </c>
      <c r="H30" s="62">
        <f t="shared" ref="H30:BN30" si="21">G30</f>
        <v>0.05</v>
      </c>
      <c r="I30" s="62">
        <f t="shared" si="21"/>
        <v>0.05</v>
      </c>
      <c r="J30" s="62">
        <f t="shared" si="21"/>
        <v>0.05</v>
      </c>
      <c r="K30" s="62">
        <f t="shared" si="21"/>
        <v>0.05</v>
      </c>
      <c r="L30" s="62">
        <f t="shared" si="21"/>
        <v>0.05</v>
      </c>
      <c r="M30" s="62">
        <f t="shared" si="21"/>
        <v>0.05</v>
      </c>
      <c r="N30" s="62">
        <f t="shared" si="21"/>
        <v>0.05</v>
      </c>
      <c r="O30" s="62">
        <f t="shared" si="21"/>
        <v>0.05</v>
      </c>
      <c r="P30" s="62">
        <f t="shared" si="21"/>
        <v>0.05</v>
      </c>
      <c r="Q30" s="62">
        <f t="shared" si="21"/>
        <v>0.05</v>
      </c>
      <c r="R30" s="62">
        <f t="shared" si="21"/>
        <v>0.05</v>
      </c>
      <c r="S30" s="62">
        <f t="shared" si="21"/>
        <v>0.05</v>
      </c>
      <c r="T30" s="62">
        <f t="shared" si="21"/>
        <v>0.05</v>
      </c>
      <c r="U30" s="62">
        <f t="shared" si="21"/>
        <v>0.05</v>
      </c>
      <c r="V30" s="62">
        <f t="shared" si="21"/>
        <v>0.05</v>
      </c>
      <c r="W30" s="62">
        <f t="shared" si="21"/>
        <v>0.05</v>
      </c>
      <c r="X30" s="62">
        <f t="shared" si="21"/>
        <v>0.05</v>
      </c>
      <c r="Y30" s="62">
        <f t="shared" si="21"/>
        <v>0.05</v>
      </c>
      <c r="Z30" s="62">
        <f t="shared" si="21"/>
        <v>0.05</v>
      </c>
      <c r="AA30" s="62">
        <f t="shared" si="21"/>
        <v>0.05</v>
      </c>
      <c r="AB30" s="62">
        <f t="shared" si="21"/>
        <v>0.05</v>
      </c>
      <c r="AC30" s="62">
        <f t="shared" si="21"/>
        <v>0.05</v>
      </c>
      <c r="AD30" s="62">
        <f t="shared" si="21"/>
        <v>0.05</v>
      </c>
      <c r="AE30" s="62">
        <f t="shared" si="21"/>
        <v>0.05</v>
      </c>
      <c r="AF30" s="62">
        <f t="shared" si="21"/>
        <v>0.05</v>
      </c>
      <c r="AG30" s="62">
        <f t="shared" si="21"/>
        <v>0.05</v>
      </c>
      <c r="AH30" s="62">
        <f t="shared" si="21"/>
        <v>0.05</v>
      </c>
      <c r="AI30" s="62">
        <f t="shared" si="21"/>
        <v>0.05</v>
      </c>
      <c r="AJ30" s="62">
        <f t="shared" si="21"/>
        <v>0.05</v>
      </c>
      <c r="AK30" s="62">
        <f t="shared" si="21"/>
        <v>0.05</v>
      </c>
      <c r="AL30" s="62">
        <f t="shared" si="21"/>
        <v>0.05</v>
      </c>
      <c r="AM30" s="62">
        <f t="shared" si="21"/>
        <v>0.05</v>
      </c>
      <c r="AN30" s="62">
        <f t="shared" si="21"/>
        <v>0.05</v>
      </c>
      <c r="AO30" s="62">
        <f t="shared" si="21"/>
        <v>0.05</v>
      </c>
      <c r="AP30" s="62">
        <f t="shared" si="21"/>
        <v>0.05</v>
      </c>
      <c r="AQ30" s="62">
        <f t="shared" si="21"/>
        <v>0.05</v>
      </c>
      <c r="AR30" s="62">
        <f t="shared" si="21"/>
        <v>0.05</v>
      </c>
      <c r="AS30" s="62">
        <f t="shared" si="21"/>
        <v>0.05</v>
      </c>
      <c r="AT30" s="62">
        <f t="shared" si="21"/>
        <v>0.05</v>
      </c>
      <c r="AU30" s="62">
        <f t="shared" si="21"/>
        <v>0.05</v>
      </c>
      <c r="AV30" s="62">
        <f t="shared" si="21"/>
        <v>0.05</v>
      </c>
      <c r="AW30" s="62">
        <f t="shared" si="21"/>
        <v>0.05</v>
      </c>
      <c r="AX30" s="62">
        <f t="shared" si="21"/>
        <v>0.05</v>
      </c>
      <c r="AY30" s="62">
        <f t="shared" si="21"/>
        <v>0.05</v>
      </c>
      <c r="AZ30" s="62">
        <f t="shared" si="21"/>
        <v>0.05</v>
      </c>
      <c r="BA30" s="62">
        <f t="shared" si="21"/>
        <v>0.05</v>
      </c>
      <c r="BB30" s="62">
        <f t="shared" si="21"/>
        <v>0.05</v>
      </c>
      <c r="BC30" s="62">
        <f t="shared" si="21"/>
        <v>0.05</v>
      </c>
      <c r="BD30" s="62">
        <f t="shared" si="21"/>
        <v>0.05</v>
      </c>
      <c r="BE30" s="62">
        <f t="shared" si="21"/>
        <v>0.05</v>
      </c>
      <c r="BF30" s="62">
        <f t="shared" si="21"/>
        <v>0.05</v>
      </c>
      <c r="BG30" s="62">
        <f t="shared" si="21"/>
        <v>0.05</v>
      </c>
      <c r="BH30" s="62">
        <f t="shared" si="21"/>
        <v>0.05</v>
      </c>
      <c r="BI30" s="62">
        <f t="shared" si="21"/>
        <v>0.05</v>
      </c>
      <c r="BJ30" s="62">
        <f t="shared" si="21"/>
        <v>0.05</v>
      </c>
      <c r="BK30" s="62">
        <f t="shared" si="21"/>
        <v>0.05</v>
      </c>
      <c r="BL30" s="62">
        <f t="shared" si="21"/>
        <v>0.05</v>
      </c>
      <c r="BM30" s="62">
        <f t="shared" si="21"/>
        <v>0.05</v>
      </c>
      <c r="BN30" s="62">
        <f t="shared" si="21"/>
        <v>0.05</v>
      </c>
    </row>
    <row r="31" outlineLevel="1">
      <c r="A31" s="47"/>
      <c r="B31" s="73" t="s">
        <v>17</v>
      </c>
      <c r="C31" s="47"/>
      <c r="D31" s="63"/>
      <c r="E31" s="64"/>
      <c r="F31" s="64"/>
      <c r="G31" s="63">
        <f t="shared" ref="G31:BN31" si="22">G28*G29*G30</f>
        <v>0.5</v>
      </c>
      <c r="H31" s="63">
        <f t="shared" si="22"/>
        <v>0</v>
      </c>
      <c r="I31" s="63">
        <f t="shared" si="22"/>
        <v>0</v>
      </c>
      <c r="J31" s="63">
        <f t="shared" si="22"/>
        <v>0</v>
      </c>
      <c r="K31" s="63">
        <f t="shared" si="22"/>
        <v>0</v>
      </c>
      <c r="L31" s="63">
        <f t="shared" si="22"/>
        <v>0</v>
      </c>
      <c r="M31" s="63">
        <f t="shared" si="22"/>
        <v>0</v>
      </c>
      <c r="N31" s="63">
        <f t="shared" si="22"/>
        <v>0</v>
      </c>
      <c r="O31" s="63">
        <f t="shared" si="22"/>
        <v>0</v>
      </c>
      <c r="P31" s="63">
        <f t="shared" si="22"/>
        <v>0</v>
      </c>
      <c r="Q31" s="63">
        <f t="shared" si="22"/>
        <v>0</v>
      </c>
      <c r="R31" s="63">
        <f t="shared" si="22"/>
        <v>0</v>
      </c>
      <c r="S31" s="63">
        <f t="shared" si="22"/>
        <v>0</v>
      </c>
      <c r="T31" s="63">
        <f t="shared" si="22"/>
        <v>0</v>
      </c>
      <c r="U31" s="63">
        <f t="shared" si="22"/>
        <v>0</v>
      </c>
      <c r="V31" s="63">
        <f t="shared" si="22"/>
        <v>0</v>
      </c>
      <c r="W31" s="63">
        <f t="shared" si="22"/>
        <v>0</v>
      </c>
      <c r="X31" s="63">
        <f t="shared" si="22"/>
        <v>0</v>
      </c>
      <c r="Y31" s="63">
        <f t="shared" si="22"/>
        <v>0</v>
      </c>
      <c r="Z31" s="63">
        <f t="shared" si="22"/>
        <v>0</v>
      </c>
      <c r="AA31" s="63">
        <f t="shared" si="22"/>
        <v>0</v>
      </c>
      <c r="AB31" s="63">
        <f t="shared" si="22"/>
        <v>0</v>
      </c>
      <c r="AC31" s="63">
        <f t="shared" si="22"/>
        <v>0</v>
      </c>
      <c r="AD31" s="63">
        <f t="shared" si="22"/>
        <v>0</v>
      </c>
      <c r="AE31" s="63">
        <f t="shared" si="22"/>
        <v>0</v>
      </c>
      <c r="AF31" s="63">
        <f t="shared" si="22"/>
        <v>0</v>
      </c>
      <c r="AG31" s="63">
        <f t="shared" si="22"/>
        <v>0</v>
      </c>
      <c r="AH31" s="63">
        <f t="shared" si="22"/>
        <v>0</v>
      </c>
      <c r="AI31" s="63">
        <f t="shared" si="22"/>
        <v>0</v>
      </c>
      <c r="AJ31" s="63">
        <f t="shared" si="22"/>
        <v>0</v>
      </c>
      <c r="AK31" s="63">
        <f t="shared" si="22"/>
        <v>0</v>
      </c>
      <c r="AL31" s="63">
        <f t="shared" si="22"/>
        <v>0</v>
      </c>
      <c r="AM31" s="63">
        <f t="shared" si="22"/>
        <v>0</v>
      </c>
      <c r="AN31" s="63">
        <f t="shared" si="22"/>
        <v>0</v>
      </c>
      <c r="AO31" s="63">
        <f t="shared" si="22"/>
        <v>0</v>
      </c>
      <c r="AP31" s="63">
        <f t="shared" si="22"/>
        <v>0</v>
      </c>
      <c r="AQ31" s="63">
        <f t="shared" si="22"/>
        <v>0</v>
      </c>
      <c r="AR31" s="63">
        <f t="shared" si="22"/>
        <v>0</v>
      </c>
      <c r="AS31" s="63">
        <f t="shared" si="22"/>
        <v>0</v>
      </c>
      <c r="AT31" s="63">
        <f t="shared" si="22"/>
        <v>0</v>
      </c>
      <c r="AU31" s="63">
        <f t="shared" si="22"/>
        <v>0</v>
      </c>
      <c r="AV31" s="63">
        <f t="shared" si="22"/>
        <v>0</v>
      </c>
      <c r="AW31" s="63">
        <f t="shared" si="22"/>
        <v>0</v>
      </c>
      <c r="AX31" s="63">
        <f t="shared" si="22"/>
        <v>0</v>
      </c>
      <c r="AY31" s="63">
        <f t="shared" si="22"/>
        <v>0</v>
      </c>
      <c r="AZ31" s="63">
        <f t="shared" si="22"/>
        <v>0</v>
      </c>
      <c r="BA31" s="63">
        <f t="shared" si="22"/>
        <v>0</v>
      </c>
      <c r="BB31" s="63">
        <f t="shared" si="22"/>
        <v>0</v>
      </c>
      <c r="BC31" s="63">
        <f t="shared" si="22"/>
        <v>0</v>
      </c>
      <c r="BD31" s="63">
        <f t="shared" si="22"/>
        <v>0</v>
      </c>
      <c r="BE31" s="63">
        <f t="shared" si="22"/>
        <v>0</v>
      </c>
      <c r="BF31" s="63">
        <f t="shared" si="22"/>
        <v>0</v>
      </c>
      <c r="BG31" s="63">
        <f t="shared" si="22"/>
        <v>0</v>
      </c>
      <c r="BH31" s="63">
        <f t="shared" si="22"/>
        <v>0</v>
      </c>
      <c r="BI31" s="63">
        <f t="shared" si="22"/>
        <v>0</v>
      </c>
      <c r="BJ31" s="63">
        <f t="shared" si="22"/>
        <v>0</v>
      </c>
      <c r="BK31" s="63">
        <f t="shared" si="22"/>
        <v>0</v>
      </c>
      <c r="BL31" s="63">
        <f t="shared" si="22"/>
        <v>0</v>
      </c>
      <c r="BM31" s="63">
        <f t="shared" si="22"/>
        <v>0</v>
      </c>
      <c r="BN31" s="63">
        <f t="shared" si="22"/>
        <v>0</v>
      </c>
    </row>
    <row r="32" outlineLevel="1">
      <c r="A32" s="47"/>
      <c r="B32" s="65"/>
      <c r="C32" s="47"/>
      <c r="D32" s="43"/>
      <c r="E32" s="47"/>
      <c r="F32" s="47"/>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row>
    <row r="33" outlineLevel="1">
      <c r="A33" s="80"/>
      <c r="B33" s="81" t="s">
        <v>27</v>
      </c>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c r="BL33" s="80"/>
      <c r="BM33" s="80"/>
      <c r="BN33" s="80"/>
    </row>
    <row r="34" outlineLevel="1">
      <c r="A34" s="80"/>
      <c r="B34" s="47" t="s">
        <v>28</v>
      </c>
      <c r="C34" s="80"/>
      <c r="D34" s="76">
        <v>2.0</v>
      </c>
      <c r="E34" s="80"/>
      <c r="F34" s="80"/>
      <c r="G34" s="57">
        <f t="shared" ref="G34:G37" si="24">D34</f>
        <v>2</v>
      </c>
      <c r="H34" s="57">
        <f t="shared" ref="H34:BN34" si="23">G34</f>
        <v>2</v>
      </c>
      <c r="I34" s="57">
        <f t="shared" si="23"/>
        <v>2</v>
      </c>
      <c r="J34" s="57">
        <f t="shared" si="23"/>
        <v>2</v>
      </c>
      <c r="K34" s="57">
        <f t="shared" si="23"/>
        <v>2</v>
      </c>
      <c r="L34" s="57">
        <f t="shared" si="23"/>
        <v>2</v>
      </c>
      <c r="M34" s="57">
        <f t="shared" si="23"/>
        <v>2</v>
      </c>
      <c r="N34" s="57">
        <f t="shared" si="23"/>
        <v>2</v>
      </c>
      <c r="O34" s="57">
        <f t="shared" si="23"/>
        <v>2</v>
      </c>
      <c r="P34" s="57">
        <f t="shared" si="23"/>
        <v>2</v>
      </c>
      <c r="Q34" s="57">
        <f t="shared" si="23"/>
        <v>2</v>
      </c>
      <c r="R34" s="57">
        <f t="shared" si="23"/>
        <v>2</v>
      </c>
      <c r="S34" s="57">
        <f t="shared" si="23"/>
        <v>2</v>
      </c>
      <c r="T34" s="57">
        <f t="shared" si="23"/>
        <v>2</v>
      </c>
      <c r="U34" s="57">
        <f t="shared" si="23"/>
        <v>2</v>
      </c>
      <c r="V34" s="57">
        <f t="shared" si="23"/>
        <v>2</v>
      </c>
      <c r="W34" s="57">
        <f t="shared" si="23"/>
        <v>2</v>
      </c>
      <c r="X34" s="57">
        <f t="shared" si="23"/>
        <v>2</v>
      </c>
      <c r="Y34" s="57">
        <f t="shared" si="23"/>
        <v>2</v>
      </c>
      <c r="Z34" s="57">
        <f t="shared" si="23"/>
        <v>2</v>
      </c>
      <c r="AA34" s="57">
        <f t="shared" si="23"/>
        <v>2</v>
      </c>
      <c r="AB34" s="57">
        <f t="shared" si="23"/>
        <v>2</v>
      </c>
      <c r="AC34" s="57">
        <f t="shared" si="23"/>
        <v>2</v>
      </c>
      <c r="AD34" s="57">
        <f t="shared" si="23"/>
        <v>2</v>
      </c>
      <c r="AE34" s="57">
        <f t="shared" si="23"/>
        <v>2</v>
      </c>
      <c r="AF34" s="57">
        <f t="shared" si="23"/>
        <v>2</v>
      </c>
      <c r="AG34" s="57">
        <f t="shared" si="23"/>
        <v>2</v>
      </c>
      <c r="AH34" s="57">
        <f t="shared" si="23"/>
        <v>2</v>
      </c>
      <c r="AI34" s="57">
        <f t="shared" si="23"/>
        <v>2</v>
      </c>
      <c r="AJ34" s="57">
        <f t="shared" si="23"/>
        <v>2</v>
      </c>
      <c r="AK34" s="57">
        <f t="shared" si="23"/>
        <v>2</v>
      </c>
      <c r="AL34" s="57">
        <f t="shared" si="23"/>
        <v>2</v>
      </c>
      <c r="AM34" s="57">
        <f t="shared" si="23"/>
        <v>2</v>
      </c>
      <c r="AN34" s="57">
        <f t="shared" si="23"/>
        <v>2</v>
      </c>
      <c r="AO34" s="57">
        <f t="shared" si="23"/>
        <v>2</v>
      </c>
      <c r="AP34" s="57">
        <f t="shared" si="23"/>
        <v>2</v>
      </c>
      <c r="AQ34" s="57">
        <f t="shared" si="23"/>
        <v>2</v>
      </c>
      <c r="AR34" s="57">
        <f t="shared" si="23"/>
        <v>2</v>
      </c>
      <c r="AS34" s="57">
        <f t="shared" si="23"/>
        <v>2</v>
      </c>
      <c r="AT34" s="57">
        <f t="shared" si="23"/>
        <v>2</v>
      </c>
      <c r="AU34" s="57">
        <f t="shared" si="23"/>
        <v>2</v>
      </c>
      <c r="AV34" s="57">
        <f t="shared" si="23"/>
        <v>2</v>
      </c>
      <c r="AW34" s="57">
        <f t="shared" si="23"/>
        <v>2</v>
      </c>
      <c r="AX34" s="57">
        <f t="shared" si="23"/>
        <v>2</v>
      </c>
      <c r="AY34" s="57">
        <f t="shared" si="23"/>
        <v>2</v>
      </c>
      <c r="AZ34" s="57">
        <f t="shared" si="23"/>
        <v>2</v>
      </c>
      <c r="BA34" s="57">
        <f t="shared" si="23"/>
        <v>2</v>
      </c>
      <c r="BB34" s="57">
        <f t="shared" si="23"/>
        <v>2</v>
      </c>
      <c r="BC34" s="57">
        <f t="shared" si="23"/>
        <v>2</v>
      </c>
      <c r="BD34" s="57">
        <f t="shared" si="23"/>
        <v>2</v>
      </c>
      <c r="BE34" s="57">
        <f t="shared" si="23"/>
        <v>2</v>
      </c>
      <c r="BF34" s="57">
        <f t="shared" si="23"/>
        <v>2</v>
      </c>
      <c r="BG34" s="57">
        <f t="shared" si="23"/>
        <v>2</v>
      </c>
      <c r="BH34" s="57">
        <f t="shared" si="23"/>
        <v>2</v>
      </c>
      <c r="BI34" s="57">
        <f t="shared" si="23"/>
        <v>2</v>
      </c>
      <c r="BJ34" s="57">
        <f t="shared" si="23"/>
        <v>2</v>
      </c>
      <c r="BK34" s="57">
        <f t="shared" si="23"/>
        <v>2</v>
      </c>
      <c r="BL34" s="57">
        <f t="shared" si="23"/>
        <v>2</v>
      </c>
      <c r="BM34" s="57">
        <f t="shared" si="23"/>
        <v>2</v>
      </c>
      <c r="BN34" s="57">
        <f t="shared" si="23"/>
        <v>2</v>
      </c>
    </row>
    <row r="35" outlineLevel="1">
      <c r="A35" s="80"/>
      <c r="B35" s="47" t="s">
        <v>29</v>
      </c>
      <c r="C35" s="80"/>
      <c r="D35" s="76">
        <v>100.0</v>
      </c>
      <c r="E35" s="80"/>
      <c r="F35" s="80"/>
      <c r="G35" s="57">
        <f t="shared" si="24"/>
        <v>100</v>
      </c>
      <c r="H35" s="57">
        <f t="shared" ref="H35:BN35" si="25">G35</f>
        <v>100</v>
      </c>
      <c r="I35" s="57">
        <f t="shared" si="25"/>
        <v>100</v>
      </c>
      <c r="J35" s="57">
        <f t="shared" si="25"/>
        <v>100</v>
      </c>
      <c r="K35" s="57">
        <f t="shared" si="25"/>
        <v>100</v>
      </c>
      <c r="L35" s="57">
        <f t="shared" si="25"/>
        <v>100</v>
      </c>
      <c r="M35" s="57">
        <f t="shared" si="25"/>
        <v>100</v>
      </c>
      <c r="N35" s="57">
        <f t="shared" si="25"/>
        <v>100</v>
      </c>
      <c r="O35" s="57">
        <f t="shared" si="25"/>
        <v>100</v>
      </c>
      <c r="P35" s="57">
        <f t="shared" si="25"/>
        <v>100</v>
      </c>
      <c r="Q35" s="57">
        <f t="shared" si="25"/>
        <v>100</v>
      </c>
      <c r="R35" s="57">
        <f t="shared" si="25"/>
        <v>100</v>
      </c>
      <c r="S35" s="57">
        <f t="shared" si="25"/>
        <v>100</v>
      </c>
      <c r="T35" s="57">
        <f t="shared" si="25"/>
        <v>100</v>
      </c>
      <c r="U35" s="57">
        <f t="shared" si="25"/>
        <v>100</v>
      </c>
      <c r="V35" s="57">
        <f t="shared" si="25"/>
        <v>100</v>
      </c>
      <c r="W35" s="57">
        <f t="shared" si="25"/>
        <v>100</v>
      </c>
      <c r="X35" s="57">
        <f t="shared" si="25"/>
        <v>100</v>
      </c>
      <c r="Y35" s="57">
        <f t="shared" si="25"/>
        <v>100</v>
      </c>
      <c r="Z35" s="57">
        <f t="shared" si="25"/>
        <v>100</v>
      </c>
      <c r="AA35" s="57">
        <f t="shared" si="25"/>
        <v>100</v>
      </c>
      <c r="AB35" s="57">
        <f t="shared" si="25"/>
        <v>100</v>
      </c>
      <c r="AC35" s="57">
        <f t="shared" si="25"/>
        <v>100</v>
      </c>
      <c r="AD35" s="57">
        <f t="shared" si="25"/>
        <v>100</v>
      </c>
      <c r="AE35" s="57">
        <f t="shared" si="25"/>
        <v>100</v>
      </c>
      <c r="AF35" s="57">
        <f t="shared" si="25"/>
        <v>100</v>
      </c>
      <c r="AG35" s="57">
        <f t="shared" si="25"/>
        <v>100</v>
      </c>
      <c r="AH35" s="57">
        <f t="shared" si="25"/>
        <v>100</v>
      </c>
      <c r="AI35" s="57">
        <f t="shared" si="25"/>
        <v>100</v>
      </c>
      <c r="AJ35" s="57">
        <f t="shared" si="25"/>
        <v>100</v>
      </c>
      <c r="AK35" s="57">
        <f t="shared" si="25"/>
        <v>100</v>
      </c>
      <c r="AL35" s="57">
        <f t="shared" si="25"/>
        <v>100</v>
      </c>
      <c r="AM35" s="57">
        <f t="shared" si="25"/>
        <v>100</v>
      </c>
      <c r="AN35" s="57">
        <f t="shared" si="25"/>
        <v>100</v>
      </c>
      <c r="AO35" s="57">
        <f t="shared" si="25"/>
        <v>100</v>
      </c>
      <c r="AP35" s="57">
        <f t="shared" si="25"/>
        <v>100</v>
      </c>
      <c r="AQ35" s="57">
        <f t="shared" si="25"/>
        <v>100</v>
      </c>
      <c r="AR35" s="57">
        <f t="shared" si="25"/>
        <v>100</v>
      </c>
      <c r="AS35" s="57">
        <f t="shared" si="25"/>
        <v>100</v>
      </c>
      <c r="AT35" s="57">
        <f t="shared" si="25"/>
        <v>100</v>
      </c>
      <c r="AU35" s="57">
        <f t="shared" si="25"/>
        <v>100</v>
      </c>
      <c r="AV35" s="57">
        <f t="shared" si="25"/>
        <v>100</v>
      </c>
      <c r="AW35" s="57">
        <f t="shared" si="25"/>
        <v>100</v>
      </c>
      <c r="AX35" s="57">
        <f t="shared" si="25"/>
        <v>100</v>
      </c>
      <c r="AY35" s="57">
        <f t="shared" si="25"/>
        <v>100</v>
      </c>
      <c r="AZ35" s="57">
        <f t="shared" si="25"/>
        <v>100</v>
      </c>
      <c r="BA35" s="57">
        <f t="shared" si="25"/>
        <v>100</v>
      </c>
      <c r="BB35" s="57">
        <f t="shared" si="25"/>
        <v>100</v>
      </c>
      <c r="BC35" s="57">
        <f t="shared" si="25"/>
        <v>100</v>
      </c>
      <c r="BD35" s="57">
        <f t="shared" si="25"/>
        <v>100</v>
      </c>
      <c r="BE35" s="57">
        <f t="shared" si="25"/>
        <v>100</v>
      </c>
      <c r="BF35" s="57">
        <f t="shared" si="25"/>
        <v>100</v>
      </c>
      <c r="BG35" s="57">
        <f t="shared" si="25"/>
        <v>100</v>
      </c>
      <c r="BH35" s="57">
        <f t="shared" si="25"/>
        <v>100</v>
      </c>
      <c r="BI35" s="57">
        <f t="shared" si="25"/>
        <v>100</v>
      </c>
      <c r="BJ35" s="57">
        <f t="shared" si="25"/>
        <v>100</v>
      </c>
      <c r="BK35" s="57">
        <f t="shared" si="25"/>
        <v>100</v>
      </c>
      <c r="BL35" s="57">
        <f t="shared" si="25"/>
        <v>100</v>
      </c>
      <c r="BM35" s="57">
        <f t="shared" si="25"/>
        <v>100</v>
      </c>
      <c r="BN35" s="57">
        <f t="shared" si="25"/>
        <v>100</v>
      </c>
    </row>
    <row r="36" outlineLevel="1">
      <c r="A36" s="80"/>
      <c r="B36" s="47" t="s">
        <v>30</v>
      </c>
      <c r="C36" s="80"/>
      <c r="D36" s="76">
        <v>5.0</v>
      </c>
      <c r="E36" s="80"/>
      <c r="F36" s="80"/>
      <c r="G36" s="57">
        <f t="shared" si="24"/>
        <v>5</v>
      </c>
      <c r="H36" s="57">
        <f t="shared" ref="H36:BN36" si="26">G36</f>
        <v>5</v>
      </c>
      <c r="I36" s="57">
        <f t="shared" si="26"/>
        <v>5</v>
      </c>
      <c r="J36" s="57">
        <f t="shared" si="26"/>
        <v>5</v>
      </c>
      <c r="K36" s="57">
        <f t="shared" si="26"/>
        <v>5</v>
      </c>
      <c r="L36" s="57">
        <f t="shared" si="26"/>
        <v>5</v>
      </c>
      <c r="M36" s="57">
        <f t="shared" si="26"/>
        <v>5</v>
      </c>
      <c r="N36" s="57">
        <f t="shared" si="26"/>
        <v>5</v>
      </c>
      <c r="O36" s="57">
        <f t="shared" si="26"/>
        <v>5</v>
      </c>
      <c r="P36" s="57">
        <f t="shared" si="26"/>
        <v>5</v>
      </c>
      <c r="Q36" s="57">
        <f t="shared" si="26"/>
        <v>5</v>
      </c>
      <c r="R36" s="57">
        <f t="shared" si="26"/>
        <v>5</v>
      </c>
      <c r="S36" s="57">
        <f t="shared" si="26"/>
        <v>5</v>
      </c>
      <c r="T36" s="57">
        <f t="shared" si="26"/>
        <v>5</v>
      </c>
      <c r="U36" s="57">
        <f t="shared" si="26"/>
        <v>5</v>
      </c>
      <c r="V36" s="57">
        <f t="shared" si="26"/>
        <v>5</v>
      </c>
      <c r="W36" s="57">
        <f t="shared" si="26"/>
        <v>5</v>
      </c>
      <c r="X36" s="57">
        <f t="shared" si="26"/>
        <v>5</v>
      </c>
      <c r="Y36" s="57">
        <f t="shared" si="26"/>
        <v>5</v>
      </c>
      <c r="Z36" s="57">
        <f t="shared" si="26"/>
        <v>5</v>
      </c>
      <c r="AA36" s="57">
        <f t="shared" si="26"/>
        <v>5</v>
      </c>
      <c r="AB36" s="57">
        <f t="shared" si="26"/>
        <v>5</v>
      </c>
      <c r="AC36" s="57">
        <f t="shared" si="26"/>
        <v>5</v>
      </c>
      <c r="AD36" s="57">
        <f t="shared" si="26"/>
        <v>5</v>
      </c>
      <c r="AE36" s="57">
        <f t="shared" si="26"/>
        <v>5</v>
      </c>
      <c r="AF36" s="57">
        <f t="shared" si="26"/>
        <v>5</v>
      </c>
      <c r="AG36" s="57">
        <f t="shared" si="26"/>
        <v>5</v>
      </c>
      <c r="AH36" s="57">
        <f t="shared" si="26"/>
        <v>5</v>
      </c>
      <c r="AI36" s="57">
        <f t="shared" si="26"/>
        <v>5</v>
      </c>
      <c r="AJ36" s="57">
        <f t="shared" si="26"/>
        <v>5</v>
      </c>
      <c r="AK36" s="57">
        <f t="shared" si="26"/>
        <v>5</v>
      </c>
      <c r="AL36" s="57">
        <f t="shared" si="26"/>
        <v>5</v>
      </c>
      <c r="AM36" s="57">
        <f t="shared" si="26"/>
        <v>5</v>
      </c>
      <c r="AN36" s="57">
        <f t="shared" si="26"/>
        <v>5</v>
      </c>
      <c r="AO36" s="57">
        <f t="shared" si="26"/>
        <v>5</v>
      </c>
      <c r="AP36" s="57">
        <f t="shared" si="26"/>
        <v>5</v>
      </c>
      <c r="AQ36" s="57">
        <f t="shared" si="26"/>
        <v>5</v>
      </c>
      <c r="AR36" s="57">
        <f t="shared" si="26"/>
        <v>5</v>
      </c>
      <c r="AS36" s="57">
        <f t="shared" si="26"/>
        <v>5</v>
      </c>
      <c r="AT36" s="57">
        <f t="shared" si="26"/>
        <v>5</v>
      </c>
      <c r="AU36" s="57">
        <f t="shared" si="26"/>
        <v>5</v>
      </c>
      <c r="AV36" s="57">
        <f t="shared" si="26"/>
        <v>5</v>
      </c>
      <c r="AW36" s="57">
        <f t="shared" si="26"/>
        <v>5</v>
      </c>
      <c r="AX36" s="57">
        <f t="shared" si="26"/>
        <v>5</v>
      </c>
      <c r="AY36" s="57">
        <f t="shared" si="26"/>
        <v>5</v>
      </c>
      <c r="AZ36" s="57">
        <f t="shared" si="26"/>
        <v>5</v>
      </c>
      <c r="BA36" s="57">
        <f t="shared" si="26"/>
        <v>5</v>
      </c>
      <c r="BB36" s="57">
        <f t="shared" si="26"/>
        <v>5</v>
      </c>
      <c r="BC36" s="57">
        <f t="shared" si="26"/>
        <v>5</v>
      </c>
      <c r="BD36" s="57">
        <f t="shared" si="26"/>
        <v>5</v>
      </c>
      <c r="BE36" s="57">
        <f t="shared" si="26"/>
        <v>5</v>
      </c>
      <c r="BF36" s="57">
        <f t="shared" si="26"/>
        <v>5</v>
      </c>
      <c r="BG36" s="57">
        <f t="shared" si="26"/>
        <v>5</v>
      </c>
      <c r="BH36" s="57">
        <f t="shared" si="26"/>
        <v>5</v>
      </c>
      <c r="BI36" s="57">
        <f t="shared" si="26"/>
        <v>5</v>
      </c>
      <c r="BJ36" s="57">
        <f t="shared" si="26"/>
        <v>5</v>
      </c>
      <c r="BK36" s="57">
        <f t="shared" si="26"/>
        <v>5</v>
      </c>
      <c r="BL36" s="57">
        <f t="shared" si="26"/>
        <v>5</v>
      </c>
      <c r="BM36" s="57">
        <f t="shared" si="26"/>
        <v>5</v>
      </c>
      <c r="BN36" s="57">
        <f t="shared" si="26"/>
        <v>5</v>
      </c>
    </row>
    <row r="37" outlineLevel="1">
      <c r="A37" s="80"/>
      <c r="B37" s="59" t="s">
        <v>16</v>
      </c>
      <c r="C37" s="82"/>
      <c r="D37" s="83">
        <v>0.05</v>
      </c>
      <c r="E37" s="84"/>
      <c r="F37" s="84"/>
      <c r="G37" s="62">
        <f t="shared" si="24"/>
        <v>0.05</v>
      </c>
      <c r="H37" s="62">
        <f t="shared" ref="H37:BN37" si="27">G37</f>
        <v>0.05</v>
      </c>
      <c r="I37" s="62">
        <f t="shared" si="27"/>
        <v>0.05</v>
      </c>
      <c r="J37" s="62">
        <f t="shared" si="27"/>
        <v>0.05</v>
      </c>
      <c r="K37" s="62">
        <f t="shared" si="27"/>
        <v>0.05</v>
      </c>
      <c r="L37" s="62">
        <f t="shared" si="27"/>
        <v>0.05</v>
      </c>
      <c r="M37" s="62">
        <f t="shared" si="27"/>
        <v>0.05</v>
      </c>
      <c r="N37" s="62">
        <f t="shared" si="27"/>
        <v>0.05</v>
      </c>
      <c r="O37" s="62">
        <f t="shared" si="27"/>
        <v>0.05</v>
      </c>
      <c r="P37" s="62">
        <f t="shared" si="27"/>
        <v>0.05</v>
      </c>
      <c r="Q37" s="62">
        <f t="shared" si="27"/>
        <v>0.05</v>
      </c>
      <c r="R37" s="62">
        <f t="shared" si="27"/>
        <v>0.05</v>
      </c>
      <c r="S37" s="62">
        <f t="shared" si="27"/>
        <v>0.05</v>
      </c>
      <c r="T37" s="62">
        <f t="shared" si="27"/>
        <v>0.05</v>
      </c>
      <c r="U37" s="62">
        <f t="shared" si="27"/>
        <v>0.05</v>
      </c>
      <c r="V37" s="62">
        <f t="shared" si="27"/>
        <v>0.05</v>
      </c>
      <c r="W37" s="62">
        <f t="shared" si="27"/>
        <v>0.05</v>
      </c>
      <c r="X37" s="62">
        <f t="shared" si="27"/>
        <v>0.05</v>
      </c>
      <c r="Y37" s="62">
        <f t="shared" si="27"/>
        <v>0.05</v>
      </c>
      <c r="Z37" s="62">
        <f t="shared" si="27"/>
        <v>0.05</v>
      </c>
      <c r="AA37" s="62">
        <f t="shared" si="27"/>
        <v>0.05</v>
      </c>
      <c r="AB37" s="62">
        <f t="shared" si="27"/>
        <v>0.05</v>
      </c>
      <c r="AC37" s="62">
        <f t="shared" si="27"/>
        <v>0.05</v>
      </c>
      <c r="AD37" s="62">
        <f t="shared" si="27"/>
        <v>0.05</v>
      </c>
      <c r="AE37" s="62">
        <f t="shared" si="27"/>
        <v>0.05</v>
      </c>
      <c r="AF37" s="62">
        <f t="shared" si="27"/>
        <v>0.05</v>
      </c>
      <c r="AG37" s="62">
        <f t="shared" si="27"/>
        <v>0.05</v>
      </c>
      <c r="AH37" s="62">
        <f t="shared" si="27"/>
        <v>0.05</v>
      </c>
      <c r="AI37" s="62">
        <f t="shared" si="27"/>
        <v>0.05</v>
      </c>
      <c r="AJ37" s="62">
        <f t="shared" si="27"/>
        <v>0.05</v>
      </c>
      <c r="AK37" s="62">
        <f t="shared" si="27"/>
        <v>0.05</v>
      </c>
      <c r="AL37" s="62">
        <f t="shared" si="27"/>
        <v>0.05</v>
      </c>
      <c r="AM37" s="62">
        <f t="shared" si="27"/>
        <v>0.05</v>
      </c>
      <c r="AN37" s="62">
        <f t="shared" si="27"/>
        <v>0.05</v>
      </c>
      <c r="AO37" s="62">
        <f t="shared" si="27"/>
        <v>0.05</v>
      </c>
      <c r="AP37" s="62">
        <f t="shared" si="27"/>
        <v>0.05</v>
      </c>
      <c r="AQ37" s="62">
        <f t="shared" si="27"/>
        <v>0.05</v>
      </c>
      <c r="AR37" s="62">
        <f t="shared" si="27"/>
        <v>0.05</v>
      </c>
      <c r="AS37" s="62">
        <f t="shared" si="27"/>
        <v>0.05</v>
      </c>
      <c r="AT37" s="62">
        <f t="shared" si="27"/>
        <v>0.05</v>
      </c>
      <c r="AU37" s="62">
        <f t="shared" si="27"/>
        <v>0.05</v>
      </c>
      <c r="AV37" s="62">
        <f t="shared" si="27"/>
        <v>0.05</v>
      </c>
      <c r="AW37" s="62">
        <f t="shared" si="27"/>
        <v>0.05</v>
      </c>
      <c r="AX37" s="62">
        <f t="shared" si="27"/>
        <v>0.05</v>
      </c>
      <c r="AY37" s="62">
        <f t="shared" si="27"/>
        <v>0.05</v>
      </c>
      <c r="AZ37" s="62">
        <f t="shared" si="27"/>
        <v>0.05</v>
      </c>
      <c r="BA37" s="62">
        <f t="shared" si="27"/>
        <v>0.05</v>
      </c>
      <c r="BB37" s="62">
        <f t="shared" si="27"/>
        <v>0.05</v>
      </c>
      <c r="BC37" s="62">
        <f t="shared" si="27"/>
        <v>0.05</v>
      </c>
      <c r="BD37" s="62">
        <f t="shared" si="27"/>
        <v>0.05</v>
      </c>
      <c r="BE37" s="62">
        <f t="shared" si="27"/>
        <v>0.05</v>
      </c>
      <c r="BF37" s="62">
        <f t="shared" si="27"/>
        <v>0.05</v>
      </c>
      <c r="BG37" s="62">
        <f t="shared" si="27"/>
        <v>0.05</v>
      </c>
      <c r="BH37" s="62">
        <f t="shared" si="27"/>
        <v>0.05</v>
      </c>
      <c r="BI37" s="62">
        <f t="shared" si="27"/>
        <v>0.05</v>
      </c>
      <c r="BJ37" s="62">
        <f t="shared" si="27"/>
        <v>0.05</v>
      </c>
      <c r="BK37" s="62">
        <f t="shared" si="27"/>
        <v>0.05</v>
      </c>
      <c r="BL37" s="62">
        <f t="shared" si="27"/>
        <v>0.05</v>
      </c>
      <c r="BM37" s="62">
        <f t="shared" si="27"/>
        <v>0.05</v>
      </c>
      <c r="BN37" s="62">
        <f t="shared" si="27"/>
        <v>0.05</v>
      </c>
    </row>
    <row r="38" outlineLevel="1">
      <c r="A38" s="80"/>
      <c r="B38" s="85" t="s">
        <v>17</v>
      </c>
      <c r="C38" s="80"/>
      <c r="D38" s="74"/>
      <c r="E38" s="86"/>
      <c r="F38" s="86"/>
      <c r="G38" s="74">
        <f t="shared" ref="G38:BN38" si="28">G34*G35*G36*G37</f>
        <v>50</v>
      </c>
      <c r="H38" s="74">
        <f t="shared" si="28"/>
        <v>50</v>
      </c>
      <c r="I38" s="74">
        <f t="shared" si="28"/>
        <v>50</v>
      </c>
      <c r="J38" s="74">
        <f t="shared" si="28"/>
        <v>50</v>
      </c>
      <c r="K38" s="74">
        <f t="shared" si="28"/>
        <v>50</v>
      </c>
      <c r="L38" s="74">
        <f t="shared" si="28"/>
        <v>50</v>
      </c>
      <c r="M38" s="74">
        <f t="shared" si="28"/>
        <v>50</v>
      </c>
      <c r="N38" s="74">
        <f t="shared" si="28"/>
        <v>50</v>
      </c>
      <c r="O38" s="74">
        <f t="shared" si="28"/>
        <v>50</v>
      </c>
      <c r="P38" s="74">
        <f t="shared" si="28"/>
        <v>50</v>
      </c>
      <c r="Q38" s="74">
        <f t="shared" si="28"/>
        <v>50</v>
      </c>
      <c r="R38" s="74">
        <f t="shared" si="28"/>
        <v>50</v>
      </c>
      <c r="S38" s="74">
        <f t="shared" si="28"/>
        <v>50</v>
      </c>
      <c r="T38" s="74">
        <f t="shared" si="28"/>
        <v>50</v>
      </c>
      <c r="U38" s="74">
        <f t="shared" si="28"/>
        <v>50</v>
      </c>
      <c r="V38" s="74">
        <f t="shared" si="28"/>
        <v>50</v>
      </c>
      <c r="W38" s="74">
        <f t="shared" si="28"/>
        <v>50</v>
      </c>
      <c r="X38" s="74">
        <f t="shared" si="28"/>
        <v>50</v>
      </c>
      <c r="Y38" s="74">
        <f t="shared" si="28"/>
        <v>50</v>
      </c>
      <c r="Z38" s="74">
        <f t="shared" si="28"/>
        <v>50</v>
      </c>
      <c r="AA38" s="74">
        <f t="shared" si="28"/>
        <v>50</v>
      </c>
      <c r="AB38" s="74">
        <f t="shared" si="28"/>
        <v>50</v>
      </c>
      <c r="AC38" s="74">
        <f t="shared" si="28"/>
        <v>50</v>
      </c>
      <c r="AD38" s="74">
        <f t="shared" si="28"/>
        <v>50</v>
      </c>
      <c r="AE38" s="74">
        <f t="shared" si="28"/>
        <v>50</v>
      </c>
      <c r="AF38" s="74">
        <f t="shared" si="28"/>
        <v>50</v>
      </c>
      <c r="AG38" s="74">
        <f t="shared" si="28"/>
        <v>50</v>
      </c>
      <c r="AH38" s="74">
        <f t="shared" si="28"/>
        <v>50</v>
      </c>
      <c r="AI38" s="74">
        <f t="shared" si="28"/>
        <v>50</v>
      </c>
      <c r="AJ38" s="74">
        <f t="shared" si="28"/>
        <v>50</v>
      </c>
      <c r="AK38" s="74">
        <f t="shared" si="28"/>
        <v>50</v>
      </c>
      <c r="AL38" s="74">
        <f t="shared" si="28"/>
        <v>50</v>
      </c>
      <c r="AM38" s="74">
        <f t="shared" si="28"/>
        <v>50</v>
      </c>
      <c r="AN38" s="74">
        <f t="shared" si="28"/>
        <v>50</v>
      </c>
      <c r="AO38" s="74">
        <f t="shared" si="28"/>
        <v>50</v>
      </c>
      <c r="AP38" s="74">
        <f t="shared" si="28"/>
        <v>50</v>
      </c>
      <c r="AQ38" s="74">
        <f t="shared" si="28"/>
        <v>50</v>
      </c>
      <c r="AR38" s="74">
        <f t="shared" si="28"/>
        <v>50</v>
      </c>
      <c r="AS38" s="74">
        <f t="shared" si="28"/>
        <v>50</v>
      </c>
      <c r="AT38" s="74">
        <f t="shared" si="28"/>
        <v>50</v>
      </c>
      <c r="AU38" s="74">
        <f t="shared" si="28"/>
        <v>50</v>
      </c>
      <c r="AV38" s="74">
        <f t="shared" si="28"/>
        <v>50</v>
      </c>
      <c r="AW38" s="74">
        <f t="shared" si="28"/>
        <v>50</v>
      </c>
      <c r="AX38" s="74">
        <f t="shared" si="28"/>
        <v>50</v>
      </c>
      <c r="AY38" s="74">
        <f t="shared" si="28"/>
        <v>50</v>
      </c>
      <c r="AZ38" s="74">
        <f t="shared" si="28"/>
        <v>50</v>
      </c>
      <c r="BA38" s="74">
        <f t="shared" si="28"/>
        <v>50</v>
      </c>
      <c r="BB38" s="74">
        <f t="shared" si="28"/>
        <v>50</v>
      </c>
      <c r="BC38" s="74">
        <f t="shared" si="28"/>
        <v>50</v>
      </c>
      <c r="BD38" s="74">
        <f t="shared" si="28"/>
        <v>50</v>
      </c>
      <c r="BE38" s="74">
        <f t="shared" si="28"/>
        <v>50</v>
      </c>
      <c r="BF38" s="74">
        <f t="shared" si="28"/>
        <v>50</v>
      </c>
      <c r="BG38" s="74">
        <f t="shared" si="28"/>
        <v>50</v>
      </c>
      <c r="BH38" s="74">
        <f t="shared" si="28"/>
        <v>50</v>
      </c>
      <c r="BI38" s="74">
        <f t="shared" si="28"/>
        <v>50</v>
      </c>
      <c r="BJ38" s="74">
        <f t="shared" si="28"/>
        <v>50</v>
      </c>
      <c r="BK38" s="74">
        <f t="shared" si="28"/>
        <v>50</v>
      </c>
      <c r="BL38" s="74">
        <f t="shared" si="28"/>
        <v>50</v>
      </c>
      <c r="BM38" s="74">
        <f t="shared" si="28"/>
        <v>50</v>
      </c>
      <c r="BN38" s="74">
        <f t="shared" si="28"/>
        <v>50</v>
      </c>
    </row>
    <row r="39" outlineLevel="1">
      <c r="A39" s="47"/>
      <c r="B39" s="65"/>
      <c r="C39" s="47"/>
      <c r="D39" s="43"/>
      <c r="E39" s="47"/>
      <c r="F39" s="47"/>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row>
    <row r="40" outlineLevel="1">
      <c r="A40" s="47"/>
      <c r="B40" s="65" t="s">
        <v>31</v>
      </c>
      <c r="C40" s="47"/>
      <c r="D40" s="43"/>
      <c r="E40" s="47"/>
      <c r="F40" s="47"/>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row>
    <row r="41" outlineLevel="1">
      <c r="A41" s="47"/>
      <c r="B41" s="39" t="s">
        <v>32</v>
      </c>
      <c r="C41" s="47"/>
      <c r="D41" s="57" t="str">
        <f>C71</f>
        <v/>
      </c>
      <c r="E41" s="47"/>
      <c r="F41" s="47"/>
      <c r="G41" s="57" t="str">
        <f t="shared" ref="G41:BN41" si="29">F71</f>
        <v/>
      </c>
      <c r="H41" s="57">
        <f t="shared" si="29"/>
        <v>265.5</v>
      </c>
      <c r="I41" s="57">
        <f t="shared" si="29"/>
        <v>273.9825</v>
      </c>
      <c r="J41" s="57">
        <f t="shared" si="29"/>
        <v>274.1097375</v>
      </c>
      <c r="K41" s="57">
        <f t="shared" si="29"/>
        <v>274.1116461</v>
      </c>
      <c r="L41" s="57">
        <f t="shared" si="29"/>
        <v>274.1116747</v>
      </c>
      <c r="M41" s="57">
        <f t="shared" si="29"/>
        <v>274.1116751</v>
      </c>
      <c r="N41" s="57">
        <f t="shared" si="29"/>
        <v>274.1116751</v>
      </c>
      <c r="O41" s="57">
        <f t="shared" si="29"/>
        <v>274.1116751</v>
      </c>
      <c r="P41" s="57">
        <f t="shared" si="29"/>
        <v>274.1116751</v>
      </c>
      <c r="Q41" s="57">
        <f t="shared" si="29"/>
        <v>274.1116751</v>
      </c>
      <c r="R41" s="57">
        <f t="shared" si="29"/>
        <v>274.1116751</v>
      </c>
      <c r="S41" s="57">
        <f t="shared" si="29"/>
        <v>274.1116751</v>
      </c>
      <c r="T41" s="57">
        <f t="shared" si="29"/>
        <v>274.1116751</v>
      </c>
      <c r="U41" s="57">
        <f t="shared" si="29"/>
        <v>274.1116751</v>
      </c>
      <c r="V41" s="57">
        <f t="shared" si="29"/>
        <v>274.1116751</v>
      </c>
      <c r="W41" s="57">
        <f t="shared" si="29"/>
        <v>274.1116751</v>
      </c>
      <c r="X41" s="57">
        <f t="shared" si="29"/>
        <v>274.1116751</v>
      </c>
      <c r="Y41" s="57">
        <f t="shared" si="29"/>
        <v>274.1116751</v>
      </c>
      <c r="Z41" s="57">
        <f t="shared" si="29"/>
        <v>274.1116751</v>
      </c>
      <c r="AA41" s="57">
        <f t="shared" si="29"/>
        <v>274.1116751</v>
      </c>
      <c r="AB41" s="57">
        <f t="shared" si="29"/>
        <v>274.1116751</v>
      </c>
      <c r="AC41" s="57">
        <f t="shared" si="29"/>
        <v>274.1116751</v>
      </c>
      <c r="AD41" s="57">
        <f t="shared" si="29"/>
        <v>274.1116751</v>
      </c>
      <c r="AE41" s="57">
        <f t="shared" si="29"/>
        <v>274.1116751</v>
      </c>
      <c r="AF41" s="57">
        <f t="shared" si="29"/>
        <v>274.1116751</v>
      </c>
      <c r="AG41" s="57">
        <f t="shared" si="29"/>
        <v>274.1116751</v>
      </c>
      <c r="AH41" s="57">
        <f t="shared" si="29"/>
        <v>274.1116751</v>
      </c>
      <c r="AI41" s="57">
        <f t="shared" si="29"/>
        <v>274.1116751</v>
      </c>
      <c r="AJ41" s="57">
        <f t="shared" si="29"/>
        <v>274.1116751</v>
      </c>
      <c r="AK41" s="57">
        <f t="shared" si="29"/>
        <v>274.1116751</v>
      </c>
      <c r="AL41" s="57">
        <f t="shared" si="29"/>
        <v>274.1116751</v>
      </c>
      <c r="AM41" s="57">
        <f t="shared" si="29"/>
        <v>274.1116751</v>
      </c>
      <c r="AN41" s="57">
        <f t="shared" si="29"/>
        <v>274.1116751</v>
      </c>
      <c r="AO41" s="57">
        <f t="shared" si="29"/>
        <v>274.1116751</v>
      </c>
      <c r="AP41" s="57">
        <f t="shared" si="29"/>
        <v>274.1116751</v>
      </c>
      <c r="AQ41" s="57">
        <f t="shared" si="29"/>
        <v>274.1116751</v>
      </c>
      <c r="AR41" s="57">
        <f t="shared" si="29"/>
        <v>274.1116751</v>
      </c>
      <c r="AS41" s="57">
        <f t="shared" si="29"/>
        <v>274.1116751</v>
      </c>
      <c r="AT41" s="57">
        <f t="shared" si="29"/>
        <v>274.1116751</v>
      </c>
      <c r="AU41" s="57">
        <f t="shared" si="29"/>
        <v>274.1116751</v>
      </c>
      <c r="AV41" s="57">
        <f t="shared" si="29"/>
        <v>274.1116751</v>
      </c>
      <c r="AW41" s="57">
        <f t="shared" si="29"/>
        <v>274.1116751</v>
      </c>
      <c r="AX41" s="57">
        <f t="shared" si="29"/>
        <v>274.1116751</v>
      </c>
      <c r="AY41" s="57">
        <f t="shared" si="29"/>
        <v>274.1116751</v>
      </c>
      <c r="AZ41" s="57">
        <f t="shared" si="29"/>
        <v>274.1116751</v>
      </c>
      <c r="BA41" s="57">
        <f t="shared" si="29"/>
        <v>274.1116751</v>
      </c>
      <c r="BB41" s="57">
        <f t="shared" si="29"/>
        <v>274.1116751</v>
      </c>
      <c r="BC41" s="57">
        <f t="shared" si="29"/>
        <v>274.1116751</v>
      </c>
      <c r="BD41" s="57">
        <f t="shared" si="29"/>
        <v>274.1116751</v>
      </c>
      <c r="BE41" s="57">
        <f t="shared" si="29"/>
        <v>274.1116751</v>
      </c>
      <c r="BF41" s="57">
        <f t="shared" si="29"/>
        <v>274.1116751</v>
      </c>
      <c r="BG41" s="57">
        <f t="shared" si="29"/>
        <v>274.1116751</v>
      </c>
      <c r="BH41" s="57">
        <f t="shared" si="29"/>
        <v>274.1116751</v>
      </c>
      <c r="BI41" s="57">
        <f t="shared" si="29"/>
        <v>274.1116751</v>
      </c>
      <c r="BJ41" s="57">
        <f t="shared" si="29"/>
        <v>274.1116751</v>
      </c>
      <c r="BK41" s="57">
        <f t="shared" si="29"/>
        <v>274.1116751</v>
      </c>
      <c r="BL41" s="57">
        <f t="shared" si="29"/>
        <v>274.1116751</v>
      </c>
      <c r="BM41" s="57">
        <f t="shared" si="29"/>
        <v>274.1116751</v>
      </c>
      <c r="BN41" s="57">
        <f t="shared" si="29"/>
        <v>274.1116751</v>
      </c>
    </row>
    <row r="42" outlineLevel="1">
      <c r="A42" s="47"/>
      <c r="B42" s="39" t="s">
        <v>33</v>
      </c>
      <c r="C42" s="47"/>
      <c r="D42" s="87">
        <v>0.3</v>
      </c>
      <c r="E42" s="47"/>
      <c r="F42" s="47"/>
      <c r="G42" s="88">
        <f t="shared" ref="G42:G43" si="31">D42</f>
        <v>0.3</v>
      </c>
      <c r="H42" s="88">
        <f t="shared" ref="H42:BN42" si="30">G42</f>
        <v>0.3</v>
      </c>
      <c r="I42" s="88">
        <f t="shared" si="30"/>
        <v>0.3</v>
      </c>
      <c r="J42" s="88">
        <f t="shared" si="30"/>
        <v>0.3</v>
      </c>
      <c r="K42" s="88">
        <f t="shared" si="30"/>
        <v>0.3</v>
      </c>
      <c r="L42" s="88">
        <f t="shared" si="30"/>
        <v>0.3</v>
      </c>
      <c r="M42" s="88">
        <f t="shared" si="30"/>
        <v>0.3</v>
      </c>
      <c r="N42" s="88">
        <f t="shared" si="30"/>
        <v>0.3</v>
      </c>
      <c r="O42" s="88">
        <f t="shared" si="30"/>
        <v>0.3</v>
      </c>
      <c r="P42" s="88">
        <f t="shared" si="30"/>
        <v>0.3</v>
      </c>
      <c r="Q42" s="88">
        <f t="shared" si="30"/>
        <v>0.3</v>
      </c>
      <c r="R42" s="88">
        <f t="shared" si="30"/>
        <v>0.3</v>
      </c>
      <c r="S42" s="88">
        <f t="shared" si="30"/>
        <v>0.3</v>
      </c>
      <c r="T42" s="88">
        <f t="shared" si="30"/>
        <v>0.3</v>
      </c>
      <c r="U42" s="88">
        <f t="shared" si="30"/>
        <v>0.3</v>
      </c>
      <c r="V42" s="88">
        <f t="shared" si="30"/>
        <v>0.3</v>
      </c>
      <c r="W42" s="88">
        <f t="shared" si="30"/>
        <v>0.3</v>
      </c>
      <c r="X42" s="88">
        <f t="shared" si="30"/>
        <v>0.3</v>
      </c>
      <c r="Y42" s="88">
        <f t="shared" si="30"/>
        <v>0.3</v>
      </c>
      <c r="Z42" s="88">
        <f t="shared" si="30"/>
        <v>0.3</v>
      </c>
      <c r="AA42" s="88">
        <f t="shared" si="30"/>
        <v>0.3</v>
      </c>
      <c r="AB42" s="88">
        <f t="shared" si="30"/>
        <v>0.3</v>
      </c>
      <c r="AC42" s="88">
        <f t="shared" si="30"/>
        <v>0.3</v>
      </c>
      <c r="AD42" s="88">
        <f t="shared" si="30"/>
        <v>0.3</v>
      </c>
      <c r="AE42" s="88">
        <f t="shared" si="30"/>
        <v>0.3</v>
      </c>
      <c r="AF42" s="88">
        <f t="shared" si="30"/>
        <v>0.3</v>
      </c>
      <c r="AG42" s="88">
        <f t="shared" si="30"/>
        <v>0.3</v>
      </c>
      <c r="AH42" s="88">
        <f t="shared" si="30"/>
        <v>0.3</v>
      </c>
      <c r="AI42" s="88">
        <f t="shared" si="30"/>
        <v>0.3</v>
      </c>
      <c r="AJ42" s="88">
        <f t="shared" si="30"/>
        <v>0.3</v>
      </c>
      <c r="AK42" s="88">
        <f t="shared" si="30"/>
        <v>0.3</v>
      </c>
      <c r="AL42" s="88">
        <f t="shared" si="30"/>
        <v>0.3</v>
      </c>
      <c r="AM42" s="88">
        <f t="shared" si="30"/>
        <v>0.3</v>
      </c>
      <c r="AN42" s="88">
        <f t="shared" si="30"/>
        <v>0.3</v>
      </c>
      <c r="AO42" s="88">
        <f t="shared" si="30"/>
        <v>0.3</v>
      </c>
      <c r="AP42" s="88">
        <f t="shared" si="30"/>
        <v>0.3</v>
      </c>
      <c r="AQ42" s="88">
        <f t="shared" si="30"/>
        <v>0.3</v>
      </c>
      <c r="AR42" s="88">
        <f t="shared" si="30"/>
        <v>0.3</v>
      </c>
      <c r="AS42" s="88">
        <f t="shared" si="30"/>
        <v>0.3</v>
      </c>
      <c r="AT42" s="88">
        <f t="shared" si="30"/>
        <v>0.3</v>
      </c>
      <c r="AU42" s="88">
        <f t="shared" si="30"/>
        <v>0.3</v>
      </c>
      <c r="AV42" s="88">
        <f t="shared" si="30"/>
        <v>0.3</v>
      </c>
      <c r="AW42" s="88">
        <f t="shared" si="30"/>
        <v>0.3</v>
      </c>
      <c r="AX42" s="88">
        <f t="shared" si="30"/>
        <v>0.3</v>
      </c>
      <c r="AY42" s="88">
        <f t="shared" si="30"/>
        <v>0.3</v>
      </c>
      <c r="AZ42" s="88">
        <f t="shared" si="30"/>
        <v>0.3</v>
      </c>
      <c r="BA42" s="88">
        <f t="shared" si="30"/>
        <v>0.3</v>
      </c>
      <c r="BB42" s="88">
        <f t="shared" si="30"/>
        <v>0.3</v>
      </c>
      <c r="BC42" s="88">
        <f t="shared" si="30"/>
        <v>0.3</v>
      </c>
      <c r="BD42" s="88">
        <f t="shared" si="30"/>
        <v>0.3</v>
      </c>
      <c r="BE42" s="88">
        <f t="shared" si="30"/>
        <v>0.3</v>
      </c>
      <c r="BF42" s="88">
        <f t="shared" si="30"/>
        <v>0.3</v>
      </c>
      <c r="BG42" s="88">
        <f t="shared" si="30"/>
        <v>0.3</v>
      </c>
      <c r="BH42" s="88">
        <f t="shared" si="30"/>
        <v>0.3</v>
      </c>
      <c r="BI42" s="88">
        <f t="shared" si="30"/>
        <v>0.3</v>
      </c>
      <c r="BJ42" s="88">
        <f t="shared" si="30"/>
        <v>0.3</v>
      </c>
      <c r="BK42" s="88">
        <f t="shared" si="30"/>
        <v>0.3</v>
      </c>
      <c r="BL42" s="88">
        <f t="shared" si="30"/>
        <v>0.3</v>
      </c>
      <c r="BM42" s="88">
        <f t="shared" si="30"/>
        <v>0.3</v>
      </c>
      <c r="BN42" s="88">
        <f t="shared" si="30"/>
        <v>0.3</v>
      </c>
    </row>
    <row r="43" outlineLevel="1">
      <c r="A43" s="47"/>
      <c r="B43" s="71" t="s">
        <v>16</v>
      </c>
      <c r="C43" s="59"/>
      <c r="D43" s="72">
        <v>0.05</v>
      </c>
      <c r="E43" s="61"/>
      <c r="F43" s="61"/>
      <c r="G43" s="62">
        <f t="shared" si="31"/>
        <v>0.05</v>
      </c>
      <c r="H43" s="62">
        <f t="shared" ref="H43:BN43" si="32">G43</f>
        <v>0.05</v>
      </c>
      <c r="I43" s="62">
        <f t="shared" si="32"/>
        <v>0.05</v>
      </c>
      <c r="J43" s="62">
        <f t="shared" si="32"/>
        <v>0.05</v>
      </c>
      <c r="K43" s="62">
        <f t="shared" si="32"/>
        <v>0.05</v>
      </c>
      <c r="L43" s="62">
        <f t="shared" si="32"/>
        <v>0.05</v>
      </c>
      <c r="M43" s="62">
        <f t="shared" si="32"/>
        <v>0.05</v>
      </c>
      <c r="N43" s="62">
        <f t="shared" si="32"/>
        <v>0.05</v>
      </c>
      <c r="O43" s="62">
        <f t="shared" si="32"/>
        <v>0.05</v>
      </c>
      <c r="P43" s="62">
        <f t="shared" si="32"/>
        <v>0.05</v>
      </c>
      <c r="Q43" s="62">
        <f t="shared" si="32"/>
        <v>0.05</v>
      </c>
      <c r="R43" s="62">
        <f t="shared" si="32"/>
        <v>0.05</v>
      </c>
      <c r="S43" s="62">
        <f t="shared" si="32"/>
        <v>0.05</v>
      </c>
      <c r="T43" s="62">
        <f t="shared" si="32"/>
        <v>0.05</v>
      </c>
      <c r="U43" s="62">
        <f t="shared" si="32"/>
        <v>0.05</v>
      </c>
      <c r="V43" s="62">
        <f t="shared" si="32"/>
        <v>0.05</v>
      </c>
      <c r="W43" s="62">
        <f t="shared" si="32"/>
        <v>0.05</v>
      </c>
      <c r="X43" s="62">
        <f t="shared" si="32"/>
        <v>0.05</v>
      </c>
      <c r="Y43" s="62">
        <f t="shared" si="32"/>
        <v>0.05</v>
      </c>
      <c r="Z43" s="62">
        <f t="shared" si="32"/>
        <v>0.05</v>
      </c>
      <c r="AA43" s="62">
        <f t="shared" si="32"/>
        <v>0.05</v>
      </c>
      <c r="AB43" s="62">
        <f t="shared" si="32"/>
        <v>0.05</v>
      </c>
      <c r="AC43" s="62">
        <f t="shared" si="32"/>
        <v>0.05</v>
      </c>
      <c r="AD43" s="62">
        <f t="shared" si="32"/>
        <v>0.05</v>
      </c>
      <c r="AE43" s="62">
        <f t="shared" si="32"/>
        <v>0.05</v>
      </c>
      <c r="AF43" s="62">
        <f t="shared" si="32"/>
        <v>0.05</v>
      </c>
      <c r="AG43" s="62">
        <f t="shared" si="32"/>
        <v>0.05</v>
      </c>
      <c r="AH43" s="62">
        <f t="shared" si="32"/>
        <v>0.05</v>
      </c>
      <c r="AI43" s="62">
        <f t="shared" si="32"/>
        <v>0.05</v>
      </c>
      <c r="AJ43" s="62">
        <f t="shared" si="32"/>
        <v>0.05</v>
      </c>
      <c r="AK43" s="62">
        <f t="shared" si="32"/>
        <v>0.05</v>
      </c>
      <c r="AL43" s="62">
        <f t="shared" si="32"/>
        <v>0.05</v>
      </c>
      <c r="AM43" s="62">
        <f t="shared" si="32"/>
        <v>0.05</v>
      </c>
      <c r="AN43" s="62">
        <f t="shared" si="32"/>
        <v>0.05</v>
      </c>
      <c r="AO43" s="62">
        <f t="shared" si="32"/>
        <v>0.05</v>
      </c>
      <c r="AP43" s="62">
        <f t="shared" si="32"/>
        <v>0.05</v>
      </c>
      <c r="AQ43" s="62">
        <f t="shared" si="32"/>
        <v>0.05</v>
      </c>
      <c r="AR43" s="62">
        <f t="shared" si="32"/>
        <v>0.05</v>
      </c>
      <c r="AS43" s="62">
        <f t="shared" si="32"/>
        <v>0.05</v>
      </c>
      <c r="AT43" s="62">
        <f t="shared" si="32"/>
        <v>0.05</v>
      </c>
      <c r="AU43" s="62">
        <f t="shared" si="32"/>
        <v>0.05</v>
      </c>
      <c r="AV43" s="62">
        <f t="shared" si="32"/>
        <v>0.05</v>
      </c>
      <c r="AW43" s="62">
        <f t="shared" si="32"/>
        <v>0.05</v>
      </c>
      <c r="AX43" s="62">
        <f t="shared" si="32"/>
        <v>0.05</v>
      </c>
      <c r="AY43" s="62">
        <f t="shared" si="32"/>
        <v>0.05</v>
      </c>
      <c r="AZ43" s="62">
        <f t="shared" si="32"/>
        <v>0.05</v>
      </c>
      <c r="BA43" s="62">
        <f t="shared" si="32"/>
        <v>0.05</v>
      </c>
      <c r="BB43" s="62">
        <f t="shared" si="32"/>
        <v>0.05</v>
      </c>
      <c r="BC43" s="62">
        <f t="shared" si="32"/>
        <v>0.05</v>
      </c>
      <c r="BD43" s="62">
        <f t="shared" si="32"/>
        <v>0.05</v>
      </c>
      <c r="BE43" s="62">
        <f t="shared" si="32"/>
        <v>0.05</v>
      </c>
      <c r="BF43" s="62">
        <f t="shared" si="32"/>
        <v>0.05</v>
      </c>
      <c r="BG43" s="62">
        <f t="shared" si="32"/>
        <v>0.05</v>
      </c>
      <c r="BH43" s="62">
        <f t="shared" si="32"/>
        <v>0.05</v>
      </c>
      <c r="BI43" s="62">
        <f t="shared" si="32"/>
        <v>0.05</v>
      </c>
      <c r="BJ43" s="62">
        <f t="shared" si="32"/>
        <v>0.05</v>
      </c>
      <c r="BK43" s="62">
        <f t="shared" si="32"/>
        <v>0.05</v>
      </c>
      <c r="BL43" s="62">
        <f t="shared" si="32"/>
        <v>0.05</v>
      </c>
      <c r="BM43" s="62">
        <f t="shared" si="32"/>
        <v>0.05</v>
      </c>
      <c r="BN43" s="62">
        <f t="shared" si="32"/>
        <v>0.05</v>
      </c>
    </row>
    <row r="44" outlineLevel="1">
      <c r="A44" s="47"/>
      <c r="B44" s="73" t="s">
        <v>17</v>
      </c>
      <c r="C44" s="47"/>
      <c r="D44" s="63"/>
      <c r="E44" s="64"/>
      <c r="F44" s="64"/>
      <c r="G44" s="63">
        <f t="shared" ref="G44:BN44" si="33">G41*G42*G43</f>
        <v>0</v>
      </c>
      <c r="H44" s="63">
        <f t="shared" si="33"/>
        <v>3.9825</v>
      </c>
      <c r="I44" s="63">
        <f t="shared" si="33"/>
        <v>4.1097375</v>
      </c>
      <c r="J44" s="63">
        <f t="shared" si="33"/>
        <v>4.111646063</v>
      </c>
      <c r="K44" s="63">
        <f t="shared" si="33"/>
        <v>4.111674691</v>
      </c>
      <c r="L44" s="63">
        <f t="shared" si="33"/>
        <v>4.11167512</v>
      </c>
      <c r="M44" s="63">
        <f t="shared" si="33"/>
        <v>4.111675127</v>
      </c>
      <c r="N44" s="63">
        <f t="shared" si="33"/>
        <v>4.111675127</v>
      </c>
      <c r="O44" s="63">
        <f t="shared" si="33"/>
        <v>4.111675127</v>
      </c>
      <c r="P44" s="63">
        <f t="shared" si="33"/>
        <v>4.111675127</v>
      </c>
      <c r="Q44" s="63">
        <f t="shared" si="33"/>
        <v>4.111675127</v>
      </c>
      <c r="R44" s="63">
        <f t="shared" si="33"/>
        <v>4.111675127</v>
      </c>
      <c r="S44" s="63">
        <f t="shared" si="33"/>
        <v>4.111675127</v>
      </c>
      <c r="T44" s="63">
        <f t="shared" si="33"/>
        <v>4.111675127</v>
      </c>
      <c r="U44" s="63">
        <f t="shared" si="33"/>
        <v>4.111675127</v>
      </c>
      <c r="V44" s="63">
        <f t="shared" si="33"/>
        <v>4.111675127</v>
      </c>
      <c r="W44" s="63">
        <f t="shared" si="33"/>
        <v>4.111675127</v>
      </c>
      <c r="X44" s="63">
        <f t="shared" si="33"/>
        <v>4.111675127</v>
      </c>
      <c r="Y44" s="63">
        <f t="shared" si="33"/>
        <v>4.111675127</v>
      </c>
      <c r="Z44" s="63">
        <f t="shared" si="33"/>
        <v>4.111675127</v>
      </c>
      <c r="AA44" s="63">
        <f t="shared" si="33"/>
        <v>4.111675127</v>
      </c>
      <c r="AB44" s="63">
        <f t="shared" si="33"/>
        <v>4.111675127</v>
      </c>
      <c r="AC44" s="63">
        <f t="shared" si="33"/>
        <v>4.111675127</v>
      </c>
      <c r="AD44" s="63">
        <f t="shared" si="33"/>
        <v>4.111675127</v>
      </c>
      <c r="AE44" s="63">
        <f t="shared" si="33"/>
        <v>4.111675127</v>
      </c>
      <c r="AF44" s="63">
        <f t="shared" si="33"/>
        <v>4.111675127</v>
      </c>
      <c r="AG44" s="63">
        <f t="shared" si="33"/>
        <v>4.111675127</v>
      </c>
      <c r="AH44" s="63">
        <f t="shared" si="33"/>
        <v>4.111675127</v>
      </c>
      <c r="AI44" s="63">
        <f t="shared" si="33"/>
        <v>4.111675127</v>
      </c>
      <c r="AJ44" s="63">
        <f t="shared" si="33"/>
        <v>4.111675127</v>
      </c>
      <c r="AK44" s="63">
        <f t="shared" si="33"/>
        <v>4.111675127</v>
      </c>
      <c r="AL44" s="63">
        <f t="shared" si="33"/>
        <v>4.111675127</v>
      </c>
      <c r="AM44" s="63">
        <f t="shared" si="33"/>
        <v>4.111675127</v>
      </c>
      <c r="AN44" s="63">
        <f t="shared" si="33"/>
        <v>4.111675127</v>
      </c>
      <c r="AO44" s="63">
        <f t="shared" si="33"/>
        <v>4.111675127</v>
      </c>
      <c r="AP44" s="63">
        <f t="shared" si="33"/>
        <v>4.111675127</v>
      </c>
      <c r="AQ44" s="63">
        <f t="shared" si="33"/>
        <v>4.111675127</v>
      </c>
      <c r="AR44" s="63">
        <f t="shared" si="33"/>
        <v>4.111675127</v>
      </c>
      <c r="AS44" s="63">
        <f t="shared" si="33"/>
        <v>4.111675127</v>
      </c>
      <c r="AT44" s="63">
        <f t="shared" si="33"/>
        <v>4.111675127</v>
      </c>
      <c r="AU44" s="63">
        <f t="shared" si="33"/>
        <v>4.111675127</v>
      </c>
      <c r="AV44" s="63">
        <f t="shared" si="33"/>
        <v>4.111675127</v>
      </c>
      <c r="AW44" s="63">
        <f t="shared" si="33"/>
        <v>4.111675127</v>
      </c>
      <c r="AX44" s="63">
        <f t="shared" si="33"/>
        <v>4.111675127</v>
      </c>
      <c r="AY44" s="63">
        <f t="shared" si="33"/>
        <v>4.111675127</v>
      </c>
      <c r="AZ44" s="63">
        <f t="shared" si="33"/>
        <v>4.111675127</v>
      </c>
      <c r="BA44" s="63">
        <f t="shared" si="33"/>
        <v>4.111675127</v>
      </c>
      <c r="BB44" s="63">
        <f t="shared" si="33"/>
        <v>4.111675127</v>
      </c>
      <c r="BC44" s="63">
        <f t="shared" si="33"/>
        <v>4.111675127</v>
      </c>
      <c r="BD44" s="63">
        <f t="shared" si="33"/>
        <v>4.111675127</v>
      </c>
      <c r="BE44" s="63">
        <f t="shared" si="33"/>
        <v>4.111675127</v>
      </c>
      <c r="BF44" s="63">
        <f t="shared" si="33"/>
        <v>4.111675127</v>
      </c>
      <c r="BG44" s="63">
        <f t="shared" si="33"/>
        <v>4.111675127</v>
      </c>
      <c r="BH44" s="63">
        <f t="shared" si="33"/>
        <v>4.111675127</v>
      </c>
      <c r="BI44" s="63">
        <f t="shared" si="33"/>
        <v>4.111675127</v>
      </c>
      <c r="BJ44" s="63">
        <f t="shared" si="33"/>
        <v>4.111675127</v>
      </c>
      <c r="BK44" s="63">
        <f t="shared" si="33"/>
        <v>4.111675127</v>
      </c>
      <c r="BL44" s="63">
        <f t="shared" si="33"/>
        <v>4.111675127</v>
      </c>
      <c r="BM44" s="63">
        <f t="shared" si="33"/>
        <v>4.111675127</v>
      </c>
      <c r="BN44" s="63">
        <f t="shared" si="33"/>
        <v>4.111675127</v>
      </c>
    </row>
    <row r="45" outlineLevel="1">
      <c r="A45" s="47"/>
      <c r="B45" s="65"/>
      <c r="C45" s="47"/>
      <c r="D45" s="43"/>
      <c r="E45" s="47"/>
      <c r="F45" s="47"/>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row>
    <row r="46" outlineLevel="1">
      <c r="A46" s="47"/>
      <c r="B46" s="65" t="s">
        <v>34</v>
      </c>
      <c r="C46" s="47"/>
      <c r="D46" s="43"/>
      <c r="E46" s="47"/>
      <c r="F46" s="47"/>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row>
    <row r="47" outlineLevel="1">
      <c r="A47" s="47"/>
      <c r="B47" s="39" t="s">
        <v>35</v>
      </c>
      <c r="C47" s="47"/>
      <c r="D47" s="76">
        <v>2.0</v>
      </c>
      <c r="E47" s="47"/>
      <c r="F47" s="47"/>
      <c r="G47" s="57">
        <f t="shared" ref="G47:G49" si="35">D47</f>
        <v>2</v>
      </c>
      <c r="H47" s="57">
        <f t="shared" ref="H47:BN47" si="34">G47</f>
        <v>2</v>
      </c>
      <c r="I47" s="57">
        <f t="shared" si="34"/>
        <v>2</v>
      </c>
      <c r="J47" s="57">
        <f t="shared" si="34"/>
        <v>2</v>
      </c>
      <c r="K47" s="57">
        <f t="shared" si="34"/>
        <v>2</v>
      </c>
      <c r="L47" s="57">
        <f t="shared" si="34"/>
        <v>2</v>
      </c>
      <c r="M47" s="57">
        <f t="shared" si="34"/>
        <v>2</v>
      </c>
      <c r="N47" s="57">
        <f t="shared" si="34"/>
        <v>2</v>
      </c>
      <c r="O47" s="57">
        <f t="shared" si="34"/>
        <v>2</v>
      </c>
      <c r="P47" s="57">
        <f t="shared" si="34"/>
        <v>2</v>
      </c>
      <c r="Q47" s="57">
        <f t="shared" si="34"/>
        <v>2</v>
      </c>
      <c r="R47" s="57">
        <f t="shared" si="34"/>
        <v>2</v>
      </c>
      <c r="S47" s="57">
        <f t="shared" si="34"/>
        <v>2</v>
      </c>
      <c r="T47" s="57">
        <f t="shared" si="34"/>
        <v>2</v>
      </c>
      <c r="U47" s="57">
        <f t="shared" si="34"/>
        <v>2</v>
      </c>
      <c r="V47" s="57">
        <f t="shared" si="34"/>
        <v>2</v>
      </c>
      <c r="W47" s="57">
        <f t="shared" si="34"/>
        <v>2</v>
      </c>
      <c r="X47" s="57">
        <f t="shared" si="34"/>
        <v>2</v>
      </c>
      <c r="Y47" s="57">
        <f t="shared" si="34"/>
        <v>2</v>
      </c>
      <c r="Z47" s="57">
        <f t="shared" si="34"/>
        <v>2</v>
      </c>
      <c r="AA47" s="57">
        <f t="shared" si="34"/>
        <v>2</v>
      </c>
      <c r="AB47" s="57">
        <f t="shared" si="34"/>
        <v>2</v>
      </c>
      <c r="AC47" s="57">
        <f t="shared" si="34"/>
        <v>2</v>
      </c>
      <c r="AD47" s="57">
        <f t="shared" si="34"/>
        <v>2</v>
      </c>
      <c r="AE47" s="57">
        <f t="shared" si="34"/>
        <v>2</v>
      </c>
      <c r="AF47" s="57">
        <f t="shared" si="34"/>
        <v>2</v>
      </c>
      <c r="AG47" s="57">
        <f t="shared" si="34"/>
        <v>2</v>
      </c>
      <c r="AH47" s="57">
        <f t="shared" si="34"/>
        <v>2</v>
      </c>
      <c r="AI47" s="57">
        <f t="shared" si="34"/>
        <v>2</v>
      </c>
      <c r="AJ47" s="57">
        <f t="shared" si="34"/>
        <v>2</v>
      </c>
      <c r="AK47" s="57">
        <f t="shared" si="34"/>
        <v>2</v>
      </c>
      <c r="AL47" s="57">
        <f t="shared" si="34"/>
        <v>2</v>
      </c>
      <c r="AM47" s="57">
        <f t="shared" si="34"/>
        <v>2</v>
      </c>
      <c r="AN47" s="57">
        <f t="shared" si="34"/>
        <v>2</v>
      </c>
      <c r="AO47" s="57">
        <f t="shared" si="34"/>
        <v>2</v>
      </c>
      <c r="AP47" s="57">
        <f t="shared" si="34"/>
        <v>2</v>
      </c>
      <c r="AQ47" s="57">
        <f t="shared" si="34"/>
        <v>2</v>
      </c>
      <c r="AR47" s="57">
        <f t="shared" si="34"/>
        <v>2</v>
      </c>
      <c r="AS47" s="57">
        <f t="shared" si="34"/>
        <v>2</v>
      </c>
      <c r="AT47" s="57">
        <f t="shared" si="34"/>
        <v>2</v>
      </c>
      <c r="AU47" s="57">
        <f t="shared" si="34"/>
        <v>2</v>
      </c>
      <c r="AV47" s="57">
        <f t="shared" si="34"/>
        <v>2</v>
      </c>
      <c r="AW47" s="57">
        <f t="shared" si="34"/>
        <v>2</v>
      </c>
      <c r="AX47" s="57">
        <f t="shared" si="34"/>
        <v>2</v>
      </c>
      <c r="AY47" s="57">
        <f t="shared" si="34"/>
        <v>2</v>
      </c>
      <c r="AZ47" s="57">
        <f t="shared" si="34"/>
        <v>2</v>
      </c>
      <c r="BA47" s="57">
        <f t="shared" si="34"/>
        <v>2</v>
      </c>
      <c r="BB47" s="57">
        <f t="shared" si="34"/>
        <v>2</v>
      </c>
      <c r="BC47" s="57">
        <f t="shared" si="34"/>
        <v>2</v>
      </c>
      <c r="BD47" s="57">
        <f t="shared" si="34"/>
        <v>2</v>
      </c>
      <c r="BE47" s="57">
        <f t="shared" si="34"/>
        <v>2</v>
      </c>
      <c r="BF47" s="57">
        <f t="shared" si="34"/>
        <v>2</v>
      </c>
      <c r="BG47" s="57">
        <f t="shared" si="34"/>
        <v>2</v>
      </c>
      <c r="BH47" s="57">
        <f t="shared" si="34"/>
        <v>2</v>
      </c>
      <c r="BI47" s="57">
        <f t="shared" si="34"/>
        <v>2</v>
      </c>
      <c r="BJ47" s="57">
        <f t="shared" si="34"/>
        <v>2</v>
      </c>
      <c r="BK47" s="57">
        <f t="shared" si="34"/>
        <v>2</v>
      </c>
      <c r="BL47" s="57">
        <f t="shared" si="34"/>
        <v>2</v>
      </c>
      <c r="BM47" s="57">
        <f t="shared" si="34"/>
        <v>2</v>
      </c>
      <c r="BN47" s="57">
        <f t="shared" si="34"/>
        <v>2</v>
      </c>
    </row>
    <row r="48" outlineLevel="1">
      <c r="A48" s="47"/>
      <c r="B48" s="39" t="s">
        <v>36</v>
      </c>
      <c r="C48" s="47"/>
      <c r="D48" s="76">
        <v>100.0</v>
      </c>
      <c r="E48" s="47"/>
      <c r="F48" s="47"/>
      <c r="G48" s="78">
        <f t="shared" si="35"/>
        <v>100</v>
      </c>
      <c r="H48" s="78">
        <f t="shared" ref="H48:BN48" si="36">G48</f>
        <v>100</v>
      </c>
      <c r="I48" s="78">
        <f t="shared" si="36"/>
        <v>100</v>
      </c>
      <c r="J48" s="78">
        <f t="shared" si="36"/>
        <v>100</v>
      </c>
      <c r="K48" s="78">
        <f t="shared" si="36"/>
        <v>100</v>
      </c>
      <c r="L48" s="78">
        <f t="shared" si="36"/>
        <v>100</v>
      </c>
      <c r="M48" s="78">
        <f t="shared" si="36"/>
        <v>100</v>
      </c>
      <c r="N48" s="78">
        <f t="shared" si="36"/>
        <v>100</v>
      </c>
      <c r="O48" s="78">
        <f t="shared" si="36"/>
        <v>100</v>
      </c>
      <c r="P48" s="78">
        <f t="shared" si="36"/>
        <v>100</v>
      </c>
      <c r="Q48" s="78">
        <f t="shared" si="36"/>
        <v>100</v>
      </c>
      <c r="R48" s="78">
        <f t="shared" si="36"/>
        <v>100</v>
      </c>
      <c r="S48" s="78">
        <f t="shared" si="36"/>
        <v>100</v>
      </c>
      <c r="T48" s="78">
        <f t="shared" si="36"/>
        <v>100</v>
      </c>
      <c r="U48" s="78">
        <f t="shared" si="36"/>
        <v>100</v>
      </c>
      <c r="V48" s="78">
        <f t="shared" si="36"/>
        <v>100</v>
      </c>
      <c r="W48" s="78">
        <f t="shared" si="36"/>
        <v>100</v>
      </c>
      <c r="X48" s="78">
        <f t="shared" si="36"/>
        <v>100</v>
      </c>
      <c r="Y48" s="78">
        <f t="shared" si="36"/>
        <v>100</v>
      </c>
      <c r="Z48" s="78">
        <f t="shared" si="36"/>
        <v>100</v>
      </c>
      <c r="AA48" s="78">
        <f t="shared" si="36"/>
        <v>100</v>
      </c>
      <c r="AB48" s="78">
        <f t="shared" si="36"/>
        <v>100</v>
      </c>
      <c r="AC48" s="78">
        <f t="shared" si="36"/>
        <v>100</v>
      </c>
      <c r="AD48" s="78">
        <f t="shared" si="36"/>
        <v>100</v>
      </c>
      <c r="AE48" s="78">
        <f t="shared" si="36"/>
        <v>100</v>
      </c>
      <c r="AF48" s="78">
        <f t="shared" si="36"/>
        <v>100</v>
      </c>
      <c r="AG48" s="78">
        <f t="shared" si="36"/>
        <v>100</v>
      </c>
      <c r="AH48" s="78">
        <f t="shared" si="36"/>
        <v>100</v>
      </c>
      <c r="AI48" s="78">
        <f t="shared" si="36"/>
        <v>100</v>
      </c>
      <c r="AJ48" s="78">
        <f t="shared" si="36"/>
        <v>100</v>
      </c>
      <c r="AK48" s="78">
        <f t="shared" si="36"/>
        <v>100</v>
      </c>
      <c r="AL48" s="78">
        <f t="shared" si="36"/>
        <v>100</v>
      </c>
      <c r="AM48" s="78">
        <f t="shared" si="36"/>
        <v>100</v>
      </c>
      <c r="AN48" s="78">
        <f t="shared" si="36"/>
        <v>100</v>
      </c>
      <c r="AO48" s="78">
        <f t="shared" si="36"/>
        <v>100</v>
      </c>
      <c r="AP48" s="78">
        <f t="shared" si="36"/>
        <v>100</v>
      </c>
      <c r="AQ48" s="78">
        <f t="shared" si="36"/>
        <v>100</v>
      </c>
      <c r="AR48" s="78">
        <f t="shared" si="36"/>
        <v>100</v>
      </c>
      <c r="AS48" s="78">
        <f t="shared" si="36"/>
        <v>100</v>
      </c>
      <c r="AT48" s="78">
        <f t="shared" si="36"/>
        <v>100</v>
      </c>
      <c r="AU48" s="78">
        <f t="shared" si="36"/>
        <v>100</v>
      </c>
      <c r="AV48" s="78">
        <f t="shared" si="36"/>
        <v>100</v>
      </c>
      <c r="AW48" s="78">
        <f t="shared" si="36"/>
        <v>100</v>
      </c>
      <c r="AX48" s="78">
        <f t="shared" si="36"/>
        <v>100</v>
      </c>
      <c r="AY48" s="78">
        <f t="shared" si="36"/>
        <v>100</v>
      </c>
      <c r="AZ48" s="78">
        <f t="shared" si="36"/>
        <v>100</v>
      </c>
      <c r="BA48" s="78">
        <f t="shared" si="36"/>
        <v>100</v>
      </c>
      <c r="BB48" s="78">
        <f t="shared" si="36"/>
        <v>100</v>
      </c>
      <c r="BC48" s="78">
        <f t="shared" si="36"/>
        <v>100</v>
      </c>
      <c r="BD48" s="78">
        <f t="shared" si="36"/>
        <v>100</v>
      </c>
      <c r="BE48" s="78">
        <f t="shared" si="36"/>
        <v>100</v>
      </c>
      <c r="BF48" s="78">
        <f t="shared" si="36"/>
        <v>100</v>
      </c>
      <c r="BG48" s="78">
        <f t="shared" si="36"/>
        <v>100</v>
      </c>
      <c r="BH48" s="78">
        <f t="shared" si="36"/>
        <v>100</v>
      </c>
      <c r="BI48" s="78">
        <f t="shared" si="36"/>
        <v>100</v>
      </c>
      <c r="BJ48" s="78">
        <f t="shared" si="36"/>
        <v>100</v>
      </c>
      <c r="BK48" s="78">
        <f t="shared" si="36"/>
        <v>100</v>
      </c>
      <c r="BL48" s="78">
        <f t="shared" si="36"/>
        <v>100</v>
      </c>
      <c r="BM48" s="78">
        <f t="shared" si="36"/>
        <v>100</v>
      </c>
      <c r="BN48" s="78">
        <f t="shared" si="36"/>
        <v>100</v>
      </c>
    </row>
    <row r="49" outlineLevel="1">
      <c r="A49" s="47"/>
      <c r="B49" s="71" t="s">
        <v>16</v>
      </c>
      <c r="C49" s="59"/>
      <c r="D49" s="72">
        <v>0.05</v>
      </c>
      <c r="E49" s="61"/>
      <c r="F49" s="61"/>
      <c r="G49" s="62">
        <f t="shared" si="35"/>
        <v>0.05</v>
      </c>
      <c r="H49" s="62">
        <f t="shared" ref="H49:BN49" si="37">G49</f>
        <v>0.05</v>
      </c>
      <c r="I49" s="62">
        <f t="shared" si="37"/>
        <v>0.05</v>
      </c>
      <c r="J49" s="62">
        <f t="shared" si="37"/>
        <v>0.05</v>
      </c>
      <c r="K49" s="62">
        <f t="shared" si="37"/>
        <v>0.05</v>
      </c>
      <c r="L49" s="62">
        <f t="shared" si="37"/>
        <v>0.05</v>
      </c>
      <c r="M49" s="62">
        <f t="shared" si="37"/>
        <v>0.05</v>
      </c>
      <c r="N49" s="62">
        <f t="shared" si="37"/>
        <v>0.05</v>
      </c>
      <c r="O49" s="62">
        <f t="shared" si="37"/>
        <v>0.05</v>
      </c>
      <c r="P49" s="62">
        <f t="shared" si="37"/>
        <v>0.05</v>
      </c>
      <c r="Q49" s="62">
        <f t="shared" si="37"/>
        <v>0.05</v>
      </c>
      <c r="R49" s="62">
        <f t="shared" si="37"/>
        <v>0.05</v>
      </c>
      <c r="S49" s="62">
        <f t="shared" si="37"/>
        <v>0.05</v>
      </c>
      <c r="T49" s="62">
        <f t="shared" si="37"/>
        <v>0.05</v>
      </c>
      <c r="U49" s="62">
        <f t="shared" si="37"/>
        <v>0.05</v>
      </c>
      <c r="V49" s="62">
        <f t="shared" si="37"/>
        <v>0.05</v>
      </c>
      <c r="W49" s="62">
        <f t="shared" si="37"/>
        <v>0.05</v>
      </c>
      <c r="X49" s="62">
        <f t="shared" si="37"/>
        <v>0.05</v>
      </c>
      <c r="Y49" s="62">
        <f t="shared" si="37"/>
        <v>0.05</v>
      </c>
      <c r="Z49" s="62">
        <f t="shared" si="37"/>
        <v>0.05</v>
      </c>
      <c r="AA49" s="62">
        <f t="shared" si="37"/>
        <v>0.05</v>
      </c>
      <c r="AB49" s="62">
        <f t="shared" si="37"/>
        <v>0.05</v>
      </c>
      <c r="AC49" s="62">
        <f t="shared" si="37"/>
        <v>0.05</v>
      </c>
      <c r="AD49" s="62">
        <f t="shared" si="37"/>
        <v>0.05</v>
      </c>
      <c r="AE49" s="62">
        <f t="shared" si="37"/>
        <v>0.05</v>
      </c>
      <c r="AF49" s="62">
        <f t="shared" si="37"/>
        <v>0.05</v>
      </c>
      <c r="AG49" s="62">
        <f t="shared" si="37"/>
        <v>0.05</v>
      </c>
      <c r="AH49" s="62">
        <f t="shared" si="37"/>
        <v>0.05</v>
      </c>
      <c r="AI49" s="62">
        <f t="shared" si="37"/>
        <v>0.05</v>
      </c>
      <c r="AJ49" s="62">
        <f t="shared" si="37"/>
        <v>0.05</v>
      </c>
      <c r="AK49" s="62">
        <f t="shared" si="37"/>
        <v>0.05</v>
      </c>
      <c r="AL49" s="62">
        <f t="shared" si="37"/>
        <v>0.05</v>
      </c>
      <c r="AM49" s="62">
        <f t="shared" si="37"/>
        <v>0.05</v>
      </c>
      <c r="AN49" s="62">
        <f t="shared" si="37"/>
        <v>0.05</v>
      </c>
      <c r="AO49" s="62">
        <f t="shared" si="37"/>
        <v>0.05</v>
      </c>
      <c r="AP49" s="62">
        <f t="shared" si="37"/>
        <v>0.05</v>
      </c>
      <c r="AQ49" s="62">
        <f t="shared" si="37"/>
        <v>0.05</v>
      </c>
      <c r="AR49" s="62">
        <f t="shared" si="37"/>
        <v>0.05</v>
      </c>
      <c r="AS49" s="62">
        <f t="shared" si="37"/>
        <v>0.05</v>
      </c>
      <c r="AT49" s="62">
        <f t="shared" si="37"/>
        <v>0.05</v>
      </c>
      <c r="AU49" s="62">
        <f t="shared" si="37"/>
        <v>0.05</v>
      </c>
      <c r="AV49" s="62">
        <f t="shared" si="37"/>
        <v>0.05</v>
      </c>
      <c r="AW49" s="62">
        <f t="shared" si="37"/>
        <v>0.05</v>
      </c>
      <c r="AX49" s="62">
        <f t="shared" si="37"/>
        <v>0.05</v>
      </c>
      <c r="AY49" s="62">
        <f t="shared" si="37"/>
        <v>0.05</v>
      </c>
      <c r="AZ49" s="62">
        <f t="shared" si="37"/>
        <v>0.05</v>
      </c>
      <c r="BA49" s="62">
        <f t="shared" si="37"/>
        <v>0.05</v>
      </c>
      <c r="BB49" s="62">
        <f t="shared" si="37"/>
        <v>0.05</v>
      </c>
      <c r="BC49" s="62">
        <f t="shared" si="37"/>
        <v>0.05</v>
      </c>
      <c r="BD49" s="62">
        <f t="shared" si="37"/>
        <v>0.05</v>
      </c>
      <c r="BE49" s="62">
        <f t="shared" si="37"/>
        <v>0.05</v>
      </c>
      <c r="BF49" s="62">
        <f t="shared" si="37"/>
        <v>0.05</v>
      </c>
      <c r="BG49" s="62">
        <f t="shared" si="37"/>
        <v>0.05</v>
      </c>
      <c r="BH49" s="62">
        <f t="shared" si="37"/>
        <v>0.05</v>
      </c>
      <c r="BI49" s="62">
        <f t="shared" si="37"/>
        <v>0.05</v>
      </c>
      <c r="BJ49" s="62">
        <f t="shared" si="37"/>
        <v>0.05</v>
      </c>
      <c r="BK49" s="62">
        <f t="shared" si="37"/>
        <v>0.05</v>
      </c>
      <c r="BL49" s="62">
        <f t="shared" si="37"/>
        <v>0.05</v>
      </c>
      <c r="BM49" s="62">
        <f t="shared" si="37"/>
        <v>0.05</v>
      </c>
      <c r="BN49" s="62">
        <f t="shared" si="37"/>
        <v>0.05</v>
      </c>
    </row>
    <row r="50" outlineLevel="1">
      <c r="A50" s="47"/>
      <c r="B50" s="73" t="s">
        <v>17</v>
      </c>
      <c r="C50" s="47"/>
      <c r="D50" s="63"/>
      <c r="E50" s="64"/>
      <c r="F50" s="64"/>
      <c r="G50" s="63">
        <f t="shared" ref="G50:BN50" si="38">G47*G48*G49</f>
        <v>10</v>
      </c>
      <c r="H50" s="63">
        <f t="shared" si="38"/>
        <v>10</v>
      </c>
      <c r="I50" s="63">
        <f t="shared" si="38"/>
        <v>10</v>
      </c>
      <c r="J50" s="63">
        <f t="shared" si="38"/>
        <v>10</v>
      </c>
      <c r="K50" s="63">
        <f t="shared" si="38"/>
        <v>10</v>
      </c>
      <c r="L50" s="63">
        <f t="shared" si="38"/>
        <v>10</v>
      </c>
      <c r="M50" s="63">
        <f t="shared" si="38"/>
        <v>10</v>
      </c>
      <c r="N50" s="63">
        <f t="shared" si="38"/>
        <v>10</v>
      </c>
      <c r="O50" s="63">
        <f t="shared" si="38"/>
        <v>10</v>
      </c>
      <c r="P50" s="63">
        <f t="shared" si="38"/>
        <v>10</v>
      </c>
      <c r="Q50" s="63">
        <f t="shared" si="38"/>
        <v>10</v>
      </c>
      <c r="R50" s="63">
        <f t="shared" si="38"/>
        <v>10</v>
      </c>
      <c r="S50" s="63">
        <f t="shared" si="38"/>
        <v>10</v>
      </c>
      <c r="T50" s="63">
        <f t="shared" si="38"/>
        <v>10</v>
      </c>
      <c r="U50" s="63">
        <f t="shared" si="38"/>
        <v>10</v>
      </c>
      <c r="V50" s="63">
        <f t="shared" si="38"/>
        <v>10</v>
      </c>
      <c r="W50" s="63">
        <f t="shared" si="38"/>
        <v>10</v>
      </c>
      <c r="X50" s="63">
        <f t="shared" si="38"/>
        <v>10</v>
      </c>
      <c r="Y50" s="63">
        <f t="shared" si="38"/>
        <v>10</v>
      </c>
      <c r="Z50" s="63">
        <f t="shared" si="38"/>
        <v>10</v>
      </c>
      <c r="AA50" s="63">
        <f t="shared" si="38"/>
        <v>10</v>
      </c>
      <c r="AB50" s="63">
        <f t="shared" si="38"/>
        <v>10</v>
      </c>
      <c r="AC50" s="63">
        <f t="shared" si="38"/>
        <v>10</v>
      </c>
      <c r="AD50" s="63">
        <f t="shared" si="38"/>
        <v>10</v>
      </c>
      <c r="AE50" s="63">
        <f t="shared" si="38"/>
        <v>10</v>
      </c>
      <c r="AF50" s="63">
        <f t="shared" si="38"/>
        <v>10</v>
      </c>
      <c r="AG50" s="63">
        <f t="shared" si="38"/>
        <v>10</v>
      </c>
      <c r="AH50" s="63">
        <f t="shared" si="38"/>
        <v>10</v>
      </c>
      <c r="AI50" s="63">
        <f t="shared" si="38"/>
        <v>10</v>
      </c>
      <c r="AJ50" s="63">
        <f t="shared" si="38"/>
        <v>10</v>
      </c>
      <c r="AK50" s="63">
        <f t="shared" si="38"/>
        <v>10</v>
      </c>
      <c r="AL50" s="63">
        <f t="shared" si="38"/>
        <v>10</v>
      </c>
      <c r="AM50" s="63">
        <f t="shared" si="38"/>
        <v>10</v>
      </c>
      <c r="AN50" s="63">
        <f t="shared" si="38"/>
        <v>10</v>
      </c>
      <c r="AO50" s="63">
        <f t="shared" si="38"/>
        <v>10</v>
      </c>
      <c r="AP50" s="63">
        <f t="shared" si="38"/>
        <v>10</v>
      </c>
      <c r="AQ50" s="63">
        <f t="shared" si="38"/>
        <v>10</v>
      </c>
      <c r="AR50" s="63">
        <f t="shared" si="38"/>
        <v>10</v>
      </c>
      <c r="AS50" s="63">
        <f t="shared" si="38"/>
        <v>10</v>
      </c>
      <c r="AT50" s="63">
        <f t="shared" si="38"/>
        <v>10</v>
      </c>
      <c r="AU50" s="63">
        <f t="shared" si="38"/>
        <v>10</v>
      </c>
      <c r="AV50" s="63">
        <f t="shared" si="38"/>
        <v>10</v>
      </c>
      <c r="AW50" s="63">
        <f t="shared" si="38"/>
        <v>10</v>
      </c>
      <c r="AX50" s="63">
        <f t="shared" si="38"/>
        <v>10</v>
      </c>
      <c r="AY50" s="63">
        <f t="shared" si="38"/>
        <v>10</v>
      </c>
      <c r="AZ50" s="63">
        <f t="shared" si="38"/>
        <v>10</v>
      </c>
      <c r="BA50" s="63">
        <f t="shared" si="38"/>
        <v>10</v>
      </c>
      <c r="BB50" s="63">
        <f t="shared" si="38"/>
        <v>10</v>
      </c>
      <c r="BC50" s="63">
        <f t="shared" si="38"/>
        <v>10</v>
      </c>
      <c r="BD50" s="63">
        <f t="shared" si="38"/>
        <v>10</v>
      </c>
      <c r="BE50" s="63">
        <f t="shared" si="38"/>
        <v>10</v>
      </c>
      <c r="BF50" s="63">
        <f t="shared" si="38"/>
        <v>10</v>
      </c>
      <c r="BG50" s="63">
        <f t="shared" si="38"/>
        <v>10</v>
      </c>
      <c r="BH50" s="63">
        <f t="shared" si="38"/>
        <v>10</v>
      </c>
      <c r="BI50" s="63">
        <f t="shared" si="38"/>
        <v>10</v>
      </c>
      <c r="BJ50" s="63">
        <f t="shared" si="38"/>
        <v>10</v>
      </c>
      <c r="BK50" s="63">
        <f t="shared" si="38"/>
        <v>10</v>
      </c>
      <c r="BL50" s="63">
        <f t="shared" si="38"/>
        <v>10</v>
      </c>
      <c r="BM50" s="63">
        <f t="shared" si="38"/>
        <v>10</v>
      </c>
      <c r="BN50" s="63">
        <f t="shared" si="38"/>
        <v>10</v>
      </c>
    </row>
    <row r="51" outlineLevel="1">
      <c r="A51" s="47"/>
      <c r="B51" s="73"/>
      <c r="C51" s="47"/>
      <c r="D51" s="74"/>
      <c r="E51" s="47"/>
      <c r="F51" s="47"/>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row>
    <row r="52" outlineLevel="1">
      <c r="A52" s="80"/>
      <c r="B52" s="65" t="s">
        <v>37</v>
      </c>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row>
    <row r="53" outlineLevel="1">
      <c r="A53" s="80"/>
      <c r="B53" s="39" t="s">
        <v>38</v>
      </c>
      <c r="C53" s="80"/>
      <c r="D53" s="76">
        <v>2000.0</v>
      </c>
      <c r="E53" s="80"/>
      <c r="F53" s="80"/>
      <c r="G53" s="57">
        <f t="shared" ref="G53:G56" si="40">D53</f>
        <v>2000</v>
      </c>
      <c r="H53" s="57">
        <f t="shared" ref="H53:BN53" si="39">G53</f>
        <v>2000</v>
      </c>
      <c r="I53" s="57">
        <f t="shared" si="39"/>
        <v>2000</v>
      </c>
      <c r="J53" s="57">
        <f t="shared" si="39"/>
        <v>2000</v>
      </c>
      <c r="K53" s="57">
        <f t="shared" si="39"/>
        <v>2000</v>
      </c>
      <c r="L53" s="57">
        <f t="shared" si="39"/>
        <v>2000</v>
      </c>
      <c r="M53" s="57">
        <f t="shared" si="39"/>
        <v>2000</v>
      </c>
      <c r="N53" s="57">
        <f t="shared" si="39"/>
        <v>2000</v>
      </c>
      <c r="O53" s="57">
        <f t="shared" si="39"/>
        <v>2000</v>
      </c>
      <c r="P53" s="57">
        <f t="shared" si="39"/>
        <v>2000</v>
      </c>
      <c r="Q53" s="57">
        <f t="shared" si="39"/>
        <v>2000</v>
      </c>
      <c r="R53" s="57">
        <f t="shared" si="39"/>
        <v>2000</v>
      </c>
      <c r="S53" s="57">
        <f t="shared" si="39"/>
        <v>2000</v>
      </c>
      <c r="T53" s="57">
        <f t="shared" si="39"/>
        <v>2000</v>
      </c>
      <c r="U53" s="57">
        <f t="shared" si="39"/>
        <v>2000</v>
      </c>
      <c r="V53" s="57">
        <f t="shared" si="39"/>
        <v>2000</v>
      </c>
      <c r="W53" s="57">
        <f t="shared" si="39"/>
        <v>2000</v>
      </c>
      <c r="X53" s="57">
        <f t="shared" si="39"/>
        <v>2000</v>
      </c>
      <c r="Y53" s="57">
        <f t="shared" si="39"/>
        <v>2000</v>
      </c>
      <c r="Z53" s="57">
        <f t="shared" si="39"/>
        <v>2000</v>
      </c>
      <c r="AA53" s="57">
        <f t="shared" si="39"/>
        <v>2000</v>
      </c>
      <c r="AB53" s="57">
        <f t="shared" si="39"/>
        <v>2000</v>
      </c>
      <c r="AC53" s="57">
        <f t="shared" si="39"/>
        <v>2000</v>
      </c>
      <c r="AD53" s="57">
        <f t="shared" si="39"/>
        <v>2000</v>
      </c>
      <c r="AE53" s="57">
        <f t="shared" si="39"/>
        <v>2000</v>
      </c>
      <c r="AF53" s="57">
        <f t="shared" si="39"/>
        <v>2000</v>
      </c>
      <c r="AG53" s="57">
        <f t="shared" si="39"/>
        <v>2000</v>
      </c>
      <c r="AH53" s="57">
        <f t="shared" si="39"/>
        <v>2000</v>
      </c>
      <c r="AI53" s="57">
        <f t="shared" si="39"/>
        <v>2000</v>
      </c>
      <c r="AJ53" s="57">
        <f t="shared" si="39"/>
        <v>2000</v>
      </c>
      <c r="AK53" s="57">
        <f t="shared" si="39"/>
        <v>2000</v>
      </c>
      <c r="AL53" s="57">
        <f t="shared" si="39"/>
        <v>2000</v>
      </c>
      <c r="AM53" s="57">
        <f t="shared" si="39"/>
        <v>2000</v>
      </c>
      <c r="AN53" s="57">
        <f t="shared" si="39"/>
        <v>2000</v>
      </c>
      <c r="AO53" s="57">
        <f t="shared" si="39"/>
        <v>2000</v>
      </c>
      <c r="AP53" s="57">
        <f t="shared" si="39"/>
        <v>2000</v>
      </c>
      <c r="AQ53" s="57">
        <f t="shared" si="39"/>
        <v>2000</v>
      </c>
      <c r="AR53" s="57">
        <f t="shared" si="39"/>
        <v>2000</v>
      </c>
      <c r="AS53" s="57">
        <f t="shared" si="39"/>
        <v>2000</v>
      </c>
      <c r="AT53" s="57">
        <f t="shared" si="39"/>
        <v>2000</v>
      </c>
      <c r="AU53" s="57">
        <f t="shared" si="39"/>
        <v>2000</v>
      </c>
      <c r="AV53" s="57">
        <f t="shared" si="39"/>
        <v>2000</v>
      </c>
      <c r="AW53" s="57">
        <f t="shared" si="39"/>
        <v>2000</v>
      </c>
      <c r="AX53" s="57">
        <f t="shared" si="39"/>
        <v>2000</v>
      </c>
      <c r="AY53" s="57">
        <f t="shared" si="39"/>
        <v>2000</v>
      </c>
      <c r="AZ53" s="57">
        <f t="shared" si="39"/>
        <v>2000</v>
      </c>
      <c r="BA53" s="57">
        <f t="shared" si="39"/>
        <v>2000</v>
      </c>
      <c r="BB53" s="57">
        <f t="shared" si="39"/>
        <v>2000</v>
      </c>
      <c r="BC53" s="57">
        <f t="shared" si="39"/>
        <v>2000</v>
      </c>
      <c r="BD53" s="57">
        <f t="shared" si="39"/>
        <v>2000</v>
      </c>
      <c r="BE53" s="57">
        <f t="shared" si="39"/>
        <v>2000</v>
      </c>
      <c r="BF53" s="57">
        <f t="shared" si="39"/>
        <v>2000</v>
      </c>
      <c r="BG53" s="57">
        <f t="shared" si="39"/>
        <v>2000</v>
      </c>
      <c r="BH53" s="57">
        <f t="shared" si="39"/>
        <v>2000</v>
      </c>
      <c r="BI53" s="57">
        <f t="shared" si="39"/>
        <v>2000</v>
      </c>
      <c r="BJ53" s="57">
        <f t="shared" si="39"/>
        <v>2000</v>
      </c>
      <c r="BK53" s="57">
        <f t="shared" si="39"/>
        <v>2000</v>
      </c>
      <c r="BL53" s="57">
        <f t="shared" si="39"/>
        <v>2000</v>
      </c>
      <c r="BM53" s="57">
        <f t="shared" si="39"/>
        <v>2000</v>
      </c>
      <c r="BN53" s="57">
        <f t="shared" si="39"/>
        <v>2000</v>
      </c>
    </row>
    <row r="54" outlineLevel="1">
      <c r="A54" s="47"/>
      <c r="B54" s="39" t="s">
        <v>39</v>
      </c>
      <c r="C54" s="47"/>
      <c r="D54" s="76">
        <v>2.0</v>
      </c>
      <c r="E54" s="47"/>
      <c r="F54" s="47"/>
      <c r="G54" s="78">
        <f t="shared" si="40"/>
        <v>2</v>
      </c>
      <c r="H54" s="78">
        <f t="shared" ref="H54:BN54" si="41">G54</f>
        <v>2</v>
      </c>
      <c r="I54" s="78">
        <f t="shared" si="41"/>
        <v>2</v>
      </c>
      <c r="J54" s="78">
        <f t="shared" si="41"/>
        <v>2</v>
      </c>
      <c r="K54" s="78">
        <f t="shared" si="41"/>
        <v>2</v>
      </c>
      <c r="L54" s="78">
        <f t="shared" si="41"/>
        <v>2</v>
      </c>
      <c r="M54" s="78">
        <f t="shared" si="41"/>
        <v>2</v>
      </c>
      <c r="N54" s="78">
        <f t="shared" si="41"/>
        <v>2</v>
      </c>
      <c r="O54" s="78">
        <f t="shared" si="41"/>
        <v>2</v>
      </c>
      <c r="P54" s="78">
        <f t="shared" si="41"/>
        <v>2</v>
      </c>
      <c r="Q54" s="78">
        <f t="shared" si="41"/>
        <v>2</v>
      </c>
      <c r="R54" s="78">
        <f t="shared" si="41"/>
        <v>2</v>
      </c>
      <c r="S54" s="78">
        <f t="shared" si="41"/>
        <v>2</v>
      </c>
      <c r="T54" s="78">
        <f t="shared" si="41"/>
        <v>2</v>
      </c>
      <c r="U54" s="78">
        <f t="shared" si="41"/>
        <v>2</v>
      </c>
      <c r="V54" s="78">
        <f t="shared" si="41"/>
        <v>2</v>
      </c>
      <c r="W54" s="78">
        <f t="shared" si="41"/>
        <v>2</v>
      </c>
      <c r="X54" s="78">
        <f t="shared" si="41"/>
        <v>2</v>
      </c>
      <c r="Y54" s="78">
        <f t="shared" si="41"/>
        <v>2</v>
      </c>
      <c r="Z54" s="78">
        <f t="shared" si="41"/>
        <v>2</v>
      </c>
      <c r="AA54" s="78">
        <f t="shared" si="41"/>
        <v>2</v>
      </c>
      <c r="AB54" s="78">
        <f t="shared" si="41"/>
        <v>2</v>
      </c>
      <c r="AC54" s="78">
        <f t="shared" si="41"/>
        <v>2</v>
      </c>
      <c r="AD54" s="78">
        <f t="shared" si="41"/>
        <v>2</v>
      </c>
      <c r="AE54" s="78">
        <f t="shared" si="41"/>
        <v>2</v>
      </c>
      <c r="AF54" s="78">
        <f t="shared" si="41"/>
        <v>2</v>
      </c>
      <c r="AG54" s="78">
        <f t="shared" si="41"/>
        <v>2</v>
      </c>
      <c r="AH54" s="78">
        <f t="shared" si="41"/>
        <v>2</v>
      </c>
      <c r="AI54" s="78">
        <f t="shared" si="41"/>
        <v>2</v>
      </c>
      <c r="AJ54" s="78">
        <f t="shared" si="41"/>
        <v>2</v>
      </c>
      <c r="AK54" s="78">
        <f t="shared" si="41"/>
        <v>2</v>
      </c>
      <c r="AL54" s="78">
        <f t="shared" si="41"/>
        <v>2</v>
      </c>
      <c r="AM54" s="78">
        <f t="shared" si="41"/>
        <v>2</v>
      </c>
      <c r="AN54" s="78">
        <f t="shared" si="41"/>
        <v>2</v>
      </c>
      <c r="AO54" s="78">
        <f t="shared" si="41"/>
        <v>2</v>
      </c>
      <c r="AP54" s="78">
        <f t="shared" si="41"/>
        <v>2</v>
      </c>
      <c r="AQ54" s="78">
        <f t="shared" si="41"/>
        <v>2</v>
      </c>
      <c r="AR54" s="78">
        <f t="shared" si="41"/>
        <v>2</v>
      </c>
      <c r="AS54" s="78">
        <f t="shared" si="41"/>
        <v>2</v>
      </c>
      <c r="AT54" s="78">
        <f t="shared" si="41"/>
        <v>2</v>
      </c>
      <c r="AU54" s="78">
        <f t="shared" si="41"/>
        <v>2</v>
      </c>
      <c r="AV54" s="78">
        <f t="shared" si="41"/>
        <v>2</v>
      </c>
      <c r="AW54" s="78">
        <f t="shared" si="41"/>
        <v>2</v>
      </c>
      <c r="AX54" s="78">
        <f t="shared" si="41"/>
        <v>2</v>
      </c>
      <c r="AY54" s="78">
        <f t="shared" si="41"/>
        <v>2</v>
      </c>
      <c r="AZ54" s="78">
        <f t="shared" si="41"/>
        <v>2</v>
      </c>
      <c r="BA54" s="78">
        <f t="shared" si="41"/>
        <v>2</v>
      </c>
      <c r="BB54" s="78">
        <f t="shared" si="41"/>
        <v>2</v>
      </c>
      <c r="BC54" s="78">
        <f t="shared" si="41"/>
        <v>2</v>
      </c>
      <c r="BD54" s="78">
        <f t="shared" si="41"/>
        <v>2</v>
      </c>
      <c r="BE54" s="78">
        <f t="shared" si="41"/>
        <v>2</v>
      </c>
      <c r="BF54" s="78">
        <f t="shared" si="41"/>
        <v>2</v>
      </c>
      <c r="BG54" s="78">
        <f t="shared" si="41"/>
        <v>2</v>
      </c>
      <c r="BH54" s="78">
        <f t="shared" si="41"/>
        <v>2</v>
      </c>
      <c r="BI54" s="78">
        <f t="shared" si="41"/>
        <v>2</v>
      </c>
      <c r="BJ54" s="78">
        <f t="shared" si="41"/>
        <v>2</v>
      </c>
      <c r="BK54" s="78">
        <f t="shared" si="41"/>
        <v>2</v>
      </c>
      <c r="BL54" s="78">
        <f t="shared" si="41"/>
        <v>2</v>
      </c>
      <c r="BM54" s="78">
        <f t="shared" si="41"/>
        <v>2</v>
      </c>
      <c r="BN54" s="78">
        <f t="shared" si="41"/>
        <v>2</v>
      </c>
    </row>
    <row r="55" outlineLevel="1">
      <c r="A55" s="47"/>
      <c r="B55" s="39" t="s">
        <v>40</v>
      </c>
      <c r="C55" s="47"/>
      <c r="D55" s="87">
        <v>0.05</v>
      </c>
      <c r="E55" s="47"/>
      <c r="F55" s="47"/>
      <c r="G55" s="88">
        <f t="shared" si="40"/>
        <v>0.05</v>
      </c>
      <c r="H55" s="88">
        <f t="shared" ref="H55:BN55" si="42">G55</f>
        <v>0.05</v>
      </c>
      <c r="I55" s="88">
        <f t="shared" si="42"/>
        <v>0.05</v>
      </c>
      <c r="J55" s="88">
        <f t="shared" si="42"/>
        <v>0.05</v>
      </c>
      <c r="K55" s="88">
        <f t="shared" si="42"/>
        <v>0.05</v>
      </c>
      <c r="L55" s="88">
        <f t="shared" si="42"/>
        <v>0.05</v>
      </c>
      <c r="M55" s="88">
        <f t="shared" si="42"/>
        <v>0.05</v>
      </c>
      <c r="N55" s="88">
        <f t="shared" si="42"/>
        <v>0.05</v>
      </c>
      <c r="O55" s="88">
        <f t="shared" si="42"/>
        <v>0.05</v>
      </c>
      <c r="P55" s="88">
        <f t="shared" si="42"/>
        <v>0.05</v>
      </c>
      <c r="Q55" s="88">
        <f t="shared" si="42"/>
        <v>0.05</v>
      </c>
      <c r="R55" s="88">
        <f t="shared" si="42"/>
        <v>0.05</v>
      </c>
      <c r="S55" s="88">
        <f t="shared" si="42"/>
        <v>0.05</v>
      </c>
      <c r="T55" s="88">
        <f t="shared" si="42"/>
        <v>0.05</v>
      </c>
      <c r="U55" s="88">
        <f t="shared" si="42"/>
        <v>0.05</v>
      </c>
      <c r="V55" s="88">
        <f t="shared" si="42"/>
        <v>0.05</v>
      </c>
      <c r="W55" s="88">
        <f t="shared" si="42"/>
        <v>0.05</v>
      </c>
      <c r="X55" s="88">
        <f t="shared" si="42"/>
        <v>0.05</v>
      </c>
      <c r="Y55" s="88">
        <f t="shared" si="42"/>
        <v>0.05</v>
      </c>
      <c r="Z55" s="88">
        <f t="shared" si="42"/>
        <v>0.05</v>
      </c>
      <c r="AA55" s="88">
        <f t="shared" si="42"/>
        <v>0.05</v>
      </c>
      <c r="AB55" s="88">
        <f t="shared" si="42"/>
        <v>0.05</v>
      </c>
      <c r="AC55" s="88">
        <f t="shared" si="42"/>
        <v>0.05</v>
      </c>
      <c r="AD55" s="88">
        <f t="shared" si="42"/>
        <v>0.05</v>
      </c>
      <c r="AE55" s="88">
        <f t="shared" si="42"/>
        <v>0.05</v>
      </c>
      <c r="AF55" s="88">
        <f t="shared" si="42"/>
        <v>0.05</v>
      </c>
      <c r="AG55" s="88">
        <f t="shared" si="42"/>
        <v>0.05</v>
      </c>
      <c r="AH55" s="88">
        <f t="shared" si="42"/>
        <v>0.05</v>
      </c>
      <c r="AI55" s="88">
        <f t="shared" si="42"/>
        <v>0.05</v>
      </c>
      <c r="AJ55" s="88">
        <f t="shared" si="42"/>
        <v>0.05</v>
      </c>
      <c r="AK55" s="88">
        <f t="shared" si="42"/>
        <v>0.05</v>
      </c>
      <c r="AL55" s="88">
        <f t="shared" si="42"/>
        <v>0.05</v>
      </c>
      <c r="AM55" s="88">
        <f t="shared" si="42"/>
        <v>0.05</v>
      </c>
      <c r="AN55" s="88">
        <f t="shared" si="42"/>
        <v>0.05</v>
      </c>
      <c r="AO55" s="88">
        <f t="shared" si="42"/>
        <v>0.05</v>
      </c>
      <c r="AP55" s="88">
        <f t="shared" si="42"/>
        <v>0.05</v>
      </c>
      <c r="AQ55" s="88">
        <f t="shared" si="42"/>
        <v>0.05</v>
      </c>
      <c r="AR55" s="88">
        <f t="shared" si="42"/>
        <v>0.05</v>
      </c>
      <c r="AS55" s="88">
        <f t="shared" si="42"/>
        <v>0.05</v>
      </c>
      <c r="AT55" s="88">
        <f t="shared" si="42"/>
        <v>0.05</v>
      </c>
      <c r="AU55" s="88">
        <f t="shared" si="42"/>
        <v>0.05</v>
      </c>
      <c r="AV55" s="88">
        <f t="shared" si="42"/>
        <v>0.05</v>
      </c>
      <c r="AW55" s="88">
        <f t="shared" si="42"/>
        <v>0.05</v>
      </c>
      <c r="AX55" s="88">
        <f t="shared" si="42"/>
        <v>0.05</v>
      </c>
      <c r="AY55" s="88">
        <f t="shared" si="42"/>
        <v>0.05</v>
      </c>
      <c r="AZ55" s="88">
        <f t="shared" si="42"/>
        <v>0.05</v>
      </c>
      <c r="BA55" s="88">
        <f t="shared" si="42"/>
        <v>0.05</v>
      </c>
      <c r="BB55" s="88">
        <f t="shared" si="42"/>
        <v>0.05</v>
      </c>
      <c r="BC55" s="88">
        <f t="shared" si="42"/>
        <v>0.05</v>
      </c>
      <c r="BD55" s="88">
        <f t="shared" si="42"/>
        <v>0.05</v>
      </c>
      <c r="BE55" s="88">
        <f t="shared" si="42"/>
        <v>0.05</v>
      </c>
      <c r="BF55" s="88">
        <f t="shared" si="42"/>
        <v>0.05</v>
      </c>
      <c r="BG55" s="88">
        <f t="shared" si="42"/>
        <v>0.05</v>
      </c>
      <c r="BH55" s="88">
        <f t="shared" si="42"/>
        <v>0.05</v>
      </c>
      <c r="BI55" s="88">
        <f t="shared" si="42"/>
        <v>0.05</v>
      </c>
      <c r="BJ55" s="88">
        <f t="shared" si="42"/>
        <v>0.05</v>
      </c>
      <c r="BK55" s="88">
        <f t="shared" si="42"/>
        <v>0.05</v>
      </c>
      <c r="BL55" s="88">
        <f t="shared" si="42"/>
        <v>0.05</v>
      </c>
      <c r="BM55" s="88">
        <f t="shared" si="42"/>
        <v>0.05</v>
      </c>
      <c r="BN55" s="88">
        <f t="shared" si="42"/>
        <v>0.05</v>
      </c>
    </row>
    <row r="56" outlineLevel="1">
      <c r="A56" s="80"/>
      <c r="B56" s="59" t="s">
        <v>16</v>
      </c>
      <c r="C56" s="82"/>
      <c r="D56" s="83">
        <v>0.05</v>
      </c>
      <c r="E56" s="84"/>
      <c r="F56" s="84"/>
      <c r="G56" s="62">
        <f t="shared" si="40"/>
        <v>0.05</v>
      </c>
      <c r="H56" s="62">
        <f t="shared" ref="H56:BN56" si="43">G56</f>
        <v>0.05</v>
      </c>
      <c r="I56" s="62">
        <f t="shared" si="43"/>
        <v>0.05</v>
      </c>
      <c r="J56" s="62">
        <f t="shared" si="43"/>
        <v>0.05</v>
      </c>
      <c r="K56" s="62">
        <f t="shared" si="43"/>
        <v>0.05</v>
      </c>
      <c r="L56" s="62">
        <f t="shared" si="43"/>
        <v>0.05</v>
      </c>
      <c r="M56" s="62">
        <f t="shared" si="43"/>
        <v>0.05</v>
      </c>
      <c r="N56" s="62">
        <f t="shared" si="43"/>
        <v>0.05</v>
      </c>
      <c r="O56" s="62">
        <f t="shared" si="43"/>
        <v>0.05</v>
      </c>
      <c r="P56" s="62">
        <f t="shared" si="43"/>
        <v>0.05</v>
      </c>
      <c r="Q56" s="62">
        <f t="shared" si="43"/>
        <v>0.05</v>
      </c>
      <c r="R56" s="62">
        <f t="shared" si="43"/>
        <v>0.05</v>
      </c>
      <c r="S56" s="62">
        <f t="shared" si="43"/>
        <v>0.05</v>
      </c>
      <c r="T56" s="62">
        <f t="shared" si="43"/>
        <v>0.05</v>
      </c>
      <c r="U56" s="62">
        <f t="shared" si="43"/>
        <v>0.05</v>
      </c>
      <c r="V56" s="62">
        <f t="shared" si="43"/>
        <v>0.05</v>
      </c>
      <c r="W56" s="62">
        <f t="shared" si="43"/>
        <v>0.05</v>
      </c>
      <c r="X56" s="62">
        <f t="shared" si="43"/>
        <v>0.05</v>
      </c>
      <c r="Y56" s="62">
        <f t="shared" si="43"/>
        <v>0.05</v>
      </c>
      <c r="Z56" s="62">
        <f t="shared" si="43"/>
        <v>0.05</v>
      </c>
      <c r="AA56" s="62">
        <f t="shared" si="43"/>
        <v>0.05</v>
      </c>
      <c r="AB56" s="62">
        <f t="shared" si="43"/>
        <v>0.05</v>
      </c>
      <c r="AC56" s="62">
        <f t="shared" si="43"/>
        <v>0.05</v>
      </c>
      <c r="AD56" s="62">
        <f t="shared" si="43"/>
        <v>0.05</v>
      </c>
      <c r="AE56" s="62">
        <f t="shared" si="43"/>
        <v>0.05</v>
      </c>
      <c r="AF56" s="62">
        <f t="shared" si="43"/>
        <v>0.05</v>
      </c>
      <c r="AG56" s="62">
        <f t="shared" si="43"/>
        <v>0.05</v>
      </c>
      <c r="AH56" s="62">
        <f t="shared" si="43"/>
        <v>0.05</v>
      </c>
      <c r="AI56" s="62">
        <f t="shared" si="43"/>
        <v>0.05</v>
      </c>
      <c r="AJ56" s="62">
        <f t="shared" si="43"/>
        <v>0.05</v>
      </c>
      <c r="AK56" s="62">
        <f t="shared" si="43"/>
        <v>0.05</v>
      </c>
      <c r="AL56" s="62">
        <f t="shared" si="43"/>
        <v>0.05</v>
      </c>
      <c r="AM56" s="62">
        <f t="shared" si="43"/>
        <v>0.05</v>
      </c>
      <c r="AN56" s="62">
        <f t="shared" si="43"/>
        <v>0.05</v>
      </c>
      <c r="AO56" s="62">
        <f t="shared" si="43"/>
        <v>0.05</v>
      </c>
      <c r="AP56" s="62">
        <f t="shared" si="43"/>
        <v>0.05</v>
      </c>
      <c r="AQ56" s="62">
        <f t="shared" si="43"/>
        <v>0.05</v>
      </c>
      <c r="AR56" s="62">
        <f t="shared" si="43"/>
        <v>0.05</v>
      </c>
      <c r="AS56" s="62">
        <f t="shared" si="43"/>
        <v>0.05</v>
      </c>
      <c r="AT56" s="62">
        <f t="shared" si="43"/>
        <v>0.05</v>
      </c>
      <c r="AU56" s="62">
        <f t="shared" si="43"/>
        <v>0.05</v>
      </c>
      <c r="AV56" s="62">
        <f t="shared" si="43"/>
        <v>0.05</v>
      </c>
      <c r="AW56" s="62">
        <f t="shared" si="43"/>
        <v>0.05</v>
      </c>
      <c r="AX56" s="62">
        <f t="shared" si="43"/>
        <v>0.05</v>
      </c>
      <c r="AY56" s="62">
        <f t="shared" si="43"/>
        <v>0.05</v>
      </c>
      <c r="AZ56" s="62">
        <f t="shared" si="43"/>
        <v>0.05</v>
      </c>
      <c r="BA56" s="62">
        <f t="shared" si="43"/>
        <v>0.05</v>
      </c>
      <c r="BB56" s="62">
        <f t="shared" si="43"/>
        <v>0.05</v>
      </c>
      <c r="BC56" s="62">
        <f t="shared" si="43"/>
        <v>0.05</v>
      </c>
      <c r="BD56" s="62">
        <f t="shared" si="43"/>
        <v>0.05</v>
      </c>
      <c r="BE56" s="62">
        <f t="shared" si="43"/>
        <v>0.05</v>
      </c>
      <c r="BF56" s="62">
        <f t="shared" si="43"/>
        <v>0.05</v>
      </c>
      <c r="BG56" s="62">
        <f t="shared" si="43"/>
        <v>0.05</v>
      </c>
      <c r="BH56" s="62">
        <f t="shared" si="43"/>
        <v>0.05</v>
      </c>
      <c r="BI56" s="62">
        <f t="shared" si="43"/>
        <v>0.05</v>
      </c>
      <c r="BJ56" s="62">
        <f t="shared" si="43"/>
        <v>0.05</v>
      </c>
      <c r="BK56" s="62">
        <f t="shared" si="43"/>
        <v>0.05</v>
      </c>
      <c r="BL56" s="62">
        <f t="shared" si="43"/>
        <v>0.05</v>
      </c>
      <c r="BM56" s="62">
        <f t="shared" si="43"/>
        <v>0.05</v>
      </c>
      <c r="BN56" s="62">
        <f t="shared" si="43"/>
        <v>0.05</v>
      </c>
    </row>
    <row r="57" outlineLevel="1">
      <c r="A57" s="80"/>
      <c r="B57" s="85" t="s">
        <v>17</v>
      </c>
      <c r="C57" s="80"/>
      <c r="D57" s="74"/>
      <c r="E57" s="86"/>
      <c r="F57" s="86"/>
      <c r="G57" s="74">
        <f t="shared" ref="G57:BN57" si="44">G53*G54*G55*G56</f>
        <v>10</v>
      </c>
      <c r="H57" s="74">
        <f t="shared" si="44"/>
        <v>10</v>
      </c>
      <c r="I57" s="74">
        <f t="shared" si="44"/>
        <v>10</v>
      </c>
      <c r="J57" s="74">
        <f t="shared" si="44"/>
        <v>10</v>
      </c>
      <c r="K57" s="74">
        <f t="shared" si="44"/>
        <v>10</v>
      </c>
      <c r="L57" s="74">
        <f t="shared" si="44"/>
        <v>10</v>
      </c>
      <c r="M57" s="74">
        <f t="shared" si="44"/>
        <v>10</v>
      </c>
      <c r="N57" s="74">
        <f t="shared" si="44"/>
        <v>10</v>
      </c>
      <c r="O57" s="74">
        <f t="shared" si="44"/>
        <v>10</v>
      </c>
      <c r="P57" s="74">
        <f t="shared" si="44"/>
        <v>10</v>
      </c>
      <c r="Q57" s="74">
        <f t="shared" si="44"/>
        <v>10</v>
      </c>
      <c r="R57" s="74">
        <f t="shared" si="44"/>
        <v>10</v>
      </c>
      <c r="S57" s="74">
        <f t="shared" si="44"/>
        <v>10</v>
      </c>
      <c r="T57" s="74">
        <f t="shared" si="44"/>
        <v>10</v>
      </c>
      <c r="U57" s="74">
        <f t="shared" si="44"/>
        <v>10</v>
      </c>
      <c r="V57" s="74">
        <f t="shared" si="44"/>
        <v>10</v>
      </c>
      <c r="W57" s="74">
        <f t="shared" si="44"/>
        <v>10</v>
      </c>
      <c r="X57" s="74">
        <f t="shared" si="44"/>
        <v>10</v>
      </c>
      <c r="Y57" s="74">
        <f t="shared" si="44"/>
        <v>10</v>
      </c>
      <c r="Z57" s="74">
        <f t="shared" si="44"/>
        <v>10</v>
      </c>
      <c r="AA57" s="74">
        <f t="shared" si="44"/>
        <v>10</v>
      </c>
      <c r="AB57" s="74">
        <f t="shared" si="44"/>
        <v>10</v>
      </c>
      <c r="AC57" s="74">
        <f t="shared" si="44"/>
        <v>10</v>
      </c>
      <c r="AD57" s="74">
        <f t="shared" si="44"/>
        <v>10</v>
      </c>
      <c r="AE57" s="74">
        <f t="shared" si="44"/>
        <v>10</v>
      </c>
      <c r="AF57" s="74">
        <f t="shared" si="44"/>
        <v>10</v>
      </c>
      <c r="AG57" s="74">
        <f t="shared" si="44"/>
        <v>10</v>
      </c>
      <c r="AH57" s="74">
        <f t="shared" si="44"/>
        <v>10</v>
      </c>
      <c r="AI57" s="74">
        <f t="shared" si="44"/>
        <v>10</v>
      </c>
      <c r="AJ57" s="74">
        <f t="shared" si="44"/>
        <v>10</v>
      </c>
      <c r="AK57" s="74">
        <f t="shared" si="44"/>
        <v>10</v>
      </c>
      <c r="AL57" s="74">
        <f t="shared" si="44"/>
        <v>10</v>
      </c>
      <c r="AM57" s="74">
        <f t="shared" si="44"/>
        <v>10</v>
      </c>
      <c r="AN57" s="74">
        <f t="shared" si="44"/>
        <v>10</v>
      </c>
      <c r="AO57" s="74">
        <f t="shared" si="44"/>
        <v>10</v>
      </c>
      <c r="AP57" s="74">
        <f t="shared" si="44"/>
        <v>10</v>
      </c>
      <c r="AQ57" s="74">
        <f t="shared" si="44"/>
        <v>10</v>
      </c>
      <c r="AR57" s="74">
        <f t="shared" si="44"/>
        <v>10</v>
      </c>
      <c r="AS57" s="74">
        <f t="shared" si="44"/>
        <v>10</v>
      </c>
      <c r="AT57" s="74">
        <f t="shared" si="44"/>
        <v>10</v>
      </c>
      <c r="AU57" s="74">
        <f t="shared" si="44"/>
        <v>10</v>
      </c>
      <c r="AV57" s="74">
        <f t="shared" si="44"/>
        <v>10</v>
      </c>
      <c r="AW57" s="74">
        <f t="shared" si="44"/>
        <v>10</v>
      </c>
      <c r="AX57" s="74">
        <f t="shared" si="44"/>
        <v>10</v>
      </c>
      <c r="AY57" s="74">
        <f t="shared" si="44"/>
        <v>10</v>
      </c>
      <c r="AZ57" s="74">
        <f t="shared" si="44"/>
        <v>10</v>
      </c>
      <c r="BA57" s="74">
        <f t="shared" si="44"/>
        <v>10</v>
      </c>
      <c r="BB57" s="74">
        <f t="shared" si="44"/>
        <v>10</v>
      </c>
      <c r="BC57" s="74">
        <f t="shared" si="44"/>
        <v>10</v>
      </c>
      <c r="BD57" s="74">
        <f t="shared" si="44"/>
        <v>10</v>
      </c>
      <c r="BE57" s="74">
        <f t="shared" si="44"/>
        <v>10</v>
      </c>
      <c r="BF57" s="74">
        <f t="shared" si="44"/>
        <v>10</v>
      </c>
      <c r="BG57" s="74">
        <f t="shared" si="44"/>
        <v>10</v>
      </c>
      <c r="BH57" s="74">
        <f t="shared" si="44"/>
        <v>10</v>
      </c>
      <c r="BI57" s="74">
        <f t="shared" si="44"/>
        <v>10</v>
      </c>
      <c r="BJ57" s="74">
        <f t="shared" si="44"/>
        <v>10</v>
      </c>
      <c r="BK57" s="74">
        <f t="shared" si="44"/>
        <v>10</v>
      </c>
      <c r="BL57" s="74">
        <f t="shared" si="44"/>
        <v>10</v>
      </c>
      <c r="BM57" s="74">
        <f t="shared" si="44"/>
        <v>10</v>
      </c>
      <c r="BN57" s="74">
        <f t="shared" si="44"/>
        <v>10</v>
      </c>
    </row>
    <row r="58" outlineLevel="1">
      <c r="A58" s="47"/>
      <c r="B58" s="65"/>
      <c r="C58" s="47"/>
      <c r="D58" s="43"/>
      <c r="E58" s="47"/>
      <c r="F58" s="47"/>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row>
    <row r="59" outlineLevel="1">
      <c r="A59" s="47"/>
      <c r="B59" s="65" t="s">
        <v>41</v>
      </c>
      <c r="C59" s="47"/>
      <c r="D59" s="43"/>
      <c r="E59" s="47"/>
      <c r="F59" s="47"/>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row>
    <row r="60" outlineLevel="1">
      <c r="A60" s="47"/>
      <c r="B60" s="39" t="s">
        <v>42</v>
      </c>
      <c r="C60" s="47"/>
      <c r="D60" s="76">
        <v>3.0</v>
      </c>
      <c r="E60" s="47"/>
      <c r="F60" s="47"/>
      <c r="G60" s="79">
        <f t="shared" ref="G60:G62" si="46">D60</f>
        <v>3</v>
      </c>
      <c r="H60" s="79">
        <f t="shared" ref="H60:BN60" si="45">G60</f>
        <v>3</v>
      </c>
      <c r="I60" s="79">
        <f t="shared" si="45"/>
        <v>3</v>
      </c>
      <c r="J60" s="79">
        <f t="shared" si="45"/>
        <v>3</v>
      </c>
      <c r="K60" s="79">
        <f t="shared" si="45"/>
        <v>3</v>
      </c>
      <c r="L60" s="79">
        <f t="shared" si="45"/>
        <v>3</v>
      </c>
      <c r="M60" s="79">
        <f t="shared" si="45"/>
        <v>3</v>
      </c>
      <c r="N60" s="79">
        <f t="shared" si="45"/>
        <v>3</v>
      </c>
      <c r="O60" s="79">
        <f t="shared" si="45"/>
        <v>3</v>
      </c>
      <c r="P60" s="79">
        <f t="shared" si="45"/>
        <v>3</v>
      </c>
      <c r="Q60" s="79">
        <f t="shared" si="45"/>
        <v>3</v>
      </c>
      <c r="R60" s="79">
        <f t="shared" si="45"/>
        <v>3</v>
      </c>
      <c r="S60" s="79">
        <f t="shared" si="45"/>
        <v>3</v>
      </c>
      <c r="T60" s="79">
        <f t="shared" si="45"/>
        <v>3</v>
      </c>
      <c r="U60" s="79">
        <f t="shared" si="45"/>
        <v>3</v>
      </c>
      <c r="V60" s="79">
        <f t="shared" si="45"/>
        <v>3</v>
      </c>
      <c r="W60" s="79">
        <f t="shared" si="45"/>
        <v>3</v>
      </c>
      <c r="X60" s="79">
        <f t="shared" si="45"/>
        <v>3</v>
      </c>
      <c r="Y60" s="79">
        <f t="shared" si="45"/>
        <v>3</v>
      </c>
      <c r="Z60" s="79">
        <f t="shared" si="45"/>
        <v>3</v>
      </c>
      <c r="AA60" s="79">
        <f t="shared" si="45"/>
        <v>3</v>
      </c>
      <c r="AB60" s="79">
        <f t="shared" si="45"/>
        <v>3</v>
      </c>
      <c r="AC60" s="79">
        <f t="shared" si="45"/>
        <v>3</v>
      </c>
      <c r="AD60" s="79">
        <f t="shared" si="45"/>
        <v>3</v>
      </c>
      <c r="AE60" s="79">
        <f t="shared" si="45"/>
        <v>3</v>
      </c>
      <c r="AF60" s="79">
        <f t="shared" si="45"/>
        <v>3</v>
      </c>
      <c r="AG60" s="79">
        <f t="shared" si="45"/>
        <v>3</v>
      </c>
      <c r="AH60" s="79">
        <f t="shared" si="45"/>
        <v>3</v>
      </c>
      <c r="AI60" s="79">
        <f t="shared" si="45"/>
        <v>3</v>
      </c>
      <c r="AJ60" s="79">
        <f t="shared" si="45"/>
        <v>3</v>
      </c>
      <c r="AK60" s="79">
        <f t="shared" si="45"/>
        <v>3</v>
      </c>
      <c r="AL60" s="79">
        <f t="shared" si="45"/>
        <v>3</v>
      </c>
      <c r="AM60" s="79">
        <f t="shared" si="45"/>
        <v>3</v>
      </c>
      <c r="AN60" s="79">
        <f t="shared" si="45"/>
        <v>3</v>
      </c>
      <c r="AO60" s="79">
        <f t="shared" si="45"/>
        <v>3</v>
      </c>
      <c r="AP60" s="79">
        <f t="shared" si="45"/>
        <v>3</v>
      </c>
      <c r="AQ60" s="79">
        <f t="shared" si="45"/>
        <v>3</v>
      </c>
      <c r="AR60" s="79">
        <f t="shared" si="45"/>
        <v>3</v>
      </c>
      <c r="AS60" s="79">
        <f t="shared" si="45"/>
        <v>3</v>
      </c>
      <c r="AT60" s="79">
        <f t="shared" si="45"/>
        <v>3</v>
      </c>
      <c r="AU60" s="79">
        <f t="shared" si="45"/>
        <v>3</v>
      </c>
      <c r="AV60" s="79">
        <f t="shared" si="45"/>
        <v>3</v>
      </c>
      <c r="AW60" s="79">
        <f t="shared" si="45"/>
        <v>3</v>
      </c>
      <c r="AX60" s="79">
        <f t="shared" si="45"/>
        <v>3</v>
      </c>
      <c r="AY60" s="79">
        <f t="shared" si="45"/>
        <v>3</v>
      </c>
      <c r="AZ60" s="79">
        <f t="shared" si="45"/>
        <v>3</v>
      </c>
      <c r="BA60" s="79">
        <f t="shared" si="45"/>
        <v>3</v>
      </c>
      <c r="BB60" s="79">
        <f t="shared" si="45"/>
        <v>3</v>
      </c>
      <c r="BC60" s="79">
        <f t="shared" si="45"/>
        <v>3</v>
      </c>
      <c r="BD60" s="79">
        <f t="shared" si="45"/>
        <v>3</v>
      </c>
      <c r="BE60" s="79">
        <f t="shared" si="45"/>
        <v>3</v>
      </c>
      <c r="BF60" s="79">
        <f t="shared" si="45"/>
        <v>3</v>
      </c>
      <c r="BG60" s="79">
        <f t="shared" si="45"/>
        <v>3</v>
      </c>
      <c r="BH60" s="79">
        <f t="shared" si="45"/>
        <v>3</v>
      </c>
      <c r="BI60" s="79">
        <f t="shared" si="45"/>
        <v>3</v>
      </c>
      <c r="BJ60" s="79">
        <f t="shared" si="45"/>
        <v>3</v>
      </c>
      <c r="BK60" s="79">
        <f t="shared" si="45"/>
        <v>3</v>
      </c>
      <c r="BL60" s="79">
        <f t="shared" si="45"/>
        <v>3</v>
      </c>
      <c r="BM60" s="79">
        <f t="shared" si="45"/>
        <v>3</v>
      </c>
      <c r="BN60" s="79">
        <f t="shared" si="45"/>
        <v>3</v>
      </c>
    </row>
    <row r="61" outlineLevel="1">
      <c r="A61" s="47"/>
      <c r="B61" s="39" t="s">
        <v>43</v>
      </c>
      <c r="C61" s="47"/>
      <c r="D61" s="76">
        <v>50.0</v>
      </c>
      <c r="E61" s="47"/>
      <c r="F61" s="47"/>
      <c r="G61" s="79">
        <f t="shared" si="46"/>
        <v>50</v>
      </c>
      <c r="H61" s="79">
        <f t="shared" ref="H61:BN61" si="47">G61</f>
        <v>50</v>
      </c>
      <c r="I61" s="79">
        <f t="shared" si="47"/>
        <v>50</v>
      </c>
      <c r="J61" s="79">
        <f t="shared" si="47"/>
        <v>50</v>
      </c>
      <c r="K61" s="79">
        <f t="shared" si="47"/>
        <v>50</v>
      </c>
      <c r="L61" s="79">
        <f t="shared" si="47"/>
        <v>50</v>
      </c>
      <c r="M61" s="79">
        <f t="shared" si="47"/>
        <v>50</v>
      </c>
      <c r="N61" s="79">
        <f t="shared" si="47"/>
        <v>50</v>
      </c>
      <c r="O61" s="79">
        <f t="shared" si="47"/>
        <v>50</v>
      </c>
      <c r="P61" s="79">
        <f t="shared" si="47"/>
        <v>50</v>
      </c>
      <c r="Q61" s="79">
        <f t="shared" si="47"/>
        <v>50</v>
      </c>
      <c r="R61" s="79">
        <f t="shared" si="47"/>
        <v>50</v>
      </c>
      <c r="S61" s="79">
        <f t="shared" si="47"/>
        <v>50</v>
      </c>
      <c r="T61" s="79">
        <f t="shared" si="47"/>
        <v>50</v>
      </c>
      <c r="U61" s="79">
        <f t="shared" si="47"/>
        <v>50</v>
      </c>
      <c r="V61" s="79">
        <f t="shared" si="47"/>
        <v>50</v>
      </c>
      <c r="W61" s="79">
        <f t="shared" si="47"/>
        <v>50</v>
      </c>
      <c r="X61" s="79">
        <f t="shared" si="47"/>
        <v>50</v>
      </c>
      <c r="Y61" s="79">
        <f t="shared" si="47"/>
        <v>50</v>
      </c>
      <c r="Z61" s="79">
        <f t="shared" si="47"/>
        <v>50</v>
      </c>
      <c r="AA61" s="79">
        <f t="shared" si="47"/>
        <v>50</v>
      </c>
      <c r="AB61" s="79">
        <f t="shared" si="47"/>
        <v>50</v>
      </c>
      <c r="AC61" s="79">
        <f t="shared" si="47"/>
        <v>50</v>
      </c>
      <c r="AD61" s="79">
        <f t="shared" si="47"/>
        <v>50</v>
      </c>
      <c r="AE61" s="79">
        <f t="shared" si="47"/>
        <v>50</v>
      </c>
      <c r="AF61" s="79">
        <f t="shared" si="47"/>
        <v>50</v>
      </c>
      <c r="AG61" s="79">
        <f t="shared" si="47"/>
        <v>50</v>
      </c>
      <c r="AH61" s="79">
        <f t="shared" si="47"/>
        <v>50</v>
      </c>
      <c r="AI61" s="79">
        <f t="shared" si="47"/>
        <v>50</v>
      </c>
      <c r="AJ61" s="79">
        <f t="shared" si="47"/>
        <v>50</v>
      </c>
      <c r="AK61" s="79">
        <f t="shared" si="47"/>
        <v>50</v>
      </c>
      <c r="AL61" s="79">
        <f t="shared" si="47"/>
        <v>50</v>
      </c>
      <c r="AM61" s="79">
        <f t="shared" si="47"/>
        <v>50</v>
      </c>
      <c r="AN61" s="79">
        <f t="shared" si="47"/>
        <v>50</v>
      </c>
      <c r="AO61" s="79">
        <f t="shared" si="47"/>
        <v>50</v>
      </c>
      <c r="AP61" s="79">
        <f t="shared" si="47"/>
        <v>50</v>
      </c>
      <c r="AQ61" s="79">
        <f t="shared" si="47"/>
        <v>50</v>
      </c>
      <c r="AR61" s="79">
        <f t="shared" si="47"/>
        <v>50</v>
      </c>
      <c r="AS61" s="79">
        <f t="shared" si="47"/>
        <v>50</v>
      </c>
      <c r="AT61" s="79">
        <f t="shared" si="47"/>
        <v>50</v>
      </c>
      <c r="AU61" s="79">
        <f t="shared" si="47"/>
        <v>50</v>
      </c>
      <c r="AV61" s="79">
        <f t="shared" si="47"/>
        <v>50</v>
      </c>
      <c r="AW61" s="79">
        <f t="shared" si="47"/>
        <v>50</v>
      </c>
      <c r="AX61" s="79">
        <f t="shared" si="47"/>
        <v>50</v>
      </c>
      <c r="AY61" s="79">
        <f t="shared" si="47"/>
        <v>50</v>
      </c>
      <c r="AZ61" s="79">
        <f t="shared" si="47"/>
        <v>50</v>
      </c>
      <c r="BA61" s="79">
        <f t="shared" si="47"/>
        <v>50</v>
      </c>
      <c r="BB61" s="79">
        <f t="shared" si="47"/>
        <v>50</v>
      </c>
      <c r="BC61" s="79">
        <f t="shared" si="47"/>
        <v>50</v>
      </c>
      <c r="BD61" s="79">
        <f t="shared" si="47"/>
        <v>50</v>
      </c>
      <c r="BE61" s="79">
        <f t="shared" si="47"/>
        <v>50</v>
      </c>
      <c r="BF61" s="79">
        <f t="shared" si="47"/>
        <v>50</v>
      </c>
      <c r="BG61" s="79">
        <f t="shared" si="47"/>
        <v>50</v>
      </c>
      <c r="BH61" s="79">
        <f t="shared" si="47"/>
        <v>50</v>
      </c>
      <c r="BI61" s="79">
        <f t="shared" si="47"/>
        <v>50</v>
      </c>
      <c r="BJ61" s="79">
        <f t="shared" si="47"/>
        <v>50</v>
      </c>
      <c r="BK61" s="79">
        <f t="shared" si="47"/>
        <v>50</v>
      </c>
      <c r="BL61" s="79">
        <f t="shared" si="47"/>
        <v>50</v>
      </c>
      <c r="BM61" s="79">
        <f t="shared" si="47"/>
        <v>50</v>
      </c>
      <c r="BN61" s="79">
        <f t="shared" si="47"/>
        <v>50</v>
      </c>
    </row>
    <row r="62" outlineLevel="1">
      <c r="A62" s="47"/>
      <c r="B62" s="71" t="s">
        <v>16</v>
      </c>
      <c r="C62" s="59"/>
      <c r="D62" s="72">
        <v>0.05</v>
      </c>
      <c r="E62" s="61"/>
      <c r="F62" s="61"/>
      <c r="G62" s="62">
        <f t="shared" si="46"/>
        <v>0.05</v>
      </c>
      <c r="H62" s="62">
        <f t="shared" ref="H62:BN62" si="48">G62</f>
        <v>0.05</v>
      </c>
      <c r="I62" s="62">
        <f t="shared" si="48"/>
        <v>0.05</v>
      </c>
      <c r="J62" s="62">
        <f t="shared" si="48"/>
        <v>0.05</v>
      </c>
      <c r="K62" s="62">
        <f t="shared" si="48"/>
        <v>0.05</v>
      </c>
      <c r="L62" s="62">
        <f t="shared" si="48"/>
        <v>0.05</v>
      </c>
      <c r="M62" s="62">
        <f t="shared" si="48"/>
        <v>0.05</v>
      </c>
      <c r="N62" s="62">
        <f t="shared" si="48"/>
        <v>0.05</v>
      </c>
      <c r="O62" s="62">
        <f t="shared" si="48"/>
        <v>0.05</v>
      </c>
      <c r="P62" s="62">
        <f t="shared" si="48"/>
        <v>0.05</v>
      </c>
      <c r="Q62" s="62">
        <f t="shared" si="48"/>
        <v>0.05</v>
      </c>
      <c r="R62" s="62">
        <f t="shared" si="48"/>
        <v>0.05</v>
      </c>
      <c r="S62" s="62">
        <f t="shared" si="48"/>
        <v>0.05</v>
      </c>
      <c r="T62" s="62">
        <f t="shared" si="48"/>
        <v>0.05</v>
      </c>
      <c r="U62" s="62">
        <f t="shared" si="48"/>
        <v>0.05</v>
      </c>
      <c r="V62" s="62">
        <f t="shared" si="48"/>
        <v>0.05</v>
      </c>
      <c r="W62" s="62">
        <f t="shared" si="48"/>
        <v>0.05</v>
      </c>
      <c r="X62" s="62">
        <f t="shared" si="48"/>
        <v>0.05</v>
      </c>
      <c r="Y62" s="62">
        <f t="shared" si="48"/>
        <v>0.05</v>
      </c>
      <c r="Z62" s="62">
        <f t="shared" si="48"/>
        <v>0.05</v>
      </c>
      <c r="AA62" s="62">
        <f t="shared" si="48"/>
        <v>0.05</v>
      </c>
      <c r="AB62" s="62">
        <f t="shared" si="48"/>
        <v>0.05</v>
      </c>
      <c r="AC62" s="62">
        <f t="shared" si="48"/>
        <v>0.05</v>
      </c>
      <c r="AD62" s="62">
        <f t="shared" si="48"/>
        <v>0.05</v>
      </c>
      <c r="AE62" s="62">
        <f t="shared" si="48"/>
        <v>0.05</v>
      </c>
      <c r="AF62" s="62">
        <f t="shared" si="48"/>
        <v>0.05</v>
      </c>
      <c r="AG62" s="62">
        <f t="shared" si="48"/>
        <v>0.05</v>
      </c>
      <c r="AH62" s="62">
        <f t="shared" si="48"/>
        <v>0.05</v>
      </c>
      <c r="AI62" s="62">
        <f t="shared" si="48"/>
        <v>0.05</v>
      </c>
      <c r="AJ62" s="62">
        <f t="shared" si="48"/>
        <v>0.05</v>
      </c>
      <c r="AK62" s="62">
        <f t="shared" si="48"/>
        <v>0.05</v>
      </c>
      <c r="AL62" s="62">
        <f t="shared" si="48"/>
        <v>0.05</v>
      </c>
      <c r="AM62" s="62">
        <f t="shared" si="48"/>
        <v>0.05</v>
      </c>
      <c r="AN62" s="62">
        <f t="shared" si="48"/>
        <v>0.05</v>
      </c>
      <c r="AO62" s="62">
        <f t="shared" si="48"/>
        <v>0.05</v>
      </c>
      <c r="AP62" s="62">
        <f t="shared" si="48"/>
        <v>0.05</v>
      </c>
      <c r="AQ62" s="62">
        <f t="shared" si="48"/>
        <v>0.05</v>
      </c>
      <c r="AR62" s="62">
        <f t="shared" si="48"/>
        <v>0.05</v>
      </c>
      <c r="AS62" s="62">
        <f t="shared" si="48"/>
        <v>0.05</v>
      </c>
      <c r="AT62" s="62">
        <f t="shared" si="48"/>
        <v>0.05</v>
      </c>
      <c r="AU62" s="62">
        <f t="shared" si="48"/>
        <v>0.05</v>
      </c>
      <c r="AV62" s="62">
        <f t="shared" si="48"/>
        <v>0.05</v>
      </c>
      <c r="AW62" s="62">
        <f t="shared" si="48"/>
        <v>0.05</v>
      </c>
      <c r="AX62" s="62">
        <f t="shared" si="48"/>
        <v>0.05</v>
      </c>
      <c r="AY62" s="62">
        <f t="shared" si="48"/>
        <v>0.05</v>
      </c>
      <c r="AZ62" s="62">
        <f t="shared" si="48"/>
        <v>0.05</v>
      </c>
      <c r="BA62" s="62">
        <f t="shared" si="48"/>
        <v>0.05</v>
      </c>
      <c r="BB62" s="62">
        <f t="shared" si="48"/>
        <v>0.05</v>
      </c>
      <c r="BC62" s="62">
        <f t="shared" si="48"/>
        <v>0.05</v>
      </c>
      <c r="BD62" s="62">
        <f t="shared" si="48"/>
        <v>0.05</v>
      </c>
      <c r="BE62" s="62">
        <f t="shared" si="48"/>
        <v>0.05</v>
      </c>
      <c r="BF62" s="62">
        <f t="shared" si="48"/>
        <v>0.05</v>
      </c>
      <c r="BG62" s="62">
        <f t="shared" si="48"/>
        <v>0.05</v>
      </c>
      <c r="BH62" s="62">
        <f t="shared" si="48"/>
        <v>0.05</v>
      </c>
      <c r="BI62" s="62">
        <f t="shared" si="48"/>
        <v>0.05</v>
      </c>
      <c r="BJ62" s="62">
        <f t="shared" si="48"/>
        <v>0.05</v>
      </c>
      <c r="BK62" s="62">
        <f t="shared" si="48"/>
        <v>0.05</v>
      </c>
      <c r="BL62" s="62">
        <f t="shared" si="48"/>
        <v>0.05</v>
      </c>
      <c r="BM62" s="62">
        <f t="shared" si="48"/>
        <v>0.05</v>
      </c>
      <c r="BN62" s="62">
        <f t="shared" si="48"/>
        <v>0.05</v>
      </c>
    </row>
    <row r="63" outlineLevel="1">
      <c r="A63" s="47"/>
      <c r="B63" s="73" t="s">
        <v>17</v>
      </c>
      <c r="C63" s="47"/>
      <c r="D63" s="63"/>
      <c r="E63" s="64"/>
      <c r="F63" s="64"/>
      <c r="G63" s="63">
        <f t="shared" ref="G63:BN63" si="49">G60*G61*G62</f>
        <v>7.5</v>
      </c>
      <c r="H63" s="63">
        <f t="shared" si="49"/>
        <v>7.5</v>
      </c>
      <c r="I63" s="63">
        <f t="shared" si="49"/>
        <v>7.5</v>
      </c>
      <c r="J63" s="63">
        <f t="shared" si="49"/>
        <v>7.5</v>
      </c>
      <c r="K63" s="63">
        <f t="shared" si="49"/>
        <v>7.5</v>
      </c>
      <c r="L63" s="63">
        <f t="shared" si="49"/>
        <v>7.5</v>
      </c>
      <c r="M63" s="63">
        <f t="shared" si="49"/>
        <v>7.5</v>
      </c>
      <c r="N63" s="63">
        <f t="shared" si="49"/>
        <v>7.5</v>
      </c>
      <c r="O63" s="63">
        <f t="shared" si="49"/>
        <v>7.5</v>
      </c>
      <c r="P63" s="63">
        <f t="shared" si="49"/>
        <v>7.5</v>
      </c>
      <c r="Q63" s="63">
        <f t="shared" si="49"/>
        <v>7.5</v>
      </c>
      <c r="R63" s="63">
        <f t="shared" si="49"/>
        <v>7.5</v>
      </c>
      <c r="S63" s="63">
        <f t="shared" si="49"/>
        <v>7.5</v>
      </c>
      <c r="T63" s="63">
        <f t="shared" si="49"/>
        <v>7.5</v>
      </c>
      <c r="U63" s="63">
        <f t="shared" si="49"/>
        <v>7.5</v>
      </c>
      <c r="V63" s="63">
        <f t="shared" si="49"/>
        <v>7.5</v>
      </c>
      <c r="W63" s="63">
        <f t="shared" si="49"/>
        <v>7.5</v>
      </c>
      <c r="X63" s="63">
        <f t="shared" si="49"/>
        <v>7.5</v>
      </c>
      <c r="Y63" s="63">
        <f t="shared" si="49"/>
        <v>7.5</v>
      </c>
      <c r="Z63" s="63">
        <f t="shared" si="49"/>
        <v>7.5</v>
      </c>
      <c r="AA63" s="63">
        <f t="shared" si="49"/>
        <v>7.5</v>
      </c>
      <c r="AB63" s="63">
        <f t="shared" si="49"/>
        <v>7.5</v>
      </c>
      <c r="AC63" s="63">
        <f t="shared" si="49"/>
        <v>7.5</v>
      </c>
      <c r="AD63" s="63">
        <f t="shared" si="49"/>
        <v>7.5</v>
      </c>
      <c r="AE63" s="63">
        <f t="shared" si="49"/>
        <v>7.5</v>
      </c>
      <c r="AF63" s="63">
        <f t="shared" si="49"/>
        <v>7.5</v>
      </c>
      <c r="AG63" s="63">
        <f t="shared" si="49"/>
        <v>7.5</v>
      </c>
      <c r="AH63" s="63">
        <f t="shared" si="49"/>
        <v>7.5</v>
      </c>
      <c r="AI63" s="63">
        <f t="shared" si="49"/>
        <v>7.5</v>
      </c>
      <c r="AJ63" s="63">
        <f t="shared" si="49"/>
        <v>7.5</v>
      </c>
      <c r="AK63" s="63">
        <f t="shared" si="49"/>
        <v>7.5</v>
      </c>
      <c r="AL63" s="63">
        <f t="shared" si="49"/>
        <v>7.5</v>
      </c>
      <c r="AM63" s="63">
        <f t="shared" si="49"/>
        <v>7.5</v>
      </c>
      <c r="AN63" s="63">
        <f t="shared" si="49"/>
        <v>7.5</v>
      </c>
      <c r="AO63" s="63">
        <f t="shared" si="49"/>
        <v>7.5</v>
      </c>
      <c r="AP63" s="63">
        <f t="shared" si="49"/>
        <v>7.5</v>
      </c>
      <c r="AQ63" s="63">
        <f t="shared" si="49"/>
        <v>7.5</v>
      </c>
      <c r="AR63" s="63">
        <f t="shared" si="49"/>
        <v>7.5</v>
      </c>
      <c r="AS63" s="63">
        <f t="shared" si="49"/>
        <v>7.5</v>
      </c>
      <c r="AT63" s="63">
        <f t="shared" si="49"/>
        <v>7.5</v>
      </c>
      <c r="AU63" s="63">
        <f t="shared" si="49"/>
        <v>7.5</v>
      </c>
      <c r="AV63" s="63">
        <f t="shared" si="49"/>
        <v>7.5</v>
      </c>
      <c r="AW63" s="63">
        <f t="shared" si="49"/>
        <v>7.5</v>
      </c>
      <c r="AX63" s="63">
        <f t="shared" si="49"/>
        <v>7.5</v>
      </c>
      <c r="AY63" s="63">
        <f t="shared" si="49"/>
        <v>7.5</v>
      </c>
      <c r="AZ63" s="63">
        <f t="shared" si="49"/>
        <v>7.5</v>
      </c>
      <c r="BA63" s="63">
        <f t="shared" si="49"/>
        <v>7.5</v>
      </c>
      <c r="BB63" s="63">
        <f t="shared" si="49"/>
        <v>7.5</v>
      </c>
      <c r="BC63" s="63">
        <f t="shared" si="49"/>
        <v>7.5</v>
      </c>
      <c r="BD63" s="63">
        <f t="shared" si="49"/>
        <v>7.5</v>
      </c>
      <c r="BE63" s="63">
        <f t="shared" si="49"/>
        <v>7.5</v>
      </c>
      <c r="BF63" s="63">
        <f t="shared" si="49"/>
        <v>7.5</v>
      </c>
      <c r="BG63" s="63">
        <f t="shared" si="49"/>
        <v>7.5</v>
      </c>
      <c r="BH63" s="63">
        <f t="shared" si="49"/>
        <v>7.5</v>
      </c>
      <c r="BI63" s="63">
        <f t="shared" si="49"/>
        <v>7.5</v>
      </c>
      <c r="BJ63" s="63">
        <f t="shared" si="49"/>
        <v>7.5</v>
      </c>
      <c r="BK63" s="63">
        <f t="shared" si="49"/>
        <v>7.5</v>
      </c>
      <c r="BL63" s="63">
        <f t="shared" si="49"/>
        <v>7.5</v>
      </c>
      <c r="BM63" s="63">
        <f t="shared" si="49"/>
        <v>7.5</v>
      </c>
      <c r="BN63" s="63">
        <f t="shared" si="49"/>
        <v>7.5</v>
      </c>
    </row>
    <row r="64" outlineLevel="1">
      <c r="A64" s="47"/>
      <c r="B64" s="65"/>
      <c r="C64" s="47"/>
      <c r="D64" s="43"/>
      <c r="E64" s="47"/>
      <c r="F64" s="47"/>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row>
    <row r="65" outlineLevel="1">
      <c r="A65" s="47"/>
      <c r="B65" s="65" t="s">
        <v>44</v>
      </c>
      <c r="C65" s="47"/>
      <c r="D65" s="43"/>
      <c r="E65" s="47"/>
      <c r="F65" s="47"/>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row>
    <row r="66" outlineLevel="1">
      <c r="A66" s="47"/>
      <c r="B66" s="39" t="s">
        <v>45</v>
      </c>
      <c r="C66" s="47"/>
      <c r="D66" s="76">
        <v>25.0</v>
      </c>
      <c r="E66" s="47"/>
      <c r="F66" s="47"/>
      <c r="G66" s="79">
        <f t="shared" ref="G66:G68" si="51">D66</f>
        <v>25</v>
      </c>
      <c r="H66" s="79">
        <f t="shared" ref="H66:BN66" si="50">G66</f>
        <v>25</v>
      </c>
      <c r="I66" s="79">
        <f t="shared" si="50"/>
        <v>25</v>
      </c>
      <c r="J66" s="79">
        <f t="shared" si="50"/>
        <v>25</v>
      </c>
      <c r="K66" s="79">
        <f t="shared" si="50"/>
        <v>25</v>
      </c>
      <c r="L66" s="79">
        <f t="shared" si="50"/>
        <v>25</v>
      </c>
      <c r="M66" s="79">
        <f t="shared" si="50"/>
        <v>25</v>
      </c>
      <c r="N66" s="79">
        <f t="shared" si="50"/>
        <v>25</v>
      </c>
      <c r="O66" s="79">
        <f t="shared" si="50"/>
        <v>25</v>
      </c>
      <c r="P66" s="79">
        <f t="shared" si="50"/>
        <v>25</v>
      </c>
      <c r="Q66" s="79">
        <f t="shared" si="50"/>
        <v>25</v>
      </c>
      <c r="R66" s="79">
        <f t="shared" si="50"/>
        <v>25</v>
      </c>
      <c r="S66" s="79">
        <f t="shared" si="50"/>
        <v>25</v>
      </c>
      <c r="T66" s="79">
        <f t="shared" si="50"/>
        <v>25</v>
      </c>
      <c r="U66" s="79">
        <f t="shared" si="50"/>
        <v>25</v>
      </c>
      <c r="V66" s="79">
        <f t="shared" si="50"/>
        <v>25</v>
      </c>
      <c r="W66" s="79">
        <f t="shared" si="50"/>
        <v>25</v>
      </c>
      <c r="X66" s="79">
        <f t="shared" si="50"/>
        <v>25</v>
      </c>
      <c r="Y66" s="79">
        <f t="shared" si="50"/>
        <v>25</v>
      </c>
      <c r="Z66" s="79">
        <f t="shared" si="50"/>
        <v>25</v>
      </c>
      <c r="AA66" s="79">
        <f t="shared" si="50"/>
        <v>25</v>
      </c>
      <c r="AB66" s="79">
        <f t="shared" si="50"/>
        <v>25</v>
      </c>
      <c r="AC66" s="79">
        <f t="shared" si="50"/>
        <v>25</v>
      </c>
      <c r="AD66" s="79">
        <f t="shared" si="50"/>
        <v>25</v>
      </c>
      <c r="AE66" s="79">
        <f t="shared" si="50"/>
        <v>25</v>
      </c>
      <c r="AF66" s="79">
        <f t="shared" si="50"/>
        <v>25</v>
      </c>
      <c r="AG66" s="79">
        <f t="shared" si="50"/>
        <v>25</v>
      </c>
      <c r="AH66" s="79">
        <f t="shared" si="50"/>
        <v>25</v>
      </c>
      <c r="AI66" s="79">
        <f t="shared" si="50"/>
        <v>25</v>
      </c>
      <c r="AJ66" s="79">
        <f t="shared" si="50"/>
        <v>25</v>
      </c>
      <c r="AK66" s="79">
        <f t="shared" si="50"/>
        <v>25</v>
      </c>
      <c r="AL66" s="79">
        <f t="shared" si="50"/>
        <v>25</v>
      </c>
      <c r="AM66" s="79">
        <f t="shared" si="50"/>
        <v>25</v>
      </c>
      <c r="AN66" s="79">
        <f t="shared" si="50"/>
        <v>25</v>
      </c>
      <c r="AO66" s="79">
        <f t="shared" si="50"/>
        <v>25</v>
      </c>
      <c r="AP66" s="79">
        <f t="shared" si="50"/>
        <v>25</v>
      </c>
      <c r="AQ66" s="79">
        <f t="shared" si="50"/>
        <v>25</v>
      </c>
      <c r="AR66" s="79">
        <f t="shared" si="50"/>
        <v>25</v>
      </c>
      <c r="AS66" s="79">
        <f t="shared" si="50"/>
        <v>25</v>
      </c>
      <c r="AT66" s="79">
        <f t="shared" si="50"/>
        <v>25</v>
      </c>
      <c r="AU66" s="79">
        <f t="shared" si="50"/>
        <v>25</v>
      </c>
      <c r="AV66" s="79">
        <f t="shared" si="50"/>
        <v>25</v>
      </c>
      <c r="AW66" s="79">
        <f t="shared" si="50"/>
        <v>25</v>
      </c>
      <c r="AX66" s="79">
        <f t="shared" si="50"/>
        <v>25</v>
      </c>
      <c r="AY66" s="79">
        <f t="shared" si="50"/>
        <v>25</v>
      </c>
      <c r="AZ66" s="79">
        <f t="shared" si="50"/>
        <v>25</v>
      </c>
      <c r="BA66" s="79">
        <f t="shared" si="50"/>
        <v>25</v>
      </c>
      <c r="BB66" s="79">
        <f t="shared" si="50"/>
        <v>25</v>
      </c>
      <c r="BC66" s="79">
        <f t="shared" si="50"/>
        <v>25</v>
      </c>
      <c r="BD66" s="79">
        <f t="shared" si="50"/>
        <v>25</v>
      </c>
      <c r="BE66" s="79">
        <f t="shared" si="50"/>
        <v>25</v>
      </c>
      <c r="BF66" s="79">
        <f t="shared" si="50"/>
        <v>25</v>
      </c>
      <c r="BG66" s="79">
        <f t="shared" si="50"/>
        <v>25</v>
      </c>
      <c r="BH66" s="79">
        <f t="shared" si="50"/>
        <v>25</v>
      </c>
      <c r="BI66" s="79">
        <f t="shared" si="50"/>
        <v>25</v>
      </c>
      <c r="BJ66" s="79">
        <f t="shared" si="50"/>
        <v>25</v>
      </c>
      <c r="BK66" s="79">
        <f t="shared" si="50"/>
        <v>25</v>
      </c>
      <c r="BL66" s="79">
        <f t="shared" si="50"/>
        <v>25</v>
      </c>
      <c r="BM66" s="79">
        <f t="shared" si="50"/>
        <v>25</v>
      </c>
      <c r="BN66" s="79">
        <f t="shared" si="50"/>
        <v>25</v>
      </c>
    </row>
    <row r="67" outlineLevel="1">
      <c r="A67" s="47"/>
      <c r="B67" s="39" t="s">
        <v>46</v>
      </c>
      <c r="C67" s="47"/>
      <c r="D67" s="89">
        <v>2.0</v>
      </c>
      <c r="E67" s="47"/>
      <c r="F67" s="47"/>
      <c r="G67" s="90">
        <f t="shared" si="51"/>
        <v>2</v>
      </c>
      <c r="H67" s="90">
        <f t="shared" ref="H67:BN67" si="52">G67</f>
        <v>2</v>
      </c>
      <c r="I67" s="90">
        <f t="shared" si="52"/>
        <v>2</v>
      </c>
      <c r="J67" s="90">
        <f t="shared" si="52"/>
        <v>2</v>
      </c>
      <c r="K67" s="90">
        <f t="shared" si="52"/>
        <v>2</v>
      </c>
      <c r="L67" s="90">
        <f t="shared" si="52"/>
        <v>2</v>
      </c>
      <c r="M67" s="90">
        <f t="shared" si="52"/>
        <v>2</v>
      </c>
      <c r="N67" s="90">
        <f t="shared" si="52"/>
        <v>2</v>
      </c>
      <c r="O67" s="90">
        <f t="shared" si="52"/>
        <v>2</v>
      </c>
      <c r="P67" s="90">
        <f t="shared" si="52"/>
        <v>2</v>
      </c>
      <c r="Q67" s="90">
        <f t="shared" si="52"/>
        <v>2</v>
      </c>
      <c r="R67" s="90">
        <f t="shared" si="52"/>
        <v>2</v>
      </c>
      <c r="S67" s="90">
        <f t="shared" si="52"/>
        <v>2</v>
      </c>
      <c r="T67" s="90">
        <f t="shared" si="52"/>
        <v>2</v>
      </c>
      <c r="U67" s="90">
        <f t="shared" si="52"/>
        <v>2</v>
      </c>
      <c r="V67" s="90">
        <f t="shared" si="52"/>
        <v>2</v>
      </c>
      <c r="W67" s="90">
        <f t="shared" si="52"/>
        <v>2</v>
      </c>
      <c r="X67" s="90">
        <f t="shared" si="52"/>
        <v>2</v>
      </c>
      <c r="Y67" s="90">
        <f t="shared" si="52"/>
        <v>2</v>
      </c>
      <c r="Z67" s="90">
        <f t="shared" si="52"/>
        <v>2</v>
      </c>
      <c r="AA67" s="90">
        <f t="shared" si="52"/>
        <v>2</v>
      </c>
      <c r="AB67" s="90">
        <f t="shared" si="52"/>
        <v>2</v>
      </c>
      <c r="AC67" s="90">
        <f t="shared" si="52"/>
        <v>2</v>
      </c>
      <c r="AD67" s="90">
        <f t="shared" si="52"/>
        <v>2</v>
      </c>
      <c r="AE67" s="90">
        <f t="shared" si="52"/>
        <v>2</v>
      </c>
      <c r="AF67" s="90">
        <f t="shared" si="52"/>
        <v>2</v>
      </c>
      <c r="AG67" s="90">
        <f t="shared" si="52"/>
        <v>2</v>
      </c>
      <c r="AH67" s="90">
        <f t="shared" si="52"/>
        <v>2</v>
      </c>
      <c r="AI67" s="90">
        <f t="shared" si="52"/>
        <v>2</v>
      </c>
      <c r="AJ67" s="90">
        <f t="shared" si="52"/>
        <v>2</v>
      </c>
      <c r="AK67" s="90">
        <f t="shared" si="52"/>
        <v>2</v>
      </c>
      <c r="AL67" s="90">
        <f t="shared" si="52"/>
        <v>2</v>
      </c>
      <c r="AM67" s="90">
        <f t="shared" si="52"/>
        <v>2</v>
      </c>
      <c r="AN67" s="90">
        <f t="shared" si="52"/>
        <v>2</v>
      </c>
      <c r="AO67" s="90">
        <f t="shared" si="52"/>
        <v>2</v>
      </c>
      <c r="AP67" s="90">
        <f t="shared" si="52"/>
        <v>2</v>
      </c>
      <c r="AQ67" s="90">
        <f t="shared" si="52"/>
        <v>2</v>
      </c>
      <c r="AR67" s="90">
        <f t="shared" si="52"/>
        <v>2</v>
      </c>
      <c r="AS67" s="90">
        <f t="shared" si="52"/>
        <v>2</v>
      </c>
      <c r="AT67" s="90">
        <f t="shared" si="52"/>
        <v>2</v>
      </c>
      <c r="AU67" s="90">
        <f t="shared" si="52"/>
        <v>2</v>
      </c>
      <c r="AV67" s="90">
        <f t="shared" si="52"/>
        <v>2</v>
      </c>
      <c r="AW67" s="90">
        <f t="shared" si="52"/>
        <v>2</v>
      </c>
      <c r="AX67" s="90">
        <f t="shared" si="52"/>
        <v>2</v>
      </c>
      <c r="AY67" s="90">
        <f t="shared" si="52"/>
        <v>2</v>
      </c>
      <c r="AZ67" s="90">
        <f t="shared" si="52"/>
        <v>2</v>
      </c>
      <c r="BA67" s="90">
        <f t="shared" si="52"/>
        <v>2</v>
      </c>
      <c r="BB67" s="90">
        <f t="shared" si="52"/>
        <v>2</v>
      </c>
      <c r="BC67" s="90">
        <f t="shared" si="52"/>
        <v>2</v>
      </c>
      <c r="BD67" s="90">
        <f t="shared" si="52"/>
        <v>2</v>
      </c>
      <c r="BE67" s="90">
        <f t="shared" si="52"/>
        <v>2</v>
      </c>
      <c r="BF67" s="90">
        <f t="shared" si="52"/>
        <v>2</v>
      </c>
      <c r="BG67" s="90">
        <f t="shared" si="52"/>
        <v>2</v>
      </c>
      <c r="BH67" s="90">
        <f t="shared" si="52"/>
        <v>2</v>
      </c>
      <c r="BI67" s="90">
        <f t="shared" si="52"/>
        <v>2</v>
      </c>
      <c r="BJ67" s="90">
        <f t="shared" si="52"/>
        <v>2</v>
      </c>
      <c r="BK67" s="90">
        <f t="shared" si="52"/>
        <v>2</v>
      </c>
      <c r="BL67" s="90">
        <f t="shared" si="52"/>
        <v>2</v>
      </c>
      <c r="BM67" s="90">
        <f t="shared" si="52"/>
        <v>2</v>
      </c>
      <c r="BN67" s="90">
        <f t="shared" si="52"/>
        <v>2</v>
      </c>
    </row>
    <row r="68" outlineLevel="1">
      <c r="A68" s="47"/>
      <c r="B68" s="71" t="s">
        <v>16</v>
      </c>
      <c r="C68" s="59"/>
      <c r="D68" s="83">
        <v>0.2</v>
      </c>
      <c r="E68" s="61"/>
      <c r="F68" s="61"/>
      <c r="G68" s="62">
        <f t="shared" si="51"/>
        <v>0.2</v>
      </c>
      <c r="H68" s="62">
        <f t="shared" ref="H68:BN68" si="53">G68</f>
        <v>0.2</v>
      </c>
      <c r="I68" s="62">
        <f t="shared" si="53"/>
        <v>0.2</v>
      </c>
      <c r="J68" s="62">
        <f t="shared" si="53"/>
        <v>0.2</v>
      </c>
      <c r="K68" s="62">
        <f t="shared" si="53"/>
        <v>0.2</v>
      </c>
      <c r="L68" s="62">
        <f t="shared" si="53"/>
        <v>0.2</v>
      </c>
      <c r="M68" s="62">
        <f t="shared" si="53"/>
        <v>0.2</v>
      </c>
      <c r="N68" s="62">
        <f t="shared" si="53"/>
        <v>0.2</v>
      </c>
      <c r="O68" s="62">
        <f t="shared" si="53"/>
        <v>0.2</v>
      </c>
      <c r="P68" s="62">
        <f t="shared" si="53"/>
        <v>0.2</v>
      </c>
      <c r="Q68" s="62">
        <f t="shared" si="53"/>
        <v>0.2</v>
      </c>
      <c r="R68" s="62">
        <f t="shared" si="53"/>
        <v>0.2</v>
      </c>
      <c r="S68" s="62">
        <f t="shared" si="53"/>
        <v>0.2</v>
      </c>
      <c r="T68" s="62">
        <f t="shared" si="53"/>
        <v>0.2</v>
      </c>
      <c r="U68" s="62">
        <f t="shared" si="53"/>
        <v>0.2</v>
      </c>
      <c r="V68" s="62">
        <f t="shared" si="53"/>
        <v>0.2</v>
      </c>
      <c r="W68" s="62">
        <f t="shared" si="53"/>
        <v>0.2</v>
      </c>
      <c r="X68" s="62">
        <f t="shared" si="53"/>
        <v>0.2</v>
      </c>
      <c r="Y68" s="62">
        <f t="shared" si="53"/>
        <v>0.2</v>
      </c>
      <c r="Z68" s="62">
        <f t="shared" si="53"/>
        <v>0.2</v>
      </c>
      <c r="AA68" s="62">
        <f t="shared" si="53"/>
        <v>0.2</v>
      </c>
      <c r="AB68" s="62">
        <f t="shared" si="53"/>
        <v>0.2</v>
      </c>
      <c r="AC68" s="62">
        <f t="shared" si="53"/>
        <v>0.2</v>
      </c>
      <c r="AD68" s="62">
        <f t="shared" si="53"/>
        <v>0.2</v>
      </c>
      <c r="AE68" s="62">
        <f t="shared" si="53"/>
        <v>0.2</v>
      </c>
      <c r="AF68" s="62">
        <f t="shared" si="53"/>
        <v>0.2</v>
      </c>
      <c r="AG68" s="62">
        <f t="shared" si="53"/>
        <v>0.2</v>
      </c>
      <c r="AH68" s="62">
        <f t="shared" si="53"/>
        <v>0.2</v>
      </c>
      <c r="AI68" s="62">
        <f t="shared" si="53"/>
        <v>0.2</v>
      </c>
      <c r="AJ68" s="62">
        <f t="shared" si="53"/>
        <v>0.2</v>
      </c>
      <c r="AK68" s="62">
        <f t="shared" si="53"/>
        <v>0.2</v>
      </c>
      <c r="AL68" s="62">
        <f t="shared" si="53"/>
        <v>0.2</v>
      </c>
      <c r="AM68" s="62">
        <f t="shared" si="53"/>
        <v>0.2</v>
      </c>
      <c r="AN68" s="62">
        <f t="shared" si="53"/>
        <v>0.2</v>
      </c>
      <c r="AO68" s="62">
        <f t="shared" si="53"/>
        <v>0.2</v>
      </c>
      <c r="AP68" s="62">
        <f t="shared" si="53"/>
        <v>0.2</v>
      </c>
      <c r="AQ68" s="62">
        <f t="shared" si="53"/>
        <v>0.2</v>
      </c>
      <c r="AR68" s="62">
        <f t="shared" si="53"/>
        <v>0.2</v>
      </c>
      <c r="AS68" s="62">
        <f t="shared" si="53"/>
        <v>0.2</v>
      </c>
      <c r="AT68" s="62">
        <f t="shared" si="53"/>
        <v>0.2</v>
      </c>
      <c r="AU68" s="62">
        <f t="shared" si="53"/>
        <v>0.2</v>
      </c>
      <c r="AV68" s="62">
        <f t="shared" si="53"/>
        <v>0.2</v>
      </c>
      <c r="AW68" s="62">
        <f t="shared" si="53"/>
        <v>0.2</v>
      </c>
      <c r="AX68" s="62">
        <f t="shared" si="53"/>
        <v>0.2</v>
      </c>
      <c r="AY68" s="62">
        <f t="shared" si="53"/>
        <v>0.2</v>
      </c>
      <c r="AZ68" s="62">
        <f t="shared" si="53"/>
        <v>0.2</v>
      </c>
      <c r="BA68" s="62">
        <f t="shared" si="53"/>
        <v>0.2</v>
      </c>
      <c r="BB68" s="62">
        <f t="shared" si="53"/>
        <v>0.2</v>
      </c>
      <c r="BC68" s="62">
        <f t="shared" si="53"/>
        <v>0.2</v>
      </c>
      <c r="BD68" s="62">
        <f t="shared" si="53"/>
        <v>0.2</v>
      </c>
      <c r="BE68" s="62">
        <f t="shared" si="53"/>
        <v>0.2</v>
      </c>
      <c r="BF68" s="62">
        <f t="shared" si="53"/>
        <v>0.2</v>
      </c>
      <c r="BG68" s="62">
        <f t="shared" si="53"/>
        <v>0.2</v>
      </c>
      <c r="BH68" s="62">
        <f t="shared" si="53"/>
        <v>0.2</v>
      </c>
      <c r="BI68" s="62">
        <f t="shared" si="53"/>
        <v>0.2</v>
      </c>
      <c r="BJ68" s="62">
        <f t="shared" si="53"/>
        <v>0.2</v>
      </c>
      <c r="BK68" s="62">
        <f t="shared" si="53"/>
        <v>0.2</v>
      </c>
      <c r="BL68" s="62">
        <f t="shared" si="53"/>
        <v>0.2</v>
      </c>
      <c r="BM68" s="62">
        <f t="shared" si="53"/>
        <v>0.2</v>
      </c>
      <c r="BN68" s="62">
        <f t="shared" si="53"/>
        <v>0.2</v>
      </c>
    </row>
    <row r="69" outlineLevel="1">
      <c r="A69" s="47"/>
      <c r="B69" s="73" t="s">
        <v>17</v>
      </c>
      <c r="C69" s="47"/>
      <c r="D69" s="64"/>
      <c r="E69" s="64"/>
      <c r="F69" s="64"/>
      <c r="G69" s="91">
        <f t="shared" ref="G69:BN69" si="54">IFERROR(offset(G66,,-G67+1)*G68,0)</f>
        <v>0</v>
      </c>
      <c r="H69" s="91">
        <f t="shared" si="54"/>
        <v>5</v>
      </c>
      <c r="I69" s="91">
        <f t="shared" si="54"/>
        <v>5</v>
      </c>
      <c r="J69" s="91">
        <f t="shared" si="54"/>
        <v>5</v>
      </c>
      <c r="K69" s="91">
        <f t="shared" si="54"/>
        <v>5</v>
      </c>
      <c r="L69" s="91">
        <f t="shared" si="54"/>
        <v>5</v>
      </c>
      <c r="M69" s="91">
        <f t="shared" si="54"/>
        <v>5</v>
      </c>
      <c r="N69" s="91">
        <f t="shared" si="54"/>
        <v>5</v>
      </c>
      <c r="O69" s="91">
        <f t="shared" si="54"/>
        <v>5</v>
      </c>
      <c r="P69" s="91">
        <f t="shared" si="54"/>
        <v>5</v>
      </c>
      <c r="Q69" s="91">
        <f t="shared" si="54"/>
        <v>5</v>
      </c>
      <c r="R69" s="91">
        <f t="shared" si="54"/>
        <v>5</v>
      </c>
      <c r="S69" s="91">
        <f t="shared" si="54"/>
        <v>5</v>
      </c>
      <c r="T69" s="91">
        <f t="shared" si="54"/>
        <v>5</v>
      </c>
      <c r="U69" s="91">
        <f t="shared" si="54"/>
        <v>5</v>
      </c>
      <c r="V69" s="91">
        <f t="shared" si="54"/>
        <v>5</v>
      </c>
      <c r="W69" s="91">
        <f t="shared" si="54"/>
        <v>5</v>
      </c>
      <c r="X69" s="91">
        <f t="shared" si="54"/>
        <v>5</v>
      </c>
      <c r="Y69" s="91">
        <f t="shared" si="54"/>
        <v>5</v>
      </c>
      <c r="Z69" s="91">
        <f t="shared" si="54"/>
        <v>5</v>
      </c>
      <c r="AA69" s="91">
        <f t="shared" si="54"/>
        <v>5</v>
      </c>
      <c r="AB69" s="91">
        <f t="shared" si="54"/>
        <v>5</v>
      </c>
      <c r="AC69" s="91">
        <f t="shared" si="54"/>
        <v>5</v>
      </c>
      <c r="AD69" s="91">
        <f t="shared" si="54"/>
        <v>5</v>
      </c>
      <c r="AE69" s="91">
        <f t="shared" si="54"/>
        <v>5</v>
      </c>
      <c r="AF69" s="91">
        <f t="shared" si="54"/>
        <v>5</v>
      </c>
      <c r="AG69" s="91">
        <f t="shared" si="54"/>
        <v>5</v>
      </c>
      <c r="AH69" s="91">
        <f t="shared" si="54"/>
        <v>5</v>
      </c>
      <c r="AI69" s="91">
        <f t="shared" si="54"/>
        <v>5</v>
      </c>
      <c r="AJ69" s="91">
        <f t="shared" si="54"/>
        <v>5</v>
      </c>
      <c r="AK69" s="91">
        <f t="shared" si="54"/>
        <v>5</v>
      </c>
      <c r="AL69" s="91">
        <f t="shared" si="54"/>
        <v>5</v>
      </c>
      <c r="AM69" s="91">
        <f t="shared" si="54"/>
        <v>5</v>
      </c>
      <c r="AN69" s="91">
        <f t="shared" si="54"/>
        <v>5</v>
      </c>
      <c r="AO69" s="91">
        <f t="shared" si="54"/>
        <v>5</v>
      </c>
      <c r="AP69" s="91">
        <f t="shared" si="54"/>
        <v>5</v>
      </c>
      <c r="AQ69" s="91">
        <f t="shared" si="54"/>
        <v>5</v>
      </c>
      <c r="AR69" s="91">
        <f t="shared" si="54"/>
        <v>5</v>
      </c>
      <c r="AS69" s="91">
        <f t="shared" si="54"/>
        <v>5</v>
      </c>
      <c r="AT69" s="91">
        <f t="shared" si="54"/>
        <v>5</v>
      </c>
      <c r="AU69" s="91">
        <f t="shared" si="54"/>
        <v>5</v>
      </c>
      <c r="AV69" s="91">
        <f t="shared" si="54"/>
        <v>5</v>
      </c>
      <c r="AW69" s="91">
        <f t="shared" si="54"/>
        <v>5</v>
      </c>
      <c r="AX69" s="91">
        <f t="shared" si="54"/>
        <v>5</v>
      </c>
      <c r="AY69" s="91">
        <f t="shared" si="54"/>
        <v>5</v>
      </c>
      <c r="AZ69" s="91">
        <f t="shared" si="54"/>
        <v>5</v>
      </c>
      <c r="BA69" s="91">
        <f t="shared" si="54"/>
        <v>5</v>
      </c>
      <c r="BB69" s="91">
        <f t="shared" si="54"/>
        <v>5</v>
      </c>
      <c r="BC69" s="91">
        <f t="shared" si="54"/>
        <v>5</v>
      </c>
      <c r="BD69" s="91">
        <f t="shared" si="54"/>
        <v>5</v>
      </c>
      <c r="BE69" s="91">
        <f t="shared" si="54"/>
        <v>5</v>
      </c>
      <c r="BF69" s="91">
        <f t="shared" si="54"/>
        <v>5</v>
      </c>
      <c r="BG69" s="91">
        <f t="shared" si="54"/>
        <v>5</v>
      </c>
      <c r="BH69" s="91">
        <f t="shared" si="54"/>
        <v>5</v>
      </c>
      <c r="BI69" s="91">
        <f t="shared" si="54"/>
        <v>5</v>
      </c>
      <c r="BJ69" s="91">
        <f t="shared" si="54"/>
        <v>5</v>
      </c>
      <c r="BK69" s="91">
        <f t="shared" si="54"/>
        <v>5</v>
      </c>
      <c r="BL69" s="91">
        <f t="shared" si="54"/>
        <v>5</v>
      </c>
      <c r="BM69" s="91">
        <f t="shared" si="54"/>
        <v>5</v>
      </c>
      <c r="BN69" s="91">
        <f t="shared" si="54"/>
        <v>5</v>
      </c>
    </row>
    <row r="70" outlineLevel="1">
      <c r="A70" s="47"/>
      <c r="B70" s="92"/>
      <c r="C70" s="61"/>
      <c r="D70" s="61"/>
      <c r="E70" s="61"/>
      <c r="F70" s="61"/>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row>
    <row r="71" outlineLevel="1">
      <c r="A71" s="94"/>
      <c r="B71" s="95" t="s">
        <v>47</v>
      </c>
      <c r="C71" s="94"/>
      <c r="D71" s="96"/>
      <c r="E71" s="96"/>
      <c r="F71" s="96"/>
      <c r="G71" s="97">
        <f t="shared" ref="G71:BN71" si="55">G13+G19+G25+G31+G38+G44+G50+G57+G63+G69</f>
        <v>265.5</v>
      </c>
      <c r="H71" s="97">
        <f t="shared" si="55"/>
        <v>273.9825</v>
      </c>
      <c r="I71" s="97">
        <f t="shared" si="55"/>
        <v>274.1097375</v>
      </c>
      <c r="J71" s="97">
        <f t="shared" si="55"/>
        <v>274.1116461</v>
      </c>
      <c r="K71" s="97">
        <f t="shared" si="55"/>
        <v>274.1116747</v>
      </c>
      <c r="L71" s="97">
        <f t="shared" si="55"/>
        <v>274.1116751</v>
      </c>
      <c r="M71" s="97">
        <f t="shared" si="55"/>
        <v>274.1116751</v>
      </c>
      <c r="N71" s="97">
        <f t="shared" si="55"/>
        <v>274.1116751</v>
      </c>
      <c r="O71" s="97">
        <f t="shared" si="55"/>
        <v>274.1116751</v>
      </c>
      <c r="P71" s="97">
        <f t="shared" si="55"/>
        <v>274.1116751</v>
      </c>
      <c r="Q71" s="97">
        <f t="shared" si="55"/>
        <v>274.1116751</v>
      </c>
      <c r="R71" s="97">
        <f t="shared" si="55"/>
        <v>274.1116751</v>
      </c>
      <c r="S71" s="97">
        <f t="shared" si="55"/>
        <v>274.1116751</v>
      </c>
      <c r="T71" s="97">
        <f t="shared" si="55"/>
        <v>274.1116751</v>
      </c>
      <c r="U71" s="97">
        <f t="shared" si="55"/>
        <v>274.1116751</v>
      </c>
      <c r="V71" s="97">
        <f t="shared" si="55"/>
        <v>274.1116751</v>
      </c>
      <c r="W71" s="97">
        <f t="shared" si="55"/>
        <v>274.1116751</v>
      </c>
      <c r="X71" s="97">
        <f t="shared" si="55"/>
        <v>274.1116751</v>
      </c>
      <c r="Y71" s="97">
        <f t="shared" si="55"/>
        <v>274.1116751</v>
      </c>
      <c r="Z71" s="97">
        <f t="shared" si="55"/>
        <v>274.1116751</v>
      </c>
      <c r="AA71" s="97">
        <f t="shared" si="55"/>
        <v>274.1116751</v>
      </c>
      <c r="AB71" s="97">
        <f t="shared" si="55"/>
        <v>274.1116751</v>
      </c>
      <c r="AC71" s="97">
        <f t="shared" si="55"/>
        <v>274.1116751</v>
      </c>
      <c r="AD71" s="97">
        <f t="shared" si="55"/>
        <v>274.1116751</v>
      </c>
      <c r="AE71" s="97">
        <f t="shared" si="55"/>
        <v>274.1116751</v>
      </c>
      <c r="AF71" s="97">
        <f t="shared" si="55"/>
        <v>274.1116751</v>
      </c>
      <c r="AG71" s="97">
        <f t="shared" si="55"/>
        <v>274.1116751</v>
      </c>
      <c r="AH71" s="97">
        <f t="shared" si="55"/>
        <v>274.1116751</v>
      </c>
      <c r="AI71" s="97">
        <f t="shared" si="55"/>
        <v>274.1116751</v>
      </c>
      <c r="AJ71" s="97">
        <f t="shared" si="55"/>
        <v>274.1116751</v>
      </c>
      <c r="AK71" s="97">
        <f t="shared" si="55"/>
        <v>274.1116751</v>
      </c>
      <c r="AL71" s="97">
        <f t="shared" si="55"/>
        <v>274.1116751</v>
      </c>
      <c r="AM71" s="97">
        <f t="shared" si="55"/>
        <v>274.1116751</v>
      </c>
      <c r="AN71" s="97">
        <f t="shared" si="55"/>
        <v>274.1116751</v>
      </c>
      <c r="AO71" s="97">
        <f t="shared" si="55"/>
        <v>274.1116751</v>
      </c>
      <c r="AP71" s="97">
        <f t="shared" si="55"/>
        <v>274.1116751</v>
      </c>
      <c r="AQ71" s="97">
        <f t="shared" si="55"/>
        <v>274.1116751</v>
      </c>
      <c r="AR71" s="97">
        <f t="shared" si="55"/>
        <v>274.1116751</v>
      </c>
      <c r="AS71" s="97">
        <f t="shared" si="55"/>
        <v>274.1116751</v>
      </c>
      <c r="AT71" s="97">
        <f t="shared" si="55"/>
        <v>274.1116751</v>
      </c>
      <c r="AU71" s="97">
        <f t="shared" si="55"/>
        <v>274.1116751</v>
      </c>
      <c r="AV71" s="97">
        <f t="shared" si="55"/>
        <v>274.1116751</v>
      </c>
      <c r="AW71" s="97">
        <f t="shared" si="55"/>
        <v>274.1116751</v>
      </c>
      <c r="AX71" s="97">
        <f t="shared" si="55"/>
        <v>274.1116751</v>
      </c>
      <c r="AY71" s="97">
        <f t="shared" si="55"/>
        <v>274.1116751</v>
      </c>
      <c r="AZ71" s="97">
        <f t="shared" si="55"/>
        <v>274.1116751</v>
      </c>
      <c r="BA71" s="97">
        <f t="shared" si="55"/>
        <v>274.1116751</v>
      </c>
      <c r="BB71" s="97">
        <f t="shared" si="55"/>
        <v>274.1116751</v>
      </c>
      <c r="BC71" s="97">
        <f t="shared" si="55"/>
        <v>274.1116751</v>
      </c>
      <c r="BD71" s="97">
        <f t="shared" si="55"/>
        <v>274.1116751</v>
      </c>
      <c r="BE71" s="97">
        <f t="shared" si="55"/>
        <v>274.1116751</v>
      </c>
      <c r="BF71" s="97">
        <f t="shared" si="55"/>
        <v>274.1116751</v>
      </c>
      <c r="BG71" s="97">
        <f t="shared" si="55"/>
        <v>274.1116751</v>
      </c>
      <c r="BH71" s="97">
        <f t="shared" si="55"/>
        <v>274.1116751</v>
      </c>
      <c r="BI71" s="97">
        <f t="shared" si="55"/>
        <v>274.1116751</v>
      </c>
      <c r="BJ71" s="97">
        <f t="shared" si="55"/>
        <v>274.1116751</v>
      </c>
      <c r="BK71" s="97">
        <f t="shared" si="55"/>
        <v>274.1116751</v>
      </c>
      <c r="BL71" s="97">
        <f t="shared" si="55"/>
        <v>274.1116751</v>
      </c>
      <c r="BM71" s="97">
        <f t="shared" si="55"/>
        <v>274.1116751</v>
      </c>
      <c r="BN71" s="97">
        <f t="shared" si="55"/>
        <v>274.1116751</v>
      </c>
    </row>
    <row r="72">
      <c r="A72" s="47"/>
      <c r="B72" s="98"/>
      <c r="C72" s="47"/>
      <c r="D72" s="47"/>
      <c r="E72" s="47"/>
      <c r="F72" s="47"/>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row>
    <row r="73">
      <c r="A73" s="47"/>
      <c r="B73" s="48" t="s">
        <v>48</v>
      </c>
      <c r="C73" s="49"/>
      <c r="D73" s="49"/>
      <c r="E73" s="49"/>
      <c r="F73" s="49"/>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row>
    <row r="74" outlineLevel="1">
      <c r="A74" s="47"/>
      <c r="B74" s="47"/>
      <c r="C74" s="47"/>
      <c r="D74" s="47"/>
      <c r="E74" s="47"/>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row>
    <row r="75" outlineLevel="1">
      <c r="A75" s="80"/>
      <c r="B75" s="99" t="s">
        <v>49</v>
      </c>
      <c r="C75" s="80"/>
      <c r="D75" s="80"/>
      <c r="E75" s="80"/>
      <c r="F75" s="100"/>
      <c r="G75" s="101"/>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row>
    <row r="76" outlineLevel="1">
      <c r="A76" s="80"/>
      <c r="B76" s="102" t="s">
        <v>50</v>
      </c>
      <c r="C76" s="80"/>
      <c r="D76" s="103">
        <v>0.5</v>
      </c>
      <c r="E76" s="80"/>
      <c r="F76" s="104"/>
      <c r="G76" s="88">
        <f>D76</f>
        <v>0.5</v>
      </c>
      <c r="H76" s="88">
        <f t="shared" ref="H76:BN76" si="56">G76</f>
        <v>0.5</v>
      </c>
      <c r="I76" s="88">
        <f t="shared" si="56"/>
        <v>0.5</v>
      </c>
      <c r="J76" s="88">
        <f t="shared" si="56"/>
        <v>0.5</v>
      </c>
      <c r="K76" s="88">
        <f t="shared" si="56"/>
        <v>0.5</v>
      </c>
      <c r="L76" s="88">
        <f t="shared" si="56"/>
        <v>0.5</v>
      </c>
      <c r="M76" s="88">
        <f t="shared" si="56"/>
        <v>0.5</v>
      </c>
      <c r="N76" s="88">
        <f t="shared" si="56"/>
        <v>0.5</v>
      </c>
      <c r="O76" s="88">
        <f t="shared" si="56"/>
        <v>0.5</v>
      </c>
      <c r="P76" s="88">
        <f t="shared" si="56"/>
        <v>0.5</v>
      </c>
      <c r="Q76" s="88">
        <f t="shared" si="56"/>
        <v>0.5</v>
      </c>
      <c r="R76" s="88">
        <f t="shared" si="56"/>
        <v>0.5</v>
      </c>
      <c r="S76" s="88">
        <f t="shared" si="56"/>
        <v>0.5</v>
      </c>
      <c r="T76" s="88">
        <f t="shared" si="56"/>
        <v>0.5</v>
      </c>
      <c r="U76" s="88">
        <f t="shared" si="56"/>
        <v>0.5</v>
      </c>
      <c r="V76" s="88">
        <f t="shared" si="56"/>
        <v>0.5</v>
      </c>
      <c r="W76" s="88">
        <f t="shared" si="56"/>
        <v>0.5</v>
      </c>
      <c r="X76" s="88">
        <f t="shared" si="56"/>
        <v>0.5</v>
      </c>
      <c r="Y76" s="88">
        <f t="shared" si="56"/>
        <v>0.5</v>
      </c>
      <c r="Z76" s="88">
        <f t="shared" si="56"/>
        <v>0.5</v>
      </c>
      <c r="AA76" s="88">
        <f t="shared" si="56"/>
        <v>0.5</v>
      </c>
      <c r="AB76" s="88">
        <f t="shared" si="56"/>
        <v>0.5</v>
      </c>
      <c r="AC76" s="88">
        <f t="shared" si="56"/>
        <v>0.5</v>
      </c>
      <c r="AD76" s="88">
        <f t="shared" si="56"/>
        <v>0.5</v>
      </c>
      <c r="AE76" s="88">
        <f t="shared" si="56"/>
        <v>0.5</v>
      </c>
      <c r="AF76" s="88">
        <f t="shared" si="56"/>
        <v>0.5</v>
      </c>
      <c r="AG76" s="88">
        <f t="shared" si="56"/>
        <v>0.5</v>
      </c>
      <c r="AH76" s="88">
        <f t="shared" si="56"/>
        <v>0.5</v>
      </c>
      <c r="AI76" s="88">
        <f t="shared" si="56"/>
        <v>0.5</v>
      </c>
      <c r="AJ76" s="88">
        <f t="shared" si="56"/>
        <v>0.5</v>
      </c>
      <c r="AK76" s="88">
        <f t="shared" si="56"/>
        <v>0.5</v>
      </c>
      <c r="AL76" s="88">
        <f t="shared" si="56"/>
        <v>0.5</v>
      </c>
      <c r="AM76" s="88">
        <f t="shared" si="56"/>
        <v>0.5</v>
      </c>
      <c r="AN76" s="88">
        <f t="shared" si="56"/>
        <v>0.5</v>
      </c>
      <c r="AO76" s="88">
        <f t="shared" si="56"/>
        <v>0.5</v>
      </c>
      <c r="AP76" s="88">
        <f t="shared" si="56"/>
        <v>0.5</v>
      </c>
      <c r="AQ76" s="88">
        <f t="shared" si="56"/>
        <v>0.5</v>
      </c>
      <c r="AR76" s="88">
        <f t="shared" si="56"/>
        <v>0.5</v>
      </c>
      <c r="AS76" s="88">
        <f t="shared" si="56"/>
        <v>0.5</v>
      </c>
      <c r="AT76" s="88">
        <f t="shared" si="56"/>
        <v>0.5</v>
      </c>
      <c r="AU76" s="88">
        <f t="shared" si="56"/>
        <v>0.5</v>
      </c>
      <c r="AV76" s="88">
        <f t="shared" si="56"/>
        <v>0.5</v>
      </c>
      <c r="AW76" s="88">
        <f t="shared" si="56"/>
        <v>0.5</v>
      </c>
      <c r="AX76" s="88">
        <f t="shared" si="56"/>
        <v>0.5</v>
      </c>
      <c r="AY76" s="88">
        <f t="shared" si="56"/>
        <v>0.5</v>
      </c>
      <c r="AZ76" s="88">
        <f t="shared" si="56"/>
        <v>0.5</v>
      </c>
      <c r="BA76" s="88">
        <f t="shared" si="56"/>
        <v>0.5</v>
      </c>
      <c r="BB76" s="88">
        <f t="shared" si="56"/>
        <v>0.5</v>
      </c>
      <c r="BC76" s="88">
        <f t="shared" si="56"/>
        <v>0.5</v>
      </c>
      <c r="BD76" s="88">
        <f t="shared" si="56"/>
        <v>0.5</v>
      </c>
      <c r="BE76" s="88">
        <f t="shared" si="56"/>
        <v>0.5</v>
      </c>
      <c r="BF76" s="88">
        <f t="shared" si="56"/>
        <v>0.5</v>
      </c>
      <c r="BG76" s="88">
        <f t="shared" si="56"/>
        <v>0.5</v>
      </c>
      <c r="BH76" s="88">
        <f t="shared" si="56"/>
        <v>0.5</v>
      </c>
      <c r="BI76" s="88">
        <f t="shared" si="56"/>
        <v>0.5</v>
      </c>
      <c r="BJ76" s="88">
        <f t="shared" si="56"/>
        <v>0.5</v>
      </c>
      <c r="BK76" s="88">
        <f t="shared" si="56"/>
        <v>0.5</v>
      </c>
      <c r="BL76" s="88">
        <f t="shared" si="56"/>
        <v>0.5</v>
      </c>
      <c r="BM76" s="88">
        <f t="shared" si="56"/>
        <v>0.5</v>
      </c>
      <c r="BN76" s="88">
        <f t="shared" si="56"/>
        <v>0.5</v>
      </c>
    </row>
    <row r="77" outlineLevel="1">
      <c r="A77" s="80"/>
      <c r="B77" s="102" t="s">
        <v>17</v>
      </c>
      <c r="C77" s="80"/>
      <c r="D77" s="105"/>
      <c r="E77" s="80"/>
      <c r="F77" s="104"/>
      <c r="G77" s="106">
        <f t="shared" ref="G77:BN77" si="57">G76*G$71</f>
        <v>132.75</v>
      </c>
      <c r="H77" s="106">
        <f t="shared" si="57"/>
        <v>136.99125</v>
      </c>
      <c r="I77" s="106">
        <f t="shared" si="57"/>
        <v>137.0548688</v>
      </c>
      <c r="J77" s="106">
        <f t="shared" si="57"/>
        <v>137.055823</v>
      </c>
      <c r="K77" s="106">
        <f t="shared" si="57"/>
        <v>137.0558373</v>
      </c>
      <c r="L77" s="106">
        <f t="shared" si="57"/>
        <v>137.0558376</v>
      </c>
      <c r="M77" s="106">
        <f t="shared" si="57"/>
        <v>137.0558376</v>
      </c>
      <c r="N77" s="106">
        <f t="shared" si="57"/>
        <v>137.0558376</v>
      </c>
      <c r="O77" s="106">
        <f t="shared" si="57"/>
        <v>137.0558376</v>
      </c>
      <c r="P77" s="106">
        <f t="shared" si="57"/>
        <v>137.0558376</v>
      </c>
      <c r="Q77" s="106">
        <f t="shared" si="57"/>
        <v>137.0558376</v>
      </c>
      <c r="R77" s="106">
        <f t="shared" si="57"/>
        <v>137.0558376</v>
      </c>
      <c r="S77" s="106">
        <f t="shared" si="57"/>
        <v>137.0558376</v>
      </c>
      <c r="T77" s="106">
        <f t="shared" si="57"/>
        <v>137.0558376</v>
      </c>
      <c r="U77" s="106">
        <f t="shared" si="57"/>
        <v>137.0558376</v>
      </c>
      <c r="V77" s="106">
        <f t="shared" si="57"/>
        <v>137.0558376</v>
      </c>
      <c r="W77" s="106">
        <f t="shared" si="57"/>
        <v>137.0558376</v>
      </c>
      <c r="X77" s="106">
        <f t="shared" si="57"/>
        <v>137.0558376</v>
      </c>
      <c r="Y77" s="106">
        <f t="shared" si="57"/>
        <v>137.0558376</v>
      </c>
      <c r="Z77" s="106">
        <f t="shared" si="57"/>
        <v>137.0558376</v>
      </c>
      <c r="AA77" s="106">
        <f t="shared" si="57"/>
        <v>137.0558376</v>
      </c>
      <c r="AB77" s="106">
        <f t="shared" si="57"/>
        <v>137.0558376</v>
      </c>
      <c r="AC77" s="106">
        <f t="shared" si="57"/>
        <v>137.0558376</v>
      </c>
      <c r="AD77" s="106">
        <f t="shared" si="57"/>
        <v>137.0558376</v>
      </c>
      <c r="AE77" s="106">
        <f t="shared" si="57"/>
        <v>137.0558376</v>
      </c>
      <c r="AF77" s="106">
        <f t="shared" si="57"/>
        <v>137.0558376</v>
      </c>
      <c r="AG77" s="106">
        <f t="shared" si="57"/>
        <v>137.0558376</v>
      </c>
      <c r="AH77" s="106">
        <f t="shared" si="57"/>
        <v>137.0558376</v>
      </c>
      <c r="AI77" s="106">
        <f t="shared" si="57"/>
        <v>137.0558376</v>
      </c>
      <c r="AJ77" s="106">
        <f t="shared" si="57"/>
        <v>137.0558376</v>
      </c>
      <c r="AK77" s="106">
        <f t="shared" si="57"/>
        <v>137.0558376</v>
      </c>
      <c r="AL77" s="106">
        <f t="shared" si="57"/>
        <v>137.0558376</v>
      </c>
      <c r="AM77" s="106">
        <f t="shared" si="57"/>
        <v>137.0558376</v>
      </c>
      <c r="AN77" s="106">
        <f t="shared" si="57"/>
        <v>137.0558376</v>
      </c>
      <c r="AO77" s="106">
        <f t="shared" si="57"/>
        <v>137.0558376</v>
      </c>
      <c r="AP77" s="106">
        <f t="shared" si="57"/>
        <v>137.0558376</v>
      </c>
      <c r="AQ77" s="106">
        <f t="shared" si="57"/>
        <v>137.0558376</v>
      </c>
      <c r="AR77" s="106">
        <f t="shared" si="57"/>
        <v>137.0558376</v>
      </c>
      <c r="AS77" s="106">
        <f t="shared" si="57"/>
        <v>137.0558376</v>
      </c>
      <c r="AT77" s="106">
        <f t="shared" si="57"/>
        <v>137.0558376</v>
      </c>
      <c r="AU77" s="106">
        <f t="shared" si="57"/>
        <v>137.0558376</v>
      </c>
      <c r="AV77" s="106">
        <f t="shared" si="57"/>
        <v>137.0558376</v>
      </c>
      <c r="AW77" s="106">
        <f t="shared" si="57"/>
        <v>137.0558376</v>
      </c>
      <c r="AX77" s="106">
        <f t="shared" si="57"/>
        <v>137.0558376</v>
      </c>
      <c r="AY77" s="106">
        <f t="shared" si="57"/>
        <v>137.0558376</v>
      </c>
      <c r="AZ77" s="106">
        <f t="shared" si="57"/>
        <v>137.0558376</v>
      </c>
      <c r="BA77" s="106">
        <f t="shared" si="57"/>
        <v>137.0558376</v>
      </c>
      <c r="BB77" s="106">
        <f t="shared" si="57"/>
        <v>137.0558376</v>
      </c>
      <c r="BC77" s="106">
        <f t="shared" si="57"/>
        <v>137.0558376</v>
      </c>
      <c r="BD77" s="106">
        <f t="shared" si="57"/>
        <v>137.0558376</v>
      </c>
      <c r="BE77" s="106">
        <f t="shared" si="57"/>
        <v>137.0558376</v>
      </c>
      <c r="BF77" s="106">
        <f t="shared" si="57"/>
        <v>137.0558376</v>
      </c>
      <c r="BG77" s="106">
        <f t="shared" si="57"/>
        <v>137.0558376</v>
      </c>
      <c r="BH77" s="106">
        <f t="shared" si="57"/>
        <v>137.0558376</v>
      </c>
      <c r="BI77" s="106">
        <f t="shared" si="57"/>
        <v>137.0558376</v>
      </c>
      <c r="BJ77" s="106">
        <f t="shared" si="57"/>
        <v>137.0558376</v>
      </c>
      <c r="BK77" s="106">
        <f t="shared" si="57"/>
        <v>137.0558376</v>
      </c>
      <c r="BL77" s="106">
        <f t="shared" si="57"/>
        <v>137.0558376</v>
      </c>
      <c r="BM77" s="106">
        <f t="shared" si="57"/>
        <v>137.0558376</v>
      </c>
      <c r="BN77" s="106">
        <f t="shared" si="57"/>
        <v>137.0558376</v>
      </c>
    </row>
    <row r="78" outlineLevel="1">
      <c r="A78" s="80"/>
      <c r="B78" s="102" t="s">
        <v>51</v>
      </c>
      <c r="C78" s="80"/>
      <c r="D78" s="87">
        <v>0.5</v>
      </c>
      <c r="E78" s="80"/>
      <c r="F78" s="104"/>
      <c r="G78" s="88">
        <f>D78</f>
        <v>0.5</v>
      </c>
      <c r="H78" s="88">
        <f t="shared" ref="H78:BN78" si="58">G78</f>
        <v>0.5</v>
      </c>
      <c r="I78" s="88">
        <f t="shared" si="58"/>
        <v>0.5</v>
      </c>
      <c r="J78" s="88">
        <f t="shared" si="58"/>
        <v>0.5</v>
      </c>
      <c r="K78" s="88">
        <f t="shared" si="58"/>
        <v>0.5</v>
      </c>
      <c r="L78" s="88">
        <f t="shared" si="58"/>
        <v>0.5</v>
      </c>
      <c r="M78" s="88">
        <f t="shared" si="58"/>
        <v>0.5</v>
      </c>
      <c r="N78" s="88">
        <f t="shared" si="58"/>
        <v>0.5</v>
      </c>
      <c r="O78" s="88">
        <f t="shared" si="58"/>
        <v>0.5</v>
      </c>
      <c r="P78" s="88">
        <f t="shared" si="58"/>
        <v>0.5</v>
      </c>
      <c r="Q78" s="88">
        <f t="shared" si="58"/>
        <v>0.5</v>
      </c>
      <c r="R78" s="88">
        <f t="shared" si="58"/>
        <v>0.5</v>
      </c>
      <c r="S78" s="88">
        <f t="shared" si="58"/>
        <v>0.5</v>
      </c>
      <c r="T78" s="88">
        <f t="shared" si="58"/>
        <v>0.5</v>
      </c>
      <c r="U78" s="88">
        <f t="shared" si="58"/>
        <v>0.5</v>
      </c>
      <c r="V78" s="88">
        <f t="shared" si="58"/>
        <v>0.5</v>
      </c>
      <c r="W78" s="88">
        <f t="shared" si="58"/>
        <v>0.5</v>
      </c>
      <c r="X78" s="88">
        <f t="shared" si="58"/>
        <v>0.5</v>
      </c>
      <c r="Y78" s="88">
        <f t="shared" si="58"/>
        <v>0.5</v>
      </c>
      <c r="Z78" s="88">
        <f t="shared" si="58"/>
        <v>0.5</v>
      </c>
      <c r="AA78" s="88">
        <f t="shared" si="58"/>
        <v>0.5</v>
      </c>
      <c r="AB78" s="88">
        <f t="shared" si="58"/>
        <v>0.5</v>
      </c>
      <c r="AC78" s="88">
        <f t="shared" si="58"/>
        <v>0.5</v>
      </c>
      <c r="AD78" s="88">
        <f t="shared" si="58"/>
        <v>0.5</v>
      </c>
      <c r="AE78" s="88">
        <f t="shared" si="58"/>
        <v>0.5</v>
      </c>
      <c r="AF78" s="88">
        <f t="shared" si="58"/>
        <v>0.5</v>
      </c>
      <c r="AG78" s="88">
        <f t="shared" si="58"/>
        <v>0.5</v>
      </c>
      <c r="AH78" s="88">
        <f t="shared" si="58"/>
        <v>0.5</v>
      </c>
      <c r="AI78" s="88">
        <f t="shared" si="58"/>
        <v>0.5</v>
      </c>
      <c r="AJ78" s="88">
        <f t="shared" si="58"/>
        <v>0.5</v>
      </c>
      <c r="AK78" s="88">
        <f t="shared" si="58"/>
        <v>0.5</v>
      </c>
      <c r="AL78" s="88">
        <f t="shared" si="58"/>
        <v>0.5</v>
      </c>
      <c r="AM78" s="88">
        <f t="shared" si="58"/>
        <v>0.5</v>
      </c>
      <c r="AN78" s="88">
        <f t="shared" si="58"/>
        <v>0.5</v>
      </c>
      <c r="AO78" s="88">
        <f t="shared" si="58"/>
        <v>0.5</v>
      </c>
      <c r="AP78" s="88">
        <f t="shared" si="58"/>
        <v>0.5</v>
      </c>
      <c r="AQ78" s="88">
        <f t="shared" si="58"/>
        <v>0.5</v>
      </c>
      <c r="AR78" s="88">
        <f t="shared" si="58"/>
        <v>0.5</v>
      </c>
      <c r="AS78" s="88">
        <f t="shared" si="58"/>
        <v>0.5</v>
      </c>
      <c r="AT78" s="88">
        <f t="shared" si="58"/>
        <v>0.5</v>
      </c>
      <c r="AU78" s="88">
        <f t="shared" si="58"/>
        <v>0.5</v>
      </c>
      <c r="AV78" s="88">
        <f t="shared" si="58"/>
        <v>0.5</v>
      </c>
      <c r="AW78" s="88">
        <f t="shared" si="58"/>
        <v>0.5</v>
      </c>
      <c r="AX78" s="88">
        <f t="shared" si="58"/>
        <v>0.5</v>
      </c>
      <c r="AY78" s="88">
        <f t="shared" si="58"/>
        <v>0.5</v>
      </c>
      <c r="AZ78" s="88">
        <f t="shared" si="58"/>
        <v>0.5</v>
      </c>
      <c r="BA78" s="88">
        <f t="shared" si="58"/>
        <v>0.5</v>
      </c>
      <c r="BB78" s="88">
        <f t="shared" si="58"/>
        <v>0.5</v>
      </c>
      <c r="BC78" s="88">
        <f t="shared" si="58"/>
        <v>0.5</v>
      </c>
      <c r="BD78" s="88">
        <f t="shared" si="58"/>
        <v>0.5</v>
      </c>
      <c r="BE78" s="88">
        <f t="shared" si="58"/>
        <v>0.5</v>
      </c>
      <c r="BF78" s="88">
        <f t="shared" si="58"/>
        <v>0.5</v>
      </c>
      <c r="BG78" s="88">
        <f t="shared" si="58"/>
        <v>0.5</v>
      </c>
      <c r="BH78" s="88">
        <f t="shared" si="58"/>
        <v>0.5</v>
      </c>
      <c r="BI78" s="88">
        <f t="shared" si="58"/>
        <v>0.5</v>
      </c>
      <c r="BJ78" s="88">
        <f t="shared" si="58"/>
        <v>0.5</v>
      </c>
      <c r="BK78" s="88">
        <f t="shared" si="58"/>
        <v>0.5</v>
      </c>
      <c r="BL78" s="88">
        <f t="shared" si="58"/>
        <v>0.5</v>
      </c>
      <c r="BM78" s="88">
        <f t="shared" si="58"/>
        <v>0.5</v>
      </c>
      <c r="BN78" s="88">
        <f t="shared" si="58"/>
        <v>0.5</v>
      </c>
    </row>
    <row r="79" outlineLevel="1">
      <c r="A79" s="80"/>
      <c r="B79" s="102" t="s">
        <v>52</v>
      </c>
      <c r="C79" s="80"/>
      <c r="D79" s="107"/>
      <c r="E79" s="80"/>
      <c r="F79" s="104"/>
      <c r="G79" s="106">
        <f t="shared" ref="G79:BN79" si="59">G81*G78</f>
        <v>0</v>
      </c>
      <c r="H79" s="106">
        <f t="shared" si="59"/>
        <v>66.375</v>
      </c>
      <c r="I79" s="106">
        <f t="shared" si="59"/>
        <v>101.683125</v>
      </c>
      <c r="J79" s="106">
        <f t="shared" si="59"/>
        <v>119.3689969</v>
      </c>
      <c r="K79" s="106">
        <f t="shared" si="59"/>
        <v>128.21241</v>
      </c>
      <c r="L79" s="106">
        <f t="shared" si="59"/>
        <v>132.6341236</v>
      </c>
      <c r="M79" s="106">
        <f t="shared" si="59"/>
        <v>134.8449806</v>
      </c>
      <c r="N79" s="106">
        <f t="shared" si="59"/>
        <v>135.9504091</v>
      </c>
      <c r="O79" s="106">
        <f t="shared" si="59"/>
        <v>136.5031233</v>
      </c>
      <c r="P79" s="106">
        <f t="shared" si="59"/>
        <v>136.7794804</v>
      </c>
      <c r="Q79" s="106">
        <f t="shared" si="59"/>
        <v>136.917659</v>
      </c>
      <c r="R79" s="106">
        <f t="shared" si="59"/>
        <v>136.9867483</v>
      </c>
      <c r="S79" s="106">
        <f t="shared" si="59"/>
        <v>137.0212929</v>
      </c>
      <c r="T79" s="106">
        <f t="shared" si="59"/>
        <v>137.0385652</v>
      </c>
      <c r="U79" s="106">
        <f t="shared" si="59"/>
        <v>137.0472014</v>
      </c>
      <c r="V79" s="106">
        <f t="shared" si="59"/>
        <v>137.0515195</v>
      </c>
      <c r="W79" s="106">
        <f t="shared" si="59"/>
        <v>137.0536785</v>
      </c>
      <c r="X79" s="106">
        <f t="shared" si="59"/>
        <v>137.054758</v>
      </c>
      <c r="Y79" s="106">
        <f t="shared" si="59"/>
        <v>137.0552978</v>
      </c>
      <c r="Z79" s="106">
        <f t="shared" si="59"/>
        <v>137.0555677</v>
      </c>
      <c r="AA79" s="106">
        <f t="shared" si="59"/>
        <v>137.0557026</v>
      </c>
      <c r="AB79" s="106">
        <f t="shared" si="59"/>
        <v>137.0557701</v>
      </c>
      <c r="AC79" s="106">
        <f t="shared" si="59"/>
        <v>137.0558038</v>
      </c>
      <c r="AD79" s="106">
        <f t="shared" si="59"/>
        <v>137.0558207</v>
      </c>
      <c r="AE79" s="106">
        <f t="shared" si="59"/>
        <v>137.0558291</v>
      </c>
      <c r="AF79" s="106">
        <f t="shared" si="59"/>
        <v>137.0558333</v>
      </c>
      <c r="AG79" s="106">
        <f t="shared" si="59"/>
        <v>137.0558355</v>
      </c>
      <c r="AH79" s="106">
        <f t="shared" si="59"/>
        <v>137.0558365</v>
      </c>
      <c r="AI79" s="106">
        <f t="shared" si="59"/>
        <v>137.055837</v>
      </c>
      <c r="AJ79" s="106">
        <f t="shared" si="59"/>
        <v>137.0558373</v>
      </c>
      <c r="AK79" s="106">
        <f t="shared" si="59"/>
        <v>137.0558374</v>
      </c>
      <c r="AL79" s="106">
        <f t="shared" si="59"/>
        <v>137.0558375</v>
      </c>
      <c r="AM79" s="106">
        <f t="shared" si="59"/>
        <v>137.0558375</v>
      </c>
      <c r="AN79" s="106">
        <f t="shared" si="59"/>
        <v>137.0558375</v>
      </c>
      <c r="AO79" s="106">
        <f t="shared" si="59"/>
        <v>137.0558376</v>
      </c>
      <c r="AP79" s="106">
        <f t="shared" si="59"/>
        <v>137.0558376</v>
      </c>
      <c r="AQ79" s="106">
        <f t="shared" si="59"/>
        <v>137.0558376</v>
      </c>
      <c r="AR79" s="106">
        <f t="shared" si="59"/>
        <v>137.0558376</v>
      </c>
      <c r="AS79" s="106">
        <f t="shared" si="59"/>
        <v>137.0558376</v>
      </c>
      <c r="AT79" s="106">
        <f t="shared" si="59"/>
        <v>137.0558376</v>
      </c>
      <c r="AU79" s="106">
        <f t="shared" si="59"/>
        <v>137.0558376</v>
      </c>
      <c r="AV79" s="106">
        <f t="shared" si="59"/>
        <v>137.0558376</v>
      </c>
      <c r="AW79" s="106">
        <f t="shared" si="59"/>
        <v>137.0558376</v>
      </c>
      <c r="AX79" s="106">
        <f t="shared" si="59"/>
        <v>137.0558376</v>
      </c>
      <c r="AY79" s="106">
        <f t="shared" si="59"/>
        <v>137.0558376</v>
      </c>
      <c r="AZ79" s="106">
        <f t="shared" si="59"/>
        <v>137.0558376</v>
      </c>
      <c r="BA79" s="106">
        <f t="shared" si="59"/>
        <v>137.0558376</v>
      </c>
      <c r="BB79" s="106">
        <f t="shared" si="59"/>
        <v>137.0558376</v>
      </c>
      <c r="BC79" s="106">
        <f t="shared" si="59"/>
        <v>137.0558376</v>
      </c>
      <c r="BD79" s="106">
        <f t="shared" si="59"/>
        <v>137.0558376</v>
      </c>
      <c r="BE79" s="106">
        <f t="shared" si="59"/>
        <v>137.0558376</v>
      </c>
      <c r="BF79" s="106">
        <f t="shared" si="59"/>
        <v>137.0558376</v>
      </c>
      <c r="BG79" s="106">
        <f t="shared" si="59"/>
        <v>137.0558376</v>
      </c>
      <c r="BH79" s="106">
        <f t="shared" si="59"/>
        <v>137.0558376</v>
      </c>
      <c r="BI79" s="106">
        <f t="shared" si="59"/>
        <v>137.0558376</v>
      </c>
      <c r="BJ79" s="106">
        <f t="shared" si="59"/>
        <v>137.0558376</v>
      </c>
      <c r="BK79" s="106">
        <f t="shared" si="59"/>
        <v>137.0558376</v>
      </c>
      <c r="BL79" s="106">
        <f t="shared" si="59"/>
        <v>137.0558376</v>
      </c>
      <c r="BM79" s="106">
        <f t="shared" si="59"/>
        <v>137.0558376</v>
      </c>
      <c r="BN79" s="106">
        <f t="shared" si="59"/>
        <v>137.0558376</v>
      </c>
    </row>
    <row r="80" outlineLevel="1">
      <c r="A80" s="80"/>
      <c r="B80" s="102" t="s">
        <v>53</v>
      </c>
      <c r="C80" s="80"/>
      <c r="D80" s="107"/>
      <c r="E80" s="80"/>
      <c r="F80" s="104"/>
      <c r="G80" s="106">
        <f t="shared" ref="G80:BN80" si="60">G79+G77</f>
        <v>132.75</v>
      </c>
      <c r="H80" s="106">
        <f t="shared" si="60"/>
        <v>203.36625</v>
      </c>
      <c r="I80" s="106">
        <f t="shared" si="60"/>
        <v>238.7379938</v>
      </c>
      <c r="J80" s="106">
        <f t="shared" si="60"/>
        <v>256.4248199</v>
      </c>
      <c r="K80" s="106">
        <f t="shared" si="60"/>
        <v>265.2682473</v>
      </c>
      <c r="L80" s="106">
        <f t="shared" si="60"/>
        <v>269.6899612</v>
      </c>
      <c r="M80" s="106">
        <f t="shared" si="60"/>
        <v>271.9008182</v>
      </c>
      <c r="N80" s="106">
        <f t="shared" si="60"/>
        <v>273.0062466</v>
      </c>
      <c r="O80" s="106">
        <f t="shared" si="60"/>
        <v>273.5589609</v>
      </c>
      <c r="P80" s="106">
        <f t="shared" si="60"/>
        <v>273.835318</v>
      </c>
      <c r="Q80" s="106">
        <f t="shared" si="60"/>
        <v>273.9734966</v>
      </c>
      <c r="R80" s="106">
        <f t="shared" si="60"/>
        <v>274.0425858</v>
      </c>
      <c r="S80" s="106">
        <f t="shared" si="60"/>
        <v>274.0771305</v>
      </c>
      <c r="T80" s="106">
        <f t="shared" si="60"/>
        <v>274.0944028</v>
      </c>
      <c r="U80" s="106">
        <f t="shared" si="60"/>
        <v>274.103039</v>
      </c>
      <c r="V80" s="106">
        <f t="shared" si="60"/>
        <v>274.107357</v>
      </c>
      <c r="W80" s="106">
        <f t="shared" si="60"/>
        <v>274.1095161</v>
      </c>
      <c r="X80" s="106">
        <f t="shared" si="60"/>
        <v>274.1105956</v>
      </c>
      <c r="Y80" s="106">
        <f t="shared" si="60"/>
        <v>274.1111354</v>
      </c>
      <c r="Z80" s="106">
        <f t="shared" si="60"/>
        <v>274.1114052</v>
      </c>
      <c r="AA80" s="106">
        <f t="shared" si="60"/>
        <v>274.1115402</v>
      </c>
      <c r="AB80" s="106">
        <f t="shared" si="60"/>
        <v>274.1116077</v>
      </c>
      <c r="AC80" s="106">
        <f t="shared" si="60"/>
        <v>274.1116414</v>
      </c>
      <c r="AD80" s="106">
        <f t="shared" si="60"/>
        <v>274.1116583</v>
      </c>
      <c r="AE80" s="106">
        <f t="shared" si="60"/>
        <v>274.1116667</v>
      </c>
      <c r="AF80" s="106">
        <f t="shared" si="60"/>
        <v>274.1116709</v>
      </c>
      <c r="AG80" s="106">
        <f t="shared" si="60"/>
        <v>274.111673</v>
      </c>
      <c r="AH80" s="106">
        <f t="shared" si="60"/>
        <v>274.1116741</v>
      </c>
      <c r="AI80" s="106">
        <f t="shared" si="60"/>
        <v>274.1116746</v>
      </c>
      <c r="AJ80" s="106">
        <f t="shared" si="60"/>
        <v>274.1116749</v>
      </c>
      <c r="AK80" s="106">
        <f t="shared" si="60"/>
        <v>274.111675</v>
      </c>
      <c r="AL80" s="106">
        <f t="shared" si="60"/>
        <v>274.1116751</v>
      </c>
      <c r="AM80" s="106">
        <f t="shared" si="60"/>
        <v>274.1116751</v>
      </c>
      <c r="AN80" s="106">
        <f t="shared" si="60"/>
        <v>274.1116751</v>
      </c>
      <c r="AO80" s="106">
        <f t="shared" si="60"/>
        <v>274.1116751</v>
      </c>
      <c r="AP80" s="106">
        <f t="shared" si="60"/>
        <v>274.1116751</v>
      </c>
      <c r="AQ80" s="106">
        <f t="shared" si="60"/>
        <v>274.1116751</v>
      </c>
      <c r="AR80" s="106">
        <f t="shared" si="60"/>
        <v>274.1116751</v>
      </c>
      <c r="AS80" s="106">
        <f t="shared" si="60"/>
        <v>274.1116751</v>
      </c>
      <c r="AT80" s="106">
        <f t="shared" si="60"/>
        <v>274.1116751</v>
      </c>
      <c r="AU80" s="106">
        <f t="shared" si="60"/>
        <v>274.1116751</v>
      </c>
      <c r="AV80" s="106">
        <f t="shared" si="60"/>
        <v>274.1116751</v>
      </c>
      <c r="AW80" s="106">
        <f t="shared" si="60"/>
        <v>274.1116751</v>
      </c>
      <c r="AX80" s="106">
        <f t="shared" si="60"/>
        <v>274.1116751</v>
      </c>
      <c r="AY80" s="106">
        <f t="shared" si="60"/>
        <v>274.1116751</v>
      </c>
      <c r="AZ80" s="106">
        <f t="shared" si="60"/>
        <v>274.1116751</v>
      </c>
      <c r="BA80" s="106">
        <f t="shared" si="60"/>
        <v>274.1116751</v>
      </c>
      <c r="BB80" s="106">
        <f t="shared" si="60"/>
        <v>274.1116751</v>
      </c>
      <c r="BC80" s="106">
        <f t="shared" si="60"/>
        <v>274.1116751</v>
      </c>
      <c r="BD80" s="106">
        <f t="shared" si="60"/>
        <v>274.1116751</v>
      </c>
      <c r="BE80" s="106">
        <f t="shared" si="60"/>
        <v>274.1116751</v>
      </c>
      <c r="BF80" s="106">
        <f t="shared" si="60"/>
        <v>274.1116751</v>
      </c>
      <c r="BG80" s="106">
        <f t="shared" si="60"/>
        <v>274.1116751</v>
      </c>
      <c r="BH80" s="106">
        <f t="shared" si="60"/>
        <v>274.1116751</v>
      </c>
      <c r="BI80" s="106">
        <f t="shared" si="60"/>
        <v>274.1116751</v>
      </c>
      <c r="BJ80" s="106">
        <f t="shared" si="60"/>
        <v>274.1116751</v>
      </c>
      <c r="BK80" s="106">
        <f t="shared" si="60"/>
        <v>274.1116751</v>
      </c>
      <c r="BL80" s="106">
        <f t="shared" si="60"/>
        <v>274.1116751</v>
      </c>
      <c r="BM80" s="106">
        <f t="shared" si="60"/>
        <v>274.1116751</v>
      </c>
      <c r="BN80" s="106">
        <f t="shared" si="60"/>
        <v>274.1116751</v>
      </c>
    </row>
    <row r="81" outlineLevel="1">
      <c r="A81" s="80"/>
      <c r="B81" s="102" t="s">
        <v>54</v>
      </c>
      <c r="C81" s="80"/>
      <c r="D81" s="107"/>
      <c r="E81" s="55"/>
      <c r="F81" s="104"/>
      <c r="G81" s="106" t="str">
        <f t="shared" ref="G81:BN81" si="61">F80</f>
        <v/>
      </c>
      <c r="H81" s="106">
        <f t="shared" si="61"/>
        <v>132.75</v>
      </c>
      <c r="I81" s="106">
        <f t="shared" si="61"/>
        <v>203.36625</v>
      </c>
      <c r="J81" s="106">
        <f t="shared" si="61"/>
        <v>238.7379938</v>
      </c>
      <c r="K81" s="106">
        <f t="shared" si="61"/>
        <v>256.4248199</v>
      </c>
      <c r="L81" s="106">
        <f t="shared" si="61"/>
        <v>265.2682473</v>
      </c>
      <c r="M81" s="106">
        <f t="shared" si="61"/>
        <v>269.6899612</v>
      </c>
      <c r="N81" s="106">
        <f t="shared" si="61"/>
        <v>271.9008182</v>
      </c>
      <c r="O81" s="106">
        <f t="shared" si="61"/>
        <v>273.0062466</v>
      </c>
      <c r="P81" s="106">
        <f t="shared" si="61"/>
        <v>273.5589609</v>
      </c>
      <c r="Q81" s="106">
        <f t="shared" si="61"/>
        <v>273.835318</v>
      </c>
      <c r="R81" s="106">
        <f t="shared" si="61"/>
        <v>273.9734966</v>
      </c>
      <c r="S81" s="106">
        <f t="shared" si="61"/>
        <v>274.0425858</v>
      </c>
      <c r="T81" s="106">
        <f t="shared" si="61"/>
        <v>274.0771305</v>
      </c>
      <c r="U81" s="106">
        <f t="shared" si="61"/>
        <v>274.0944028</v>
      </c>
      <c r="V81" s="106">
        <f t="shared" si="61"/>
        <v>274.103039</v>
      </c>
      <c r="W81" s="106">
        <f t="shared" si="61"/>
        <v>274.107357</v>
      </c>
      <c r="X81" s="106">
        <f t="shared" si="61"/>
        <v>274.1095161</v>
      </c>
      <c r="Y81" s="106">
        <f t="shared" si="61"/>
        <v>274.1105956</v>
      </c>
      <c r="Z81" s="106">
        <f t="shared" si="61"/>
        <v>274.1111354</v>
      </c>
      <c r="AA81" s="106">
        <f t="shared" si="61"/>
        <v>274.1114052</v>
      </c>
      <c r="AB81" s="106">
        <f t="shared" si="61"/>
        <v>274.1115402</v>
      </c>
      <c r="AC81" s="106">
        <f t="shared" si="61"/>
        <v>274.1116077</v>
      </c>
      <c r="AD81" s="106">
        <f t="shared" si="61"/>
        <v>274.1116414</v>
      </c>
      <c r="AE81" s="106">
        <f t="shared" si="61"/>
        <v>274.1116583</v>
      </c>
      <c r="AF81" s="106">
        <f t="shared" si="61"/>
        <v>274.1116667</v>
      </c>
      <c r="AG81" s="106">
        <f t="shared" si="61"/>
        <v>274.1116709</v>
      </c>
      <c r="AH81" s="106">
        <f t="shared" si="61"/>
        <v>274.111673</v>
      </c>
      <c r="AI81" s="106">
        <f t="shared" si="61"/>
        <v>274.1116741</v>
      </c>
      <c r="AJ81" s="106">
        <f t="shared" si="61"/>
        <v>274.1116746</v>
      </c>
      <c r="AK81" s="106">
        <f t="shared" si="61"/>
        <v>274.1116749</v>
      </c>
      <c r="AL81" s="106">
        <f t="shared" si="61"/>
        <v>274.111675</v>
      </c>
      <c r="AM81" s="106">
        <f t="shared" si="61"/>
        <v>274.1116751</v>
      </c>
      <c r="AN81" s="106">
        <f t="shared" si="61"/>
        <v>274.1116751</v>
      </c>
      <c r="AO81" s="106">
        <f t="shared" si="61"/>
        <v>274.1116751</v>
      </c>
      <c r="AP81" s="106">
        <f t="shared" si="61"/>
        <v>274.1116751</v>
      </c>
      <c r="AQ81" s="106">
        <f t="shared" si="61"/>
        <v>274.1116751</v>
      </c>
      <c r="AR81" s="106">
        <f t="shared" si="61"/>
        <v>274.1116751</v>
      </c>
      <c r="AS81" s="106">
        <f t="shared" si="61"/>
        <v>274.1116751</v>
      </c>
      <c r="AT81" s="106">
        <f t="shared" si="61"/>
        <v>274.1116751</v>
      </c>
      <c r="AU81" s="106">
        <f t="shared" si="61"/>
        <v>274.1116751</v>
      </c>
      <c r="AV81" s="106">
        <f t="shared" si="61"/>
        <v>274.1116751</v>
      </c>
      <c r="AW81" s="106">
        <f t="shared" si="61"/>
        <v>274.1116751</v>
      </c>
      <c r="AX81" s="106">
        <f t="shared" si="61"/>
        <v>274.1116751</v>
      </c>
      <c r="AY81" s="106">
        <f t="shared" si="61"/>
        <v>274.1116751</v>
      </c>
      <c r="AZ81" s="106">
        <f t="shared" si="61"/>
        <v>274.1116751</v>
      </c>
      <c r="BA81" s="106">
        <f t="shared" si="61"/>
        <v>274.1116751</v>
      </c>
      <c r="BB81" s="106">
        <f t="shared" si="61"/>
        <v>274.1116751</v>
      </c>
      <c r="BC81" s="106">
        <f t="shared" si="61"/>
        <v>274.1116751</v>
      </c>
      <c r="BD81" s="106">
        <f t="shared" si="61"/>
        <v>274.1116751</v>
      </c>
      <c r="BE81" s="106">
        <f t="shared" si="61"/>
        <v>274.1116751</v>
      </c>
      <c r="BF81" s="106">
        <f t="shared" si="61"/>
        <v>274.1116751</v>
      </c>
      <c r="BG81" s="106">
        <f t="shared" si="61"/>
        <v>274.1116751</v>
      </c>
      <c r="BH81" s="106">
        <f t="shared" si="61"/>
        <v>274.1116751</v>
      </c>
      <c r="BI81" s="106">
        <f t="shared" si="61"/>
        <v>274.1116751</v>
      </c>
      <c r="BJ81" s="106">
        <f t="shared" si="61"/>
        <v>274.1116751</v>
      </c>
      <c r="BK81" s="106">
        <f t="shared" si="61"/>
        <v>274.1116751</v>
      </c>
      <c r="BL81" s="106">
        <f t="shared" si="61"/>
        <v>274.1116751</v>
      </c>
      <c r="BM81" s="106">
        <f t="shared" si="61"/>
        <v>274.1116751</v>
      </c>
      <c r="BN81" s="106">
        <f t="shared" si="61"/>
        <v>274.1116751</v>
      </c>
    </row>
    <row r="82" outlineLevel="1">
      <c r="A82" s="80"/>
      <c r="B82" s="102" t="s">
        <v>55</v>
      </c>
      <c r="C82" s="80"/>
      <c r="D82" s="108">
        <v>3.0</v>
      </c>
      <c r="E82" s="80"/>
      <c r="F82" s="104"/>
      <c r="G82" s="106">
        <f>D82</f>
        <v>3</v>
      </c>
      <c r="H82" s="106">
        <f t="shared" ref="H82:BN82" si="62">G82</f>
        <v>3</v>
      </c>
      <c r="I82" s="106">
        <f t="shared" si="62"/>
        <v>3</v>
      </c>
      <c r="J82" s="106">
        <f t="shared" si="62"/>
        <v>3</v>
      </c>
      <c r="K82" s="106">
        <f t="shared" si="62"/>
        <v>3</v>
      </c>
      <c r="L82" s="106">
        <f t="shared" si="62"/>
        <v>3</v>
      </c>
      <c r="M82" s="106">
        <f t="shared" si="62"/>
        <v>3</v>
      </c>
      <c r="N82" s="106">
        <f t="shared" si="62"/>
        <v>3</v>
      </c>
      <c r="O82" s="106">
        <f t="shared" si="62"/>
        <v>3</v>
      </c>
      <c r="P82" s="106">
        <f t="shared" si="62"/>
        <v>3</v>
      </c>
      <c r="Q82" s="106">
        <f t="shared" si="62"/>
        <v>3</v>
      </c>
      <c r="R82" s="106">
        <f t="shared" si="62"/>
        <v>3</v>
      </c>
      <c r="S82" s="106">
        <f t="shared" si="62"/>
        <v>3</v>
      </c>
      <c r="T82" s="106">
        <f t="shared" si="62"/>
        <v>3</v>
      </c>
      <c r="U82" s="106">
        <f t="shared" si="62"/>
        <v>3</v>
      </c>
      <c r="V82" s="106">
        <f t="shared" si="62"/>
        <v>3</v>
      </c>
      <c r="W82" s="106">
        <f t="shared" si="62"/>
        <v>3</v>
      </c>
      <c r="X82" s="106">
        <f t="shared" si="62"/>
        <v>3</v>
      </c>
      <c r="Y82" s="106">
        <f t="shared" si="62"/>
        <v>3</v>
      </c>
      <c r="Z82" s="106">
        <f t="shared" si="62"/>
        <v>3</v>
      </c>
      <c r="AA82" s="106">
        <f t="shared" si="62"/>
        <v>3</v>
      </c>
      <c r="AB82" s="106">
        <f t="shared" si="62"/>
        <v>3</v>
      </c>
      <c r="AC82" s="106">
        <f t="shared" si="62"/>
        <v>3</v>
      </c>
      <c r="AD82" s="106">
        <f t="shared" si="62"/>
        <v>3</v>
      </c>
      <c r="AE82" s="106">
        <f t="shared" si="62"/>
        <v>3</v>
      </c>
      <c r="AF82" s="106">
        <f t="shared" si="62"/>
        <v>3</v>
      </c>
      <c r="AG82" s="106">
        <f t="shared" si="62"/>
        <v>3</v>
      </c>
      <c r="AH82" s="106">
        <f t="shared" si="62"/>
        <v>3</v>
      </c>
      <c r="AI82" s="106">
        <f t="shared" si="62"/>
        <v>3</v>
      </c>
      <c r="AJ82" s="106">
        <f t="shared" si="62"/>
        <v>3</v>
      </c>
      <c r="AK82" s="106">
        <f t="shared" si="62"/>
        <v>3</v>
      </c>
      <c r="AL82" s="106">
        <f t="shared" si="62"/>
        <v>3</v>
      </c>
      <c r="AM82" s="106">
        <f t="shared" si="62"/>
        <v>3</v>
      </c>
      <c r="AN82" s="106">
        <f t="shared" si="62"/>
        <v>3</v>
      </c>
      <c r="AO82" s="106">
        <f t="shared" si="62"/>
        <v>3</v>
      </c>
      <c r="AP82" s="106">
        <f t="shared" si="62"/>
        <v>3</v>
      </c>
      <c r="AQ82" s="106">
        <f t="shared" si="62"/>
        <v>3</v>
      </c>
      <c r="AR82" s="106">
        <f t="shared" si="62"/>
        <v>3</v>
      </c>
      <c r="AS82" s="106">
        <f t="shared" si="62"/>
        <v>3</v>
      </c>
      <c r="AT82" s="106">
        <f t="shared" si="62"/>
        <v>3</v>
      </c>
      <c r="AU82" s="106">
        <f t="shared" si="62"/>
        <v>3</v>
      </c>
      <c r="AV82" s="106">
        <f t="shared" si="62"/>
        <v>3</v>
      </c>
      <c r="AW82" s="106">
        <f t="shared" si="62"/>
        <v>3</v>
      </c>
      <c r="AX82" s="106">
        <f t="shared" si="62"/>
        <v>3</v>
      </c>
      <c r="AY82" s="106">
        <f t="shared" si="62"/>
        <v>3</v>
      </c>
      <c r="AZ82" s="106">
        <f t="shared" si="62"/>
        <v>3</v>
      </c>
      <c r="BA82" s="106">
        <f t="shared" si="62"/>
        <v>3</v>
      </c>
      <c r="BB82" s="106">
        <f t="shared" si="62"/>
        <v>3</v>
      </c>
      <c r="BC82" s="106">
        <f t="shared" si="62"/>
        <v>3</v>
      </c>
      <c r="BD82" s="106">
        <f t="shared" si="62"/>
        <v>3</v>
      </c>
      <c r="BE82" s="106">
        <f t="shared" si="62"/>
        <v>3</v>
      </c>
      <c r="BF82" s="106">
        <f t="shared" si="62"/>
        <v>3</v>
      </c>
      <c r="BG82" s="106">
        <f t="shared" si="62"/>
        <v>3</v>
      </c>
      <c r="BH82" s="106">
        <f t="shared" si="62"/>
        <v>3</v>
      </c>
      <c r="BI82" s="106">
        <f t="shared" si="62"/>
        <v>3</v>
      </c>
      <c r="BJ82" s="106">
        <f t="shared" si="62"/>
        <v>3</v>
      </c>
      <c r="BK82" s="106">
        <f t="shared" si="62"/>
        <v>3</v>
      </c>
      <c r="BL82" s="106">
        <f t="shared" si="62"/>
        <v>3</v>
      </c>
      <c r="BM82" s="106">
        <f t="shared" si="62"/>
        <v>3</v>
      </c>
      <c r="BN82" s="106">
        <f t="shared" si="62"/>
        <v>3</v>
      </c>
    </row>
    <row r="83" outlineLevel="1">
      <c r="A83" s="80"/>
      <c r="B83" s="102" t="s">
        <v>56</v>
      </c>
      <c r="C83" s="80"/>
      <c r="D83" s="107"/>
      <c r="E83" s="80"/>
      <c r="F83" s="109"/>
      <c r="G83" s="106">
        <f t="shared" ref="G83:BN83" si="63">G82*G80</f>
        <v>398.25</v>
      </c>
      <c r="H83" s="106">
        <f t="shared" si="63"/>
        <v>610.09875</v>
      </c>
      <c r="I83" s="106">
        <f t="shared" si="63"/>
        <v>716.2139813</v>
      </c>
      <c r="J83" s="106">
        <f t="shared" si="63"/>
        <v>769.2744597</v>
      </c>
      <c r="K83" s="106">
        <f t="shared" si="63"/>
        <v>795.8047419</v>
      </c>
      <c r="L83" s="106">
        <f t="shared" si="63"/>
        <v>809.0698836</v>
      </c>
      <c r="M83" s="106">
        <f t="shared" si="63"/>
        <v>815.7024545</v>
      </c>
      <c r="N83" s="106">
        <f t="shared" si="63"/>
        <v>819.0187399</v>
      </c>
      <c r="O83" s="106">
        <f t="shared" si="63"/>
        <v>820.6768827</v>
      </c>
      <c r="P83" s="106">
        <f t="shared" si="63"/>
        <v>821.505954</v>
      </c>
      <c r="Q83" s="106">
        <f t="shared" si="63"/>
        <v>821.9204897</v>
      </c>
      <c r="R83" s="106">
        <f t="shared" si="63"/>
        <v>822.1277575</v>
      </c>
      <c r="S83" s="106">
        <f t="shared" si="63"/>
        <v>822.2313915</v>
      </c>
      <c r="T83" s="106">
        <f t="shared" si="63"/>
        <v>822.2832084</v>
      </c>
      <c r="U83" s="106">
        <f t="shared" si="63"/>
        <v>822.3091169</v>
      </c>
      <c r="V83" s="106">
        <f t="shared" si="63"/>
        <v>822.3220711</v>
      </c>
      <c r="W83" s="106">
        <f t="shared" si="63"/>
        <v>822.3285483</v>
      </c>
      <c r="X83" s="106">
        <f t="shared" si="63"/>
        <v>822.3317868</v>
      </c>
      <c r="Y83" s="106">
        <f t="shared" si="63"/>
        <v>822.3334061</v>
      </c>
      <c r="Z83" s="106">
        <f t="shared" si="63"/>
        <v>822.3342157</v>
      </c>
      <c r="AA83" s="106">
        <f t="shared" si="63"/>
        <v>822.3346206</v>
      </c>
      <c r="AB83" s="106">
        <f t="shared" si="63"/>
        <v>822.334823</v>
      </c>
      <c r="AC83" s="106">
        <f t="shared" si="63"/>
        <v>822.3349242</v>
      </c>
      <c r="AD83" s="106">
        <f t="shared" si="63"/>
        <v>822.3349748</v>
      </c>
      <c r="AE83" s="106">
        <f t="shared" si="63"/>
        <v>822.3350001</v>
      </c>
      <c r="AF83" s="106">
        <f t="shared" si="63"/>
        <v>822.3350127</v>
      </c>
      <c r="AG83" s="106">
        <f t="shared" si="63"/>
        <v>822.3350191</v>
      </c>
      <c r="AH83" s="106">
        <f t="shared" si="63"/>
        <v>822.3350222</v>
      </c>
      <c r="AI83" s="106">
        <f t="shared" si="63"/>
        <v>822.3350238</v>
      </c>
      <c r="AJ83" s="106">
        <f t="shared" si="63"/>
        <v>822.3350246</v>
      </c>
      <c r="AK83" s="106">
        <f t="shared" si="63"/>
        <v>822.335025</v>
      </c>
      <c r="AL83" s="106">
        <f t="shared" si="63"/>
        <v>822.3350252</v>
      </c>
      <c r="AM83" s="106">
        <f t="shared" si="63"/>
        <v>822.3350253</v>
      </c>
      <c r="AN83" s="106">
        <f t="shared" si="63"/>
        <v>822.3350253</v>
      </c>
      <c r="AO83" s="106">
        <f t="shared" si="63"/>
        <v>822.3350254</v>
      </c>
      <c r="AP83" s="106">
        <f t="shared" si="63"/>
        <v>822.3350254</v>
      </c>
      <c r="AQ83" s="106">
        <f t="shared" si="63"/>
        <v>822.3350254</v>
      </c>
      <c r="AR83" s="106">
        <f t="shared" si="63"/>
        <v>822.3350254</v>
      </c>
      <c r="AS83" s="106">
        <f t="shared" si="63"/>
        <v>822.3350254</v>
      </c>
      <c r="AT83" s="106">
        <f t="shared" si="63"/>
        <v>822.3350254</v>
      </c>
      <c r="AU83" s="106">
        <f t="shared" si="63"/>
        <v>822.3350254</v>
      </c>
      <c r="AV83" s="106">
        <f t="shared" si="63"/>
        <v>822.3350254</v>
      </c>
      <c r="AW83" s="106">
        <f t="shared" si="63"/>
        <v>822.3350254</v>
      </c>
      <c r="AX83" s="106">
        <f t="shared" si="63"/>
        <v>822.3350254</v>
      </c>
      <c r="AY83" s="106">
        <f t="shared" si="63"/>
        <v>822.3350254</v>
      </c>
      <c r="AZ83" s="106">
        <f t="shared" si="63"/>
        <v>822.3350254</v>
      </c>
      <c r="BA83" s="106">
        <f t="shared" si="63"/>
        <v>822.3350254</v>
      </c>
      <c r="BB83" s="106">
        <f t="shared" si="63"/>
        <v>822.3350254</v>
      </c>
      <c r="BC83" s="106">
        <f t="shared" si="63"/>
        <v>822.3350254</v>
      </c>
      <c r="BD83" s="106">
        <f t="shared" si="63"/>
        <v>822.3350254</v>
      </c>
      <c r="BE83" s="106">
        <f t="shared" si="63"/>
        <v>822.3350254</v>
      </c>
      <c r="BF83" s="106">
        <f t="shared" si="63"/>
        <v>822.3350254</v>
      </c>
      <c r="BG83" s="106">
        <f t="shared" si="63"/>
        <v>822.3350254</v>
      </c>
      <c r="BH83" s="106">
        <f t="shared" si="63"/>
        <v>822.3350254</v>
      </c>
      <c r="BI83" s="106">
        <f t="shared" si="63"/>
        <v>822.3350254</v>
      </c>
      <c r="BJ83" s="106">
        <f t="shared" si="63"/>
        <v>822.3350254</v>
      </c>
      <c r="BK83" s="106">
        <f t="shared" si="63"/>
        <v>822.3350254</v>
      </c>
      <c r="BL83" s="106">
        <f t="shared" si="63"/>
        <v>822.3350254</v>
      </c>
      <c r="BM83" s="106">
        <f t="shared" si="63"/>
        <v>822.3350254</v>
      </c>
      <c r="BN83" s="106">
        <f t="shared" si="63"/>
        <v>822.3350254</v>
      </c>
    </row>
    <row r="84" outlineLevel="1">
      <c r="A84" s="80"/>
      <c r="B84" s="110" t="s">
        <v>57</v>
      </c>
      <c r="C84" s="84"/>
      <c r="D84" s="111">
        <v>50.0</v>
      </c>
      <c r="E84" s="84"/>
      <c r="F84" s="112"/>
      <c r="G84" s="113">
        <f>D84</f>
        <v>50</v>
      </c>
      <c r="H84" s="113">
        <f t="shared" ref="H84:BN84" si="64">G84</f>
        <v>50</v>
      </c>
      <c r="I84" s="113">
        <f t="shared" si="64"/>
        <v>50</v>
      </c>
      <c r="J84" s="113">
        <f t="shared" si="64"/>
        <v>50</v>
      </c>
      <c r="K84" s="113">
        <f t="shared" si="64"/>
        <v>50</v>
      </c>
      <c r="L84" s="113">
        <f t="shared" si="64"/>
        <v>50</v>
      </c>
      <c r="M84" s="113">
        <f t="shared" si="64"/>
        <v>50</v>
      </c>
      <c r="N84" s="113">
        <f t="shared" si="64"/>
        <v>50</v>
      </c>
      <c r="O84" s="113">
        <f t="shared" si="64"/>
        <v>50</v>
      </c>
      <c r="P84" s="113">
        <f t="shared" si="64"/>
        <v>50</v>
      </c>
      <c r="Q84" s="113">
        <f t="shared" si="64"/>
        <v>50</v>
      </c>
      <c r="R84" s="113">
        <f t="shared" si="64"/>
        <v>50</v>
      </c>
      <c r="S84" s="113">
        <f t="shared" si="64"/>
        <v>50</v>
      </c>
      <c r="T84" s="113">
        <f t="shared" si="64"/>
        <v>50</v>
      </c>
      <c r="U84" s="113">
        <f t="shared" si="64"/>
        <v>50</v>
      </c>
      <c r="V84" s="113">
        <f t="shared" si="64"/>
        <v>50</v>
      </c>
      <c r="W84" s="113">
        <f t="shared" si="64"/>
        <v>50</v>
      </c>
      <c r="X84" s="113">
        <f t="shared" si="64"/>
        <v>50</v>
      </c>
      <c r="Y84" s="113">
        <f t="shared" si="64"/>
        <v>50</v>
      </c>
      <c r="Z84" s="113">
        <f t="shared" si="64"/>
        <v>50</v>
      </c>
      <c r="AA84" s="113">
        <f t="shared" si="64"/>
        <v>50</v>
      </c>
      <c r="AB84" s="113">
        <f t="shared" si="64"/>
        <v>50</v>
      </c>
      <c r="AC84" s="113">
        <f t="shared" si="64"/>
        <v>50</v>
      </c>
      <c r="AD84" s="113">
        <f t="shared" si="64"/>
        <v>50</v>
      </c>
      <c r="AE84" s="113">
        <f t="shared" si="64"/>
        <v>50</v>
      </c>
      <c r="AF84" s="113">
        <f t="shared" si="64"/>
        <v>50</v>
      </c>
      <c r="AG84" s="113">
        <f t="shared" si="64"/>
        <v>50</v>
      </c>
      <c r="AH84" s="113">
        <f t="shared" si="64"/>
        <v>50</v>
      </c>
      <c r="AI84" s="113">
        <f t="shared" si="64"/>
        <v>50</v>
      </c>
      <c r="AJ84" s="113">
        <f t="shared" si="64"/>
        <v>50</v>
      </c>
      <c r="AK84" s="113">
        <f t="shared" si="64"/>
        <v>50</v>
      </c>
      <c r="AL84" s="113">
        <f t="shared" si="64"/>
        <v>50</v>
      </c>
      <c r="AM84" s="113">
        <f t="shared" si="64"/>
        <v>50</v>
      </c>
      <c r="AN84" s="113">
        <f t="shared" si="64"/>
        <v>50</v>
      </c>
      <c r="AO84" s="113">
        <f t="shared" si="64"/>
        <v>50</v>
      </c>
      <c r="AP84" s="113">
        <f t="shared" si="64"/>
        <v>50</v>
      </c>
      <c r="AQ84" s="113">
        <f t="shared" si="64"/>
        <v>50</v>
      </c>
      <c r="AR84" s="113">
        <f t="shared" si="64"/>
        <v>50</v>
      </c>
      <c r="AS84" s="113">
        <f t="shared" si="64"/>
        <v>50</v>
      </c>
      <c r="AT84" s="113">
        <f t="shared" si="64"/>
        <v>50</v>
      </c>
      <c r="AU84" s="113">
        <f t="shared" si="64"/>
        <v>50</v>
      </c>
      <c r="AV84" s="113">
        <f t="shared" si="64"/>
        <v>50</v>
      </c>
      <c r="AW84" s="113">
        <f t="shared" si="64"/>
        <v>50</v>
      </c>
      <c r="AX84" s="113">
        <f t="shared" si="64"/>
        <v>50</v>
      </c>
      <c r="AY84" s="113">
        <f t="shared" si="64"/>
        <v>50</v>
      </c>
      <c r="AZ84" s="113">
        <f t="shared" si="64"/>
        <v>50</v>
      </c>
      <c r="BA84" s="113">
        <f t="shared" si="64"/>
        <v>50</v>
      </c>
      <c r="BB84" s="113">
        <f t="shared" si="64"/>
        <v>50</v>
      </c>
      <c r="BC84" s="113">
        <f t="shared" si="64"/>
        <v>50</v>
      </c>
      <c r="BD84" s="113">
        <f t="shared" si="64"/>
        <v>50</v>
      </c>
      <c r="BE84" s="113">
        <f t="shared" si="64"/>
        <v>50</v>
      </c>
      <c r="BF84" s="113">
        <f t="shared" si="64"/>
        <v>50</v>
      </c>
      <c r="BG84" s="113">
        <f t="shared" si="64"/>
        <v>50</v>
      </c>
      <c r="BH84" s="113">
        <f t="shared" si="64"/>
        <v>50</v>
      </c>
      <c r="BI84" s="113">
        <f t="shared" si="64"/>
        <v>50</v>
      </c>
      <c r="BJ84" s="113">
        <f t="shared" si="64"/>
        <v>50</v>
      </c>
      <c r="BK84" s="113">
        <f t="shared" si="64"/>
        <v>50</v>
      </c>
      <c r="BL84" s="113">
        <f t="shared" si="64"/>
        <v>50</v>
      </c>
      <c r="BM84" s="113">
        <f t="shared" si="64"/>
        <v>50</v>
      </c>
      <c r="BN84" s="113">
        <f t="shared" si="64"/>
        <v>50</v>
      </c>
    </row>
    <row r="85" outlineLevel="1">
      <c r="A85" s="80"/>
      <c r="B85" s="114" t="s">
        <v>58</v>
      </c>
      <c r="C85" s="80"/>
      <c r="D85" s="86"/>
      <c r="E85" s="86"/>
      <c r="F85" s="115"/>
      <c r="G85" s="116">
        <f t="shared" ref="G85:BN85" si="65">G84*G83</f>
        <v>19912.5</v>
      </c>
      <c r="H85" s="116">
        <f t="shared" si="65"/>
        <v>30504.9375</v>
      </c>
      <c r="I85" s="116">
        <f t="shared" si="65"/>
        <v>35810.69906</v>
      </c>
      <c r="J85" s="116">
        <f t="shared" si="65"/>
        <v>38463.72299</v>
      </c>
      <c r="K85" s="116">
        <f t="shared" si="65"/>
        <v>39790.23709</v>
      </c>
      <c r="L85" s="116">
        <f t="shared" si="65"/>
        <v>40453.49418</v>
      </c>
      <c r="M85" s="116">
        <f t="shared" si="65"/>
        <v>40785.12273</v>
      </c>
      <c r="N85" s="116">
        <f t="shared" si="65"/>
        <v>40950.937</v>
      </c>
      <c r="O85" s="116">
        <f t="shared" si="65"/>
        <v>41033.84413</v>
      </c>
      <c r="P85" s="116">
        <f t="shared" si="65"/>
        <v>41075.2977</v>
      </c>
      <c r="Q85" s="116">
        <f t="shared" si="65"/>
        <v>41096.02449</v>
      </c>
      <c r="R85" s="116">
        <f t="shared" si="65"/>
        <v>41106.38788</v>
      </c>
      <c r="S85" s="116">
        <f t="shared" si="65"/>
        <v>41111.56957</v>
      </c>
      <c r="T85" s="116">
        <f t="shared" si="65"/>
        <v>41114.16042</v>
      </c>
      <c r="U85" s="116">
        <f t="shared" si="65"/>
        <v>41115.45585</v>
      </c>
      <c r="V85" s="116">
        <f t="shared" si="65"/>
        <v>41116.10356</v>
      </c>
      <c r="W85" s="116">
        <f t="shared" si="65"/>
        <v>41116.42741</v>
      </c>
      <c r="X85" s="116">
        <f t="shared" si="65"/>
        <v>41116.58934</v>
      </c>
      <c r="Y85" s="116">
        <f t="shared" si="65"/>
        <v>41116.67031</v>
      </c>
      <c r="Z85" s="116">
        <f t="shared" si="65"/>
        <v>41116.71079</v>
      </c>
      <c r="AA85" s="116">
        <f t="shared" si="65"/>
        <v>41116.73103</v>
      </c>
      <c r="AB85" s="116">
        <f t="shared" si="65"/>
        <v>41116.74115</v>
      </c>
      <c r="AC85" s="116">
        <f t="shared" si="65"/>
        <v>41116.74621</v>
      </c>
      <c r="AD85" s="116">
        <f t="shared" si="65"/>
        <v>41116.74874</v>
      </c>
      <c r="AE85" s="116">
        <f t="shared" si="65"/>
        <v>41116.75</v>
      </c>
      <c r="AF85" s="116">
        <f t="shared" si="65"/>
        <v>41116.75064</v>
      </c>
      <c r="AG85" s="116">
        <f t="shared" si="65"/>
        <v>41116.75095</v>
      </c>
      <c r="AH85" s="116">
        <f t="shared" si="65"/>
        <v>41116.75111</v>
      </c>
      <c r="AI85" s="116">
        <f t="shared" si="65"/>
        <v>41116.75119</v>
      </c>
      <c r="AJ85" s="116">
        <f t="shared" si="65"/>
        <v>41116.75123</v>
      </c>
      <c r="AK85" s="116">
        <f t="shared" si="65"/>
        <v>41116.75125</v>
      </c>
      <c r="AL85" s="116">
        <f t="shared" si="65"/>
        <v>41116.75126</v>
      </c>
      <c r="AM85" s="116">
        <f t="shared" si="65"/>
        <v>41116.75126</v>
      </c>
      <c r="AN85" s="116">
        <f t="shared" si="65"/>
        <v>41116.75127</v>
      </c>
      <c r="AO85" s="116">
        <f t="shared" si="65"/>
        <v>41116.75127</v>
      </c>
      <c r="AP85" s="116">
        <f t="shared" si="65"/>
        <v>41116.75127</v>
      </c>
      <c r="AQ85" s="116">
        <f t="shared" si="65"/>
        <v>41116.75127</v>
      </c>
      <c r="AR85" s="116">
        <f t="shared" si="65"/>
        <v>41116.75127</v>
      </c>
      <c r="AS85" s="116">
        <f t="shared" si="65"/>
        <v>41116.75127</v>
      </c>
      <c r="AT85" s="116">
        <f t="shared" si="65"/>
        <v>41116.75127</v>
      </c>
      <c r="AU85" s="116">
        <f t="shared" si="65"/>
        <v>41116.75127</v>
      </c>
      <c r="AV85" s="116">
        <f t="shared" si="65"/>
        <v>41116.75127</v>
      </c>
      <c r="AW85" s="116">
        <f t="shared" si="65"/>
        <v>41116.75127</v>
      </c>
      <c r="AX85" s="116">
        <f t="shared" si="65"/>
        <v>41116.75127</v>
      </c>
      <c r="AY85" s="116">
        <f t="shared" si="65"/>
        <v>41116.75127</v>
      </c>
      <c r="AZ85" s="116">
        <f t="shared" si="65"/>
        <v>41116.75127</v>
      </c>
      <c r="BA85" s="116">
        <f t="shared" si="65"/>
        <v>41116.75127</v>
      </c>
      <c r="BB85" s="116">
        <f t="shared" si="65"/>
        <v>41116.75127</v>
      </c>
      <c r="BC85" s="116">
        <f t="shared" si="65"/>
        <v>41116.75127</v>
      </c>
      <c r="BD85" s="116">
        <f t="shared" si="65"/>
        <v>41116.75127</v>
      </c>
      <c r="BE85" s="116">
        <f t="shared" si="65"/>
        <v>41116.75127</v>
      </c>
      <c r="BF85" s="116">
        <f t="shared" si="65"/>
        <v>41116.75127</v>
      </c>
      <c r="BG85" s="116">
        <f t="shared" si="65"/>
        <v>41116.75127</v>
      </c>
      <c r="BH85" s="116">
        <f t="shared" si="65"/>
        <v>41116.75127</v>
      </c>
      <c r="BI85" s="116">
        <f t="shared" si="65"/>
        <v>41116.75127</v>
      </c>
      <c r="BJ85" s="116">
        <f t="shared" si="65"/>
        <v>41116.75127</v>
      </c>
      <c r="BK85" s="116">
        <f t="shared" si="65"/>
        <v>41116.75127</v>
      </c>
      <c r="BL85" s="116">
        <f t="shared" si="65"/>
        <v>41116.75127</v>
      </c>
      <c r="BM85" s="116">
        <f t="shared" si="65"/>
        <v>41116.75127</v>
      </c>
      <c r="BN85" s="116">
        <f t="shared" si="65"/>
        <v>41116.75127</v>
      </c>
    </row>
    <row r="86" outlineLevel="1">
      <c r="A86" s="80"/>
      <c r="B86" s="114"/>
      <c r="C86" s="80"/>
      <c r="D86" s="86"/>
      <c r="E86" s="86"/>
      <c r="F86" s="115"/>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16"/>
      <c r="AR86" s="116"/>
      <c r="AS86" s="116"/>
      <c r="AT86" s="116"/>
      <c r="AU86" s="116"/>
      <c r="AV86" s="116"/>
      <c r="AW86" s="116"/>
      <c r="AX86" s="116"/>
      <c r="AY86" s="116"/>
      <c r="AZ86" s="116"/>
      <c r="BA86" s="116"/>
      <c r="BB86" s="116"/>
      <c r="BC86" s="116"/>
      <c r="BD86" s="116"/>
      <c r="BE86" s="116"/>
      <c r="BF86" s="116"/>
      <c r="BG86" s="116"/>
      <c r="BH86" s="116"/>
      <c r="BI86" s="116"/>
      <c r="BJ86" s="116"/>
      <c r="BK86" s="116"/>
      <c r="BL86" s="116"/>
      <c r="BM86" s="116"/>
      <c r="BN86" s="116"/>
    </row>
    <row r="87" outlineLevel="1">
      <c r="A87" s="80"/>
      <c r="B87" s="99" t="s">
        <v>59</v>
      </c>
      <c r="C87" s="80"/>
      <c r="D87" s="80"/>
      <c r="E87" s="80"/>
      <c r="F87" s="100"/>
      <c r="G87" s="101"/>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row>
    <row r="88" outlineLevel="1">
      <c r="A88" s="80"/>
      <c r="B88" s="102" t="s">
        <v>50</v>
      </c>
      <c r="C88" s="80"/>
      <c r="D88" s="103">
        <v>0.3</v>
      </c>
      <c r="E88" s="80"/>
      <c r="F88" s="104"/>
      <c r="G88" s="88">
        <f>D88</f>
        <v>0.3</v>
      </c>
      <c r="H88" s="88">
        <f t="shared" ref="H88:BN88" si="66">G88</f>
        <v>0.3</v>
      </c>
      <c r="I88" s="88">
        <f t="shared" si="66"/>
        <v>0.3</v>
      </c>
      <c r="J88" s="88">
        <f t="shared" si="66"/>
        <v>0.3</v>
      </c>
      <c r="K88" s="88">
        <f t="shared" si="66"/>
        <v>0.3</v>
      </c>
      <c r="L88" s="88">
        <f t="shared" si="66"/>
        <v>0.3</v>
      </c>
      <c r="M88" s="88">
        <f t="shared" si="66"/>
        <v>0.3</v>
      </c>
      <c r="N88" s="88">
        <f t="shared" si="66"/>
        <v>0.3</v>
      </c>
      <c r="O88" s="88">
        <f t="shared" si="66"/>
        <v>0.3</v>
      </c>
      <c r="P88" s="88">
        <f t="shared" si="66"/>
        <v>0.3</v>
      </c>
      <c r="Q88" s="88">
        <f t="shared" si="66"/>
        <v>0.3</v>
      </c>
      <c r="R88" s="88">
        <f t="shared" si="66"/>
        <v>0.3</v>
      </c>
      <c r="S88" s="88">
        <f t="shared" si="66"/>
        <v>0.3</v>
      </c>
      <c r="T88" s="88">
        <f t="shared" si="66"/>
        <v>0.3</v>
      </c>
      <c r="U88" s="88">
        <f t="shared" si="66"/>
        <v>0.3</v>
      </c>
      <c r="V88" s="88">
        <f t="shared" si="66"/>
        <v>0.3</v>
      </c>
      <c r="W88" s="88">
        <f t="shared" si="66"/>
        <v>0.3</v>
      </c>
      <c r="X88" s="88">
        <f t="shared" si="66"/>
        <v>0.3</v>
      </c>
      <c r="Y88" s="88">
        <f t="shared" si="66"/>
        <v>0.3</v>
      </c>
      <c r="Z88" s="88">
        <f t="shared" si="66"/>
        <v>0.3</v>
      </c>
      <c r="AA88" s="88">
        <f t="shared" si="66"/>
        <v>0.3</v>
      </c>
      <c r="AB88" s="88">
        <f t="shared" si="66"/>
        <v>0.3</v>
      </c>
      <c r="AC88" s="88">
        <f t="shared" si="66"/>
        <v>0.3</v>
      </c>
      <c r="AD88" s="88">
        <f t="shared" si="66"/>
        <v>0.3</v>
      </c>
      <c r="AE88" s="88">
        <f t="shared" si="66"/>
        <v>0.3</v>
      </c>
      <c r="AF88" s="88">
        <f t="shared" si="66"/>
        <v>0.3</v>
      </c>
      <c r="AG88" s="88">
        <f t="shared" si="66"/>
        <v>0.3</v>
      </c>
      <c r="AH88" s="88">
        <f t="shared" si="66"/>
        <v>0.3</v>
      </c>
      <c r="AI88" s="88">
        <f t="shared" si="66"/>
        <v>0.3</v>
      </c>
      <c r="AJ88" s="88">
        <f t="shared" si="66"/>
        <v>0.3</v>
      </c>
      <c r="AK88" s="88">
        <f t="shared" si="66"/>
        <v>0.3</v>
      </c>
      <c r="AL88" s="88">
        <f t="shared" si="66"/>
        <v>0.3</v>
      </c>
      <c r="AM88" s="88">
        <f t="shared" si="66"/>
        <v>0.3</v>
      </c>
      <c r="AN88" s="88">
        <f t="shared" si="66"/>
        <v>0.3</v>
      </c>
      <c r="AO88" s="88">
        <f t="shared" si="66"/>
        <v>0.3</v>
      </c>
      <c r="AP88" s="88">
        <f t="shared" si="66"/>
        <v>0.3</v>
      </c>
      <c r="AQ88" s="88">
        <f t="shared" si="66"/>
        <v>0.3</v>
      </c>
      <c r="AR88" s="88">
        <f t="shared" si="66"/>
        <v>0.3</v>
      </c>
      <c r="AS88" s="88">
        <f t="shared" si="66"/>
        <v>0.3</v>
      </c>
      <c r="AT88" s="88">
        <f t="shared" si="66"/>
        <v>0.3</v>
      </c>
      <c r="AU88" s="88">
        <f t="shared" si="66"/>
        <v>0.3</v>
      </c>
      <c r="AV88" s="88">
        <f t="shared" si="66"/>
        <v>0.3</v>
      </c>
      <c r="AW88" s="88">
        <f t="shared" si="66"/>
        <v>0.3</v>
      </c>
      <c r="AX88" s="88">
        <f t="shared" si="66"/>
        <v>0.3</v>
      </c>
      <c r="AY88" s="88">
        <f t="shared" si="66"/>
        <v>0.3</v>
      </c>
      <c r="AZ88" s="88">
        <f t="shared" si="66"/>
        <v>0.3</v>
      </c>
      <c r="BA88" s="88">
        <f t="shared" si="66"/>
        <v>0.3</v>
      </c>
      <c r="BB88" s="88">
        <f t="shared" si="66"/>
        <v>0.3</v>
      </c>
      <c r="BC88" s="88">
        <f t="shared" si="66"/>
        <v>0.3</v>
      </c>
      <c r="BD88" s="88">
        <f t="shared" si="66"/>
        <v>0.3</v>
      </c>
      <c r="BE88" s="88">
        <f t="shared" si="66"/>
        <v>0.3</v>
      </c>
      <c r="BF88" s="88">
        <f t="shared" si="66"/>
        <v>0.3</v>
      </c>
      <c r="BG88" s="88">
        <f t="shared" si="66"/>
        <v>0.3</v>
      </c>
      <c r="BH88" s="88">
        <f t="shared" si="66"/>
        <v>0.3</v>
      </c>
      <c r="BI88" s="88">
        <f t="shared" si="66"/>
        <v>0.3</v>
      </c>
      <c r="BJ88" s="88">
        <f t="shared" si="66"/>
        <v>0.3</v>
      </c>
      <c r="BK88" s="88">
        <f t="shared" si="66"/>
        <v>0.3</v>
      </c>
      <c r="BL88" s="88">
        <f t="shared" si="66"/>
        <v>0.3</v>
      </c>
      <c r="BM88" s="88">
        <f t="shared" si="66"/>
        <v>0.3</v>
      </c>
      <c r="BN88" s="88">
        <f t="shared" si="66"/>
        <v>0.3</v>
      </c>
    </row>
    <row r="89" outlineLevel="1">
      <c r="A89" s="80"/>
      <c r="B89" s="102" t="s">
        <v>17</v>
      </c>
      <c r="C89" s="80"/>
      <c r="D89" s="105"/>
      <c r="E89" s="80"/>
      <c r="F89" s="104"/>
      <c r="G89" s="106">
        <f t="shared" ref="G89:BN89" si="67">G88*G$71</f>
        <v>79.65</v>
      </c>
      <c r="H89" s="106">
        <f t="shared" si="67"/>
        <v>82.19475</v>
      </c>
      <c r="I89" s="106">
        <f t="shared" si="67"/>
        <v>82.23292125</v>
      </c>
      <c r="J89" s="106">
        <f t="shared" si="67"/>
        <v>82.23349382</v>
      </c>
      <c r="K89" s="106">
        <f t="shared" si="67"/>
        <v>82.23350241</v>
      </c>
      <c r="L89" s="106">
        <f t="shared" si="67"/>
        <v>82.23350254</v>
      </c>
      <c r="M89" s="106">
        <f t="shared" si="67"/>
        <v>82.23350254</v>
      </c>
      <c r="N89" s="106">
        <f t="shared" si="67"/>
        <v>82.23350254</v>
      </c>
      <c r="O89" s="106">
        <f t="shared" si="67"/>
        <v>82.23350254</v>
      </c>
      <c r="P89" s="106">
        <f t="shared" si="67"/>
        <v>82.23350254</v>
      </c>
      <c r="Q89" s="106">
        <f t="shared" si="67"/>
        <v>82.23350254</v>
      </c>
      <c r="R89" s="106">
        <f t="shared" si="67"/>
        <v>82.23350254</v>
      </c>
      <c r="S89" s="106">
        <f t="shared" si="67"/>
        <v>82.23350254</v>
      </c>
      <c r="T89" s="106">
        <f t="shared" si="67"/>
        <v>82.23350254</v>
      </c>
      <c r="U89" s="106">
        <f t="shared" si="67"/>
        <v>82.23350254</v>
      </c>
      <c r="V89" s="106">
        <f t="shared" si="67"/>
        <v>82.23350254</v>
      </c>
      <c r="W89" s="106">
        <f t="shared" si="67"/>
        <v>82.23350254</v>
      </c>
      <c r="X89" s="106">
        <f t="shared" si="67"/>
        <v>82.23350254</v>
      </c>
      <c r="Y89" s="106">
        <f t="shared" si="67"/>
        <v>82.23350254</v>
      </c>
      <c r="Z89" s="106">
        <f t="shared" si="67"/>
        <v>82.23350254</v>
      </c>
      <c r="AA89" s="106">
        <f t="shared" si="67"/>
        <v>82.23350254</v>
      </c>
      <c r="AB89" s="106">
        <f t="shared" si="67"/>
        <v>82.23350254</v>
      </c>
      <c r="AC89" s="106">
        <f t="shared" si="67"/>
        <v>82.23350254</v>
      </c>
      <c r="AD89" s="106">
        <f t="shared" si="67"/>
        <v>82.23350254</v>
      </c>
      <c r="AE89" s="106">
        <f t="shared" si="67"/>
        <v>82.23350254</v>
      </c>
      <c r="AF89" s="106">
        <f t="shared" si="67"/>
        <v>82.23350254</v>
      </c>
      <c r="AG89" s="106">
        <f t="shared" si="67"/>
        <v>82.23350254</v>
      </c>
      <c r="AH89" s="106">
        <f t="shared" si="67"/>
        <v>82.23350254</v>
      </c>
      <c r="AI89" s="106">
        <f t="shared" si="67"/>
        <v>82.23350254</v>
      </c>
      <c r="AJ89" s="106">
        <f t="shared" si="67"/>
        <v>82.23350254</v>
      </c>
      <c r="AK89" s="106">
        <f t="shared" si="67"/>
        <v>82.23350254</v>
      </c>
      <c r="AL89" s="106">
        <f t="shared" si="67"/>
        <v>82.23350254</v>
      </c>
      <c r="AM89" s="106">
        <f t="shared" si="67"/>
        <v>82.23350254</v>
      </c>
      <c r="AN89" s="106">
        <f t="shared" si="67"/>
        <v>82.23350254</v>
      </c>
      <c r="AO89" s="106">
        <f t="shared" si="67"/>
        <v>82.23350254</v>
      </c>
      <c r="AP89" s="106">
        <f t="shared" si="67"/>
        <v>82.23350254</v>
      </c>
      <c r="AQ89" s="106">
        <f t="shared" si="67"/>
        <v>82.23350254</v>
      </c>
      <c r="AR89" s="106">
        <f t="shared" si="67"/>
        <v>82.23350254</v>
      </c>
      <c r="AS89" s="106">
        <f t="shared" si="67"/>
        <v>82.23350254</v>
      </c>
      <c r="AT89" s="106">
        <f t="shared" si="67"/>
        <v>82.23350254</v>
      </c>
      <c r="AU89" s="106">
        <f t="shared" si="67"/>
        <v>82.23350254</v>
      </c>
      <c r="AV89" s="106">
        <f t="shared" si="67"/>
        <v>82.23350254</v>
      </c>
      <c r="AW89" s="106">
        <f t="shared" si="67"/>
        <v>82.23350254</v>
      </c>
      <c r="AX89" s="106">
        <f t="shared" si="67"/>
        <v>82.23350254</v>
      </c>
      <c r="AY89" s="106">
        <f t="shared" si="67"/>
        <v>82.23350254</v>
      </c>
      <c r="AZ89" s="106">
        <f t="shared" si="67"/>
        <v>82.23350254</v>
      </c>
      <c r="BA89" s="106">
        <f t="shared" si="67"/>
        <v>82.23350254</v>
      </c>
      <c r="BB89" s="106">
        <f t="shared" si="67"/>
        <v>82.23350254</v>
      </c>
      <c r="BC89" s="106">
        <f t="shared" si="67"/>
        <v>82.23350254</v>
      </c>
      <c r="BD89" s="106">
        <f t="shared" si="67"/>
        <v>82.23350254</v>
      </c>
      <c r="BE89" s="106">
        <f t="shared" si="67"/>
        <v>82.23350254</v>
      </c>
      <c r="BF89" s="106">
        <f t="shared" si="67"/>
        <v>82.23350254</v>
      </c>
      <c r="BG89" s="106">
        <f t="shared" si="67"/>
        <v>82.23350254</v>
      </c>
      <c r="BH89" s="106">
        <f t="shared" si="67"/>
        <v>82.23350254</v>
      </c>
      <c r="BI89" s="106">
        <f t="shared" si="67"/>
        <v>82.23350254</v>
      </c>
      <c r="BJ89" s="106">
        <f t="shared" si="67"/>
        <v>82.23350254</v>
      </c>
      <c r="BK89" s="106">
        <f t="shared" si="67"/>
        <v>82.23350254</v>
      </c>
      <c r="BL89" s="106">
        <f t="shared" si="67"/>
        <v>82.23350254</v>
      </c>
      <c r="BM89" s="106">
        <f t="shared" si="67"/>
        <v>82.23350254</v>
      </c>
      <c r="BN89" s="106">
        <f t="shared" si="67"/>
        <v>82.23350254</v>
      </c>
    </row>
    <row r="90" outlineLevel="1">
      <c r="A90" s="80"/>
      <c r="B90" s="102" t="s">
        <v>51</v>
      </c>
      <c r="C90" s="80"/>
      <c r="D90" s="87">
        <v>0.5</v>
      </c>
      <c r="E90" s="80"/>
      <c r="F90" s="104"/>
      <c r="G90" s="88">
        <f>D90</f>
        <v>0.5</v>
      </c>
      <c r="H90" s="88">
        <f t="shared" ref="H90:BN90" si="68">G90</f>
        <v>0.5</v>
      </c>
      <c r="I90" s="88">
        <f t="shared" si="68"/>
        <v>0.5</v>
      </c>
      <c r="J90" s="88">
        <f t="shared" si="68"/>
        <v>0.5</v>
      </c>
      <c r="K90" s="88">
        <f t="shared" si="68"/>
        <v>0.5</v>
      </c>
      <c r="L90" s="88">
        <f t="shared" si="68"/>
        <v>0.5</v>
      </c>
      <c r="M90" s="88">
        <f t="shared" si="68"/>
        <v>0.5</v>
      </c>
      <c r="N90" s="88">
        <f t="shared" si="68"/>
        <v>0.5</v>
      </c>
      <c r="O90" s="88">
        <f t="shared" si="68"/>
        <v>0.5</v>
      </c>
      <c r="P90" s="88">
        <f t="shared" si="68"/>
        <v>0.5</v>
      </c>
      <c r="Q90" s="88">
        <f t="shared" si="68"/>
        <v>0.5</v>
      </c>
      <c r="R90" s="88">
        <f t="shared" si="68"/>
        <v>0.5</v>
      </c>
      <c r="S90" s="88">
        <f t="shared" si="68"/>
        <v>0.5</v>
      </c>
      <c r="T90" s="88">
        <f t="shared" si="68"/>
        <v>0.5</v>
      </c>
      <c r="U90" s="88">
        <f t="shared" si="68"/>
        <v>0.5</v>
      </c>
      <c r="V90" s="88">
        <f t="shared" si="68"/>
        <v>0.5</v>
      </c>
      <c r="W90" s="88">
        <f t="shared" si="68"/>
        <v>0.5</v>
      </c>
      <c r="X90" s="88">
        <f t="shared" si="68"/>
        <v>0.5</v>
      </c>
      <c r="Y90" s="88">
        <f t="shared" si="68"/>
        <v>0.5</v>
      </c>
      <c r="Z90" s="88">
        <f t="shared" si="68"/>
        <v>0.5</v>
      </c>
      <c r="AA90" s="88">
        <f t="shared" si="68"/>
        <v>0.5</v>
      </c>
      <c r="AB90" s="88">
        <f t="shared" si="68"/>
        <v>0.5</v>
      </c>
      <c r="AC90" s="88">
        <f t="shared" si="68"/>
        <v>0.5</v>
      </c>
      <c r="AD90" s="88">
        <f t="shared" si="68"/>
        <v>0.5</v>
      </c>
      <c r="AE90" s="88">
        <f t="shared" si="68"/>
        <v>0.5</v>
      </c>
      <c r="AF90" s="88">
        <f t="shared" si="68"/>
        <v>0.5</v>
      </c>
      <c r="AG90" s="88">
        <f t="shared" si="68"/>
        <v>0.5</v>
      </c>
      <c r="AH90" s="88">
        <f t="shared" si="68"/>
        <v>0.5</v>
      </c>
      <c r="AI90" s="88">
        <f t="shared" si="68"/>
        <v>0.5</v>
      </c>
      <c r="AJ90" s="88">
        <f t="shared" si="68"/>
        <v>0.5</v>
      </c>
      <c r="AK90" s="88">
        <f t="shared" si="68"/>
        <v>0.5</v>
      </c>
      <c r="AL90" s="88">
        <f t="shared" si="68"/>
        <v>0.5</v>
      </c>
      <c r="AM90" s="88">
        <f t="shared" si="68"/>
        <v>0.5</v>
      </c>
      <c r="AN90" s="88">
        <f t="shared" si="68"/>
        <v>0.5</v>
      </c>
      <c r="AO90" s="88">
        <f t="shared" si="68"/>
        <v>0.5</v>
      </c>
      <c r="AP90" s="88">
        <f t="shared" si="68"/>
        <v>0.5</v>
      </c>
      <c r="AQ90" s="88">
        <f t="shared" si="68"/>
        <v>0.5</v>
      </c>
      <c r="AR90" s="88">
        <f t="shared" si="68"/>
        <v>0.5</v>
      </c>
      <c r="AS90" s="88">
        <f t="shared" si="68"/>
        <v>0.5</v>
      </c>
      <c r="AT90" s="88">
        <f t="shared" si="68"/>
        <v>0.5</v>
      </c>
      <c r="AU90" s="88">
        <f t="shared" si="68"/>
        <v>0.5</v>
      </c>
      <c r="AV90" s="88">
        <f t="shared" si="68"/>
        <v>0.5</v>
      </c>
      <c r="AW90" s="88">
        <f t="shared" si="68"/>
        <v>0.5</v>
      </c>
      <c r="AX90" s="88">
        <f t="shared" si="68"/>
        <v>0.5</v>
      </c>
      <c r="AY90" s="88">
        <f t="shared" si="68"/>
        <v>0.5</v>
      </c>
      <c r="AZ90" s="88">
        <f t="shared" si="68"/>
        <v>0.5</v>
      </c>
      <c r="BA90" s="88">
        <f t="shared" si="68"/>
        <v>0.5</v>
      </c>
      <c r="BB90" s="88">
        <f t="shared" si="68"/>
        <v>0.5</v>
      </c>
      <c r="BC90" s="88">
        <f t="shared" si="68"/>
        <v>0.5</v>
      </c>
      <c r="BD90" s="88">
        <f t="shared" si="68"/>
        <v>0.5</v>
      </c>
      <c r="BE90" s="88">
        <f t="shared" si="68"/>
        <v>0.5</v>
      </c>
      <c r="BF90" s="88">
        <f t="shared" si="68"/>
        <v>0.5</v>
      </c>
      <c r="BG90" s="88">
        <f t="shared" si="68"/>
        <v>0.5</v>
      </c>
      <c r="BH90" s="88">
        <f t="shared" si="68"/>
        <v>0.5</v>
      </c>
      <c r="BI90" s="88">
        <f t="shared" si="68"/>
        <v>0.5</v>
      </c>
      <c r="BJ90" s="88">
        <f t="shared" si="68"/>
        <v>0.5</v>
      </c>
      <c r="BK90" s="88">
        <f t="shared" si="68"/>
        <v>0.5</v>
      </c>
      <c r="BL90" s="88">
        <f t="shared" si="68"/>
        <v>0.5</v>
      </c>
      <c r="BM90" s="88">
        <f t="shared" si="68"/>
        <v>0.5</v>
      </c>
      <c r="BN90" s="88">
        <f t="shared" si="68"/>
        <v>0.5</v>
      </c>
    </row>
    <row r="91" outlineLevel="1">
      <c r="A91" s="80"/>
      <c r="B91" s="102" t="s">
        <v>52</v>
      </c>
      <c r="C91" s="80"/>
      <c r="D91" s="107"/>
      <c r="E91" s="80"/>
      <c r="F91" s="104"/>
      <c r="G91" s="106">
        <f t="shared" ref="G91:BN91" si="69">G93*G90</f>
        <v>0</v>
      </c>
      <c r="H91" s="106">
        <f t="shared" si="69"/>
        <v>39.825</v>
      </c>
      <c r="I91" s="106">
        <f t="shared" si="69"/>
        <v>61.009875</v>
      </c>
      <c r="J91" s="106">
        <f t="shared" si="69"/>
        <v>71.62139813</v>
      </c>
      <c r="K91" s="106">
        <f t="shared" si="69"/>
        <v>76.92744597</v>
      </c>
      <c r="L91" s="106">
        <f t="shared" si="69"/>
        <v>79.58047419</v>
      </c>
      <c r="M91" s="106">
        <f t="shared" si="69"/>
        <v>80.90698836</v>
      </c>
      <c r="N91" s="106">
        <f t="shared" si="69"/>
        <v>81.57024545</v>
      </c>
      <c r="O91" s="106">
        <f t="shared" si="69"/>
        <v>81.90187399</v>
      </c>
      <c r="P91" s="106">
        <f t="shared" si="69"/>
        <v>82.06768827</v>
      </c>
      <c r="Q91" s="106">
        <f t="shared" si="69"/>
        <v>82.1505954</v>
      </c>
      <c r="R91" s="106">
        <f t="shared" si="69"/>
        <v>82.19204897</v>
      </c>
      <c r="S91" s="106">
        <f t="shared" si="69"/>
        <v>82.21277575</v>
      </c>
      <c r="T91" s="106">
        <f t="shared" si="69"/>
        <v>82.22313915</v>
      </c>
      <c r="U91" s="106">
        <f t="shared" si="69"/>
        <v>82.22832084</v>
      </c>
      <c r="V91" s="106">
        <f t="shared" si="69"/>
        <v>82.23091169</v>
      </c>
      <c r="W91" s="106">
        <f t="shared" si="69"/>
        <v>82.23220711</v>
      </c>
      <c r="X91" s="106">
        <f t="shared" si="69"/>
        <v>82.23285483</v>
      </c>
      <c r="Y91" s="106">
        <f t="shared" si="69"/>
        <v>82.23317868</v>
      </c>
      <c r="Z91" s="106">
        <f t="shared" si="69"/>
        <v>82.23334061</v>
      </c>
      <c r="AA91" s="106">
        <f t="shared" si="69"/>
        <v>82.23342157</v>
      </c>
      <c r="AB91" s="106">
        <f t="shared" si="69"/>
        <v>82.23346206</v>
      </c>
      <c r="AC91" s="106">
        <f t="shared" si="69"/>
        <v>82.2334823</v>
      </c>
      <c r="AD91" s="106">
        <f t="shared" si="69"/>
        <v>82.23349242</v>
      </c>
      <c r="AE91" s="106">
        <f t="shared" si="69"/>
        <v>82.23349748</v>
      </c>
      <c r="AF91" s="106">
        <f t="shared" si="69"/>
        <v>82.23350001</v>
      </c>
      <c r="AG91" s="106">
        <f t="shared" si="69"/>
        <v>82.23350127</v>
      </c>
      <c r="AH91" s="106">
        <f t="shared" si="69"/>
        <v>82.23350191</v>
      </c>
      <c r="AI91" s="106">
        <f t="shared" si="69"/>
        <v>82.23350222</v>
      </c>
      <c r="AJ91" s="106">
        <f t="shared" si="69"/>
        <v>82.23350238</v>
      </c>
      <c r="AK91" s="106">
        <f t="shared" si="69"/>
        <v>82.23350246</v>
      </c>
      <c r="AL91" s="106">
        <f t="shared" si="69"/>
        <v>82.2335025</v>
      </c>
      <c r="AM91" s="106">
        <f t="shared" si="69"/>
        <v>82.23350252</v>
      </c>
      <c r="AN91" s="106">
        <f t="shared" si="69"/>
        <v>82.23350253</v>
      </c>
      <c r="AO91" s="106">
        <f t="shared" si="69"/>
        <v>82.23350253</v>
      </c>
      <c r="AP91" s="106">
        <f t="shared" si="69"/>
        <v>82.23350254</v>
      </c>
      <c r="AQ91" s="106">
        <f t="shared" si="69"/>
        <v>82.23350254</v>
      </c>
      <c r="AR91" s="106">
        <f t="shared" si="69"/>
        <v>82.23350254</v>
      </c>
      <c r="AS91" s="106">
        <f t="shared" si="69"/>
        <v>82.23350254</v>
      </c>
      <c r="AT91" s="106">
        <f t="shared" si="69"/>
        <v>82.23350254</v>
      </c>
      <c r="AU91" s="106">
        <f t="shared" si="69"/>
        <v>82.23350254</v>
      </c>
      <c r="AV91" s="106">
        <f t="shared" si="69"/>
        <v>82.23350254</v>
      </c>
      <c r="AW91" s="106">
        <f t="shared" si="69"/>
        <v>82.23350254</v>
      </c>
      <c r="AX91" s="106">
        <f t="shared" si="69"/>
        <v>82.23350254</v>
      </c>
      <c r="AY91" s="106">
        <f t="shared" si="69"/>
        <v>82.23350254</v>
      </c>
      <c r="AZ91" s="106">
        <f t="shared" si="69"/>
        <v>82.23350254</v>
      </c>
      <c r="BA91" s="106">
        <f t="shared" si="69"/>
        <v>82.23350254</v>
      </c>
      <c r="BB91" s="106">
        <f t="shared" si="69"/>
        <v>82.23350254</v>
      </c>
      <c r="BC91" s="106">
        <f t="shared" si="69"/>
        <v>82.23350254</v>
      </c>
      <c r="BD91" s="106">
        <f t="shared" si="69"/>
        <v>82.23350254</v>
      </c>
      <c r="BE91" s="106">
        <f t="shared" si="69"/>
        <v>82.23350254</v>
      </c>
      <c r="BF91" s="106">
        <f t="shared" si="69"/>
        <v>82.23350254</v>
      </c>
      <c r="BG91" s="106">
        <f t="shared" si="69"/>
        <v>82.23350254</v>
      </c>
      <c r="BH91" s="106">
        <f t="shared" si="69"/>
        <v>82.23350254</v>
      </c>
      <c r="BI91" s="106">
        <f t="shared" si="69"/>
        <v>82.23350254</v>
      </c>
      <c r="BJ91" s="106">
        <f t="shared" si="69"/>
        <v>82.23350254</v>
      </c>
      <c r="BK91" s="106">
        <f t="shared" si="69"/>
        <v>82.23350254</v>
      </c>
      <c r="BL91" s="106">
        <f t="shared" si="69"/>
        <v>82.23350254</v>
      </c>
      <c r="BM91" s="106">
        <f t="shared" si="69"/>
        <v>82.23350254</v>
      </c>
      <c r="BN91" s="106">
        <f t="shared" si="69"/>
        <v>82.23350254</v>
      </c>
    </row>
    <row r="92" outlineLevel="1">
      <c r="A92" s="80"/>
      <c r="B92" s="102" t="s">
        <v>53</v>
      </c>
      <c r="C92" s="80"/>
      <c r="D92" s="107"/>
      <c r="E92" s="80"/>
      <c r="F92" s="104"/>
      <c r="G92" s="106">
        <f t="shared" ref="G92:BN92" si="70">G91+G89</f>
        <v>79.65</v>
      </c>
      <c r="H92" s="106">
        <f t="shared" si="70"/>
        <v>122.01975</v>
      </c>
      <c r="I92" s="106">
        <f t="shared" si="70"/>
        <v>143.2427963</v>
      </c>
      <c r="J92" s="106">
        <f t="shared" si="70"/>
        <v>153.8548919</v>
      </c>
      <c r="K92" s="106">
        <f t="shared" si="70"/>
        <v>159.1609484</v>
      </c>
      <c r="L92" s="106">
        <f t="shared" si="70"/>
        <v>161.8139767</v>
      </c>
      <c r="M92" s="106">
        <f t="shared" si="70"/>
        <v>163.1404909</v>
      </c>
      <c r="N92" s="106">
        <f t="shared" si="70"/>
        <v>163.803748</v>
      </c>
      <c r="O92" s="106">
        <f t="shared" si="70"/>
        <v>164.1353765</v>
      </c>
      <c r="P92" s="106">
        <f t="shared" si="70"/>
        <v>164.3011908</v>
      </c>
      <c r="Q92" s="106">
        <f t="shared" si="70"/>
        <v>164.3840979</v>
      </c>
      <c r="R92" s="106">
        <f t="shared" si="70"/>
        <v>164.4255515</v>
      </c>
      <c r="S92" s="106">
        <f t="shared" si="70"/>
        <v>164.4462783</v>
      </c>
      <c r="T92" s="106">
        <f t="shared" si="70"/>
        <v>164.4566417</v>
      </c>
      <c r="U92" s="106">
        <f t="shared" si="70"/>
        <v>164.4618234</v>
      </c>
      <c r="V92" s="106">
        <f t="shared" si="70"/>
        <v>164.4644142</v>
      </c>
      <c r="W92" s="106">
        <f t="shared" si="70"/>
        <v>164.4657097</v>
      </c>
      <c r="X92" s="106">
        <f t="shared" si="70"/>
        <v>164.4663574</v>
      </c>
      <c r="Y92" s="106">
        <f t="shared" si="70"/>
        <v>164.4666812</v>
      </c>
      <c r="Z92" s="106">
        <f t="shared" si="70"/>
        <v>164.4668431</v>
      </c>
      <c r="AA92" s="106">
        <f t="shared" si="70"/>
        <v>164.4669241</v>
      </c>
      <c r="AB92" s="106">
        <f t="shared" si="70"/>
        <v>164.4669646</v>
      </c>
      <c r="AC92" s="106">
        <f t="shared" si="70"/>
        <v>164.4669848</v>
      </c>
      <c r="AD92" s="106">
        <f t="shared" si="70"/>
        <v>164.466995</v>
      </c>
      <c r="AE92" s="106">
        <f t="shared" si="70"/>
        <v>164.467</v>
      </c>
      <c r="AF92" s="106">
        <f t="shared" si="70"/>
        <v>164.4670025</v>
      </c>
      <c r="AG92" s="106">
        <f t="shared" si="70"/>
        <v>164.4670038</v>
      </c>
      <c r="AH92" s="106">
        <f t="shared" si="70"/>
        <v>164.4670044</v>
      </c>
      <c r="AI92" s="106">
        <f t="shared" si="70"/>
        <v>164.4670048</v>
      </c>
      <c r="AJ92" s="106">
        <f t="shared" si="70"/>
        <v>164.4670049</v>
      </c>
      <c r="AK92" s="106">
        <f t="shared" si="70"/>
        <v>164.467005</v>
      </c>
      <c r="AL92" s="106">
        <f t="shared" si="70"/>
        <v>164.467005</v>
      </c>
      <c r="AM92" s="106">
        <f t="shared" si="70"/>
        <v>164.4670051</v>
      </c>
      <c r="AN92" s="106">
        <f t="shared" si="70"/>
        <v>164.4670051</v>
      </c>
      <c r="AO92" s="106">
        <f t="shared" si="70"/>
        <v>164.4670051</v>
      </c>
      <c r="AP92" s="106">
        <f t="shared" si="70"/>
        <v>164.4670051</v>
      </c>
      <c r="AQ92" s="106">
        <f t="shared" si="70"/>
        <v>164.4670051</v>
      </c>
      <c r="AR92" s="106">
        <f t="shared" si="70"/>
        <v>164.4670051</v>
      </c>
      <c r="AS92" s="106">
        <f t="shared" si="70"/>
        <v>164.4670051</v>
      </c>
      <c r="AT92" s="106">
        <f t="shared" si="70"/>
        <v>164.4670051</v>
      </c>
      <c r="AU92" s="106">
        <f t="shared" si="70"/>
        <v>164.4670051</v>
      </c>
      <c r="AV92" s="106">
        <f t="shared" si="70"/>
        <v>164.4670051</v>
      </c>
      <c r="AW92" s="106">
        <f t="shared" si="70"/>
        <v>164.4670051</v>
      </c>
      <c r="AX92" s="106">
        <f t="shared" si="70"/>
        <v>164.4670051</v>
      </c>
      <c r="AY92" s="106">
        <f t="shared" si="70"/>
        <v>164.4670051</v>
      </c>
      <c r="AZ92" s="106">
        <f t="shared" si="70"/>
        <v>164.4670051</v>
      </c>
      <c r="BA92" s="106">
        <f t="shared" si="70"/>
        <v>164.4670051</v>
      </c>
      <c r="BB92" s="106">
        <f t="shared" si="70"/>
        <v>164.4670051</v>
      </c>
      <c r="BC92" s="106">
        <f t="shared" si="70"/>
        <v>164.4670051</v>
      </c>
      <c r="BD92" s="106">
        <f t="shared" si="70"/>
        <v>164.4670051</v>
      </c>
      <c r="BE92" s="106">
        <f t="shared" si="70"/>
        <v>164.4670051</v>
      </c>
      <c r="BF92" s="106">
        <f t="shared" si="70"/>
        <v>164.4670051</v>
      </c>
      <c r="BG92" s="106">
        <f t="shared" si="70"/>
        <v>164.4670051</v>
      </c>
      <c r="BH92" s="106">
        <f t="shared" si="70"/>
        <v>164.4670051</v>
      </c>
      <c r="BI92" s="106">
        <f t="shared" si="70"/>
        <v>164.4670051</v>
      </c>
      <c r="BJ92" s="106">
        <f t="shared" si="70"/>
        <v>164.4670051</v>
      </c>
      <c r="BK92" s="106">
        <f t="shared" si="70"/>
        <v>164.4670051</v>
      </c>
      <c r="BL92" s="106">
        <f t="shared" si="70"/>
        <v>164.4670051</v>
      </c>
      <c r="BM92" s="106">
        <f t="shared" si="70"/>
        <v>164.4670051</v>
      </c>
      <c r="BN92" s="106">
        <f t="shared" si="70"/>
        <v>164.4670051</v>
      </c>
    </row>
    <row r="93" outlineLevel="1">
      <c r="A93" s="80"/>
      <c r="B93" s="102" t="s">
        <v>54</v>
      </c>
      <c r="C93" s="80"/>
      <c r="D93" s="107"/>
      <c r="E93" s="55"/>
      <c r="F93" s="104"/>
      <c r="G93" s="106" t="str">
        <f t="shared" ref="G93:BN93" si="71">F92</f>
        <v/>
      </c>
      <c r="H93" s="106">
        <f t="shared" si="71"/>
        <v>79.65</v>
      </c>
      <c r="I93" s="106">
        <f t="shared" si="71"/>
        <v>122.01975</v>
      </c>
      <c r="J93" s="106">
        <f t="shared" si="71"/>
        <v>143.2427963</v>
      </c>
      <c r="K93" s="106">
        <f t="shared" si="71"/>
        <v>153.8548919</v>
      </c>
      <c r="L93" s="106">
        <f t="shared" si="71"/>
        <v>159.1609484</v>
      </c>
      <c r="M93" s="106">
        <f t="shared" si="71"/>
        <v>161.8139767</v>
      </c>
      <c r="N93" s="106">
        <f t="shared" si="71"/>
        <v>163.1404909</v>
      </c>
      <c r="O93" s="106">
        <f t="shared" si="71"/>
        <v>163.803748</v>
      </c>
      <c r="P93" s="106">
        <f t="shared" si="71"/>
        <v>164.1353765</v>
      </c>
      <c r="Q93" s="106">
        <f t="shared" si="71"/>
        <v>164.3011908</v>
      </c>
      <c r="R93" s="106">
        <f t="shared" si="71"/>
        <v>164.3840979</v>
      </c>
      <c r="S93" s="106">
        <f t="shared" si="71"/>
        <v>164.4255515</v>
      </c>
      <c r="T93" s="106">
        <f t="shared" si="71"/>
        <v>164.4462783</v>
      </c>
      <c r="U93" s="106">
        <f t="shared" si="71"/>
        <v>164.4566417</v>
      </c>
      <c r="V93" s="106">
        <f t="shared" si="71"/>
        <v>164.4618234</v>
      </c>
      <c r="W93" s="106">
        <f t="shared" si="71"/>
        <v>164.4644142</v>
      </c>
      <c r="X93" s="106">
        <f t="shared" si="71"/>
        <v>164.4657097</v>
      </c>
      <c r="Y93" s="106">
        <f t="shared" si="71"/>
        <v>164.4663574</v>
      </c>
      <c r="Z93" s="106">
        <f t="shared" si="71"/>
        <v>164.4666812</v>
      </c>
      <c r="AA93" s="106">
        <f t="shared" si="71"/>
        <v>164.4668431</v>
      </c>
      <c r="AB93" s="106">
        <f t="shared" si="71"/>
        <v>164.4669241</v>
      </c>
      <c r="AC93" s="106">
        <f t="shared" si="71"/>
        <v>164.4669646</v>
      </c>
      <c r="AD93" s="106">
        <f t="shared" si="71"/>
        <v>164.4669848</v>
      </c>
      <c r="AE93" s="106">
        <f t="shared" si="71"/>
        <v>164.466995</v>
      </c>
      <c r="AF93" s="106">
        <f t="shared" si="71"/>
        <v>164.467</v>
      </c>
      <c r="AG93" s="106">
        <f t="shared" si="71"/>
        <v>164.4670025</v>
      </c>
      <c r="AH93" s="106">
        <f t="shared" si="71"/>
        <v>164.4670038</v>
      </c>
      <c r="AI93" s="106">
        <f t="shared" si="71"/>
        <v>164.4670044</v>
      </c>
      <c r="AJ93" s="106">
        <f t="shared" si="71"/>
        <v>164.4670048</v>
      </c>
      <c r="AK93" s="106">
        <f t="shared" si="71"/>
        <v>164.4670049</v>
      </c>
      <c r="AL93" s="106">
        <f t="shared" si="71"/>
        <v>164.467005</v>
      </c>
      <c r="AM93" s="106">
        <f t="shared" si="71"/>
        <v>164.467005</v>
      </c>
      <c r="AN93" s="106">
        <f t="shared" si="71"/>
        <v>164.4670051</v>
      </c>
      <c r="AO93" s="106">
        <f t="shared" si="71"/>
        <v>164.4670051</v>
      </c>
      <c r="AP93" s="106">
        <f t="shared" si="71"/>
        <v>164.4670051</v>
      </c>
      <c r="AQ93" s="106">
        <f t="shared" si="71"/>
        <v>164.4670051</v>
      </c>
      <c r="AR93" s="106">
        <f t="shared" si="71"/>
        <v>164.4670051</v>
      </c>
      <c r="AS93" s="106">
        <f t="shared" si="71"/>
        <v>164.4670051</v>
      </c>
      <c r="AT93" s="106">
        <f t="shared" si="71"/>
        <v>164.4670051</v>
      </c>
      <c r="AU93" s="106">
        <f t="shared" si="71"/>
        <v>164.4670051</v>
      </c>
      <c r="AV93" s="106">
        <f t="shared" si="71"/>
        <v>164.4670051</v>
      </c>
      <c r="AW93" s="106">
        <f t="shared" si="71"/>
        <v>164.4670051</v>
      </c>
      <c r="AX93" s="106">
        <f t="shared" si="71"/>
        <v>164.4670051</v>
      </c>
      <c r="AY93" s="106">
        <f t="shared" si="71"/>
        <v>164.4670051</v>
      </c>
      <c r="AZ93" s="106">
        <f t="shared" si="71"/>
        <v>164.4670051</v>
      </c>
      <c r="BA93" s="106">
        <f t="shared" si="71"/>
        <v>164.4670051</v>
      </c>
      <c r="BB93" s="106">
        <f t="shared" si="71"/>
        <v>164.4670051</v>
      </c>
      <c r="BC93" s="106">
        <f t="shared" si="71"/>
        <v>164.4670051</v>
      </c>
      <c r="BD93" s="106">
        <f t="shared" si="71"/>
        <v>164.4670051</v>
      </c>
      <c r="BE93" s="106">
        <f t="shared" si="71"/>
        <v>164.4670051</v>
      </c>
      <c r="BF93" s="106">
        <f t="shared" si="71"/>
        <v>164.4670051</v>
      </c>
      <c r="BG93" s="106">
        <f t="shared" si="71"/>
        <v>164.4670051</v>
      </c>
      <c r="BH93" s="106">
        <f t="shared" si="71"/>
        <v>164.4670051</v>
      </c>
      <c r="BI93" s="106">
        <f t="shared" si="71"/>
        <v>164.4670051</v>
      </c>
      <c r="BJ93" s="106">
        <f t="shared" si="71"/>
        <v>164.4670051</v>
      </c>
      <c r="BK93" s="106">
        <f t="shared" si="71"/>
        <v>164.4670051</v>
      </c>
      <c r="BL93" s="106">
        <f t="shared" si="71"/>
        <v>164.4670051</v>
      </c>
      <c r="BM93" s="106">
        <f t="shared" si="71"/>
        <v>164.4670051</v>
      </c>
      <c r="BN93" s="106">
        <f t="shared" si="71"/>
        <v>164.4670051</v>
      </c>
    </row>
    <row r="94" outlineLevel="1">
      <c r="A94" s="80"/>
      <c r="B94" s="102" t="s">
        <v>55</v>
      </c>
      <c r="C94" s="80"/>
      <c r="D94" s="108">
        <v>2.0</v>
      </c>
      <c r="E94" s="80"/>
      <c r="F94" s="104"/>
      <c r="G94" s="106">
        <f>D94</f>
        <v>2</v>
      </c>
      <c r="H94" s="106">
        <f t="shared" ref="H94:BN94" si="72">G94</f>
        <v>2</v>
      </c>
      <c r="I94" s="106">
        <f t="shared" si="72"/>
        <v>2</v>
      </c>
      <c r="J94" s="106">
        <f t="shared" si="72"/>
        <v>2</v>
      </c>
      <c r="K94" s="106">
        <f t="shared" si="72"/>
        <v>2</v>
      </c>
      <c r="L94" s="106">
        <f t="shared" si="72"/>
        <v>2</v>
      </c>
      <c r="M94" s="106">
        <f t="shared" si="72"/>
        <v>2</v>
      </c>
      <c r="N94" s="106">
        <f t="shared" si="72"/>
        <v>2</v>
      </c>
      <c r="O94" s="106">
        <f t="shared" si="72"/>
        <v>2</v>
      </c>
      <c r="P94" s="106">
        <f t="shared" si="72"/>
        <v>2</v>
      </c>
      <c r="Q94" s="106">
        <f t="shared" si="72"/>
        <v>2</v>
      </c>
      <c r="R94" s="106">
        <f t="shared" si="72"/>
        <v>2</v>
      </c>
      <c r="S94" s="106">
        <f t="shared" si="72"/>
        <v>2</v>
      </c>
      <c r="T94" s="106">
        <f t="shared" si="72"/>
        <v>2</v>
      </c>
      <c r="U94" s="106">
        <f t="shared" si="72"/>
        <v>2</v>
      </c>
      <c r="V94" s="106">
        <f t="shared" si="72"/>
        <v>2</v>
      </c>
      <c r="W94" s="106">
        <f t="shared" si="72"/>
        <v>2</v>
      </c>
      <c r="X94" s="106">
        <f t="shared" si="72"/>
        <v>2</v>
      </c>
      <c r="Y94" s="106">
        <f t="shared" si="72"/>
        <v>2</v>
      </c>
      <c r="Z94" s="106">
        <f t="shared" si="72"/>
        <v>2</v>
      </c>
      <c r="AA94" s="106">
        <f t="shared" si="72"/>
        <v>2</v>
      </c>
      <c r="AB94" s="106">
        <f t="shared" si="72"/>
        <v>2</v>
      </c>
      <c r="AC94" s="106">
        <f t="shared" si="72"/>
        <v>2</v>
      </c>
      <c r="AD94" s="106">
        <f t="shared" si="72"/>
        <v>2</v>
      </c>
      <c r="AE94" s="106">
        <f t="shared" si="72"/>
        <v>2</v>
      </c>
      <c r="AF94" s="106">
        <f t="shared" si="72"/>
        <v>2</v>
      </c>
      <c r="AG94" s="106">
        <f t="shared" si="72"/>
        <v>2</v>
      </c>
      <c r="AH94" s="106">
        <f t="shared" si="72"/>
        <v>2</v>
      </c>
      <c r="AI94" s="106">
        <f t="shared" si="72"/>
        <v>2</v>
      </c>
      <c r="AJ94" s="106">
        <f t="shared" si="72"/>
        <v>2</v>
      </c>
      <c r="AK94" s="106">
        <f t="shared" si="72"/>
        <v>2</v>
      </c>
      <c r="AL94" s="106">
        <f t="shared" si="72"/>
        <v>2</v>
      </c>
      <c r="AM94" s="106">
        <f t="shared" si="72"/>
        <v>2</v>
      </c>
      <c r="AN94" s="106">
        <f t="shared" si="72"/>
        <v>2</v>
      </c>
      <c r="AO94" s="106">
        <f t="shared" si="72"/>
        <v>2</v>
      </c>
      <c r="AP94" s="106">
        <f t="shared" si="72"/>
        <v>2</v>
      </c>
      <c r="AQ94" s="106">
        <f t="shared" si="72"/>
        <v>2</v>
      </c>
      <c r="AR94" s="106">
        <f t="shared" si="72"/>
        <v>2</v>
      </c>
      <c r="AS94" s="106">
        <f t="shared" si="72"/>
        <v>2</v>
      </c>
      <c r="AT94" s="106">
        <f t="shared" si="72"/>
        <v>2</v>
      </c>
      <c r="AU94" s="106">
        <f t="shared" si="72"/>
        <v>2</v>
      </c>
      <c r="AV94" s="106">
        <f t="shared" si="72"/>
        <v>2</v>
      </c>
      <c r="AW94" s="106">
        <f t="shared" si="72"/>
        <v>2</v>
      </c>
      <c r="AX94" s="106">
        <f t="shared" si="72"/>
        <v>2</v>
      </c>
      <c r="AY94" s="106">
        <f t="shared" si="72"/>
        <v>2</v>
      </c>
      <c r="AZ94" s="106">
        <f t="shared" si="72"/>
        <v>2</v>
      </c>
      <c r="BA94" s="106">
        <f t="shared" si="72"/>
        <v>2</v>
      </c>
      <c r="BB94" s="106">
        <f t="shared" si="72"/>
        <v>2</v>
      </c>
      <c r="BC94" s="106">
        <f t="shared" si="72"/>
        <v>2</v>
      </c>
      <c r="BD94" s="106">
        <f t="shared" si="72"/>
        <v>2</v>
      </c>
      <c r="BE94" s="106">
        <f t="shared" si="72"/>
        <v>2</v>
      </c>
      <c r="BF94" s="106">
        <f t="shared" si="72"/>
        <v>2</v>
      </c>
      <c r="BG94" s="106">
        <f t="shared" si="72"/>
        <v>2</v>
      </c>
      <c r="BH94" s="106">
        <f t="shared" si="72"/>
        <v>2</v>
      </c>
      <c r="BI94" s="106">
        <f t="shared" si="72"/>
        <v>2</v>
      </c>
      <c r="BJ94" s="106">
        <f t="shared" si="72"/>
        <v>2</v>
      </c>
      <c r="BK94" s="106">
        <f t="shared" si="72"/>
        <v>2</v>
      </c>
      <c r="BL94" s="106">
        <f t="shared" si="72"/>
        <v>2</v>
      </c>
      <c r="BM94" s="106">
        <f t="shared" si="72"/>
        <v>2</v>
      </c>
      <c r="BN94" s="106">
        <f t="shared" si="72"/>
        <v>2</v>
      </c>
    </row>
    <row r="95" outlineLevel="1">
      <c r="A95" s="80"/>
      <c r="B95" s="102" t="s">
        <v>56</v>
      </c>
      <c r="C95" s="80"/>
      <c r="D95" s="107"/>
      <c r="E95" s="80"/>
      <c r="F95" s="109"/>
      <c r="G95" s="106">
        <f t="shared" ref="G95:BN95" si="73">G94*G92</f>
        <v>159.3</v>
      </c>
      <c r="H95" s="106">
        <f t="shared" si="73"/>
        <v>244.0395</v>
      </c>
      <c r="I95" s="106">
        <f t="shared" si="73"/>
        <v>286.4855925</v>
      </c>
      <c r="J95" s="106">
        <f t="shared" si="73"/>
        <v>307.7097839</v>
      </c>
      <c r="K95" s="106">
        <f t="shared" si="73"/>
        <v>318.3218968</v>
      </c>
      <c r="L95" s="106">
        <f t="shared" si="73"/>
        <v>323.6279535</v>
      </c>
      <c r="M95" s="106">
        <f t="shared" si="73"/>
        <v>326.2809818</v>
      </c>
      <c r="N95" s="106">
        <f t="shared" si="73"/>
        <v>327.607496</v>
      </c>
      <c r="O95" s="106">
        <f t="shared" si="73"/>
        <v>328.2707531</v>
      </c>
      <c r="P95" s="106">
        <f t="shared" si="73"/>
        <v>328.6023816</v>
      </c>
      <c r="Q95" s="106">
        <f t="shared" si="73"/>
        <v>328.7681959</v>
      </c>
      <c r="R95" s="106">
        <f t="shared" si="73"/>
        <v>328.851103</v>
      </c>
      <c r="S95" s="106">
        <f t="shared" si="73"/>
        <v>328.8925566</v>
      </c>
      <c r="T95" s="106">
        <f t="shared" si="73"/>
        <v>328.9132834</v>
      </c>
      <c r="U95" s="106">
        <f t="shared" si="73"/>
        <v>328.9236468</v>
      </c>
      <c r="V95" s="106">
        <f t="shared" si="73"/>
        <v>328.9288285</v>
      </c>
      <c r="W95" s="106">
        <f t="shared" si="73"/>
        <v>328.9314193</v>
      </c>
      <c r="X95" s="106">
        <f t="shared" si="73"/>
        <v>328.9327147</v>
      </c>
      <c r="Y95" s="106">
        <f t="shared" si="73"/>
        <v>328.9333624</v>
      </c>
      <c r="Z95" s="106">
        <f t="shared" si="73"/>
        <v>328.9336863</v>
      </c>
      <c r="AA95" s="106">
        <f t="shared" si="73"/>
        <v>328.9338482</v>
      </c>
      <c r="AB95" s="106">
        <f t="shared" si="73"/>
        <v>328.9339292</v>
      </c>
      <c r="AC95" s="106">
        <f t="shared" si="73"/>
        <v>328.9339697</v>
      </c>
      <c r="AD95" s="106">
        <f t="shared" si="73"/>
        <v>328.9339899</v>
      </c>
      <c r="AE95" s="106">
        <f t="shared" si="73"/>
        <v>328.934</v>
      </c>
      <c r="AF95" s="106">
        <f t="shared" si="73"/>
        <v>328.9340051</v>
      </c>
      <c r="AG95" s="106">
        <f t="shared" si="73"/>
        <v>328.9340076</v>
      </c>
      <c r="AH95" s="106">
        <f t="shared" si="73"/>
        <v>328.9340089</v>
      </c>
      <c r="AI95" s="106">
        <f t="shared" si="73"/>
        <v>328.9340095</v>
      </c>
      <c r="AJ95" s="106">
        <f t="shared" si="73"/>
        <v>328.9340098</v>
      </c>
      <c r="AK95" s="106">
        <f t="shared" si="73"/>
        <v>328.93401</v>
      </c>
      <c r="AL95" s="106">
        <f t="shared" si="73"/>
        <v>328.9340101</v>
      </c>
      <c r="AM95" s="106">
        <f t="shared" si="73"/>
        <v>328.9340101</v>
      </c>
      <c r="AN95" s="106">
        <f t="shared" si="73"/>
        <v>328.9340101</v>
      </c>
      <c r="AO95" s="106">
        <f t="shared" si="73"/>
        <v>328.9340101</v>
      </c>
      <c r="AP95" s="106">
        <f t="shared" si="73"/>
        <v>328.9340101</v>
      </c>
      <c r="AQ95" s="106">
        <f t="shared" si="73"/>
        <v>328.9340101</v>
      </c>
      <c r="AR95" s="106">
        <f t="shared" si="73"/>
        <v>328.9340102</v>
      </c>
      <c r="AS95" s="106">
        <f t="shared" si="73"/>
        <v>328.9340102</v>
      </c>
      <c r="AT95" s="106">
        <f t="shared" si="73"/>
        <v>328.9340102</v>
      </c>
      <c r="AU95" s="106">
        <f t="shared" si="73"/>
        <v>328.9340102</v>
      </c>
      <c r="AV95" s="106">
        <f t="shared" si="73"/>
        <v>328.9340102</v>
      </c>
      <c r="AW95" s="106">
        <f t="shared" si="73"/>
        <v>328.9340102</v>
      </c>
      <c r="AX95" s="106">
        <f t="shared" si="73"/>
        <v>328.9340102</v>
      </c>
      <c r="AY95" s="106">
        <f t="shared" si="73"/>
        <v>328.9340102</v>
      </c>
      <c r="AZ95" s="106">
        <f t="shared" si="73"/>
        <v>328.9340102</v>
      </c>
      <c r="BA95" s="106">
        <f t="shared" si="73"/>
        <v>328.9340102</v>
      </c>
      <c r="BB95" s="106">
        <f t="shared" si="73"/>
        <v>328.9340102</v>
      </c>
      <c r="BC95" s="106">
        <f t="shared" si="73"/>
        <v>328.9340102</v>
      </c>
      <c r="BD95" s="106">
        <f t="shared" si="73"/>
        <v>328.9340102</v>
      </c>
      <c r="BE95" s="106">
        <f t="shared" si="73"/>
        <v>328.9340102</v>
      </c>
      <c r="BF95" s="106">
        <f t="shared" si="73"/>
        <v>328.9340102</v>
      </c>
      <c r="BG95" s="106">
        <f t="shared" si="73"/>
        <v>328.9340102</v>
      </c>
      <c r="BH95" s="106">
        <f t="shared" si="73"/>
        <v>328.9340102</v>
      </c>
      <c r="BI95" s="106">
        <f t="shared" si="73"/>
        <v>328.9340102</v>
      </c>
      <c r="BJ95" s="106">
        <f t="shared" si="73"/>
        <v>328.9340102</v>
      </c>
      <c r="BK95" s="106">
        <f t="shared" si="73"/>
        <v>328.9340102</v>
      </c>
      <c r="BL95" s="106">
        <f t="shared" si="73"/>
        <v>328.9340102</v>
      </c>
      <c r="BM95" s="106">
        <f t="shared" si="73"/>
        <v>328.9340102</v>
      </c>
      <c r="BN95" s="106">
        <f t="shared" si="73"/>
        <v>328.9340102</v>
      </c>
    </row>
    <row r="96" outlineLevel="1">
      <c r="A96" s="80"/>
      <c r="B96" s="110" t="s">
        <v>57</v>
      </c>
      <c r="C96" s="84"/>
      <c r="D96" s="111">
        <v>250.0</v>
      </c>
      <c r="E96" s="84"/>
      <c r="F96" s="112"/>
      <c r="G96" s="113">
        <f>D96</f>
        <v>250</v>
      </c>
      <c r="H96" s="113">
        <f t="shared" ref="H96:BN96" si="74">G96</f>
        <v>250</v>
      </c>
      <c r="I96" s="113">
        <f t="shared" si="74"/>
        <v>250</v>
      </c>
      <c r="J96" s="113">
        <f t="shared" si="74"/>
        <v>250</v>
      </c>
      <c r="K96" s="113">
        <f t="shared" si="74"/>
        <v>250</v>
      </c>
      <c r="L96" s="113">
        <f t="shared" si="74"/>
        <v>250</v>
      </c>
      <c r="M96" s="113">
        <f t="shared" si="74"/>
        <v>250</v>
      </c>
      <c r="N96" s="113">
        <f t="shared" si="74"/>
        <v>250</v>
      </c>
      <c r="O96" s="113">
        <f t="shared" si="74"/>
        <v>250</v>
      </c>
      <c r="P96" s="113">
        <f t="shared" si="74"/>
        <v>250</v>
      </c>
      <c r="Q96" s="113">
        <f t="shared" si="74"/>
        <v>250</v>
      </c>
      <c r="R96" s="113">
        <f t="shared" si="74"/>
        <v>250</v>
      </c>
      <c r="S96" s="113">
        <f t="shared" si="74"/>
        <v>250</v>
      </c>
      <c r="T96" s="113">
        <f t="shared" si="74"/>
        <v>250</v>
      </c>
      <c r="U96" s="113">
        <f t="shared" si="74"/>
        <v>250</v>
      </c>
      <c r="V96" s="113">
        <f t="shared" si="74"/>
        <v>250</v>
      </c>
      <c r="W96" s="113">
        <f t="shared" si="74"/>
        <v>250</v>
      </c>
      <c r="X96" s="113">
        <f t="shared" si="74"/>
        <v>250</v>
      </c>
      <c r="Y96" s="113">
        <f t="shared" si="74"/>
        <v>250</v>
      </c>
      <c r="Z96" s="113">
        <f t="shared" si="74"/>
        <v>250</v>
      </c>
      <c r="AA96" s="113">
        <f t="shared" si="74"/>
        <v>250</v>
      </c>
      <c r="AB96" s="113">
        <f t="shared" si="74"/>
        <v>250</v>
      </c>
      <c r="AC96" s="113">
        <f t="shared" si="74"/>
        <v>250</v>
      </c>
      <c r="AD96" s="113">
        <f t="shared" si="74"/>
        <v>250</v>
      </c>
      <c r="AE96" s="113">
        <f t="shared" si="74"/>
        <v>250</v>
      </c>
      <c r="AF96" s="113">
        <f t="shared" si="74"/>
        <v>250</v>
      </c>
      <c r="AG96" s="113">
        <f t="shared" si="74"/>
        <v>250</v>
      </c>
      <c r="AH96" s="113">
        <f t="shared" si="74"/>
        <v>250</v>
      </c>
      <c r="AI96" s="113">
        <f t="shared" si="74"/>
        <v>250</v>
      </c>
      <c r="AJ96" s="113">
        <f t="shared" si="74"/>
        <v>250</v>
      </c>
      <c r="AK96" s="113">
        <f t="shared" si="74"/>
        <v>250</v>
      </c>
      <c r="AL96" s="113">
        <f t="shared" si="74"/>
        <v>250</v>
      </c>
      <c r="AM96" s="113">
        <f t="shared" si="74"/>
        <v>250</v>
      </c>
      <c r="AN96" s="113">
        <f t="shared" si="74"/>
        <v>250</v>
      </c>
      <c r="AO96" s="113">
        <f t="shared" si="74"/>
        <v>250</v>
      </c>
      <c r="AP96" s="113">
        <f t="shared" si="74"/>
        <v>250</v>
      </c>
      <c r="AQ96" s="113">
        <f t="shared" si="74"/>
        <v>250</v>
      </c>
      <c r="AR96" s="113">
        <f t="shared" si="74"/>
        <v>250</v>
      </c>
      <c r="AS96" s="113">
        <f t="shared" si="74"/>
        <v>250</v>
      </c>
      <c r="AT96" s="113">
        <f t="shared" si="74"/>
        <v>250</v>
      </c>
      <c r="AU96" s="113">
        <f t="shared" si="74"/>
        <v>250</v>
      </c>
      <c r="AV96" s="113">
        <f t="shared" si="74"/>
        <v>250</v>
      </c>
      <c r="AW96" s="113">
        <f t="shared" si="74"/>
        <v>250</v>
      </c>
      <c r="AX96" s="113">
        <f t="shared" si="74"/>
        <v>250</v>
      </c>
      <c r="AY96" s="113">
        <f t="shared" si="74"/>
        <v>250</v>
      </c>
      <c r="AZ96" s="113">
        <f t="shared" si="74"/>
        <v>250</v>
      </c>
      <c r="BA96" s="113">
        <f t="shared" si="74"/>
        <v>250</v>
      </c>
      <c r="BB96" s="113">
        <f t="shared" si="74"/>
        <v>250</v>
      </c>
      <c r="BC96" s="113">
        <f t="shared" si="74"/>
        <v>250</v>
      </c>
      <c r="BD96" s="113">
        <f t="shared" si="74"/>
        <v>250</v>
      </c>
      <c r="BE96" s="113">
        <f t="shared" si="74"/>
        <v>250</v>
      </c>
      <c r="BF96" s="113">
        <f t="shared" si="74"/>
        <v>250</v>
      </c>
      <c r="BG96" s="113">
        <f t="shared" si="74"/>
        <v>250</v>
      </c>
      <c r="BH96" s="113">
        <f t="shared" si="74"/>
        <v>250</v>
      </c>
      <c r="BI96" s="113">
        <f t="shared" si="74"/>
        <v>250</v>
      </c>
      <c r="BJ96" s="113">
        <f t="shared" si="74"/>
        <v>250</v>
      </c>
      <c r="BK96" s="113">
        <f t="shared" si="74"/>
        <v>250</v>
      </c>
      <c r="BL96" s="113">
        <f t="shared" si="74"/>
        <v>250</v>
      </c>
      <c r="BM96" s="113">
        <f t="shared" si="74"/>
        <v>250</v>
      </c>
      <c r="BN96" s="113">
        <f t="shared" si="74"/>
        <v>250</v>
      </c>
    </row>
    <row r="97" outlineLevel="1">
      <c r="A97" s="80"/>
      <c r="B97" s="114" t="s">
        <v>58</v>
      </c>
      <c r="C97" s="80"/>
      <c r="D97" s="86"/>
      <c r="E97" s="86"/>
      <c r="F97" s="115"/>
      <c r="G97" s="116">
        <f t="shared" ref="G97:BN97" si="75">G96*G95</f>
        <v>39825</v>
      </c>
      <c r="H97" s="116">
        <f t="shared" si="75"/>
        <v>61009.875</v>
      </c>
      <c r="I97" s="116">
        <f t="shared" si="75"/>
        <v>71621.39813</v>
      </c>
      <c r="J97" s="116">
        <f t="shared" si="75"/>
        <v>76927.44597</v>
      </c>
      <c r="K97" s="116">
        <f t="shared" si="75"/>
        <v>79580.47419</v>
      </c>
      <c r="L97" s="116">
        <f t="shared" si="75"/>
        <v>80906.98836</v>
      </c>
      <c r="M97" s="116">
        <f t="shared" si="75"/>
        <v>81570.24545</v>
      </c>
      <c r="N97" s="116">
        <f t="shared" si="75"/>
        <v>81901.87399</v>
      </c>
      <c r="O97" s="116">
        <f t="shared" si="75"/>
        <v>82067.68827</v>
      </c>
      <c r="P97" s="116">
        <f t="shared" si="75"/>
        <v>82150.5954</v>
      </c>
      <c r="Q97" s="116">
        <f t="shared" si="75"/>
        <v>82192.04897</v>
      </c>
      <c r="R97" s="116">
        <f t="shared" si="75"/>
        <v>82212.77575</v>
      </c>
      <c r="S97" s="116">
        <f t="shared" si="75"/>
        <v>82223.13915</v>
      </c>
      <c r="T97" s="116">
        <f t="shared" si="75"/>
        <v>82228.32084</v>
      </c>
      <c r="U97" s="116">
        <f t="shared" si="75"/>
        <v>82230.91169</v>
      </c>
      <c r="V97" s="116">
        <f t="shared" si="75"/>
        <v>82232.20711</v>
      </c>
      <c r="W97" s="116">
        <f t="shared" si="75"/>
        <v>82232.85483</v>
      </c>
      <c r="X97" s="116">
        <f t="shared" si="75"/>
        <v>82233.17868</v>
      </c>
      <c r="Y97" s="116">
        <f t="shared" si="75"/>
        <v>82233.34061</v>
      </c>
      <c r="Z97" s="116">
        <f t="shared" si="75"/>
        <v>82233.42157</v>
      </c>
      <c r="AA97" s="116">
        <f t="shared" si="75"/>
        <v>82233.46206</v>
      </c>
      <c r="AB97" s="116">
        <f t="shared" si="75"/>
        <v>82233.4823</v>
      </c>
      <c r="AC97" s="116">
        <f t="shared" si="75"/>
        <v>82233.49242</v>
      </c>
      <c r="AD97" s="116">
        <f t="shared" si="75"/>
        <v>82233.49748</v>
      </c>
      <c r="AE97" s="116">
        <f t="shared" si="75"/>
        <v>82233.50001</v>
      </c>
      <c r="AF97" s="116">
        <f t="shared" si="75"/>
        <v>82233.50127</v>
      </c>
      <c r="AG97" s="116">
        <f t="shared" si="75"/>
        <v>82233.50191</v>
      </c>
      <c r="AH97" s="116">
        <f t="shared" si="75"/>
        <v>82233.50222</v>
      </c>
      <c r="AI97" s="116">
        <f t="shared" si="75"/>
        <v>82233.50238</v>
      </c>
      <c r="AJ97" s="116">
        <f t="shared" si="75"/>
        <v>82233.50246</v>
      </c>
      <c r="AK97" s="116">
        <f t="shared" si="75"/>
        <v>82233.5025</v>
      </c>
      <c r="AL97" s="116">
        <f t="shared" si="75"/>
        <v>82233.50252</v>
      </c>
      <c r="AM97" s="116">
        <f t="shared" si="75"/>
        <v>82233.50253</v>
      </c>
      <c r="AN97" s="116">
        <f t="shared" si="75"/>
        <v>82233.50253</v>
      </c>
      <c r="AO97" s="116">
        <f t="shared" si="75"/>
        <v>82233.50254</v>
      </c>
      <c r="AP97" s="116">
        <f t="shared" si="75"/>
        <v>82233.50254</v>
      </c>
      <c r="AQ97" s="116">
        <f t="shared" si="75"/>
        <v>82233.50254</v>
      </c>
      <c r="AR97" s="116">
        <f t="shared" si="75"/>
        <v>82233.50254</v>
      </c>
      <c r="AS97" s="116">
        <f t="shared" si="75"/>
        <v>82233.50254</v>
      </c>
      <c r="AT97" s="116">
        <f t="shared" si="75"/>
        <v>82233.50254</v>
      </c>
      <c r="AU97" s="116">
        <f t="shared" si="75"/>
        <v>82233.50254</v>
      </c>
      <c r="AV97" s="116">
        <f t="shared" si="75"/>
        <v>82233.50254</v>
      </c>
      <c r="AW97" s="116">
        <f t="shared" si="75"/>
        <v>82233.50254</v>
      </c>
      <c r="AX97" s="116">
        <f t="shared" si="75"/>
        <v>82233.50254</v>
      </c>
      <c r="AY97" s="116">
        <f t="shared" si="75"/>
        <v>82233.50254</v>
      </c>
      <c r="AZ97" s="116">
        <f t="shared" si="75"/>
        <v>82233.50254</v>
      </c>
      <c r="BA97" s="116">
        <f t="shared" si="75"/>
        <v>82233.50254</v>
      </c>
      <c r="BB97" s="116">
        <f t="shared" si="75"/>
        <v>82233.50254</v>
      </c>
      <c r="BC97" s="116">
        <f t="shared" si="75"/>
        <v>82233.50254</v>
      </c>
      <c r="BD97" s="116">
        <f t="shared" si="75"/>
        <v>82233.50254</v>
      </c>
      <c r="BE97" s="116">
        <f t="shared" si="75"/>
        <v>82233.50254</v>
      </c>
      <c r="BF97" s="116">
        <f t="shared" si="75"/>
        <v>82233.50254</v>
      </c>
      <c r="BG97" s="116">
        <f t="shared" si="75"/>
        <v>82233.50254</v>
      </c>
      <c r="BH97" s="116">
        <f t="shared" si="75"/>
        <v>82233.50254</v>
      </c>
      <c r="BI97" s="116">
        <f t="shared" si="75"/>
        <v>82233.50254</v>
      </c>
      <c r="BJ97" s="116">
        <f t="shared" si="75"/>
        <v>82233.50254</v>
      </c>
      <c r="BK97" s="116">
        <f t="shared" si="75"/>
        <v>82233.50254</v>
      </c>
      <c r="BL97" s="116">
        <f t="shared" si="75"/>
        <v>82233.50254</v>
      </c>
      <c r="BM97" s="116">
        <f t="shared" si="75"/>
        <v>82233.50254</v>
      </c>
      <c r="BN97" s="116">
        <f t="shared" si="75"/>
        <v>82233.50254</v>
      </c>
    </row>
    <row r="98" outlineLevel="1">
      <c r="A98" s="80"/>
      <c r="B98" s="114"/>
      <c r="C98" s="80"/>
      <c r="D98" s="86"/>
      <c r="E98" s="86"/>
      <c r="F98" s="115"/>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c r="BC98" s="116"/>
      <c r="BD98" s="116"/>
      <c r="BE98" s="116"/>
      <c r="BF98" s="116"/>
      <c r="BG98" s="116"/>
      <c r="BH98" s="116"/>
      <c r="BI98" s="116"/>
      <c r="BJ98" s="116"/>
      <c r="BK98" s="116"/>
      <c r="BL98" s="116"/>
      <c r="BM98" s="116"/>
      <c r="BN98" s="116"/>
    </row>
    <row r="99" outlineLevel="1">
      <c r="A99" s="117"/>
      <c r="B99" s="118" t="s">
        <v>60</v>
      </c>
      <c r="C99" s="117"/>
      <c r="D99" s="117"/>
      <c r="E99" s="117"/>
      <c r="F99" s="119"/>
      <c r="G99" s="120"/>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row>
    <row r="100" outlineLevel="1">
      <c r="A100" s="117"/>
      <c r="B100" s="121" t="s">
        <v>50</v>
      </c>
      <c r="C100" s="117"/>
      <c r="D100" s="122">
        <v>0.2</v>
      </c>
      <c r="E100" s="117"/>
      <c r="F100" s="120"/>
      <c r="G100" s="123">
        <f>D100</f>
        <v>0.2</v>
      </c>
      <c r="H100" s="123">
        <f t="shared" ref="H100:BN100" si="76">G100</f>
        <v>0.2</v>
      </c>
      <c r="I100" s="123">
        <f t="shared" si="76"/>
        <v>0.2</v>
      </c>
      <c r="J100" s="123">
        <f t="shared" si="76"/>
        <v>0.2</v>
      </c>
      <c r="K100" s="123">
        <f t="shared" si="76"/>
        <v>0.2</v>
      </c>
      <c r="L100" s="123">
        <f t="shared" si="76"/>
        <v>0.2</v>
      </c>
      <c r="M100" s="123">
        <f t="shared" si="76"/>
        <v>0.2</v>
      </c>
      <c r="N100" s="123">
        <f t="shared" si="76"/>
        <v>0.2</v>
      </c>
      <c r="O100" s="123">
        <f t="shared" si="76"/>
        <v>0.2</v>
      </c>
      <c r="P100" s="123">
        <f t="shared" si="76"/>
        <v>0.2</v>
      </c>
      <c r="Q100" s="123">
        <f t="shared" si="76"/>
        <v>0.2</v>
      </c>
      <c r="R100" s="123">
        <f t="shared" si="76"/>
        <v>0.2</v>
      </c>
      <c r="S100" s="123">
        <f t="shared" si="76"/>
        <v>0.2</v>
      </c>
      <c r="T100" s="123">
        <f t="shared" si="76"/>
        <v>0.2</v>
      </c>
      <c r="U100" s="123">
        <f t="shared" si="76"/>
        <v>0.2</v>
      </c>
      <c r="V100" s="123">
        <f t="shared" si="76"/>
        <v>0.2</v>
      </c>
      <c r="W100" s="123">
        <f t="shared" si="76"/>
        <v>0.2</v>
      </c>
      <c r="X100" s="123">
        <f t="shared" si="76"/>
        <v>0.2</v>
      </c>
      <c r="Y100" s="123">
        <f t="shared" si="76"/>
        <v>0.2</v>
      </c>
      <c r="Z100" s="123">
        <f t="shared" si="76"/>
        <v>0.2</v>
      </c>
      <c r="AA100" s="123">
        <f t="shared" si="76"/>
        <v>0.2</v>
      </c>
      <c r="AB100" s="123">
        <f t="shared" si="76"/>
        <v>0.2</v>
      </c>
      <c r="AC100" s="123">
        <f t="shared" si="76"/>
        <v>0.2</v>
      </c>
      <c r="AD100" s="123">
        <f t="shared" si="76"/>
        <v>0.2</v>
      </c>
      <c r="AE100" s="123">
        <f t="shared" si="76"/>
        <v>0.2</v>
      </c>
      <c r="AF100" s="123">
        <f t="shared" si="76"/>
        <v>0.2</v>
      </c>
      <c r="AG100" s="123">
        <f t="shared" si="76"/>
        <v>0.2</v>
      </c>
      <c r="AH100" s="123">
        <f t="shared" si="76"/>
        <v>0.2</v>
      </c>
      <c r="AI100" s="123">
        <f t="shared" si="76"/>
        <v>0.2</v>
      </c>
      <c r="AJ100" s="123">
        <f t="shared" si="76"/>
        <v>0.2</v>
      </c>
      <c r="AK100" s="123">
        <f t="shared" si="76"/>
        <v>0.2</v>
      </c>
      <c r="AL100" s="123">
        <f t="shared" si="76"/>
        <v>0.2</v>
      </c>
      <c r="AM100" s="123">
        <f t="shared" si="76"/>
        <v>0.2</v>
      </c>
      <c r="AN100" s="123">
        <f t="shared" si="76"/>
        <v>0.2</v>
      </c>
      <c r="AO100" s="123">
        <f t="shared" si="76"/>
        <v>0.2</v>
      </c>
      <c r="AP100" s="123">
        <f t="shared" si="76"/>
        <v>0.2</v>
      </c>
      <c r="AQ100" s="123">
        <f t="shared" si="76"/>
        <v>0.2</v>
      </c>
      <c r="AR100" s="123">
        <f t="shared" si="76"/>
        <v>0.2</v>
      </c>
      <c r="AS100" s="123">
        <f t="shared" si="76"/>
        <v>0.2</v>
      </c>
      <c r="AT100" s="123">
        <f t="shared" si="76"/>
        <v>0.2</v>
      </c>
      <c r="AU100" s="123">
        <f t="shared" si="76"/>
        <v>0.2</v>
      </c>
      <c r="AV100" s="123">
        <f t="shared" si="76"/>
        <v>0.2</v>
      </c>
      <c r="AW100" s="123">
        <f t="shared" si="76"/>
        <v>0.2</v>
      </c>
      <c r="AX100" s="123">
        <f t="shared" si="76"/>
        <v>0.2</v>
      </c>
      <c r="AY100" s="123">
        <f t="shared" si="76"/>
        <v>0.2</v>
      </c>
      <c r="AZ100" s="123">
        <f t="shared" si="76"/>
        <v>0.2</v>
      </c>
      <c r="BA100" s="123">
        <f t="shared" si="76"/>
        <v>0.2</v>
      </c>
      <c r="BB100" s="123">
        <f t="shared" si="76"/>
        <v>0.2</v>
      </c>
      <c r="BC100" s="123">
        <f t="shared" si="76"/>
        <v>0.2</v>
      </c>
      <c r="BD100" s="123">
        <f t="shared" si="76"/>
        <v>0.2</v>
      </c>
      <c r="BE100" s="123">
        <f t="shared" si="76"/>
        <v>0.2</v>
      </c>
      <c r="BF100" s="123">
        <f t="shared" si="76"/>
        <v>0.2</v>
      </c>
      <c r="BG100" s="123">
        <f t="shared" si="76"/>
        <v>0.2</v>
      </c>
      <c r="BH100" s="123">
        <f t="shared" si="76"/>
        <v>0.2</v>
      </c>
      <c r="BI100" s="123">
        <f t="shared" si="76"/>
        <v>0.2</v>
      </c>
      <c r="BJ100" s="123">
        <f t="shared" si="76"/>
        <v>0.2</v>
      </c>
      <c r="BK100" s="123">
        <f t="shared" si="76"/>
        <v>0.2</v>
      </c>
      <c r="BL100" s="123">
        <f t="shared" si="76"/>
        <v>0.2</v>
      </c>
      <c r="BM100" s="123">
        <f t="shared" si="76"/>
        <v>0.2</v>
      </c>
      <c r="BN100" s="123">
        <f t="shared" si="76"/>
        <v>0.2</v>
      </c>
    </row>
    <row r="101" outlineLevel="1">
      <c r="A101" s="117"/>
      <c r="B101" s="121" t="s">
        <v>17</v>
      </c>
      <c r="C101" s="117"/>
      <c r="D101" s="124"/>
      <c r="E101" s="117"/>
      <c r="F101" s="120"/>
      <c r="G101" s="125">
        <f t="shared" ref="G101:BN101" si="77">G100*G$71</f>
        <v>53.1</v>
      </c>
      <c r="H101" s="125">
        <f t="shared" si="77"/>
        <v>54.7965</v>
      </c>
      <c r="I101" s="125">
        <f t="shared" si="77"/>
        <v>54.8219475</v>
      </c>
      <c r="J101" s="125">
        <f t="shared" si="77"/>
        <v>54.82232921</v>
      </c>
      <c r="K101" s="125">
        <f t="shared" si="77"/>
        <v>54.82233494</v>
      </c>
      <c r="L101" s="125">
        <f t="shared" si="77"/>
        <v>54.82233502</v>
      </c>
      <c r="M101" s="125">
        <f t="shared" si="77"/>
        <v>54.82233503</v>
      </c>
      <c r="N101" s="125">
        <f t="shared" si="77"/>
        <v>54.82233503</v>
      </c>
      <c r="O101" s="125">
        <f t="shared" si="77"/>
        <v>54.82233503</v>
      </c>
      <c r="P101" s="125">
        <f t="shared" si="77"/>
        <v>54.82233503</v>
      </c>
      <c r="Q101" s="125">
        <f t="shared" si="77"/>
        <v>54.82233503</v>
      </c>
      <c r="R101" s="125">
        <f t="shared" si="77"/>
        <v>54.82233503</v>
      </c>
      <c r="S101" s="125">
        <f t="shared" si="77"/>
        <v>54.82233503</v>
      </c>
      <c r="T101" s="125">
        <f t="shared" si="77"/>
        <v>54.82233503</v>
      </c>
      <c r="U101" s="125">
        <f t="shared" si="77"/>
        <v>54.82233503</v>
      </c>
      <c r="V101" s="125">
        <f t="shared" si="77"/>
        <v>54.82233503</v>
      </c>
      <c r="W101" s="125">
        <f t="shared" si="77"/>
        <v>54.82233503</v>
      </c>
      <c r="X101" s="125">
        <f t="shared" si="77"/>
        <v>54.82233503</v>
      </c>
      <c r="Y101" s="125">
        <f t="shared" si="77"/>
        <v>54.82233503</v>
      </c>
      <c r="Z101" s="125">
        <f t="shared" si="77"/>
        <v>54.82233503</v>
      </c>
      <c r="AA101" s="125">
        <f t="shared" si="77"/>
        <v>54.82233503</v>
      </c>
      <c r="AB101" s="125">
        <f t="shared" si="77"/>
        <v>54.82233503</v>
      </c>
      <c r="AC101" s="125">
        <f t="shared" si="77"/>
        <v>54.82233503</v>
      </c>
      <c r="AD101" s="125">
        <f t="shared" si="77"/>
        <v>54.82233503</v>
      </c>
      <c r="AE101" s="125">
        <f t="shared" si="77"/>
        <v>54.82233503</v>
      </c>
      <c r="AF101" s="125">
        <f t="shared" si="77"/>
        <v>54.82233503</v>
      </c>
      <c r="AG101" s="125">
        <f t="shared" si="77"/>
        <v>54.82233503</v>
      </c>
      <c r="AH101" s="125">
        <f t="shared" si="77"/>
        <v>54.82233503</v>
      </c>
      <c r="AI101" s="125">
        <f t="shared" si="77"/>
        <v>54.82233503</v>
      </c>
      <c r="AJ101" s="125">
        <f t="shared" si="77"/>
        <v>54.82233503</v>
      </c>
      <c r="AK101" s="125">
        <f t="shared" si="77"/>
        <v>54.82233503</v>
      </c>
      <c r="AL101" s="125">
        <f t="shared" si="77"/>
        <v>54.82233503</v>
      </c>
      <c r="AM101" s="125">
        <f t="shared" si="77"/>
        <v>54.82233503</v>
      </c>
      <c r="AN101" s="125">
        <f t="shared" si="77"/>
        <v>54.82233503</v>
      </c>
      <c r="AO101" s="125">
        <f t="shared" si="77"/>
        <v>54.82233503</v>
      </c>
      <c r="AP101" s="125">
        <f t="shared" si="77"/>
        <v>54.82233503</v>
      </c>
      <c r="AQ101" s="125">
        <f t="shared" si="77"/>
        <v>54.82233503</v>
      </c>
      <c r="AR101" s="125">
        <f t="shared" si="77"/>
        <v>54.82233503</v>
      </c>
      <c r="AS101" s="125">
        <f t="shared" si="77"/>
        <v>54.82233503</v>
      </c>
      <c r="AT101" s="125">
        <f t="shared" si="77"/>
        <v>54.82233503</v>
      </c>
      <c r="AU101" s="125">
        <f t="shared" si="77"/>
        <v>54.82233503</v>
      </c>
      <c r="AV101" s="125">
        <f t="shared" si="77"/>
        <v>54.82233503</v>
      </c>
      <c r="AW101" s="125">
        <f t="shared" si="77"/>
        <v>54.82233503</v>
      </c>
      <c r="AX101" s="125">
        <f t="shared" si="77"/>
        <v>54.82233503</v>
      </c>
      <c r="AY101" s="125">
        <f t="shared" si="77"/>
        <v>54.82233503</v>
      </c>
      <c r="AZ101" s="125">
        <f t="shared" si="77"/>
        <v>54.82233503</v>
      </c>
      <c r="BA101" s="125">
        <f t="shared" si="77"/>
        <v>54.82233503</v>
      </c>
      <c r="BB101" s="125">
        <f t="shared" si="77"/>
        <v>54.82233503</v>
      </c>
      <c r="BC101" s="125">
        <f t="shared" si="77"/>
        <v>54.82233503</v>
      </c>
      <c r="BD101" s="125">
        <f t="shared" si="77"/>
        <v>54.82233503</v>
      </c>
      <c r="BE101" s="125">
        <f t="shared" si="77"/>
        <v>54.82233503</v>
      </c>
      <c r="BF101" s="125">
        <f t="shared" si="77"/>
        <v>54.82233503</v>
      </c>
      <c r="BG101" s="125">
        <f t="shared" si="77"/>
        <v>54.82233503</v>
      </c>
      <c r="BH101" s="125">
        <f t="shared" si="77"/>
        <v>54.82233503</v>
      </c>
      <c r="BI101" s="125">
        <f t="shared" si="77"/>
        <v>54.82233503</v>
      </c>
      <c r="BJ101" s="125">
        <f t="shared" si="77"/>
        <v>54.82233503</v>
      </c>
      <c r="BK101" s="125">
        <f t="shared" si="77"/>
        <v>54.82233503</v>
      </c>
      <c r="BL101" s="125">
        <f t="shared" si="77"/>
        <v>54.82233503</v>
      </c>
      <c r="BM101" s="125">
        <f t="shared" si="77"/>
        <v>54.82233503</v>
      </c>
      <c r="BN101" s="125">
        <f t="shared" si="77"/>
        <v>54.82233503</v>
      </c>
    </row>
    <row r="102" outlineLevel="1">
      <c r="A102" s="117"/>
      <c r="B102" s="121" t="s">
        <v>61</v>
      </c>
      <c r="C102" s="117"/>
      <c r="D102" s="126">
        <v>0.5</v>
      </c>
      <c r="E102" s="117"/>
      <c r="F102" s="120"/>
      <c r="G102" s="123">
        <f>D102</f>
        <v>0.5</v>
      </c>
      <c r="H102" s="123">
        <f t="shared" ref="H102:BN102" si="78">G102</f>
        <v>0.5</v>
      </c>
      <c r="I102" s="123">
        <f t="shared" si="78"/>
        <v>0.5</v>
      </c>
      <c r="J102" s="123">
        <f t="shared" si="78"/>
        <v>0.5</v>
      </c>
      <c r="K102" s="123">
        <f t="shared" si="78"/>
        <v>0.5</v>
      </c>
      <c r="L102" s="123">
        <f t="shared" si="78"/>
        <v>0.5</v>
      </c>
      <c r="M102" s="123">
        <f t="shared" si="78"/>
        <v>0.5</v>
      </c>
      <c r="N102" s="123">
        <f t="shared" si="78"/>
        <v>0.5</v>
      </c>
      <c r="O102" s="123">
        <f t="shared" si="78"/>
        <v>0.5</v>
      </c>
      <c r="P102" s="123">
        <f t="shared" si="78"/>
        <v>0.5</v>
      </c>
      <c r="Q102" s="123">
        <f t="shared" si="78"/>
        <v>0.5</v>
      </c>
      <c r="R102" s="123">
        <f t="shared" si="78"/>
        <v>0.5</v>
      </c>
      <c r="S102" s="123">
        <f t="shared" si="78"/>
        <v>0.5</v>
      </c>
      <c r="T102" s="123">
        <f t="shared" si="78"/>
        <v>0.5</v>
      </c>
      <c r="U102" s="123">
        <f t="shared" si="78"/>
        <v>0.5</v>
      </c>
      <c r="V102" s="123">
        <f t="shared" si="78"/>
        <v>0.5</v>
      </c>
      <c r="W102" s="123">
        <f t="shared" si="78"/>
        <v>0.5</v>
      </c>
      <c r="X102" s="123">
        <f t="shared" si="78"/>
        <v>0.5</v>
      </c>
      <c r="Y102" s="123">
        <f t="shared" si="78"/>
        <v>0.5</v>
      </c>
      <c r="Z102" s="123">
        <f t="shared" si="78"/>
        <v>0.5</v>
      </c>
      <c r="AA102" s="123">
        <f t="shared" si="78"/>
        <v>0.5</v>
      </c>
      <c r="AB102" s="123">
        <f t="shared" si="78"/>
        <v>0.5</v>
      </c>
      <c r="AC102" s="123">
        <f t="shared" si="78"/>
        <v>0.5</v>
      </c>
      <c r="AD102" s="123">
        <f t="shared" si="78"/>
        <v>0.5</v>
      </c>
      <c r="AE102" s="123">
        <f t="shared" si="78"/>
        <v>0.5</v>
      </c>
      <c r="AF102" s="123">
        <f t="shared" si="78"/>
        <v>0.5</v>
      </c>
      <c r="AG102" s="123">
        <f t="shared" si="78"/>
        <v>0.5</v>
      </c>
      <c r="AH102" s="123">
        <f t="shared" si="78"/>
        <v>0.5</v>
      </c>
      <c r="AI102" s="123">
        <f t="shared" si="78"/>
        <v>0.5</v>
      </c>
      <c r="AJ102" s="123">
        <f t="shared" si="78"/>
        <v>0.5</v>
      </c>
      <c r="AK102" s="123">
        <f t="shared" si="78"/>
        <v>0.5</v>
      </c>
      <c r="AL102" s="123">
        <f t="shared" si="78"/>
        <v>0.5</v>
      </c>
      <c r="AM102" s="123">
        <f t="shared" si="78"/>
        <v>0.5</v>
      </c>
      <c r="AN102" s="123">
        <f t="shared" si="78"/>
        <v>0.5</v>
      </c>
      <c r="AO102" s="123">
        <f t="shared" si="78"/>
        <v>0.5</v>
      </c>
      <c r="AP102" s="123">
        <f t="shared" si="78"/>
        <v>0.5</v>
      </c>
      <c r="AQ102" s="123">
        <f t="shared" si="78"/>
        <v>0.5</v>
      </c>
      <c r="AR102" s="123">
        <f t="shared" si="78"/>
        <v>0.5</v>
      </c>
      <c r="AS102" s="123">
        <f t="shared" si="78"/>
        <v>0.5</v>
      </c>
      <c r="AT102" s="123">
        <f t="shared" si="78"/>
        <v>0.5</v>
      </c>
      <c r="AU102" s="123">
        <f t="shared" si="78"/>
        <v>0.5</v>
      </c>
      <c r="AV102" s="123">
        <f t="shared" si="78"/>
        <v>0.5</v>
      </c>
      <c r="AW102" s="123">
        <f t="shared" si="78"/>
        <v>0.5</v>
      </c>
      <c r="AX102" s="123">
        <f t="shared" si="78"/>
        <v>0.5</v>
      </c>
      <c r="AY102" s="123">
        <f t="shared" si="78"/>
        <v>0.5</v>
      </c>
      <c r="AZ102" s="123">
        <f t="shared" si="78"/>
        <v>0.5</v>
      </c>
      <c r="BA102" s="123">
        <f t="shared" si="78"/>
        <v>0.5</v>
      </c>
      <c r="BB102" s="123">
        <f t="shared" si="78"/>
        <v>0.5</v>
      </c>
      <c r="BC102" s="123">
        <f t="shared" si="78"/>
        <v>0.5</v>
      </c>
      <c r="BD102" s="123">
        <f t="shared" si="78"/>
        <v>0.5</v>
      </c>
      <c r="BE102" s="123">
        <f t="shared" si="78"/>
        <v>0.5</v>
      </c>
      <c r="BF102" s="123">
        <f t="shared" si="78"/>
        <v>0.5</v>
      </c>
      <c r="BG102" s="123">
        <f t="shared" si="78"/>
        <v>0.5</v>
      </c>
      <c r="BH102" s="123">
        <f t="shared" si="78"/>
        <v>0.5</v>
      </c>
      <c r="BI102" s="123">
        <f t="shared" si="78"/>
        <v>0.5</v>
      </c>
      <c r="BJ102" s="123">
        <f t="shared" si="78"/>
        <v>0.5</v>
      </c>
      <c r="BK102" s="123">
        <f t="shared" si="78"/>
        <v>0.5</v>
      </c>
      <c r="BL102" s="123">
        <f t="shared" si="78"/>
        <v>0.5</v>
      </c>
      <c r="BM102" s="123">
        <f t="shared" si="78"/>
        <v>0.5</v>
      </c>
      <c r="BN102" s="123">
        <f t="shared" si="78"/>
        <v>0.5</v>
      </c>
    </row>
    <row r="103" outlineLevel="1">
      <c r="A103" s="117"/>
      <c r="B103" s="121" t="s">
        <v>62</v>
      </c>
      <c r="C103" s="117"/>
      <c r="D103" s="124"/>
      <c r="E103" s="117"/>
      <c r="F103" s="120"/>
      <c r="G103" s="125">
        <f t="shared" ref="G103:BN103" si="79">G104*G102</f>
        <v>0</v>
      </c>
      <c r="H103" s="125">
        <f t="shared" si="79"/>
        <v>26.55</v>
      </c>
      <c r="I103" s="125">
        <f t="shared" si="79"/>
        <v>40.67325</v>
      </c>
      <c r="J103" s="125">
        <f t="shared" si="79"/>
        <v>47.74759875</v>
      </c>
      <c r="K103" s="125">
        <f t="shared" si="79"/>
        <v>51.28496398</v>
      </c>
      <c r="L103" s="125">
        <f t="shared" si="79"/>
        <v>53.05364946</v>
      </c>
      <c r="M103" s="125">
        <f t="shared" si="79"/>
        <v>53.93799224</v>
      </c>
      <c r="N103" s="125">
        <f t="shared" si="79"/>
        <v>54.38016363</v>
      </c>
      <c r="O103" s="125">
        <f t="shared" si="79"/>
        <v>54.60124933</v>
      </c>
      <c r="P103" s="125">
        <f t="shared" si="79"/>
        <v>54.71179218</v>
      </c>
      <c r="Q103" s="125">
        <f t="shared" si="79"/>
        <v>54.7670636</v>
      </c>
      <c r="R103" s="125">
        <f t="shared" si="79"/>
        <v>54.79469931</v>
      </c>
      <c r="S103" s="125">
        <f t="shared" si="79"/>
        <v>54.80851717</v>
      </c>
      <c r="T103" s="125">
        <f t="shared" si="79"/>
        <v>54.8154261</v>
      </c>
      <c r="U103" s="125">
        <f t="shared" si="79"/>
        <v>54.81888056</v>
      </c>
      <c r="V103" s="125">
        <f t="shared" si="79"/>
        <v>54.82060779</v>
      </c>
      <c r="W103" s="125">
        <f t="shared" si="79"/>
        <v>54.82147141</v>
      </c>
      <c r="X103" s="125">
        <f t="shared" si="79"/>
        <v>54.82190322</v>
      </c>
      <c r="Y103" s="125">
        <f t="shared" si="79"/>
        <v>54.82211912</v>
      </c>
      <c r="Z103" s="125">
        <f t="shared" si="79"/>
        <v>54.82222707</v>
      </c>
      <c r="AA103" s="125">
        <f t="shared" si="79"/>
        <v>54.82228105</v>
      </c>
      <c r="AB103" s="125">
        <f t="shared" si="79"/>
        <v>54.82230804</v>
      </c>
      <c r="AC103" s="125">
        <f t="shared" si="79"/>
        <v>54.82232153</v>
      </c>
      <c r="AD103" s="125">
        <f t="shared" si="79"/>
        <v>54.82232828</v>
      </c>
      <c r="AE103" s="125">
        <f t="shared" si="79"/>
        <v>54.82233165</v>
      </c>
      <c r="AF103" s="125">
        <f t="shared" si="79"/>
        <v>54.82233334</v>
      </c>
      <c r="AG103" s="125">
        <f t="shared" si="79"/>
        <v>54.82233418</v>
      </c>
      <c r="AH103" s="125">
        <f t="shared" si="79"/>
        <v>54.8223346</v>
      </c>
      <c r="AI103" s="125">
        <f t="shared" si="79"/>
        <v>54.82233481</v>
      </c>
      <c r="AJ103" s="125">
        <f t="shared" si="79"/>
        <v>54.82233492</v>
      </c>
      <c r="AK103" s="125">
        <f t="shared" si="79"/>
        <v>54.82233497</v>
      </c>
      <c r="AL103" s="125">
        <f t="shared" si="79"/>
        <v>54.822335</v>
      </c>
      <c r="AM103" s="125">
        <f t="shared" si="79"/>
        <v>54.82233501</v>
      </c>
      <c r="AN103" s="125">
        <f t="shared" si="79"/>
        <v>54.82233502</v>
      </c>
      <c r="AO103" s="125">
        <f t="shared" si="79"/>
        <v>54.82233502</v>
      </c>
      <c r="AP103" s="125">
        <f t="shared" si="79"/>
        <v>54.82233502</v>
      </c>
      <c r="AQ103" s="125">
        <f t="shared" si="79"/>
        <v>54.82233502</v>
      </c>
      <c r="AR103" s="125">
        <f t="shared" si="79"/>
        <v>54.82233502</v>
      </c>
      <c r="AS103" s="125">
        <f t="shared" si="79"/>
        <v>54.82233503</v>
      </c>
      <c r="AT103" s="125">
        <f t="shared" si="79"/>
        <v>54.82233503</v>
      </c>
      <c r="AU103" s="125">
        <f t="shared" si="79"/>
        <v>54.82233503</v>
      </c>
      <c r="AV103" s="125">
        <f t="shared" si="79"/>
        <v>54.82233503</v>
      </c>
      <c r="AW103" s="125">
        <f t="shared" si="79"/>
        <v>54.82233503</v>
      </c>
      <c r="AX103" s="125">
        <f t="shared" si="79"/>
        <v>54.82233503</v>
      </c>
      <c r="AY103" s="125">
        <f t="shared" si="79"/>
        <v>54.82233503</v>
      </c>
      <c r="AZ103" s="125">
        <f t="shared" si="79"/>
        <v>54.82233503</v>
      </c>
      <c r="BA103" s="125">
        <f t="shared" si="79"/>
        <v>54.82233503</v>
      </c>
      <c r="BB103" s="125">
        <f t="shared" si="79"/>
        <v>54.82233503</v>
      </c>
      <c r="BC103" s="125">
        <f t="shared" si="79"/>
        <v>54.82233503</v>
      </c>
      <c r="BD103" s="125">
        <f t="shared" si="79"/>
        <v>54.82233503</v>
      </c>
      <c r="BE103" s="125">
        <f t="shared" si="79"/>
        <v>54.82233503</v>
      </c>
      <c r="BF103" s="125">
        <f t="shared" si="79"/>
        <v>54.82233503</v>
      </c>
      <c r="BG103" s="125">
        <f t="shared" si="79"/>
        <v>54.82233503</v>
      </c>
      <c r="BH103" s="125">
        <f t="shared" si="79"/>
        <v>54.82233503</v>
      </c>
      <c r="BI103" s="125">
        <f t="shared" si="79"/>
        <v>54.82233503</v>
      </c>
      <c r="BJ103" s="125">
        <f t="shared" si="79"/>
        <v>54.82233503</v>
      </c>
      <c r="BK103" s="125">
        <f t="shared" si="79"/>
        <v>54.82233503</v>
      </c>
      <c r="BL103" s="125">
        <f t="shared" si="79"/>
        <v>54.82233503</v>
      </c>
      <c r="BM103" s="125">
        <f t="shared" si="79"/>
        <v>54.82233503</v>
      </c>
      <c r="BN103" s="125">
        <f t="shared" si="79"/>
        <v>54.82233503</v>
      </c>
    </row>
    <row r="104" outlineLevel="1">
      <c r="A104" s="117"/>
      <c r="B104" s="127" t="s">
        <v>63</v>
      </c>
      <c r="C104" s="117"/>
      <c r="D104" s="124"/>
      <c r="E104" s="117"/>
      <c r="F104" s="120"/>
      <c r="G104" s="124" t="str">
        <f>E106</f>
        <v/>
      </c>
      <c r="H104" s="125">
        <f t="shared" ref="H104:BN104" si="80">G106</f>
        <v>53.1</v>
      </c>
      <c r="I104" s="125">
        <f t="shared" si="80"/>
        <v>81.3465</v>
      </c>
      <c r="J104" s="125">
        <f t="shared" si="80"/>
        <v>95.4951975</v>
      </c>
      <c r="K104" s="125">
        <f t="shared" si="80"/>
        <v>102.569928</v>
      </c>
      <c r="L104" s="125">
        <f t="shared" si="80"/>
        <v>106.1072989</v>
      </c>
      <c r="M104" s="125">
        <f t="shared" si="80"/>
        <v>107.8759845</v>
      </c>
      <c r="N104" s="125">
        <f t="shared" si="80"/>
        <v>108.7603273</v>
      </c>
      <c r="O104" s="125">
        <f t="shared" si="80"/>
        <v>109.2024987</v>
      </c>
      <c r="P104" s="125">
        <f t="shared" si="80"/>
        <v>109.4235844</v>
      </c>
      <c r="Q104" s="125">
        <f t="shared" si="80"/>
        <v>109.5341272</v>
      </c>
      <c r="R104" s="125">
        <f t="shared" si="80"/>
        <v>109.5893986</v>
      </c>
      <c r="S104" s="125">
        <f t="shared" si="80"/>
        <v>109.6170343</v>
      </c>
      <c r="T104" s="125">
        <f t="shared" si="80"/>
        <v>109.6308522</v>
      </c>
      <c r="U104" s="125">
        <f t="shared" si="80"/>
        <v>109.6377611</v>
      </c>
      <c r="V104" s="125">
        <f t="shared" si="80"/>
        <v>109.6412156</v>
      </c>
      <c r="W104" s="125">
        <f t="shared" si="80"/>
        <v>109.6429428</v>
      </c>
      <c r="X104" s="125">
        <f t="shared" si="80"/>
        <v>109.6438064</v>
      </c>
      <c r="Y104" s="125">
        <f t="shared" si="80"/>
        <v>109.6442382</v>
      </c>
      <c r="Z104" s="125">
        <f t="shared" si="80"/>
        <v>109.6444541</v>
      </c>
      <c r="AA104" s="125">
        <f t="shared" si="80"/>
        <v>109.6445621</v>
      </c>
      <c r="AB104" s="125">
        <f t="shared" si="80"/>
        <v>109.6446161</v>
      </c>
      <c r="AC104" s="125">
        <f t="shared" si="80"/>
        <v>109.6446431</v>
      </c>
      <c r="AD104" s="125">
        <f t="shared" si="80"/>
        <v>109.6446566</v>
      </c>
      <c r="AE104" s="125">
        <f t="shared" si="80"/>
        <v>109.6446633</v>
      </c>
      <c r="AF104" s="125">
        <f t="shared" si="80"/>
        <v>109.6446667</v>
      </c>
      <c r="AG104" s="125">
        <f t="shared" si="80"/>
        <v>109.6446684</v>
      </c>
      <c r="AH104" s="125">
        <f t="shared" si="80"/>
        <v>109.6446692</v>
      </c>
      <c r="AI104" s="125">
        <f t="shared" si="80"/>
        <v>109.6446696</v>
      </c>
      <c r="AJ104" s="125">
        <f t="shared" si="80"/>
        <v>109.6446698</v>
      </c>
      <c r="AK104" s="125">
        <f t="shared" si="80"/>
        <v>109.6446699</v>
      </c>
      <c r="AL104" s="125">
        <f t="shared" si="80"/>
        <v>109.64467</v>
      </c>
      <c r="AM104" s="125">
        <f t="shared" si="80"/>
        <v>109.64467</v>
      </c>
      <c r="AN104" s="125">
        <f t="shared" si="80"/>
        <v>109.64467</v>
      </c>
      <c r="AO104" s="125">
        <f t="shared" si="80"/>
        <v>109.64467</v>
      </c>
      <c r="AP104" s="125">
        <f t="shared" si="80"/>
        <v>109.64467</v>
      </c>
      <c r="AQ104" s="125">
        <f t="shared" si="80"/>
        <v>109.64467</v>
      </c>
      <c r="AR104" s="125">
        <f t="shared" si="80"/>
        <v>109.64467</v>
      </c>
      <c r="AS104" s="125">
        <f t="shared" si="80"/>
        <v>109.6446701</v>
      </c>
      <c r="AT104" s="125">
        <f t="shared" si="80"/>
        <v>109.6446701</v>
      </c>
      <c r="AU104" s="125">
        <f t="shared" si="80"/>
        <v>109.6446701</v>
      </c>
      <c r="AV104" s="125">
        <f t="shared" si="80"/>
        <v>109.6446701</v>
      </c>
      <c r="AW104" s="125">
        <f t="shared" si="80"/>
        <v>109.6446701</v>
      </c>
      <c r="AX104" s="125">
        <f t="shared" si="80"/>
        <v>109.6446701</v>
      </c>
      <c r="AY104" s="125">
        <f t="shared" si="80"/>
        <v>109.6446701</v>
      </c>
      <c r="AZ104" s="125">
        <f t="shared" si="80"/>
        <v>109.6446701</v>
      </c>
      <c r="BA104" s="125">
        <f t="shared" si="80"/>
        <v>109.6446701</v>
      </c>
      <c r="BB104" s="125">
        <f t="shared" si="80"/>
        <v>109.6446701</v>
      </c>
      <c r="BC104" s="125">
        <f t="shared" si="80"/>
        <v>109.6446701</v>
      </c>
      <c r="BD104" s="125">
        <f t="shared" si="80"/>
        <v>109.6446701</v>
      </c>
      <c r="BE104" s="125">
        <f t="shared" si="80"/>
        <v>109.6446701</v>
      </c>
      <c r="BF104" s="125">
        <f t="shared" si="80"/>
        <v>109.6446701</v>
      </c>
      <c r="BG104" s="125">
        <f t="shared" si="80"/>
        <v>109.6446701</v>
      </c>
      <c r="BH104" s="125">
        <f t="shared" si="80"/>
        <v>109.6446701</v>
      </c>
      <c r="BI104" s="125">
        <f t="shared" si="80"/>
        <v>109.6446701</v>
      </c>
      <c r="BJ104" s="125">
        <f t="shared" si="80"/>
        <v>109.6446701</v>
      </c>
      <c r="BK104" s="125">
        <f t="shared" si="80"/>
        <v>109.6446701</v>
      </c>
      <c r="BL104" s="125">
        <f t="shared" si="80"/>
        <v>109.6446701</v>
      </c>
      <c r="BM104" s="125">
        <f t="shared" si="80"/>
        <v>109.6446701</v>
      </c>
      <c r="BN104" s="125">
        <f t="shared" si="80"/>
        <v>109.6446701</v>
      </c>
    </row>
    <row r="105" outlineLevel="1">
      <c r="A105" s="117"/>
      <c r="B105" s="121" t="s">
        <v>64</v>
      </c>
      <c r="C105" s="117"/>
      <c r="D105" s="124"/>
      <c r="E105" s="117"/>
      <c r="F105" s="120"/>
      <c r="G105" s="125">
        <f t="shared" ref="G105:BN105" si="81">G104-G103</f>
        <v>0</v>
      </c>
      <c r="H105" s="125">
        <f t="shared" si="81"/>
        <v>26.55</v>
      </c>
      <c r="I105" s="125">
        <f t="shared" si="81"/>
        <v>40.67325</v>
      </c>
      <c r="J105" s="125">
        <f t="shared" si="81"/>
        <v>47.74759875</v>
      </c>
      <c r="K105" s="125">
        <f t="shared" si="81"/>
        <v>51.28496398</v>
      </c>
      <c r="L105" s="125">
        <f t="shared" si="81"/>
        <v>53.05364946</v>
      </c>
      <c r="M105" s="125">
        <f t="shared" si="81"/>
        <v>53.93799224</v>
      </c>
      <c r="N105" s="125">
        <f t="shared" si="81"/>
        <v>54.38016363</v>
      </c>
      <c r="O105" s="125">
        <f t="shared" si="81"/>
        <v>54.60124933</v>
      </c>
      <c r="P105" s="125">
        <f t="shared" si="81"/>
        <v>54.71179218</v>
      </c>
      <c r="Q105" s="125">
        <f t="shared" si="81"/>
        <v>54.7670636</v>
      </c>
      <c r="R105" s="125">
        <f t="shared" si="81"/>
        <v>54.79469931</v>
      </c>
      <c r="S105" s="125">
        <f t="shared" si="81"/>
        <v>54.80851717</v>
      </c>
      <c r="T105" s="125">
        <f t="shared" si="81"/>
        <v>54.8154261</v>
      </c>
      <c r="U105" s="125">
        <f t="shared" si="81"/>
        <v>54.81888056</v>
      </c>
      <c r="V105" s="125">
        <f t="shared" si="81"/>
        <v>54.82060779</v>
      </c>
      <c r="W105" s="125">
        <f t="shared" si="81"/>
        <v>54.82147141</v>
      </c>
      <c r="X105" s="125">
        <f t="shared" si="81"/>
        <v>54.82190322</v>
      </c>
      <c r="Y105" s="125">
        <f t="shared" si="81"/>
        <v>54.82211912</v>
      </c>
      <c r="Z105" s="125">
        <f t="shared" si="81"/>
        <v>54.82222707</v>
      </c>
      <c r="AA105" s="125">
        <f t="shared" si="81"/>
        <v>54.82228105</v>
      </c>
      <c r="AB105" s="125">
        <f t="shared" si="81"/>
        <v>54.82230804</v>
      </c>
      <c r="AC105" s="125">
        <f t="shared" si="81"/>
        <v>54.82232153</v>
      </c>
      <c r="AD105" s="125">
        <f t="shared" si="81"/>
        <v>54.82232828</v>
      </c>
      <c r="AE105" s="125">
        <f t="shared" si="81"/>
        <v>54.82233165</v>
      </c>
      <c r="AF105" s="125">
        <f t="shared" si="81"/>
        <v>54.82233334</v>
      </c>
      <c r="AG105" s="125">
        <f t="shared" si="81"/>
        <v>54.82233418</v>
      </c>
      <c r="AH105" s="125">
        <f t="shared" si="81"/>
        <v>54.8223346</v>
      </c>
      <c r="AI105" s="125">
        <f t="shared" si="81"/>
        <v>54.82233481</v>
      </c>
      <c r="AJ105" s="125">
        <f t="shared" si="81"/>
        <v>54.82233492</v>
      </c>
      <c r="AK105" s="125">
        <f t="shared" si="81"/>
        <v>54.82233497</v>
      </c>
      <c r="AL105" s="125">
        <f t="shared" si="81"/>
        <v>54.822335</v>
      </c>
      <c r="AM105" s="125">
        <f t="shared" si="81"/>
        <v>54.82233501</v>
      </c>
      <c r="AN105" s="125">
        <f t="shared" si="81"/>
        <v>54.82233502</v>
      </c>
      <c r="AO105" s="125">
        <f t="shared" si="81"/>
        <v>54.82233502</v>
      </c>
      <c r="AP105" s="125">
        <f t="shared" si="81"/>
        <v>54.82233502</v>
      </c>
      <c r="AQ105" s="125">
        <f t="shared" si="81"/>
        <v>54.82233502</v>
      </c>
      <c r="AR105" s="125">
        <f t="shared" si="81"/>
        <v>54.82233502</v>
      </c>
      <c r="AS105" s="125">
        <f t="shared" si="81"/>
        <v>54.82233503</v>
      </c>
      <c r="AT105" s="125">
        <f t="shared" si="81"/>
        <v>54.82233503</v>
      </c>
      <c r="AU105" s="125">
        <f t="shared" si="81"/>
        <v>54.82233503</v>
      </c>
      <c r="AV105" s="125">
        <f t="shared" si="81"/>
        <v>54.82233503</v>
      </c>
      <c r="AW105" s="125">
        <f t="shared" si="81"/>
        <v>54.82233503</v>
      </c>
      <c r="AX105" s="125">
        <f t="shared" si="81"/>
        <v>54.82233503</v>
      </c>
      <c r="AY105" s="125">
        <f t="shared" si="81"/>
        <v>54.82233503</v>
      </c>
      <c r="AZ105" s="125">
        <f t="shared" si="81"/>
        <v>54.82233503</v>
      </c>
      <c r="BA105" s="125">
        <f t="shared" si="81"/>
        <v>54.82233503</v>
      </c>
      <c r="BB105" s="125">
        <f t="shared" si="81"/>
        <v>54.82233503</v>
      </c>
      <c r="BC105" s="125">
        <f t="shared" si="81"/>
        <v>54.82233503</v>
      </c>
      <c r="BD105" s="125">
        <f t="shared" si="81"/>
        <v>54.82233503</v>
      </c>
      <c r="BE105" s="125">
        <f t="shared" si="81"/>
        <v>54.82233503</v>
      </c>
      <c r="BF105" s="125">
        <f t="shared" si="81"/>
        <v>54.82233503</v>
      </c>
      <c r="BG105" s="125">
        <f t="shared" si="81"/>
        <v>54.82233503</v>
      </c>
      <c r="BH105" s="125">
        <f t="shared" si="81"/>
        <v>54.82233503</v>
      </c>
      <c r="BI105" s="125">
        <f t="shared" si="81"/>
        <v>54.82233503</v>
      </c>
      <c r="BJ105" s="125">
        <f t="shared" si="81"/>
        <v>54.82233503</v>
      </c>
      <c r="BK105" s="125">
        <f t="shared" si="81"/>
        <v>54.82233503</v>
      </c>
      <c r="BL105" s="125">
        <f t="shared" si="81"/>
        <v>54.82233503</v>
      </c>
      <c r="BM105" s="125">
        <f t="shared" si="81"/>
        <v>54.82233503</v>
      </c>
      <c r="BN105" s="125">
        <f t="shared" si="81"/>
        <v>54.82233503</v>
      </c>
    </row>
    <row r="106" outlineLevel="1">
      <c r="A106" s="117"/>
      <c r="B106" s="121" t="s">
        <v>65</v>
      </c>
      <c r="C106" s="117"/>
      <c r="D106" s="124"/>
      <c r="E106" s="128"/>
      <c r="F106" s="120"/>
      <c r="G106" s="125">
        <f t="shared" ref="G106:BN106" si="82">G101+G105</f>
        <v>53.1</v>
      </c>
      <c r="H106" s="125">
        <f t="shared" si="82"/>
        <v>81.3465</v>
      </c>
      <c r="I106" s="125">
        <f t="shared" si="82"/>
        <v>95.4951975</v>
      </c>
      <c r="J106" s="125">
        <f t="shared" si="82"/>
        <v>102.569928</v>
      </c>
      <c r="K106" s="125">
        <f t="shared" si="82"/>
        <v>106.1072989</v>
      </c>
      <c r="L106" s="125">
        <f t="shared" si="82"/>
        <v>107.8759845</v>
      </c>
      <c r="M106" s="125">
        <f t="shared" si="82"/>
        <v>108.7603273</v>
      </c>
      <c r="N106" s="125">
        <f t="shared" si="82"/>
        <v>109.2024987</v>
      </c>
      <c r="O106" s="125">
        <f t="shared" si="82"/>
        <v>109.4235844</v>
      </c>
      <c r="P106" s="125">
        <f t="shared" si="82"/>
        <v>109.5341272</v>
      </c>
      <c r="Q106" s="125">
        <f t="shared" si="82"/>
        <v>109.5893986</v>
      </c>
      <c r="R106" s="125">
        <f t="shared" si="82"/>
        <v>109.6170343</v>
      </c>
      <c r="S106" s="125">
        <f t="shared" si="82"/>
        <v>109.6308522</v>
      </c>
      <c r="T106" s="125">
        <f t="shared" si="82"/>
        <v>109.6377611</v>
      </c>
      <c r="U106" s="125">
        <f t="shared" si="82"/>
        <v>109.6412156</v>
      </c>
      <c r="V106" s="125">
        <f t="shared" si="82"/>
        <v>109.6429428</v>
      </c>
      <c r="W106" s="125">
        <f t="shared" si="82"/>
        <v>109.6438064</v>
      </c>
      <c r="X106" s="125">
        <f t="shared" si="82"/>
        <v>109.6442382</v>
      </c>
      <c r="Y106" s="125">
        <f t="shared" si="82"/>
        <v>109.6444541</v>
      </c>
      <c r="Z106" s="125">
        <f t="shared" si="82"/>
        <v>109.6445621</v>
      </c>
      <c r="AA106" s="125">
        <f t="shared" si="82"/>
        <v>109.6446161</v>
      </c>
      <c r="AB106" s="125">
        <f t="shared" si="82"/>
        <v>109.6446431</v>
      </c>
      <c r="AC106" s="125">
        <f t="shared" si="82"/>
        <v>109.6446566</v>
      </c>
      <c r="AD106" s="125">
        <f t="shared" si="82"/>
        <v>109.6446633</v>
      </c>
      <c r="AE106" s="125">
        <f t="shared" si="82"/>
        <v>109.6446667</v>
      </c>
      <c r="AF106" s="125">
        <f t="shared" si="82"/>
        <v>109.6446684</v>
      </c>
      <c r="AG106" s="125">
        <f t="shared" si="82"/>
        <v>109.6446692</v>
      </c>
      <c r="AH106" s="125">
        <f t="shared" si="82"/>
        <v>109.6446696</v>
      </c>
      <c r="AI106" s="125">
        <f t="shared" si="82"/>
        <v>109.6446698</v>
      </c>
      <c r="AJ106" s="125">
        <f t="shared" si="82"/>
        <v>109.6446699</v>
      </c>
      <c r="AK106" s="125">
        <f t="shared" si="82"/>
        <v>109.64467</v>
      </c>
      <c r="AL106" s="125">
        <f t="shared" si="82"/>
        <v>109.64467</v>
      </c>
      <c r="AM106" s="125">
        <f t="shared" si="82"/>
        <v>109.64467</v>
      </c>
      <c r="AN106" s="125">
        <f t="shared" si="82"/>
        <v>109.64467</v>
      </c>
      <c r="AO106" s="125">
        <f t="shared" si="82"/>
        <v>109.64467</v>
      </c>
      <c r="AP106" s="125">
        <f t="shared" si="82"/>
        <v>109.64467</v>
      </c>
      <c r="AQ106" s="125">
        <f t="shared" si="82"/>
        <v>109.64467</v>
      </c>
      <c r="AR106" s="125">
        <f t="shared" si="82"/>
        <v>109.6446701</v>
      </c>
      <c r="AS106" s="125">
        <f t="shared" si="82"/>
        <v>109.6446701</v>
      </c>
      <c r="AT106" s="125">
        <f t="shared" si="82"/>
        <v>109.6446701</v>
      </c>
      <c r="AU106" s="125">
        <f t="shared" si="82"/>
        <v>109.6446701</v>
      </c>
      <c r="AV106" s="125">
        <f t="shared" si="82"/>
        <v>109.6446701</v>
      </c>
      <c r="AW106" s="125">
        <f t="shared" si="82"/>
        <v>109.6446701</v>
      </c>
      <c r="AX106" s="125">
        <f t="shared" si="82"/>
        <v>109.6446701</v>
      </c>
      <c r="AY106" s="125">
        <f t="shared" si="82"/>
        <v>109.6446701</v>
      </c>
      <c r="AZ106" s="125">
        <f t="shared" si="82"/>
        <v>109.6446701</v>
      </c>
      <c r="BA106" s="125">
        <f t="shared" si="82"/>
        <v>109.6446701</v>
      </c>
      <c r="BB106" s="125">
        <f t="shared" si="82"/>
        <v>109.6446701</v>
      </c>
      <c r="BC106" s="125">
        <f t="shared" si="82"/>
        <v>109.6446701</v>
      </c>
      <c r="BD106" s="125">
        <f t="shared" si="82"/>
        <v>109.6446701</v>
      </c>
      <c r="BE106" s="125">
        <f t="shared" si="82"/>
        <v>109.6446701</v>
      </c>
      <c r="BF106" s="125">
        <f t="shared" si="82"/>
        <v>109.6446701</v>
      </c>
      <c r="BG106" s="125">
        <f t="shared" si="82"/>
        <v>109.6446701</v>
      </c>
      <c r="BH106" s="125">
        <f t="shared" si="82"/>
        <v>109.6446701</v>
      </c>
      <c r="BI106" s="125">
        <f t="shared" si="82"/>
        <v>109.6446701</v>
      </c>
      <c r="BJ106" s="125">
        <f t="shared" si="82"/>
        <v>109.6446701</v>
      </c>
      <c r="BK106" s="125">
        <f t="shared" si="82"/>
        <v>109.6446701</v>
      </c>
      <c r="BL106" s="125">
        <f t="shared" si="82"/>
        <v>109.6446701</v>
      </c>
      <c r="BM106" s="125">
        <f t="shared" si="82"/>
        <v>109.6446701</v>
      </c>
      <c r="BN106" s="125">
        <f t="shared" si="82"/>
        <v>109.6446701</v>
      </c>
    </row>
    <row r="107" outlineLevel="1">
      <c r="A107" s="117"/>
      <c r="B107" s="129" t="s">
        <v>66</v>
      </c>
      <c r="C107" s="130"/>
      <c r="D107" s="131">
        <v>10.0</v>
      </c>
      <c r="E107" s="132"/>
      <c r="F107" s="133"/>
      <c r="G107" s="134">
        <f>D107</f>
        <v>10</v>
      </c>
      <c r="H107" s="134">
        <f t="shared" ref="H107:BN107" si="83">G107</f>
        <v>10</v>
      </c>
      <c r="I107" s="134">
        <f t="shared" si="83"/>
        <v>10</v>
      </c>
      <c r="J107" s="134">
        <f t="shared" si="83"/>
        <v>10</v>
      </c>
      <c r="K107" s="134">
        <f t="shared" si="83"/>
        <v>10</v>
      </c>
      <c r="L107" s="134">
        <f t="shared" si="83"/>
        <v>10</v>
      </c>
      <c r="M107" s="134">
        <f t="shared" si="83"/>
        <v>10</v>
      </c>
      <c r="N107" s="134">
        <f t="shared" si="83"/>
        <v>10</v>
      </c>
      <c r="O107" s="134">
        <f t="shared" si="83"/>
        <v>10</v>
      </c>
      <c r="P107" s="134">
        <f t="shared" si="83"/>
        <v>10</v>
      </c>
      <c r="Q107" s="134">
        <f t="shared" si="83"/>
        <v>10</v>
      </c>
      <c r="R107" s="134">
        <f t="shared" si="83"/>
        <v>10</v>
      </c>
      <c r="S107" s="134">
        <f t="shared" si="83"/>
        <v>10</v>
      </c>
      <c r="T107" s="134">
        <f t="shared" si="83"/>
        <v>10</v>
      </c>
      <c r="U107" s="134">
        <f t="shared" si="83"/>
        <v>10</v>
      </c>
      <c r="V107" s="134">
        <f t="shared" si="83"/>
        <v>10</v>
      </c>
      <c r="W107" s="134">
        <f t="shared" si="83"/>
        <v>10</v>
      </c>
      <c r="X107" s="134">
        <f t="shared" si="83"/>
        <v>10</v>
      </c>
      <c r="Y107" s="134">
        <f t="shared" si="83"/>
        <v>10</v>
      </c>
      <c r="Z107" s="134">
        <f t="shared" si="83"/>
        <v>10</v>
      </c>
      <c r="AA107" s="134">
        <f t="shared" si="83"/>
        <v>10</v>
      </c>
      <c r="AB107" s="134">
        <f t="shared" si="83"/>
        <v>10</v>
      </c>
      <c r="AC107" s="134">
        <f t="shared" si="83"/>
        <v>10</v>
      </c>
      <c r="AD107" s="134">
        <f t="shared" si="83"/>
        <v>10</v>
      </c>
      <c r="AE107" s="134">
        <f t="shared" si="83"/>
        <v>10</v>
      </c>
      <c r="AF107" s="134">
        <f t="shared" si="83"/>
        <v>10</v>
      </c>
      <c r="AG107" s="134">
        <f t="shared" si="83"/>
        <v>10</v>
      </c>
      <c r="AH107" s="134">
        <f t="shared" si="83"/>
        <v>10</v>
      </c>
      <c r="AI107" s="134">
        <f t="shared" si="83"/>
        <v>10</v>
      </c>
      <c r="AJ107" s="134">
        <f t="shared" si="83"/>
        <v>10</v>
      </c>
      <c r="AK107" s="134">
        <f t="shared" si="83"/>
        <v>10</v>
      </c>
      <c r="AL107" s="134">
        <f t="shared" si="83"/>
        <v>10</v>
      </c>
      <c r="AM107" s="134">
        <f t="shared" si="83"/>
        <v>10</v>
      </c>
      <c r="AN107" s="134">
        <f t="shared" si="83"/>
        <v>10</v>
      </c>
      <c r="AO107" s="134">
        <f t="shared" si="83"/>
        <v>10</v>
      </c>
      <c r="AP107" s="134">
        <f t="shared" si="83"/>
        <v>10</v>
      </c>
      <c r="AQ107" s="134">
        <f t="shared" si="83"/>
        <v>10</v>
      </c>
      <c r="AR107" s="134">
        <f t="shared" si="83"/>
        <v>10</v>
      </c>
      <c r="AS107" s="134">
        <f t="shared" si="83"/>
        <v>10</v>
      </c>
      <c r="AT107" s="134">
        <f t="shared" si="83"/>
        <v>10</v>
      </c>
      <c r="AU107" s="134">
        <f t="shared" si="83"/>
        <v>10</v>
      </c>
      <c r="AV107" s="134">
        <f t="shared" si="83"/>
        <v>10</v>
      </c>
      <c r="AW107" s="134">
        <f t="shared" si="83"/>
        <v>10</v>
      </c>
      <c r="AX107" s="134">
        <f t="shared" si="83"/>
        <v>10</v>
      </c>
      <c r="AY107" s="134">
        <f t="shared" si="83"/>
        <v>10</v>
      </c>
      <c r="AZ107" s="134">
        <f t="shared" si="83"/>
        <v>10</v>
      </c>
      <c r="BA107" s="134">
        <f t="shared" si="83"/>
        <v>10</v>
      </c>
      <c r="BB107" s="134">
        <f t="shared" si="83"/>
        <v>10</v>
      </c>
      <c r="BC107" s="134">
        <f t="shared" si="83"/>
        <v>10</v>
      </c>
      <c r="BD107" s="134">
        <f t="shared" si="83"/>
        <v>10</v>
      </c>
      <c r="BE107" s="134">
        <f t="shared" si="83"/>
        <v>10</v>
      </c>
      <c r="BF107" s="134">
        <f t="shared" si="83"/>
        <v>10</v>
      </c>
      <c r="BG107" s="134">
        <f t="shared" si="83"/>
        <v>10</v>
      </c>
      <c r="BH107" s="134">
        <f t="shared" si="83"/>
        <v>10</v>
      </c>
      <c r="BI107" s="134">
        <f t="shared" si="83"/>
        <v>10</v>
      </c>
      <c r="BJ107" s="134">
        <f t="shared" si="83"/>
        <v>10</v>
      </c>
      <c r="BK107" s="134">
        <f t="shared" si="83"/>
        <v>10</v>
      </c>
      <c r="BL107" s="134">
        <f t="shared" si="83"/>
        <v>10</v>
      </c>
      <c r="BM107" s="134">
        <f t="shared" si="83"/>
        <v>10</v>
      </c>
      <c r="BN107" s="134">
        <f t="shared" si="83"/>
        <v>10</v>
      </c>
    </row>
    <row r="108" outlineLevel="1">
      <c r="A108" s="117"/>
      <c r="B108" s="135" t="s">
        <v>58</v>
      </c>
      <c r="C108" s="117"/>
      <c r="D108" s="136"/>
      <c r="E108" s="136"/>
      <c r="F108" s="136"/>
      <c r="G108" s="137">
        <f t="shared" ref="G108:BN108" si="84">G106*G107</f>
        <v>531</v>
      </c>
      <c r="H108" s="138">
        <f t="shared" si="84"/>
        <v>813.465</v>
      </c>
      <c r="I108" s="138">
        <f t="shared" si="84"/>
        <v>954.951975</v>
      </c>
      <c r="J108" s="138">
        <f t="shared" si="84"/>
        <v>1025.69928</v>
      </c>
      <c r="K108" s="138">
        <f t="shared" si="84"/>
        <v>1061.072989</v>
      </c>
      <c r="L108" s="138">
        <f t="shared" si="84"/>
        <v>1078.759845</v>
      </c>
      <c r="M108" s="138">
        <f t="shared" si="84"/>
        <v>1087.603273</v>
      </c>
      <c r="N108" s="138">
        <f t="shared" si="84"/>
        <v>1092.024987</v>
      </c>
      <c r="O108" s="138">
        <f t="shared" si="84"/>
        <v>1094.235844</v>
      </c>
      <c r="P108" s="138">
        <f t="shared" si="84"/>
        <v>1095.341272</v>
      </c>
      <c r="Q108" s="138">
        <f t="shared" si="84"/>
        <v>1095.893986</v>
      </c>
      <c r="R108" s="138">
        <f t="shared" si="84"/>
        <v>1096.170343</v>
      </c>
      <c r="S108" s="138">
        <f t="shared" si="84"/>
        <v>1096.308522</v>
      </c>
      <c r="T108" s="138">
        <f t="shared" si="84"/>
        <v>1096.377611</v>
      </c>
      <c r="U108" s="138">
        <f t="shared" si="84"/>
        <v>1096.412156</v>
      </c>
      <c r="V108" s="138">
        <f t="shared" si="84"/>
        <v>1096.429428</v>
      </c>
      <c r="W108" s="138">
        <f t="shared" si="84"/>
        <v>1096.438064</v>
      </c>
      <c r="X108" s="138">
        <f t="shared" si="84"/>
        <v>1096.442382</v>
      </c>
      <c r="Y108" s="138">
        <f t="shared" si="84"/>
        <v>1096.444541</v>
      </c>
      <c r="Z108" s="138">
        <f t="shared" si="84"/>
        <v>1096.445621</v>
      </c>
      <c r="AA108" s="138">
        <f t="shared" si="84"/>
        <v>1096.446161</v>
      </c>
      <c r="AB108" s="138">
        <f t="shared" si="84"/>
        <v>1096.446431</v>
      </c>
      <c r="AC108" s="138">
        <f t="shared" si="84"/>
        <v>1096.446566</v>
      </c>
      <c r="AD108" s="138">
        <f t="shared" si="84"/>
        <v>1096.446633</v>
      </c>
      <c r="AE108" s="138">
        <f t="shared" si="84"/>
        <v>1096.446667</v>
      </c>
      <c r="AF108" s="138">
        <f t="shared" si="84"/>
        <v>1096.446684</v>
      </c>
      <c r="AG108" s="138">
        <f t="shared" si="84"/>
        <v>1096.446692</v>
      </c>
      <c r="AH108" s="138">
        <f t="shared" si="84"/>
        <v>1096.446696</v>
      </c>
      <c r="AI108" s="138">
        <f t="shared" si="84"/>
        <v>1096.446698</v>
      </c>
      <c r="AJ108" s="138">
        <f t="shared" si="84"/>
        <v>1096.446699</v>
      </c>
      <c r="AK108" s="138">
        <f t="shared" si="84"/>
        <v>1096.4467</v>
      </c>
      <c r="AL108" s="138">
        <f t="shared" si="84"/>
        <v>1096.4467</v>
      </c>
      <c r="AM108" s="138">
        <f t="shared" si="84"/>
        <v>1096.4467</v>
      </c>
      <c r="AN108" s="138">
        <f t="shared" si="84"/>
        <v>1096.4467</v>
      </c>
      <c r="AO108" s="138">
        <f t="shared" si="84"/>
        <v>1096.4467</v>
      </c>
      <c r="AP108" s="138">
        <f t="shared" si="84"/>
        <v>1096.4467</v>
      </c>
      <c r="AQ108" s="138">
        <f t="shared" si="84"/>
        <v>1096.4467</v>
      </c>
      <c r="AR108" s="138">
        <f t="shared" si="84"/>
        <v>1096.446701</v>
      </c>
      <c r="AS108" s="138">
        <f t="shared" si="84"/>
        <v>1096.446701</v>
      </c>
      <c r="AT108" s="138">
        <f t="shared" si="84"/>
        <v>1096.446701</v>
      </c>
      <c r="AU108" s="138">
        <f t="shared" si="84"/>
        <v>1096.446701</v>
      </c>
      <c r="AV108" s="138">
        <f t="shared" si="84"/>
        <v>1096.446701</v>
      </c>
      <c r="AW108" s="138">
        <f t="shared" si="84"/>
        <v>1096.446701</v>
      </c>
      <c r="AX108" s="138">
        <f t="shared" si="84"/>
        <v>1096.446701</v>
      </c>
      <c r="AY108" s="138">
        <f t="shared" si="84"/>
        <v>1096.446701</v>
      </c>
      <c r="AZ108" s="138">
        <f t="shared" si="84"/>
        <v>1096.446701</v>
      </c>
      <c r="BA108" s="138">
        <f t="shared" si="84"/>
        <v>1096.446701</v>
      </c>
      <c r="BB108" s="138">
        <f t="shared" si="84"/>
        <v>1096.446701</v>
      </c>
      <c r="BC108" s="138">
        <f t="shared" si="84"/>
        <v>1096.446701</v>
      </c>
      <c r="BD108" s="138">
        <f t="shared" si="84"/>
        <v>1096.446701</v>
      </c>
      <c r="BE108" s="138">
        <f t="shared" si="84"/>
        <v>1096.446701</v>
      </c>
      <c r="BF108" s="138">
        <f t="shared" si="84"/>
        <v>1096.446701</v>
      </c>
      <c r="BG108" s="138">
        <f t="shared" si="84"/>
        <v>1096.446701</v>
      </c>
      <c r="BH108" s="138">
        <f t="shared" si="84"/>
        <v>1096.446701</v>
      </c>
      <c r="BI108" s="138">
        <f t="shared" si="84"/>
        <v>1096.446701</v>
      </c>
      <c r="BJ108" s="138">
        <f t="shared" si="84"/>
        <v>1096.446701</v>
      </c>
      <c r="BK108" s="138">
        <f t="shared" si="84"/>
        <v>1096.446701</v>
      </c>
      <c r="BL108" s="138">
        <f t="shared" si="84"/>
        <v>1096.446701</v>
      </c>
      <c r="BM108" s="138">
        <f t="shared" si="84"/>
        <v>1096.446701</v>
      </c>
      <c r="BN108" s="138">
        <f t="shared" si="84"/>
        <v>1096.446701</v>
      </c>
    </row>
    <row r="109" outlineLevel="1">
      <c r="A109" s="80"/>
      <c r="B109" s="114"/>
      <c r="C109" s="80"/>
      <c r="D109" s="86"/>
      <c r="E109" s="86"/>
      <c r="F109" s="115"/>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16"/>
      <c r="BI109" s="116"/>
      <c r="BJ109" s="116"/>
      <c r="BK109" s="116"/>
      <c r="BL109" s="116"/>
      <c r="BM109" s="116"/>
      <c r="BN109" s="116"/>
    </row>
    <row r="110" outlineLevel="1">
      <c r="A110" s="80"/>
      <c r="B110" s="139" t="s">
        <v>67</v>
      </c>
      <c r="C110" s="80"/>
      <c r="D110" s="86"/>
      <c r="E110" s="86"/>
      <c r="F110" s="115"/>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c r="BC110" s="116"/>
      <c r="BD110" s="116"/>
      <c r="BE110" s="116"/>
      <c r="BF110" s="116"/>
      <c r="BG110" s="116"/>
      <c r="BH110" s="116"/>
      <c r="BI110" s="116"/>
      <c r="BJ110" s="116"/>
      <c r="BK110" s="116"/>
      <c r="BL110" s="116"/>
      <c r="BM110" s="116"/>
      <c r="BN110" s="116"/>
    </row>
    <row r="111" outlineLevel="1">
      <c r="A111" s="47"/>
      <c r="B111" s="140"/>
      <c r="C111" s="47"/>
      <c r="D111" s="47"/>
      <c r="E111" s="47"/>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row>
    <row r="112">
      <c r="A112" s="47"/>
      <c r="B112" s="140"/>
      <c r="C112" s="47"/>
      <c r="D112" s="47"/>
      <c r="E112" s="47"/>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row>
    <row r="113">
      <c r="A113" s="47"/>
      <c r="B113" s="48" t="s">
        <v>68</v>
      </c>
      <c r="C113" s="49"/>
      <c r="D113" s="49"/>
      <c r="E113" s="49"/>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row>
    <row r="114" outlineLevel="1">
      <c r="A114" s="47"/>
      <c r="B114" s="47"/>
      <c r="C114" s="47"/>
      <c r="D114" s="47"/>
      <c r="E114" s="47"/>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row>
    <row r="115" outlineLevel="1">
      <c r="A115" s="47"/>
      <c r="B115" s="141" t="s">
        <v>69</v>
      </c>
      <c r="C115" s="142" t="s">
        <v>70</v>
      </c>
      <c r="D115" s="142" t="s">
        <v>71</v>
      </c>
      <c r="E115" s="142" t="s">
        <v>72</v>
      </c>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row>
    <row r="116" outlineLevel="1">
      <c r="A116" s="47"/>
      <c r="B116" s="143" t="s">
        <v>73</v>
      </c>
      <c r="C116" s="144">
        <v>100000.0</v>
      </c>
      <c r="D116" s="145">
        <v>0.2</v>
      </c>
      <c r="E116" s="146">
        <v>43831.0</v>
      </c>
      <c r="F116" s="109"/>
      <c r="G116" s="109">
        <f t="shared" ref="G116:BN116" si="85">IF(G$4&gt;=$E116,($C116/12)*(1+$D116),0)</f>
        <v>10000</v>
      </c>
      <c r="H116" s="109">
        <f t="shared" si="85"/>
        <v>10000</v>
      </c>
      <c r="I116" s="109">
        <f t="shared" si="85"/>
        <v>10000</v>
      </c>
      <c r="J116" s="109">
        <f t="shared" si="85"/>
        <v>10000</v>
      </c>
      <c r="K116" s="109">
        <f t="shared" si="85"/>
        <v>10000</v>
      </c>
      <c r="L116" s="109">
        <f t="shared" si="85"/>
        <v>10000</v>
      </c>
      <c r="M116" s="109">
        <f t="shared" si="85"/>
        <v>10000</v>
      </c>
      <c r="N116" s="109">
        <f t="shared" si="85"/>
        <v>10000</v>
      </c>
      <c r="O116" s="109">
        <f t="shared" si="85"/>
        <v>10000</v>
      </c>
      <c r="P116" s="109">
        <f t="shared" si="85"/>
        <v>10000</v>
      </c>
      <c r="Q116" s="109">
        <f t="shared" si="85"/>
        <v>10000</v>
      </c>
      <c r="R116" s="109">
        <f t="shared" si="85"/>
        <v>10000</v>
      </c>
      <c r="S116" s="109">
        <f t="shared" si="85"/>
        <v>10000</v>
      </c>
      <c r="T116" s="109">
        <f t="shared" si="85"/>
        <v>10000</v>
      </c>
      <c r="U116" s="109">
        <f t="shared" si="85"/>
        <v>10000</v>
      </c>
      <c r="V116" s="109">
        <f t="shared" si="85"/>
        <v>10000</v>
      </c>
      <c r="W116" s="109">
        <f t="shared" si="85"/>
        <v>10000</v>
      </c>
      <c r="X116" s="109">
        <f t="shared" si="85"/>
        <v>10000</v>
      </c>
      <c r="Y116" s="109">
        <f t="shared" si="85"/>
        <v>10000</v>
      </c>
      <c r="Z116" s="109">
        <f t="shared" si="85"/>
        <v>10000</v>
      </c>
      <c r="AA116" s="109">
        <f t="shared" si="85"/>
        <v>10000</v>
      </c>
      <c r="AB116" s="109">
        <f t="shared" si="85"/>
        <v>10000</v>
      </c>
      <c r="AC116" s="109">
        <f t="shared" si="85"/>
        <v>10000</v>
      </c>
      <c r="AD116" s="109">
        <f t="shared" si="85"/>
        <v>10000</v>
      </c>
      <c r="AE116" s="109">
        <f t="shared" si="85"/>
        <v>10000</v>
      </c>
      <c r="AF116" s="109">
        <f t="shared" si="85"/>
        <v>10000</v>
      </c>
      <c r="AG116" s="109">
        <f t="shared" si="85"/>
        <v>10000</v>
      </c>
      <c r="AH116" s="109">
        <f t="shared" si="85"/>
        <v>10000</v>
      </c>
      <c r="AI116" s="109">
        <f t="shared" si="85"/>
        <v>10000</v>
      </c>
      <c r="AJ116" s="109">
        <f t="shared" si="85"/>
        <v>10000</v>
      </c>
      <c r="AK116" s="109">
        <f t="shared" si="85"/>
        <v>10000</v>
      </c>
      <c r="AL116" s="109">
        <f t="shared" si="85"/>
        <v>10000</v>
      </c>
      <c r="AM116" s="109">
        <f t="shared" si="85"/>
        <v>10000</v>
      </c>
      <c r="AN116" s="109">
        <f t="shared" si="85"/>
        <v>10000</v>
      </c>
      <c r="AO116" s="109">
        <f t="shared" si="85"/>
        <v>10000</v>
      </c>
      <c r="AP116" s="109">
        <f t="shared" si="85"/>
        <v>10000</v>
      </c>
      <c r="AQ116" s="109">
        <f t="shared" si="85"/>
        <v>10000</v>
      </c>
      <c r="AR116" s="109">
        <f t="shared" si="85"/>
        <v>10000</v>
      </c>
      <c r="AS116" s="109">
        <f t="shared" si="85"/>
        <v>10000</v>
      </c>
      <c r="AT116" s="109">
        <f t="shared" si="85"/>
        <v>10000</v>
      </c>
      <c r="AU116" s="109">
        <f t="shared" si="85"/>
        <v>10000</v>
      </c>
      <c r="AV116" s="109">
        <f t="shared" si="85"/>
        <v>10000</v>
      </c>
      <c r="AW116" s="109">
        <f t="shared" si="85"/>
        <v>10000</v>
      </c>
      <c r="AX116" s="109">
        <f t="shared" si="85"/>
        <v>10000</v>
      </c>
      <c r="AY116" s="109">
        <f t="shared" si="85"/>
        <v>10000</v>
      </c>
      <c r="AZ116" s="109">
        <f t="shared" si="85"/>
        <v>10000</v>
      </c>
      <c r="BA116" s="109">
        <f t="shared" si="85"/>
        <v>10000</v>
      </c>
      <c r="BB116" s="109">
        <f t="shared" si="85"/>
        <v>10000</v>
      </c>
      <c r="BC116" s="109">
        <f t="shared" si="85"/>
        <v>10000</v>
      </c>
      <c r="BD116" s="109">
        <f t="shared" si="85"/>
        <v>10000</v>
      </c>
      <c r="BE116" s="109">
        <f t="shared" si="85"/>
        <v>10000</v>
      </c>
      <c r="BF116" s="109">
        <f t="shared" si="85"/>
        <v>10000</v>
      </c>
      <c r="BG116" s="109">
        <f t="shared" si="85"/>
        <v>10000</v>
      </c>
      <c r="BH116" s="109">
        <f t="shared" si="85"/>
        <v>10000</v>
      </c>
      <c r="BI116" s="109">
        <f t="shared" si="85"/>
        <v>10000</v>
      </c>
      <c r="BJ116" s="109">
        <f t="shared" si="85"/>
        <v>10000</v>
      </c>
      <c r="BK116" s="109">
        <f t="shared" si="85"/>
        <v>10000</v>
      </c>
      <c r="BL116" s="109">
        <f t="shared" si="85"/>
        <v>10000</v>
      </c>
      <c r="BM116" s="109">
        <f t="shared" si="85"/>
        <v>10000</v>
      </c>
      <c r="BN116" s="109">
        <f t="shared" si="85"/>
        <v>10000</v>
      </c>
    </row>
    <row r="117" outlineLevel="1">
      <c r="A117" s="47"/>
      <c r="B117" s="143" t="s">
        <v>74</v>
      </c>
      <c r="C117" s="144">
        <v>100000.0</v>
      </c>
      <c r="D117" s="145">
        <v>0.2</v>
      </c>
      <c r="E117" s="146">
        <v>43831.0</v>
      </c>
      <c r="F117" s="109"/>
      <c r="G117" s="109">
        <f t="shared" ref="G117:BN117" si="86">IF(G$4&gt;=$E117,($C117/12)*(1+$D117),0)</f>
        <v>10000</v>
      </c>
      <c r="H117" s="109">
        <f t="shared" si="86"/>
        <v>10000</v>
      </c>
      <c r="I117" s="109">
        <f t="shared" si="86"/>
        <v>10000</v>
      </c>
      <c r="J117" s="109">
        <f t="shared" si="86"/>
        <v>10000</v>
      </c>
      <c r="K117" s="109">
        <f t="shared" si="86"/>
        <v>10000</v>
      </c>
      <c r="L117" s="109">
        <f t="shared" si="86"/>
        <v>10000</v>
      </c>
      <c r="M117" s="109">
        <f t="shared" si="86"/>
        <v>10000</v>
      </c>
      <c r="N117" s="109">
        <f t="shared" si="86"/>
        <v>10000</v>
      </c>
      <c r="O117" s="109">
        <f t="shared" si="86"/>
        <v>10000</v>
      </c>
      <c r="P117" s="109">
        <f t="shared" si="86"/>
        <v>10000</v>
      </c>
      <c r="Q117" s="109">
        <f t="shared" si="86"/>
        <v>10000</v>
      </c>
      <c r="R117" s="109">
        <f t="shared" si="86"/>
        <v>10000</v>
      </c>
      <c r="S117" s="109">
        <f t="shared" si="86"/>
        <v>10000</v>
      </c>
      <c r="T117" s="109">
        <f t="shared" si="86"/>
        <v>10000</v>
      </c>
      <c r="U117" s="109">
        <f t="shared" si="86"/>
        <v>10000</v>
      </c>
      <c r="V117" s="109">
        <f t="shared" si="86"/>
        <v>10000</v>
      </c>
      <c r="W117" s="109">
        <f t="shared" si="86"/>
        <v>10000</v>
      </c>
      <c r="X117" s="109">
        <f t="shared" si="86"/>
        <v>10000</v>
      </c>
      <c r="Y117" s="109">
        <f t="shared" si="86"/>
        <v>10000</v>
      </c>
      <c r="Z117" s="109">
        <f t="shared" si="86"/>
        <v>10000</v>
      </c>
      <c r="AA117" s="109">
        <f t="shared" si="86"/>
        <v>10000</v>
      </c>
      <c r="AB117" s="109">
        <f t="shared" si="86"/>
        <v>10000</v>
      </c>
      <c r="AC117" s="109">
        <f t="shared" si="86"/>
        <v>10000</v>
      </c>
      <c r="AD117" s="109">
        <f t="shared" si="86"/>
        <v>10000</v>
      </c>
      <c r="AE117" s="109">
        <f t="shared" si="86"/>
        <v>10000</v>
      </c>
      <c r="AF117" s="109">
        <f t="shared" si="86"/>
        <v>10000</v>
      </c>
      <c r="AG117" s="109">
        <f t="shared" si="86"/>
        <v>10000</v>
      </c>
      <c r="AH117" s="109">
        <f t="shared" si="86"/>
        <v>10000</v>
      </c>
      <c r="AI117" s="109">
        <f t="shared" si="86"/>
        <v>10000</v>
      </c>
      <c r="AJ117" s="109">
        <f t="shared" si="86"/>
        <v>10000</v>
      </c>
      <c r="AK117" s="109">
        <f t="shared" si="86"/>
        <v>10000</v>
      </c>
      <c r="AL117" s="109">
        <f t="shared" si="86"/>
        <v>10000</v>
      </c>
      <c r="AM117" s="109">
        <f t="shared" si="86"/>
        <v>10000</v>
      </c>
      <c r="AN117" s="109">
        <f t="shared" si="86"/>
        <v>10000</v>
      </c>
      <c r="AO117" s="109">
        <f t="shared" si="86"/>
        <v>10000</v>
      </c>
      <c r="AP117" s="109">
        <f t="shared" si="86"/>
        <v>10000</v>
      </c>
      <c r="AQ117" s="109">
        <f t="shared" si="86"/>
        <v>10000</v>
      </c>
      <c r="AR117" s="109">
        <f t="shared" si="86"/>
        <v>10000</v>
      </c>
      <c r="AS117" s="109">
        <f t="shared" si="86"/>
        <v>10000</v>
      </c>
      <c r="AT117" s="109">
        <f t="shared" si="86"/>
        <v>10000</v>
      </c>
      <c r="AU117" s="109">
        <f t="shared" si="86"/>
        <v>10000</v>
      </c>
      <c r="AV117" s="109">
        <f t="shared" si="86"/>
        <v>10000</v>
      </c>
      <c r="AW117" s="109">
        <f t="shared" si="86"/>
        <v>10000</v>
      </c>
      <c r="AX117" s="109">
        <f t="shared" si="86"/>
        <v>10000</v>
      </c>
      <c r="AY117" s="109">
        <f t="shared" si="86"/>
        <v>10000</v>
      </c>
      <c r="AZ117" s="109">
        <f t="shared" si="86"/>
        <v>10000</v>
      </c>
      <c r="BA117" s="109">
        <f t="shared" si="86"/>
        <v>10000</v>
      </c>
      <c r="BB117" s="109">
        <f t="shared" si="86"/>
        <v>10000</v>
      </c>
      <c r="BC117" s="109">
        <f t="shared" si="86"/>
        <v>10000</v>
      </c>
      <c r="BD117" s="109">
        <f t="shared" si="86"/>
        <v>10000</v>
      </c>
      <c r="BE117" s="109">
        <f t="shared" si="86"/>
        <v>10000</v>
      </c>
      <c r="BF117" s="109">
        <f t="shared" si="86"/>
        <v>10000</v>
      </c>
      <c r="BG117" s="109">
        <f t="shared" si="86"/>
        <v>10000</v>
      </c>
      <c r="BH117" s="109">
        <f t="shared" si="86"/>
        <v>10000</v>
      </c>
      <c r="BI117" s="109">
        <f t="shared" si="86"/>
        <v>10000</v>
      </c>
      <c r="BJ117" s="109">
        <f t="shared" si="86"/>
        <v>10000</v>
      </c>
      <c r="BK117" s="109">
        <f t="shared" si="86"/>
        <v>10000</v>
      </c>
      <c r="BL117" s="109">
        <f t="shared" si="86"/>
        <v>10000</v>
      </c>
      <c r="BM117" s="109">
        <f t="shared" si="86"/>
        <v>10000</v>
      </c>
      <c r="BN117" s="109">
        <f t="shared" si="86"/>
        <v>10000</v>
      </c>
    </row>
    <row r="118" outlineLevel="1">
      <c r="A118" s="47"/>
      <c r="B118" s="143" t="s">
        <v>75</v>
      </c>
      <c r="C118" s="144">
        <v>100000.0</v>
      </c>
      <c r="D118" s="145">
        <v>0.2</v>
      </c>
      <c r="E118" s="146">
        <v>44075.0</v>
      </c>
      <c r="F118" s="109"/>
      <c r="G118" s="109">
        <f t="shared" ref="G118:BN118" si="87">IF(G$4&gt;=$E118,($C118/12)*(1+$D118),0)</f>
        <v>10000</v>
      </c>
      <c r="H118" s="109">
        <f t="shared" si="87"/>
        <v>10000</v>
      </c>
      <c r="I118" s="109">
        <f t="shared" si="87"/>
        <v>10000</v>
      </c>
      <c r="J118" s="109">
        <f t="shared" si="87"/>
        <v>10000</v>
      </c>
      <c r="K118" s="109">
        <f t="shared" si="87"/>
        <v>10000</v>
      </c>
      <c r="L118" s="109">
        <f t="shared" si="87"/>
        <v>10000</v>
      </c>
      <c r="M118" s="109">
        <f t="shared" si="87"/>
        <v>10000</v>
      </c>
      <c r="N118" s="109">
        <f t="shared" si="87"/>
        <v>10000</v>
      </c>
      <c r="O118" s="109">
        <f t="shared" si="87"/>
        <v>10000</v>
      </c>
      <c r="P118" s="109">
        <f t="shared" si="87"/>
        <v>10000</v>
      </c>
      <c r="Q118" s="109">
        <f t="shared" si="87"/>
        <v>10000</v>
      </c>
      <c r="R118" s="109">
        <f t="shared" si="87"/>
        <v>10000</v>
      </c>
      <c r="S118" s="109">
        <f t="shared" si="87"/>
        <v>10000</v>
      </c>
      <c r="T118" s="109">
        <f t="shared" si="87"/>
        <v>10000</v>
      </c>
      <c r="U118" s="109">
        <f t="shared" si="87"/>
        <v>10000</v>
      </c>
      <c r="V118" s="109">
        <f t="shared" si="87"/>
        <v>10000</v>
      </c>
      <c r="W118" s="109">
        <f t="shared" si="87"/>
        <v>10000</v>
      </c>
      <c r="X118" s="109">
        <f t="shared" si="87"/>
        <v>10000</v>
      </c>
      <c r="Y118" s="109">
        <f t="shared" si="87"/>
        <v>10000</v>
      </c>
      <c r="Z118" s="109">
        <f t="shared" si="87"/>
        <v>10000</v>
      </c>
      <c r="AA118" s="109">
        <f t="shared" si="87"/>
        <v>10000</v>
      </c>
      <c r="AB118" s="109">
        <f t="shared" si="87"/>
        <v>10000</v>
      </c>
      <c r="AC118" s="109">
        <f t="shared" si="87"/>
        <v>10000</v>
      </c>
      <c r="AD118" s="109">
        <f t="shared" si="87"/>
        <v>10000</v>
      </c>
      <c r="AE118" s="109">
        <f t="shared" si="87"/>
        <v>10000</v>
      </c>
      <c r="AF118" s="109">
        <f t="shared" si="87"/>
        <v>10000</v>
      </c>
      <c r="AG118" s="109">
        <f t="shared" si="87"/>
        <v>10000</v>
      </c>
      <c r="AH118" s="109">
        <f t="shared" si="87"/>
        <v>10000</v>
      </c>
      <c r="AI118" s="109">
        <f t="shared" si="87"/>
        <v>10000</v>
      </c>
      <c r="AJ118" s="109">
        <f t="shared" si="87"/>
        <v>10000</v>
      </c>
      <c r="AK118" s="109">
        <f t="shared" si="87"/>
        <v>10000</v>
      </c>
      <c r="AL118" s="109">
        <f t="shared" si="87"/>
        <v>10000</v>
      </c>
      <c r="AM118" s="109">
        <f t="shared" si="87"/>
        <v>10000</v>
      </c>
      <c r="AN118" s="109">
        <f t="shared" si="87"/>
        <v>10000</v>
      </c>
      <c r="AO118" s="109">
        <f t="shared" si="87"/>
        <v>10000</v>
      </c>
      <c r="AP118" s="109">
        <f t="shared" si="87"/>
        <v>10000</v>
      </c>
      <c r="AQ118" s="109">
        <f t="shared" si="87"/>
        <v>10000</v>
      </c>
      <c r="AR118" s="109">
        <f t="shared" si="87"/>
        <v>10000</v>
      </c>
      <c r="AS118" s="109">
        <f t="shared" si="87"/>
        <v>10000</v>
      </c>
      <c r="AT118" s="109">
        <f t="shared" si="87"/>
        <v>10000</v>
      </c>
      <c r="AU118" s="109">
        <f t="shared" si="87"/>
        <v>10000</v>
      </c>
      <c r="AV118" s="109">
        <f t="shared" si="87"/>
        <v>10000</v>
      </c>
      <c r="AW118" s="109">
        <f t="shared" si="87"/>
        <v>10000</v>
      </c>
      <c r="AX118" s="109">
        <f t="shared" si="87"/>
        <v>10000</v>
      </c>
      <c r="AY118" s="109">
        <f t="shared" si="87"/>
        <v>10000</v>
      </c>
      <c r="AZ118" s="109">
        <f t="shared" si="87"/>
        <v>10000</v>
      </c>
      <c r="BA118" s="109">
        <f t="shared" si="87"/>
        <v>10000</v>
      </c>
      <c r="BB118" s="109">
        <f t="shared" si="87"/>
        <v>10000</v>
      </c>
      <c r="BC118" s="109">
        <f t="shared" si="87"/>
        <v>10000</v>
      </c>
      <c r="BD118" s="109">
        <f t="shared" si="87"/>
        <v>10000</v>
      </c>
      <c r="BE118" s="109">
        <f t="shared" si="87"/>
        <v>10000</v>
      </c>
      <c r="BF118" s="109">
        <f t="shared" si="87"/>
        <v>10000</v>
      </c>
      <c r="BG118" s="109">
        <f t="shared" si="87"/>
        <v>10000</v>
      </c>
      <c r="BH118" s="109">
        <f t="shared" si="87"/>
        <v>10000</v>
      </c>
      <c r="BI118" s="109">
        <f t="shared" si="87"/>
        <v>10000</v>
      </c>
      <c r="BJ118" s="109">
        <f t="shared" si="87"/>
        <v>10000</v>
      </c>
      <c r="BK118" s="109">
        <f t="shared" si="87"/>
        <v>10000</v>
      </c>
      <c r="BL118" s="109">
        <f t="shared" si="87"/>
        <v>10000</v>
      </c>
      <c r="BM118" s="109">
        <f t="shared" si="87"/>
        <v>10000</v>
      </c>
      <c r="BN118" s="109">
        <f t="shared" si="87"/>
        <v>10000</v>
      </c>
    </row>
    <row r="119" outlineLevel="1">
      <c r="A119" s="47"/>
      <c r="B119" s="143" t="s">
        <v>76</v>
      </c>
      <c r="C119" s="144">
        <v>100000.0</v>
      </c>
      <c r="D119" s="145">
        <v>0.2</v>
      </c>
      <c r="E119" s="146">
        <v>43831.0</v>
      </c>
      <c r="F119" s="109"/>
      <c r="G119" s="109">
        <f t="shared" ref="G119:BN119" si="88">IF(G$4&gt;=$E119,($C119/12)*(1+$D119),0)</f>
        <v>10000</v>
      </c>
      <c r="H119" s="109">
        <f t="shared" si="88"/>
        <v>10000</v>
      </c>
      <c r="I119" s="109">
        <f t="shared" si="88"/>
        <v>10000</v>
      </c>
      <c r="J119" s="109">
        <f t="shared" si="88"/>
        <v>10000</v>
      </c>
      <c r="K119" s="109">
        <f t="shared" si="88"/>
        <v>10000</v>
      </c>
      <c r="L119" s="109">
        <f t="shared" si="88"/>
        <v>10000</v>
      </c>
      <c r="M119" s="109">
        <f t="shared" si="88"/>
        <v>10000</v>
      </c>
      <c r="N119" s="109">
        <f t="shared" si="88"/>
        <v>10000</v>
      </c>
      <c r="O119" s="109">
        <f t="shared" si="88"/>
        <v>10000</v>
      </c>
      <c r="P119" s="109">
        <f t="shared" si="88"/>
        <v>10000</v>
      </c>
      <c r="Q119" s="109">
        <f t="shared" si="88"/>
        <v>10000</v>
      </c>
      <c r="R119" s="109">
        <f t="shared" si="88"/>
        <v>10000</v>
      </c>
      <c r="S119" s="109">
        <f t="shared" si="88"/>
        <v>10000</v>
      </c>
      <c r="T119" s="109">
        <f t="shared" si="88"/>
        <v>10000</v>
      </c>
      <c r="U119" s="109">
        <f t="shared" si="88"/>
        <v>10000</v>
      </c>
      <c r="V119" s="109">
        <f t="shared" si="88"/>
        <v>10000</v>
      </c>
      <c r="W119" s="109">
        <f t="shared" si="88"/>
        <v>10000</v>
      </c>
      <c r="X119" s="109">
        <f t="shared" si="88"/>
        <v>10000</v>
      </c>
      <c r="Y119" s="109">
        <f t="shared" si="88"/>
        <v>10000</v>
      </c>
      <c r="Z119" s="109">
        <f t="shared" si="88"/>
        <v>10000</v>
      </c>
      <c r="AA119" s="109">
        <f t="shared" si="88"/>
        <v>10000</v>
      </c>
      <c r="AB119" s="109">
        <f t="shared" si="88"/>
        <v>10000</v>
      </c>
      <c r="AC119" s="109">
        <f t="shared" si="88"/>
        <v>10000</v>
      </c>
      <c r="AD119" s="109">
        <f t="shared" si="88"/>
        <v>10000</v>
      </c>
      <c r="AE119" s="109">
        <f t="shared" si="88"/>
        <v>10000</v>
      </c>
      <c r="AF119" s="109">
        <f t="shared" si="88"/>
        <v>10000</v>
      </c>
      <c r="AG119" s="109">
        <f t="shared" si="88"/>
        <v>10000</v>
      </c>
      <c r="AH119" s="109">
        <f t="shared" si="88"/>
        <v>10000</v>
      </c>
      <c r="AI119" s="109">
        <f t="shared" si="88"/>
        <v>10000</v>
      </c>
      <c r="AJ119" s="109">
        <f t="shared" si="88"/>
        <v>10000</v>
      </c>
      <c r="AK119" s="109">
        <f t="shared" si="88"/>
        <v>10000</v>
      </c>
      <c r="AL119" s="109">
        <f t="shared" si="88"/>
        <v>10000</v>
      </c>
      <c r="AM119" s="109">
        <f t="shared" si="88"/>
        <v>10000</v>
      </c>
      <c r="AN119" s="109">
        <f t="shared" si="88"/>
        <v>10000</v>
      </c>
      <c r="AO119" s="109">
        <f t="shared" si="88"/>
        <v>10000</v>
      </c>
      <c r="AP119" s="109">
        <f t="shared" si="88"/>
        <v>10000</v>
      </c>
      <c r="AQ119" s="109">
        <f t="shared" si="88"/>
        <v>10000</v>
      </c>
      <c r="AR119" s="109">
        <f t="shared" si="88"/>
        <v>10000</v>
      </c>
      <c r="AS119" s="109">
        <f t="shared" si="88"/>
        <v>10000</v>
      </c>
      <c r="AT119" s="109">
        <f t="shared" si="88"/>
        <v>10000</v>
      </c>
      <c r="AU119" s="109">
        <f t="shared" si="88"/>
        <v>10000</v>
      </c>
      <c r="AV119" s="109">
        <f t="shared" si="88"/>
        <v>10000</v>
      </c>
      <c r="AW119" s="109">
        <f t="shared" si="88"/>
        <v>10000</v>
      </c>
      <c r="AX119" s="109">
        <f t="shared" si="88"/>
        <v>10000</v>
      </c>
      <c r="AY119" s="109">
        <f t="shared" si="88"/>
        <v>10000</v>
      </c>
      <c r="AZ119" s="109">
        <f t="shared" si="88"/>
        <v>10000</v>
      </c>
      <c r="BA119" s="109">
        <f t="shared" si="88"/>
        <v>10000</v>
      </c>
      <c r="BB119" s="109">
        <f t="shared" si="88"/>
        <v>10000</v>
      </c>
      <c r="BC119" s="109">
        <f t="shared" si="88"/>
        <v>10000</v>
      </c>
      <c r="BD119" s="109">
        <f t="shared" si="88"/>
        <v>10000</v>
      </c>
      <c r="BE119" s="109">
        <f t="shared" si="88"/>
        <v>10000</v>
      </c>
      <c r="BF119" s="109">
        <f t="shared" si="88"/>
        <v>10000</v>
      </c>
      <c r="BG119" s="109">
        <f t="shared" si="88"/>
        <v>10000</v>
      </c>
      <c r="BH119" s="109">
        <f t="shared" si="88"/>
        <v>10000</v>
      </c>
      <c r="BI119" s="109">
        <f t="shared" si="88"/>
        <v>10000</v>
      </c>
      <c r="BJ119" s="109">
        <f t="shared" si="88"/>
        <v>10000</v>
      </c>
      <c r="BK119" s="109">
        <f t="shared" si="88"/>
        <v>10000</v>
      </c>
      <c r="BL119" s="109">
        <f t="shared" si="88"/>
        <v>10000</v>
      </c>
      <c r="BM119" s="109">
        <f t="shared" si="88"/>
        <v>10000</v>
      </c>
      <c r="BN119" s="109">
        <f t="shared" si="88"/>
        <v>10000</v>
      </c>
    </row>
    <row r="120" outlineLevel="1">
      <c r="A120" s="47"/>
      <c r="B120" s="143" t="s">
        <v>77</v>
      </c>
      <c r="C120" s="144">
        <v>100000.0</v>
      </c>
      <c r="D120" s="145">
        <v>0.2</v>
      </c>
      <c r="E120" s="146">
        <v>43891.0</v>
      </c>
      <c r="F120" s="109"/>
      <c r="G120" s="109">
        <f t="shared" ref="G120:BN120" si="89">IF(G$4&gt;=$E120,($C120/12)*(1+$D120),0)</f>
        <v>10000</v>
      </c>
      <c r="H120" s="109">
        <f t="shared" si="89"/>
        <v>10000</v>
      </c>
      <c r="I120" s="109">
        <f t="shared" si="89"/>
        <v>10000</v>
      </c>
      <c r="J120" s="109">
        <f t="shared" si="89"/>
        <v>10000</v>
      </c>
      <c r="K120" s="109">
        <f t="shared" si="89"/>
        <v>10000</v>
      </c>
      <c r="L120" s="109">
        <f t="shared" si="89"/>
        <v>10000</v>
      </c>
      <c r="M120" s="109">
        <f t="shared" si="89"/>
        <v>10000</v>
      </c>
      <c r="N120" s="109">
        <f t="shared" si="89"/>
        <v>10000</v>
      </c>
      <c r="O120" s="109">
        <f t="shared" si="89"/>
        <v>10000</v>
      </c>
      <c r="P120" s="109">
        <f t="shared" si="89"/>
        <v>10000</v>
      </c>
      <c r="Q120" s="109">
        <f t="shared" si="89"/>
        <v>10000</v>
      </c>
      <c r="R120" s="109">
        <f t="shared" si="89"/>
        <v>10000</v>
      </c>
      <c r="S120" s="109">
        <f t="shared" si="89"/>
        <v>10000</v>
      </c>
      <c r="T120" s="109">
        <f t="shared" si="89"/>
        <v>10000</v>
      </c>
      <c r="U120" s="109">
        <f t="shared" si="89"/>
        <v>10000</v>
      </c>
      <c r="V120" s="109">
        <f t="shared" si="89"/>
        <v>10000</v>
      </c>
      <c r="W120" s="109">
        <f t="shared" si="89"/>
        <v>10000</v>
      </c>
      <c r="X120" s="109">
        <f t="shared" si="89"/>
        <v>10000</v>
      </c>
      <c r="Y120" s="109">
        <f t="shared" si="89"/>
        <v>10000</v>
      </c>
      <c r="Z120" s="109">
        <f t="shared" si="89"/>
        <v>10000</v>
      </c>
      <c r="AA120" s="109">
        <f t="shared" si="89"/>
        <v>10000</v>
      </c>
      <c r="AB120" s="109">
        <f t="shared" si="89"/>
        <v>10000</v>
      </c>
      <c r="AC120" s="109">
        <f t="shared" si="89"/>
        <v>10000</v>
      </c>
      <c r="AD120" s="109">
        <f t="shared" si="89"/>
        <v>10000</v>
      </c>
      <c r="AE120" s="109">
        <f t="shared" si="89"/>
        <v>10000</v>
      </c>
      <c r="AF120" s="109">
        <f t="shared" si="89"/>
        <v>10000</v>
      </c>
      <c r="AG120" s="109">
        <f t="shared" si="89"/>
        <v>10000</v>
      </c>
      <c r="AH120" s="109">
        <f t="shared" si="89"/>
        <v>10000</v>
      </c>
      <c r="AI120" s="109">
        <f t="shared" si="89"/>
        <v>10000</v>
      </c>
      <c r="AJ120" s="109">
        <f t="shared" si="89"/>
        <v>10000</v>
      </c>
      <c r="AK120" s="109">
        <f t="shared" si="89"/>
        <v>10000</v>
      </c>
      <c r="AL120" s="109">
        <f t="shared" si="89"/>
        <v>10000</v>
      </c>
      <c r="AM120" s="109">
        <f t="shared" si="89"/>
        <v>10000</v>
      </c>
      <c r="AN120" s="109">
        <f t="shared" si="89"/>
        <v>10000</v>
      </c>
      <c r="AO120" s="109">
        <f t="shared" si="89"/>
        <v>10000</v>
      </c>
      <c r="AP120" s="109">
        <f t="shared" si="89"/>
        <v>10000</v>
      </c>
      <c r="AQ120" s="109">
        <f t="shared" si="89"/>
        <v>10000</v>
      </c>
      <c r="AR120" s="109">
        <f t="shared" si="89"/>
        <v>10000</v>
      </c>
      <c r="AS120" s="109">
        <f t="shared" si="89"/>
        <v>10000</v>
      </c>
      <c r="AT120" s="109">
        <f t="shared" si="89"/>
        <v>10000</v>
      </c>
      <c r="AU120" s="109">
        <f t="shared" si="89"/>
        <v>10000</v>
      </c>
      <c r="AV120" s="109">
        <f t="shared" si="89"/>
        <v>10000</v>
      </c>
      <c r="AW120" s="109">
        <f t="shared" si="89"/>
        <v>10000</v>
      </c>
      <c r="AX120" s="109">
        <f t="shared" si="89"/>
        <v>10000</v>
      </c>
      <c r="AY120" s="109">
        <f t="shared" si="89"/>
        <v>10000</v>
      </c>
      <c r="AZ120" s="109">
        <f t="shared" si="89"/>
        <v>10000</v>
      </c>
      <c r="BA120" s="109">
        <f t="shared" si="89"/>
        <v>10000</v>
      </c>
      <c r="BB120" s="109">
        <f t="shared" si="89"/>
        <v>10000</v>
      </c>
      <c r="BC120" s="109">
        <f t="shared" si="89"/>
        <v>10000</v>
      </c>
      <c r="BD120" s="109">
        <f t="shared" si="89"/>
        <v>10000</v>
      </c>
      <c r="BE120" s="109">
        <f t="shared" si="89"/>
        <v>10000</v>
      </c>
      <c r="BF120" s="109">
        <f t="shared" si="89"/>
        <v>10000</v>
      </c>
      <c r="BG120" s="109">
        <f t="shared" si="89"/>
        <v>10000</v>
      </c>
      <c r="BH120" s="109">
        <f t="shared" si="89"/>
        <v>10000</v>
      </c>
      <c r="BI120" s="109">
        <f t="shared" si="89"/>
        <v>10000</v>
      </c>
      <c r="BJ120" s="109">
        <f t="shared" si="89"/>
        <v>10000</v>
      </c>
      <c r="BK120" s="109">
        <f t="shared" si="89"/>
        <v>10000</v>
      </c>
      <c r="BL120" s="109">
        <f t="shared" si="89"/>
        <v>10000</v>
      </c>
      <c r="BM120" s="109">
        <f t="shared" si="89"/>
        <v>10000</v>
      </c>
      <c r="BN120" s="109">
        <f t="shared" si="89"/>
        <v>10000</v>
      </c>
    </row>
    <row r="121" outlineLevel="1">
      <c r="A121" s="47"/>
      <c r="B121" s="143" t="s">
        <v>78</v>
      </c>
      <c r="C121" s="144">
        <v>75000.0</v>
      </c>
      <c r="D121" s="145">
        <v>0.2</v>
      </c>
      <c r="E121" s="146">
        <v>43983.0</v>
      </c>
      <c r="F121" s="109"/>
      <c r="G121" s="109">
        <f t="shared" ref="G121:BN121" si="90">IF(G$4&gt;=$E121,($C121/12)*(1+$D121),0)</f>
        <v>7500</v>
      </c>
      <c r="H121" s="109">
        <f t="shared" si="90"/>
        <v>7500</v>
      </c>
      <c r="I121" s="109">
        <f t="shared" si="90"/>
        <v>7500</v>
      </c>
      <c r="J121" s="109">
        <f t="shared" si="90"/>
        <v>7500</v>
      </c>
      <c r="K121" s="109">
        <f t="shared" si="90"/>
        <v>7500</v>
      </c>
      <c r="L121" s="109">
        <f t="shared" si="90"/>
        <v>7500</v>
      </c>
      <c r="M121" s="109">
        <f t="shared" si="90"/>
        <v>7500</v>
      </c>
      <c r="N121" s="109">
        <f t="shared" si="90"/>
        <v>7500</v>
      </c>
      <c r="O121" s="109">
        <f t="shared" si="90"/>
        <v>7500</v>
      </c>
      <c r="P121" s="109">
        <f t="shared" si="90"/>
        <v>7500</v>
      </c>
      <c r="Q121" s="109">
        <f t="shared" si="90"/>
        <v>7500</v>
      </c>
      <c r="R121" s="109">
        <f t="shared" si="90"/>
        <v>7500</v>
      </c>
      <c r="S121" s="109">
        <f t="shared" si="90"/>
        <v>7500</v>
      </c>
      <c r="T121" s="109">
        <f t="shared" si="90"/>
        <v>7500</v>
      </c>
      <c r="U121" s="109">
        <f t="shared" si="90"/>
        <v>7500</v>
      </c>
      <c r="V121" s="109">
        <f t="shared" si="90"/>
        <v>7500</v>
      </c>
      <c r="W121" s="109">
        <f t="shared" si="90"/>
        <v>7500</v>
      </c>
      <c r="X121" s="109">
        <f t="shared" si="90"/>
        <v>7500</v>
      </c>
      <c r="Y121" s="109">
        <f t="shared" si="90"/>
        <v>7500</v>
      </c>
      <c r="Z121" s="109">
        <f t="shared" si="90"/>
        <v>7500</v>
      </c>
      <c r="AA121" s="109">
        <f t="shared" si="90"/>
        <v>7500</v>
      </c>
      <c r="AB121" s="109">
        <f t="shared" si="90"/>
        <v>7500</v>
      </c>
      <c r="AC121" s="109">
        <f t="shared" si="90"/>
        <v>7500</v>
      </c>
      <c r="AD121" s="109">
        <f t="shared" si="90"/>
        <v>7500</v>
      </c>
      <c r="AE121" s="109">
        <f t="shared" si="90"/>
        <v>7500</v>
      </c>
      <c r="AF121" s="109">
        <f t="shared" si="90"/>
        <v>7500</v>
      </c>
      <c r="AG121" s="109">
        <f t="shared" si="90"/>
        <v>7500</v>
      </c>
      <c r="AH121" s="109">
        <f t="shared" si="90"/>
        <v>7500</v>
      </c>
      <c r="AI121" s="109">
        <f t="shared" si="90"/>
        <v>7500</v>
      </c>
      <c r="AJ121" s="109">
        <f t="shared" si="90"/>
        <v>7500</v>
      </c>
      <c r="AK121" s="109">
        <f t="shared" si="90"/>
        <v>7500</v>
      </c>
      <c r="AL121" s="109">
        <f t="shared" si="90"/>
        <v>7500</v>
      </c>
      <c r="AM121" s="109">
        <f t="shared" si="90"/>
        <v>7500</v>
      </c>
      <c r="AN121" s="109">
        <f t="shared" si="90"/>
        <v>7500</v>
      </c>
      <c r="AO121" s="109">
        <f t="shared" si="90"/>
        <v>7500</v>
      </c>
      <c r="AP121" s="109">
        <f t="shared" si="90"/>
        <v>7500</v>
      </c>
      <c r="AQ121" s="109">
        <f t="shared" si="90"/>
        <v>7500</v>
      </c>
      <c r="AR121" s="109">
        <f t="shared" si="90"/>
        <v>7500</v>
      </c>
      <c r="AS121" s="109">
        <f t="shared" si="90"/>
        <v>7500</v>
      </c>
      <c r="AT121" s="109">
        <f t="shared" si="90"/>
        <v>7500</v>
      </c>
      <c r="AU121" s="109">
        <f t="shared" si="90"/>
        <v>7500</v>
      </c>
      <c r="AV121" s="109">
        <f t="shared" si="90"/>
        <v>7500</v>
      </c>
      <c r="AW121" s="109">
        <f t="shared" si="90"/>
        <v>7500</v>
      </c>
      <c r="AX121" s="109">
        <f t="shared" si="90"/>
        <v>7500</v>
      </c>
      <c r="AY121" s="109">
        <f t="shared" si="90"/>
        <v>7500</v>
      </c>
      <c r="AZ121" s="109">
        <f t="shared" si="90"/>
        <v>7500</v>
      </c>
      <c r="BA121" s="109">
        <f t="shared" si="90"/>
        <v>7500</v>
      </c>
      <c r="BB121" s="109">
        <f t="shared" si="90"/>
        <v>7500</v>
      </c>
      <c r="BC121" s="109">
        <f t="shared" si="90"/>
        <v>7500</v>
      </c>
      <c r="BD121" s="109">
        <f t="shared" si="90"/>
        <v>7500</v>
      </c>
      <c r="BE121" s="109">
        <f t="shared" si="90"/>
        <v>7500</v>
      </c>
      <c r="BF121" s="109">
        <f t="shared" si="90"/>
        <v>7500</v>
      </c>
      <c r="BG121" s="109">
        <f t="shared" si="90"/>
        <v>7500</v>
      </c>
      <c r="BH121" s="109">
        <f t="shared" si="90"/>
        <v>7500</v>
      </c>
      <c r="BI121" s="109">
        <f t="shared" si="90"/>
        <v>7500</v>
      </c>
      <c r="BJ121" s="109">
        <f t="shared" si="90"/>
        <v>7500</v>
      </c>
      <c r="BK121" s="109">
        <f t="shared" si="90"/>
        <v>7500</v>
      </c>
      <c r="BL121" s="109">
        <f t="shared" si="90"/>
        <v>7500</v>
      </c>
      <c r="BM121" s="109">
        <f t="shared" si="90"/>
        <v>7500</v>
      </c>
      <c r="BN121" s="109">
        <f t="shared" si="90"/>
        <v>7500</v>
      </c>
    </row>
    <row r="122" outlineLevel="1">
      <c r="A122" s="47"/>
      <c r="B122" s="143" t="s">
        <v>79</v>
      </c>
      <c r="C122" s="144">
        <v>50000.0</v>
      </c>
      <c r="D122" s="145">
        <v>0.2</v>
      </c>
      <c r="E122" s="146">
        <v>44075.0</v>
      </c>
      <c r="F122" s="109"/>
      <c r="G122" s="109">
        <f t="shared" ref="G122:BN122" si="91">IF(G$4&gt;=$E122,($C122/12)*(1+$D122),0)</f>
        <v>5000</v>
      </c>
      <c r="H122" s="109">
        <f t="shared" si="91"/>
        <v>5000</v>
      </c>
      <c r="I122" s="109">
        <f t="shared" si="91"/>
        <v>5000</v>
      </c>
      <c r="J122" s="109">
        <f t="shared" si="91"/>
        <v>5000</v>
      </c>
      <c r="K122" s="109">
        <f t="shared" si="91"/>
        <v>5000</v>
      </c>
      <c r="L122" s="109">
        <f t="shared" si="91"/>
        <v>5000</v>
      </c>
      <c r="M122" s="109">
        <f t="shared" si="91"/>
        <v>5000</v>
      </c>
      <c r="N122" s="109">
        <f t="shared" si="91"/>
        <v>5000</v>
      </c>
      <c r="O122" s="109">
        <f t="shared" si="91"/>
        <v>5000</v>
      </c>
      <c r="P122" s="109">
        <f t="shared" si="91"/>
        <v>5000</v>
      </c>
      <c r="Q122" s="109">
        <f t="shared" si="91"/>
        <v>5000</v>
      </c>
      <c r="R122" s="109">
        <f t="shared" si="91"/>
        <v>5000</v>
      </c>
      <c r="S122" s="109">
        <f t="shared" si="91"/>
        <v>5000</v>
      </c>
      <c r="T122" s="109">
        <f t="shared" si="91"/>
        <v>5000</v>
      </c>
      <c r="U122" s="109">
        <f t="shared" si="91"/>
        <v>5000</v>
      </c>
      <c r="V122" s="109">
        <f t="shared" si="91"/>
        <v>5000</v>
      </c>
      <c r="W122" s="109">
        <f t="shared" si="91"/>
        <v>5000</v>
      </c>
      <c r="X122" s="109">
        <f t="shared" si="91"/>
        <v>5000</v>
      </c>
      <c r="Y122" s="109">
        <f t="shared" si="91"/>
        <v>5000</v>
      </c>
      <c r="Z122" s="109">
        <f t="shared" si="91"/>
        <v>5000</v>
      </c>
      <c r="AA122" s="109">
        <f t="shared" si="91"/>
        <v>5000</v>
      </c>
      <c r="AB122" s="109">
        <f t="shared" si="91"/>
        <v>5000</v>
      </c>
      <c r="AC122" s="109">
        <f t="shared" si="91"/>
        <v>5000</v>
      </c>
      <c r="AD122" s="109">
        <f t="shared" si="91"/>
        <v>5000</v>
      </c>
      <c r="AE122" s="109">
        <f t="shared" si="91"/>
        <v>5000</v>
      </c>
      <c r="AF122" s="109">
        <f t="shared" si="91"/>
        <v>5000</v>
      </c>
      <c r="AG122" s="109">
        <f t="shared" si="91"/>
        <v>5000</v>
      </c>
      <c r="AH122" s="109">
        <f t="shared" si="91"/>
        <v>5000</v>
      </c>
      <c r="AI122" s="109">
        <f t="shared" si="91"/>
        <v>5000</v>
      </c>
      <c r="AJ122" s="109">
        <f t="shared" si="91"/>
        <v>5000</v>
      </c>
      <c r="AK122" s="109">
        <f t="shared" si="91"/>
        <v>5000</v>
      </c>
      <c r="AL122" s="109">
        <f t="shared" si="91"/>
        <v>5000</v>
      </c>
      <c r="AM122" s="109">
        <f t="shared" si="91"/>
        <v>5000</v>
      </c>
      <c r="AN122" s="109">
        <f t="shared" si="91"/>
        <v>5000</v>
      </c>
      <c r="AO122" s="109">
        <f t="shared" si="91"/>
        <v>5000</v>
      </c>
      <c r="AP122" s="109">
        <f t="shared" si="91"/>
        <v>5000</v>
      </c>
      <c r="AQ122" s="109">
        <f t="shared" si="91"/>
        <v>5000</v>
      </c>
      <c r="AR122" s="109">
        <f t="shared" si="91"/>
        <v>5000</v>
      </c>
      <c r="AS122" s="109">
        <f t="shared" si="91"/>
        <v>5000</v>
      </c>
      <c r="AT122" s="109">
        <f t="shared" si="91"/>
        <v>5000</v>
      </c>
      <c r="AU122" s="109">
        <f t="shared" si="91"/>
        <v>5000</v>
      </c>
      <c r="AV122" s="109">
        <f t="shared" si="91"/>
        <v>5000</v>
      </c>
      <c r="AW122" s="109">
        <f t="shared" si="91"/>
        <v>5000</v>
      </c>
      <c r="AX122" s="109">
        <f t="shared" si="91"/>
        <v>5000</v>
      </c>
      <c r="AY122" s="109">
        <f t="shared" si="91"/>
        <v>5000</v>
      </c>
      <c r="AZ122" s="109">
        <f t="shared" si="91"/>
        <v>5000</v>
      </c>
      <c r="BA122" s="109">
        <f t="shared" si="91"/>
        <v>5000</v>
      </c>
      <c r="BB122" s="109">
        <f t="shared" si="91"/>
        <v>5000</v>
      </c>
      <c r="BC122" s="109">
        <f t="shared" si="91"/>
        <v>5000</v>
      </c>
      <c r="BD122" s="109">
        <f t="shared" si="91"/>
        <v>5000</v>
      </c>
      <c r="BE122" s="109">
        <f t="shared" si="91"/>
        <v>5000</v>
      </c>
      <c r="BF122" s="109">
        <f t="shared" si="91"/>
        <v>5000</v>
      </c>
      <c r="BG122" s="109">
        <f t="shared" si="91"/>
        <v>5000</v>
      </c>
      <c r="BH122" s="109">
        <f t="shared" si="91"/>
        <v>5000</v>
      </c>
      <c r="BI122" s="109">
        <f t="shared" si="91"/>
        <v>5000</v>
      </c>
      <c r="BJ122" s="109">
        <f t="shared" si="91"/>
        <v>5000</v>
      </c>
      <c r="BK122" s="109">
        <f t="shared" si="91"/>
        <v>5000</v>
      </c>
      <c r="BL122" s="109">
        <f t="shared" si="91"/>
        <v>5000</v>
      </c>
      <c r="BM122" s="109">
        <f t="shared" si="91"/>
        <v>5000</v>
      </c>
      <c r="BN122" s="109">
        <f t="shared" si="91"/>
        <v>5000</v>
      </c>
    </row>
    <row r="123" outlineLevel="1">
      <c r="A123" s="47"/>
      <c r="B123" s="143" t="s">
        <v>80</v>
      </c>
      <c r="C123" s="144">
        <v>80000.0</v>
      </c>
      <c r="D123" s="145">
        <v>0.2</v>
      </c>
      <c r="E123" s="146">
        <v>44166.0</v>
      </c>
      <c r="F123" s="109"/>
      <c r="G123" s="109">
        <f t="shared" ref="G123:BN123" si="92">IF(G$4&gt;=$E123,($C123/12)*(1+$D123),0)</f>
        <v>8000</v>
      </c>
      <c r="H123" s="109">
        <f t="shared" si="92"/>
        <v>8000</v>
      </c>
      <c r="I123" s="109">
        <f t="shared" si="92"/>
        <v>8000</v>
      </c>
      <c r="J123" s="109">
        <f t="shared" si="92"/>
        <v>8000</v>
      </c>
      <c r="K123" s="109">
        <f t="shared" si="92"/>
        <v>8000</v>
      </c>
      <c r="L123" s="109">
        <f t="shared" si="92"/>
        <v>8000</v>
      </c>
      <c r="M123" s="109">
        <f t="shared" si="92"/>
        <v>8000</v>
      </c>
      <c r="N123" s="109">
        <f t="shared" si="92"/>
        <v>8000</v>
      </c>
      <c r="O123" s="109">
        <f t="shared" si="92"/>
        <v>8000</v>
      </c>
      <c r="P123" s="109">
        <f t="shared" si="92"/>
        <v>8000</v>
      </c>
      <c r="Q123" s="109">
        <f t="shared" si="92"/>
        <v>8000</v>
      </c>
      <c r="R123" s="109">
        <f t="shared" si="92"/>
        <v>8000</v>
      </c>
      <c r="S123" s="109">
        <f t="shared" si="92"/>
        <v>8000</v>
      </c>
      <c r="T123" s="109">
        <f t="shared" si="92"/>
        <v>8000</v>
      </c>
      <c r="U123" s="109">
        <f t="shared" si="92"/>
        <v>8000</v>
      </c>
      <c r="V123" s="109">
        <f t="shared" si="92"/>
        <v>8000</v>
      </c>
      <c r="W123" s="109">
        <f t="shared" si="92"/>
        <v>8000</v>
      </c>
      <c r="X123" s="109">
        <f t="shared" si="92"/>
        <v>8000</v>
      </c>
      <c r="Y123" s="109">
        <f t="shared" si="92"/>
        <v>8000</v>
      </c>
      <c r="Z123" s="109">
        <f t="shared" si="92"/>
        <v>8000</v>
      </c>
      <c r="AA123" s="109">
        <f t="shared" si="92"/>
        <v>8000</v>
      </c>
      <c r="AB123" s="109">
        <f t="shared" si="92"/>
        <v>8000</v>
      </c>
      <c r="AC123" s="109">
        <f t="shared" si="92"/>
        <v>8000</v>
      </c>
      <c r="AD123" s="109">
        <f t="shared" si="92"/>
        <v>8000</v>
      </c>
      <c r="AE123" s="109">
        <f t="shared" si="92"/>
        <v>8000</v>
      </c>
      <c r="AF123" s="109">
        <f t="shared" si="92"/>
        <v>8000</v>
      </c>
      <c r="AG123" s="109">
        <f t="shared" si="92"/>
        <v>8000</v>
      </c>
      <c r="AH123" s="109">
        <f t="shared" si="92"/>
        <v>8000</v>
      </c>
      <c r="AI123" s="109">
        <f t="shared" si="92"/>
        <v>8000</v>
      </c>
      <c r="AJ123" s="109">
        <f t="shared" si="92"/>
        <v>8000</v>
      </c>
      <c r="AK123" s="109">
        <f t="shared" si="92"/>
        <v>8000</v>
      </c>
      <c r="AL123" s="109">
        <f t="shared" si="92"/>
        <v>8000</v>
      </c>
      <c r="AM123" s="109">
        <f t="shared" si="92"/>
        <v>8000</v>
      </c>
      <c r="AN123" s="109">
        <f t="shared" si="92"/>
        <v>8000</v>
      </c>
      <c r="AO123" s="109">
        <f t="shared" si="92"/>
        <v>8000</v>
      </c>
      <c r="AP123" s="109">
        <f t="shared" si="92"/>
        <v>8000</v>
      </c>
      <c r="AQ123" s="109">
        <f t="shared" si="92"/>
        <v>8000</v>
      </c>
      <c r="AR123" s="109">
        <f t="shared" si="92"/>
        <v>8000</v>
      </c>
      <c r="AS123" s="109">
        <f t="shared" si="92"/>
        <v>8000</v>
      </c>
      <c r="AT123" s="109">
        <f t="shared" si="92"/>
        <v>8000</v>
      </c>
      <c r="AU123" s="109">
        <f t="shared" si="92"/>
        <v>8000</v>
      </c>
      <c r="AV123" s="109">
        <f t="shared" si="92"/>
        <v>8000</v>
      </c>
      <c r="AW123" s="109">
        <f t="shared" si="92"/>
        <v>8000</v>
      </c>
      <c r="AX123" s="109">
        <f t="shared" si="92"/>
        <v>8000</v>
      </c>
      <c r="AY123" s="109">
        <f t="shared" si="92"/>
        <v>8000</v>
      </c>
      <c r="AZ123" s="109">
        <f t="shared" si="92"/>
        <v>8000</v>
      </c>
      <c r="BA123" s="109">
        <f t="shared" si="92"/>
        <v>8000</v>
      </c>
      <c r="BB123" s="109">
        <f t="shared" si="92"/>
        <v>8000</v>
      </c>
      <c r="BC123" s="109">
        <f t="shared" si="92"/>
        <v>8000</v>
      </c>
      <c r="BD123" s="109">
        <f t="shared" si="92"/>
        <v>8000</v>
      </c>
      <c r="BE123" s="109">
        <f t="shared" si="92"/>
        <v>8000</v>
      </c>
      <c r="BF123" s="109">
        <f t="shared" si="92"/>
        <v>8000</v>
      </c>
      <c r="BG123" s="109">
        <f t="shared" si="92"/>
        <v>8000</v>
      </c>
      <c r="BH123" s="109">
        <f t="shared" si="92"/>
        <v>8000</v>
      </c>
      <c r="BI123" s="109">
        <f t="shared" si="92"/>
        <v>8000</v>
      </c>
      <c r="BJ123" s="109">
        <f t="shared" si="92"/>
        <v>8000</v>
      </c>
      <c r="BK123" s="109">
        <f t="shared" si="92"/>
        <v>8000</v>
      </c>
      <c r="BL123" s="109">
        <f t="shared" si="92"/>
        <v>8000</v>
      </c>
      <c r="BM123" s="109">
        <f t="shared" si="92"/>
        <v>8000</v>
      </c>
      <c r="BN123" s="109">
        <f t="shared" si="92"/>
        <v>8000</v>
      </c>
    </row>
    <row r="124" outlineLevel="1">
      <c r="A124" s="47"/>
      <c r="B124" s="143" t="s">
        <v>81</v>
      </c>
      <c r="C124" s="144">
        <v>90000.0</v>
      </c>
      <c r="D124" s="145">
        <v>0.2</v>
      </c>
      <c r="E124" s="146">
        <v>44256.0</v>
      </c>
      <c r="F124" s="109"/>
      <c r="G124" s="109">
        <f t="shared" ref="G124:BN124" si="93">IF(G$4&gt;=$E124,($C124/12)*(1+$D124),0)</f>
        <v>9000</v>
      </c>
      <c r="H124" s="109">
        <f t="shared" si="93"/>
        <v>9000</v>
      </c>
      <c r="I124" s="109">
        <f t="shared" si="93"/>
        <v>9000</v>
      </c>
      <c r="J124" s="109">
        <f t="shared" si="93"/>
        <v>9000</v>
      </c>
      <c r="K124" s="109">
        <f t="shared" si="93"/>
        <v>9000</v>
      </c>
      <c r="L124" s="109">
        <f t="shared" si="93"/>
        <v>9000</v>
      </c>
      <c r="M124" s="109">
        <f t="shared" si="93"/>
        <v>9000</v>
      </c>
      <c r="N124" s="109">
        <f t="shared" si="93"/>
        <v>9000</v>
      </c>
      <c r="O124" s="109">
        <f t="shared" si="93"/>
        <v>9000</v>
      </c>
      <c r="P124" s="109">
        <f t="shared" si="93"/>
        <v>9000</v>
      </c>
      <c r="Q124" s="109">
        <f t="shared" si="93"/>
        <v>9000</v>
      </c>
      <c r="R124" s="109">
        <f t="shared" si="93"/>
        <v>9000</v>
      </c>
      <c r="S124" s="109">
        <f t="shared" si="93"/>
        <v>9000</v>
      </c>
      <c r="T124" s="109">
        <f t="shared" si="93"/>
        <v>9000</v>
      </c>
      <c r="U124" s="109">
        <f t="shared" si="93"/>
        <v>9000</v>
      </c>
      <c r="V124" s="109">
        <f t="shared" si="93"/>
        <v>9000</v>
      </c>
      <c r="W124" s="109">
        <f t="shared" si="93"/>
        <v>9000</v>
      </c>
      <c r="X124" s="109">
        <f t="shared" si="93"/>
        <v>9000</v>
      </c>
      <c r="Y124" s="109">
        <f t="shared" si="93"/>
        <v>9000</v>
      </c>
      <c r="Z124" s="109">
        <f t="shared" si="93"/>
        <v>9000</v>
      </c>
      <c r="AA124" s="109">
        <f t="shared" si="93"/>
        <v>9000</v>
      </c>
      <c r="AB124" s="109">
        <f t="shared" si="93"/>
        <v>9000</v>
      </c>
      <c r="AC124" s="109">
        <f t="shared" si="93"/>
        <v>9000</v>
      </c>
      <c r="AD124" s="109">
        <f t="shared" si="93"/>
        <v>9000</v>
      </c>
      <c r="AE124" s="109">
        <f t="shared" si="93"/>
        <v>9000</v>
      </c>
      <c r="AF124" s="109">
        <f t="shared" si="93"/>
        <v>9000</v>
      </c>
      <c r="AG124" s="109">
        <f t="shared" si="93"/>
        <v>9000</v>
      </c>
      <c r="AH124" s="109">
        <f t="shared" si="93"/>
        <v>9000</v>
      </c>
      <c r="AI124" s="109">
        <f t="shared" si="93"/>
        <v>9000</v>
      </c>
      <c r="AJ124" s="109">
        <f t="shared" si="93"/>
        <v>9000</v>
      </c>
      <c r="AK124" s="109">
        <f t="shared" si="93"/>
        <v>9000</v>
      </c>
      <c r="AL124" s="109">
        <f t="shared" si="93"/>
        <v>9000</v>
      </c>
      <c r="AM124" s="109">
        <f t="shared" si="93"/>
        <v>9000</v>
      </c>
      <c r="AN124" s="109">
        <f t="shared" si="93"/>
        <v>9000</v>
      </c>
      <c r="AO124" s="109">
        <f t="shared" si="93"/>
        <v>9000</v>
      </c>
      <c r="AP124" s="109">
        <f t="shared" si="93"/>
        <v>9000</v>
      </c>
      <c r="AQ124" s="109">
        <f t="shared" si="93"/>
        <v>9000</v>
      </c>
      <c r="AR124" s="109">
        <f t="shared" si="93"/>
        <v>9000</v>
      </c>
      <c r="AS124" s="109">
        <f t="shared" si="93"/>
        <v>9000</v>
      </c>
      <c r="AT124" s="109">
        <f t="shared" si="93"/>
        <v>9000</v>
      </c>
      <c r="AU124" s="109">
        <f t="shared" si="93"/>
        <v>9000</v>
      </c>
      <c r="AV124" s="109">
        <f t="shared" si="93"/>
        <v>9000</v>
      </c>
      <c r="AW124" s="109">
        <f t="shared" si="93"/>
        <v>9000</v>
      </c>
      <c r="AX124" s="109">
        <f t="shared" si="93"/>
        <v>9000</v>
      </c>
      <c r="AY124" s="109">
        <f t="shared" si="93"/>
        <v>9000</v>
      </c>
      <c r="AZ124" s="109">
        <f t="shared" si="93"/>
        <v>9000</v>
      </c>
      <c r="BA124" s="109">
        <f t="shared" si="93"/>
        <v>9000</v>
      </c>
      <c r="BB124" s="109">
        <f t="shared" si="93"/>
        <v>9000</v>
      </c>
      <c r="BC124" s="109">
        <f t="shared" si="93"/>
        <v>9000</v>
      </c>
      <c r="BD124" s="109">
        <f t="shared" si="93"/>
        <v>9000</v>
      </c>
      <c r="BE124" s="109">
        <f t="shared" si="93"/>
        <v>9000</v>
      </c>
      <c r="BF124" s="109">
        <f t="shared" si="93"/>
        <v>9000</v>
      </c>
      <c r="BG124" s="109">
        <f t="shared" si="93"/>
        <v>9000</v>
      </c>
      <c r="BH124" s="109">
        <f t="shared" si="93"/>
        <v>9000</v>
      </c>
      <c r="BI124" s="109">
        <f t="shared" si="93"/>
        <v>9000</v>
      </c>
      <c r="BJ124" s="109">
        <f t="shared" si="93"/>
        <v>9000</v>
      </c>
      <c r="BK124" s="109">
        <f t="shared" si="93"/>
        <v>9000</v>
      </c>
      <c r="BL124" s="109">
        <f t="shared" si="93"/>
        <v>9000</v>
      </c>
      <c r="BM124" s="109">
        <f t="shared" si="93"/>
        <v>9000</v>
      </c>
      <c r="BN124" s="109">
        <f t="shared" si="93"/>
        <v>9000</v>
      </c>
    </row>
    <row r="125" outlineLevel="1">
      <c r="A125" s="47"/>
      <c r="B125" s="143" t="s">
        <v>82</v>
      </c>
      <c r="C125" s="144">
        <v>45000.0</v>
      </c>
      <c r="D125" s="145">
        <v>0.2</v>
      </c>
      <c r="E125" s="146">
        <v>44348.0</v>
      </c>
      <c r="F125" s="109"/>
      <c r="G125" s="109">
        <f t="shared" ref="G125:BN125" si="94">IF(G$4&gt;=$E125,($C125/12)*(1+$D125),0)</f>
        <v>4500</v>
      </c>
      <c r="H125" s="109">
        <f t="shared" si="94"/>
        <v>4500</v>
      </c>
      <c r="I125" s="109">
        <f t="shared" si="94"/>
        <v>4500</v>
      </c>
      <c r="J125" s="109">
        <f t="shared" si="94"/>
        <v>4500</v>
      </c>
      <c r="K125" s="109">
        <f t="shared" si="94"/>
        <v>4500</v>
      </c>
      <c r="L125" s="109">
        <f t="shared" si="94"/>
        <v>4500</v>
      </c>
      <c r="M125" s="109">
        <f t="shared" si="94"/>
        <v>4500</v>
      </c>
      <c r="N125" s="109">
        <f t="shared" si="94"/>
        <v>4500</v>
      </c>
      <c r="O125" s="109">
        <f t="shared" si="94"/>
        <v>4500</v>
      </c>
      <c r="P125" s="109">
        <f t="shared" si="94"/>
        <v>4500</v>
      </c>
      <c r="Q125" s="109">
        <f t="shared" si="94"/>
        <v>4500</v>
      </c>
      <c r="R125" s="109">
        <f t="shared" si="94"/>
        <v>4500</v>
      </c>
      <c r="S125" s="109">
        <f t="shared" si="94"/>
        <v>4500</v>
      </c>
      <c r="T125" s="109">
        <f t="shared" si="94"/>
        <v>4500</v>
      </c>
      <c r="U125" s="109">
        <f t="shared" si="94"/>
        <v>4500</v>
      </c>
      <c r="V125" s="109">
        <f t="shared" si="94"/>
        <v>4500</v>
      </c>
      <c r="W125" s="109">
        <f t="shared" si="94"/>
        <v>4500</v>
      </c>
      <c r="X125" s="109">
        <f t="shared" si="94"/>
        <v>4500</v>
      </c>
      <c r="Y125" s="109">
        <f t="shared" si="94"/>
        <v>4500</v>
      </c>
      <c r="Z125" s="109">
        <f t="shared" si="94"/>
        <v>4500</v>
      </c>
      <c r="AA125" s="109">
        <f t="shared" si="94"/>
        <v>4500</v>
      </c>
      <c r="AB125" s="109">
        <f t="shared" si="94"/>
        <v>4500</v>
      </c>
      <c r="AC125" s="109">
        <f t="shared" si="94"/>
        <v>4500</v>
      </c>
      <c r="AD125" s="109">
        <f t="shared" si="94"/>
        <v>4500</v>
      </c>
      <c r="AE125" s="109">
        <f t="shared" si="94"/>
        <v>4500</v>
      </c>
      <c r="AF125" s="109">
        <f t="shared" si="94"/>
        <v>4500</v>
      </c>
      <c r="AG125" s="109">
        <f t="shared" si="94"/>
        <v>4500</v>
      </c>
      <c r="AH125" s="109">
        <f t="shared" si="94"/>
        <v>4500</v>
      </c>
      <c r="AI125" s="109">
        <f t="shared" si="94"/>
        <v>4500</v>
      </c>
      <c r="AJ125" s="109">
        <f t="shared" si="94"/>
        <v>4500</v>
      </c>
      <c r="AK125" s="109">
        <f t="shared" si="94"/>
        <v>4500</v>
      </c>
      <c r="AL125" s="109">
        <f t="shared" si="94"/>
        <v>4500</v>
      </c>
      <c r="AM125" s="109">
        <f t="shared" si="94"/>
        <v>4500</v>
      </c>
      <c r="AN125" s="109">
        <f t="shared" si="94"/>
        <v>4500</v>
      </c>
      <c r="AO125" s="109">
        <f t="shared" si="94"/>
        <v>4500</v>
      </c>
      <c r="AP125" s="109">
        <f t="shared" si="94"/>
        <v>4500</v>
      </c>
      <c r="AQ125" s="109">
        <f t="shared" si="94"/>
        <v>4500</v>
      </c>
      <c r="AR125" s="109">
        <f t="shared" si="94"/>
        <v>4500</v>
      </c>
      <c r="AS125" s="109">
        <f t="shared" si="94"/>
        <v>4500</v>
      </c>
      <c r="AT125" s="109">
        <f t="shared" si="94"/>
        <v>4500</v>
      </c>
      <c r="AU125" s="109">
        <f t="shared" si="94"/>
        <v>4500</v>
      </c>
      <c r="AV125" s="109">
        <f t="shared" si="94"/>
        <v>4500</v>
      </c>
      <c r="AW125" s="109">
        <f t="shared" si="94"/>
        <v>4500</v>
      </c>
      <c r="AX125" s="109">
        <f t="shared" si="94"/>
        <v>4500</v>
      </c>
      <c r="AY125" s="109">
        <f t="shared" si="94"/>
        <v>4500</v>
      </c>
      <c r="AZ125" s="109">
        <f t="shared" si="94"/>
        <v>4500</v>
      </c>
      <c r="BA125" s="109">
        <f t="shared" si="94"/>
        <v>4500</v>
      </c>
      <c r="BB125" s="109">
        <f t="shared" si="94"/>
        <v>4500</v>
      </c>
      <c r="BC125" s="109">
        <f t="shared" si="94"/>
        <v>4500</v>
      </c>
      <c r="BD125" s="109">
        <f t="shared" si="94"/>
        <v>4500</v>
      </c>
      <c r="BE125" s="109">
        <f t="shared" si="94"/>
        <v>4500</v>
      </c>
      <c r="BF125" s="109">
        <f t="shared" si="94"/>
        <v>4500</v>
      </c>
      <c r="BG125" s="109">
        <f t="shared" si="94"/>
        <v>4500</v>
      </c>
      <c r="BH125" s="109">
        <f t="shared" si="94"/>
        <v>4500</v>
      </c>
      <c r="BI125" s="109">
        <f t="shared" si="94"/>
        <v>4500</v>
      </c>
      <c r="BJ125" s="109">
        <f t="shared" si="94"/>
        <v>4500</v>
      </c>
      <c r="BK125" s="109">
        <f t="shared" si="94"/>
        <v>4500</v>
      </c>
      <c r="BL125" s="109">
        <f t="shared" si="94"/>
        <v>4500</v>
      </c>
      <c r="BM125" s="109">
        <f t="shared" si="94"/>
        <v>4500</v>
      </c>
      <c r="BN125" s="109">
        <f t="shared" si="94"/>
        <v>4500</v>
      </c>
    </row>
    <row r="126" outlineLevel="1">
      <c r="A126" s="47"/>
      <c r="B126" s="143" t="s">
        <v>83</v>
      </c>
      <c r="C126" s="144">
        <v>100000.0</v>
      </c>
      <c r="D126" s="145">
        <v>0.2</v>
      </c>
      <c r="E126" s="146">
        <v>43831.0</v>
      </c>
      <c r="F126" s="109"/>
      <c r="G126" s="109">
        <f t="shared" ref="G126:BN126" si="95">IF(G$4&gt;=$E126,($C126/12)*(1+$D126),0)</f>
        <v>10000</v>
      </c>
      <c r="H126" s="109">
        <f t="shared" si="95"/>
        <v>10000</v>
      </c>
      <c r="I126" s="109">
        <f t="shared" si="95"/>
        <v>10000</v>
      </c>
      <c r="J126" s="109">
        <f t="shared" si="95"/>
        <v>10000</v>
      </c>
      <c r="K126" s="109">
        <f t="shared" si="95"/>
        <v>10000</v>
      </c>
      <c r="L126" s="109">
        <f t="shared" si="95"/>
        <v>10000</v>
      </c>
      <c r="M126" s="109">
        <f t="shared" si="95"/>
        <v>10000</v>
      </c>
      <c r="N126" s="109">
        <f t="shared" si="95"/>
        <v>10000</v>
      </c>
      <c r="O126" s="109">
        <f t="shared" si="95"/>
        <v>10000</v>
      </c>
      <c r="P126" s="109">
        <f t="shared" si="95"/>
        <v>10000</v>
      </c>
      <c r="Q126" s="109">
        <f t="shared" si="95"/>
        <v>10000</v>
      </c>
      <c r="R126" s="109">
        <f t="shared" si="95"/>
        <v>10000</v>
      </c>
      <c r="S126" s="109">
        <f t="shared" si="95"/>
        <v>10000</v>
      </c>
      <c r="T126" s="109">
        <f t="shared" si="95"/>
        <v>10000</v>
      </c>
      <c r="U126" s="109">
        <f t="shared" si="95"/>
        <v>10000</v>
      </c>
      <c r="V126" s="109">
        <f t="shared" si="95"/>
        <v>10000</v>
      </c>
      <c r="W126" s="109">
        <f t="shared" si="95"/>
        <v>10000</v>
      </c>
      <c r="X126" s="109">
        <f t="shared" si="95"/>
        <v>10000</v>
      </c>
      <c r="Y126" s="109">
        <f t="shared" si="95"/>
        <v>10000</v>
      </c>
      <c r="Z126" s="109">
        <f t="shared" si="95"/>
        <v>10000</v>
      </c>
      <c r="AA126" s="109">
        <f t="shared" si="95"/>
        <v>10000</v>
      </c>
      <c r="AB126" s="109">
        <f t="shared" si="95"/>
        <v>10000</v>
      </c>
      <c r="AC126" s="109">
        <f t="shared" si="95"/>
        <v>10000</v>
      </c>
      <c r="AD126" s="109">
        <f t="shared" si="95"/>
        <v>10000</v>
      </c>
      <c r="AE126" s="109">
        <f t="shared" si="95"/>
        <v>10000</v>
      </c>
      <c r="AF126" s="109">
        <f t="shared" si="95"/>
        <v>10000</v>
      </c>
      <c r="AG126" s="109">
        <f t="shared" si="95"/>
        <v>10000</v>
      </c>
      <c r="AH126" s="109">
        <f t="shared" si="95"/>
        <v>10000</v>
      </c>
      <c r="AI126" s="109">
        <f t="shared" si="95"/>
        <v>10000</v>
      </c>
      <c r="AJ126" s="109">
        <f t="shared" si="95"/>
        <v>10000</v>
      </c>
      <c r="AK126" s="109">
        <f t="shared" si="95"/>
        <v>10000</v>
      </c>
      <c r="AL126" s="109">
        <f t="shared" si="95"/>
        <v>10000</v>
      </c>
      <c r="AM126" s="109">
        <f t="shared" si="95"/>
        <v>10000</v>
      </c>
      <c r="AN126" s="109">
        <f t="shared" si="95"/>
        <v>10000</v>
      </c>
      <c r="AO126" s="109">
        <f t="shared" si="95"/>
        <v>10000</v>
      </c>
      <c r="AP126" s="109">
        <f t="shared" si="95"/>
        <v>10000</v>
      </c>
      <c r="AQ126" s="109">
        <f t="shared" si="95"/>
        <v>10000</v>
      </c>
      <c r="AR126" s="109">
        <f t="shared" si="95"/>
        <v>10000</v>
      </c>
      <c r="AS126" s="109">
        <f t="shared" si="95"/>
        <v>10000</v>
      </c>
      <c r="AT126" s="109">
        <f t="shared" si="95"/>
        <v>10000</v>
      </c>
      <c r="AU126" s="109">
        <f t="shared" si="95"/>
        <v>10000</v>
      </c>
      <c r="AV126" s="109">
        <f t="shared" si="95"/>
        <v>10000</v>
      </c>
      <c r="AW126" s="109">
        <f t="shared" si="95"/>
        <v>10000</v>
      </c>
      <c r="AX126" s="109">
        <f t="shared" si="95"/>
        <v>10000</v>
      </c>
      <c r="AY126" s="109">
        <f t="shared" si="95"/>
        <v>10000</v>
      </c>
      <c r="AZ126" s="109">
        <f t="shared" si="95"/>
        <v>10000</v>
      </c>
      <c r="BA126" s="109">
        <f t="shared" si="95"/>
        <v>10000</v>
      </c>
      <c r="BB126" s="109">
        <f t="shared" si="95"/>
        <v>10000</v>
      </c>
      <c r="BC126" s="109">
        <f t="shared" si="95"/>
        <v>10000</v>
      </c>
      <c r="BD126" s="109">
        <f t="shared" si="95"/>
        <v>10000</v>
      </c>
      <c r="BE126" s="109">
        <f t="shared" si="95"/>
        <v>10000</v>
      </c>
      <c r="BF126" s="109">
        <f t="shared" si="95"/>
        <v>10000</v>
      </c>
      <c r="BG126" s="109">
        <f t="shared" si="95"/>
        <v>10000</v>
      </c>
      <c r="BH126" s="109">
        <f t="shared" si="95"/>
        <v>10000</v>
      </c>
      <c r="BI126" s="109">
        <f t="shared" si="95"/>
        <v>10000</v>
      </c>
      <c r="BJ126" s="109">
        <f t="shared" si="95"/>
        <v>10000</v>
      </c>
      <c r="BK126" s="109">
        <f t="shared" si="95"/>
        <v>10000</v>
      </c>
      <c r="BL126" s="109">
        <f t="shared" si="95"/>
        <v>10000</v>
      </c>
      <c r="BM126" s="109">
        <f t="shared" si="95"/>
        <v>10000</v>
      </c>
      <c r="BN126" s="109">
        <f t="shared" si="95"/>
        <v>10000</v>
      </c>
    </row>
    <row r="127" outlineLevel="1">
      <c r="A127" s="47"/>
      <c r="B127" s="143" t="s">
        <v>84</v>
      </c>
      <c r="C127" s="144">
        <v>100000.0</v>
      </c>
      <c r="D127" s="145">
        <v>0.2</v>
      </c>
      <c r="E127" s="146">
        <v>43831.0</v>
      </c>
      <c r="F127" s="109"/>
      <c r="G127" s="109">
        <f t="shared" ref="G127:BN127" si="96">IF(G$4&gt;=$E127,($C127/12)*(1+$D127),0)</f>
        <v>10000</v>
      </c>
      <c r="H127" s="109">
        <f t="shared" si="96"/>
        <v>10000</v>
      </c>
      <c r="I127" s="109">
        <f t="shared" si="96"/>
        <v>10000</v>
      </c>
      <c r="J127" s="109">
        <f t="shared" si="96"/>
        <v>10000</v>
      </c>
      <c r="K127" s="109">
        <f t="shared" si="96"/>
        <v>10000</v>
      </c>
      <c r="L127" s="109">
        <f t="shared" si="96"/>
        <v>10000</v>
      </c>
      <c r="M127" s="109">
        <f t="shared" si="96"/>
        <v>10000</v>
      </c>
      <c r="N127" s="109">
        <f t="shared" si="96"/>
        <v>10000</v>
      </c>
      <c r="O127" s="109">
        <f t="shared" si="96"/>
        <v>10000</v>
      </c>
      <c r="P127" s="109">
        <f t="shared" si="96"/>
        <v>10000</v>
      </c>
      <c r="Q127" s="109">
        <f t="shared" si="96"/>
        <v>10000</v>
      </c>
      <c r="R127" s="109">
        <f t="shared" si="96"/>
        <v>10000</v>
      </c>
      <c r="S127" s="109">
        <f t="shared" si="96"/>
        <v>10000</v>
      </c>
      <c r="T127" s="109">
        <f t="shared" si="96"/>
        <v>10000</v>
      </c>
      <c r="U127" s="109">
        <f t="shared" si="96"/>
        <v>10000</v>
      </c>
      <c r="V127" s="109">
        <f t="shared" si="96"/>
        <v>10000</v>
      </c>
      <c r="W127" s="109">
        <f t="shared" si="96"/>
        <v>10000</v>
      </c>
      <c r="X127" s="109">
        <f t="shared" si="96"/>
        <v>10000</v>
      </c>
      <c r="Y127" s="109">
        <f t="shared" si="96"/>
        <v>10000</v>
      </c>
      <c r="Z127" s="109">
        <f t="shared" si="96"/>
        <v>10000</v>
      </c>
      <c r="AA127" s="109">
        <f t="shared" si="96"/>
        <v>10000</v>
      </c>
      <c r="AB127" s="109">
        <f t="shared" si="96"/>
        <v>10000</v>
      </c>
      <c r="AC127" s="109">
        <f t="shared" si="96"/>
        <v>10000</v>
      </c>
      <c r="AD127" s="109">
        <f t="shared" si="96"/>
        <v>10000</v>
      </c>
      <c r="AE127" s="109">
        <f t="shared" si="96"/>
        <v>10000</v>
      </c>
      <c r="AF127" s="109">
        <f t="shared" si="96"/>
        <v>10000</v>
      </c>
      <c r="AG127" s="109">
        <f t="shared" si="96"/>
        <v>10000</v>
      </c>
      <c r="AH127" s="109">
        <f t="shared" si="96"/>
        <v>10000</v>
      </c>
      <c r="AI127" s="109">
        <f t="shared" si="96"/>
        <v>10000</v>
      </c>
      <c r="AJ127" s="109">
        <f t="shared" si="96"/>
        <v>10000</v>
      </c>
      <c r="AK127" s="109">
        <f t="shared" si="96"/>
        <v>10000</v>
      </c>
      <c r="AL127" s="109">
        <f t="shared" si="96"/>
        <v>10000</v>
      </c>
      <c r="AM127" s="109">
        <f t="shared" si="96"/>
        <v>10000</v>
      </c>
      <c r="AN127" s="109">
        <f t="shared" si="96"/>
        <v>10000</v>
      </c>
      <c r="AO127" s="109">
        <f t="shared" si="96"/>
        <v>10000</v>
      </c>
      <c r="AP127" s="109">
        <f t="shared" si="96"/>
        <v>10000</v>
      </c>
      <c r="AQ127" s="109">
        <f t="shared" si="96"/>
        <v>10000</v>
      </c>
      <c r="AR127" s="109">
        <f t="shared" si="96"/>
        <v>10000</v>
      </c>
      <c r="AS127" s="109">
        <f t="shared" si="96"/>
        <v>10000</v>
      </c>
      <c r="AT127" s="109">
        <f t="shared" si="96"/>
        <v>10000</v>
      </c>
      <c r="AU127" s="109">
        <f t="shared" si="96"/>
        <v>10000</v>
      </c>
      <c r="AV127" s="109">
        <f t="shared" si="96"/>
        <v>10000</v>
      </c>
      <c r="AW127" s="109">
        <f t="shared" si="96"/>
        <v>10000</v>
      </c>
      <c r="AX127" s="109">
        <f t="shared" si="96"/>
        <v>10000</v>
      </c>
      <c r="AY127" s="109">
        <f t="shared" si="96"/>
        <v>10000</v>
      </c>
      <c r="AZ127" s="109">
        <f t="shared" si="96"/>
        <v>10000</v>
      </c>
      <c r="BA127" s="109">
        <f t="shared" si="96"/>
        <v>10000</v>
      </c>
      <c r="BB127" s="109">
        <f t="shared" si="96"/>
        <v>10000</v>
      </c>
      <c r="BC127" s="109">
        <f t="shared" si="96"/>
        <v>10000</v>
      </c>
      <c r="BD127" s="109">
        <f t="shared" si="96"/>
        <v>10000</v>
      </c>
      <c r="BE127" s="109">
        <f t="shared" si="96"/>
        <v>10000</v>
      </c>
      <c r="BF127" s="109">
        <f t="shared" si="96"/>
        <v>10000</v>
      </c>
      <c r="BG127" s="109">
        <f t="shared" si="96"/>
        <v>10000</v>
      </c>
      <c r="BH127" s="109">
        <f t="shared" si="96"/>
        <v>10000</v>
      </c>
      <c r="BI127" s="109">
        <f t="shared" si="96"/>
        <v>10000</v>
      </c>
      <c r="BJ127" s="109">
        <f t="shared" si="96"/>
        <v>10000</v>
      </c>
      <c r="BK127" s="109">
        <f t="shared" si="96"/>
        <v>10000</v>
      </c>
      <c r="BL127" s="109">
        <f t="shared" si="96"/>
        <v>10000</v>
      </c>
      <c r="BM127" s="109">
        <f t="shared" si="96"/>
        <v>10000</v>
      </c>
      <c r="BN127" s="109">
        <f t="shared" si="96"/>
        <v>10000</v>
      </c>
    </row>
    <row r="128" outlineLevel="1">
      <c r="A128" s="47"/>
      <c r="B128" s="143" t="s">
        <v>85</v>
      </c>
      <c r="C128" s="144">
        <v>100000.0</v>
      </c>
      <c r="D128" s="145">
        <v>0.2</v>
      </c>
      <c r="E128" s="146">
        <v>44075.0</v>
      </c>
      <c r="F128" s="109"/>
      <c r="G128" s="109">
        <f t="shared" ref="G128:BN128" si="97">IF(G$4&gt;=$E128,($C128/12)*(1+$D128),0)</f>
        <v>10000</v>
      </c>
      <c r="H128" s="109">
        <f t="shared" si="97"/>
        <v>10000</v>
      </c>
      <c r="I128" s="109">
        <f t="shared" si="97"/>
        <v>10000</v>
      </c>
      <c r="J128" s="109">
        <f t="shared" si="97"/>
        <v>10000</v>
      </c>
      <c r="K128" s="109">
        <f t="shared" si="97"/>
        <v>10000</v>
      </c>
      <c r="L128" s="109">
        <f t="shared" si="97"/>
        <v>10000</v>
      </c>
      <c r="M128" s="109">
        <f t="shared" si="97"/>
        <v>10000</v>
      </c>
      <c r="N128" s="109">
        <f t="shared" si="97"/>
        <v>10000</v>
      </c>
      <c r="O128" s="109">
        <f t="shared" si="97"/>
        <v>10000</v>
      </c>
      <c r="P128" s="109">
        <f t="shared" si="97"/>
        <v>10000</v>
      </c>
      <c r="Q128" s="109">
        <f t="shared" si="97"/>
        <v>10000</v>
      </c>
      <c r="R128" s="109">
        <f t="shared" si="97"/>
        <v>10000</v>
      </c>
      <c r="S128" s="109">
        <f t="shared" si="97"/>
        <v>10000</v>
      </c>
      <c r="T128" s="109">
        <f t="shared" si="97"/>
        <v>10000</v>
      </c>
      <c r="U128" s="109">
        <f t="shared" si="97"/>
        <v>10000</v>
      </c>
      <c r="V128" s="109">
        <f t="shared" si="97"/>
        <v>10000</v>
      </c>
      <c r="W128" s="109">
        <f t="shared" si="97"/>
        <v>10000</v>
      </c>
      <c r="X128" s="109">
        <f t="shared" si="97"/>
        <v>10000</v>
      </c>
      <c r="Y128" s="109">
        <f t="shared" si="97"/>
        <v>10000</v>
      </c>
      <c r="Z128" s="109">
        <f t="shared" si="97"/>
        <v>10000</v>
      </c>
      <c r="AA128" s="109">
        <f t="shared" si="97"/>
        <v>10000</v>
      </c>
      <c r="AB128" s="109">
        <f t="shared" si="97"/>
        <v>10000</v>
      </c>
      <c r="AC128" s="109">
        <f t="shared" si="97"/>
        <v>10000</v>
      </c>
      <c r="AD128" s="109">
        <f t="shared" si="97"/>
        <v>10000</v>
      </c>
      <c r="AE128" s="109">
        <f t="shared" si="97"/>
        <v>10000</v>
      </c>
      <c r="AF128" s="109">
        <f t="shared" si="97"/>
        <v>10000</v>
      </c>
      <c r="AG128" s="109">
        <f t="shared" si="97"/>
        <v>10000</v>
      </c>
      <c r="AH128" s="109">
        <f t="shared" si="97"/>
        <v>10000</v>
      </c>
      <c r="AI128" s="109">
        <f t="shared" si="97"/>
        <v>10000</v>
      </c>
      <c r="AJ128" s="109">
        <f t="shared" si="97"/>
        <v>10000</v>
      </c>
      <c r="AK128" s="109">
        <f t="shared" si="97"/>
        <v>10000</v>
      </c>
      <c r="AL128" s="109">
        <f t="shared" si="97"/>
        <v>10000</v>
      </c>
      <c r="AM128" s="109">
        <f t="shared" si="97"/>
        <v>10000</v>
      </c>
      <c r="AN128" s="109">
        <f t="shared" si="97"/>
        <v>10000</v>
      </c>
      <c r="AO128" s="109">
        <f t="shared" si="97"/>
        <v>10000</v>
      </c>
      <c r="AP128" s="109">
        <f t="shared" si="97"/>
        <v>10000</v>
      </c>
      <c r="AQ128" s="109">
        <f t="shared" si="97"/>
        <v>10000</v>
      </c>
      <c r="AR128" s="109">
        <f t="shared" si="97"/>
        <v>10000</v>
      </c>
      <c r="AS128" s="109">
        <f t="shared" si="97"/>
        <v>10000</v>
      </c>
      <c r="AT128" s="109">
        <f t="shared" si="97"/>
        <v>10000</v>
      </c>
      <c r="AU128" s="109">
        <f t="shared" si="97"/>
        <v>10000</v>
      </c>
      <c r="AV128" s="109">
        <f t="shared" si="97"/>
        <v>10000</v>
      </c>
      <c r="AW128" s="109">
        <f t="shared" si="97"/>
        <v>10000</v>
      </c>
      <c r="AX128" s="109">
        <f t="shared" si="97"/>
        <v>10000</v>
      </c>
      <c r="AY128" s="109">
        <f t="shared" si="97"/>
        <v>10000</v>
      </c>
      <c r="AZ128" s="109">
        <f t="shared" si="97"/>
        <v>10000</v>
      </c>
      <c r="BA128" s="109">
        <f t="shared" si="97"/>
        <v>10000</v>
      </c>
      <c r="BB128" s="109">
        <f t="shared" si="97"/>
        <v>10000</v>
      </c>
      <c r="BC128" s="109">
        <f t="shared" si="97"/>
        <v>10000</v>
      </c>
      <c r="BD128" s="109">
        <f t="shared" si="97"/>
        <v>10000</v>
      </c>
      <c r="BE128" s="109">
        <f t="shared" si="97"/>
        <v>10000</v>
      </c>
      <c r="BF128" s="109">
        <f t="shared" si="97"/>
        <v>10000</v>
      </c>
      <c r="BG128" s="109">
        <f t="shared" si="97"/>
        <v>10000</v>
      </c>
      <c r="BH128" s="109">
        <f t="shared" si="97"/>
        <v>10000</v>
      </c>
      <c r="BI128" s="109">
        <f t="shared" si="97"/>
        <v>10000</v>
      </c>
      <c r="BJ128" s="109">
        <f t="shared" si="97"/>
        <v>10000</v>
      </c>
      <c r="BK128" s="109">
        <f t="shared" si="97"/>
        <v>10000</v>
      </c>
      <c r="BL128" s="109">
        <f t="shared" si="97"/>
        <v>10000</v>
      </c>
      <c r="BM128" s="109">
        <f t="shared" si="97"/>
        <v>10000</v>
      </c>
      <c r="BN128" s="109">
        <f t="shared" si="97"/>
        <v>10000</v>
      </c>
    </row>
    <row r="129" outlineLevel="1">
      <c r="A129" s="47"/>
      <c r="B129" s="143" t="s">
        <v>86</v>
      </c>
      <c r="C129" s="144">
        <v>100000.0</v>
      </c>
      <c r="D129" s="145">
        <v>0.2</v>
      </c>
      <c r="E129" s="146">
        <v>43831.0</v>
      </c>
      <c r="F129" s="109"/>
      <c r="G129" s="109">
        <f t="shared" ref="G129:BN129" si="98">IF(G$4&gt;=$E129,($C129/12)*(1+$D129),0)</f>
        <v>10000</v>
      </c>
      <c r="H129" s="109">
        <f t="shared" si="98"/>
        <v>10000</v>
      </c>
      <c r="I129" s="109">
        <f t="shared" si="98"/>
        <v>10000</v>
      </c>
      <c r="J129" s="109">
        <f t="shared" si="98"/>
        <v>10000</v>
      </c>
      <c r="K129" s="109">
        <f t="shared" si="98"/>
        <v>10000</v>
      </c>
      <c r="L129" s="109">
        <f t="shared" si="98"/>
        <v>10000</v>
      </c>
      <c r="M129" s="109">
        <f t="shared" si="98"/>
        <v>10000</v>
      </c>
      <c r="N129" s="109">
        <f t="shared" si="98"/>
        <v>10000</v>
      </c>
      <c r="O129" s="109">
        <f t="shared" si="98"/>
        <v>10000</v>
      </c>
      <c r="P129" s="109">
        <f t="shared" si="98"/>
        <v>10000</v>
      </c>
      <c r="Q129" s="109">
        <f t="shared" si="98"/>
        <v>10000</v>
      </c>
      <c r="R129" s="109">
        <f t="shared" si="98"/>
        <v>10000</v>
      </c>
      <c r="S129" s="109">
        <f t="shared" si="98"/>
        <v>10000</v>
      </c>
      <c r="T129" s="109">
        <f t="shared" si="98"/>
        <v>10000</v>
      </c>
      <c r="U129" s="109">
        <f t="shared" si="98"/>
        <v>10000</v>
      </c>
      <c r="V129" s="109">
        <f t="shared" si="98"/>
        <v>10000</v>
      </c>
      <c r="W129" s="109">
        <f t="shared" si="98"/>
        <v>10000</v>
      </c>
      <c r="X129" s="109">
        <f t="shared" si="98"/>
        <v>10000</v>
      </c>
      <c r="Y129" s="109">
        <f t="shared" si="98"/>
        <v>10000</v>
      </c>
      <c r="Z129" s="109">
        <f t="shared" si="98"/>
        <v>10000</v>
      </c>
      <c r="AA129" s="109">
        <f t="shared" si="98"/>
        <v>10000</v>
      </c>
      <c r="AB129" s="109">
        <f t="shared" si="98"/>
        <v>10000</v>
      </c>
      <c r="AC129" s="109">
        <f t="shared" si="98"/>
        <v>10000</v>
      </c>
      <c r="AD129" s="109">
        <f t="shared" si="98"/>
        <v>10000</v>
      </c>
      <c r="AE129" s="109">
        <f t="shared" si="98"/>
        <v>10000</v>
      </c>
      <c r="AF129" s="109">
        <f t="shared" si="98"/>
        <v>10000</v>
      </c>
      <c r="AG129" s="109">
        <f t="shared" si="98"/>
        <v>10000</v>
      </c>
      <c r="AH129" s="109">
        <f t="shared" si="98"/>
        <v>10000</v>
      </c>
      <c r="AI129" s="109">
        <f t="shared" si="98"/>
        <v>10000</v>
      </c>
      <c r="AJ129" s="109">
        <f t="shared" si="98"/>
        <v>10000</v>
      </c>
      <c r="AK129" s="109">
        <f t="shared" si="98"/>
        <v>10000</v>
      </c>
      <c r="AL129" s="109">
        <f t="shared" si="98"/>
        <v>10000</v>
      </c>
      <c r="AM129" s="109">
        <f t="shared" si="98"/>
        <v>10000</v>
      </c>
      <c r="AN129" s="109">
        <f t="shared" si="98"/>
        <v>10000</v>
      </c>
      <c r="AO129" s="109">
        <f t="shared" si="98"/>
        <v>10000</v>
      </c>
      <c r="AP129" s="109">
        <f t="shared" si="98"/>
        <v>10000</v>
      </c>
      <c r="AQ129" s="109">
        <f t="shared" si="98"/>
        <v>10000</v>
      </c>
      <c r="AR129" s="109">
        <f t="shared" si="98"/>
        <v>10000</v>
      </c>
      <c r="AS129" s="109">
        <f t="shared" si="98"/>
        <v>10000</v>
      </c>
      <c r="AT129" s="109">
        <f t="shared" si="98"/>
        <v>10000</v>
      </c>
      <c r="AU129" s="109">
        <f t="shared" si="98"/>
        <v>10000</v>
      </c>
      <c r="AV129" s="109">
        <f t="shared" si="98"/>
        <v>10000</v>
      </c>
      <c r="AW129" s="109">
        <f t="shared" si="98"/>
        <v>10000</v>
      </c>
      <c r="AX129" s="109">
        <f t="shared" si="98"/>
        <v>10000</v>
      </c>
      <c r="AY129" s="109">
        <f t="shared" si="98"/>
        <v>10000</v>
      </c>
      <c r="AZ129" s="109">
        <f t="shared" si="98"/>
        <v>10000</v>
      </c>
      <c r="BA129" s="109">
        <f t="shared" si="98"/>
        <v>10000</v>
      </c>
      <c r="BB129" s="109">
        <f t="shared" si="98"/>
        <v>10000</v>
      </c>
      <c r="BC129" s="109">
        <f t="shared" si="98"/>
        <v>10000</v>
      </c>
      <c r="BD129" s="109">
        <f t="shared" si="98"/>
        <v>10000</v>
      </c>
      <c r="BE129" s="109">
        <f t="shared" si="98"/>
        <v>10000</v>
      </c>
      <c r="BF129" s="109">
        <f t="shared" si="98"/>
        <v>10000</v>
      </c>
      <c r="BG129" s="109">
        <f t="shared" si="98"/>
        <v>10000</v>
      </c>
      <c r="BH129" s="109">
        <f t="shared" si="98"/>
        <v>10000</v>
      </c>
      <c r="BI129" s="109">
        <f t="shared" si="98"/>
        <v>10000</v>
      </c>
      <c r="BJ129" s="109">
        <f t="shared" si="98"/>
        <v>10000</v>
      </c>
      <c r="BK129" s="109">
        <f t="shared" si="98"/>
        <v>10000</v>
      </c>
      <c r="BL129" s="109">
        <f t="shared" si="98"/>
        <v>10000</v>
      </c>
      <c r="BM129" s="109">
        <f t="shared" si="98"/>
        <v>10000</v>
      </c>
      <c r="BN129" s="109">
        <f t="shared" si="98"/>
        <v>10000</v>
      </c>
    </row>
    <row r="130" outlineLevel="1">
      <c r="A130" s="47"/>
      <c r="B130" s="143" t="s">
        <v>87</v>
      </c>
      <c r="C130" s="144">
        <v>100000.0</v>
      </c>
      <c r="D130" s="145">
        <v>0.2</v>
      </c>
      <c r="E130" s="146">
        <v>43891.0</v>
      </c>
      <c r="F130" s="109"/>
      <c r="G130" s="109">
        <f t="shared" ref="G130:BN130" si="99">IF(G$4&gt;=$E130,($C130/12)*(1+$D130),0)</f>
        <v>10000</v>
      </c>
      <c r="H130" s="109">
        <f t="shared" si="99"/>
        <v>10000</v>
      </c>
      <c r="I130" s="109">
        <f t="shared" si="99"/>
        <v>10000</v>
      </c>
      <c r="J130" s="109">
        <f t="shared" si="99"/>
        <v>10000</v>
      </c>
      <c r="K130" s="109">
        <f t="shared" si="99"/>
        <v>10000</v>
      </c>
      <c r="L130" s="109">
        <f t="shared" si="99"/>
        <v>10000</v>
      </c>
      <c r="M130" s="109">
        <f t="shared" si="99"/>
        <v>10000</v>
      </c>
      <c r="N130" s="109">
        <f t="shared" si="99"/>
        <v>10000</v>
      </c>
      <c r="O130" s="109">
        <f t="shared" si="99"/>
        <v>10000</v>
      </c>
      <c r="P130" s="109">
        <f t="shared" si="99"/>
        <v>10000</v>
      </c>
      <c r="Q130" s="109">
        <f t="shared" si="99"/>
        <v>10000</v>
      </c>
      <c r="R130" s="109">
        <f t="shared" si="99"/>
        <v>10000</v>
      </c>
      <c r="S130" s="109">
        <f t="shared" si="99"/>
        <v>10000</v>
      </c>
      <c r="T130" s="109">
        <f t="shared" si="99"/>
        <v>10000</v>
      </c>
      <c r="U130" s="109">
        <f t="shared" si="99"/>
        <v>10000</v>
      </c>
      <c r="V130" s="109">
        <f t="shared" si="99"/>
        <v>10000</v>
      </c>
      <c r="W130" s="109">
        <f t="shared" si="99"/>
        <v>10000</v>
      </c>
      <c r="X130" s="109">
        <f t="shared" si="99"/>
        <v>10000</v>
      </c>
      <c r="Y130" s="109">
        <f t="shared" si="99"/>
        <v>10000</v>
      </c>
      <c r="Z130" s="109">
        <f t="shared" si="99"/>
        <v>10000</v>
      </c>
      <c r="AA130" s="109">
        <f t="shared" si="99"/>
        <v>10000</v>
      </c>
      <c r="AB130" s="109">
        <f t="shared" si="99"/>
        <v>10000</v>
      </c>
      <c r="AC130" s="109">
        <f t="shared" si="99"/>
        <v>10000</v>
      </c>
      <c r="AD130" s="109">
        <f t="shared" si="99"/>
        <v>10000</v>
      </c>
      <c r="AE130" s="109">
        <f t="shared" si="99"/>
        <v>10000</v>
      </c>
      <c r="AF130" s="109">
        <f t="shared" si="99"/>
        <v>10000</v>
      </c>
      <c r="AG130" s="109">
        <f t="shared" si="99"/>
        <v>10000</v>
      </c>
      <c r="AH130" s="109">
        <f t="shared" si="99"/>
        <v>10000</v>
      </c>
      <c r="AI130" s="109">
        <f t="shared" si="99"/>
        <v>10000</v>
      </c>
      <c r="AJ130" s="109">
        <f t="shared" si="99"/>
        <v>10000</v>
      </c>
      <c r="AK130" s="109">
        <f t="shared" si="99"/>
        <v>10000</v>
      </c>
      <c r="AL130" s="109">
        <f t="shared" si="99"/>
        <v>10000</v>
      </c>
      <c r="AM130" s="109">
        <f t="shared" si="99"/>
        <v>10000</v>
      </c>
      <c r="AN130" s="109">
        <f t="shared" si="99"/>
        <v>10000</v>
      </c>
      <c r="AO130" s="109">
        <f t="shared" si="99"/>
        <v>10000</v>
      </c>
      <c r="AP130" s="109">
        <f t="shared" si="99"/>
        <v>10000</v>
      </c>
      <c r="AQ130" s="109">
        <f t="shared" si="99"/>
        <v>10000</v>
      </c>
      <c r="AR130" s="109">
        <f t="shared" si="99"/>
        <v>10000</v>
      </c>
      <c r="AS130" s="109">
        <f t="shared" si="99"/>
        <v>10000</v>
      </c>
      <c r="AT130" s="109">
        <f t="shared" si="99"/>
        <v>10000</v>
      </c>
      <c r="AU130" s="109">
        <f t="shared" si="99"/>
        <v>10000</v>
      </c>
      <c r="AV130" s="109">
        <f t="shared" si="99"/>
        <v>10000</v>
      </c>
      <c r="AW130" s="109">
        <f t="shared" si="99"/>
        <v>10000</v>
      </c>
      <c r="AX130" s="109">
        <f t="shared" si="99"/>
        <v>10000</v>
      </c>
      <c r="AY130" s="109">
        <f t="shared" si="99"/>
        <v>10000</v>
      </c>
      <c r="AZ130" s="109">
        <f t="shared" si="99"/>
        <v>10000</v>
      </c>
      <c r="BA130" s="109">
        <f t="shared" si="99"/>
        <v>10000</v>
      </c>
      <c r="BB130" s="109">
        <f t="shared" si="99"/>
        <v>10000</v>
      </c>
      <c r="BC130" s="109">
        <f t="shared" si="99"/>
        <v>10000</v>
      </c>
      <c r="BD130" s="109">
        <f t="shared" si="99"/>
        <v>10000</v>
      </c>
      <c r="BE130" s="109">
        <f t="shared" si="99"/>
        <v>10000</v>
      </c>
      <c r="BF130" s="109">
        <f t="shared" si="99"/>
        <v>10000</v>
      </c>
      <c r="BG130" s="109">
        <f t="shared" si="99"/>
        <v>10000</v>
      </c>
      <c r="BH130" s="109">
        <f t="shared" si="99"/>
        <v>10000</v>
      </c>
      <c r="BI130" s="109">
        <f t="shared" si="99"/>
        <v>10000</v>
      </c>
      <c r="BJ130" s="109">
        <f t="shared" si="99"/>
        <v>10000</v>
      </c>
      <c r="BK130" s="109">
        <f t="shared" si="99"/>
        <v>10000</v>
      </c>
      <c r="BL130" s="109">
        <f t="shared" si="99"/>
        <v>10000</v>
      </c>
      <c r="BM130" s="109">
        <f t="shared" si="99"/>
        <v>10000</v>
      </c>
      <c r="BN130" s="109">
        <f t="shared" si="99"/>
        <v>10000</v>
      </c>
    </row>
    <row r="131" outlineLevel="1">
      <c r="A131" s="47"/>
      <c r="B131" s="143" t="s">
        <v>88</v>
      </c>
      <c r="C131" s="144">
        <v>75000.0</v>
      </c>
      <c r="D131" s="145">
        <v>0.2</v>
      </c>
      <c r="E131" s="146">
        <v>43983.0</v>
      </c>
      <c r="F131" s="109"/>
      <c r="G131" s="109">
        <f t="shared" ref="G131:BN131" si="100">IF(G$4&gt;=$E131,($C131/12)*(1+$D131),0)</f>
        <v>7500</v>
      </c>
      <c r="H131" s="109">
        <f t="shared" si="100"/>
        <v>7500</v>
      </c>
      <c r="I131" s="109">
        <f t="shared" si="100"/>
        <v>7500</v>
      </c>
      <c r="J131" s="109">
        <f t="shared" si="100"/>
        <v>7500</v>
      </c>
      <c r="K131" s="109">
        <f t="shared" si="100"/>
        <v>7500</v>
      </c>
      <c r="L131" s="109">
        <f t="shared" si="100"/>
        <v>7500</v>
      </c>
      <c r="M131" s="109">
        <f t="shared" si="100"/>
        <v>7500</v>
      </c>
      <c r="N131" s="109">
        <f t="shared" si="100"/>
        <v>7500</v>
      </c>
      <c r="O131" s="109">
        <f t="shared" si="100"/>
        <v>7500</v>
      </c>
      <c r="P131" s="109">
        <f t="shared" si="100"/>
        <v>7500</v>
      </c>
      <c r="Q131" s="109">
        <f t="shared" si="100"/>
        <v>7500</v>
      </c>
      <c r="R131" s="109">
        <f t="shared" si="100"/>
        <v>7500</v>
      </c>
      <c r="S131" s="109">
        <f t="shared" si="100"/>
        <v>7500</v>
      </c>
      <c r="T131" s="109">
        <f t="shared" si="100"/>
        <v>7500</v>
      </c>
      <c r="U131" s="109">
        <f t="shared" si="100"/>
        <v>7500</v>
      </c>
      <c r="V131" s="109">
        <f t="shared" si="100"/>
        <v>7500</v>
      </c>
      <c r="W131" s="109">
        <f t="shared" si="100"/>
        <v>7500</v>
      </c>
      <c r="X131" s="109">
        <f t="shared" si="100"/>
        <v>7500</v>
      </c>
      <c r="Y131" s="109">
        <f t="shared" si="100"/>
        <v>7500</v>
      </c>
      <c r="Z131" s="109">
        <f t="shared" si="100"/>
        <v>7500</v>
      </c>
      <c r="AA131" s="109">
        <f t="shared" si="100"/>
        <v>7500</v>
      </c>
      <c r="AB131" s="109">
        <f t="shared" si="100"/>
        <v>7500</v>
      </c>
      <c r="AC131" s="109">
        <f t="shared" si="100"/>
        <v>7500</v>
      </c>
      <c r="AD131" s="109">
        <f t="shared" si="100"/>
        <v>7500</v>
      </c>
      <c r="AE131" s="109">
        <f t="shared" si="100"/>
        <v>7500</v>
      </c>
      <c r="AF131" s="109">
        <f t="shared" si="100"/>
        <v>7500</v>
      </c>
      <c r="AG131" s="109">
        <f t="shared" si="100"/>
        <v>7500</v>
      </c>
      <c r="AH131" s="109">
        <f t="shared" si="100"/>
        <v>7500</v>
      </c>
      <c r="AI131" s="109">
        <f t="shared" si="100"/>
        <v>7500</v>
      </c>
      <c r="AJ131" s="109">
        <f t="shared" si="100"/>
        <v>7500</v>
      </c>
      <c r="AK131" s="109">
        <f t="shared" si="100"/>
        <v>7500</v>
      </c>
      <c r="AL131" s="109">
        <f t="shared" si="100"/>
        <v>7500</v>
      </c>
      <c r="AM131" s="109">
        <f t="shared" si="100"/>
        <v>7500</v>
      </c>
      <c r="AN131" s="109">
        <f t="shared" si="100"/>
        <v>7500</v>
      </c>
      <c r="AO131" s="109">
        <f t="shared" si="100"/>
        <v>7500</v>
      </c>
      <c r="AP131" s="109">
        <f t="shared" si="100"/>
        <v>7500</v>
      </c>
      <c r="AQ131" s="109">
        <f t="shared" si="100"/>
        <v>7500</v>
      </c>
      <c r="AR131" s="109">
        <f t="shared" si="100"/>
        <v>7500</v>
      </c>
      <c r="AS131" s="109">
        <f t="shared" si="100"/>
        <v>7500</v>
      </c>
      <c r="AT131" s="109">
        <f t="shared" si="100"/>
        <v>7500</v>
      </c>
      <c r="AU131" s="109">
        <f t="shared" si="100"/>
        <v>7500</v>
      </c>
      <c r="AV131" s="109">
        <f t="shared" si="100"/>
        <v>7500</v>
      </c>
      <c r="AW131" s="109">
        <f t="shared" si="100"/>
        <v>7500</v>
      </c>
      <c r="AX131" s="109">
        <f t="shared" si="100"/>
        <v>7500</v>
      </c>
      <c r="AY131" s="109">
        <f t="shared" si="100"/>
        <v>7500</v>
      </c>
      <c r="AZ131" s="109">
        <f t="shared" si="100"/>
        <v>7500</v>
      </c>
      <c r="BA131" s="109">
        <f t="shared" si="100"/>
        <v>7500</v>
      </c>
      <c r="BB131" s="109">
        <f t="shared" si="100"/>
        <v>7500</v>
      </c>
      <c r="BC131" s="109">
        <f t="shared" si="100"/>
        <v>7500</v>
      </c>
      <c r="BD131" s="109">
        <f t="shared" si="100"/>
        <v>7500</v>
      </c>
      <c r="BE131" s="109">
        <f t="shared" si="100"/>
        <v>7500</v>
      </c>
      <c r="BF131" s="109">
        <f t="shared" si="100"/>
        <v>7500</v>
      </c>
      <c r="BG131" s="109">
        <f t="shared" si="100"/>
        <v>7500</v>
      </c>
      <c r="BH131" s="109">
        <f t="shared" si="100"/>
        <v>7500</v>
      </c>
      <c r="BI131" s="109">
        <f t="shared" si="100"/>
        <v>7500</v>
      </c>
      <c r="BJ131" s="109">
        <f t="shared" si="100"/>
        <v>7500</v>
      </c>
      <c r="BK131" s="109">
        <f t="shared" si="100"/>
        <v>7500</v>
      </c>
      <c r="BL131" s="109">
        <f t="shared" si="100"/>
        <v>7500</v>
      </c>
      <c r="BM131" s="109">
        <f t="shared" si="100"/>
        <v>7500</v>
      </c>
      <c r="BN131" s="109">
        <f t="shared" si="100"/>
        <v>7500</v>
      </c>
    </row>
    <row r="132" outlineLevel="1">
      <c r="A132" s="47"/>
      <c r="B132" s="143" t="s">
        <v>89</v>
      </c>
      <c r="C132" s="144">
        <v>50000.0</v>
      </c>
      <c r="D132" s="145">
        <v>0.2</v>
      </c>
      <c r="E132" s="146">
        <v>44075.0</v>
      </c>
      <c r="F132" s="109"/>
      <c r="G132" s="109">
        <f t="shared" ref="G132:BN132" si="101">IF(G$4&gt;=$E132,($C132/12)*(1+$D132),0)</f>
        <v>5000</v>
      </c>
      <c r="H132" s="109">
        <f t="shared" si="101"/>
        <v>5000</v>
      </c>
      <c r="I132" s="109">
        <f t="shared" si="101"/>
        <v>5000</v>
      </c>
      <c r="J132" s="109">
        <f t="shared" si="101"/>
        <v>5000</v>
      </c>
      <c r="K132" s="109">
        <f t="shared" si="101"/>
        <v>5000</v>
      </c>
      <c r="L132" s="109">
        <f t="shared" si="101"/>
        <v>5000</v>
      </c>
      <c r="M132" s="109">
        <f t="shared" si="101"/>
        <v>5000</v>
      </c>
      <c r="N132" s="109">
        <f t="shared" si="101"/>
        <v>5000</v>
      </c>
      <c r="O132" s="109">
        <f t="shared" si="101"/>
        <v>5000</v>
      </c>
      <c r="P132" s="109">
        <f t="shared" si="101"/>
        <v>5000</v>
      </c>
      <c r="Q132" s="109">
        <f t="shared" si="101"/>
        <v>5000</v>
      </c>
      <c r="R132" s="109">
        <f t="shared" si="101"/>
        <v>5000</v>
      </c>
      <c r="S132" s="109">
        <f t="shared" si="101"/>
        <v>5000</v>
      </c>
      <c r="T132" s="109">
        <f t="shared" si="101"/>
        <v>5000</v>
      </c>
      <c r="U132" s="109">
        <f t="shared" si="101"/>
        <v>5000</v>
      </c>
      <c r="V132" s="109">
        <f t="shared" si="101"/>
        <v>5000</v>
      </c>
      <c r="W132" s="109">
        <f t="shared" si="101"/>
        <v>5000</v>
      </c>
      <c r="X132" s="109">
        <f t="shared" si="101"/>
        <v>5000</v>
      </c>
      <c r="Y132" s="109">
        <f t="shared" si="101"/>
        <v>5000</v>
      </c>
      <c r="Z132" s="109">
        <f t="shared" si="101"/>
        <v>5000</v>
      </c>
      <c r="AA132" s="109">
        <f t="shared" si="101"/>
        <v>5000</v>
      </c>
      <c r="AB132" s="109">
        <f t="shared" si="101"/>
        <v>5000</v>
      </c>
      <c r="AC132" s="109">
        <f t="shared" si="101"/>
        <v>5000</v>
      </c>
      <c r="AD132" s="109">
        <f t="shared" si="101"/>
        <v>5000</v>
      </c>
      <c r="AE132" s="109">
        <f t="shared" si="101"/>
        <v>5000</v>
      </c>
      <c r="AF132" s="109">
        <f t="shared" si="101"/>
        <v>5000</v>
      </c>
      <c r="AG132" s="109">
        <f t="shared" si="101"/>
        <v>5000</v>
      </c>
      <c r="AH132" s="109">
        <f t="shared" si="101"/>
        <v>5000</v>
      </c>
      <c r="AI132" s="109">
        <f t="shared" si="101"/>
        <v>5000</v>
      </c>
      <c r="AJ132" s="109">
        <f t="shared" si="101"/>
        <v>5000</v>
      </c>
      <c r="AK132" s="109">
        <f t="shared" si="101"/>
        <v>5000</v>
      </c>
      <c r="AL132" s="109">
        <f t="shared" si="101"/>
        <v>5000</v>
      </c>
      <c r="AM132" s="109">
        <f t="shared" si="101"/>
        <v>5000</v>
      </c>
      <c r="AN132" s="109">
        <f t="shared" si="101"/>
        <v>5000</v>
      </c>
      <c r="AO132" s="109">
        <f t="shared" si="101"/>
        <v>5000</v>
      </c>
      <c r="AP132" s="109">
        <f t="shared" si="101"/>
        <v>5000</v>
      </c>
      <c r="AQ132" s="109">
        <f t="shared" si="101"/>
        <v>5000</v>
      </c>
      <c r="AR132" s="109">
        <f t="shared" si="101"/>
        <v>5000</v>
      </c>
      <c r="AS132" s="109">
        <f t="shared" si="101"/>
        <v>5000</v>
      </c>
      <c r="AT132" s="109">
        <f t="shared" si="101"/>
        <v>5000</v>
      </c>
      <c r="AU132" s="109">
        <f t="shared" si="101"/>
        <v>5000</v>
      </c>
      <c r="AV132" s="109">
        <f t="shared" si="101"/>
        <v>5000</v>
      </c>
      <c r="AW132" s="109">
        <f t="shared" si="101"/>
        <v>5000</v>
      </c>
      <c r="AX132" s="109">
        <f t="shared" si="101"/>
        <v>5000</v>
      </c>
      <c r="AY132" s="109">
        <f t="shared" si="101"/>
        <v>5000</v>
      </c>
      <c r="AZ132" s="109">
        <f t="shared" si="101"/>
        <v>5000</v>
      </c>
      <c r="BA132" s="109">
        <f t="shared" si="101"/>
        <v>5000</v>
      </c>
      <c r="BB132" s="109">
        <f t="shared" si="101"/>
        <v>5000</v>
      </c>
      <c r="BC132" s="109">
        <f t="shared" si="101"/>
        <v>5000</v>
      </c>
      <c r="BD132" s="109">
        <f t="shared" si="101"/>
        <v>5000</v>
      </c>
      <c r="BE132" s="109">
        <f t="shared" si="101"/>
        <v>5000</v>
      </c>
      <c r="BF132" s="109">
        <f t="shared" si="101"/>
        <v>5000</v>
      </c>
      <c r="BG132" s="109">
        <f t="shared" si="101"/>
        <v>5000</v>
      </c>
      <c r="BH132" s="109">
        <f t="shared" si="101"/>
        <v>5000</v>
      </c>
      <c r="BI132" s="109">
        <f t="shared" si="101"/>
        <v>5000</v>
      </c>
      <c r="BJ132" s="109">
        <f t="shared" si="101"/>
        <v>5000</v>
      </c>
      <c r="BK132" s="109">
        <f t="shared" si="101"/>
        <v>5000</v>
      </c>
      <c r="BL132" s="109">
        <f t="shared" si="101"/>
        <v>5000</v>
      </c>
      <c r="BM132" s="109">
        <f t="shared" si="101"/>
        <v>5000</v>
      </c>
      <c r="BN132" s="109">
        <f t="shared" si="101"/>
        <v>5000</v>
      </c>
    </row>
    <row r="133" outlineLevel="1">
      <c r="A133" s="47"/>
      <c r="B133" s="143" t="s">
        <v>90</v>
      </c>
      <c r="C133" s="144">
        <v>80000.0</v>
      </c>
      <c r="D133" s="145">
        <v>0.2</v>
      </c>
      <c r="E133" s="146">
        <v>44166.0</v>
      </c>
      <c r="F133" s="109"/>
      <c r="G133" s="109">
        <f t="shared" ref="G133:BN133" si="102">IF(G$4&gt;=$E133,($C133/12)*(1+$D133),0)</f>
        <v>8000</v>
      </c>
      <c r="H133" s="109">
        <f t="shared" si="102"/>
        <v>8000</v>
      </c>
      <c r="I133" s="109">
        <f t="shared" si="102"/>
        <v>8000</v>
      </c>
      <c r="J133" s="109">
        <f t="shared" si="102"/>
        <v>8000</v>
      </c>
      <c r="K133" s="109">
        <f t="shared" si="102"/>
        <v>8000</v>
      </c>
      <c r="L133" s="109">
        <f t="shared" si="102"/>
        <v>8000</v>
      </c>
      <c r="M133" s="109">
        <f t="shared" si="102"/>
        <v>8000</v>
      </c>
      <c r="N133" s="109">
        <f t="shared" si="102"/>
        <v>8000</v>
      </c>
      <c r="O133" s="109">
        <f t="shared" si="102"/>
        <v>8000</v>
      </c>
      <c r="P133" s="109">
        <f t="shared" si="102"/>
        <v>8000</v>
      </c>
      <c r="Q133" s="109">
        <f t="shared" si="102"/>
        <v>8000</v>
      </c>
      <c r="R133" s="109">
        <f t="shared" si="102"/>
        <v>8000</v>
      </c>
      <c r="S133" s="109">
        <f t="shared" si="102"/>
        <v>8000</v>
      </c>
      <c r="T133" s="109">
        <f t="shared" si="102"/>
        <v>8000</v>
      </c>
      <c r="U133" s="109">
        <f t="shared" si="102"/>
        <v>8000</v>
      </c>
      <c r="V133" s="109">
        <f t="shared" si="102"/>
        <v>8000</v>
      </c>
      <c r="W133" s="109">
        <f t="shared" si="102"/>
        <v>8000</v>
      </c>
      <c r="X133" s="109">
        <f t="shared" si="102"/>
        <v>8000</v>
      </c>
      <c r="Y133" s="109">
        <f t="shared" si="102"/>
        <v>8000</v>
      </c>
      <c r="Z133" s="109">
        <f t="shared" si="102"/>
        <v>8000</v>
      </c>
      <c r="AA133" s="109">
        <f t="shared" si="102"/>
        <v>8000</v>
      </c>
      <c r="AB133" s="109">
        <f t="shared" si="102"/>
        <v>8000</v>
      </c>
      <c r="AC133" s="109">
        <f t="shared" si="102"/>
        <v>8000</v>
      </c>
      <c r="AD133" s="109">
        <f t="shared" si="102"/>
        <v>8000</v>
      </c>
      <c r="AE133" s="109">
        <f t="shared" si="102"/>
        <v>8000</v>
      </c>
      <c r="AF133" s="109">
        <f t="shared" si="102"/>
        <v>8000</v>
      </c>
      <c r="AG133" s="109">
        <f t="shared" si="102"/>
        <v>8000</v>
      </c>
      <c r="AH133" s="109">
        <f t="shared" si="102"/>
        <v>8000</v>
      </c>
      <c r="AI133" s="109">
        <f t="shared" si="102"/>
        <v>8000</v>
      </c>
      <c r="AJ133" s="109">
        <f t="shared" si="102"/>
        <v>8000</v>
      </c>
      <c r="AK133" s="109">
        <f t="shared" si="102"/>
        <v>8000</v>
      </c>
      <c r="AL133" s="109">
        <f t="shared" si="102"/>
        <v>8000</v>
      </c>
      <c r="AM133" s="109">
        <f t="shared" si="102"/>
        <v>8000</v>
      </c>
      <c r="AN133" s="109">
        <f t="shared" si="102"/>
        <v>8000</v>
      </c>
      <c r="AO133" s="109">
        <f t="shared" si="102"/>
        <v>8000</v>
      </c>
      <c r="AP133" s="109">
        <f t="shared" si="102"/>
        <v>8000</v>
      </c>
      <c r="AQ133" s="109">
        <f t="shared" si="102"/>
        <v>8000</v>
      </c>
      <c r="AR133" s="109">
        <f t="shared" si="102"/>
        <v>8000</v>
      </c>
      <c r="AS133" s="109">
        <f t="shared" si="102"/>
        <v>8000</v>
      </c>
      <c r="AT133" s="109">
        <f t="shared" si="102"/>
        <v>8000</v>
      </c>
      <c r="AU133" s="109">
        <f t="shared" si="102"/>
        <v>8000</v>
      </c>
      <c r="AV133" s="109">
        <f t="shared" si="102"/>
        <v>8000</v>
      </c>
      <c r="AW133" s="109">
        <f t="shared" si="102"/>
        <v>8000</v>
      </c>
      <c r="AX133" s="109">
        <f t="shared" si="102"/>
        <v>8000</v>
      </c>
      <c r="AY133" s="109">
        <f t="shared" si="102"/>
        <v>8000</v>
      </c>
      <c r="AZ133" s="109">
        <f t="shared" si="102"/>
        <v>8000</v>
      </c>
      <c r="BA133" s="109">
        <f t="shared" si="102"/>
        <v>8000</v>
      </c>
      <c r="BB133" s="109">
        <f t="shared" si="102"/>
        <v>8000</v>
      </c>
      <c r="BC133" s="109">
        <f t="shared" si="102"/>
        <v>8000</v>
      </c>
      <c r="BD133" s="109">
        <f t="shared" si="102"/>
        <v>8000</v>
      </c>
      <c r="BE133" s="109">
        <f t="shared" si="102"/>
        <v>8000</v>
      </c>
      <c r="BF133" s="109">
        <f t="shared" si="102"/>
        <v>8000</v>
      </c>
      <c r="BG133" s="109">
        <f t="shared" si="102"/>
        <v>8000</v>
      </c>
      <c r="BH133" s="109">
        <f t="shared" si="102"/>
        <v>8000</v>
      </c>
      <c r="BI133" s="109">
        <f t="shared" si="102"/>
        <v>8000</v>
      </c>
      <c r="BJ133" s="109">
        <f t="shared" si="102"/>
        <v>8000</v>
      </c>
      <c r="BK133" s="109">
        <f t="shared" si="102"/>
        <v>8000</v>
      </c>
      <c r="BL133" s="109">
        <f t="shared" si="102"/>
        <v>8000</v>
      </c>
      <c r="BM133" s="109">
        <f t="shared" si="102"/>
        <v>8000</v>
      </c>
      <c r="BN133" s="109">
        <f t="shared" si="102"/>
        <v>8000</v>
      </c>
    </row>
    <row r="134" outlineLevel="1">
      <c r="A134" s="47"/>
      <c r="B134" s="143" t="s">
        <v>91</v>
      </c>
      <c r="C134" s="144">
        <v>90000.0</v>
      </c>
      <c r="D134" s="145">
        <v>0.2</v>
      </c>
      <c r="E134" s="146">
        <v>44256.0</v>
      </c>
      <c r="F134" s="109"/>
      <c r="G134" s="109">
        <f t="shared" ref="G134:BN134" si="103">IF(G$4&gt;=$E134,($C134/12)*(1+$D134),0)</f>
        <v>9000</v>
      </c>
      <c r="H134" s="109">
        <f t="shared" si="103"/>
        <v>9000</v>
      </c>
      <c r="I134" s="109">
        <f t="shared" si="103"/>
        <v>9000</v>
      </c>
      <c r="J134" s="109">
        <f t="shared" si="103"/>
        <v>9000</v>
      </c>
      <c r="K134" s="109">
        <f t="shared" si="103"/>
        <v>9000</v>
      </c>
      <c r="L134" s="109">
        <f t="shared" si="103"/>
        <v>9000</v>
      </c>
      <c r="M134" s="109">
        <f t="shared" si="103"/>
        <v>9000</v>
      </c>
      <c r="N134" s="109">
        <f t="shared" si="103"/>
        <v>9000</v>
      </c>
      <c r="O134" s="109">
        <f t="shared" si="103"/>
        <v>9000</v>
      </c>
      <c r="P134" s="109">
        <f t="shared" si="103"/>
        <v>9000</v>
      </c>
      <c r="Q134" s="109">
        <f t="shared" si="103"/>
        <v>9000</v>
      </c>
      <c r="R134" s="109">
        <f t="shared" si="103"/>
        <v>9000</v>
      </c>
      <c r="S134" s="109">
        <f t="shared" si="103"/>
        <v>9000</v>
      </c>
      <c r="T134" s="109">
        <f t="shared" si="103"/>
        <v>9000</v>
      </c>
      <c r="U134" s="109">
        <f t="shared" si="103"/>
        <v>9000</v>
      </c>
      <c r="V134" s="109">
        <f t="shared" si="103"/>
        <v>9000</v>
      </c>
      <c r="W134" s="109">
        <f t="shared" si="103"/>
        <v>9000</v>
      </c>
      <c r="X134" s="109">
        <f t="shared" si="103"/>
        <v>9000</v>
      </c>
      <c r="Y134" s="109">
        <f t="shared" si="103"/>
        <v>9000</v>
      </c>
      <c r="Z134" s="109">
        <f t="shared" si="103"/>
        <v>9000</v>
      </c>
      <c r="AA134" s="109">
        <f t="shared" si="103"/>
        <v>9000</v>
      </c>
      <c r="AB134" s="109">
        <f t="shared" si="103"/>
        <v>9000</v>
      </c>
      <c r="AC134" s="109">
        <f t="shared" si="103"/>
        <v>9000</v>
      </c>
      <c r="AD134" s="109">
        <f t="shared" si="103"/>
        <v>9000</v>
      </c>
      <c r="AE134" s="109">
        <f t="shared" si="103"/>
        <v>9000</v>
      </c>
      <c r="AF134" s="109">
        <f t="shared" si="103"/>
        <v>9000</v>
      </c>
      <c r="AG134" s="109">
        <f t="shared" si="103"/>
        <v>9000</v>
      </c>
      <c r="AH134" s="109">
        <f t="shared" si="103"/>
        <v>9000</v>
      </c>
      <c r="AI134" s="109">
        <f t="shared" si="103"/>
        <v>9000</v>
      </c>
      <c r="AJ134" s="109">
        <f t="shared" si="103"/>
        <v>9000</v>
      </c>
      <c r="AK134" s="109">
        <f t="shared" si="103"/>
        <v>9000</v>
      </c>
      <c r="AL134" s="109">
        <f t="shared" si="103"/>
        <v>9000</v>
      </c>
      <c r="AM134" s="109">
        <f t="shared" si="103"/>
        <v>9000</v>
      </c>
      <c r="AN134" s="109">
        <f t="shared" si="103"/>
        <v>9000</v>
      </c>
      <c r="AO134" s="109">
        <f t="shared" si="103"/>
        <v>9000</v>
      </c>
      <c r="AP134" s="109">
        <f t="shared" si="103"/>
        <v>9000</v>
      </c>
      <c r="AQ134" s="109">
        <f t="shared" si="103"/>
        <v>9000</v>
      </c>
      <c r="AR134" s="109">
        <f t="shared" si="103"/>
        <v>9000</v>
      </c>
      <c r="AS134" s="109">
        <f t="shared" si="103"/>
        <v>9000</v>
      </c>
      <c r="AT134" s="109">
        <f t="shared" si="103"/>
        <v>9000</v>
      </c>
      <c r="AU134" s="109">
        <f t="shared" si="103"/>
        <v>9000</v>
      </c>
      <c r="AV134" s="109">
        <f t="shared" si="103"/>
        <v>9000</v>
      </c>
      <c r="AW134" s="109">
        <f t="shared" si="103"/>
        <v>9000</v>
      </c>
      <c r="AX134" s="109">
        <f t="shared" si="103"/>
        <v>9000</v>
      </c>
      <c r="AY134" s="109">
        <f t="shared" si="103"/>
        <v>9000</v>
      </c>
      <c r="AZ134" s="109">
        <f t="shared" si="103"/>
        <v>9000</v>
      </c>
      <c r="BA134" s="109">
        <f t="shared" si="103"/>
        <v>9000</v>
      </c>
      <c r="BB134" s="109">
        <f t="shared" si="103"/>
        <v>9000</v>
      </c>
      <c r="BC134" s="109">
        <f t="shared" si="103"/>
        <v>9000</v>
      </c>
      <c r="BD134" s="109">
        <f t="shared" si="103"/>
        <v>9000</v>
      </c>
      <c r="BE134" s="109">
        <f t="shared" si="103"/>
        <v>9000</v>
      </c>
      <c r="BF134" s="109">
        <f t="shared" si="103"/>
        <v>9000</v>
      </c>
      <c r="BG134" s="109">
        <f t="shared" si="103"/>
        <v>9000</v>
      </c>
      <c r="BH134" s="109">
        <f t="shared" si="103"/>
        <v>9000</v>
      </c>
      <c r="BI134" s="109">
        <f t="shared" si="103"/>
        <v>9000</v>
      </c>
      <c r="BJ134" s="109">
        <f t="shared" si="103"/>
        <v>9000</v>
      </c>
      <c r="BK134" s="109">
        <f t="shared" si="103"/>
        <v>9000</v>
      </c>
      <c r="BL134" s="109">
        <f t="shared" si="103"/>
        <v>9000</v>
      </c>
      <c r="BM134" s="109">
        <f t="shared" si="103"/>
        <v>9000</v>
      </c>
      <c r="BN134" s="109">
        <f t="shared" si="103"/>
        <v>9000</v>
      </c>
    </row>
    <row r="135" outlineLevel="1">
      <c r="A135" s="47"/>
      <c r="B135" s="143" t="s">
        <v>92</v>
      </c>
      <c r="C135" s="144">
        <v>45000.0</v>
      </c>
      <c r="D135" s="145">
        <v>0.2</v>
      </c>
      <c r="E135" s="146">
        <v>44348.0</v>
      </c>
      <c r="F135" s="109"/>
      <c r="G135" s="109">
        <f t="shared" ref="G135:BN135" si="104">IF(G$4&gt;=$E135,($C135/12)*(1+$D135),0)</f>
        <v>4500</v>
      </c>
      <c r="H135" s="109">
        <f t="shared" si="104"/>
        <v>4500</v>
      </c>
      <c r="I135" s="109">
        <f t="shared" si="104"/>
        <v>4500</v>
      </c>
      <c r="J135" s="109">
        <f t="shared" si="104"/>
        <v>4500</v>
      </c>
      <c r="K135" s="109">
        <f t="shared" si="104"/>
        <v>4500</v>
      </c>
      <c r="L135" s="109">
        <f t="shared" si="104"/>
        <v>4500</v>
      </c>
      <c r="M135" s="109">
        <f t="shared" si="104"/>
        <v>4500</v>
      </c>
      <c r="N135" s="109">
        <f t="shared" si="104"/>
        <v>4500</v>
      </c>
      <c r="O135" s="109">
        <f t="shared" si="104"/>
        <v>4500</v>
      </c>
      <c r="P135" s="109">
        <f t="shared" si="104"/>
        <v>4500</v>
      </c>
      <c r="Q135" s="109">
        <f t="shared" si="104"/>
        <v>4500</v>
      </c>
      <c r="R135" s="109">
        <f t="shared" si="104"/>
        <v>4500</v>
      </c>
      <c r="S135" s="109">
        <f t="shared" si="104"/>
        <v>4500</v>
      </c>
      <c r="T135" s="109">
        <f t="shared" si="104"/>
        <v>4500</v>
      </c>
      <c r="U135" s="109">
        <f t="shared" si="104"/>
        <v>4500</v>
      </c>
      <c r="V135" s="109">
        <f t="shared" si="104"/>
        <v>4500</v>
      </c>
      <c r="W135" s="109">
        <f t="shared" si="104"/>
        <v>4500</v>
      </c>
      <c r="X135" s="109">
        <f t="shared" si="104"/>
        <v>4500</v>
      </c>
      <c r="Y135" s="109">
        <f t="shared" si="104"/>
        <v>4500</v>
      </c>
      <c r="Z135" s="109">
        <f t="shared" si="104"/>
        <v>4500</v>
      </c>
      <c r="AA135" s="109">
        <f t="shared" si="104"/>
        <v>4500</v>
      </c>
      <c r="AB135" s="109">
        <f t="shared" si="104"/>
        <v>4500</v>
      </c>
      <c r="AC135" s="109">
        <f t="shared" si="104"/>
        <v>4500</v>
      </c>
      <c r="AD135" s="109">
        <f t="shared" si="104"/>
        <v>4500</v>
      </c>
      <c r="AE135" s="109">
        <f t="shared" si="104"/>
        <v>4500</v>
      </c>
      <c r="AF135" s="109">
        <f t="shared" si="104"/>
        <v>4500</v>
      </c>
      <c r="AG135" s="109">
        <f t="shared" si="104"/>
        <v>4500</v>
      </c>
      <c r="AH135" s="109">
        <f t="shared" si="104"/>
        <v>4500</v>
      </c>
      <c r="AI135" s="109">
        <f t="shared" si="104"/>
        <v>4500</v>
      </c>
      <c r="AJ135" s="109">
        <f t="shared" si="104"/>
        <v>4500</v>
      </c>
      <c r="AK135" s="109">
        <f t="shared" si="104"/>
        <v>4500</v>
      </c>
      <c r="AL135" s="109">
        <f t="shared" si="104"/>
        <v>4500</v>
      </c>
      <c r="AM135" s="109">
        <f t="shared" si="104"/>
        <v>4500</v>
      </c>
      <c r="AN135" s="109">
        <f t="shared" si="104"/>
        <v>4500</v>
      </c>
      <c r="AO135" s="109">
        <f t="shared" si="104"/>
        <v>4500</v>
      </c>
      <c r="AP135" s="109">
        <f t="shared" si="104"/>
        <v>4500</v>
      </c>
      <c r="AQ135" s="109">
        <f t="shared" si="104"/>
        <v>4500</v>
      </c>
      <c r="AR135" s="109">
        <f t="shared" si="104"/>
        <v>4500</v>
      </c>
      <c r="AS135" s="109">
        <f t="shared" si="104"/>
        <v>4500</v>
      </c>
      <c r="AT135" s="109">
        <f t="shared" si="104"/>
        <v>4500</v>
      </c>
      <c r="AU135" s="109">
        <f t="shared" si="104"/>
        <v>4500</v>
      </c>
      <c r="AV135" s="109">
        <f t="shared" si="104"/>
        <v>4500</v>
      </c>
      <c r="AW135" s="109">
        <f t="shared" si="104"/>
        <v>4500</v>
      </c>
      <c r="AX135" s="109">
        <f t="shared" si="104"/>
        <v>4500</v>
      </c>
      <c r="AY135" s="109">
        <f t="shared" si="104"/>
        <v>4500</v>
      </c>
      <c r="AZ135" s="109">
        <f t="shared" si="104"/>
        <v>4500</v>
      </c>
      <c r="BA135" s="109">
        <f t="shared" si="104"/>
        <v>4500</v>
      </c>
      <c r="BB135" s="109">
        <f t="shared" si="104"/>
        <v>4500</v>
      </c>
      <c r="BC135" s="109">
        <f t="shared" si="104"/>
        <v>4500</v>
      </c>
      <c r="BD135" s="109">
        <f t="shared" si="104"/>
        <v>4500</v>
      </c>
      <c r="BE135" s="109">
        <f t="shared" si="104"/>
        <v>4500</v>
      </c>
      <c r="BF135" s="109">
        <f t="shared" si="104"/>
        <v>4500</v>
      </c>
      <c r="BG135" s="109">
        <f t="shared" si="104"/>
        <v>4500</v>
      </c>
      <c r="BH135" s="109">
        <f t="shared" si="104"/>
        <v>4500</v>
      </c>
      <c r="BI135" s="109">
        <f t="shared" si="104"/>
        <v>4500</v>
      </c>
      <c r="BJ135" s="109">
        <f t="shared" si="104"/>
        <v>4500</v>
      </c>
      <c r="BK135" s="109">
        <f t="shared" si="104"/>
        <v>4500</v>
      </c>
      <c r="BL135" s="109">
        <f t="shared" si="104"/>
        <v>4500</v>
      </c>
      <c r="BM135" s="109">
        <f t="shared" si="104"/>
        <v>4500</v>
      </c>
      <c r="BN135" s="109">
        <f t="shared" si="104"/>
        <v>4500</v>
      </c>
    </row>
    <row r="136" outlineLevel="1">
      <c r="A136" s="47"/>
      <c r="B136" s="143" t="s">
        <v>93</v>
      </c>
      <c r="C136" s="144">
        <v>75000.0</v>
      </c>
      <c r="D136" s="145">
        <v>0.2</v>
      </c>
      <c r="E136" s="146">
        <v>43983.0</v>
      </c>
      <c r="F136" s="109"/>
      <c r="G136" s="109">
        <f t="shared" ref="G136:BN136" si="105">IF(G$4&gt;=$E136,($C136/12)*(1+$D136),0)</f>
        <v>7500</v>
      </c>
      <c r="H136" s="109">
        <f t="shared" si="105"/>
        <v>7500</v>
      </c>
      <c r="I136" s="109">
        <f t="shared" si="105"/>
        <v>7500</v>
      </c>
      <c r="J136" s="109">
        <f t="shared" si="105"/>
        <v>7500</v>
      </c>
      <c r="K136" s="109">
        <f t="shared" si="105"/>
        <v>7500</v>
      </c>
      <c r="L136" s="109">
        <f t="shared" si="105"/>
        <v>7500</v>
      </c>
      <c r="M136" s="109">
        <f t="shared" si="105"/>
        <v>7500</v>
      </c>
      <c r="N136" s="109">
        <f t="shared" si="105"/>
        <v>7500</v>
      </c>
      <c r="O136" s="109">
        <f t="shared" si="105"/>
        <v>7500</v>
      </c>
      <c r="P136" s="109">
        <f t="shared" si="105"/>
        <v>7500</v>
      </c>
      <c r="Q136" s="109">
        <f t="shared" si="105"/>
        <v>7500</v>
      </c>
      <c r="R136" s="109">
        <f t="shared" si="105"/>
        <v>7500</v>
      </c>
      <c r="S136" s="109">
        <f t="shared" si="105"/>
        <v>7500</v>
      </c>
      <c r="T136" s="109">
        <f t="shared" si="105"/>
        <v>7500</v>
      </c>
      <c r="U136" s="109">
        <f t="shared" si="105"/>
        <v>7500</v>
      </c>
      <c r="V136" s="109">
        <f t="shared" si="105"/>
        <v>7500</v>
      </c>
      <c r="W136" s="109">
        <f t="shared" si="105"/>
        <v>7500</v>
      </c>
      <c r="X136" s="109">
        <f t="shared" si="105"/>
        <v>7500</v>
      </c>
      <c r="Y136" s="109">
        <f t="shared" si="105"/>
        <v>7500</v>
      </c>
      <c r="Z136" s="109">
        <f t="shared" si="105"/>
        <v>7500</v>
      </c>
      <c r="AA136" s="109">
        <f t="shared" si="105"/>
        <v>7500</v>
      </c>
      <c r="AB136" s="109">
        <f t="shared" si="105"/>
        <v>7500</v>
      </c>
      <c r="AC136" s="109">
        <f t="shared" si="105"/>
        <v>7500</v>
      </c>
      <c r="AD136" s="109">
        <f t="shared" si="105"/>
        <v>7500</v>
      </c>
      <c r="AE136" s="109">
        <f t="shared" si="105"/>
        <v>7500</v>
      </c>
      <c r="AF136" s="109">
        <f t="shared" si="105"/>
        <v>7500</v>
      </c>
      <c r="AG136" s="109">
        <f t="shared" si="105"/>
        <v>7500</v>
      </c>
      <c r="AH136" s="109">
        <f t="shared" si="105"/>
        <v>7500</v>
      </c>
      <c r="AI136" s="109">
        <f t="shared" si="105"/>
        <v>7500</v>
      </c>
      <c r="AJ136" s="109">
        <f t="shared" si="105"/>
        <v>7500</v>
      </c>
      <c r="AK136" s="109">
        <f t="shared" si="105"/>
        <v>7500</v>
      </c>
      <c r="AL136" s="109">
        <f t="shared" si="105"/>
        <v>7500</v>
      </c>
      <c r="AM136" s="109">
        <f t="shared" si="105"/>
        <v>7500</v>
      </c>
      <c r="AN136" s="109">
        <f t="shared" si="105"/>
        <v>7500</v>
      </c>
      <c r="AO136" s="109">
        <f t="shared" si="105"/>
        <v>7500</v>
      </c>
      <c r="AP136" s="109">
        <f t="shared" si="105"/>
        <v>7500</v>
      </c>
      <c r="AQ136" s="109">
        <f t="shared" si="105"/>
        <v>7500</v>
      </c>
      <c r="AR136" s="109">
        <f t="shared" si="105"/>
        <v>7500</v>
      </c>
      <c r="AS136" s="109">
        <f t="shared" si="105"/>
        <v>7500</v>
      </c>
      <c r="AT136" s="109">
        <f t="shared" si="105"/>
        <v>7500</v>
      </c>
      <c r="AU136" s="109">
        <f t="shared" si="105"/>
        <v>7500</v>
      </c>
      <c r="AV136" s="109">
        <f t="shared" si="105"/>
        <v>7500</v>
      </c>
      <c r="AW136" s="109">
        <f t="shared" si="105"/>
        <v>7500</v>
      </c>
      <c r="AX136" s="109">
        <f t="shared" si="105"/>
        <v>7500</v>
      </c>
      <c r="AY136" s="109">
        <f t="shared" si="105"/>
        <v>7500</v>
      </c>
      <c r="AZ136" s="109">
        <f t="shared" si="105"/>
        <v>7500</v>
      </c>
      <c r="BA136" s="109">
        <f t="shared" si="105"/>
        <v>7500</v>
      </c>
      <c r="BB136" s="109">
        <f t="shared" si="105"/>
        <v>7500</v>
      </c>
      <c r="BC136" s="109">
        <f t="shared" si="105"/>
        <v>7500</v>
      </c>
      <c r="BD136" s="109">
        <f t="shared" si="105"/>
        <v>7500</v>
      </c>
      <c r="BE136" s="109">
        <f t="shared" si="105"/>
        <v>7500</v>
      </c>
      <c r="BF136" s="109">
        <f t="shared" si="105"/>
        <v>7500</v>
      </c>
      <c r="BG136" s="109">
        <f t="shared" si="105"/>
        <v>7500</v>
      </c>
      <c r="BH136" s="109">
        <f t="shared" si="105"/>
        <v>7500</v>
      </c>
      <c r="BI136" s="109">
        <f t="shared" si="105"/>
        <v>7500</v>
      </c>
      <c r="BJ136" s="109">
        <f t="shared" si="105"/>
        <v>7500</v>
      </c>
      <c r="BK136" s="109">
        <f t="shared" si="105"/>
        <v>7500</v>
      </c>
      <c r="BL136" s="109">
        <f t="shared" si="105"/>
        <v>7500</v>
      </c>
      <c r="BM136" s="109">
        <f t="shared" si="105"/>
        <v>7500</v>
      </c>
      <c r="BN136" s="109">
        <f t="shared" si="105"/>
        <v>7500</v>
      </c>
    </row>
    <row r="137" outlineLevel="1">
      <c r="A137" s="47"/>
      <c r="B137" s="143" t="s">
        <v>94</v>
      </c>
      <c r="C137" s="144">
        <v>50000.0</v>
      </c>
      <c r="D137" s="145">
        <v>0.2</v>
      </c>
      <c r="E137" s="146">
        <v>44075.0</v>
      </c>
      <c r="F137" s="109"/>
      <c r="G137" s="109">
        <f t="shared" ref="G137:BN137" si="106">IF(G$4&gt;=$E137,($C137/12)*(1+$D137),0)</f>
        <v>5000</v>
      </c>
      <c r="H137" s="109">
        <f t="shared" si="106"/>
        <v>5000</v>
      </c>
      <c r="I137" s="109">
        <f t="shared" si="106"/>
        <v>5000</v>
      </c>
      <c r="J137" s="109">
        <f t="shared" si="106"/>
        <v>5000</v>
      </c>
      <c r="K137" s="109">
        <f t="shared" si="106"/>
        <v>5000</v>
      </c>
      <c r="L137" s="109">
        <f t="shared" si="106"/>
        <v>5000</v>
      </c>
      <c r="M137" s="109">
        <f t="shared" si="106"/>
        <v>5000</v>
      </c>
      <c r="N137" s="109">
        <f t="shared" si="106"/>
        <v>5000</v>
      </c>
      <c r="O137" s="109">
        <f t="shared" si="106"/>
        <v>5000</v>
      </c>
      <c r="P137" s="109">
        <f t="shared" si="106"/>
        <v>5000</v>
      </c>
      <c r="Q137" s="109">
        <f t="shared" si="106"/>
        <v>5000</v>
      </c>
      <c r="R137" s="109">
        <f t="shared" si="106"/>
        <v>5000</v>
      </c>
      <c r="S137" s="109">
        <f t="shared" si="106"/>
        <v>5000</v>
      </c>
      <c r="T137" s="109">
        <f t="shared" si="106"/>
        <v>5000</v>
      </c>
      <c r="U137" s="109">
        <f t="shared" si="106"/>
        <v>5000</v>
      </c>
      <c r="V137" s="109">
        <f t="shared" si="106"/>
        <v>5000</v>
      </c>
      <c r="W137" s="109">
        <f t="shared" si="106"/>
        <v>5000</v>
      </c>
      <c r="X137" s="109">
        <f t="shared" si="106"/>
        <v>5000</v>
      </c>
      <c r="Y137" s="109">
        <f t="shared" si="106"/>
        <v>5000</v>
      </c>
      <c r="Z137" s="109">
        <f t="shared" si="106"/>
        <v>5000</v>
      </c>
      <c r="AA137" s="109">
        <f t="shared" si="106"/>
        <v>5000</v>
      </c>
      <c r="AB137" s="109">
        <f t="shared" si="106"/>
        <v>5000</v>
      </c>
      <c r="AC137" s="109">
        <f t="shared" si="106"/>
        <v>5000</v>
      </c>
      <c r="AD137" s="109">
        <f t="shared" si="106"/>
        <v>5000</v>
      </c>
      <c r="AE137" s="109">
        <f t="shared" si="106"/>
        <v>5000</v>
      </c>
      <c r="AF137" s="109">
        <f t="shared" si="106"/>
        <v>5000</v>
      </c>
      <c r="AG137" s="109">
        <f t="shared" si="106"/>
        <v>5000</v>
      </c>
      <c r="AH137" s="109">
        <f t="shared" si="106"/>
        <v>5000</v>
      </c>
      <c r="AI137" s="109">
        <f t="shared" si="106"/>
        <v>5000</v>
      </c>
      <c r="AJ137" s="109">
        <f t="shared" si="106"/>
        <v>5000</v>
      </c>
      <c r="AK137" s="109">
        <f t="shared" si="106"/>
        <v>5000</v>
      </c>
      <c r="AL137" s="109">
        <f t="shared" si="106"/>
        <v>5000</v>
      </c>
      <c r="AM137" s="109">
        <f t="shared" si="106"/>
        <v>5000</v>
      </c>
      <c r="AN137" s="109">
        <f t="shared" si="106"/>
        <v>5000</v>
      </c>
      <c r="AO137" s="109">
        <f t="shared" si="106"/>
        <v>5000</v>
      </c>
      <c r="AP137" s="109">
        <f t="shared" si="106"/>
        <v>5000</v>
      </c>
      <c r="AQ137" s="109">
        <f t="shared" si="106"/>
        <v>5000</v>
      </c>
      <c r="AR137" s="109">
        <f t="shared" si="106"/>
        <v>5000</v>
      </c>
      <c r="AS137" s="109">
        <f t="shared" si="106"/>
        <v>5000</v>
      </c>
      <c r="AT137" s="109">
        <f t="shared" si="106"/>
        <v>5000</v>
      </c>
      <c r="AU137" s="109">
        <f t="shared" si="106"/>
        <v>5000</v>
      </c>
      <c r="AV137" s="109">
        <f t="shared" si="106"/>
        <v>5000</v>
      </c>
      <c r="AW137" s="109">
        <f t="shared" si="106"/>
        <v>5000</v>
      </c>
      <c r="AX137" s="109">
        <f t="shared" si="106"/>
        <v>5000</v>
      </c>
      <c r="AY137" s="109">
        <f t="shared" si="106"/>
        <v>5000</v>
      </c>
      <c r="AZ137" s="109">
        <f t="shared" si="106"/>
        <v>5000</v>
      </c>
      <c r="BA137" s="109">
        <f t="shared" si="106"/>
        <v>5000</v>
      </c>
      <c r="BB137" s="109">
        <f t="shared" si="106"/>
        <v>5000</v>
      </c>
      <c r="BC137" s="109">
        <f t="shared" si="106"/>
        <v>5000</v>
      </c>
      <c r="BD137" s="109">
        <f t="shared" si="106"/>
        <v>5000</v>
      </c>
      <c r="BE137" s="109">
        <f t="shared" si="106"/>
        <v>5000</v>
      </c>
      <c r="BF137" s="109">
        <f t="shared" si="106"/>
        <v>5000</v>
      </c>
      <c r="BG137" s="109">
        <f t="shared" si="106"/>
        <v>5000</v>
      </c>
      <c r="BH137" s="109">
        <f t="shared" si="106"/>
        <v>5000</v>
      </c>
      <c r="BI137" s="109">
        <f t="shared" si="106"/>
        <v>5000</v>
      </c>
      <c r="BJ137" s="109">
        <f t="shared" si="106"/>
        <v>5000</v>
      </c>
      <c r="BK137" s="109">
        <f t="shared" si="106"/>
        <v>5000</v>
      </c>
      <c r="BL137" s="109">
        <f t="shared" si="106"/>
        <v>5000</v>
      </c>
      <c r="BM137" s="109">
        <f t="shared" si="106"/>
        <v>5000</v>
      </c>
      <c r="BN137" s="109">
        <f t="shared" si="106"/>
        <v>5000</v>
      </c>
    </row>
    <row r="138" outlineLevel="1">
      <c r="A138" s="47"/>
      <c r="B138" s="143" t="s">
        <v>95</v>
      </c>
      <c r="C138" s="144">
        <v>80000.0</v>
      </c>
      <c r="D138" s="145">
        <v>0.2</v>
      </c>
      <c r="E138" s="146">
        <v>44166.0</v>
      </c>
      <c r="F138" s="109"/>
      <c r="G138" s="109">
        <f t="shared" ref="G138:BN138" si="107">IF(G$4&gt;=$E138,($C138/12)*(1+$D138),0)</f>
        <v>8000</v>
      </c>
      <c r="H138" s="109">
        <f t="shared" si="107"/>
        <v>8000</v>
      </c>
      <c r="I138" s="109">
        <f t="shared" si="107"/>
        <v>8000</v>
      </c>
      <c r="J138" s="109">
        <f t="shared" si="107"/>
        <v>8000</v>
      </c>
      <c r="K138" s="109">
        <f t="shared" si="107"/>
        <v>8000</v>
      </c>
      <c r="L138" s="109">
        <f t="shared" si="107"/>
        <v>8000</v>
      </c>
      <c r="M138" s="109">
        <f t="shared" si="107"/>
        <v>8000</v>
      </c>
      <c r="N138" s="109">
        <f t="shared" si="107"/>
        <v>8000</v>
      </c>
      <c r="O138" s="109">
        <f t="shared" si="107"/>
        <v>8000</v>
      </c>
      <c r="P138" s="109">
        <f t="shared" si="107"/>
        <v>8000</v>
      </c>
      <c r="Q138" s="109">
        <f t="shared" si="107"/>
        <v>8000</v>
      </c>
      <c r="R138" s="109">
        <f t="shared" si="107"/>
        <v>8000</v>
      </c>
      <c r="S138" s="109">
        <f t="shared" si="107"/>
        <v>8000</v>
      </c>
      <c r="T138" s="109">
        <f t="shared" si="107"/>
        <v>8000</v>
      </c>
      <c r="U138" s="109">
        <f t="shared" si="107"/>
        <v>8000</v>
      </c>
      <c r="V138" s="109">
        <f t="shared" si="107"/>
        <v>8000</v>
      </c>
      <c r="W138" s="109">
        <f t="shared" si="107"/>
        <v>8000</v>
      </c>
      <c r="X138" s="109">
        <f t="shared" si="107"/>
        <v>8000</v>
      </c>
      <c r="Y138" s="109">
        <f t="shared" si="107"/>
        <v>8000</v>
      </c>
      <c r="Z138" s="109">
        <f t="shared" si="107"/>
        <v>8000</v>
      </c>
      <c r="AA138" s="109">
        <f t="shared" si="107"/>
        <v>8000</v>
      </c>
      <c r="AB138" s="109">
        <f t="shared" si="107"/>
        <v>8000</v>
      </c>
      <c r="AC138" s="109">
        <f t="shared" si="107"/>
        <v>8000</v>
      </c>
      <c r="AD138" s="109">
        <f t="shared" si="107"/>
        <v>8000</v>
      </c>
      <c r="AE138" s="109">
        <f t="shared" si="107"/>
        <v>8000</v>
      </c>
      <c r="AF138" s="109">
        <f t="shared" si="107"/>
        <v>8000</v>
      </c>
      <c r="AG138" s="109">
        <f t="shared" si="107"/>
        <v>8000</v>
      </c>
      <c r="AH138" s="109">
        <f t="shared" si="107"/>
        <v>8000</v>
      </c>
      <c r="AI138" s="109">
        <f t="shared" si="107"/>
        <v>8000</v>
      </c>
      <c r="AJ138" s="109">
        <f t="shared" si="107"/>
        <v>8000</v>
      </c>
      <c r="AK138" s="109">
        <f t="shared" si="107"/>
        <v>8000</v>
      </c>
      <c r="AL138" s="109">
        <f t="shared" si="107"/>
        <v>8000</v>
      </c>
      <c r="AM138" s="109">
        <f t="shared" si="107"/>
        <v>8000</v>
      </c>
      <c r="AN138" s="109">
        <f t="shared" si="107"/>
        <v>8000</v>
      </c>
      <c r="AO138" s="109">
        <f t="shared" si="107"/>
        <v>8000</v>
      </c>
      <c r="AP138" s="109">
        <f t="shared" si="107"/>
        <v>8000</v>
      </c>
      <c r="AQ138" s="109">
        <f t="shared" si="107"/>
        <v>8000</v>
      </c>
      <c r="AR138" s="109">
        <f t="shared" si="107"/>
        <v>8000</v>
      </c>
      <c r="AS138" s="109">
        <f t="shared" si="107"/>
        <v>8000</v>
      </c>
      <c r="AT138" s="109">
        <f t="shared" si="107"/>
        <v>8000</v>
      </c>
      <c r="AU138" s="109">
        <f t="shared" si="107"/>
        <v>8000</v>
      </c>
      <c r="AV138" s="109">
        <f t="shared" si="107"/>
        <v>8000</v>
      </c>
      <c r="AW138" s="109">
        <f t="shared" si="107"/>
        <v>8000</v>
      </c>
      <c r="AX138" s="109">
        <f t="shared" si="107"/>
        <v>8000</v>
      </c>
      <c r="AY138" s="109">
        <f t="shared" si="107"/>
        <v>8000</v>
      </c>
      <c r="AZ138" s="109">
        <f t="shared" si="107"/>
        <v>8000</v>
      </c>
      <c r="BA138" s="109">
        <f t="shared" si="107"/>
        <v>8000</v>
      </c>
      <c r="BB138" s="109">
        <f t="shared" si="107"/>
        <v>8000</v>
      </c>
      <c r="BC138" s="109">
        <f t="shared" si="107"/>
        <v>8000</v>
      </c>
      <c r="BD138" s="109">
        <f t="shared" si="107"/>
        <v>8000</v>
      </c>
      <c r="BE138" s="109">
        <f t="shared" si="107"/>
        <v>8000</v>
      </c>
      <c r="BF138" s="109">
        <f t="shared" si="107"/>
        <v>8000</v>
      </c>
      <c r="BG138" s="109">
        <f t="shared" si="107"/>
        <v>8000</v>
      </c>
      <c r="BH138" s="109">
        <f t="shared" si="107"/>
        <v>8000</v>
      </c>
      <c r="BI138" s="109">
        <f t="shared" si="107"/>
        <v>8000</v>
      </c>
      <c r="BJ138" s="109">
        <f t="shared" si="107"/>
        <v>8000</v>
      </c>
      <c r="BK138" s="109">
        <f t="shared" si="107"/>
        <v>8000</v>
      </c>
      <c r="BL138" s="109">
        <f t="shared" si="107"/>
        <v>8000</v>
      </c>
      <c r="BM138" s="109">
        <f t="shared" si="107"/>
        <v>8000</v>
      </c>
      <c r="BN138" s="109">
        <f t="shared" si="107"/>
        <v>8000</v>
      </c>
    </row>
    <row r="139" outlineLevel="1">
      <c r="A139" s="47"/>
      <c r="B139" s="143" t="s">
        <v>96</v>
      </c>
      <c r="C139" s="144">
        <v>90000.0</v>
      </c>
      <c r="D139" s="145">
        <v>0.2</v>
      </c>
      <c r="E139" s="146">
        <v>44256.0</v>
      </c>
      <c r="F139" s="109"/>
      <c r="G139" s="109">
        <f t="shared" ref="G139:BN139" si="108">IF(G$4&gt;=$E139,($C139/12)*(1+$D139),0)</f>
        <v>9000</v>
      </c>
      <c r="H139" s="109">
        <f t="shared" si="108"/>
        <v>9000</v>
      </c>
      <c r="I139" s="109">
        <f t="shared" si="108"/>
        <v>9000</v>
      </c>
      <c r="J139" s="109">
        <f t="shared" si="108"/>
        <v>9000</v>
      </c>
      <c r="K139" s="109">
        <f t="shared" si="108"/>
        <v>9000</v>
      </c>
      <c r="L139" s="109">
        <f t="shared" si="108"/>
        <v>9000</v>
      </c>
      <c r="M139" s="109">
        <f t="shared" si="108"/>
        <v>9000</v>
      </c>
      <c r="N139" s="109">
        <f t="shared" si="108"/>
        <v>9000</v>
      </c>
      <c r="O139" s="109">
        <f t="shared" si="108"/>
        <v>9000</v>
      </c>
      <c r="P139" s="109">
        <f t="shared" si="108"/>
        <v>9000</v>
      </c>
      <c r="Q139" s="109">
        <f t="shared" si="108"/>
        <v>9000</v>
      </c>
      <c r="R139" s="109">
        <f t="shared" si="108"/>
        <v>9000</v>
      </c>
      <c r="S139" s="109">
        <f t="shared" si="108"/>
        <v>9000</v>
      </c>
      <c r="T139" s="109">
        <f t="shared" si="108"/>
        <v>9000</v>
      </c>
      <c r="U139" s="109">
        <f t="shared" si="108"/>
        <v>9000</v>
      </c>
      <c r="V139" s="109">
        <f t="shared" si="108"/>
        <v>9000</v>
      </c>
      <c r="W139" s="109">
        <f t="shared" si="108"/>
        <v>9000</v>
      </c>
      <c r="X139" s="109">
        <f t="shared" si="108"/>
        <v>9000</v>
      </c>
      <c r="Y139" s="109">
        <f t="shared" si="108"/>
        <v>9000</v>
      </c>
      <c r="Z139" s="109">
        <f t="shared" si="108"/>
        <v>9000</v>
      </c>
      <c r="AA139" s="109">
        <f t="shared" si="108"/>
        <v>9000</v>
      </c>
      <c r="AB139" s="109">
        <f t="shared" si="108"/>
        <v>9000</v>
      </c>
      <c r="AC139" s="109">
        <f t="shared" si="108"/>
        <v>9000</v>
      </c>
      <c r="AD139" s="109">
        <f t="shared" si="108"/>
        <v>9000</v>
      </c>
      <c r="AE139" s="109">
        <f t="shared" si="108"/>
        <v>9000</v>
      </c>
      <c r="AF139" s="109">
        <f t="shared" si="108"/>
        <v>9000</v>
      </c>
      <c r="AG139" s="109">
        <f t="shared" si="108"/>
        <v>9000</v>
      </c>
      <c r="AH139" s="109">
        <f t="shared" si="108"/>
        <v>9000</v>
      </c>
      <c r="AI139" s="109">
        <f t="shared" si="108"/>
        <v>9000</v>
      </c>
      <c r="AJ139" s="109">
        <f t="shared" si="108"/>
        <v>9000</v>
      </c>
      <c r="AK139" s="109">
        <f t="shared" si="108"/>
        <v>9000</v>
      </c>
      <c r="AL139" s="109">
        <f t="shared" si="108"/>
        <v>9000</v>
      </c>
      <c r="AM139" s="109">
        <f t="shared" si="108"/>
        <v>9000</v>
      </c>
      <c r="AN139" s="109">
        <f t="shared" si="108"/>
        <v>9000</v>
      </c>
      <c r="AO139" s="109">
        <f t="shared" si="108"/>
        <v>9000</v>
      </c>
      <c r="AP139" s="109">
        <f t="shared" si="108"/>
        <v>9000</v>
      </c>
      <c r="AQ139" s="109">
        <f t="shared" si="108"/>
        <v>9000</v>
      </c>
      <c r="AR139" s="109">
        <f t="shared" si="108"/>
        <v>9000</v>
      </c>
      <c r="AS139" s="109">
        <f t="shared" si="108"/>
        <v>9000</v>
      </c>
      <c r="AT139" s="109">
        <f t="shared" si="108"/>
        <v>9000</v>
      </c>
      <c r="AU139" s="109">
        <f t="shared" si="108"/>
        <v>9000</v>
      </c>
      <c r="AV139" s="109">
        <f t="shared" si="108"/>
        <v>9000</v>
      </c>
      <c r="AW139" s="109">
        <f t="shared" si="108"/>
        <v>9000</v>
      </c>
      <c r="AX139" s="109">
        <f t="shared" si="108"/>
        <v>9000</v>
      </c>
      <c r="AY139" s="109">
        <f t="shared" si="108"/>
        <v>9000</v>
      </c>
      <c r="AZ139" s="109">
        <f t="shared" si="108"/>
        <v>9000</v>
      </c>
      <c r="BA139" s="109">
        <f t="shared" si="108"/>
        <v>9000</v>
      </c>
      <c r="BB139" s="109">
        <f t="shared" si="108"/>
        <v>9000</v>
      </c>
      <c r="BC139" s="109">
        <f t="shared" si="108"/>
        <v>9000</v>
      </c>
      <c r="BD139" s="109">
        <f t="shared" si="108"/>
        <v>9000</v>
      </c>
      <c r="BE139" s="109">
        <f t="shared" si="108"/>
        <v>9000</v>
      </c>
      <c r="BF139" s="109">
        <f t="shared" si="108"/>
        <v>9000</v>
      </c>
      <c r="BG139" s="109">
        <f t="shared" si="108"/>
        <v>9000</v>
      </c>
      <c r="BH139" s="109">
        <f t="shared" si="108"/>
        <v>9000</v>
      </c>
      <c r="BI139" s="109">
        <f t="shared" si="108"/>
        <v>9000</v>
      </c>
      <c r="BJ139" s="109">
        <f t="shared" si="108"/>
        <v>9000</v>
      </c>
      <c r="BK139" s="109">
        <f t="shared" si="108"/>
        <v>9000</v>
      </c>
      <c r="BL139" s="109">
        <f t="shared" si="108"/>
        <v>9000</v>
      </c>
      <c r="BM139" s="109">
        <f t="shared" si="108"/>
        <v>9000</v>
      </c>
      <c r="BN139" s="109">
        <f t="shared" si="108"/>
        <v>9000</v>
      </c>
    </row>
    <row r="140" outlineLevel="1">
      <c r="A140" s="47"/>
      <c r="B140" s="143" t="s">
        <v>97</v>
      </c>
      <c r="C140" s="144">
        <v>45000.0</v>
      </c>
      <c r="D140" s="145">
        <v>0.2</v>
      </c>
      <c r="E140" s="146">
        <v>44348.0</v>
      </c>
      <c r="F140" s="109"/>
      <c r="G140" s="109">
        <f t="shared" ref="G140:BN140" si="109">IF(G$4&gt;=$E140,($C140/12)*(1+$D140),0)</f>
        <v>4500</v>
      </c>
      <c r="H140" s="109">
        <f t="shared" si="109"/>
        <v>4500</v>
      </c>
      <c r="I140" s="109">
        <f t="shared" si="109"/>
        <v>4500</v>
      </c>
      <c r="J140" s="109">
        <f t="shared" si="109"/>
        <v>4500</v>
      </c>
      <c r="K140" s="109">
        <f t="shared" si="109"/>
        <v>4500</v>
      </c>
      <c r="L140" s="109">
        <f t="shared" si="109"/>
        <v>4500</v>
      </c>
      <c r="M140" s="109">
        <f t="shared" si="109"/>
        <v>4500</v>
      </c>
      <c r="N140" s="109">
        <f t="shared" si="109"/>
        <v>4500</v>
      </c>
      <c r="O140" s="109">
        <f t="shared" si="109"/>
        <v>4500</v>
      </c>
      <c r="P140" s="109">
        <f t="shared" si="109"/>
        <v>4500</v>
      </c>
      <c r="Q140" s="109">
        <f t="shared" si="109"/>
        <v>4500</v>
      </c>
      <c r="R140" s="109">
        <f t="shared" si="109"/>
        <v>4500</v>
      </c>
      <c r="S140" s="109">
        <f t="shared" si="109"/>
        <v>4500</v>
      </c>
      <c r="T140" s="109">
        <f t="shared" si="109"/>
        <v>4500</v>
      </c>
      <c r="U140" s="109">
        <f t="shared" si="109"/>
        <v>4500</v>
      </c>
      <c r="V140" s="109">
        <f t="shared" si="109"/>
        <v>4500</v>
      </c>
      <c r="W140" s="109">
        <f t="shared" si="109"/>
        <v>4500</v>
      </c>
      <c r="X140" s="109">
        <f t="shared" si="109"/>
        <v>4500</v>
      </c>
      <c r="Y140" s="109">
        <f t="shared" si="109"/>
        <v>4500</v>
      </c>
      <c r="Z140" s="109">
        <f t="shared" si="109"/>
        <v>4500</v>
      </c>
      <c r="AA140" s="109">
        <f t="shared" si="109"/>
        <v>4500</v>
      </c>
      <c r="AB140" s="109">
        <f t="shared" si="109"/>
        <v>4500</v>
      </c>
      <c r="AC140" s="109">
        <f t="shared" si="109"/>
        <v>4500</v>
      </c>
      <c r="AD140" s="109">
        <f t="shared" si="109"/>
        <v>4500</v>
      </c>
      <c r="AE140" s="109">
        <f t="shared" si="109"/>
        <v>4500</v>
      </c>
      <c r="AF140" s="109">
        <f t="shared" si="109"/>
        <v>4500</v>
      </c>
      <c r="AG140" s="109">
        <f t="shared" si="109"/>
        <v>4500</v>
      </c>
      <c r="AH140" s="109">
        <f t="shared" si="109"/>
        <v>4500</v>
      </c>
      <c r="AI140" s="109">
        <f t="shared" si="109"/>
        <v>4500</v>
      </c>
      <c r="AJ140" s="109">
        <f t="shared" si="109"/>
        <v>4500</v>
      </c>
      <c r="AK140" s="109">
        <f t="shared" si="109"/>
        <v>4500</v>
      </c>
      <c r="AL140" s="109">
        <f t="shared" si="109"/>
        <v>4500</v>
      </c>
      <c r="AM140" s="109">
        <f t="shared" si="109"/>
        <v>4500</v>
      </c>
      <c r="AN140" s="109">
        <f t="shared" si="109"/>
        <v>4500</v>
      </c>
      <c r="AO140" s="109">
        <f t="shared" si="109"/>
        <v>4500</v>
      </c>
      <c r="AP140" s="109">
        <f t="shared" si="109"/>
        <v>4500</v>
      </c>
      <c r="AQ140" s="109">
        <f t="shared" si="109"/>
        <v>4500</v>
      </c>
      <c r="AR140" s="109">
        <f t="shared" si="109"/>
        <v>4500</v>
      </c>
      <c r="AS140" s="109">
        <f t="shared" si="109"/>
        <v>4500</v>
      </c>
      <c r="AT140" s="109">
        <f t="shared" si="109"/>
        <v>4500</v>
      </c>
      <c r="AU140" s="109">
        <f t="shared" si="109"/>
        <v>4500</v>
      </c>
      <c r="AV140" s="109">
        <f t="shared" si="109"/>
        <v>4500</v>
      </c>
      <c r="AW140" s="109">
        <f t="shared" si="109"/>
        <v>4500</v>
      </c>
      <c r="AX140" s="109">
        <f t="shared" si="109"/>
        <v>4500</v>
      </c>
      <c r="AY140" s="109">
        <f t="shared" si="109"/>
        <v>4500</v>
      </c>
      <c r="AZ140" s="109">
        <f t="shared" si="109"/>
        <v>4500</v>
      </c>
      <c r="BA140" s="109">
        <f t="shared" si="109"/>
        <v>4500</v>
      </c>
      <c r="BB140" s="109">
        <f t="shared" si="109"/>
        <v>4500</v>
      </c>
      <c r="BC140" s="109">
        <f t="shared" si="109"/>
        <v>4500</v>
      </c>
      <c r="BD140" s="109">
        <f t="shared" si="109"/>
        <v>4500</v>
      </c>
      <c r="BE140" s="109">
        <f t="shared" si="109"/>
        <v>4500</v>
      </c>
      <c r="BF140" s="109">
        <f t="shared" si="109"/>
        <v>4500</v>
      </c>
      <c r="BG140" s="109">
        <f t="shared" si="109"/>
        <v>4500</v>
      </c>
      <c r="BH140" s="109">
        <f t="shared" si="109"/>
        <v>4500</v>
      </c>
      <c r="BI140" s="109">
        <f t="shared" si="109"/>
        <v>4500</v>
      </c>
      <c r="BJ140" s="109">
        <f t="shared" si="109"/>
        <v>4500</v>
      </c>
      <c r="BK140" s="109">
        <f t="shared" si="109"/>
        <v>4500</v>
      </c>
      <c r="BL140" s="109">
        <f t="shared" si="109"/>
        <v>4500</v>
      </c>
      <c r="BM140" s="109">
        <f t="shared" si="109"/>
        <v>4500</v>
      </c>
      <c r="BN140" s="109">
        <f t="shared" si="109"/>
        <v>4500</v>
      </c>
    </row>
    <row r="141">
      <c r="A141" s="47"/>
      <c r="B141" s="47"/>
      <c r="C141" s="47"/>
      <c r="D141" s="47"/>
      <c r="E141" s="47"/>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c r="AH141" s="109"/>
      <c r="AI141" s="109"/>
      <c r="AJ141" s="109"/>
      <c r="AK141" s="109"/>
      <c r="AL141" s="109"/>
      <c r="AM141" s="109"/>
      <c r="AN141" s="109"/>
      <c r="AO141" s="109"/>
      <c r="AP141" s="109"/>
      <c r="AQ141" s="109"/>
      <c r="AR141" s="109"/>
      <c r="AS141" s="109"/>
      <c r="AT141" s="109"/>
      <c r="AU141" s="109"/>
      <c r="AV141" s="109"/>
      <c r="AW141" s="109"/>
      <c r="AX141" s="109"/>
      <c r="AY141" s="109"/>
      <c r="AZ141" s="109"/>
      <c r="BA141" s="109"/>
      <c r="BB141" s="109"/>
      <c r="BC141" s="109"/>
      <c r="BD141" s="109"/>
      <c r="BE141" s="109"/>
      <c r="BF141" s="109"/>
      <c r="BG141" s="109"/>
      <c r="BH141" s="109"/>
      <c r="BI141" s="109"/>
      <c r="BJ141" s="109"/>
      <c r="BK141" s="109"/>
      <c r="BL141" s="109"/>
      <c r="BM141" s="109"/>
      <c r="BN141" s="109"/>
    </row>
    <row r="142">
      <c r="A142" s="47"/>
      <c r="B142" s="48" t="s">
        <v>98</v>
      </c>
      <c r="C142" s="49"/>
      <c r="D142" s="49"/>
      <c r="E142" s="49"/>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row>
    <row r="143" outlineLevel="1">
      <c r="A143" s="47"/>
      <c r="B143" s="47"/>
      <c r="C143" s="47"/>
      <c r="D143" s="47"/>
      <c r="E143" s="47"/>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row>
    <row r="144" outlineLevel="1">
      <c r="A144" s="47"/>
      <c r="B144" s="65" t="s">
        <v>99</v>
      </c>
      <c r="C144" s="142" t="s">
        <v>100</v>
      </c>
      <c r="D144" s="47"/>
      <c r="E144" s="47"/>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row>
    <row r="145" outlineLevel="1">
      <c r="A145" s="47"/>
      <c r="B145" s="147" t="s">
        <v>101</v>
      </c>
      <c r="C145" s="148">
        <v>0.02</v>
      </c>
      <c r="D145" s="47"/>
      <c r="E145" s="47"/>
      <c r="F145" s="109"/>
      <c r="G145" s="109">
        <f>Financials!F$8*$C145</f>
        <v>1205.37</v>
      </c>
      <c r="H145" s="109">
        <f>Financials!G$8*$C145</f>
        <v>1846.56555</v>
      </c>
      <c r="I145" s="109">
        <f>Financials!H$8*$C145</f>
        <v>2167.740983</v>
      </c>
      <c r="J145" s="109">
        <f>Financials!I$8*$C145</f>
        <v>2328.337365</v>
      </c>
      <c r="K145" s="109">
        <f>Financials!J$8*$C145</f>
        <v>2408.635685</v>
      </c>
      <c r="L145" s="109">
        <f>Financials!K$8*$C145</f>
        <v>2448.784848</v>
      </c>
      <c r="M145" s="109">
        <f>Financials!L$8*$C145</f>
        <v>2468.859429</v>
      </c>
      <c r="N145" s="109">
        <f>Financials!M$8*$C145</f>
        <v>2478.89672</v>
      </c>
      <c r="O145" s="109">
        <f>Financials!N$8*$C145</f>
        <v>2483.915365</v>
      </c>
      <c r="P145" s="109">
        <f>Financials!O$8*$C145</f>
        <v>2486.424688</v>
      </c>
      <c r="Q145" s="109">
        <f>Financials!P$8*$C145</f>
        <v>2487.679349</v>
      </c>
      <c r="R145" s="109">
        <f>Financials!Q$8*$C145</f>
        <v>2488.306679</v>
      </c>
      <c r="S145" s="109">
        <f>Financials!R$8*$C145</f>
        <v>2488.620345</v>
      </c>
      <c r="T145" s="109">
        <f>Financials!S$8*$C145</f>
        <v>2488.777177</v>
      </c>
      <c r="U145" s="109">
        <f>Financials!T$8*$C145</f>
        <v>2488.855594</v>
      </c>
      <c r="V145" s="109">
        <f>Financials!U$8*$C145</f>
        <v>2488.894802</v>
      </c>
      <c r="W145" s="109">
        <f>Financials!V$8*$C145</f>
        <v>2488.914406</v>
      </c>
      <c r="X145" s="109">
        <f>Financials!W$8*$C145</f>
        <v>2488.924208</v>
      </c>
      <c r="Y145" s="109">
        <f>Financials!X$8*$C145</f>
        <v>2488.929109</v>
      </c>
      <c r="Z145" s="109">
        <f>Financials!Y$8*$C145</f>
        <v>2488.93156</v>
      </c>
      <c r="AA145" s="109">
        <f>Financials!Z$8*$C145</f>
        <v>2488.932785</v>
      </c>
      <c r="AB145" s="109">
        <f>Financials!AA$8*$C145</f>
        <v>2488.933398</v>
      </c>
      <c r="AC145" s="109">
        <f>Financials!AB$8*$C145</f>
        <v>2488.933704</v>
      </c>
      <c r="AD145" s="109">
        <f>Financials!AC$8*$C145</f>
        <v>2488.933857</v>
      </c>
      <c r="AE145" s="109">
        <f>Financials!AD$8*$C145</f>
        <v>2488.933934</v>
      </c>
      <c r="AF145" s="109">
        <f>Financials!AE$8*$C145</f>
        <v>2488.933972</v>
      </c>
      <c r="AG145" s="109">
        <f>Financials!AF$8*$C145</f>
        <v>2488.933991</v>
      </c>
      <c r="AH145" s="109">
        <f>Financials!AG$8*$C145</f>
        <v>2488.934001</v>
      </c>
      <c r="AI145" s="109">
        <f>Financials!AH$8*$C145</f>
        <v>2488.934005</v>
      </c>
      <c r="AJ145" s="109">
        <f>Financials!AI$8*$C145</f>
        <v>2488.934008</v>
      </c>
      <c r="AK145" s="109">
        <f>Financials!AJ$8*$C145</f>
        <v>2488.934009</v>
      </c>
      <c r="AL145" s="109">
        <f>Financials!AK$8*$C145</f>
        <v>2488.93401</v>
      </c>
      <c r="AM145" s="109">
        <f>Financials!AL$8*$C145</f>
        <v>2488.93401</v>
      </c>
      <c r="AN145" s="109">
        <f>Financials!AM$8*$C145</f>
        <v>2488.93401</v>
      </c>
      <c r="AO145" s="109">
        <f>Financials!AN$8*$C145</f>
        <v>2488.93401</v>
      </c>
      <c r="AP145" s="109">
        <f>Financials!AO$8*$C145</f>
        <v>2488.93401</v>
      </c>
      <c r="AQ145" s="109">
        <f>Financials!AP$8*$C145</f>
        <v>2488.93401</v>
      </c>
      <c r="AR145" s="109">
        <f>Financials!AQ$8*$C145</f>
        <v>2488.93401</v>
      </c>
      <c r="AS145" s="109">
        <f>Financials!AR$8*$C145</f>
        <v>2488.93401</v>
      </c>
      <c r="AT145" s="109">
        <f>Financials!AS$8*$C145</f>
        <v>2488.93401</v>
      </c>
      <c r="AU145" s="109">
        <f>Financials!AT$8*$C145</f>
        <v>2488.93401</v>
      </c>
      <c r="AV145" s="109">
        <f>Financials!AU$8*$C145</f>
        <v>2488.93401</v>
      </c>
      <c r="AW145" s="109">
        <f>Financials!AV$8*$C145</f>
        <v>2488.93401</v>
      </c>
      <c r="AX145" s="109">
        <f>Financials!AW$8*$C145</f>
        <v>2488.93401</v>
      </c>
      <c r="AY145" s="109">
        <f>Financials!AX$8*$C145</f>
        <v>2488.93401</v>
      </c>
      <c r="AZ145" s="109">
        <f>Financials!AY$8*$C145</f>
        <v>2488.93401</v>
      </c>
      <c r="BA145" s="109">
        <f>Financials!AZ$8*$C145</f>
        <v>2488.93401</v>
      </c>
      <c r="BB145" s="109">
        <f>Financials!BA$8*$C145</f>
        <v>2488.93401</v>
      </c>
      <c r="BC145" s="109">
        <f>Financials!BB$8*$C145</f>
        <v>2488.93401</v>
      </c>
      <c r="BD145" s="109">
        <f>Financials!BC$8*$C145</f>
        <v>2488.93401</v>
      </c>
      <c r="BE145" s="109">
        <f>Financials!BD$8*$C145</f>
        <v>2488.93401</v>
      </c>
      <c r="BF145" s="109">
        <f>Financials!BE$8*$C145</f>
        <v>2488.93401</v>
      </c>
      <c r="BG145" s="109">
        <f>Financials!BF$8*$C145</f>
        <v>2488.93401</v>
      </c>
      <c r="BH145" s="109">
        <f>Financials!BG$8*$C145</f>
        <v>2488.93401</v>
      </c>
      <c r="BI145" s="109">
        <f>Financials!BH$8*$C145</f>
        <v>2488.93401</v>
      </c>
      <c r="BJ145" s="109">
        <f>Financials!BI$8*$C145</f>
        <v>2488.93401</v>
      </c>
      <c r="BK145" s="109">
        <f>Financials!BJ$8*$C145</f>
        <v>2488.93401</v>
      </c>
      <c r="BL145" s="109">
        <f>Financials!BK$8*$C145</f>
        <v>2488.93401</v>
      </c>
      <c r="BM145" s="109">
        <f>Financials!BL$8*$C145</f>
        <v>2488.93401</v>
      </c>
      <c r="BN145" s="109">
        <f>Financials!BM$8*$C145</f>
        <v>2488.93401</v>
      </c>
    </row>
    <row r="146" outlineLevel="1">
      <c r="A146" s="47"/>
      <c r="B146" s="147" t="s">
        <v>102</v>
      </c>
      <c r="C146" s="148">
        <v>0.03</v>
      </c>
      <c r="D146" s="47"/>
      <c r="E146" s="47"/>
      <c r="F146" s="109"/>
      <c r="G146" s="109">
        <f>Financials!F$8*$C146</f>
        <v>1808.055</v>
      </c>
      <c r="H146" s="109">
        <f>Financials!G$8*$C146</f>
        <v>2769.848325</v>
      </c>
      <c r="I146" s="109">
        <f>Financials!H$8*$C146</f>
        <v>3251.611475</v>
      </c>
      <c r="J146" s="109">
        <f>Financials!I$8*$C146</f>
        <v>3492.506047</v>
      </c>
      <c r="K146" s="109">
        <f>Financials!J$8*$C146</f>
        <v>3612.953528</v>
      </c>
      <c r="L146" s="109">
        <f>Financials!K$8*$C146</f>
        <v>3673.177272</v>
      </c>
      <c r="M146" s="109">
        <f>Financials!L$8*$C146</f>
        <v>3703.289143</v>
      </c>
      <c r="N146" s="109">
        <f>Financials!M$8*$C146</f>
        <v>3718.345079</v>
      </c>
      <c r="O146" s="109">
        <f>Financials!N$8*$C146</f>
        <v>3725.873047</v>
      </c>
      <c r="P146" s="109">
        <f>Financials!O$8*$C146</f>
        <v>3729.637031</v>
      </c>
      <c r="Q146" s="109">
        <f>Financials!P$8*$C146</f>
        <v>3731.519023</v>
      </c>
      <c r="R146" s="109">
        <f>Financials!Q$8*$C146</f>
        <v>3732.460019</v>
      </c>
      <c r="S146" s="109">
        <f>Financials!R$8*$C146</f>
        <v>3732.930517</v>
      </c>
      <c r="T146" s="109">
        <f>Financials!S$8*$C146</f>
        <v>3733.165766</v>
      </c>
      <c r="U146" s="109">
        <f>Financials!T$8*$C146</f>
        <v>3733.283391</v>
      </c>
      <c r="V146" s="109">
        <f>Financials!U$8*$C146</f>
        <v>3733.342203</v>
      </c>
      <c r="W146" s="109">
        <f>Financials!V$8*$C146</f>
        <v>3733.371609</v>
      </c>
      <c r="X146" s="109">
        <f>Financials!W$8*$C146</f>
        <v>3733.386312</v>
      </c>
      <c r="Y146" s="109">
        <f>Financials!X$8*$C146</f>
        <v>3733.393664</v>
      </c>
      <c r="Z146" s="109">
        <f>Financials!Y$8*$C146</f>
        <v>3733.397339</v>
      </c>
      <c r="AA146" s="109">
        <f>Financials!Z$8*$C146</f>
        <v>3733.399177</v>
      </c>
      <c r="AB146" s="109">
        <f>Financials!AA$8*$C146</f>
        <v>3733.400096</v>
      </c>
      <c r="AC146" s="109">
        <f>Financials!AB$8*$C146</f>
        <v>3733.400556</v>
      </c>
      <c r="AD146" s="109">
        <f>Financials!AC$8*$C146</f>
        <v>3733.400785</v>
      </c>
      <c r="AE146" s="109">
        <f>Financials!AD$8*$C146</f>
        <v>3733.4009</v>
      </c>
      <c r="AF146" s="109">
        <f>Financials!AE$8*$C146</f>
        <v>3733.400958</v>
      </c>
      <c r="AG146" s="109">
        <f>Financials!AF$8*$C146</f>
        <v>3733.400987</v>
      </c>
      <c r="AH146" s="109">
        <f>Financials!AG$8*$C146</f>
        <v>3733.401001</v>
      </c>
      <c r="AI146" s="109">
        <f>Financials!AH$8*$C146</f>
        <v>3733.401008</v>
      </c>
      <c r="AJ146" s="109">
        <f>Financials!AI$8*$C146</f>
        <v>3733.401012</v>
      </c>
      <c r="AK146" s="109">
        <f>Financials!AJ$8*$C146</f>
        <v>3733.401013</v>
      </c>
      <c r="AL146" s="109">
        <f>Financials!AK$8*$C146</f>
        <v>3733.401014</v>
      </c>
      <c r="AM146" s="109">
        <f>Financials!AL$8*$C146</f>
        <v>3733.401015</v>
      </c>
      <c r="AN146" s="109">
        <f>Financials!AM$8*$C146</f>
        <v>3733.401015</v>
      </c>
      <c r="AO146" s="109">
        <f>Financials!AN$8*$C146</f>
        <v>3733.401015</v>
      </c>
      <c r="AP146" s="109">
        <f>Financials!AO$8*$C146</f>
        <v>3733.401015</v>
      </c>
      <c r="AQ146" s="109">
        <f>Financials!AP$8*$C146</f>
        <v>3733.401015</v>
      </c>
      <c r="AR146" s="109">
        <f>Financials!AQ$8*$C146</f>
        <v>3733.401015</v>
      </c>
      <c r="AS146" s="109">
        <f>Financials!AR$8*$C146</f>
        <v>3733.401015</v>
      </c>
      <c r="AT146" s="109">
        <f>Financials!AS$8*$C146</f>
        <v>3733.401015</v>
      </c>
      <c r="AU146" s="109">
        <f>Financials!AT$8*$C146</f>
        <v>3733.401015</v>
      </c>
      <c r="AV146" s="109">
        <f>Financials!AU$8*$C146</f>
        <v>3733.401015</v>
      </c>
      <c r="AW146" s="109">
        <f>Financials!AV$8*$C146</f>
        <v>3733.401015</v>
      </c>
      <c r="AX146" s="109">
        <f>Financials!AW$8*$C146</f>
        <v>3733.401015</v>
      </c>
      <c r="AY146" s="109">
        <f>Financials!AX$8*$C146</f>
        <v>3733.401015</v>
      </c>
      <c r="AZ146" s="109">
        <f>Financials!AY$8*$C146</f>
        <v>3733.401015</v>
      </c>
      <c r="BA146" s="109">
        <f>Financials!AZ$8*$C146</f>
        <v>3733.401015</v>
      </c>
      <c r="BB146" s="109">
        <f>Financials!BA$8*$C146</f>
        <v>3733.401015</v>
      </c>
      <c r="BC146" s="109">
        <f>Financials!BB$8*$C146</f>
        <v>3733.401015</v>
      </c>
      <c r="BD146" s="109">
        <f>Financials!BC$8*$C146</f>
        <v>3733.401015</v>
      </c>
      <c r="BE146" s="109">
        <f>Financials!BD$8*$C146</f>
        <v>3733.401015</v>
      </c>
      <c r="BF146" s="109">
        <f>Financials!BE$8*$C146</f>
        <v>3733.401015</v>
      </c>
      <c r="BG146" s="109">
        <f>Financials!BF$8*$C146</f>
        <v>3733.401015</v>
      </c>
      <c r="BH146" s="109">
        <f>Financials!BG$8*$C146</f>
        <v>3733.401015</v>
      </c>
      <c r="BI146" s="109">
        <f>Financials!BH$8*$C146</f>
        <v>3733.401015</v>
      </c>
      <c r="BJ146" s="109">
        <f>Financials!BI$8*$C146</f>
        <v>3733.401015</v>
      </c>
      <c r="BK146" s="109">
        <f>Financials!BJ$8*$C146</f>
        <v>3733.401015</v>
      </c>
      <c r="BL146" s="109">
        <f>Financials!BK$8*$C146</f>
        <v>3733.401015</v>
      </c>
      <c r="BM146" s="109">
        <f>Financials!BL$8*$C146</f>
        <v>3733.401015</v>
      </c>
      <c r="BN146" s="109">
        <f>Financials!BM$8*$C146</f>
        <v>3733.401015</v>
      </c>
    </row>
    <row r="147" outlineLevel="1">
      <c r="A147" s="47"/>
      <c r="B147" s="147" t="s">
        <v>103</v>
      </c>
      <c r="C147" s="148">
        <v>0.1</v>
      </c>
      <c r="D147" s="47"/>
      <c r="E147" s="47"/>
      <c r="F147" s="109"/>
      <c r="G147" s="109">
        <f>Financials!F$8*$C147</f>
        <v>6026.85</v>
      </c>
      <c r="H147" s="109">
        <f>Financials!G$8*$C147</f>
        <v>9232.82775</v>
      </c>
      <c r="I147" s="109">
        <f>Financials!H$8*$C147</f>
        <v>10838.70492</v>
      </c>
      <c r="J147" s="109">
        <f>Financials!I$8*$C147</f>
        <v>11641.68682</v>
      </c>
      <c r="K147" s="109">
        <f>Financials!J$8*$C147</f>
        <v>12043.17843</v>
      </c>
      <c r="L147" s="109">
        <f>Financials!K$8*$C147</f>
        <v>12243.92424</v>
      </c>
      <c r="M147" s="109">
        <f>Financials!L$8*$C147</f>
        <v>12344.29714</v>
      </c>
      <c r="N147" s="109">
        <f>Financials!M$8*$C147</f>
        <v>12394.4836</v>
      </c>
      <c r="O147" s="109">
        <f>Financials!N$8*$C147</f>
        <v>12419.57682</v>
      </c>
      <c r="P147" s="109">
        <f>Financials!O$8*$C147</f>
        <v>12432.12344</v>
      </c>
      <c r="Q147" s="109">
        <f>Financials!P$8*$C147</f>
        <v>12438.39674</v>
      </c>
      <c r="R147" s="109">
        <f>Financials!Q$8*$C147</f>
        <v>12441.5334</v>
      </c>
      <c r="S147" s="109">
        <f>Financials!R$8*$C147</f>
        <v>12443.10172</v>
      </c>
      <c r="T147" s="109">
        <f>Financials!S$8*$C147</f>
        <v>12443.88589</v>
      </c>
      <c r="U147" s="109">
        <f>Financials!T$8*$C147</f>
        <v>12444.27797</v>
      </c>
      <c r="V147" s="109">
        <f>Financials!U$8*$C147</f>
        <v>12444.47401</v>
      </c>
      <c r="W147" s="109">
        <f>Financials!V$8*$C147</f>
        <v>12444.57203</v>
      </c>
      <c r="X147" s="109">
        <f>Financials!W$8*$C147</f>
        <v>12444.62104</v>
      </c>
      <c r="Y147" s="109">
        <f>Financials!X$8*$C147</f>
        <v>12444.64555</v>
      </c>
      <c r="Z147" s="109">
        <f>Financials!Y$8*$C147</f>
        <v>12444.6578</v>
      </c>
      <c r="AA147" s="109">
        <f>Financials!Z$8*$C147</f>
        <v>12444.66392</v>
      </c>
      <c r="AB147" s="109">
        <f>Financials!AA$8*$C147</f>
        <v>12444.66699</v>
      </c>
      <c r="AC147" s="109">
        <f>Financials!AB$8*$C147</f>
        <v>12444.66852</v>
      </c>
      <c r="AD147" s="109">
        <f>Financials!AC$8*$C147</f>
        <v>12444.66928</v>
      </c>
      <c r="AE147" s="109">
        <f>Financials!AD$8*$C147</f>
        <v>12444.66967</v>
      </c>
      <c r="AF147" s="109">
        <f>Financials!AE$8*$C147</f>
        <v>12444.66986</v>
      </c>
      <c r="AG147" s="109">
        <f>Financials!AF$8*$C147</f>
        <v>12444.66996</v>
      </c>
      <c r="AH147" s="109">
        <f>Financials!AG$8*$C147</f>
        <v>12444.67</v>
      </c>
      <c r="AI147" s="109">
        <f>Financials!AH$8*$C147</f>
        <v>12444.67003</v>
      </c>
      <c r="AJ147" s="109">
        <f>Financials!AI$8*$C147</f>
        <v>12444.67004</v>
      </c>
      <c r="AK147" s="109">
        <f>Financials!AJ$8*$C147</f>
        <v>12444.67004</v>
      </c>
      <c r="AL147" s="109">
        <f>Financials!AK$8*$C147</f>
        <v>12444.67005</v>
      </c>
      <c r="AM147" s="109">
        <f>Financials!AL$8*$C147</f>
        <v>12444.67005</v>
      </c>
      <c r="AN147" s="109">
        <f>Financials!AM$8*$C147</f>
        <v>12444.67005</v>
      </c>
      <c r="AO147" s="109">
        <f>Financials!AN$8*$C147</f>
        <v>12444.67005</v>
      </c>
      <c r="AP147" s="109">
        <f>Financials!AO$8*$C147</f>
        <v>12444.67005</v>
      </c>
      <c r="AQ147" s="109">
        <f>Financials!AP$8*$C147</f>
        <v>12444.67005</v>
      </c>
      <c r="AR147" s="109">
        <f>Financials!AQ$8*$C147</f>
        <v>12444.67005</v>
      </c>
      <c r="AS147" s="109">
        <f>Financials!AR$8*$C147</f>
        <v>12444.67005</v>
      </c>
      <c r="AT147" s="109">
        <f>Financials!AS$8*$C147</f>
        <v>12444.67005</v>
      </c>
      <c r="AU147" s="109">
        <f>Financials!AT$8*$C147</f>
        <v>12444.67005</v>
      </c>
      <c r="AV147" s="109">
        <f>Financials!AU$8*$C147</f>
        <v>12444.67005</v>
      </c>
      <c r="AW147" s="109">
        <f>Financials!AV$8*$C147</f>
        <v>12444.67005</v>
      </c>
      <c r="AX147" s="109">
        <f>Financials!AW$8*$C147</f>
        <v>12444.67005</v>
      </c>
      <c r="AY147" s="109">
        <f>Financials!AX$8*$C147</f>
        <v>12444.67005</v>
      </c>
      <c r="AZ147" s="109">
        <f>Financials!AY$8*$C147</f>
        <v>12444.67005</v>
      </c>
      <c r="BA147" s="109">
        <f>Financials!AZ$8*$C147</f>
        <v>12444.67005</v>
      </c>
      <c r="BB147" s="109">
        <f>Financials!BA$8*$C147</f>
        <v>12444.67005</v>
      </c>
      <c r="BC147" s="109">
        <f>Financials!BB$8*$C147</f>
        <v>12444.67005</v>
      </c>
      <c r="BD147" s="109">
        <f>Financials!BC$8*$C147</f>
        <v>12444.67005</v>
      </c>
      <c r="BE147" s="109">
        <f>Financials!BD$8*$C147</f>
        <v>12444.67005</v>
      </c>
      <c r="BF147" s="109">
        <f>Financials!BE$8*$C147</f>
        <v>12444.67005</v>
      </c>
      <c r="BG147" s="109">
        <f>Financials!BF$8*$C147</f>
        <v>12444.67005</v>
      </c>
      <c r="BH147" s="109">
        <f>Financials!BG$8*$C147</f>
        <v>12444.67005</v>
      </c>
      <c r="BI147" s="109">
        <f>Financials!BH$8*$C147</f>
        <v>12444.67005</v>
      </c>
      <c r="BJ147" s="109">
        <f>Financials!BI$8*$C147</f>
        <v>12444.67005</v>
      </c>
      <c r="BK147" s="109">
        <f>Financials!BJ$8*$C147</f>
        <v>12444.67005</v>
      </c>
      <c r="BL147" s="109">
        <f>Financials!BK$8*$C147</f>
        <v>12444.67005</v>
      </c>
      <c r="BM147" s="109">
        <f>Financials!BL$8*$C147</f>
        <v>12444.67005</v>
      </c>
      <c r="BN147" s="109">
        <f>Financials!BM$8*$C147</f>
        <v>12444.67005</v>
      </c>
    </row>
    <row r="148" outlineLevel="1">
      <c r="A148" s="47"/>
      <c r="B148" s="149" t="s">
        <v>104</v>
      </c>
      <c r="C148" s="148">
        <v>0.05</v>
      </c>
      <c r="D148" s="47"/>
      <c r="E148" s="47"/>
      <c r="F148" s="109"/>
      <c r="G148" s="109">
        <f>Financials!F$8*$C148</f>
        <v>3013.425</v>
      </c>
      <c r="H148" s="109">
        <f>Financials!G$8*$C148</f>
        <v>4616.413875</v>
      </c>
      <c r="I148" s="109">
        <f>Financials!H$8*$C148</f>
        <v>5419.352458</v>
      </c>
      <c r="J148" s="109">
        <f>Financials!I$8*$C148</f>
        <v>5820.843412</v>
      </c>
      <c r="K148" s="109">
        <f>Financials!J$8*$C148</f>
        <v>6021.589214</v>
      </c>
      <c r="L148" s="109">
        <f>Financials!K$8*$C148</f>
        <v>6121.962119</v>
      </c>
      <c r="M148" s="109">
        <f>Financials!L$8*$C148</f>
        <v>6172.148572</v>
      </c>
      <c r="N148" s="109">
        <f>Financials!M$8*$C148</f>
        <v>6197.241799</v>
      </c>
      <c r="O148" s="109">
        <f>Financials!N$8*$C148</f>
        <v>6209.788412</v>
      </c>
      <c r="P148" s="109">
        <f>Financials!O$8*$C148</f>
        <v>6216.061719</v>
      </c>
      <c r="Q148" s="109">
        <f>Financials!P$8*$C148</f>
        <v>6219.198372</v>
      </c>
      <c r="R148" s="109">
        <f>Financials!Q$8*$C148</f>
        <v>6220.766699</v>
      </c>
      <c r="S148" s="109">
        <f>Financials!R$8*$C148</f>
        <v>6221.550862</v>
      </c>
      <c r="T148" s="109">
        <f>Financials!S$8*$C148</f>
        <v>6221.942944</v>
      </c>
      <c r="U148" s="109">
        <f>Financials!T$8*$C148</f>
        <v>6222.138985</v>
      </c>
      <c r="V148" s="109">
        <f>Financials!U$8*$C148</f>
        <v>6222.237005</v>
      </c>
      <c r="W148" s="109">
        <f>Financials!V$8*$C148</f>
        <v>6222.286015</v>
      </c>
      <c r="X148" s="109">
        <f>Financials!W$8*$C148</f>
        <v>6222.31052</v>
      </c>
      <c r="Y148" s="109">
        <f>Financials!X$8*$C148</f>
        <v>6222.322773</v>
      </c>
      <c r="Z148" s="109">
        <f>Financials!Y$8*$C148</f>
        <v>6222.328899</v>
      </c>
      <c r="AA148" s="109">
        <f>Financials!Z$8*$C148</f>
        <v>6222.331962</v>
      </c>
      <c r="AB148" s="109">
        <f>Financials!AA$8*$C148</f>
        <v>6222.333494</v>
      </c>
      <c r="AC148" s="109">
        <f>Financials!AB$8*$C148</f>
        <v>6222.33426</v>
      </c>
      <c r="AD148" s="109">
        <f>Financials!AC$8*$C148</f>
        <v>6222.334642</v>
      </c>
      <c r="AE148" s="109">
        <f>Financials!AD$8*$C148</f>
        <v>6222.334834</v>
      </c>
      <c r="AF148" s="109">
        <f>Financials!AE$8*$C148</f>
        <v>6222.33493</v>
      </c>
      <c r="AG148" s="109">
        <f>Financials!AF$8*$C148</f>
        <v>6222.334978</v>
      </c>
      <c r="AH148" s="109">
        <f>Financials!AG$8*$C148</f>
        <v>6222.335001</v>
      </c>
      <c r="AI148" s="109">
        <f>Financials!AH$8*$C148</f>
        <v>6222.335013</v>
      </c>
      <c r="AJ148" s="109">
        <f>Financials!AI$8*$C148</f>
        <v>6222.335019</v>
      </c>
      <c r="AK148" s="109">
        <f>Financials!AJ$8*$C148</f>
        <v>6222.335022</v>
      </c>
      <c r="AL148" s="109">
        <f>Financials!AK$8*$C148</f>
        <v>6222.335024</v>
      </c>
      <c r="AM148" s="109">
        <f>Financials!AL$8*$C148</f>
        <v>6222.335025</v>
      </c>
      <c r="AN148" s="109">
        <f>Financials!AM$8*$C148</f>
        <v>6222.335025</v>
      </c>
      <c r="AO148" s="109">
        <f>Financials!AN$8*$C148</f>
        <v>6222.335025</v>
      </c>
      <c r="AP148" s="109">
        <f>Financials!AO$8*$C148</f>
        <v>6222.335025</v>
      </c>
      <c r="AQ148" s="109">
        <f>Financials!AP$8*$C148</f>
        <v>6222.335025</v>
      </c>
      <c r="AR148" s="109">
        <f>Financials!AQ$8*$C148</f>
        <v>6222.335025</v>
      </c>
      <c r="AS148" s="109">
        <f>Financials!AR$8*$C148</f>
        <v>6222.335025</v>
      </c>
      <c r="AT148" s="109">
        <f>Financials!AS$8*$C148</f>
        <v>6222.335025</v>
      </c>
      <c r="AU148" s="109">
        <f>Financials!AT$8*$C148</f>
        <v>6222.335025</v>
      </c>
      <c r="AV148" s="109">
        <f>Financials!AU$8*$C148</f>
        <v>6222.335025</v>
      </c>
      <c r="AW148" s="109">
        <f>Financials!AV$8*$C148</f>
        <v>6222.335025</v>
      </c>
      <c r="AX148" s="109">
        <f>Financials!AW$8*$C148</f>
        <v>6222.335025</v>
      </c>
      <c r="AY148" s="109">
        <f>Financials!AX$8*$C148</f>
        <v>6222.335025</v>
      </c>
      <c r="AZ148" s="109">
        <f>Financials!AY$8*$C148</f>
        <v>6222.335025</v>
      </c>
      <c r="BA148" s="109">
        <f>Financials!AZ$8*$C148</f>
        <v>6222.335025</v>
      </c>
      <c r="BB148" s="109">
        <f>Financials!BA$8*$C148</f>
        <v>6222.335025</v>
      </c>
      <c r="BC148" s="109">
        <f>Financials!BB$8*$C148</f>
        <v>6222.335025</v>
      </c>
      <c r="BD148" s="109">
        <f>Financials!BC$8*$C148</f>
        <v>6222.335025</v>
      </c>
      <c r="BE148" s="109">
        <f>Financials!BD$8*$C148</f>
        <v>6222.335025</v>
      </c>
      <c r="BF148" s="109">
        <f>Financials!BE$8*$C148</f>
        <v>6222.335025</v>
      </c>
      <c r="BG148" s="109">
        <f>Financials!BF$8*$C148</f>
        <v>6222.335025</v>
      </c>
      <c r="BH148" s="109">
        <f>Financials!BG$8*$C148</f>
        <v>6222.335025</v>
      </c>
      <c r="BI148" s="109">
        <f>Financials!BH$8*$C148</f>
        <v>6222.335025</v>
      </c>
      <c r="BJ148" s="109">
        <f>Financials!BI$8*$C148</f>
        <v>6222.335025</v>
      </c>
      <c r="BK148" s="109">
        <f>Financials!BJ$8*$C148</f>
        <v>6222.335025</v>
      </c>
      <c r="BL148" s="109">
        <f>Financials!BK$8*$C148</f>
        <v>6222.335025</v>
      </c>
      <c r="BM148" s="109">
        <f>Financials!BL$8*$C148</f>
        <v>6222.335025</v>
      </c>
      <c r="BN148" s="109">
        <f>Financials!BM$8*$C148</f>
        <v>6222.335025</v>
      </c>
    </row>
    <row r="149" outlineLevel="1">
      <c r="A149" s="47"/>
      <c r="B149" s="149" t="s">
        <v>105</v>
      </c>
      <c r="C149" s="148">
        <v>0.05</v>
      </c>
      <c r="D149" s="47"/>
      <c r="E149" s="47"/>
      <c r="F149" s="109"/>
      <c r="G149" s="109">
        <f>Financials!F$8*$C149</f>
        <v>3013.425</v>
      </c>
      <c r="H149" s="109">
        <f>Financials!G$8*$C149</f>
        <v>4616.413875</v>
      </c>
      <c r="I149" s="109">
        <f>Financials!H$8*$C149</f>
        <v>5419.352458</v>
      </c>
      <c r="J149" s="109">
        <f>Financials!I$8*$C149</f>
        <v>5820.843412</v>
      </c>
      <c r="K149" s="109">
        <f>Financials!J$8*$C149</f>
        <v>6021.589214</v>
      </c>
      <c r="L149" s="109">
        <f>Financials!K$8*$C149</f>
        <v>6121.962119</v>
      </c>
      <c r="M149" s="109">
        <f>Financials!L$8*$C149</f>
        <v>6172.148572</v>
      </c>
      <c r="N149" s="109">
        <f>Financials!M$8*$C149</f>
        <v>6197.241799</v>
      </c>
      <c r="O149" s="109">
        <f>Financials!N$8*$C149</f>
        <v>6209.788412</v>
      </c>
      <c r="P149" s="109">
        <f>Financials!O$8*$C149</f>
        <v>6216.061719</v>
      </c>
      <c r="Q149" s="109">
        <f>Financials!P$8*$C149</f>
        <v>6219.198372</v>
      </c>
      <c r="R149" s="109">
        <f>Financials!Q$8*$C149</f>
        <v>6220.766699</v>
      </c>
      <c r="S149" s="109">
        <f>Financials!R$8*$C149</f>
        <v>6221.550862</v>
      </c>
      <c r="T149" s="109">
        <f>Financials!S$8*$C149</f>
        <v>6221.942944</v>
      </c>
      <c r="U149" s="109">
        <f>Financials!T$8*$C149</f>
        <v>6222.138985</v>
      </c>
      <c r="V149" s="109">
        <f>Financials!U$8*$C149</f>
        <v>6222.237005</v>
      </c>
      <c r="W149" s="109">
        <f>Financials!V$8*$C149</f>
        <v>6222.286015</v>
      </c>
      <c r="X149" s="109">
        <f>Financials!W$8*$C149</f>
        <v>6222.31052</v>
      </c>
      <c r="Y149" s="109">
        <f>Financials!X$8*$C149</f>
        <v>6222.322773</v>
      </c>
      <c r="Z149" s="109">
        <f>Financials!Y$8*$C149</f>
        <v>6222.328899</v>
      </c>
      <c r="AA149" s="109">
        <f>Financials!Z$8*$C149</f>
        <v>6222.331962</v>
      </c>
      <c r="AB149" s="109">
        <f>Financials!AA$8*$C149</f>
        <v>6222.333494</v>
      </c>
      <c r="AC149" s="109">
        <f>Financials!AB$8*$C149</f>
        <v>6222.33426</v>
      </c>
      <c r="AD149" s="109">
        <f>Financials!AC$8*$C149</f>
        <v>6222.334642</v>
      </c>
      <c r="AE149" s="109">
        <f>Financials!AD$8*$C149</f>
        <v>6222.334834</v>
      </c>
      <c r="AF149" s="109">
        <f>Financials!AE$8*$C149</f>
        <v>6222.33493</v>
      </c>
      <c r="AG149" s="109">
        <f>Financials!AF$8*$C149</f>
        <v>6222.334978</v>
      </c>
      <c r="AH149" s="109">
        <f>Financials!AG$8*$C149</f>
        <v>6222.335001</v>
      </c>
      <c r="AI149" s="109">
        <f>Financials!AH$8*$C149</f>
        <v>6222.335013</v>
      </c>
      <c r="AJ149" s="109">
        <f>Financials!AI$8*$C149</f>
        <v>6222.335019</v>
      </c>
      <c r="AK149" s="109">
        <f>Financials!AJ$8*$C149</f>
        <v>6222.335022</v>
      </c>
      <c r="AL149" s="109">
        <f>Financials!AK$8*$C149</f>
        <v>6222.335024</v>
      </c>
      <c r="AM149" s="109">
        <f>Financials!AL$8*$C149</f>
        <v>6222.335025</v>
      </c>
      <c r="AN149" s="109">
        <f>Financials!AM$8*$C149</f>
        <v>6222.335025</v>
      </c>
      <c r="AO149" s="109">
        <f>Financials!AN$8*$C149</f>
        <v>6222.335025</v>
      </c>
      <c r="AP149" s="109">
        <f>Financials!AO$8*$C149</f>
        <v>6222.335025</v>
      </c>
      <c r="AQ149" s="109">
        <f>Financials!AP$8*$C149</f>
        <v>6222.335025</v>
      </c>
      <c r="AR149" s="109">
        <f>Financials!AQ$8*$C149</f>
        <v>6222.335025</v>
      </c>
      <c r="AS149" s="109">
        <f>Financials!AR$8*$C149</f>
        <v>6222.335025</v>
      </c>
      <c r="AT149" s="109">
        <f>Financials!AS$8*$C149</f>
        <v>6222.335025</v>
      </c>
      <c r="AU149" s="109">
        <f>Financials!AT$8*$C149</f>
        <v>6222.335025</v>
      </c>
      <c r="AV149" s="109">
        <f>Financials!AU$8*$C149</f>
        <v>6222.335025</v>
      </c>
      <c r="AW149" s="109">
        <f>Financials!AV$8*$C149</f>
        <v>6222.335025</v>
      </c>
      <c r="AX149" s="109">
        <f>Financials!AW$8*$C149</f>
        <v>6222.335025</v>
      </c>
      <c r="AY149" s="109">
        <f>Financials!AX$8*$C149</f>
        <v>6222.335025</v>
      </c>
      <c r="AZ149" s="109">
        <f>Financials!AY$8*$C149</f>
        <v>6222.335025</v>
      </c>
      <c r="BA149" s="109">
        <f>Financials!AZ$8*$C149</f>
        <v>6222.335025</v>
      </c>
      <c r="BB149" s="109">
        <f>Financials!BA$8*$C149</f>
        <v>6222.335025</v>
      </c>
      <c r="BC149" s="109">
        <f>Financials!BB$8*$C149</f>
        <v>6222.335025</v>
      </c>
      <c r="BD149" s="109">
        <f>Financials!BC$8*$C149</f>
        <v>6222.335025</v>
      </c>
      <c r="BE149" s="109">
        <f>Financials!BD$8*$C149</f>
        <v>6222.335025</v>
      </c>
      <c r="BF149" s="109">
        <f>Financials!BE$8*$C149</f>
        <v>6222.335025</v>
      </c>
      <c r="BG149" s="109">
        <f>Financials!BF$8*$C149</f>
        <v>6222.335025</v>
      </c>
      <c r="BH149" s="109">
        <f>Financials!BG$8*$C149</f>
        <v>6222.335025</v>
      </c>
      <c r="BI149" s="109">
        <f>Financials!BH$8*$C149</f>
        <v>6222.335025</v>
      </c>
      <c r="BJ149" s="109">
        <f>Financials!BI$8*$C149</f>
        <v>6222.335025</v>
      </c>
      <c r="BK149" s="109">
        <f>Financials!BJ$8*$C149</f>
        <v>6222.335025</v>
      </c>
      <c r="BL149" s="109">
        <f>Financials!BK$8*$C149</f>
        <v>6222.335025</v>
      </c>
      <c r="BM149" s="109">
        <f>Financials!BL$8*$C149</f>
        <v>6222.335025</v>
      </c>
      <c r="BN149" s="109">
        <f>Financials!BM$8*$C149</f>
        <v>6222.335025</v>
      </c>
    </row>
    <row r="150" outlineLevel="1">
      <c r="A150" s="47"/>
      <c r="B150" s="149" t="s">
        <v>106</v>
      </c>
      <c r="C150" s="148">
        <v>0.05</v>
      </c>
      <c r="D150" s="47"/>
      <c r="E150" s="47"/>
      <c r="F150" s="109"/>
      <c r="G150" s="109">
        <f>Financials!F$8*$C150</f>
        <v>3013.425</v>
      </c>
      <c r="H150" s="109">
        <f>Financials!G$8*$C150</f>
        <v>4616.413875</v>
      </c>
      <c r="I150" s="109">
        <f>Financials!H$8*$C150</f>
        <v>5419.352458</v>
      </c>
      <c r="J150" s="109">
        <f>Financials!I$8*$C150</f>
        <v>5820.843412</v>
      </c>
      <c r="K150" s="109">
        <f>Financials!J$8*$C150</f>
        <v>6021.589214</v>
      </c>
      <c r="L150" s="109">
        <f>Financials!K$8*$C150</f>
        <v>6121.962119</v>
      </c>
      <c r="M150" s="109">
        <f>Financials!L$8*$C150</f>
        <v>6172.148572</v>
      </c>
      <c r="N150" s="109">
        <f>Financials!M$8*$C150</f>
        <v>6197.241799</v>
      </c>
      <c r="O150" s="109">
        <f>Financials!N$8*$C150</f>
        <v>6209.788412</v>
      </c>
      <c r="P150" s="109">
        <f>Financials!O$8*$C150</f>
        <v>6216.061719</v>
      </c>
      <c r="Q150" s="109">
        <f>Financials!P$8*$C150</f>
        <v>6219.198372</v>
      </c>
      <c r="R150" s="109">
        <f>Financials!Q$8*$C150</f>
        <v>6220.766699</v>
      </c>
      <c r="S150" s="109">
        <f>Financials!R$8*$C150</f>
        <v>6221.550862</v>
      </c>
      <c r="T150" s="109">
        <f>Financials!S$8*$C150</f>
        <v>6221.942944</v>
      </c>
      <c r="U150" s="109">
        <f>Financials!T$8*$C150</f>
        <v>6222.138985</v>
      </c>
      <c r="V150" s="109">
        <f>Financials!U$8*$C150</f>
        <v>6222.237005</v>
      </c>
      <c r="W150" s="109">
        <f>Financials!V$8*$C150</f>
        <v>6222.286015</v>
      </c>
      <c r="X150" s="109">
        <f>Financials!W$8*$C150</f>
        <v>6222.31052</v>
      </c>
      <c r="Y150" s="109">
        <f>Financials!X$8*$C150</f>
        <v>6222.322773</v>
      </c>
      <c r="Z150" s="109">
        <f>Financials!Y$8*$C150</f>
        <v>6222.328899</v>
      </c>
      <c r="AA150" s="109">
        <f>Financials!Z$8*$C150</f>
        <v>6222.331962</v>
      </c>
      <c r="AB150" s="109">
        <f>Financials!AA$8*$C150</f>
        <v>6222.333494</v>
      </c>
      <c r="AC150" s="109">
        <f>Financials!AB$8*$C150</f>
        <v>6222.33426</v>
      </c>
      <c r="AD150" s="109">
        <f>Financials!AC$8*$C150</f>
        <v>6222.334642</v>
      </c>
      <c r="AE150" s="109">
        <f>Financials!AD$8*$C150</f>
        <v>6222.334834</v>
      </c>
      <c r="AF150" s="109">
        <f>Financials!AE$8*$C150</f>
        <v>6222.33493</v>
      </c>
      <c r="AG150" s="109">
        <f>Financials!AF$8*$C150</f>
        <v>6222.334978</v>
      </c>
      <c r="AH150" s="109">
        <f>Financials!AG$8*$C150</f>
        <v>6222.335001</v>
      </c>
      <c r="AI150" s="109">
        <f>Financials!AH$8*$C150</f>
        <v>6222.335013</v>
      </c>
      <c r="AJ150" s="109">
        <f>Financials!AI$8*$C150</f>
        <v>6222.335019</v>
      </c>
      <c r="AK150" s="109">
        <f>Financials!AJ$8*$C150</f>
        <v>6222.335022</v>
      </c>
      <c r="AL150" s="109">
        <f>Financials!AK$8*$C150</f>
        <v>6222.335024</v>
      </c>
      <c r="AM150" s="109">
        <f>Financials!AL$8*$C150</f>
        <v>6222.335025</v>
      </c>
      <c r="AN150" s="109">
        <f>Financials!AM$8*$C150</f>
        <v>6222.335025</v>
      </c>
      <c r="AO150" s="109">
        <f>Financials!AN$8*$C150</f>
        <v>6222.335025</v>
      </c>
      <c r="AP150" s="109">
        <f>Financials!AO$8*$C150</f>
        <v>6222.335025</v>
      </c>
      <c r="AQ150" s="109">
        <f>Financials!AP$8*$C150</f>
        <v>6222.335025</v>
      </c>
      <c r="AR150" s="109">
        <f>Financials!AQ$8*$C150</f>
        <v>6222.335025</v>
      </c>
      <c r="AS150" s="109">
        <f>Financials!AR$8*$C150</f>
        <v>6222.335025</v>
      </c>
      <c r="AT150" s="109">
        <f>Financials!AS$8*$C150</f>
        <v>6222.335025</v>
      </c>
      <c r="AU150" s="109">
        <f>Financials!AT$8*$C150</f>
        <v>6222.335025</v>
      </c>
      <c r="AV150" s="109">
        <f>Financials!AU$8*$C150</f>
        <v>6222.335025</v>
      </c>
      <c r="AW150" s="109">
        <f>Financials!AV$8*$C150</f>
        <v>6222.335025</v>
      </c>
      <c r="AX150" s="109">
        <f>Financials!AW$8*$C150</f>
        <v>6222.335025</v>
      </c>
      <c r="AY150" s="109">
        <f>Financials!AX$8*$C150</f>
        <v>6222.335025</v>
      </c>
      <c r="AZ150" s="109">
        <f>Financials!AY$8*$C150</f>
        <v>6222.335025</v>
      </c>
      <c r="BA150" s="109">
        <f>Financials!AZ$8*$C150</f>
        <v>6222.335025</v>
      </c>
      <c r="BB150" s="109">
        <f>Financials!BA$8*$C150</f>
        <v>6222.335025</v>
      </c>
      <c r="BC150" s="109">
        <f>Financials!BB$8*$C150</f>
        <v>6222.335025</v>
      </c>
      <c r="BD150" s="109">
        <f>Financials!BC$8*$C150</f>
        <v>6222.335025</v>
      </c>
      <c r="BE150" s="109">
        <f>Financials!BD$8*$C150</f>
        <v>6222.335025</v>
      </c>
      <c r="BF150" s="109">
        <f>Financials!BE$8*$C150</f>
        <v>6222.335025</v>
      </c>
      <c r="BG150" s="109">
        <f>Financials!BF$8*$C150</f>
        <v>6222.335025</v>
      </c>
      <c r="BH150" s="109">
        <f>Financials!BG$8*$C150</f>
        <v>6222.335025</v>
      </c>
      <c r="BI150" s="109">
        <f>Financials!BH$8*$C150</f>
        <v>6222.335025</v>
      </c>
      <c r="BJ150" s="109">
        <f>Financials!BI$8*$C150</f>
        <v>6222.335025</v>
      </c>
      <c r="BK150" s="109">
        <f>Financials!BJ$8*$C150</f>
        <v>6222.335025</v>
      </c>
      <c r="BL150" s="109">
        <f>Financials!BK$8*$C150</f>
        <v>6222.335025</v>
      </c>
      <c r="BM150" s="109">
        <f>Financials!BL$8*$C150</f>
        <v>6222.335025</v>
      </c>
      <c r="BN150" s="109">
        <f>Financials!BM$8*$C150</f>
        <v>6222.335025</v>
      </c>
    </row>
    <row r="151" outlineLevel="1">
      <c r="A151" s="47"/>
      <c r="B151" s="149" t="s">
        <v>107</v>
      </c>
      <c r="C151" s="148">
        <v>0.05</v>
      </c>
      <c r="D151" s="47"/>
      <c r="E151" s="47"/>
      <c r="F151" s="109"/>
      <c r="G151" s="109">
        <f>Financials!F$8*$C151</f>
        <v>3013.425</v>
      </c>
      <c r="H151" s="109">
        <f>Financials!G$8*$C151</f>
        <v>4616.413875</v>
      </c>
      <c r="I151" s="109">
        <f>Financials!H$8*$C151</f>
        <v>5419.352458</v>
      </c>
      <c r="J151" s="109">
        <f>Financials!I$8*$C151</f>
        <v>5820.843412</v>
      </c>
      <c r="K151" s="109">
        <f>Financials!J$8*$C151</f>
        <v>6021.589214</v>
      </c>
      <c r="L151" s="109">
        <f>Financials!K$8*$C151</f>
        <v>6121.962119</v>
      </c>
      <c r="M151" s="109">
        <f>Financials!L$8*$C151</f>
        <v>6172.148572</v>
      </c>
      <c r="N151" s="109">
        <f>Financials!M$8*$C151</f>
        <v>6197.241799</v>
      </c>
      <c r="O151" s="109">
        <f>Financials!N$8*$C151</f>
        <v>6209.788412</v>
      </c>
      <c r="P151" s="109">
        <f>Financials!O$8*$C151</f>
        <v>6216.061719</v>
      </c>
      <c r="Q151" s="109">
        <f>Financials!P$8*$C151</f>
        <v>6219.198372</v>
      </c>
      <c r="R151" s="109">
        <f>Financials!Q$8*$C151</f>
        <v>6220.766699</v>
      </c>
      <c r="S151" s="109">
        <f>Financials!R$8*$C151</f>
        <v>6221.550862</v>
      </c>
      <c r="T151" s="109">
        <f>Financials!S$8*$C151</f>
        <v>6221.942944</v>
      </c>
      <c r="U151" s="109">
        <f>Financials!T$8*$C151</f>
        <v>6222.138985</v>
      </c>
      <c r="V151" s="109">
        <f>Financials!U$8*$C151</f>
        <v>6222.237005</v>
      </c>
      <c r="W151" s="109">
        <f>Financials!V$8*$C151</f>
        <v>6222.286015</v>
      </c>
      <c r="X151" s="109">
        <f>Financials!W$8*$C151</f>
        <v>6222.31052</v>
      </c>
      <c r="Y151" s="109">
        <f>Financials!X$8*$C151</f>
        <v>6222.322773</v>
      </c>
      <c r="Z151" s="109">
        <f>Financials!Y$8*$C151</f>
        <v>6222.328899</v>
      </c>
      <c r="AA151" s="109">
        <f>Financials!Z$8*$C151</f>
        <v>6222.331962</v>
      </c>
      <c r="AB151" s="109">
        <f>Financials!AA$8*$C151</f>
        <v>6222.333494</v>
      </c>
      <c r="AC151" s="109">
        <f>Financials!AB$8*$C151</f>
        <v>6222.33426</v>
      </c>
      <c r="AD151" s="109">
        <f>Financials!AC$8*$C151</f>
        <v>6222.334642</v>
      </c>
      <c r="AE151" s="109">
        <f>Financials!AD$8*$C151</f>
        <v>6222.334834</v>
      </c>
      <c r="AF151" s="109">
        <f>Financials!AE$8*$C151</f>
        <v>6222.33493</v>
      </c>
      <c r="AG151" s="109">
        <f>Financials!AF$8*$C151</f>
        <v>6222.334978</v>
      </c>
      <c r="AH151" s="109">
        <f>Financials!AG$8*$C151</f>
        <v>6222.335001</v>
      </c>
      <c r="AI151" s="109">
        <f>Financials!AH$8*$C151</f>
        <v>6222.335013</v>
      </c>
      <c r="AJ151" s="109">
        <f>Financials!AI$8*$C151</f>
        <v>6222.335019</v>
      </c>
      <c r="AK151" s="109">
        <f>Financials!AJ$8*$C151</f>
        <v>6222.335022</v>
      </c>
      <c r="AL151" s="109">
        <f>Financials!AK$8*$C151</f>
        <v>6222.335024</v>
      </c>
      <c r="AM151" s="109">
        <f>Financials!AL$8*$C151</f>
        <v>6222.335025</v>
      </c>
      <c r="AN151" s="109">
        <f>Financials!AM$8*$C151</f>
        <v>6222.335025</v>
      </c>
      <c r="AO151" s="109">
        <f>Financials!AN$8*$C151</f>
        <v>6222.335025</v>
      </c>
      <c r="AP151" s="109">
        <f>Financials!AO$8*$C151</f>
        <v>6222.335025</v>
      </c>
      <c r="AQ151" s="109">
        <f>Financials!AP$8*$C151</f>
        <v>6222.335025</v>
      </c>
      <c r="AR151" s="109">
        <f>Financials!AQ$8*$C151</f>
        <v>6222.335025</v>
      </c>
      <c r="AS151" s="109">
        <f>Financials!AR$8*$C151</f>
        <v>6222.335025</v>
      </c>
      <c r="AT151" s="109">
        <f>Financials!AS$8*$C151</f>
        <v>6222.335025</v>
      </c>
      <c r="AU151" s="109">
        <f>Financials!AT$8*$C151</f>
        <v>6222.335025</v>
      </c>
      <c r="AV151" s="109">
        <f>Financials!AU$8*$C151</f>
        <v>6222.335025</v>
      </c>
      <c r="AW151" s="109">
        <f>Financials!AV$8*$C151</f>
        <v>6222.335025</v>
      </c>
      <c r="AX151" s="109">
        <f>Financials!AW$8*$C151</f>
        <v>6222.335025</v>
      </c>
      <c r="AY151" s="109">
        <f>Financials!AX$8*$C151</f>
        <v>6222.335025</v>
      </c>
      <c r="AZ151" s="109">
        <f>Financials!AY$8*$C151</f>
        <v>6222.335025</v>
      </c>
      <c r="BA151" s="109">
        <f>Financials!AZ$8*$C151</f>
        <v>6222.335025</v>
      </c>
      <c r="BB151" s="109">
        <f>Financials!BA$8*$C151</f>
        <v>6222.335025</v>
      </c>
      <c r="BC151" s="109">
        <f>Financials!BB$8*$C151</f>
        <v>6222.335025</v>
      </c>
      <c r="BD151" s="109">
        <f>Financials!BC$8*$C151</f>
        <v>6222.335025</v>
      </c>
      <c r="BE151" s="109">
        <f>Financials!BD$8*$C151</f>
        <v>6222.335025</v>
      </c>
      <c r="BF151" s="109">
        <f>Financials!BE$8*$C151</f>
        <v>6222.335025</v>
      </c>
      <c r="BG151" s="109">
        <f>Financials!BF$8*$C151</f>
        <v>6222.335025</v>
      </c>
      <c r="BH151" s="109">
        <f>Financials!BG$8*$C151</f>
        <v>6222.335025</v>
      </c>
      <c r="BI151" s="109">
        <f>Financials!BH$8*$C151</f>
        <v>6222.335025</v>
      </c>
      <c r="BJ151" s="109">
        <f>Financials!BI$8*$C151</f>
        <v>6222.335025</v>
      </c>
      <c r="BK151" s="109">
        <f>Financials!BJ$8*$C151</f>
        <v>6222.335025</v>
      </c>
      <c r="BL151" s="109">
        <f>Financials!BK$8*$C151</f>
        <v>6222.335025</v>
      </c>
      <c r="BM151" s="109">
        <f>Financials!BL$8*$C151</f>
        <v>6222.335025</v>
      </c>
      <c r="BN151" s="109">
        <f>Financials!BM$8*$C151</f>
        <v>6222.335025</v>
      </c>
    </row>
    <row r="152" outlineLevel="1">
      <c r="A152" s="47"/>
      <c r="B152" s="150" t="s">
        <v>108</v>
      </c>
      <c r="C152" s="151">
        <v>0.05</v>
      </c>
      <c r="D152" s="61"/>
      <c r="E152" s="61"/>
      <c r="F152" s="152"/>
      <c r="G152" s="152">
        <f>Financials!F$8*$C152</f>
        <v>3013.425</v>
      </c>
      <c r="H152" s="152">
        <f>Financials!G$8*$C152</f>
        <v>4616.413875</v>
      </c>
      <c r="I152" s="152">
        <f>Financials!H$8*$C152</f>
        <v>5419.352458</v>
      </c>
      <c r="J152" s="152">
        <f>Financials!I$8*$C152</f>
        <v>5820.843412</v>
      </c>
      <c r="K152" s="152">
        <f>Financials!J$8*$C152</f>
        <v>6021.589214</v>
      </c>
      <c r="L152" s="152">
        <f>Financials!K$8*$C152</f>
        <v>6121.962119</v>
      </c>
      <c r="M152" s="152">
        <f>Financials!L$8*$C152</f>
        <v>6172.148572</v>
      </c>
      <c r="N152" s="152">
        <f>Financials!M$8*$C152</f>
        <v>6197.241799</v>
      </c>
      <c r="O152" s="152">
        <f>Financials!N$8*$C152</f>
        <v>6209.788412</v>
      </c>
      <c r="P152" s="152">
        <f>Financials!O$8*$C152</f>
        <v>6216.061719</v>
      </c>
      <c r="Q152" s="152">
        <f>Financials!P$8*$C152</f>
        <v>6219.198372</v>
      </c>
      <c r="R152" s="152">
        <f>Financials!Q$8*$C152</f>
        <v>6220.766699</v>
      </c>
      <c r="S152" s="152">
        <f>Financials!R$8*$C152</f>
        <v>6221.550862</v>
      </c>
      <c r="T152" s="152">
        <f>Financials!S$8*$C152</f>
        <v>6221.942944</v>
      </c>
      <c r="U152" s="152">
        <f>Financials!T$8*$C152</f>
        <v>6222.138985</v>
      </c>
      <c r="V152" s="152">
        <f>Financials!U$8*$C152</f>
        <v>6222.237005</v>
      </c>
      <c r="W152" s="152">
        <f>Financials!V$8*$C152</f>
        <v>6222.286015</v>
      </c>
      <c r="X152" s="152">
        <f>Financials!W$8*$C152</f>
        <v>6222.31052</v>
      </c>
      <c r="Y152" s="152">
        <f>Financials!X$8*$C152</f>
        <v>6222.322773</v>
      </c>
      <c r="Z152" s="152">
        <f>Financials!Y$8*$C152</f>
        <v>6222.328899</v>
      </c>
      <c r="AA152" s="152">
        <f>Financials!Z$8*$C152</f>
        <v>6222.331962</v>
      </c>
      <c r="AB152" s="152">
        <f>Financials!AA$8*$C152</f>
        <v>6222.333494</v>
      </c>
      <c r="AC152" s="152">
        <f>Financials!AB$8*$C152</f>
        <v>6222.33426</v>
      </c>
      <c r="AD152" s="152">
        <f>Financials!AC$8*$C152</f>
        <v>6222.334642</v>
      </c>
      <c r="AE152" s="152">
        <f>Financials!AD$8*$C152</f>
        <v>6222.334834</v>
      </c>
      <c r="AF152" s="152">
        <f>Financials!AE$8*$C152</f>
        <v>6222.33493</v>
      </c>
      <c r="AG152" s="152">
        <f>Financials!AF$8*$C152</f>
        <v>6222.334978</v>
      </c>
      <c r="AH152" s="152">
        <f>Financials!AG$8*$C152</f>
        <v>6222.335001</v>
      </c>
      <c r="AI152" s="152">
        <f>Financials!AH$8*$C152</f>
        <v>6222.335013</v>
      </c>
      <c r="AJ152" s="152">
        <f>Financials!AI$8*$C152</f>
        <v>6222.335019</v>
      </c>
      <c r="AK152" s="152">
        <f>Financials!AJ$8*$C152</f>
        <v>6222.335022</v>
      </c>
      <c r="AL152" s="152">
        <f>Financials!AK$8*$C152</f>
        <v>6222.335024</v>
      </c>
      <c r="AM152" s="152">
        <f>Financials!AL$8*$C152</f>
        <v>6222.335025</v>
      </c>
      <c r="AN152" s="152">
        <f>Financials!AM$8*$C152</f>
        <v>6222.335025</v>
      </c>
      <c r="AO152" s="152">
        <f>Financials!AN$8*$C152</f>
        <v>6222.335025</v>
      </c>
      <c r="AP152" s="152">
        <f>Financials!AO$8*$C152</f>
        <v>6222.335025</v>
      </c>
      <c r="AQ152" s="152">
        <f>Financials!AP$8*$C152</f>
        <v>6222.335025</v>
      </c>
      <c r="AR152" s="152">
        <f>Financials!AQ$8*$C152</f>
        <v>6222.335025</v>
      </c>
      <c r="AS152" s="152">
        <f>Financials!AR$8*$C152</f>
        <v>6222.335025</v>
      </c>
      <c r="AT152" s="152">
        <f>Financials!AS$8*$C152</f>
        <v>6222.335025</v>
      </c>
      <c r="AU152" s="152">
        <f>Financials!AT$8*$C152</f>
        <v>6222.335025</v>
      </c>
      <c r="AV152" s="152">
        <f>Financials!AU$8*$C152</f>
        <v>6222.335025</v>
      </c>
      <c r="AW152" s="152">
        <f>Financials!AV$8*$C152</f>
        <v>6222.335025</v>
      </c>
      <c r="AX152" s="152">
        <f>Financials!AW$8*$C152</f>
        <v>6222.335025</v>
      </c>
      <c r="AY152" s="152">
        <f>Financials!AX$8*$C152</f>
        <v>6222.335025</v>
      </c>
      <c r="AZ152" s="152">
        <f>Financials!AY$8*$C152</f>
        <v>6222.335025</v>
      </c>
      <c r="BA152" s="152">
        <f>Financials!AZ$8*$C152</f>
        <v>6222.335025</v>
      </c>
      <c r="BB152" s="152">
        <f>Financials!BA$8*$C152</f>
        <v>6222.335025</v>
      </c>
      <c r="BC152" s="152">
        <f>Financials!BB$8*$C152</f>
        <v>6222.335025</v>
      </c>
      <c r="BD152" s="152">
        <f>Financials!BC$8*$C152</f>
        <v>6222.335025</v>
      </c>
      <c r="BE152" s="152">
        <f>Financials!BD$8*$C152</f>
        <v>6222.335025</v>
      </c>
      <c r="BF152" s="152">
        <f>Financials!BE$8*$C152</f>
        <v>6222.335025</v>
      </c>
      <c r="BG152" s="152">
        <f>Financials!BF$8*$C152</f>
        <v>6222.335025</v>
      </c>
      <c r="BH152" s="152">
        <f>Financials!BG$8*$C152</f>
        <v>6222.335025</v>
      </c>
      <c r="BI152" s="152">
        <f>Financials!BH$8*$C152</f>
        <v>6222.335025</v>
      </c>
      <c r="BJ152" s="152">
        <f>Financials!BI$8*$C152</f>
        <v>6222.335025</v>
      </c>
      <c r="BK152" s="152">
        <f>Financials!BJ$8*$C152</f>
        <v>6222.335025</v>
      </c>
      <c r="BL152" s="152">
        <f>Financials!BK$8*$C152</f>
        <v>6222.335025</v>
      </c>
      <c r="BM152" s="152">
        <f>Financials!BL$8*$C152</f>
        <v>6222.335025</v>
      </c>
      <c r="BN152" s="152">
        <f>Financials!BM$8*$C152</f>
        <v>6222.335025</v>
      </c>
    </row>
    <row r="153" outlineLevel="1">
      <c r="A153" s="153"/>
      <c r="B153" s="154" t="s">
        <v>109</v>
      </c>
      <c r="C153" s="153"/>
      <c r="D153" s="153"/>
      <c r="E153" s="153"/>
      <c r="F153" s="153"/>
      <c r="G153" s="155">
        <f t="shared" ref="G153:BN153" si="110">sum(G145:G152)</f>
        <v>24107.4</v>
      </c>
      <c r="H153" s="155">
        <f t="shared" si="110"/>
        <v>36931.311</v>
      </c>
      <c r="I153" s="155">
        <f t="shared" si="110"/>
        <v>43354.81967</v>
      </c>
      <c r="J153" s="155">
        <f t="shared" si="110"/>
        <v>46566.74729</v>
      </c>
      <c r="K153" s="155">
        <f t="shared" si="110"/>
        <v>48172.71371</v>
      </c>
      <c r="L153" s="155">
        <f t="shared" si="110"/>
        <v>48975.69696</v>
      </c>
      <c r="M153" s="155">
        <f t="shared" si="110"/>
        <v>49377.18858</v>
      </c>
      <c r="N153" s="155">
        <f t="shared" si="110"/>
        <v>49577.93439</v>
      </c>
      <c r="O153" s="155">
        <f t="shared" si="110"/>
        <v>49678.3073</v>
      </c>
      <c r="P153" s="155">
        <f t="shared" si="110"/>
        <v>49728.49375</v>
      </c>
      <c r="Q153" s="155">
        <f t="shared" si="110"/>
        <v>49753.58698</v>
      </c>
      <c r="R153" s="155">
        <f t="shared" si="110"/>
        <v>49766.13359</v>
      </c>
      <c r="S153" s="155">
        <f t="shared" si="110"/>
        <v>49772.4069</v>
      </c>
      <c r="T153" s="155">
        <f t="shared" si="110"/>
        <v>49775.54355</v>
      </c>
      <c r="U153" s="155">
        <f t="shared" si="110"/>
        <v>49777.11188</v>
      </c>
      <c r="V153" s="155">
        <f t="shared" si="110"/>
        <v>49777.89604</v>
      </c>
      <c r="W153" s="155">
        <f t="shared" si="110"/>
        <v>49778.28812</v>
      </c>
      <c r="X153" s="155">
        <f t="shared" si="110"/>
        <v>49778.48416</v>
      </c>
      <c r="Y153" s="155">
        <f t="shared" si="110"/>
        <v>49778.58218</v>
      </c>
      <c r="Z153" s="155">
        <f t="shared" si="110"/>
        <v>49778.63119</v>
      </c>
      <c r="AA153" s="155">
        <f t="shared" si="110"/>
        <v>49778.6557</v>
      </c>
      <c r="AB153" s="155">
        <f t="shared" si="110"/>
        <v>49778.66795</v>
      </c>
      <c r="AC153" s="155">
        <f t="shared" si="110"/>
        <v>49778.67408</v>
      </c>
      <c r="AD153" s="155">
        <f t="shared" si="110"/>
        <v>49778.67714</v>
      </c>
      <c r="AE153" s="155">
        <f t="shared" si="110"/>
        <v>49778.67867</v>
      </c>
      <c r="AF153" s="155">
        <f t="shared" si="110"/>
        <v>49778.67944</v>
      </c>
      <c r="AG153" s="155">
        <f t="shared" si="110"/>
        <v>49778.67982</v>
      </c>
      <c r="AH153" s="155">
        <f t="shared" si="110"/>
        <v>49778.68001</v>
      </c>
      <c r="AI153" s="155">
        <f t="shared" si="110"/>
        <v>49778.68011</v>
      </c>
      <c r="AJ153" s="155">
        <f t="shared" si="110"/>
        <v>49778.68016</v>
      </c>
      <c r="AK153" s="155">
        <f t="shared" si="110"/>
        <v>49778.68018</v>
      </c>
      <c r="AL153" s="155">
        <f t="shared" si="110"/>
        <v>49778.68019</v>
      </c>
      <c r="AM153" s="155">
        <f t="shared" si="110"/>
        <v>49778.6802</v>
      </c>
      <c r="AN153" s="155">
        <f t="shared" si="110"/>
        <v>49778.6802</v>
      </c>
      <c r="AO153" s="155">
        <f t="shared" si="110"/>
        <v>49778.6802</v>
      </c>
      <c r="AP153" s="155">
        <f t="shared" si="110"/>
        <v>49778.6802</v>
      </c>
      <c r="AQ153" s="155">
        <f t="shared" si="110"/>
        <v>49778.6802</v>
      </c>
      <c r="AR153" s="155">
        <f t="shared" si="110"/>
        <v>49778.6802</v>
      </c>
      <c r="AS153" s="155">
        <f t="shared" si="110"/>
        <v>49778.6802</v>
      </c>
      <c r="AT153" s="155">
        <f t="shared" si="110"/>
        <v>49778.6802</v>
      </c>
      <c r="AU153" s="155">
        <f t="shared" si="110"/>
        <v>49778.6802</v>
      </c>
      <c r="AV153" s="155">
        <f t="shared" si="110"/>
        <v>49778.6802</v>
      </c>
      <c r="AW153" s="155">
        <f t="shared" si="110"/>
        <v>49778.6802</v>
      </c>
      <c r="AX153" s="155">
        <f t="shared" si="110"/>
        <v>49778.6802</v>
      </c>
      <c r="AY153" s="155">
        <f t="shared" si="110"/>
        <v>49778.6802</v>
      </c>
      <c r="AZ153" s="155">
        <f t="shared" si="110"/>
        <v>49778.6802</v>
      </c>
      <c r="BA153" s="155">
        <f t="shared" si="110"/>
        <v>49778.6802</v>
      </c>
      <c r="BB153" s="155">
        <f t="shared" si="110"/>
        <v>49778.6802</v>
      </c>
      <c r="BC153" s="155">
        <f t="shared" si="110"/>
        <v>49778.6802</v>
      </c>
      <c r="BD153" s="155">
        <f t="shared" si="110"/>
        <v>49778.6802</v>
      </c>
      <c r="BE153" s="155">
        <f t="shared" si="110"/>
        <v>49778.6802</v>
      </c>
      <c r="BF153" s="155">
        <f t="shared" si="110"/>
        <v>49778.6802</v>
      </c>
      <c r="BG153" s="155">
        <f t="shared" si="110"/>
        <v>49778.6802</v>
      </c>
      <c r="BH153" s="155">
        <f t="shared" si="110"/>
        <v>49778.6802</v>
      </c>
      <c r="BI153" s="155">
        <f t="shared" si="110"/>
        <v>49778.6802</v>
      </c>
      <c r="BJ153" s="155">
        <f t="shared" si="110"/>
        <v>49778.6802</v>
      </c>
      <c r="BK153" s="155">
        <f t="shared" si="110"/>
        <v>49778.6802</v>
      </c>
      <c r="BL153" s="155">
        <f t="shared" si="110"/>
        <v>49778.6802</v>
      </c>
      <c r="BM153" s="155">
        <f t="shared" si="110"/>
        <v>49778.6802</v>
      </c>
      <c r="BN153" s="155">
        <f t="shared" si="110"/>
        <v>49778.6802</v>
      </c>
    </row>
    <row r="154" outlineLevel="1">
      <c r="A154" s="47"/>
      <c r="B154" s="65"/>
      <c r="C154" s="47"/>
      <c r="D154" s="47"/>
      <c r="E154" s="47"/>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c r="AH154" s="109"/>
      <c r="AI154" s="109"/>
      <c r="AJ154" s="109"/>
      <c r="AK154" s="109"/>
      <c r="AL154" s="109"/>
      <c r="AM154" s="109"/>
      <c r="AN154" s="109"/>
      <c r="AO154" s="109"/>
      <c r="AP154" s="109"/>
      <c r="AQ154" s="109"/>
      <c r="AR154" s="109"/>
      <c r="AS154" s="109"/>
      <c r="AT154" s="109"/>
      <c r="AU154" s="109"/>
      <c r="AV154" s="109"/>
      <c r="AW154" s="109"/>
      <c r="AX154" s="109"/>
      <c r="AY154" s="109"/>
      <c r="AZ154" s="109"/>
      <c r="BA154" s="109"/>
      <c r="BB154" s="109"/>
      <c r="BC154" s="109"/>
      <c r="BD154" s="109"/>
      <c r="BE154" s="109"/>
      <c r="BF154" s="109"/>
      <c r="BG154" s="109"/>
      <c r="BH154" s="109"/>
      <c r="BI154" s="109"/>
      <c r="BJ154" s="109"/>
      <c r="BK154" s="109"/>
      <c r="BL154" s="109"/>
      <c r="BM154" s="109"/>
      <c r="BN154" s="109"/>
    </row>
    <row r="155" outlineLevel="1">
      <c r="A155" s="47"/>
      <c r="B155" s="65" t="s">
        <v>110</v>
      </c>
      <c r="C155" s="65"/>
      <c r="D155" s="142"/>
      <c r="E155" s="47"/>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c r="AH155" s="109"/>
      <c r="AI155" s="109"/>
      <c r="AJ155" s="109"/>
      <c r="AK155" s="109"/>
      <c r="AL155" s="109"/>
      <c r="AM155" s="109"/>
      <c r="AN155" s="109"/>
      <c r="AO155" s="109"/>
      <c r="AP155" s="109"/>
      <c r="AQ155" s="109"/>
      <c r="AR155" s="109"/>
      <c r="AS155" s="109"/>
      <c r="AT155" s="109"/>
      <c r="AU155" s="109"/>
      <c r="AV155" s="109"/>
      <c r="AW155" s="109"/>
      <c r="AX155" s="109"/>
      <c r="AY155" s="109"/>
      <c r="AZ155" s="109"/>
      <c r="BA155" s="109"/>
      <c r="BB155" s="109"/>
      <c r="BC155" s="109"/>
      <c r="BD155" s="109"/>
      <c r="BE155" s="109"/>
      <c r="BF155" s="109"/>
      <c r="BG155" s="109"/>
      <c r="BH155" s="109"/>
      <c r="BI155" s="109"/>
      <c r="BJ155" s="109"/>
      <c r="BK155" s="109"/>
      <c r="BL155" s="109"/>
      <c r="BM155" s="109"/>
      <c r="BN155" s="109"/>
    </row>
    <row r="156" outlineLevel="1">
      <c r="A156" s="66"/>
      <c r="B156" s="143" t="s">
        <v>111</v>
      </c>
      <c r="C156" s="156">
        <v>2500.0</v>
      </c>
      <c r="D156" s="157"/>
      <c r="E156" s="66"/>
      <c r="F156" s="109"/>
      <c r="G156" s="109">
        <f t="shared" ref="G156:G163" si="112">C156</f>
        <v>2500</v>
      </c>
      <c r="H156" s="109">
        <f t="shared" ref="H156:BN156" si="111">G156</f>
        <v>2500</v>
      </c>
      <c r="I156" s="109">
        <f t="shared" si="111"/>
        <v>2500</v>
      </c>
      <c r="J156" s="109">
        <f t="shared" si="111"/>
        <v>2500</v>
      </c>
      <c r="K156" s="109">
        <f t="shared" si="111"/>
        <v>2500</v>
      </c>
      <c r="L156" s="109">
        <f t="shared" si="111"/>
        <v>2500</v>
      </c>
      <c r="M156" s="109">
        <f t="shared" si="111"/>
        <v>2500</v>
      </c>
      <c r="N156" s="109">
        <f t="shared" si="111"/>
        <v>2500</v>
      </c>
      <c r="O156" s="109">
        <f t="shared" si="111"/>
        <v>2500</v>
      </c>
      <c r="P156" s="109">
        <f t="shared" si="111"/>
        <v>2500</v>
      </c>
      <c r="Q156" s="109">
        <f t="shared" si="111"/>
        <v>2500</v>
      </c>
      <c r="R156" s="109">
        <f t="shared" si="111"/>
        <v>2500</v>
      </c>
      <c r="S156" s="109">
        <f t="shared" si="111"/>
        <v>2500</v>
      </c>
      <c r="T156" s="109">
        <f t="shared" si="111"/>
        <v>2500</v>
      </c>
      <c r="U156" s="109">
        <f t="shared" si="111"/>
        <v>2500</v>
      </c>
      <c r="V156" s="109">
        <f t="shared" si="111"/>
        <v>2500</v>
      </c>
      <c r="W156" s="109">
        <f t="shared" si="111"/>
        <v>2500</v>
      </c>
      <c r="X156" s="109">
        <f t="shared" si="111"/>
        <v>2500</v>
      </c>
      <c r="Y156" s="109">
        <f t="shared" si="111"/>
        <v>2500</v>
      </c>
      <c r="Z156" s="109">
        <f t="shared" si="111"/>
        <v>2500</v>
      </c>
      <c r="AA156" s="109">
        <f t="shared" si="111"/>
        <v>2500</v>
      </c>
      <c r="AB156" s="109">
        <f t="shared" si="111"/>
        <v>2500</v>
      </c>
      <c r="AC156" s="109">
        <f t="shared" si="111"/>
        <v>2500</v>
      </c>
      <c r="AD156" s="109">
        <f t="shared" si="111"/>
        <v>2500</v>
      </c>
      <c r="AE156" s="109">
        <f t="shared" si="111"/>
        <v>2500</v>
      </c>
      <c r="AF156" s="109">
        <f t="shared" si="111"/>
        <v>2500</v>
      </c>
      <c r="AG156" s="109">
        <f t="shared" si="111"/>
        <v>2500</v>
      </c>
      <c r="AH156" s="109">
        <f t="shared" si="111"/>
        <v>2500</v>
      </c>
      <c r="AI156" s="109">
        <f t="shared" si="111"/>
        <v>2500</v>
      </c>
      <c r="AJ156" s="109">
        <f t="shared" si="111"/>
        <v>2500</v>
      </c>
      <c r="AK156" s="109">
        <f t="shared" si="111"/>
        <v>2500</v>
      </c>
      <c r="AL156" s="109">
        <f t="shared" si="111"/>
        <v>2500</v>
      </c>
      <c r="AM156" s="109">
        <f t="shared" si="111"/>
        <v>2500</v>
      </c>
      <c r="AN156" s="109">
        <f t="shared" si="111"/>
        <v>2500</v>
      </c>
      <c r="AO156" s="109">
        <f t="shared" si="111"/>
        <v>2500</v>
      </c>
      <c r="AP156" s="109">
        <f t="shared" si="111"/>
        <v>2500</v>
      </c>
      <c r="AQ156" s="109">
        <f t="shared" si="111"/>
        <v>2500</v>
      </c>
      <c r="AR156" s="109">
        <f t="shared" si="111"/>
        <v>2500</v>
      </c>
      <c r="AS156" s="109">
        <f t="shared" si="111"/>
        <v>2500</v>
      </c>
      <c r="AT156" s="109">
        <f t="shared" si="111"/>
        <v>2500</v>
      </c>
      <c r="AU156" s="109">
        <f t="shared" si="111"/>
        <v>2500</v>
      </c>
      <c r="AV156" s="109">
        <f t="shared" si="111"/>
        <v>2500</v>
      </c>
      <c r="AW156" s="109">
        <f t="shared" si="111"/>
        <v>2500</v>
      </c>
      <c r="AX156" s="109">
        <f t="shared" si="111"/>
        <v>2500</v>
      </c>
      <c r="AY156" s="109">
        <f t="shared" si="111"/>
        <v>2500</v>
      </c>
      <c r="AZ156" s="109">
        <f t="shared" si="111"/>
        <v>2500</v>
      </c>
      <c r="BA156" s="109">
        <f t="shared" si="111"/>
        <v>2500</v>
      </c>
      <c r="BB156" s="109">
        <f t="shared" si="111"/>
        <v>2500</v>
      </c>
      <c r="BC156" s="109">
        <f t="shared" si="111"/>
        <v>2500</v>
      </c>
      <c r="BD156" s="109">
        <f t="shared" si="111"/>
        <v>2500</v>
      </c>
      <c r="BE156" s="109">
        <f t="shared" si="111"/>
        <v>2500</v>
      </c>
      <c r="BF156" s="109">
        <f t="shared" si="111"/>
        <v>2500</v>
      </c>
      <c r="BG156" s="109">
        <f t="shared" si="111"/>
        <v>2500</v>
      </c>
      <c r="BH156" s="109">
        <f t="shared" si="111"/>
        <v>2500</v>
      </c>
      <c r="BI156" s="109">
        <f t="shared" si="111"/>
        <v>2500</v>
      </c>
      <c r="BJ156" s="109">
        <f t="shared" si="111"/>
        <v>2500</v>
      </c>
      <c r="BK156" s="109">
        <f t="shared" si="111"/>
        <v>2500</v>
      </c>
      <c r="BL156" s="109">
        <f t="shared" si="111"/>
        <v>2500</v>
      </c>
      <c r="BM156" s="109">
        <f t="shared" si="111"/>
        <v>2500</v>
      </c>
      <c r="BN156" s="109">
        <f t="shared" si="111"/>
        <v>2500</v>
      </c>
    </row>
    <row r="157" outlineLevel="1">
      <c r="A157" s="66"/>
      <c r="B157" s="143" t="s">
        <v>112</v>
      </c>
      <c r="C157" s="156">
        <v>2500.0</v>
      </c>
      <c r="D157" s="157"/>
      <c r="E157" s="66"/>
      <c r="F157" s="109"/>
      <c r="G157" s="109">
        <f t="shared" si="112"/>
        <v>2500</v>
      </c>
      <c r="H157" s="109">
        <f t="shared" ref="H157:BN157" si="113">G157</f>
        <v>2500</v>
      </c>
      <c r="I157" s="109">
        <f t="shared" si="113"/>
        <v>2500</v>
      </c>
      <c r="J157" s="109">
        <f t="shared" si="113"/>
        <v>2500</v>
      </c>
      <c r="K157" s="109">
        <f t="shared" si="113"/>
        <v>2500</v>
      </c>
      <c r="L157" s="109">
        <f t="shared" si="113"/>
        <v>2500</v>
      </c>
      <c r="M157" s="109">
        <f t="shared" si="113"/>
        <v>2500</v>
      </c>
      <c r="N157" s="109">
        <f t="shared" si="113"/>
        <v>2500</v>
      </c>
      <c r="O157" s="109">
        <f t="shared" si="113"/>
        <v>2500</v>
      </c>
      <c r="P157" s="109">
        <f t="shared" si="113"/>
        <v>2500</v>
      </c>
      <c r="Q157" s="109">
        <f t="shared" si="113"/>
        <v>2500</v>
      </c>
      <c r="R157" s="109">
        <f t="shared" si="113"/>
        <v>2500</v>
      </c>
      <c r="S157" s="109">
        <f t="shared" si="113"/>
        <v>2500</v>
      </c>
      <c r="T157" s="109">
        <f t="shared" si="113"/>
        <v>2500</v>
      </c>
      <c r="U157" s="109">
        <f t="shared" si="113"/>
        <v>2500</v>
      </c>
      <c r="V157" s="109">
        <f t="shared" si="113"/>
        <v>2500</v>
      </c>
      <c r="W157" s="109">
        <f t="shared" si="113"/>
        <v>2500</v>
      </c>
      <c r="X157" s="109">
        <f t="shared" si="113"/>
        <v>2500</v>
      </c>
      <c r="Y157" s="109">
        <f t="shared" si="113"/>
        <v>2500</v>
      </c>
      <c r="Z157" s="109">
        <f t="shared" si="113"/>
        <v>2500</v>
      </c>
      <c r="AA157" s="109">
        <f t="shared" si="113"/>
        <v>2500</v>
      </c>
      <c r="AB157" s="109">
        <f t="shared" si="113"/>
        <v>2500</v>
      </c>
      <c r="AC157" s="109">
        <f t="shared" si="113"/>
        <v>2500</v>
      </c>
      <c r="AD157" s="109">
        <f t="shared" si="113"/>
        <v>2500</v>
      </c>
      <c r="AE157" s="109">
        <f t="shared" si="113"/>
        <v>2500</v>
      </c>
      <c r="AF157" s="109">
        <f t="shared" si="113"/>
        <v>2500</v>
      </c>
      <c r="AG157" s="109">
        <f t="shared" si="113"/>
        <v>2500</v>
      </c>
      <c r="AH157" s="109">
        <f t="shared" si="113"/>
        <v>2500</v>
      </c>
      <c r="AI157" s="109">
        <f t="shared" si="113"/>
        <v>2500</v>
      </c>
      <c r="AJ157" s="109">
        <f t="shared" si="113"/>
        <v>2500</v>
      </c>
      <c r="AK157" s="109">
        <f t="shared" si="113"/>
        <v>2500</v>
      </c>
      <c r="AL157" s="109">
        <f t="shared" si="113"/>
        <v>2500</v>
      </c>
      <c r="AM157" s="109">
        <f t="shared" si="113"/>
        <v>2500</v>
      </c>
      <c r="AN157" s="109">
        <f t="shared" si="113"/>
        <v>2500</v>
      </c>
      <c r="AO157" s="109">
        <f t="shared" si="113"/>
        <v>2500</v>
      </c>
      <c r="AP157" s="109">
        <f t="shared" si="113"/>
        <v>2500</v>
      </c>
      <c r="AQ157" s="109">
        <f t="shared" si="113"/>
        <v>2500</v>
      </c>
      <c r="AR157" s="109">
        <f t="shared" si="113"/>
        <v>2500</v>
      </c>
      <c r="AS157" s="109">
        <f t="shared" si="113"/>
        <v>2500</v>
      </c>
      <c r="AT157" s="109">
        <f t="shared" si="113"/>
        <v>2500</v>
      </c>
      <c r="AU157" s="109">
        <f t="shared" si="113"/>
        <v>2500</v>
      </c>
      <c r="AV157" s="109">
        <f t="shared" si="113"/>
        <v>2500</v>
      </c>
      <c r="AW157" s="109">
        <f t="shared" si="113"/>
        <v>2500</v>
      </c>
      <c r="AX157" s="109">
        <f t="shared" si="113"/>
        <v>2500</v>
      </c>
      <c r="AY157" s="109">
        <f t="shared" si="113"/>
        <v>2500</v>
      </c>
      <c r="AZ157" s="109">
        <f t="shared" si="113"/>
        <v>2500</v>
      </c>
      <c r="BA157" s="109">
        <f t="shared" si="113"/>
        <v>2500</v>
      </c>
      <c r="BB157" s="109">
        <f t="shared" si="113"/>
        <v>2500</v>
      </c>
      <c r="BC157" s="109">
        <f t="shared" si="113"/>
        <v>2500</v>
      </c>
      <c r="BD157" s="109">
        <f t="shared" si="113"/>
        <v>2500</v>
      </c>
      <c r="BE157" s="109">
        <f t="shared" si="113"/>
        <v>2500</v>
      </c>
      <c r="BF157" s="109">
        <f t="shared" si="113"/>
        <v>2500</v>
      </c>
      <c r="BG157" s="109">
        <f t="shared" si="113"/>
        <v>2500</v>
      </c>
      <c r="BH157" s="109">
        <f t="shared" si="113"/>
        <v>2500</v>
      </c>
      <c r="BI157" s="109">
        <f t="shared" si="113"/>
        <v>2500</v>
      </c>
      <c r="BJ157" s="109">
        <f t="shared" si="113"/>
        <v>2500</v>
      </c>
      <c r="BK157" s="109">
        <f t="shared" si="113"/>
        <v>2500</v>
      </c>
      <c r="BL157" s="109">
        <f t="shared" si="113"/>
        <v>2500</v>
      </c>
      <c r="BM157" s="109">
        <f t="shared" si="113"/>
        <v>2500</v>
      </c>
      <c r="BN157" s="109">
        <f t="shared" si="113"/>
        <v>2500</v>
      </c>
    </row>
    <row r="158" outlineLevel="1">
      <c r="A158" s="66"/>
      <c r="B158" s="143" t="s">
        <v>113</v>
      </c>
      <c r="C158" s="156">
        <v>2500.0</v>
      </c>
      <c r="D158" s="66"/>
      <c r="E158" s="66"/>
      <c r="F158" s="109"/>
      <c r="G158" s="109">
        <f t="shared" si="112"/>
        <v>2500</v>
      </c>
      <c r="H158" s="109">
        <f t="shared" ref="H158:BN158" si="114">G158</f>
        <v>2500</v>
      </c>
      <c r="I158" s="109">
        <f t="shared" si="114"/>
        <v>2500</v>
      </c>
      <c r="J158" s="109">
        <f t="shared" si="114"/>
        <v>2500</v>
      </c>
      <c r="K158" s="109">
        <f t="shared" si="114"/>
        <v>2500</v>
      </c>
      <c r="L158" s="109">
        <f t="shared" si="114"/>
        <v>2500</v>
      </c>
      <c r="M158" s="109">
        <f t="shared" si="114"/>
        <v>2500</v>
      </c>
      <c r="N158" s="109">
        <f t="shared" si="114"/>
        <v>2500</v>
      </c>
      <c r="O158" s="109">
        <f t="shared" si="114"/>
        <v>2500</v>
      </c>
      <c r="P158" s="109">
        <f t="shared" si="114"/>
        <v>2500</v>
      </c>
      <c r="Q158" s="109">
        <f t="shared" si="114"/>
        <v>2500</v>
      </c>
      <c r="R158" s="109">
        <f t="shared" si="114"/>
        <v>2500</v>
      </c>
      <c r="S158" s="109">
        <f t="shared" si="114"/>
        <v>2500</v>
      </c>
      <c r="T158" s="109">
        <f t="shared" si="114"/>
        <v>2500</v>
      </c>
      <c r="U158" s="109">
        <f t="shared" si="114"/>
        <v>2500</v>
      </c>
      <c r="V158" s="109">
        <f t="shared" si="114"/>
        <v>2500</v>
      </c>
      <c r="W158" s="109">
        <f t="shared" si="114"/>
        <v>2500</v>
      </c>
      <c r="X158" s="109">
        <f t="shared" si="114"/>
        <v>2500</v>
      </c>
      <c r="Y158" s="109">
        <f t="shared" si="114"/>
        <v>2500</v>
      </c>
      <c r="Z158" s="109">
        <f t="shared" si="114"/>
        <v>2500</v>
      </c>
      <c r="AA158" s="109">
        <f t="shared" si="114"/>
        <v>2500</v>
      </c>
      <c r="AB158" s="109">
        <f t="shared" si="114"/>
        <v>2500</v>
      </c>
      <c r="AC158" s="109">
        <f t="shared" si="114"/>
        <v>2500</v>
      </c>
      <c r="AD158" s="109">
        <f t="shared" si="114"/>
        <v>2500</v>
      </c>
      <c r="AE158" s="109">
        <f t="shared" si="114"/>
        <v>2500</v>
      </c>
      <c r="AF158" s="109">
        <f t="shared" si="114"/>
        <v>2500</v>
      </c>
      <c r="AG158" s="109">
        <f t="shared" si="114"/>
        <v>2500</v>
      </c>
      <c r="AH158" s="109">
        <f t="shared" si="114"/>
        <v>2500</v>
      </c>
      <c r="AI158" s="109">
        <f t="shared" si="114"/>
        <v>2500</v>
      </c>
      <c r="AJ158" s="109">
        <f t="shared" si="114"/>
        <v>2500</v>
      </c>
      <c r="AK158" s="109">
        <f t="shared" si="114"/>
        <v>2500</v>
      </c>
      <c r="AL158" s="109">
        <f t="shared" si="114"/>
        <v>2500</v>
      </c>
      <c r="AM158" s="109">
        <f t="shared" si="114"/>
        <v>2500</v>
      </c>
      <c r="AN158" s="109">
        <f t="shared" si="114"/>
        <v>2500</v>
      </c>
      <c r="AO158" s="109">
        <f t="shared" si="114"/>
        <v>2500</v>
      </c>
      <c r="AP158" s="109">
        <f t="shared" si="114"/>
        <v>2500</v>
      </c>
      <c r="AQ158" s="109">
        <f t="shared" si="114"/>
        <v>2500</v>
      </c>
      <c r="AR158" s="109">
        <f t="shared" si="114"/>
        <v>2500</v>
      </c>
      <c r="AS158" s="109">
        <f t="shared" si="114"/>
        <v>2500</v>
      </c>
      <c r="AT158" s="109">
        <f t="shared" si="114"/>
        <v>2500</v>
      </c>
      <c r="AU158" s="109">
        <f t="shared" si="114"/>
        <v>2500</v>
      </c>
      <c r="AV158" s="109">
        <f t="shared" si="114"/>
        <v>2500</v>
      </c>
      <c r="AW158" s="109">
        <f t="shared" si="114"/>
        <v>2500</v>
      </c>
      <c r="AX158" s="109">
        <f t="shared" si="114"/>
        <v>2500</v>
      </c>
      <c r="AY158" s="109">
        <f t="shared" si="114"/>
        <v>2500</v>
      </c>
      <c r="AZ158" s="109">
        <f t="shared" si="114"/>
        <v>2500</v>
      </c>
      <c r="BA158" s="109">
        <f t="shared" si="114"/>
        <v>2500</v>
      </c>
      <c r="BB158" s="109">
        <f t="shared" si="114"/>
        <v>2500</v>
      </c>
      <c r="BC158" s="109">
        <f t="shared" si="114"/>
        <v>2500</v>
      </c>
      <c r="BD158" s="109">
        <f t="shared" si="114"/>
        <v>2500</v>
      </c>
      <c r="BE158" s="109">
        <f t="shared" si="114"/>
        <v>2500</v>
      </c>
      <c r="BF158" s="109">
        <f t="shared" si="114"/>
        <v>2500</v>
      </c>
      <c r="BG158" s="109">
        <f t="shared" si="114"/>
        <v>2500</v>
      </c>
      <c r="BH158" s="109">
        <f t="shared" si="114"/>
        <v>2500</v>
      </c>
      <c r="BI158" s="109">
        <f t="shared" si="114"/>
        <v>2500</v>
      </c>
      <c r="BJ158" s="109">
        <f t="shared" si="114"/>
        <v>2500</v>
      </c>
      <c r="BK158" s="109">
        <f t="shared" si="114"/>
        <v>2500</v>
      </c>
      <c r="BL158" s="109">
        <f t="shared" si="114"/>
        <v>2500</v>
      </c>
      <c r="BM158" s="109">
        <f t="shared" si="114"/>
        <v>2500</v>
      </c>
      <c r="BN158" s="109">
        <f t="shared" si="114"/>
        <v>2500</v>
      </c>
    </row>
    <row r="159" outlineLevel="1">
      <c r="A159" s="66"/>
      <c r="B159" s="143" t="s">
        <v>114</v>
      </c>
      <c r="C159" s="156">
        <v>2500.0</v>
      </c>
      <c r="D159" s="66"/>
      <c r="E159" s="66"/>
      <c r="F159" s="109"/>
      <c r="G159" s="109">
        <f t="shared" si="112"/>
        <v>2500</v>
      </c>
      <c r="H159" s="109">
        <f t="shared" ref="H159:BN159" si="115">G159</f>
        <v>2500</v>
      </c>
      <c r="I159" s="109">
        <f t="shared" si="115"/>
        <v>2500</v>
      </c>
      <c r="J159" s="109">
        <f t="shared" si="115"/>
        <v>2500</v>
      </c>
      <c r="K159" s="109">
        <f t="shared" si="115"/>
        <v>2500</v>
      </c>
      <c r="L159" s="109">
        <f t="shared" si="115"/>
        <v>2500</v>
      </c>
      <c r="M159" s="109">
        <f t="shared" si="115"/>
        <v>2500</v>
      </c>
      <c r="N159" s="109">
        <f t="shared" si="115"/>
        <v>2500</v>
      </c>
      <c r="O159" s="109">
        <f t="shared" si="115"/>
        <v>2500</v>
      </c>
      <c r="P159" s="109">
        <f t="shared" si="115"/>
        <v>2500</v>
      </c>
      <c r="Q159" s="109">
        <f t="shared" si="115"/>
        <v>2500</v>
      </c>
      <c r="R159" s="109">
        <f t="shared" si="115"/>
        <v>2500</v>
      </c>
      <c r="S159" s="109">
        <f t="shared" si="115"/>
        <v>2500</v>
      </c>
      <c r="T159" s="109">
        <f t="shared" si="115"/>
        <v>2500</v>
      </c>
      <c r="U159" s="109">
        <f t="shared" si="115"/>
        <v>2500</v>
      </c>
      <c r="V159" s="109">
        <f t="shared" si="115"/>
        <v>2500</v>
      </c>
      <c r="W159" s="109">
        <f t="shared" si="115"/>
        <v>2500</v>
      </c>
      <c r="X159" s="109">
        <f t="shared" si="115"/>
        <v>2500</v>
      </c>
      <c r="Y159" s="109">
        <f t="shared" si="115"/>
        <v>2500</v>
      </c>
      <c r="Z159" s="109">
        <f t="shared" si="115"/>
        <v>2500</v>
      </c>
      <c r="AA159" s="109">
        <f t="shared" si="115"/>
        <v>2500</v>
      </c>
      <c r="AB159" s="109">
        <f t="shared" si="115"/>
        <v>2500</v>
      </c>
      <c r="AC159" s="109">
        <f t="shared" si="115"/>
        <v>2500</v>
      </c>
      <c r="AD159" s="109">
        <f t="shared" si="115"/>
        <v>2500</v>
      </c>
      <c r="AE159" s="109">
        <f t="shared" si="115"/>
        <v>2500</v>
      </c>
      <c r="AF159" s="109">
        <f t="shared" si="115"/>
        <v>2500</v>
      </c>
      <c r="AG159" s="109">
        <f t="shared" si="115"/>
        <v>2500</v>
      </c>
      <c r="AH159" s="109">
        <f t="shared" si="115"/>
        <v>2500</v>
      </c>
      <c r="AI159" s="109">
        <f t="shared" si="115"/>
        <v>2500</v>
      </c>
      <c r="AJ159" s="109">
        <f t="shared" si="115"/>
        <v>2500</v>
      </c>
      <c r="AK159" s="109">
        <f t="shared" si="115"/>
        <v>2500</v>
      </c>
      <c r="AL159" s="109">
        <f t="shared" si="115"/>
        <v>2500</v>
      </c>
      <c r="AM159" s="109">
        <f t="shared" si="115"/>
        <v>2500</v>
      </c>
      <c r="AN159" s="109">
        <f t="shared" si="115"/>
        <v>2500</v>
      </c>
      <c r="AO159" s="109">
        <f t="shared" si="115"/>
        <v>2500</v>
      </c>
      <c r="AP159" s="109">
        <f t="shared" si="115"/>
        <v>2500</v>
      </c>
      <c r="AQ159" s="109">
        <f t="shared" si="115"/>
        <v>2500</v>
      </c>
      <c r="AR159" s="109">
        <f t="shared" si="115"/>
        <v>2500</v>
      </c>
      <c r="AS159" s="109">
        <f t="shared" si="115"/>
        <v>2500</v>
      </c>
      <c r="AT159" s="109">
        <f t="shared" si="115"/>
        <v>2500</v>
      </c>
      <c r="AU159" s="109">
        <f t="shared" si="115"/>
        <v>2500</v>
      </c>
      <c r="AV159" s="109">
        <f t="shared" si="115"/>
        <v>2500</v>
      </c>
      <c r="AW159" s="109">
        <f t="shared" si="115"/>
        <v>2500</v>
      </c>
      <c r="AX159" s="109">
        <f t="shared" si="115"/>
        <v>2500</v>
      </c>
      <c r="AY159" s="109">
        <f t="shared" si="115"/>
        <v>2500</v>
      </c>
      <c r="AZ159" s="109">
        <f t="shared" si="115"/>
        <v>2500</v>
      </c>
      <c r="BA159" s="109">
        <f t="shared" si="115"/>
        <v>2500</v>
      </c>
      <c r="BB159" s="109">
        <f t="shared" si="115"/>
        <v>2500</v>
      </c>
      <c r="BC159" s="109">
        <f t="shared" si="115"/>
        <v>2500</v>
      </c>
      <c r="BD159" s="109">
        <f t="shared" si="115"/>
        <v>2500</v>
      </c>
      <c r="BE159" s="109">
        <f t="shared" si="115"/>
        <v>2500</v>
      </c>
      <c r="BF159" s="109">
        <f t="shared" si="115"/>
        <v>2500</v>
      </c>
      <c r="BG159" s="109">
        <f t="shared" si="115"/>
        <v>2500</v>
      </c>
      <c r="BH159" s="109">
        <f t="shared" si="115"/>
        <v>2500</v>
      </c>
      <c r="BI159" s="109">
        <f t="shared" si="115"/>
        <v>2500</v>
      </c>
      <c r="BJ159" s="109">
        <f t="shared" si="115"/>
        <v>2500</v>
      </c>
      <c r="BK159" s="109">
        <f t="shared" si="115"/>
        <v>2500</v>
      </c>
      <c r="BL159" s="109">
        <f t="shared" si="115"/>
        <v>2500</v>
      </c>
      <c r="BM159" s="109">
        <f t="shared" si="115"/>
        <v>2500</v>
      </c>
      <c r="BN159" s="109">
        <f t="shared" si="115"/>
        <v>2500</v>
      </c>
    </row>
    <row r="160" outlineLevel="1">
      <c r="A160" s="66"/>
      <c r="B160" s="143" t="s">
        <v>115</v>
      </c>
      <c r="C160" s="156">
        <v>2500.0</v>
      </c>
      <c r="D160" s="66"/>
      <c r="E160" s="66"/>
      <c r="F160" s="109"/>
      <c r="G160" s="109">
        <f t="shared" si="112"/>
        <v>2500</v>
      </c>
      <c r="H160" s="109">
        <f t="shared" ref="H160:BN160" si="116">G160</f>
        <v>2500</v>
      </c>
      <c r="I160" s="109">
        <f t="shared" si="116"/>
        <v>2500</v>
      </c>
      <c r="J160" s="109">
        <f t="shared" si="116"/>
        <v>2500</v>
      </c>
      <c r="K160" s="109">
        <f t="shared" si="116"/>
        <v>2500</v>
      </c>
      <c r="L160" s="109">
        <f t="shared" si="116"/>
        <v>2500</v>
      </c>
      <c r="M160" s="109">
        <f t="shared" si="116"/>
        <v>2500</v>
      </c>
      <c r="N160" s="109">
        <f t="shared" si="116"/>
        <v>2500</v>
      </c>
      <c r="O160" s="109">
        <f t="shared" si="116"/>
        <v>2500</v>
      </c>
      <c r="P160" s="109">
        <f t="shared" si="116"/>
        <v>2500</v>
      </c>
      <c r="Q160" s="109">
        <f t="shared" si="116"/>
        <v>2500</v>
      </c>
      <c r="R160" s="109">
        <f t="shared" si="116"/>
        <v>2500</v>
      </c>
      <c r="S160" s="109">
        <f t="shared" si="116"/>
        <v>2500</v>
      </c>
      <c r="T160" s="109">
        <f t="shared" si="116"/>
        <v>2500</v>
      </c>
      <c r="U160" s="109">
        <f t="shared" si="116"/>
        <v>2500</v>
      </c>
      <c r="V160" s="109">
        <f t="shared" si="116"/>
        <v>2500</v>
      </c>
      <c r="W160" s="109">
        <f t="shared" si="116"/>
        <v>2500</v>
      </c>
      <c r="X160" s="109">
        <f t="shared" si="116"/>
        <v>2500</v>
      </c>
      <c r="Y160" s="109">
        <f t="shared" si="116"/>
        <v>2500</v>
      </c>
      <c r="Z160" s="109">
        <f t="shared" si="116"/>
        <v>2500</v>
      </c>
      <c r="AA160" s="109">
        <f t="shared" si="116"/>
        <v>2500</v>
      </c>
      <c r="AB160" s="109">
        <f t="shared" si="116"/>
        <v>2500</v>
      </c>
      <c r="AC160" s="109">
        <f t="shared" si="116"/>
        <v>2500</v>
      </c>
      <c r="AD160" s="109">
        <f t="shared" si="116"/>
        <v>2500</v>
      </c>
      <c r="AE160" s="109">
        <f t="shared" si="116"/>
        <v>2500</v>
      </c>
      <c r="AF160" s="109">
        <f t="shared" si="116"/>
        <v>2500</v>
      </c>
      <c r="AG160" s="109">
        <f t="shared" si="116"/>
        <v>2500</v>
      </c>
      <c r="AH160" s="109">
        <f t="shared" si="116"/>
        <v>2500</v>
      </c>
      <c r="AI160" s="109">
        <f t="shared" si="116"/>
        <v>2500</v>
      </c>
      <c r="AJ160" s="109">
        <f t="shared" si="116"/>
        <v>2500</v>
      </c>
      <c r="AK160" s="109">
        <f t="shared" si="116"/>
        <v>2500</v>
      </c>
      <c r="AL160" s="109">
        <f t="shared" si="116"/>
        <v>2500</v>
      </c>
      <c r="AM160" s="109">
        <f t="shared" si="116"/>
        <v>2500</v>
      </c>
      <c r="AN160" s="109">
        <f t="shared" si="116"/>
        <v>2500</v>
      </c>
      <c r="AO160" s="109">
        <f t="shared" si="116"/>
        <v>2500</v>
      </c>
      <c r="AP160" s="109">
        <f t="shared" si="116"/>
        <v>2500</v>
      </c>
      <c r="AQ160" s="109">
        <f t="shared" si="116"/>
        <v>2500</v>
      </c>
      <c r="AR160" s="109">
        <f t="shared" si="116"/>
        <v>2500</v>
      </c>
      <c r="AS160" s="109">
        <f t="shared" si="116"/>
        <v>2500</v>
      </c>
      <c r="AT160" s="109">
        <f t="shared" si="116"/>
        <v>2500</v>
      </c>
      <c r="AU160" s="109">
        <f t="shared" si="116"/>
        <v>2500</v>
      </c>
      <c r="AV160" s="109">
        <f t="shared" si="116"/>
        <v>2500</v>
      </c>
      <c r="AW160" s="109">
        <f t="shared" si="116"/>
        <v>2500</v>
      </c>
      <c r="AX160" s="109">
        <f t="shared" si="116"/>
        <v>2500</v>
      </c>
      <c r="AY160" s="109">
        <f t="shared" si="116"/>
        <v>2500</v>
      </c>
      <c r="AZ160" s="109">
        <f t="shared" si="116"/>
        <v>2500</v>
      </c>
      <c r="BA160" s="109">
        <f t="shared" si="116"/>
        <v>2500</v>
      </c>
      <c r="BB160" s="109">
        <f t="shared" si="116"/>
        <v>2500</v>
      </c>
      <c r="BC160" s="109">
        <f t="shared" si="116"/>
        <v>2500</v>
      </c>
      <c r="BD160" s="109">
        <f t="shared" si="116"/>
        <v>2500</v>
      </c>
      <c r="BE160" s="109">
        <f t="shared" si="116"/>
        <v>2500</v>
      </c>
      <c r="BF160" s="109">
        <f t="shared" si="116"/>
        <v>2500</v>
      </c>
      <c r="BG160" s="109">
        <f t="shared" si="116"/>
        <v>2500</v>
      </c>
      <c r="BH160" s="109">
        <f t="shared" si="116"/>
        <v>2500</v>
      </c>
      <c r="BI160" s="109">
        <f t="shared" si="116"/>
        <v>2500</v>
      </c>
      <c r="BJ160" s="109">
        <f t="shared" si="116"/>
        <v>2500</v>
      </c>
      <c r="BK160" s="109">
        <f t="shared" si="116"/>
        <v>2500</v>
      </c>
      <c r="BL160" s="109">
        <f t="shared" si="116"/>
        <v>2500</v>
      </c>
      <c r="BM160" s="109">
        <f t="shared" si="116"/>
        <v>2500</v>
      </c>
      <c r="BN160" s="109">
        <f t="shared" si="116"/>
        <v>2500</v>
      </c>
    </row>
    <row r="161" outlineLevel="1">
      <c r="A161" s="66"/>
      <c r="B161" s="143" t="s">
        <v>116</v>
      </c>
      <c r="C161" s="156">
        <v>2500.0</v>
      </c>
      <c r="D161" s="66"/>
      <c r="E161" s="66"/>
      <c r="F161" s="109"/>
      <c r="G161" s="109">
        <f t="shared" si="112"/>
        <v>2500</v>
      </c>
      <c r="H161" s="109">
        <f t="shared" ref="H161:BN161" si="117">G161</f>
        <v>2500</v>
      </c>
      <c r="I161" s="109">
        <f t="shared" si="117"/>
        <v>2500</v>
      </c>
      <c r="J161" s="109">
        <f t="shared" si="117"/>
        <v>2500</v>
      </c>
      <c r="K161" s="109">
        <f t="shared" si="117"/>
        <v>2500</v>
      </c>
      <c r="L161" s="109">
        <f t="shared" si="117"/>
        <v>2500</v>
      </c>
      <c r="M161" s="109">
        <f t="shared" si="117"/>
        <v>2500</v>
      </c>
      <c r="N161" s="109">
        <f t="shared" si="117"/>
        <v>2500</v>
      </c>
      <c r="O161" s="109">
        <f t="shared" si="117"/>
        <v>2500</v>
      </c>
      <c r="P161" s="109">
        <f t="shared" si="117"/>
        <v>2500</v>
      </c>
      <c r="Q161" s="109">
        <f t="shared" si="117"/>
        <v>2500</v>
      </c>
      <c r="R161" s="109">
        <f t="shared" si="117"/>
        <v>2500</v>
      </c>
      <c r="S161" s="109">
        <f t="shared" si="117"/>
        <v>2500</v>
      </c>
      <c r="T161" s="109">
        <f t="shared" si="117"/>
        <v>2500</v>
      </c>
      <c r="U161" s="109">
        <f t="shared" si="117"/>
        <v>2500</v>
      </c>
      <c r="V161" s="109">
        <f t="shared" si="117"/>
        <v>2500</v>
      </c>
      <c r="W161" s="109">
        <f t="shared" si="117"/>
        <v>2500</v>
      </c>
      <c r="X161" s="109">
        <f t="shared" si="117"/>
        <v>2500</v>
      </c>
      <c r="Y161" s="109">
        <f t="shared" si="117"/>
        <v>2500</v>
      </c>
      <c r="Z161" s="109">
        <f t="shared" si="117"/>
        <v>2500</v>
      </c>
      <c r="AA161" s="109">
        <f t="shared" si="117"/>
        <v>2500</v>
      </c>
      <c r="AB161" s="109">
        <f t="shared" si="117"/>
        <v>2500</v>
      </c>
      <c r="AC161" s="109">
        <f t="shared" si="117"/>
        <v>2500</v>
      </c>
      <c r="AD161" s="109">
        <f t="shared" si="117"/>
        <v>2500</v>
      </c>
      <c r="AE161" s="109">
        <f t="shared" si="117"/>
        <v>2500</v>
      </c>
      <c r="AF161" s="109">
        <f t="shared" si="117"/>
        <v>2500</v>
      </c>
      <c r="AG161" s="109">
        <f t="shared" si="117"/>
        <v>2500</v>
      </c>
      <c r="AH161" s="109">
        <f t="shared" si="117"/>
        <v>2500</v>
      </c>
      <c r="AI161" s="109">
        <f t="shared" si="117"/>
        <v>2500</v>
      </c>
      <c r="AJ161" s="109">
        <f t="shared" si="117"/>
        <v>2500</v>
      </c>
      <c r="AK161" s="109">
        <f t="shared" si="117"/>
        <v>2500</v>
      </c>
      <c r="AL161" s="109">
        <f t="shared" si="117"/>
        <v>2500</v>
      </c>
      <c r="AM161" s="109">
        <f t="shared" si="117"/>
        <v>2500</v>
      </c>
      <c r="AN161" s="109">
        <f t="shared" si="117"/>
        <v>2500</v>
      </c>
      <c r="AO161" s="109">
        <f t="shared" si="117"/>
        <v>2500</v>
      </c>
      <c r="AP161" s="109">
        <f t="shared" si="117"/>
        <v>2500</v>
      </c>
      <c r="AQ161" s="109">
        <f t="shared" si="117"/>
        <v>2500</v>
      </c>
      <c r="AR161" s="109">
        <f t="shared" si="117"/>
        <v>2500</v>
      </c>
      <c r="AS161" s="109">
        <f t="shared" si="117"/>
        <v>2500</v>
      </c>
      <c r="AT161" s="109">
        <f t="shared" si="117"/>
        <v>2500</v>
      </c>
      <c r="AU161" s="109">
        <f t="shared" si="117"/>
        <v>2500</v>
      </c>
      <c r="AV161" s="109">
        <f t="shared" si="117"/>
        <v>2500</v>
      </c>
      <c r="AW161" s="109">
        <f t="shared" si="117"/>
        <v>2500</v>
      </c>
      <c r="AX161" s="109">
        <f t="shared" si="117"/>
        <v>2500</v>
      </c>
      <c r="AY161" s="109">
        <f t="shared" si="117"/>
        <v>2500</v>
      </c>
      <c r="AZ161" s="109">
        <f t="shared" si="117"/>
        <v>2500</v>
      </c>
      <c r="BA161" s="109">
        <f t="shared" si="117"/>
        <v>2500</v>
      </c>
      <c r="BB161" s="109">
        <f t="shared" si="117"/>
        <v>2500</v>
      </c>
      <c r="BC161" s="109">
        <f t="shared" si="117"/>
        <v>2500</v>
      </c>
      <c r="BD161" s="109">
        <f t="shared" si="117"/>
        <v>2500</v>
      </c>
      <c r="BE161" s="109">
        <f t="shared" si="117"/>
        <v>2500</v>
      </c>
      <c r="BF161" s="109">
        <f t="shared" si="117"/>
        <v>2500</v>
      </c>
      <c r="BG161" s="109">
        <f t="shared" si="117"/>
        <v>2500</v>
      </c>
      <c r="BH161" s="109">
        <f t="shared" si="117"/>
        <v>2500</v>
      </c>
      <c r="BI161" s="109">
        <f t="shared" si="117"/>
        <v>2500</v>
      </c>
      <c r="BJ161" s="109">
        <f t="shared" si="117"/>
        <v>2500</v>
      </c>
      <c r="BK161" s="109">
        <f t="shared" si="117"/>
        <v>2500</v>
      </c>
      <c r="BL161" s="109">
        <f t="shared" si="117"/>
        <v>2500</v>
      </c>
      <c r="BM161" s="109">
        <f t="shared" si="117"/>
        <v>2500</v>
      </c>
      <c r="BN161" s="109">
        <f t="shared" si="117"/>
        <v>2500</v>
      </c>
    </row>
    <row r="162" outlineLevel="1">
      <c r="A162" s="66"/>
      <c r="B162" s="143" t="s">
        <v>117</v>
      </c>
      <c r="C162" s="156">
        <v>2500.0</v>
      </c>
      <c r="D162" s="66"/>
      <c r="E162" s="66"/>
      <c r="F162" s="109"/>
      <c r="G162" s="109">
        <f t="shared" si="112"/>
        <v>2500</v>
      </c>
      <c r="H162" s="109">
        <f t="shared" ref="H162:BN162" si="118">G162</f>
        <v>2500</v>
      </c>
      <c r="I162" s="109">
        <f t="shared" si="118"/>
        <v>2500</v>
      </c>
      <c r="J162" s="109">
        <f t="shared" si="118"/>
        <v>2500</v>
      </c>
      <c r="K162" s="109">
        <f t="shared" si="118"/>
        <v>2500</v>
      </c>
      <c r="L162" s="109">
        <f t="shared" si="118"/>
        <v>2500</v>
      </c>
      <c r="M162" s="109">
        <f t="shared" si="118"/>
        <v>2500</v>
      </c>
      <c r="N162" s="109">
        <f t="shared" si="118"/>
        <v>2500</v>
      </c>
      <c r="O162" s="109">
        <f t="shared" si="118"/>
        <v>2500</v>
      </c>
      <c r="P162" s="109">
        <f t="shared" si="118"/>
        <v>2500</v>
      </c>
      <c r="Q162" s="109">
        <f t="shared" si="118"/>
        <v>2500</v>
      </c>
      <c r="R162" s="109">
        <f t="shared" si="118"/>
        <v>2500</v>
      </c>
      <c r="S162" s="109">
        <f t="shared" si="118"/>
        <v>2500</v>
      </c>
      <c r="T162" s="109">
        <f t="shared" si="118"/>
        <v>2500</v>
      </c>
      <c r="U162" s="109">
        <f t="shared" si="118"/>
        <v>2500</v>
      </c>
      <c r="V162" s="109">
        <f t="shared" si="118"/>
        <v>2500</v>
      </c>
      <c r="W162" s="109">
        <f t="shared" si="118"/>
        <v>2500</v>
      </c>
      <c r="X162" s="109">
        <f t="shared" si="118"/>
        <v>2500</v>
      </c>
      <c r="Y162" s="109">
        <f t="shared" si="118"/>
        <v>2500</v>
      </c>
      <c r="Z162" s="109">
        <f t="shared" si="118"/>
        <v>2500</v>
      </c>
      <c r="AA162" s="109">
        <f t="shared" si="118"/>
        <v>2500</v>
      </c>
      <c r="AB162" s="109">
        <f t="shared" si="118"/>
        <v>2500</v>
      </c>
      <c r="AC162" s="109">
        <f t="shared" si="118"/>
        <v>2500</v>
      </c>
      <c r="AD162" s="109">
        <f t="shared" si="118"/>
        <v>2500</v>
      </c>
      <c r="AE162" s="109">
        <f t="shared" si="118"/>
        <v>2500</v>
      </c>
      <c r="AF162" s="109">
        <f t="shared" si="118"/>
        <v>2500</v>
      </c>
      <c r="AG162" s="109">
        <f t="shared" si="118"/>
        <v>2500</v>
      </c>
      <c r="AH162" s="109">
        <f t="shared" si="118"/>
        <v>2500</v>
      </c>
      <c r="AI162" s="109">
        <f t="shared" si="118"/>
        <v>2500</v>
      </c>
      <c r="AJ162" s="109">
        <f t="shared" si="118"/>
        <v>2500</v>
      </c>
      <c r="AK162" s="109">
        <f t="shared" si="118"/>
        <v>2500</v>
      </c>
      <c r="AL162" s="109">
        <f t="shared" si="118"/>
        <v>2500</v>
      </c>
      <c r="AM162" s="109">
        <f t="shared" si="118"/>
        <v>2500</v>
      </c>
      <c r="AN162" s="109">
        <f t="shared" si="118"/>
        <v>2500</v>
      </c>
      <c r="AO162" s="109">
        <f t="shared" si="118"/>
        <v>2500</v>
      </c>
      <c r="AP162" s="109">
        <f t="shared" si="118"/>
        <v>2500</v>
      </c>
      <c r="AQ162" s="109">
        <f t="shared" si="118"/>
        <v>2500</v>
      </c>
      <c r="AR162" s="109">
        <f t="shared" si="118"/>
        <v>2500</v>
      </c>
      <c r="AS162" s="109">
        <f t="shared" si="118"/>
        <v>2500</v>
      </c>
      <c r="AT162" s="109">
        <f t="shared" si="118"/>
        <v>2500</v>
      </c>
      <c r="AU162" s="109">
        <f t="shared" si="118"/>
        <v>2500</v>
      </c>
      <c r="AV162" s="109">
        <f t="shared" si="118"/>
        <v>2500</v>
      </c>
      <c r="AW162" s="109">
        <f t="shared" si="118"/>
        <v>2500</v>
      </c>
      <c r="AX162" s="109">
        <f t="shared" si="118"/>
        <v>2500</v>
      </c>
      <c r="AY162" s="109">
        <f t="shared" si="118"/>
        <v>2500</v>
      </c>
      <c r="AZ162" s="109">
        <f t="shared" si="118"/>
        <v>2500</v>
      </c>
      <c r="BA162" s="109">
        <f t="shared" si="118"/>
        <v>2500</v>
      </c>
      <c r="BB162" s="109">
        <f t="shared" si="118"/>
        <v>2500</v>
      </c>
      <c r="BC162" s="109">
        <f t="shared" si="118"/>
        <v>2500</v>
      </c>
      <c r="BD162" s="109">
        <f t="shared" si="118"/>
        <v>2500</v>
      </c>
      <c r="BE162" s="109">
        <f t="shared" si="118"/>
        <v>2500</v>
      </c>
      <c r="BF162" s="109">
        <f t="shared" si="118"/>
        <v>2500</v>
      </c>
      <c r="BG162" s="109">
        <f t="shared" si="118"/>
        <v>2500</v>
      </c>
      <c r="BH162" s="109">
        <f t="shared" si="118"/>
        <v>2500</v>
      </c>
      <c r="BI162" s="109">
        <f t="shared" si="118"/>
        <v>2500</v>
      </c>
      <c r="BJ162" s="109">
        <f t="shared" si="118"/>
        <v>2500</v>
      </c>
      <c r="BK162" s="109">
        <f t="shared" si="118"/>
        <v>2500</v>
      </c>
      <c r="BL162" s="109">
        <f t="shared" si="118"/>
        <v>2500</v>
      </c>
      <c r="BM162" s="109">
        <f t="shared" si="118"/>
        <v>2500</v>
      </c>
      <c r="BN162" s="109">
        <f t="shared" si="118"/>
        <v>2500</v>
      </c>
    </row>
    <row r="163" outlineLevel="1">
      <c r="A163" s="66"/>
      <c r="B163" s="158" t="s">
        <v>118</v>
      </c>
      <c r="C163" s="159">
        <v>2500.0</v>
      </c>
      <c r="D163" s="160"/>
      <c r="E163" s="160"/>
      <c r="F163" s="152"/>
      <c r="G163" s="152">
        <f t="shared" si="112"/>
        <v>2500</v>
      </c>
      <c r="H163" s="152">
        <f t="shared" ref="H163:BN163" si="119">G163</f>
        <v>2500</v>
      </c>
      <c r="I163" s="152">
        <f t="shared" si="119"/>
        <v>2500</v>
      </c>
      <c r="J163" s="152">
        <f t="shared" si="119"/>
        <v>2500</v>
      </c>
      <c r="K163" s="152">
        <f t="shared" si="119"/>
        <v>2500</v>
      </c>
      <c r="L163" s="152">
        <f t="shared" si="119"/>
        <v>2500</v>
      </c>
      <c r="M163" s="152">
        <f t="shared" si="119"/>
        <v>2500</v>
      </c>
      <c r="N163" s="152">
        <f t="shared" si="119"/>
        <v>2500</v>
      </c>
      <c r="O163" s="152">
        <f t="shared" si="119"/>
        <v>2500</v>
      </c>
      <c r="P163" s="152">
        <f t="shared" si="119"/>
        <v>2500</v>
      </c>
      <c r="Q163" s="152">
        <f t="shared" si="119"/>
        <v>2500</v>
      </c>
      <c r="R163" s="152">
        <f t="shared" si="119"/>
        <v>2500</v>
      </c>
      <c r="S163" s="152">
        <f t="shared" si="119"/>
        <v>2500</v>
      </c>
      <c r="T163" s="152">
        <f t="shared" si="119"/>
        <v>2500</v>
      </c>
      <c r="U163" s="152">
        <f t="shared" si="119"/>
        <v>2500</v>
      </c>
      <c r="V163" s="152">
        <f t="shared" si="119"/>
        <v>2500</v>
      </c>
      <c r="W163" s="152">
        <f t="shared" si="119"/>
        <v>2500</v>
      </c>
      <c r="X163" s="152">
        <f t="shared" si="119"/>
        <v>2500</v>
      </c>
      <c r="Y163" s="152">
        <f t="shared" si="119"/>
        <v>2500</v>
      </c>
      <c r="Z163" s="152">
        <f t="shared" si="119"/>
        <v>2500</v>
      </c>
      <c r="AA163" s="152">
        <f t="shared" si="119"/>
        <v>2500</v>
      </c>
      <c r="AB163" s="152">
        <f t="shared" si="119"/>
        <v>2500</v>
      </c>
      <c r="AC163" s="152">
        <f t="shared" si="119"/>
        <v>2500</v>
      </c>
      <c r="AD163" s="152">
        <f t="shared" si="119"/>
        <v>2500</v>
      </c>
      <c r="AE163" s="152">
        <f t="shared" si="119"/>
        <v>2500</v>
      </c>
      <c r="AF163" s="152">
        <f t="shared" si="119"/>
        <v>2500</v>
      </c>
      <c r="AG163" s="152">
        <f t="shared" si="119"/>
        <v>2500</v>
      </c>
      <c r="AH163" s="152">
        <f t="shared" si="119"/>
        <v>2500</v>
      </c>
      <c r="AI163" s="152">
        <f t="shared" si="119"/>
        <v>2500</v>
      </c>
      <c r="AJ163" s="152">
        <f t="shared" si="119"/>
        <v>2500</v>
      </c>
      <c r="AK163" s="152">
        <f t="shared" si="119"/>
        <v>2500</v>
      </c>
      <c r="AL163" s="152">
        <f t="shared" si="119"/>
        <v>2500</v>
      </c>
      <c r="AM163" s="152">
        <f t="shared" si="119"/>
        <v>2500</v>
      </c>
      <c r="AN163" s="152">
        <f t="shared" si="119"/>
        <v>2500</v>
      </c>
      <c r="AO163" s="152">
        <f t="shared" si="119"/>
        <v>2500</v>
      </c>
      <c r="AP163" s="152">
        <f t="shared" si="119"/>
        <v>2500</v>
      </c>
      <c r="AQ163" s="152">
        <f t="shared" si="119"/>
        <v>2500</v>
      </c>
      <c r="AR163" s="152">
        <f t="shared" si="119"/>
        <v>2500</v>
      </c>
      <c r="AS163" s="152">
        <f t="shared" si="119"/>
        <v>2500</v>
      </c>
      <c r="AT163" s="152">
        <f t="shared" si="119"/>
        <v>2500</v>
      </c>
      <c r="AU163" s="152">
        <f t="shared" si="119"/>
        <v>2500</v>
      </c>
      <c r="AV163" s="152">
        <f t="shared" si="119"/>
        <v>2500</v>
      </c>
      <c r="AW163" s="152">
        <f t="shared" si="119"/>
        <v>2500</v>
      </c>
      <c r="AX163" s="152">
        <f t="shared" si="119"/>
        <v>2500</v>
      </c>
      <c r="AY163" s="152">
        <f t="shared" si="119"/>
        <v>2500</v>
      </c>
      <c r="AZ163" s="152">
        <f t="shared" si="119"/>
        <v>2500</v>
      </c>
      <c r="BA163" s="152">
        <f t="shared" si="119"/>
        <v>2500</v>
      </c>
      <c r="BB163" s="152">
        <f t="shared" si="119"/>
        <v>2500</v>
      </c>
      <c r="BC163" s="152">
        <f t="shared" si="119"/>
        <v>2500</v>
      </c>
      <c r="BD163" s="152">
        <f t="shared" si="119"/>
        <v>2500</v>
      </c>
      <c r="BE163" s="152">
        <f t="shared" si="119"/>
        <v>2500</v>
      </c>
      <c r="BF163" s="152">
        <f t="shared" si="119"/>
        <v>2500</v>
      </c>
      <c r="BG163" s="152">
        <f t="shared" si="119"/>
        <v>2500</v>
      </c>
      <c r="BH163" s="152">
        <f t="shared" si="119"/>
        <v>2500</v>
      </c>
      <c r="BI163" s="152">
        <f t="shared" si="119"/>
        <v>2500</v>
      </c>
      <c r="BJ163" s="152">
        <f t="shared" si="119"/>
        <v>2500</v>
      </c>
      <c r="BK163" s="152">
        <f t="shared" si="119"/>
        <v>2500</v>
      </c>
      <c r="BL163" s="152">
        <f t="shared" si="119"/>
        <v>2500</v>
      </c>
      <c r="BM163" s="152">
        <f t="shared" si="119"/>
        <v>2500</v>
      </c>
      <c r="BN163" s="152">
        <f t="shared" si="119"/>
        <v>2500</v>
      </c>
    </row>
    <row r="164" outlineLevel="1">
      <c r="A164" s="119"/>
      <c r="B164" s="161" t="s">
        <v>109</v>
      </c>
      <c r="C164" s="119"/>
      <c r="D164" s="119"/>
      <c r="E164" s="119"/>
      <c r="F164" s="119"/>
      <c r="G164" s="137">
        <f t="shared" ref="G164:BN164" si="120">sum(G156:G163)</f>
        <v>20000</v>
      </c>
      <c r="H164" s="137">
        <f t="shared" si="120"/>
        <v>20000</v>
      </c>
      <c r="I164" s="137">
        <f t="shared" si="120"/>
        <v>20000</v>
      </c>
      <c r="J164" s="137">
        <f t="shared" si="120"/>
        <v>20000</v>
      </c>
      <c r="K164" s="137">
        <f t="shared" si="120"/>
        <v>20000</v>
      </c>
      <c r="L164" s="137">
        <f t="shared" si="120"/>
        <v>20000</v>
      </c>
      <c r="M164" s="137">
        <f t="shared" si="120"/>
        <v>20000</v>
      </c>
      <c r="N164" s="137">
        <f t="shared" si="120"/>
        <v>20000</v>
      </c>
      <c r="O164" s="137">
        <f t="shared" si="120"/>
        <v>20000</v>
      </c>
      <c r="P164" s="137">
        <f t="shared" si="120"/>
        <v>20000</v>
      </c>
      <c r="Q164" s="137">
        <f t="shared" si="120"/>
        <v>20000</v>
      </c>
      <c r="R164" s="137">
        <f t="shared" si="120"/>
        <v>20000</v>
      </c>
      <c r="S164" s="137">
        <f t="shared" si="120"/>
        <v>20000</v>
      </c>
      <c r="T164" s="137">
        <f t="shared" si="120"/>
        <v>20000</v>
      </c>
      <c r="U164" s="137">
        <f t="shared" si="120"/>
        <v>20000</v>
      </c>
      <c r="V164" s="137">
        <f t="shared" si="120"/>
        <v>20000</v>
      </c>
      <c r="W164" s="137">
        <f t="shared" si="120"/>
        <v>20000</v>
      </c>
      <c r="X164" s="137">
        <f t="shared" si="120"/>
        <v>20000</v>
      </c>
      <c r="Y164" s="137">
        <f t="shared" si="120"/>
        <v>20000</v>
      </c>
      <c r="Z164" s="137">
        <f t="shared" si="120"/>
        <v>20000</v>
      </c>
      <c r="AA164" s="137">
        <f t="shared" si="120"/>
        <v>20000</v>
      </c>
      <c r="AB164" s="137">
        <f t="shared" si="120"/>
        <v>20000</v>
      </c>
      <c r="AC164" s="137">
        <f t="shared" si="120"/>
        <v>20000</v>
      </c>
      <c r="AD164" s="137">
        <f t="shared" si="120"/>
        <v>20000</v>
      </c>
      <c r="AE164" s="137">
        <f t="shared" si="120"/>
        <v>20000</v>
      </c>
      <c r="AF164" s="137">
        <f t="shared" si="120"/>
        <v>20000</v>
      </c>
      <c r="AG164" s="137">
        <f t="shared" si="120"/>
        <v>20000</v>
      </c>
      <c r="AH164" s="137">
        <f t="shared" si="120"/>
        <v>20000</v>
      </c>
      <c r="AI164" s="137">
        <f t="shared" si="120"/>
        <v>20000</v>
      </c>
      <c r="AJ164" s="137">
        <f t="shared" si="120"/>
        <v>20000</v>
      </c>
      <c r="AK164" s="137">
        <f t="shared" si="120"/>
        <v>20000</v>
      </c>
      <c r="AL164" s="137">
        <f t="shared" si="120"/>
        <v>20000</v>
      </c>
      <c r="AM164" s="137">
        <f t="shared" si="120"/>
        <v>20000</v>
      </c>
      <c r="AN164" s="137">
        <f t="shared" si="120"/>
        <v>20000</v>
      </c>
      <c r="AO164" s="137">
        <f t="shared" si="120"/>
        <v>20000</v>
      </c>
      <c r="AP164" s="137">
        <f t="shared" si="120"/>
        <v>20000</v>
      </c>
      <c r="AQ164" s="137">
        <f t="shared" si="120"/>
        <v>20000</v>
      </c>
      <c r="AR164" s="137">
        <f t="shared" si="120"/>
        <v>20000</v>
      </c>
      <c r="AS164" s="137">
        <f t="shared" si="120"/>
        <v>20000</v>
      </c>
      <c r="AT164" s="137">
        <f t="shared" si="120"/>
        <v>20000</v>
      </c>
      <c r="AU164" s="137">
        <f t="shared" si="120"/>
        <v>20000</v>
      </c>
      <c r="AV164" s="137">
        <f t="shared" si="120"/>
        <v>20000</v>
      </c>
      <c r="AW164" s="137">
        <f t="shared" si="120"/>
        <v>20000</v>
      </c>
      <c r="AX164" s="137">
        <f t="shared" si="120"/>
        <v>20000</v>
      </c>
      <c r="AY164" s="137">
        <f t="shared" si="120"/>
        <v>20000</v>
      </c>
      <c r="AZ164" s="137">
        <f t="shared" si="120"/>
        <v>20000</v>
      </c>
      <c r="BA164" s="137">
        <f t="shared" si="120"/>
        <v>20000</v>
      </c>
      <c r="BB164" s="137">
        <f t="shared" si="120"/>
        <v>20000</v>
      </c>
      <c r="BC164" s="137">
        <f t="shared" si="120"/>
        <v>20000</v>
      </c>
      <c r="BD164" s="137">
        <f t="shared" si="120"/>
        <v>20000</v>
      </c>
      <c r="BE164" s="137">
        <f t="shared" si="120"/>
        <v>20000</v>
      </c>
      <c r="BF164" s="137">
        <f t="shared" si="120"/>
        <v>20000</v>
      </c>
      <c r="BG164" s="137">
        <f t="shared" si="120"/>
        <v>20000</v>
      </c>
      <c r="BH164" s="137">
        <f t="shared" si="120"/>
        <v>20000</v>
      </c>
      <c r="BI164" s="137">
        <f t="shared" si="120"/>
        <v>20000</v>
      </c>
      <c r="BJ164" s="137">
        <f t="shared" si="120"/>
        <v>20000</v>
      </c>
      <c r="BK164" s="137">
        <f t="shared" si="120"/>
        <v>20000</v>
      </c>
      <c r="BL164" s="137">
        <f t="shared" si="120"/>
        <v>20000</v>
      </c>
      <c r="BM164" s="137">
        <f t="shared" si="120"/>
        <v>20000</v>
      </c>
      <c r="BN164" s="137">
        <f t="shared" si="120"/>
        <v>20000</v>
      </c>
    </row>
    <row r="165" outlineLevel="1">
      <c r="A165" s="47"/>
      <c r="B165" s="47"/>
      <c r="C165" s="47"/>
      <c r="D165" s="66"/>
      <c r="E165" s="66"/>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c r="AC165" s="109"/>
      <c r="AD165" s="109"/>
      <c r="AE165" s="109"/>
      <c r="AF165" s="109"/>
      <c r="AG165" s="109"/>
      <c r="AH165" s="109"/>
      <c r="AI165" s="109"/>
      <c r="AJ165" s="109"/>
      <c r="AK165" s="109"/>
      <c r="AL165" s="109"/>
      <c r="AM165" s="109"/>
      <c r="AN165" s="109"/>
      <c r="AO165" s="109"/>
      <c r="AP165" s="109"/>
      <c r="AQ165" s="109"/>
      <c r="AR165" s="109"/>
      <c r="AS165" s="109"/>
      <c r="AT165" s="109"/>
      <c r="AU165" s="109"/>
      <c r="AV165" s="109"/>
      <c r="AW165" s="109"/>
      <c r="AX165" s="109"/>
      <c r="AY165" s="109"/>
      <c r="AZ165" s="109"/>
      <c r="BA165" s="109"/>
      <c r="BB165" s="109"/>
      <c r="BC165" s="109"/>
      <c r="BD165" s="109"/>
      <c r="BE165" s="109"/>
      <c r="BF165" s="109"/>
      <c r="BG165" s="109"/>
      <c r="BH165" s="109"/>
      <c r="BI165" s="109"/>
      <c r="BJ165" s="109"/>
      <c r="BK165" s="109"/>
      <c r="BL165" s="109"/>
      <c r="BM165" s="109"/>
      <c r="BN165" s="109"/>
    </row>
    <row r="166" outlineLevel="1">
      <c r="A166" s="47"/>
      <c r="B166" s="162" t="s">
        <v>119</v>
      </c>
      <c r="C166" s="142" t="s">
        <v>100</v>
      </c>
      <c r="D166" s="163"/>
      <c r="E166" s="66"/>
      <c r="F166" s="109"/>
      <c r="G166" s="109"/>
      <c r="H166" s="109"/>
      <c r="I166" s="109"/>
      <c r="J166" s="109"/>
      <c r="K166" s="109"/>
      <c r="L166" s="109"/>
      <c r="M166" s="109"/>
      <c r="N166" s="109"/>
      <c r="O166" s="109"/>
      <c r="P166" s="109"/>
      <c r="Q166" s="109"/>
      <c r="R166" s="109"/>
      <c r="S166" s="109"/>
      <c r="T166" s="109"/>
      <c r="U166" s="109"/>
      <c r="V166" s="109"/>
      <c r="W166" s="109"/>
      <c r="X166" s="109"/>
      <c r="Y166" s="109"/>
      <c r="Z166" s="109"/>
      <c r="AA166" s="109"/>
      <c r="AB166" s="109"/>
      <c r="AC166" s="109"/>
      <c r="AD166" s="109"/>
      <c r="AE166" s="109"/>
      <c r="AF166" s="109"/>
      <c r="AG166" s="109"/>
      <c r="AH166" s="109"/>
      <c r="AI166" s="109"/>
      <c r="AJ166" s="109"/>
      <c r="AK166" s="109"/>
      <c r="AL166" s="109"/>
      <c r="AM166" s="109"/>
      <c r="AN166" s="109"/>
      <c r="AO166" s="109"/>
      <c r="AP166" s="109"/>
      <c r="AQ166" s="109"/>
      <c r="AR166" s="109"/>
      <c r="AS166" s="109"/>
      <c r="AT166" s="109"/>
      <c r="AU166" s="109"/>
      <c r="AV166" s="109"/>
      <c r="AW166" s="109"/>
      <c r="AX166" s="109"/>
      <c r="AY166" s="109"/>
      <c r="AZ166" s="109"/>
      <c r="BA166" s="109"/>
      <c r="BB166" s="109"/>
      <c r="BC166" s="109"/>
      <c r="BD166" s="109"/>
      <c r="BE166" s="109"/>
      <c r="BF166" s="109"/>
      <c r="BG166" s="109"/>
      <c r="BH166" s="109"/>
      <c r="BI166" s="109"/>
      <c r="BJ166" s="109"/>
      <c r="BK166" s="109"/>
      <c r="BL166" s="109"/>
      <c r="BM166" s="109"/>
      <c r="BN166" s="109"/>
    </row>
    <row r="167" outlineLevel="1">
      <c r="A167" s="47"/>
      <c r="B167" s="147" t="s">
        <v>120</v>
      </c>
      <c r="C167" s="148">
        <v>0.08</v>
      </c>
      <c r="D167" s="66"/>
      <c r="E167" s="66"/>
      <c r="F167" s="109"/>
      <c r="G167" s="109">
        <f>Financials!F$8*$C167</f>
        <v>4821.48</v>
      </c>
      <c r="H167" s="109">
        <f>Financials!G$8*$C167</f>
        <v>7386.2622</v>
      </c>
      <c r="I167" s="109">
        <f>Financials!H$8*$C167</f>
        <v>8670.963933</v>
      </c>
      <c r="J167" s="109">
        <f>Financials!I$8*$C167</f>
        <v>9313.349459</v>
      </c>
      <c r="K167" s="109">
        <f>Financials!J$8*$C167</f>
        <v>9634.542742</v>
      </c>
      <c r="L167" s="109">
        <f>Financials!K$8*$C167</f>
        <v>9795.139391</v>
      </c>
      <c r="M167" s="109">
        <f>Financials!L$8*$C167</f>
        <v>9875.437716</v>
      </c>
      <c r="N167" s="109">
        <f>Financials!M$8*$C167</f>
        <v>9915.586878</v>
      </c>
      <c r="O167" s="109">
        <f>Financials!N$8*$C167</f>
        <v>9935.661459</v>
      </c>
      <c r="P167" s="109">
        <f>Financials!O$8*$C167</f>
        <v>9945.69875</v>
      </c>
      <c r="Q167" s="109">
        <f>Financials!P$8*$C167</f>
        <v>9950.717395</v>
      </c>
      <c r="R167" s="109">
        <f>Financials!Q$8*$C167</f>
        <v>9953.226718</v>
      </c>
      <c r="S167" s="109">
        <f>Financials!R$8*$C167</f>
        <v>9954.481379</v>
      </c>
      <c r="T167" s="109">
        <f>Financials!S$8*$C167</f>
        <v>9955.10871</v>
      </c>
      <c r="U167" s="109">
        <f>Financials!T$8*$C167</f>
        <v>9955.422375</v>
      </c>
      <c r="V167" s="109">
        <f>Financials!U$8*$C167</f>
        <v>9955.579208</v>
      </c>
      <c r="W167" s="109">
        <f>Financials!V$8*$C167</f>
        <v>9955.657624</v>
      </c>
      <c r="X167" s="109">
        <f>Financials!W$8*$C167</f>
        <v>9955.696832</v>
      </c>
      <c r="Y167" s="109">
        <f>Financials!X$8*$C167</f>
        <v>9955.716437</v>
      </c>
      <c r="Z167" s="109">
        <f>Financials!Y$8*$C167</f>
        <v>9955.726239</v>
      </c>
      <c r="AA167" s="109">
        <f>Financials!Z$8*$C167</f>
        <v>9955.73114</v>
      </c>
      <c r="AB167" s="109">
        <f>Financials!AA$8*$C167</f>
        <v>9955.73359</v>
      </c>
      <c r="AC167" s="109">
        <f>Financials!AB$8*$C167</f>
        <v>9955.734815</v>
      </c>
      <c r="AD167" s="109">
        <f>Financials!AC$8*$C167</f>
        <v>9955.735428</v>
      </c>
      <c r="AE167" s="109">
        <f>Financials!AD$8*$C167</f>
        <v>9955.735734</v>
      </c>
      <c r="AF167" s="109">
        <f>Financials!AE$8*$C167</f>
        <v>9955.735887</v>
      </c>
      <c r="AG167" s="109">
        <f>Financials!AF$8*$C167</f>
        <v>9955.735964</v>
      </c>
      <c r="AH167" s="109">
        <f>Financials!AG$8*$C167</f>
        <v>9955.736002</v>
      </c>
      <c r="AI167" s="109">
        <f>Financials!AH$8*$C167</f>
        <v>9955.736021</v>
      </c>
      <c r="AJ167" s="109">
        <f>Financials!AI$8*$C167</f>
        <v>9955.736031</v>
      </c>
      <c r="AK167" s="109">
        <f>Financials!AJ$8*$C167</f>
        <v>9955.736036</v>
      </c>
      <c r="AL167" s="109">
        <f>Financials!AK$8*$C167</f>
        <v>9955.736038</v>
      </c>
      <c r="AM167" s="109">
        <f>Financials!AL$8*$C167</f>
        <v>9955.736039</v>
      </c>
      <c r="AN167" s="109">
        <f>Financials!AM$8*$C167</f>
        <v>9955.73604</v>
      </c>
      <c r="AO167" s="109">
        <f>Financials!AN$8*$C167</f>
        <v>9955.73604</v>
      </c>
      <c r="AP167" s="109">
        <f>Financials!AO$8*$C167</f>
        <v>9955.73604</v>
      </c>
      <c r="AQ167" s="109">
        <f>Financials!AP$8*$C167</f>
        <v>9955.736041</v>
      </c>
      <c r="AR167" s="109">
        <f>Financials!AQ$8*$C167</f>
        <v>9955.736041</v>
      </c>
      <c r="AS167" s="109">
        <f>Financials!AR$8*$C167</f>
        <v>9955.736041</v>
      </c>
      <c r="AT167" s="109">
        <f>Financials!AS$8*$C167</f>
        <v>9955.736041</v>
      </c>
      <c r="AU167" s="109">
        <f>Financials!AT$8*$C167</f>
        <v>9955.736041</v>
      </c>
      <c r="AV167" s="109">
        <f>Financials!AU$8*$C167</f>
        <v>9955.736041</v>
      </c>
      <c r="AW167" s="109">
        <f>Financials!AV$8*$C167</f>
        <v>9955.736041</v>
      </c>
      <c r="AX167" s="109">
        <f>Financials!AW$8*$C167</f>
        <v>9955.736041</v>
      </c>
      <c r="AY167" s="109">
        <f>Financials!AX$8*$C167</f>
        <v>9955.736041</v>
      </c>
      <c r="AZ167" s="109">
        <f>Financials!AY$8*$C167</f>
        <v>9955.736041</v>
      </c>
      <c r="BA167" s="109">
        <f>Financials!AZ$8*$C167</f>
        <v>9955.736041</v>
      </c>
      <c r="BB167" s="109">
        <f>Financials!BA$8*$C167</f>
        <v>9955.736041</v>
      </c>
      <c r="BC167" s="109">
        <f>Financials!BB$8*$C167</f>
        <v>9955.736041</v>
      </c>
      <c r="BD167" s="109">
        <f>Financials!BC$8*$C167</f>
        <v>9955.736041</v>
      </c>
      <c r="BE167" s="109">
        <f>Financials!BD$8*$C167</f>
        <v>9955.736041</v>
      </c>
      <c r="BF167" s="109">
        <f>Financials!BE$8*$C167</f>
        <v>9955.736041</v>
      </c>
      <c r="BG167" s="109">
        <f>Financials!BF$8*$C167</f>
        <v>9955.736041</v>
      </c>
      <c r="BH167" s="109">
        <f>Financials!BG$8*$C167</f>
        <v>9955.736041</v>
      </c>
      <c r="BI167" s="109">
        <f>Financials!BH$8*$C167</f>
        <v>9955.736041</v>
      </c>
      <c r="BJ167" s="109">
        <f>Financials!BI$8*$C167</f>
        <v>9955.736041</v>
      </c>
      <c r="BK167" s="109">
        <f>Financials!BJ$8*$C167</f>
        <v>9955.736041</v>
      </c>
      <c r="BL167" s="109">
        <f>Financials!BK$8*$C167</f>
        <v>9955.736041</v>
      </c>
      <c r="BM167" s="109">
        <f>Financials!BL$8*$C167</f>
        <v>9955.736041</v>
      </c>
      <c r="BN167" s="109">
        <f>Financials!BM$8*$C167</f>
        <v>9955.736041</v>
      </c>
    </row>
    <row r="168" outlineLevel="1">
      <c r="A168" s="47"/>
      <c r="B168" s="150" t="s">
        <v>121</v>
      </c>
      <c r="C168" s="159">
        <v>10000.0</v>
      </c>
      <c r="D168" s="160"/>
      <c r="E168" s="160"/>
      <c r="F168" s="152"/>
      <c r="G168" s="152">
        <f>C168</f>
        <v>10000</v>
      </c>
      <c r="H168" s="152">
        <f t="shared" ref="H168:BN168" si="121">G168</f>
        <v>10000</v>
      </c>
      <c r="I168" s="152">
        <f t="shared" si="121"/>
        <v>10000</v>
      </c>
      <c r="J168" s="152">
        <f t="shared" si="121"/>
        <v>10000</v>
      </c>
      <c r="K168" s="152">
        <f t="shared" si="121"/>
        <v>10000</v>
      </c>
      <c r="L168" s="152">
        <f t="shared" si="121"/>
        <v>10000</v>
      </c>
      <c r="M168" s="152">
        <f t="shared" si="121"/>
        <v>10000</v>
      </c>
      <c r="N168" s="152">
        <f t="shared" si="121"/>
        <v>10000</v>
      </c>
      <c r="O168" s="152">
        <f t="shared" si="121"/>
        <v>10000</v>
      </c>
      <c r="P168" s="152">
        <f t="shared" si="121"/>
        <v>10000</v>
      </c>
      <c r="Q168" s="152">
        <f t="shared" si="121"/>
        <v>10000</v>
      </c>
      <c r="R168" s="152">
        <f t="shared" si="121"/>
        <v>10000</v>
      </c>
      <c r="S168" s="152">
        <f t="shared" si="121"/>
        <v>10000</v>
      </c>
      <c r="T168" s="152">
        <f t="shared" si="121"/>
        <v>10000</v>
      </c>
      <c r="U168" s="152">
        <f t="shared" si="121"/>
        <v>10000</v>
      </c>
      <c r="V168" s="152">
        <f t="shared" si="121"/>
        <v>10000</v>
      </c>
      <c r="W168" s="152">
        <f t="shared" si="121"/>
        <v>10000</v>
      </c>
      <c r="X168" s="152">
        <f t="shared" si="121"/>
        <v>10000</v>
      </c>
      <c r="Y168" s="152">
        <f t="shared" si="121"/>
        <v>10000</v>
      </c>
      <c r="Z168" s="152">
        <f t="shared" si="121"/>
        <v>10000</v>
      </c>
      <c r="AA168" s="152">
        <f t="shared" si="121"/>
        <v>10000</v>
      </c>
      <c r="AB168" s="152">
        <f t="shared" si="121"/>
        <v>10000</v>
      </c>
      <c r="AC168" s="152">
        <f t="shared" si="121"/>
        <v>10000</v>
      </c>
      <c r="AD168" s="152">
        <f t="shared" si="121"/>
        <v>10000</v>
      </c>
      <c r="AE168" s="152">
        <f t="shared" si="121"/>
        <v>10000</v>
      </c>
      <c r="AF168" s="152">
        <f t="shared" si="121"/>
        <v>10000</v>
      </c>
      <c r="AG168" s="152">
        <f t="shared" si="121"/>
        <v>10000</v>
      </c>
      <c r="AH168" s="152">
        <f t="shared" si="121"/>
        <v>10000</v>
      </c>
      <c r="AI168" s="152">
        <f t="shared" si="121"/>
        <v>10000</v>
      </c>
      <c r="AJ168" s="152">
        <f t="shared" si="121"/>
        <v>10000</v>
      </c>
      <c r="AK168" s="152">
        <f t="shared" si="121"/>
        <v>10000</v>
      </c>
      <c r="AL168" s="152">
        <f t="shared" si="121"/>
        <v>10000</v>
      </c>
      <c r="AM168" s="152">
        <f t="shared" si="121"/>
        <v>10000</v>
      </c>
      <c r="AN168" s="152">
        <f t="shared" si="121"/>
        <v>10000</v>
      </c>
      <c r="AO168" s="152">
        <f t="shared" si="121"/>
        <v>10000</v>
      </c>
      <c r="AP168" s="152">
        <f t="shared" si="121"/>
        <v>10000</v>
      </c>
      <c r="AQ168" s="152">
        <f t="shared" si="121"/>
        <v>10000</v>
      </c>
      <c r="AR168" s="152">
        <f t="shared" si="121"/>
        <v>10000</v>
      </c>
      <c r="AS168" s="152">
        <f t="shared" si="121"/>
        <v>10000</v>
      </c>
      <c r="AT168" s="152">
        <f t="shared" si="121"/>
        <v>10000</v>
      </c>
      <c r="AU168" s="152">
        <f t="shared" si="121"/>
        <v>10000</v>
      </c>
      <c r="AV168" s="152">
        <f t="shared" si="121"/>
        <v>10000</v>
      </c>
      <c r="AW168" s="152">
        <f t="shared" si="121"/>
        <v>10000</v>
      </c>
      <c r="AX168" s="152">
        <f t="shared" si="121"/>
        <v>10000</v>
      </c>
      <c r="AY168" s="152">
        <f t="shared" si="121"/>
        <v>10000</v>
      </c>
      <c r="AZ168" s="152">
        <f t="shared" si="121"/>
        <v>10000</v>
      </c>
      <c r="BA168" s="152">
        <f t="shared" si="121"/>
        <v>10000</v>
      </c>
      <c r="BB168" s="152">
        <f t="shared" si="121"/>
        <v>10000</v>
      </c>
      <c r="BC168" s="152">
        <f t="shared" si="121"/>
        <v>10000</v>
      </c>
      <c r="BD168" s="152">
        <f t="shared" si="121"/>
        <v>10000</v>
      </c>
      <c r="BE168" s="152">
        <f t="shared" si="121"/>
        <v>10000</v>
      </c>
      <c r="BF168" s="152">
        <f t="shared" si="121"/>
        <v>10000</v>
      </c>
      <c r="BG168" s="152">
        <f t="shared" si="121"/>
        <v>10000</v>
      </c>
      <c r="BH168" s="152">
        <f t="shared" si="121"/>
        <v>10000</v>
      </c>
      <c r="BI168" s="152">
        <f t="shared" si="121"/>
        <v>10000</v>
      </c>
      <c r="BJ168" s="152">
        <f t="shared" si="121"/>
        <v>10000</v>
      </c>
      <c r="BK168" s="152">
        <f t="shared" si="121"/>
        <v>10000</v>
      </c>
      <c r="BL168" s="152">
        <f t="shared" si="121"/>
        <v>10000</v>
      </c>
      <c r="BM168" s="152">
        <f t="shared" si="121"/>
        <v>10000</v>
      </c>
      <c r="BN168" s="152">
        <f t="shared" si="121"/>
        <v>10000</v>
      </c>
    </row>
    <row r="169" outlineLevel="1">
      <c r="A169" s="119"/>
      <c r="B169" s="164" t="s">
        <v>109</v>
      </c>
      <c r="C169" s="119"/>
      <c r="D169" s="119"/>
      <c r="E169" s="119"/>
      <c r="F169" s="119"/>
      <c r="G169" s="137">
        <f t="shared" ref="G169:BN169" si="122">sum(G167:G168)</f>
        <v>14821.48</v>
      </c>
      <c r="H169" s="137">
        <f t="shared" si="122"/>
        <v>17386.2622</v>
      </c>
      <c r="I169" s="137">
        <f t="shared" si="122"/>
        <v>18670.96393</v>
      </c>
      <c r="J169" s="137">
        <f t="shared" si="122"/>
        <v>19313.34946</v>
      </c>
      <c r="K169" s="137">
        <f t="shared" si="122"/>
        <v>19634.54274</v>
      </c>
      <c r="L169" s="137">
        <f t="shared" si="122"/>
        <v>19795.13939</v>
      </c>
      <c r="M169" s="137">
        <f t="shared" si="122"/>
        <v>19875.43772</v>
      </c>
      <c r="N169" s="137">
        <f t="shared" si="122"/>
        <v>19915.58688</v>
      </c>
      <c r="O169" s="137">
        <f t="shared" si="122"/>
        <v>19935.66146</v>
      </c>
      <c r="P169" s="137">
        <f t="shared" si="122"/>
        <v>19945.69875</v>
      </c>
      <c r="Q169" s="137">
        <f t="shared" si="122"/>
        <v>19950.7174</v>
      </c>
      <c r="R169" s="137">
        <f t="shared" si="122"/>
        <v>19953.22672</v>
      </c>
      <c r="S169" s="137">
        <f t="shared" si="122"/>
        <v>19954.48138</v>
      </c>
      <c r="T169" s="137">
        <f t="shared" si="122"/>
        <v>19955.10871</v>
      </c>
      <c r="U169" s="137">
        <f t="shared" si="122"/>
        <v>19955.42238</v>
      </c>
      <c r="V169" s="137">
        <f t="shared" si="122"/>
        <v>19955.57921</v>
      </c>
      <c r="W169" s="137">
        <f t="shared" si="122"/>
        <v>19955.65762</v>
      </c>
      <c r="X169" s="137">
        <f t="shared" si="122"/>
        <v>19955.69683</v>
      </c>
      <c r="Y169" s="137">
        <f t="shared" si="122"/>
        <v>19955.71644</v>
      </c>
      <c r="Z169" s="137">
        <f t="shared" si="122"/>
        <v>19955.72624</v>
      </c>
      <c r="AA169" s="137">
        <f t="shared" si="122"/>
        <v>19955.73114</v>
      </c>
      <c r="AB169" s="137">
        <f t="shared" si="122"/>
        <v>19955.73359</v>
      </c>
      <c r="AC169" s="137">
        <f t="shared" si="122"/>
        <v>19955.73482</v>
      </c>
      <c r="AD169" s="137">
        <f t="shared" si="122"/>
        <v>19955.73543</v>
      </c>
      <c r="AE169" s="137">
        <f t="shared" si="122"/>
        <v>19955.73573</v>
      </c>
      <c r="AF169" s="137">
        <f t="shared" si="122"/>
        <v>19955.73589</v>
      </c>
      <c r="AG169" s="137">
        <f t="shared" si="122"/>
        <v>19955.73596</v>
      </c>
      <c r="AH169" s="137">
        <f t="shared" si="122"/>
        <v>19955.736</v>
      </c>
      <c r="AI169" s="137">
        <f t="shared" si="122"/>
        <v>19955.73602</v>
      </c>
      <c r="AJ169" s="137">
        <f t="shared" si="122"/>
        <v>19955.73603</v>
      </c>
      <c r="AK169" s="137">
        <f t="shared" si="122"/>
        <v>19955.73604</v>
      </c>
      <c r="AL169" s="137">
        <f t="shared" si="122"/>
        <v>19955.73604</v>
      </c>
      <c r="AM169" s="137">
        <f t="shared" si="122"/>
        <v>19955.73604</v>
      </c>
      <c r="AN169" s="137">
        <f t="shared" si="122"/>
        <v>19955.73604</v>
      </c>
      <c r="AO169" s="137">
        <f t="shared" si="122"/>
        <v>19955.73604</v>
      </c>
      <c r="AP169" s="137">
        <f t="shared" si="122"/>
        <v>19955.73604</v>
      </c>
      <c r="AQ169" s="137">
        <f t="shared" si="122"/>
        <v>19955.73604</v>
      </c>
      <c r="AR169" s="137">
        <f t="shared" si="122"/>
        <v>19955.73604</v>
      </c>
      <c r="AS169" s="137">
        <f t="shared" si="122"/>
        <v>19955.73604</v>
      </c>
      <c r="AT169" s="137">
        <f t="shared" si="122"/>
        <v>19955.73604</v>
      </c>
      <c r="AU169" s="137">
        <f t="shared" si="122"/>
        <v>19955.73604</v>
      </c>
      <c r="AV169" s="137">
        <f t="shared" si="122"/>
        <v>19955.73604</v>
      </c>
      <c r="AW169" s="137">
        <f t="shared" si="122"/>
        <v>19955.73604</v>
      </c>
      <c r="AX169" s="137">
        <f t="shared" si="122"/>
        <v>19955.73604</v>
      </c>
      <c r="AY169" s="137">
        <f t="shared" si="122"/>
        <v>19955.73604</v>
      </c>
      <c r="AZ169" s="137">
        <f t="shared" si="122"/>
        <v>19955.73604</v>
      </c>
      <c r="BA169" s="137">
        <f t="shared" si="122"/>
        <v>19955.73604</v>
      </c>
      <c r="BB169" s="137">
        <f t="shared" si="122"/>
        <v>19955.73604</v>
      </c>
      <c r="BC169" s="137">
        <f t="shared" si="122"/>
        <v>19955.73604</v>
      </c>
      <c r="BD169" s="137">
        <f t="shared" si="122"/>
        <v>19955.73604</v>
      </c>
      <c r="BE169" s="137">
        <f t="shared" si="122"/>
        <v>19955.73604</v>
      </c>
      <c r="BF169" s="137">
        <f t="shared" si="122"/>
        <v>19955.73604</v>
      </c>
      <c r="BG169" s="137">
        <f t="shared" si="122"/>
        <v>19955.73604</v>
      </c>
      <c r="BH169" s="137">
        <f t="shared" si="122"/>
        <v>19955.73604</v>
      </c>
      <c r="BI169" s="137">
        <f t="shared" si="122"/>
        <v>19955.73604</v>
      </c>
      <c r="BJ169" s="137">
        <f t="shared" si="122"/>
        <v>19955.73604</v>
      </c>
      <c r="BK169" s="137">
        <f t="shared" si="122"/>
        <v>19955.73604</v>
      </c>
      <c r="BL169" s="137">
        <f t="shared" si="122"/>
        <v>19955.73604</v>
      </c>
      <c r="BM169" s="137">
        <f t="shared" si="122"/>
        <v>19955.73604</v>
      </c>
      <c r="BN169" s="137">
        <f t="shared" si="122"/>
        <v>19955.73604</v>
      </c>
    </row>
    <row r="170" outlineLevel="1">
      <c r="A170" s="47"/>
      <c r="B170" s="165"/>
      <c r="C170" s="47"/>
      <c r="D170" s="66"/>
      <c r="E170" s="66"/>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109"/>
      <c r="AB170" s="109"/>
      <c r="AC170" s="109"/>
      <c r="AD170" s="109"/>
      <c r="AE170" s="109"/>
      <c r="AF170" s="109"/>
      <c r="AG170" s="109"/>
      <c r="AH170" s="109"/>
      <c r="AI170" s="109"/>
      <c r="AJ170" s="109"/>
      <c r="AK170" s="109"/>
      <c r="AL170" s="109"/>
      <c r="AM170" s="109"/>
      <c r="AN170" s="109"/>
      <c r="AO170" s="109"/>
      <c r="AP170" s="109"/>
      <c r="AQ170" s="109"/>
      <c r="AR170" s="109"/>
      <c r="AS170" s="109"/>
      <c r="AT170" s="109"/>
      <c r="AU170" s="109"/>
      <c r="AV170" s="109"/>
      <c r="AW170" s="109"/>
      <c r="AX170" s="109"/>
      <c r="AY170" s="109"/>
      <c r="AZ170" s="109"/>
      <c r="BA170" s="109"/>
      <c r="BB170" s="109"/>
      <c r="BC170" s="109"/>
      <c r="BD170" s="109"/>
      <c r="BE170" s="109"/>
      <c r="BF170" s="109"/>
      <c r="BG170" s="109"/>
      <c r="BH170" s="109"/>
      <c r="BI170" s="109"/>
      <c r="BJ170" s="109"/>
      <c r="BK170" s="109"/>
      <c r="BL170" s="109"/>
      <c r="BM170" s="109"/>
      <c r="BN170" s="109"/>
    </row>
    <row r="171" outlineLevel="1">
      <c r="A171" s="47"/>
      <c r="B171" s="162" t="s">
        <v>122</v>
      </c>
      <c r="C171" s="65"/>
      <c r="D171" s="163"/>
      <c r="E171" s="66"/>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c r="AC171" s="109"/>
      <c r="AD171" s="109"/>
      <c r="AE171" s="109"/>
      <c r="AF171" s="109"/>
      <c r="AG171" s="109"/>
      <c r="AH171" s="109"/>
      <c r="AI171" s="109"/>
      <c r="AJ171" s="109"/>
      <c r="AK171" s="109"/>
      <c r="AL171" s="109"/>
      <c r="AM171" s="109"/>
      <c r="AN171" s="109"/>
      <c r="AO171" s="109"/>
      <c r="AP171" s="109"/>
      <c r="AQ171" s="109"/>
      <c r="AR171" s="109"/>
      <c r="AS171" s="109"/>
      <c r="AT171" s="109"/>
      <c r="AU171" s="109"/>
      <c r="AV171" s="109"/>
      <c r="AW171" s="109"/>
      <c r="AX171" s="109"/>
      <c r="AY171" s="109"/>
      <c r="AZ171" s="109"/>
      <c r="BA171" s="109"/>
      <c r="BB171" s="109"/>
      <c r="BC171" s="109"/>
      <c r="BD171" s="109"/>
      <c r="BE171" s="109"/>
      <c r="BF171" s="109"/>
      <c r="BG171" s="109"/>
      <c r="BH171" s="109"/>
      <c r="BI171" s="109"/>
      <c r="BJ171" s="109"/>
      <c r="BK171" s="109"/>
      <c r="BL171" s="109"/>
      <c r="BM171" s="109"/>
      <c r="BN171" s="109"/>
    </row>
    <row r="172" outlineLevel="1">
      <c r="A172" s="47"/>
      <c r="B172" s="147" t="s">
        <v>123</v>
      </c>
      <c r="C172" s="156">
        <v>2000.0</v>
      </c>
      <c r="D172" s="157"/>
      <c r="E172" s="66"/>
      <c r="F172" s="109"/>
      <c r="G172" s="109">
        <f t="shared" ref="G172:G174" si="124">C172</f>
        <v>2000</v>
      </c>
      <c r="H172" s="109">
        <f t="shared" ref="H172:BN172" si="123">G172</f>
        <v>2000</v>
      </c>
      <c r="I172" s="109">
        <f t="shared" si="123"/>
        <v>2000</v>
      </c>
      <c r="J172" s="109">
        <f t="shared" si="123"/>
        <v>2000</v>
      </c>
      <c r="K172" s="109">
        <f t="shared" si="123"/>
        <v>2000</v>
      </c>
      <c r="L172" s="109">
        <f t="shared" si="123"/>
        <v>2000</v>
      </c>
      <c r="M172" s="109">
        <f t="shared" si="123"/>
        <v>2000</v>
      </c>
      <c r="N172" s="109">
        <f t="shared" si="123"/>
        <v>2000</v>
      </c>
      <c r="O172" s="109">
        <f t="shared" si="123"/>
        <v>2000</v>
      </c>
      <c r="P172" s="109">
        <f t="shared" si="123"/>
        <v>2000</v>
      </c>
      <c r="Q172" s="109">
        <f t="shared" si="123"/>
        <v>2000</v>
      </c>
      <c r="R172" s="109">
        <f t="shared" si="123"/>
        <v>2000</v>
      </c>
      <c r="S172" s="109">
        <f t="shared" si="123"/>
        <v>2000</v>
      </c>
      <c r="T172" s="109">
        <f t="shared" si="123"/>
        <v>2000</v>
      </c>
      <c r="U172" s="109">
        <f t="shared" si="123"/>
        <v>2000</v>
      </c>
      <c r="V172" s="109">
        <f t="shared" si="123"/>
        <v>2000</v>
      </c>
      <c r="W172" s="109">
        <f t="shared" si="123"/>
        <v>2000</v>
      </c>
      <c r="X172" s="109">
        <f t="shared" si="123"/>
        <v>2000</v>
      </c>
      <c r="Y172" s="109">
        <f t="shared" si="123"/>
        <v>2000</v>
      </c>
      <c r="Z172" s="109">
        <f t="shared" si="123"/>
        <v>2000</v>
      </c>
      <c r="AA172" s="109">
        <f t="shared" si="123"/>
        <v>2000</v>
      </c>
      <c r="AB172" s="109">
        <f t="shared" si="123"/>
        <v>2000</v>
      </c>
      <c r="AC172" s="109">
        <f t="shared" si="123"/>
        <v>2000</v>
      </c>
      <c r="AD172" s="109">
        <f t="shared" si="123"/>
        <v>2000</v>
      </c>
      <c r="AE172" s="109">
        <f t="shared" si="123"/>
        <v>2000</v>
      </c>
      <c r="AF172" s="109">
        <f t="shared" si="123"/>
        <v>2000</v>
      </c>
      <c r="AG172" s="109">
        <f t="shared" si="123"/>
        <v>2000</v>
      </c>
      <c r="AH172" s="109">
        <f t="shared" si="123"/>
        <v>2000</v>
      </c>
      <c r="AI172" s="109">
        <f t="shared" si="123"/>
        <v>2000</v>
      </c>
      <c r="AJ172" s="109">
        <f t="shared" si="123"/>
        <v>2000</v>
      </c>
      <c r="AK172" s="109">
        <f t="shared" si="123"/>
        <v>2000</v>
      </c>
      <c r="AL172" s="109">
        <f t="shared" si="123"/>
        <v>2000</v>
      </c>
      <c r="AM172" s="109">
        <f t="shared" si="123"/>
        <v>2000</v>
      </c>
      <c r="AN172" s="109">
        <f t="shared" si="123"/>
        <v>2000</v>
      </c>
      <c r="AO172" s="109">
        <f t="shared" si="123"/>
        <v>2000</v>
      </c>
      <c r="AP172" s="109">
        <f t="shared" si="123"/>
        <v>2000</v>
      </c>
      <c r="AQ172" s="109">
        <f t="shared" si="123"/>
        <v>2000</v>
      </c>
      <c r="AR172" s="109">
        <f t="shared" si="123"/>
        <v>2000</v>
      </c>
      <c r="AS172" s="109">
        <f t="shared" si="123"/>
        <v>2000</v>
      </c>
      <c r="AT172" s="109">
        <f t="shared" si="123"/>
        <v>2000</v>
      </c>
      <c r="AU172" s="109">
        <f t="shared" si="123"/>
        <v>2000</v>
      </c>
      <c r="AV172" s="109">
        <f t="shared" si="123"/>
        <v>2000</v>
      </c>
      <c r="AW172" s="109">
        <f t="shared" si="123"/>
        <v>2000</v>
      </c>
      <c r="AX172" s="109">
        <f t="shared" si="123"/>
        <v>2000</v>
      </c>
      <c r="AY172" s="109">
        <f t="shared" si="123"/>
        <v>2000</v>
      </c>
      <c r="AZ172" s="109">
        <f t="shared" si="123"/>
        <v>2000</v>
      </c>
      <c r="BA172" s="109">
        <f t="shared" si="123"/>
        <v>2000</v>
      </c>
      <c r="BB172" s="109">
        <f t="shared" si="123"/>
        <v>2000</v>
      </c>
      <c r="BC172" s="109">
        <f t="shared" si="123"/>
        <v>2000</v>
      </c>
      <c r="BD172" s="109">
        <f t="shared" si="123"/>
        <v>2000</v>
      </c>
      <c r="BE172" s="109">
        <f t="shared" si="123"/>
        <v>2000</v>
      </c>
      <c r="BF172" s="109">
        <f t="shared" si="123"/>
        <v>2000</v>
      </c>
      <c r="BG172" s="109">
        <f t="shared" si="123"/>
        <v>2000</v>
      </c>
      <c r="BH172" s="109">
        <f t="shared" si="123"/>
        <v>2000</v>
      </c>
      <c r="BI172" s="109">
        <f t="shared" si="123"/>
        <v>2000</v>
      </c>
      <c r="BJ172" s="109">
        <f t="shared" si="123"/>
        <v>2000</v>
      </c>
      <c r="BK172" s="109">
        <f t="shared" si="123"/>
        <v>2000</v>
      </c>
      <c r="BL172" s="109">
        <f t="shared" si="123"/>
        <v>2000</v>
      </c>
      <c r="BM172" s="109">
        <f t="shared" si="123"/>
        <v>2000</v>
      </c>
      <c r="BN172" s="109">
        <f t="shared" si="123"/>
        <v>2000</v>
      </c>
    </row>
    <row r="173" outlineLevel="1">
      <c r="A173" s="47"/>
      <c r="B173" s="147" t="s">
        <v>124</v>
      </c>
      <c r="C173" s="156">
        <v>1000.0</v>
      </c>
      <c r="D173" s="157"/>
      <c r="E173" s="66"/>
      <c r="F173" s="109"/>
      <c r="G173" s="109">
        <f t="shared" si="124"/>
        <v>1000</v>
      </c>
      <c r="H173" s="109">
        <f t="shared" ref="H173:BN173" si="125">G173</f>
        <v>1000</v>
      </c>
      <c r="I173" s="109">
        <f t="shared" si="125"/>
        <v>1000</v>
      </c>
      <c r="J173" s="109">
        <f t="shared" si="125"/>
        <v>1000</v>
      </c>
      <c r="K173" s="109">
        <f t="shared" si="125"/>
        <v>1000</v>
      </c>
      <c r="L173" s="109">
        <f t="shared" si="125"/>
        <v>1000</v>
      </c>
      <c r="M173" s="109">
        <f t="shared" si="125"/>
        <v>1000</v>
      </c>
      <c r="N173" s="109">
        <f t="shared" si="125"/>
        <v>1000</v>
      </c>
      <c r="O173" s="109">
        <f t="shared" si="125"/>
        <v>1000</v>
      </c>
      <c r="P173" s="109">
        <f t="shared" si="125"/>
        <v>1000</v>
      </c>
      <c r="Q173" s="109">
        <f t="shared" si="125"/>
        <v>1000</v>
      </c>
      <c r="R173" s="109">
        <f t="shared" si="125"/>
        <v>1000</v>
      </c>
      <c r="S173" s="109">
        <f t="shared" si="125"/>
        <v>1000</v>
      </c>
      <c r="T173" s="109">
        <f t="shared" si="125"/>
        <v>1000</v>
      </c>
      <c r="U173" s="109">
        <f t="shared" si="125"/>
        <v>1000</v>
      </c>
      <c r="V173" s="109">
        <f t="shared" si="125"/>
        <v>1000</v>
      </c>
      <c r="W173" s="109">
        <f t="shared" si="125"/>
        <v>1000</v>
      </c>
      <c r="X173" s="109">
        <f t="shared" si="125"/>
        <v>1000</v>
      </c>
      <c r="Y173" s="109">
        <f t="shared" si="125"/>
        <v>1000</v>
      </c>
      <c r="Z173" s="109">
        <f t="shared" si="125"/>
        <v>1000</v>
      </c>
      <c r="AA173" s="109">
        <f t="shared" si="125"/>
        <v>1000</v>
      </c>
      <c r="AB173" s="109">
        <f t="shared" si="125"/>
        <v>1000</v>
      </c>
      <c r="AC173" s="109">
        <f t="shared" si="125"/>
        <v>1000</v>
      </c>
      <c r="AD173" s="109">
        <f t="shared" si="125"/>
        <v>1000</v>
      </c>
      <c r="AE173" s="109">
        <f t="shared" si="125"/>
        <v>1000</v>
      </c>
      <c r="AF173" s="109">
        <f t="shared" si="125"/>
        <v>1000</v>
      </c>
      <c r="AG173" s="109">
        <f t="shared" si="125"/>
        <v>1000</v>
      </c>
      <c r="AH173" s="109">
        <f t="shared" si="125"/>
        <v>1000</v>
      </c>
      <c r="AI173" s="109">
        <f t="shared" si="125"/>
        <v>1000</v>
      </c>
      <c r="AJ173" s="109">
        <f t="shared" si="125"/>
        <v>1000</v>
      </c>
      <c r="AK173" s="109">
        <f t="shared" si="125"/>
        <v>1000</v>
      </c>
      <c r="AL173" s="109">
        <f t="shared" si="125"/>
        <v>1000</v>
      </c>
      <c r="AM173" s="109">
        <f t="shared" si="125"/>
        <v>1000</v>
      </c>
      <c r="AN173" s="109">
        <f t="shared" si="125"/>
        <v>1000</v>
      </c>
      <c r="AO173" s="109">
        <f t="shared" si="125"/>
        <v>1000</v>
      </c>
      <c r="AP173" s="109">
        <f t="shared" si="125"/>
        <v>1000</v>
      </c>
      <c r="AQ173" s="109">
        <f t="shared" si="125"/>
        <v>1000</v>
      </c>
      <c r="AR173" s="109">
        <f t="shared" si="125"/>
        <v>1000</v>
      </c>
      <c r="AS173" s="109">
        <f t="shared" si="125"/>
        <v>1000</v>
      </c>
      <c r="AT173" s="109">
        <f t="shared" si="125"/>
        <v>1000</v>
      </c>
      <c r="AU173" s="109">
        <f t="shared" si="125"/>
        <v>1000</v>
      </c>
      <c r="AV173" s="109">
        <f t="shared" si="125"/>
        <v>1000</v>
      </c>
      <c r="AW173" s="109">
        <f t="shared" si="125"/>
        <v>1000</v>
      </c>
      <c r="AX173" s="109">
        <f t="shared" si="125"/>
        <v>1000</v>
      </c>
      <c r="AY173" s="109">
        <f t="shared" si="125"/>
        <v>1000</v>
      </c>
      <c r="AZ173" s="109">
        <f t="shared" si="125"/>
        <v>1000</v>
      </c>
      <c r="BA173" s="109">
        <f t="shared" si="125"/>
        <v>1000</v>
      </c>
      <c r="BB173" s="109">
        <f t="shared" si="125"/>
        <v>1000</v>
      </c>
      <c r="BC173" s="109">
        <f t="shared" si="125"/>
        <v>1000</v>
      </c>
      <c r="BD173" s="109">
        <f t="shared" si="125"/>
        <v>1000</v>
      </c>
      <c r="BE173" s="109">
        <f t="shared" si="125"/>
        <v>1000</v>
      </c>
      <c r="BF173" s="109">
        <f t="shared" si="125"/>
        <v>1000</v>
      </c>
      <c r="BG173" s="109">
        <f t="shared" si="125"/>
        <v>1000</v>
      </c>
      <c r="BH173" s="109">
        <f t="shared" si="125"/>
        <v>1000</v>
      </c>
      <c r="BI173" s="109">
        <f t="shared" si="125"/>
        <v>1000</v>
      </c>
      <c r="BJ173" s="109">
        <f t="shared" si="125"/>
        <v>1000</v>
      </c>
      <c r="BK173" s="109">
        <f t="shared" si="125"/>
        <v>1000</v>
      </c>
      <c r="BL173" s="109">
        <f t="shared" si="125"/>
        <v>1000</v>
      </c>
      <c r="BM173" s="109">
        <f t="shared" si="125"/>
        <v>1000</v>
      </c>
      <c r="BN173" s="109">
        <f t="shared" si="125"/>
        <v>1000</v>
      </c>
    </row>
    <row r="174" outlineLevel="1">
      <c r="A174" s="47"/>
      <c r="B174" s="150" t="s">
        <v>125</v>
      </c>
      <c r="C174" s="159">
        <v>2000.0</v>
      </c>
      <c r="D174" s="160"/>
      <c r="E174" s="160"/>
      <c r="F174" s="152"/>
      <c r="G174" s="152">
        <f t="shared" si="124"/>
        <v>2000</v>
      </c>
      <c r="H174" s="152">
        <f t="shared" ref="H174:BN174" si="126">G174</f>
        <v>2000</v>
      </c>
      <c r="I174" s="152">
        <f t="shared" si="126"/>
        <v>2000</v>
      </c>
      <c r="J174" s="152">
        <f t="shared" si="126"/>
        <v>2000</v>
      </c>
      <c r="K174" s="152">
        <f t="shared" si="126"/>
        <v>2000</v>
      </c>
      <c r="L174" s="152">
        <f t="shared" si="126"/>
        <v>2000</v>
      </c>
      <c r="M174" s="152">
        <f t="shared" si="126"/>
        <v>2000</v>
      </c>
      <c r="N174" s="152">
        <f t="shared" si="126"/>
        <v>2000</v>
      </c>
      <c r="O174" s="152">
        <f t="shared" si="126"/>
        <v>2000</v>
      </c>
      <c r="P174" s="152">
        <f t="shared" si="126"/>
        <v>2000</v>
      </c>
      <c r="Q174" s="152">
        <f t="shared" si="126"/>
        <v>2000</v>
      </c>
      <c r="R174" s="152">
        <f t="shared" si="126"/>
        <v>2000</v>
      </c>
      <c r="S174" s="152">
        <f t="shared" si="126"/>
        <v>2000</v>
      </c>
      <c r="T174" s="152">
        <f t="shared" si="126"/>
        <v>2000</v>
      </c>
      <c r="U174" s="152">
        <f t="shared" si="126"/>
        <v>2000</v>
      </c>
      <c r="V174" s="152">
        <f t="shared" si="126"/>
        <v>2000</v>
      </c>
      <c r="W174" s="152">
        <f t="shared" si="126"/>
        <v>2000</v>
      </c>
      <c r="X174" s="152">
        <f t="shared" si="126"/>
        <v>2000</v>
      </c>
      <c r="Y174" s="152">
        <f t="shared" si="126"/>
        <v>2000</v>
      </c>
      <c r="Z174" s="152">
        <f t="shared" si="126"/>
        <v>2000</v>
      </c>
      <c r="AA174" s="152">
        <f t="shared" si="126"/>
        <v>2000</v>
      </c>
      <c r="AB174" s="152">
        <f t="shared" si="126"/>
        <v>2000</v>
      </c>
      <c r="AC174" s="152">
        <f t="shared" si="126"/>
        <v>2000</v>
      </c>
      <c r="AD174" s="152">
        <f t="shared" si="126"/>
        <v>2000</v>
      </c>
      <c r="AE174" s="152">
        <f t="shared" si="126"/>
        <v>2000</v>
      </c>
      <c r="AF174" s="152">
        <f t="shared" si="126"/>
        <v>2000</v>
      </c>
      <c r="AG174" s="152">
        <f t="shared" si="126"/>
        <v>2000</v>
      </c>
      <c r="AH174" s="152">
        <f t="shared" si="126"/>
        <v>2000</v>
      </c>
      <c r="AI174" s="152">
        <f t="shared" si="126"/>
        <v>2000</v>
      </c>
      <c r="AJ174" s="152">
        <f t="shared" si="126"/>
        <v>2000</v>
      </c>
      <c r="AK174" s="152">
        <f t="shared" si="126"/>
        <v>2000</v>
      </c>
      <c r="AL174" s="152">
        <f t="shared" si="126"/>
        <v>2000</v>
      </c>
      <c r="AM174" s="152">
        <f t="shared" si="126"/>
        <v>2000</v>
      </c>
      <c r="AN174" s="152">
        <f t="shared" si="126"/>
        <v>2000</v>
      </c>
      <c r="AO174" s="152">
        <f t="shared" si="126"/>
        <v>2000</v>
      </c>
      <c r="AP174" s="152">
        <f t="shared" si="126"/>
        <v>2000</v>
      </c>
      <c r="AQ174" s="152">
        <f t="shared" si="126"/>
        <v>2000</v>
      </c>
      <c r="AR174" s="152">
        <f t="shared" si="126"/>
        <v>2000</v>
      </c>
      <c r="AS174" s="152">
        <f t="shared" si="126"/>
        <v>2000</v>
      </c>
      <c r="AT174" s="152">
        <f t="shared" si="126"/>
        <v>2000</v>
      </c>
      <c r="AU174" s="152">
        <f t="shared" si="126"/>
        <v>2000</v>
      </c>
      <c r="AV174" s="152">
        <f t="shared" si="126"/>
        <v>2000</v>
      </c>
      <c r="AW174" s="152">
        <f t="shared" si="126"/>
        <v>2000</v>
      </c>
      <c r="AX174" s="152">
        <f t="shared" si="126"/>
        <v>2000</v>
      </c>
      <c r="AY174" s="152">
        <f t="shared" si="126"/>
        <v>2000</v>
      </c>
      <c r="AZ174" s="152">
        <f t="shared" si="126"/>
        <v>2000</v>
      </c>
      <c r="BA174" s="152">
        <f t="shared" si="126"/>
        <v>2000</v>
      </c>
      <c r="BB174" s="152">
        <f t="shared" si="126"/>
        <v>2000</v>
      </c>
      <c r="BC174" s="152">
        <f t="shared" si="126"/>
        <v>2000</v>
      </c>
      <c r="BD174" s="152">
        <f t="shared" si="126"/>
        <v>2000</v>
      </c>
      <c r="BE174" s="152">
        <f t="shared" si="126"/>
        <v>2000</v>
      </c>
      <c r="BF174" s="152">
        <f t="shared" si="126"/>
        <v>2000</v>
      </c>
      <c r="BG174" s="152">
        <f t="shared" si="126"/>
        <v>2000</v>
      </c>
      <c r="BH174" s="152">
        <f t="shared" si="126"/>
        <v>2000</v>
      </c>
      <c r="BI174" s="152">
        <f t="shared" si="126"/>
        <v>2000</v>
      </c>
      <c r="BJ174" s="152">
        <f t="shared" si="126"/>
        <v>2000</v>
      </c>
      <c r="BK174" s="152">
        <f t="shared" si="126"/>
        <v>2000</v>
      </c>
      <c r="BL174" s="152">
        <f t="shared" si="126"/>
        <v>2000</v>
      </c>
      <c r="BM174" s="152">
        <f t="shared" si="126"/>
        <v>2000</v>
      </c>
      <c r="BN174" s="152">
        <f t="shared" si="126"/>
        <v>2000</v>
      </c>
    </row>
    <row r="175" outlineLevel="1">
      <c r="A175" s="119"/>
      <c r="B175" s="164" t="s">
        <v>109</v>
      </c>
      <c r="C175" s="119"/>
      <c r="D175" s="119"/>
      <c r="E175" s="119"/>
      <c r="F175" s="119"/>
      <c r="G175" s="137">
        <f t="shared" ref="G175:BN175" si="127">sum(G172:G174)</f>
        <v>5000</v>
      </c>
      <c r="H175" s="137">
        <f t="shared" si="127"/>
        <v>5000</v>
      </c>
      <c r="I175" s="137">
        <f t="shared" si="127"/>
        <v>5000</v>
      </c>
      <c r="J175" s="137">
        <f t="shared" si="127"/>
        <v>5000</v>
      </c>
      <c r="K175" s="137">
        <f t="shared" si="127"/>
        <v>5000</v>
      </c>
      <c r="L175" s="137">
        <f t="shared" si="127"/>
        <v>5000</v>
      </c>
      <c r="M175" s="137">
        <f t="shared" si="127"/>
        <v>5000</v>
      </c>
      <c r="N175" s="137">
        <f t="shared" si="127"/>
        <v>5000</v>
      </c>
      <c r="O175" s="137">
        <f t="shared" si="127"/>
        <v>5000</v>
      </c>
      <c r="P175" s="137">
        <f t="shared" si="127"/>
        <v>5000</v>
      </c>
      <c r="Q175" s="137">
        <f t="shared" si="127"/>
        <v>5000</v>
      </c>
      <c r="R175" s="137">
        <f t="shared" si="127"/>
        <v>5000</v>
      </c>
      <c r="S175" s="137">
        <f t="shared" si="127"/>
        <v>5000</v>
      </c>
      <c r="T175" s="137">
        <f t="shared" si="127"/>
        <v>5000</v>
      </c>
      <c r="U175" s="137">
        <f t="shared" si="127"/>
        <v>5000</v>
      </c>
      <c r="V175" s="137">
        <f t="shared" si="127"/>
        <v>5000</v>
      </c>
      <c r="W175" s="137">
        <f t="shared" si="127"/>
        <v>5000</v>
      </c>
      <c r="X175" s="137">
        <f t="shared" si="127"/>
        <v>5000</v>
      </c>
      <c r="Y175" s="137">
        <f t="shared" si="127"/>
        <v>5000</v>
      </c>
      <c r="Z175" s="137">
        <f t="shared" si="127"/>
        <v>5000</v>
      </c>
      <c r="AA175" s="137">
        <f t="shared" si="127"/>
        <v>5000</v>
      </c>
      <c r="AB175" s="137">
        <f t="shared" si="127"/>
        <v>5000</v>
      </c>
      <c r="AC175" s="137">
        <f t="shared" si="127"/>
        <v>5000</v>
      </c>
      <c r="AD175" s="137">
        <f t="shared" si="127"/>
        <v>5000</v>
      </c>
      <c r="AE175" s="137">
        <f t="shared" si="127"/>
        <v>5000</v>
      </c>
      <c r="AF175" s="137">
        <f t="shared" si="127"/>
        <v>5000</v>
      </c>
      <c r="AG175" s="137">
        <f t="shared" si="127"/>
        <v>5000</v>
      </c>
      <c r="AH175" s="137">
        <f t="shared" si="127"/>
        <v>5000</v>
      </c>
      <c r="AI175" s="137">
        <f t="shared" si="127"/>
        <v>5000</v>
      </c>
      <c r="AJ175" s="137">
        <f t="shared" si="127"/>
        <v>5000</v>
      </c>
      <c r="AK175" s="137">
        <f t="shared" si="127"/>
        <v>5000</v>
      </c>
      <c r="AL175" s="137">
        <f t="shared" si="127"/>
        <v>5000</v>
      </c>
      <c r="AM175" s="137">
        <f t="shared" si="127"/>
        <v>5000</v>
      </c>
      <c r="AN175" s="137">
        <f t="shared" si="127"/>
        <v>5000</v>
      </c>
      <c r="AO175" s="137">
        <f t="shared" si="127"/>
        <v>5000</v>
      </c>
      <c r="AP175" s="137">
        <f t="shared" si="127"/>
        <v>5000</v>
      </c>
      <c r="AQ175" s="137">
        <f t="shared" si="127"/>
        <v>5000</v>
      </c>
      <c r="AR175" s="137">
        <f t="shared" si="127"/>
        <v>5000</v>
      </c>
      <c r="AS175" s="137">
        <f t="shared" si="127"/>
        <v>5000</v>
      </c>
      <c r="AT175" s="137">
        <f t="shared" si="127"/>
        <v>5000</v>
      </c>
      <c r="AU175" s="137">
        <f t="shared" si="127"/>
        <v>5000</v>
      </c>
      <c r="AV175" s="137">
        <f t="shared" si="127"/>
        <v>5000</v>
      </c>
      <c r="AW175" s="137">
        <f t="shared" si="127"/>
        <v>5000</v>
      </c>
      <c r="AX175" s="137">
        <f t="shared" si="127"/>
        <v>5000</v>
      </c>
      <c r="AY175" s="137">
        <f t="shared" si="127"/>
        <v>5000</v>
      </c>
      <c r="AZ175" s="137">
        <f t="shared" si="127"/>
        <v>5000</v>
      </c>
      <c r="BA175" s="137">
        <f t="shared" si="127"/>
        <v>5000</v>
      </c>
      <c r="BB175" s="137">
        <f t="shared" si="127"/>
        <v>5000</v>
      </c>
      <c r="BC175" s="137">
        <f t="shared" si="127"/>
        <v>5000</v>
      </c>
      <c r="BD175" s="137">
        <f t="shared" si="127"/>
        <v>5000</v>
      </c>
      <c r="BE175" s="137">
        <f t="shared" si="127"/>
        <v>5000</v>
      </c>
      <c r="BF175" s="137">
        <f t="shared" si="127"/>
        <v>5000</v>
      </c>
      <c r="BG175" s="137">
        <f t="shared" si="127"/>
        <v>5000</v>
      </c>
      <c r="BH175" s="137">
        <f t="shared" si="127"/>
        <v>5000</v>
      </c>
      <c r="BI175" s="137">
        <f t="shared" si="127"/>
        <v>5000</v>
      </c>
      <c r="BJ175" s="137">
        <f t="shared" si="127"/>
        <v>5000</v>
      </c>
      <c r="BK175" s="137">
        <f t="shared" si="127"/>
        <v>5000</v>
      </c>
      <c r="BL175" s="137">
        <f t="shared" si="127"/>
        <v>5000</v>
      </c>
      <c r="BM175" s="137">
        <f t="shared" si="127"/>
        <v>5000</v>
      </c>
      <c r="BN175" s="137">
        <f t="shared" si="127"/>
        <v>5000</v>
      </c>
    </row>
    <row r="176" outlineLevel="1">
      <c r="A176" s="47"/>
      <c r="B176" s="165"/>
      <c r="C176" s="47"/>
      <c r="D176" s="66"/>
      <c r="E176" s="66"/>
      <c r="F176" s="109"/>
      <c r="G176" s="109"/>
      <c r="H176" s="109"/>
      <c r="I176" s="109"/>
      <c r="J176" s="109"/>
      <c r="K176" s="109"/>
      <c r="L176" s="109"/>
      <c r="M176" s="109"/>
      <c r="N176" s="109"/>
      <c r="O176" s="109"/>
      <c r="P176" s="109"/>
      <c r="Q176" s="109"/>
      <c r="R176" s="109"/>
      <c r="S176" s="109"/>
      <c r="T176" s="109"/>
      <c r="U176" s="109"/>
      <c r="V176" s="109"/>
      <c r="W176" s="109"/>
      <c r="X176" s="109"/>
      <c r="Y176" s="109"/>
      <c r="Z176" s="109"/>
      <c r="AA176" s="109"/>
      <c r="AB176" s="109"/>
      <c r="AC176" s="109"/>
      <c r="AD176" s="109"/>
      <c r="AE176" s="109"/>
      <c r="AF176" s="109"/>
      <c r="AG176" s="109"/>
      <c r="AH176" s="109"/>
      <c r="AI176" s="109"/>
      <c r="AJ176" s="109"/>
      <c r="AK176" s="109"/>
      <c r="AL176" s="109"/>
      <c r="AM176" s="109"/>
      <c r="AN176" s="109"/>
      <c r="AO176" s="109"/>
      <c r="AP176" s="109"/>
      <c r="AQ176" s="109"/>
      <c r="AR176" s="109"/>
      <c r="AS176" s="109"/>
      <c r="AT176" s="109"/>
      <c r="AU176" s="109"/>
      <c r="AV176" s="109"/>
      <c r="AW176" s="109"/>
      <c r="AX176" s="109"/>
      <c r="AY176" s="109"/>
      <c r="AZ176" s="109"/>
      <c r="BA176" s="109"/>
      <c r="BB176" s="109"/>
      <c r="BC176" s="109"/>
      <c r="BD176" s="109"/>
      <c r="BE176" s="109"/>
      <c r="BF176" s="109"/>
      <c r="BG176" s="109"/>
      <c r="BH176" s="109"/>
      <c r="BI176" s="109"/>
      <c r="BJ176" s="109"/>
      <c r="BK176" s="109"/>
      <c r="BL176" s="109"/>
      <c r="BM176" s="109"/>
      <c r="BN176" s="109"/>
    </row>
    <row r="177" outlineLevel="1">
      <c r="A177" s="47"/>
      <c r="B177" s="162" t="s">
        <v>125</v>
      </c>
      <c r="C177" s="142" t="s">
        <v>100</v>
      </c>
      <c r="D177" s="66"/>
      <c r="E177" s="66"/>
      <c r="F177" s="109"/>
      <c r="G177" s="109"/>
      <c r="H177" s="109"/>
      <c r="I177" s="109"/>
      <c r="J177" s="109"/>
      <c r="K177" s="109"/>
      <c r="L177" s="109"/>
      <c r="M177" s="109"/>
      <c r="N177" s="109"/>
      <c r="O177" s="109"/>
      <c r="P177" s="109"/>
      <c r="Q177" s="109"/>
      <c r="R177" s="109"/>
      <c r="S177" s="109"/>
      <c r="T177" s="109"/>
      <c r="U177" s="109"/>
      <c r="V177" s="109"/>
      <c r="W177" s="109"/>
      <c r="X177" s="109"/>
      <c r="Y177" s="109"/>
      <c r="Z177" s="109"/>
      <c r="AA177" s="109"/>
      <c r="AB177" s="109"/>
      <c r="AC177" s="109"/>
      <c r="AD177" s="109"/>
      <c r="AE177" s="109"/>
      <c r="AF177" s="109"/>
      <c r="AG177" s="109"/>
      <c r="AH177" s="109"/>
      <c r="AI177" s="109"/>
      <c r="AJ177" s="109"/>
      <c r="AK177" s="109"/>
      <c r="AL177" s="109"/>
      <c r="AM177" s="109"/>
      <c r="AN177" s="109"/>
      <c r="AO177" s="109"/>
      <c r="AP177" s="109"/>
      <c r="AQ177" s="109"/>
      <c r="AR177" s="109"/>
      <c r="AS177" s="109"/>
      <c r="AT177" s="109"/>
      <c r="AU177" s="109"/>
      <c r="AV177" s="109"/>
      <c r="AW177" s="109"/>
      <c r="AX177" s="109"/>
      <c r="AY177" s="109"/>
      <c r="AZ177" s="109"/>
      <c r="BA177" s="109"/>
      <c r="BB177" s="109"/>
      <c r="BC177" s="109"/>
      <c r="BD177" s="109"/>
      <c r="BE177" s="109"/>
      <c r="BF177" s="109"/>
      <c r="BG177" s="109"/>
      <c r="BH177" s="109"/>
      <c r="BI177" s="109"/>
      <c r="BJ177" s="109"/>
      <c r="BK177" s="109"/>
      <c r="BL177" s="109"/>
      <c r="BM177" s="109"/>
      <c r="BN177" s="109"/>
    </row>
    <row r="178" outlineLevel="1">
      <c r="A178" s="47"/>
      <c r="B178" s="147" t="s">
        <v>126</v>
      </c>
      <c r="C178" s="145">
        <v>0.1</v>
      </c>
      <c r="D178" s="66"/>
      <c r="E178" s="66"/>
      <c r="F178" s="109"/>
      <c r="G178" s="109">
        <f>Financials!F$8*$C178</f>
        <v>6026.85</v>
      </c>
      <c r="H178" s="109">
        <f>Financials!G$8*$C178</f>
        <v>9232.82775</v>
      </c>
      <c r="I178" s="109">
        <f>Financials!H$8*$C178</f>
        <v>10838.70492</v>
      </c>
      <c r="J178" s="109">
        <f>Financials!I$8*$C178</f>
        <v>11641.68682</v>
      </c>
      <c r="K178" s="109">
        <f>Financials!J$8*$C178</f>
        <v>12043.17843</v>
      </c>
      <c r="L178" s="109">
        <f>Financials!K$8*$C178</f>
        <v>12243.92424</v>
      </c>
      <c r="M178" s="109">
        <f>Financials!L$8*$C178</f>
        <v>12344.29714</v>
      </c>
      <c r="N178" s="109">
        <f>Financials!M$8*$C178</f>
        <v>12394.4836</v>
      </c>
      <c r="O178" s="109">
        <f>Financials!N$8*$C178</f>
        <v>12419.57682</v>
      </c>
      <c r="P178" s="109">
        <f>Financials!O$8*$C178</f>
        <v>12432.12344</v>
      </c>
      <c r="Q178" s="109">
        <f>Financials!P$8*$C178</f>
        <v>12438.39674</v>
      </c>
      <c r="R178" s="109">
        <f>Financials!Q$8*$C178</f>
        <v>12441.5334</v>
      </c>
      <c r="S178" s="109">
        <f>Financials!R$8*$C178</f>
        <v>12443.10172</v>
      </c>
      <c r="T178" s="109">
        <f>Financials!S$8*$C178</f>
        <v>12443.88589</v>
      </c>
      <c r="U178" s="109">
        <f>Financials!T$8*$C178</f>
        <v>12444.27797</v>
      </c>
      <c r="V178" s="109">
        <f>Financials!U$8*$C178</f>
        <v>12444.47401</v>
      </c>
      <c r="W178" s="109">
        <f>Financials!V$8*$C178</f>
        <v>12444.57203</v>
      </c>
      <c r="X178" s="109">
        <f>Financials!W$8*$C178</f>
        <v>12444.62104</v>
      </c>
      <c r="Y178" s="109">
        <f>Financials!X$8*$C178</f>
        <v>12444.64555</v>
      </c>
      <c r="Z178" s="109">
        <f>Financials!Y$8*$C178</f>
        <v>12444.6578</v>
      </c>
      <c r="AA178" s="109">
        <f>Financials!Z$8*$C178</f>
        <v>12444.66392</v>
      </c>
      <c r="AB178" s="109">
        <f>Financials!AA$8*$C178</f>
        <v>12444.66699</v>
      </c>
      <c r="AC178" s="109">
        <f>Financials!AB$8*$C178</f>
        <v>12444.66852</v>
      </c>
      <c r="AD178" s="109">
        <f>Financials!AC$8*$C178</f>
        <v>12444.66928</v>
      </c>
      <c r="AE178" s="109">
        <f>Financials!AD$8*$C178</f>
        <v>12444.66967</v>
      </c>
      <c r="AF178" s="109">
        <f>Financials!AE$8*$C178</f>
        <v>12444.66986</v>
      </c>
      <c r="AG178" s="109">
        <f>Financials!AF$8*$C178</f>
        <v>12444.66996</v>
      </c>
      <c r="AH178" s="109">
        <f>Financials!AG$8*$C178</f>
        <v>12444.67</v>
      </c>
      <c r="AI178" s="109">
        <f>Financials!AH$8*$C178</f>
        <v>12444.67003</v>
      </c>
      <c r="AJ178" s="109">
        <f>Financials!AI$8*$C178</f>
        <v>12444.67004</v>
      </c>
      <c r="AK178" s="109">
        <f>Financials!AJ$8*$C178</f>
        <v>12444.67004</v>
      </c>
      <c r="AL178" s="109">
        <f>Financials!AK$8*$C178</f>
        <v>12444.67005</v>
      </c>
      <c r="AM178" s="109">
        <f>Financials!AL$8*$C178</f>
        <v>12444.67005</v>
      </c>
      <c r="AN178" s="109">
        <f>Financials!AM$8*$C178</f>
        <v>12444.67005</v>
      </c>
      <c r="AO178" s="109">
        <f>Financials!AN$8*$C178</f>
        <v>12444.67005</v>
      </c>
      <c r="AP178" s="109">
        <f>Financials!AO$8*$C178</f>
        <v>12444.67005</v>
      </c>
      <c r="AQ178" s="109">
        <f>Financials!AP$8*$C178</f>
        <v>12444.67005</v>
      </c>
      <c r="AR178" s="109">
        <f>Financials!AQ$8*$C178</f>
        <v>12444.67005</v>
      </c>
      <c r="AS178" s="109">
        <f>Financials!AR$8*$C178</f>
        <v>12444.67005</v>
      </c>
      <c r="AT178" s="109">
        <f>Financials!AS$8*$C178</f>
        <v>12444.67005</v>
      </c>
      <c r="AU178" s="109">
        <f>Financials!AT$8*$C178</f>
        <v>12444.67005</v>
      </c>
      <c r="AV178" s="109">
        <f>Financials!AU$8*$C178</f>
        <v>12444.67005</v>
      </c>
      <c r="AW178" s="109">
        <f>Financials!AV$8*$C178</f>
        <v>12444.67005</v>
      </c>
      <c r="AX178" s="109">
        <f>Financials!AW$8*$C178</f>
        <v>12444.67005</v>
      </c>
      <c r="AY178" s="109">
        <f>Financials!AX$8*$C178</f>
        <v>12444.67005</v>
      </c>
      <c r="AZ178" s="109">
        <f>Financials!AY$8*$C178</f>
        <v>12444.67005</v>
      </c>
      <c r="BA178" s="109">
        <f>Financials!AZ$8*$C178</f>
        <v>12444.67005</v>
      </c>
      <c r="BB178" s="109">
        <f>Financials!BA$8*$C178</f>
        <v>12444.67005</v>
      </c>
      <c r="BC178" s="109">
        <f>Financials!BB$8*$C178</f>
        <v>12444.67005</v>
      </c>
      <c r="BD178" s="109">
        <f>Financials!BC$8*$C178</f>
        <v>12444.67005</v>
      </c>
      <c r="BE178" s="109">
        <f>Financials!BD$8*$C178</f>
        <v>12444.67005</v>
      </c>
      <c r="BF178" s="109">
        <f>Financials!BE$8*$C178</f>
        <v>12444.67005</v>
      </c>
      <c r="BG178" s="109">
        <f>Financials!BF$8*$C178</f>
        <v>12444.67005</v>
      </c>
      <c r="BH178" s="109">
        <f>Financials!BG$8*$C178</f>
        <v>12444.67005</v>
      </c>
      <c r="BI178" s="109">
        <f>Financials!BH$8*$C178</f>
        <v>12444.67005</v>
      </c>
      <c r="BJ178" s="109">
        <f>Financials!BI$8*$C178</f>
        <v>12444.67005</v>
      </c>
      <c r="BK178" s="109">
        <f>Financials!BJ$8*$C178</f>
        <v>12444.67005</v>
      </c>
      <c r="BL178" s="109">
        <f>Financials!BK$8*$C178</f>
        <v>12444.67005</v>
      </c>
      <c r="BM178" s="109">
        <f>Financials!BL$8*$C178</f>
        <v>12444.67005</v>
      </c>
      <c r="BN178" s="109">
        <f>Financials!BM$8*$C178</f>
        <v>12444.67005</v>
      </c>
    </row>
    <row r="179" outlineLevel="1">
      <c r="A179" s="47"/>
      <c r="B179" s="39"/>
      <c r="C179" s="47"/>
      <c r="D179" s="47"/>
      <c r="E179" s="47"/>
      <c r="F179" s="109"/>
      <c r="G179" s="109"/>
      <c r="H179" s="109"/>
      <c r="I179" s="109"/>
      <c r="J179" s="109"/>
      <c r="K179" s="109"/>
      <c r="L179" s="109"/>
      <c r="M179" s="109"/>
      <c r="N179" s="109"/>
      <c r="O179" s="109"/>
      <c r="P179" s="109"/>
      <c r="Q179" s="109"/>
      <c r="R179" s="109"/>
      <c r="S179" s="109"/>
      <c r="T179" s="109"/>
      <c r="U179" s="109"/>
      <c r="V179" s="109"/>
      <c r="W179" s="109"/>
      <c r="X179" s="109"/>
      <c r="Y179" s="109"/>
      <c r="Z179" s="109"/>
      <c r="AA179" s="109"/>
      <c r="AB179" s="109"/>
      <c r="AC179" s="109"/>
      <c r="AD179" s="109"/>
      <c r="AE179" s="109"/>
      <c r="AF179" s="109"/>
      <c r="AG179" s="109"/>
      <c r="AH179" s="109"/>
      <c r="AI179" s="109"/>
      <c r="AJ179" s="109"/>
      <c r="AK179" s="109"/>
      <c r="AL179" s="109"/>
      <c r="AM179" s="109"/>
      <c r="AN179" s="109"/>
      <c r="AO179" s="109"/>
      <c r="AP179" s="109"/>
      <c r="AQ179" s="109"/>
      <c r="AR179" s="109"/>
      <c r="AS179" s="109"/>
      <c r="AT179" s="109"/>
      <c r="AU179" s="109"/>
      <c r="AV179" s="109"/>
      <c r="AW179" s="109"/>
      <c r="AX179" s="109"/>
      <c r="AY179" s="109"/>
      <c r="AZ179" s="109"/>
      <c r="BA179" s="109"/>
      <c r="BB179" s="109"/>
      <c r="BC179" s="109"/>
      <c r="BD179" s="109"/>
      <c r="BE179" s="109"/>
      <c r="BF179" s="109"/>
      <c r="BG179" s="109"/>
      <c r="BH179" s="109"/>
      <c r="BI179" s="109"/>
      <c r="BJ179" s="109"/>
      <c r="BK179" s="109"/>
      <c r="BL179" s="109"/>
      <c r="BM179" s="109"/>
      <c r="BN179" s="109"/>
    </row>
    <row r="180" outlineLevel="1">
      <c r="A180" s="47"/>
      <c r="B180" s="39" t="s">
        <v>127</v>
      </c>
      <c r="C180" s="145">
        <v>0.27</v>
      </c>
      <c r="D180" s="47"/>
      <c r="E180" s="47"/>
      <c r="F180" s="109"/>
      <c r="G180" s="109"/>
      <c r="H180" s="109"/>
      <c r="I180" s="109"/>
      <c r="J180" s="109"/>
      <c r="K180" s="109"/>
      <c r="L180" s="109"/>
      <c r="M180" s="109"/>
      <c r="N180" s="109"/>
      <c r="O180" s="109"/>
      <c r="P180" s="109"/>
      <c r="Q180" s="109"/>
      <c r="R180" s="109"/>
      <c r="S180" s="109"/>
      <c r="T180" s="109"/>
      <c r="U180" s="109"/>
      <c r="V180" s="109"/>
      <c r="W180" s="109"/>
      <c r="X180" s="109"/>
      <c r="Y180" s="109"/>
      <c r="Z180" s="109"/>
      <c r="AA180" s="109"/>
      <c r="AB180" s="109"/>
      <c r="AC180" s="109"/>
      <c r="AD180" s="109"/>
      <c r="AE180" s="109"/>
      <c r="AF180" s="109"/>
      <c r="AG180" s="109"/>
      <c r="AH180" s="109"/>
      <c r="AI180" s="109"/>
      <c r="AJ180" s="109"/>
      <c r="AK180" s="109"/>
      <c r="AL180" s="109"/>
      <c r="AM180" s="109"/>
      <c r="AN180" s="109"/>
      <c r="AO180" s="109"/>
      <c r="AP180" s="109"/>
      <c r="AQ180" s="109"/>
      <c r="AR180" s="109"/>
      <c r="AS180" s="109"/>
      <c r="AT180" s="109"/>
      <c r="AU180" s="109"/>
      <c r="AV180" s="109"/>
      <c r="AW180" s="109"/>
      <c r="AX180" s="109"/>
      <c r="AY180" s="109"/>
      <c r="AZ180" s="109"/>
      <c r="BA180" s="109"/>
      <c r="BB180" s="109"/>
      <c r="BC180" s="109"/>
      <c r="BD180" s="109"/>
      <c r="BE180" s="109"/>
      <c r="BF180" s="109"/>
      <c r="BG180" s="109"/>
      <c r="BH180" s="109"/>
      <c r="BI180" s="109"/>
      <c r="BJ180" s="109"/>
      <c r="BK180" s="109"/>
      <c r="BL180" s="109"/>
      <c r="BM180" s="109"/>
      <c r="BN180" s="109"/>
    </row>
    <row r="181" outlineLevel="1">
      <c r="A181" s="47"/>
      <c r="B181" s="47"/>
      <c r="C181" s="47"/>
      <c r="D181" s="47"/>
      <c r="E181" s="47"/>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row>
    <row r="182" outlineLevel="1">
      <c r="A182" s="47"/>
      <c r="B182" s="139" t="s">
        <v>67</v>
      </c>
      <c r="C182" s="47"/>
      <c r="D182" s="47"/>
      <c r="E182" s="47"/>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row>
    <row r="183">
      <c r="A183" s="47"/>
      <c r="B183" s="98"/>
      <c r="C183" s="47"/>
      <c r="D183" s="47"/>
      <c r="E183" s="47"/>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row>
    <row r="184">
      <c r="A184" s="47"/>
      <c r="B184" s="48" t="s">
        <v>128</v>
      </c>
      <c r="C184" s="49"/>
      <c r="D184" s="49"/>
      <c r="E184" s="49"/>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row>
    <row r="185" outlineLevel="1">
      <c r="A185" s="47"/>
      <c r="B185" s="47"/>
      <c r="C185" s="47"/>
      <c r="D185" s="47"/>
      <c r="E185" s="47"/>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row>
    <row r="186" outlineLevel="1">
      <c r="A186" s="47"/>
      <c r="B186" s="166" t="s">
        <v>129</v>
      </c>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c r="AA186" s="167"/>
      <c r="AB186" s="167"/>
      <c r="AC186" s="167"/>
      <c r="AD186" s="167"/>
      <c r="AE186" s="167"/>
      <c r="AF186" s="167"/>
      <c r="AG186" s="167"/>
      <c r="AH186" s="167"/>
      <c r="AI186" s="167"/>
      <c r="AJ186" s="167"/>
      <c r="AK186" s="167"/>
      <c r="AL186" s="167"/>
      <c r="AM186" s="167"/>
      <c r="AN186" s="167"/>
      <c r="AO186" s="167"/>
      <c r="AP186" s="167"/>
      <c r="AQ186" s="167"/>
      <c r="AR186" s="167"/>
      <c r="AS186" s="167"/>
      <c r="AT186" s="167"/>
      <c r="AU186" s="167"/>
      <c r="AV186" s="167"/>
      <c r="AW186" s="167"/>
      <c r="AX186" s="167"/>
      <c r="AY186" s="167"/>
      <c r="AZ186" s="167"/>
      <c r="BA186" s="167"/>
      <c r="BB186" s="167"/>
      <c r="BC186" s="167"/>
      <c r="BD186" s="167"/>
      <c r="BE186" s="167"/>
      <c r="BF186" s="167"/>
      <c r="BG186" s="167"/>
      <c r="BH186" s="167"/>
      <c r="BI186" s="167"/>
      <c r="BJ186" s="167"/>
      <c r="BK186" s="167"/>
      <c r="BL186" s="167"/>
      <c r="BM186" s="167"/>
      <c r="BN186" s="167"/>
    </row>
    <row r="187" outlineLevel="1">
      <c r="A187" s="47"/>
      <c r="B187" s="39"/>
      <c r="C187" s="47"/>
      <c r="D187" s="47"/>
      <c r="E187" s="47"/>
      <c r="F187" s="168"/>
      <c r="G187" s="168"/>
      <c r="H187" s="168"/>
      <c r="I187" s="168"/>
      <c r="J187" s="168"/>
      <c r="K187" s="168"/>
      <c r="L187" s="168"/>
      <c r="M187" s="168"/>
      <c r="N187" s="168"/>
      <c r="O187" s="168"/>
      <c r="P187" s="168"/>
      <c r="Q187" s="168"/>
      <c r="R187" s="168"/>
      <c r="S187" s="168"/>
      <c r="T187" s="168"/>
      <c r="U187" s="168"/>
      <c r="V187" s="168"/>
      <c r="W187" s="168"/>
      <c r="X187" s="168"/>
      <c r="Y187" s="168"/>
      <c r="Z187" s="168"/>
      <c r="AA187" s="168"/>
      <c r="AB187" s="168"/>
      <c r="AC187" s="168"/>
      <c r="AD187" s="168"/>
      <c r="AE187" s="168"/>
      <c r="AF187" s="168"/>
      <c r="AG187" s="168"/>
      <c r="AH187" s="168"/>
      <c r="AI187" s="168"/>
      <c r="AJ187" s="168"/>
      <c r="AK187" s="168"/>
      <c r="AL187" s="168"/>
      <c r="AM187" s="168"/>
      <c r="AN187" s="168"/>
      <c r="AO187" s="168"/>
      <c r="AP187" s="168"/>
      <c r="AQ187" s="168"/>
      <c r="AR187" s="168"/>
      <c r="AS187" s="168"/>
      <c r="AT187" s="168"/>
      <c r="AU187" s="168"/>
      <c r="AV187" s="168"/>
      <c r="AW187" s="168"/>
      <c r="AX187" s="168"/>
      <c r="AY187" s="168"/>
      <c r="AZ187" s="168"/>
      <c r="BA187" s="168"/>
      <c r="BB187" s="168"/>
      <c r="BC187" s="168"/>
      <c r="BD187" s="168"/>
      <c r="BE187" s="168"/>
      <c r="BF187" s="168"/>
      <c r="BG187" s="168"/>
      <c r="BH187" s="168"/>
      <c r="BI187" s="168"/>
      <c r="BJ187" s="168"/>
      <c r="BK187" s="168"/>
      <c r="BL187" s="168"/>
      <c r="BM187" s="168"/>
      <c r="BN187" s="168"/>
    </row>
    <row r="188" outlineLevel="1">
      <c r="A188" s="66"/>
      <c r="B188" s="67" t="s">
        <v>130</v>
      </c>
      <c r="C188" s="169">
        <v>500000.0</v>
      </c>
      <c r="D188" s="66"/>
      <c r="E188" s="66"/>
      <c r="F188" s="109"/>
      <c r="G188" s="109"/>
      <c r="H188" s="109"/>
      <c r="I188" s="109"/>
      <c r="J188" s="109"/>
      <c r="K188" s="109"/>
      <c r="L188" s="109"/>
      <c r="M188" s="109"/>
      <c r="N188" s="109"/>
      <c r="O188" s="109"/>
      <c r="P188" s="109"/>
      <c r="Q188" s="109"/>
      <c r="R188" s="109"/>
      <c r="S188" s="109"/>
      <c r="T188" s="109"/>
      <c r="U188" s="109"/>
      <c r="V188" s="109"/>
      <c r="W188" s="109"/>
      <c r="X188" s="109"/>
      <c r="Y188" s="109"/>
      <c r="Z188" s="109"/>
      <c r="AA188" s="109"/>
      <c r="AB188" s="109"/>
      <c r="AC188" s="109"/>
      <c r="AD188" s="109"/>
      <c r="AE188" s="109"/>
      <c r="AF188" s="109"/>
      <c r="AG188" s="109"/>
      <c r="AH188" s="109"/>
      <c r="AI188" s="109"/>
      <c r="AJ188" s="109"/>
      <c r="AK188" s="109"/>
      <c r="AL188" s="109"/>
      <c r="AM188" s="109"/>
      <c r="AN188" s="109"/>
      <c r="AO188" s="109"/>
      <c r="AP188" s="109"/>
      <c r="AQ188" s="109"/>
      <c r="AR188" s="109"/>
      <c r="AS188" s="109"/>
      <c r="AT188" s="109"/>
      <c r="AU188" s="109"/>
      <c r="AV188" s="109"/>
      <c r="AW188" s="109"/>
      <c r="AX188" s="109"/>
      <c r="AY188" s="109"/>
      <c r="AZ188" s="109"/>
      <c r="BA188" s="109"/>
      <c r="BB188" s="109"/>
      <c r="BC188" s="109"/>
      <c r="BD188" s="109"/>
      <c r="BE188" s="109"/>
      <c r="BF188" s="109"/>
      <c r="BG188" s="109"/>
      <c r="BH188" s="109"/>
      <c r="BI188" s="109"/>
      <c r="BJ188" s="109"/>
      <c r="BK188" s="109"/>
      <c r="BL188" s="109"/>
      <c r="BM188" s="109"/>
      <c r="BN188" s="109"/>
    </row>
    <row r="189" outlineLevel="1">
      <c r="A189" s="47"/>
      <c r="B189" s="39"/>
      <c r="C189" s="47"/>
      <c r="D189" s="47"/>
      <c r="E189" s="47"/>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c r="AB189" s="168"/>
      <c r="AC189" s="168"/>
      <c r="AD189" s="168"/>
      <c r="AE189" s="168"/>
      <c r="AF189" s="168"/>
      <c r="AG189" s="168"/>
      <c r="AH189" s="168"/>
      <c r="AI189" s="168"/>
      <c r="AJ189" s="168"/>
      <c r="AK189" s="168"/>
      <c r="AL189" s="168"/>
      <c r="AM189" s="168"/>
      <c r="AN189" s="168"/>
      <c r="AO189" s="168"/>
      <c r="AP189" s="168"/>
      <c r="AQ189" s="168"/>
      <c r="AR189" s="168"/>
      <c r="AS189" s="168"/>
      <c r="AT189" s="168"/>
      <c r="AU189" s="168"/>
      <c r="AV189" s="168"/>
      <c r="AW189" s="168"/>
      <c r="AX189" s="168"/>
      <c r="AY189" s="168"/>
      <c r="AZ189" s="168"/>
      <c r="BA189" s="168"/>
      <c r="BB189" s="168"/>
      <c r="BC189" s="168"/>
      <c r="BD189" s="168"/>
      <c r="BE189" s="168"/>
      <c r="BF189" s="168"/>
      <c r="BG189" s="168"/>
      <c r="BH189" s="168"/>
      <c r="BI189" s="168"/>
      <c r="BJ189" s="168"/>
      <c r="BK189" s="168"/>
      <c r="BL189" s="168"/>
      <c r="BM189" s="168"/>
      <c r="BN189" s="168"/>
    </row>
    <row r="190" outlineLevel="1">
      <c r="A190" s="47"/>
      <c r="B190" s="162" t="s">
        <v>131</v>
      </c>
      <c r="C190" s="170">
        <v>15.0</v>
      </c>
      <c r="D190" s="39" t="s">
        <v>132</v>
      </c>
      <c r="E190" s="47"/>
      <c r="F190" s="171"/>
      <c r="G190" s="171">
        <f>sum(Financials!F8)*($C190/30)</f>
        <v>30134.25</v>
      </c>
      <c r="H190" s="171">
        <f>sum(Financials!G8)*($C190/30)</f>
        <v>46164.13875</v>
      </c>
      <c r="I190" s="171">
        <f>sum(Financials!H8)*($C190/30)</f>
        <v>54193.52458</v>
      </c>
      <c r="J190" s="171">
        <f>sum(Financials!I8)*($C190/30)</f>
        <v>58208.43412</v>
      </c>
      <c r="K190" s="171">
        <f>sum(Financials!J8)*($C190/30)</f>
        <v>60215.89214</v>
      </c>
      <c r="L190" s="171">
        <f>sum(Financials!K8)*($C190/30)</f>
        <v>61219.62119</v>
      </c>
      <c r="M190" s="171">
        <f>sum(Financials!L8)*($C190/30)</f>
        <v>61721.48572</v>
      </c>
      <c r="N190" s="171">
        <f>sum(Financials!M8)*($C190/30)</f>
        <v>61972.41799</v>
      </c>
      <c r="O190" s="171">
        <f>sum(Financials!N8)*($C190/30)</f>
        <v>62097.88412</v>
      </c>
      <c r="P190" s="171">
        <f>sum(Financials!O8)*($C190/30)</f>
        <v>62160.61719</v>
      </c>
      <c r="Q190" s="171">
        <f>sum(Financials!P8)*($C190/30)</f>
        <v>62191.98372</v>
      </c>
      <c r="R190" s="171">
        <f>sum(Financials!Q8)*($C190/30)</f>
        <v>62207.66699</v>
      </c>
      <c r="S190" s="171">
        <f>sum(Financials!R8)*($C190/30)</f>
        <v>62215.50862</v>
      </c>
      <c r="T190" s="171">
        <f>sum(Financials!S8)*($C190/30)</f>
        <v>62219.42944</v>
      </c>
      <c r="U190" s="171">
        <f>sum(Financials!T8)*($C190/30)</f>
        <v>62221.38985</v>
      </c>
      <c r="V190" s="171">
        <f>sum(Financials!U8)*($C190/30)</f>
        <v>62222.37005</v>
      </c>
      <c r="W190" s="171">
        <f>sum(Financials!V8)*($C190/30)</f>
        <v>62222.86015</v>
      </c>
      <c r="X190" s="171">
        <f>sum(Financials!W8)*($C190/30)</f>
        <v>62223.1052</v>
      </c>
      <c r="Y190" s="171">
        <f>sum(Financials!X8)*($C190/30)</f>
        <v>62223.22773</v>
      </c>
      <c r="Z190" s="171">
        <f>sum(Financials!Y8)*($C190/30)</f>
        <v>62223.28899</v>
      </c>
      <c r="AA190" s="171">
        <f>sum(Financials!Z8)*($C190/30)</f>
        <v>62223.31962</v>
      </c>
      <c r="AB190" s="171">
        <f>sum(Financials!AA8)*($C190/30)</f>
        <v>62223.33494</v>
      </c>
      <c r="AC190" s="171">
        <f>sum(Financials!AB8)*($C190/30)</f>
        <v>62223.3426</v>
      </c>
      <c r="AD190" s="171">
        <f>sum(Financials!AC8)*($C190/30)</f>
        <v>62223.34642</v>
      </c>
      <c r="AE190" s="171">
        <f>sum(Financials!AD8)*($C190/30)</f>
        <v>62223.34834</v>
      </c>
      <c r="AF190" s="171">
        <f>sum(Financials!AE8)*($C190/30)</f>
        <v>62223.3493</v>
      </c>
      <c r="AG190" s="171">
        <f>sum(Financials!AF8)*($C190/30)</f>
        <v>62223.34978</v>
      </c>
      <c r="AH190" s="171">
        <f>sum(Financials!AG8)*($C190/30)</f>
        <v>62223.35001</v>
      </c>
      <c r="AI190" s="171">
        <f>sum(Financials!AH8)*($C190/30)</f>
        <v>62223.35013</v>
      </c>
      <c r="AJ190" s="171">
        <f>sum(Financials!AI8)*($C190/30)</f>
        <v>62223.35019</v>
      </c>
      <c r="AK190" s="171">
        <f>sum(Financials!AJ8)*($C190/30)</f>
        <v>62223.35022</v>
      </c>
      <c r="AL190" s="171">
        <f>sum(Financials!AK8)*($C190/30)</f>
        <v>62223.35024</v>
      </c>
      <c r="AM190" s="171">
        <f>sum(Financials!AL8)*($C190/30)</f>
        <v>62223.35025</v>
      </c>
      <c r="AN190" s="171">
        <f>sum(Financials!AM8)*($C190/30)</f>
        <v>62223.35025</v>
      </c>
      <c r="AO190" s="171">
        <f>sum(Financials!AN8)*($C190/30)</f>
        <v>62223.35025</v>
      </c>
      <c r="AP190" s="171">
        <f>sum(Financials!AO8)*($C190/30)</f>
        <v>62223.35025</v>
      </c>
      <c r="AQ190" s="171">
        <f>sum(Financials!AP8)*($C190/30)</f>
        <v>62223.35025</v>
      </c>
      <c r="AR190" s="171">
        <f>sum(Financials!AQ8)*($C190/30)</f>
        <v>62223.35025</v>
      </c>
      <c r="AS190" s="171">
        <f>sum(Financials!AR8)*($C190/30)</f>
        <v>62223.35025</v>
      </c>
      <c r="AT190" s="171">
        <f>sum(Financials!AS8)*($C190/30)</f>
        <v>62223.35025</v>
      </c>
      <c r="AU190" s="171">
        <f>sum(Financials!AT8)*($C190/30)</f>
        <v>62223.35025</v>
      </c>
      <c r="AV190" s="171">
        <f>sum(Financials!AU8)*($C190/30)</f>
        <v>62223.35025</v>
      </c>
      <c r="AW190" s="171">
        <f>sum(Financials!AV8)*($C190/30)</f>
        <v>62223.35025</v>
      </c>
      <c r="AX190" s="171">
        <f>sum(Financials!AW8)*($C190/30)</f>
        <v>62223.35025</v>
      </c>
      <c r="AY190" s="171">
        <f>sum(Financials!AX8)*($C190/30)</f>
        <v>62223.35025</v>
      </c>
      <c r="AZ190" s="171">
        <f>sum(Financials!AY8)*($C190/30)</f>
        <v>62223.35025</v>
      </c>
      <c r="BA190" s="171">
        <f>sum(Financials!AZ8)*($C190/30)</f>
        <v>62223.35025</v>
      </c>
      <c r="BB190" s="171">
        <f>sum(Financials!BA8)*($C190/30)</f>
        <v>62223.35025</v>
      </c>
      <c r="BC190" s="171">
        <f>sum(Financials!BB8)*($C190/30)</f>
        <v>62223.35025</v>
      </c>
      <c r="BD190" s="171">
        <f>sum(Financials!BC8)*($C190/30)</f>
        <v>62223.35025</v>
      </c>
      <c r="BE190" s="171">
        <f>sum(Financials!BD8)*($C190/30)</f>
        <v>62223.35025</v>
      </c>
      <c r="BF190" s="171">
        <f>sum(Financials!BE8)*($C190/30)</f>
        <v>62223.35025</v>
      </c>
      <c r="BG190" s="171">
        <f>sum(Financials!BF8)*($C190/30)</f>
        <v>62223.35025</v>
      </c>
      <c r="BH190" s="171">
        <f>sum(Financials!BG8)*($C190/30)</f>
        <v>62223.35025</v>
      </c>
      <c r="BI190" s="171">
        <f>sum(Financials!BH8)*($C190/30)</f>
        <v>62223.35025</v>
      </c>
      <c r="BJ190" s="171">
        <f>sum(Financials!BI8)*($C190/30)</f>
        <v>62223.35025</v>
      </c>
      <c r="BK190" s="171">
        <f>sum(Financials!BJ8)*($C190/30)</f>
        <v>62223.35025</v>
      </c>
      <c r="BL190" s="171">
        <f>sum(Financials!BK8)*($C190/30)</f>
        <v>62223.35025</v>
      </c>
      <c r="BM190" s="171">
        <f>sum(Financials!BL8)*($C190/30)</f>
        <v>62223.35025</v>
      </c>
      <c r="BN190" s="171">
        <f>sum(Financials!BM8)*($C190/30)</f>
        <v>62223.35025</v>
      </c>
    </row>
    <row r="191" outlineLevel="1">
      <c r="A191" s="47"/>
      <c r="B191" s="47"/>
      <c r="C191" s="47"/>
      <c r="D191" s="47"/>
      <c r="E191" s="47"/>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109"/>
      <c r="AC191" s="109"/>
      <c r="AD191" s="109"/>
      <c r="AE191" s="109"/>
      <c r="AF191" s="109"/>
      <c r="AG191" s="109"/>
      <c r="AH191" s="109"/>
      <c r="AI191" s="109"/>
      <c r="AJ191" s="109"/>
      <c r="AK191" s="109"/>
      <c r="AL191" s="109"/>
      <c r="AM191" s="109"/>
      <c r="AN191" s="109"/>
      <c r="AO191" s="109"/>
      <c r="AP191" s="109"/>
      <c r="AQ191" s="109"/>
      <c r="AR191" s="109"/>
      <c r="AS191" s="109"/>
      <c r="AT191" s="109"/>
      <c r="AU191" s="109"/>
      <c r="AV191" s="109"/>
      <c r="AW191" s="109"/>
      <c r="AX191" s="109"/>
      <c r="AY191" s="109"/>
      <c r="AZ191" s="109"/>
      <c r="BA191" s="109"/>
      <c r="BB191" s="109"/>
      <c r="BC191" s="109"/>
      <c r="BD191" s="109"/>
      <c r="BE191" s="109"/>
      <c r="BF191" s="109"/>
      <c r="BG191" s="109"/>
      <c r="BH191" s="109"/>
      <c r="BI191" s="109"/>
      <c r="BJ191" s="109"/>
      <c r="BK191" s="109"/>
      <c r="BL191" s="109"/>
      <c r="BM191" s="109"/>
      <c r="BN191" s="109"/>
    </row>
    <row r="192" outlineLevel="1">
      <c r="A192" s="47"/>
      <c r="B192" s="162" t="s">
        <v>133</v>
      </c>
      <c r="C192" s="172">
        <v>30.0</v>
      </c>
      <c r="D192" s="40" t="s">
        <v>134</v>
      </c>
      <c r="E192" s="173"/>
      <c r="F192" s="47"/>
      <c r="G192" s="174">
        <f>Financials!F13*($C$192/30)</f>
        <v>24107.4</v>
      </c>
      <c r="H192" s="171">
        <f>Financials!G13*($C$192/30)</f>
        <v>36931.311</v>
      </c>
      <c r="I192" s="171">
        <f>Financials!H13*($C$192/30)</f>
        <v>43354.81967</v>
      </c>
      <c r="J192" s="171">
        <f>Financials!I13*($C$192/30)</f>
        <v>46566.74729</v>
      </c>
      <c r="K192" s="171">
        <f>Financials!J13*($C$192/30)</f>
        <v>48172.71371</v>
      </c>
      <c r="L192" s="171">
        <f>Financials!K13*($C$192/30)</f>
        <v>48975.69696</v>
      </c>
      <c r="M192" s="171">
        <f>Financials!L13*($C$192/30)</f>
        <v>49377.18858</v>
      </c>
      <c r="N192" s="171">
        <f>Financials!M13*($C$192/30)</f>
        <v>49577.93439</v>
      </c>
      <c r="O192" s="171">
        <f>Financials!N13*($C$192/30)</f>
        <v>49678.3073</v>
      </c>
      <c r="P192" s="171">
        <f>Financials!O13*($C$192/30)</f>
        <v>49728.49375</v>
      </c>
      <c r="Q192" s="171">
        <f>Financials!P13*($C$192/30)</f>
        <v>49753.58698</v>
      </c>
      <c r="R192" s="171">
        <f>Financials!Q13*($C$192/30)</f>
        <v>49766.13359</v>
      </c>
      <c r="S192" s="171">
        <f>Financials!R13*($C$192/30)</f>
        <v>49772.4069</v>
      </c>
      <c r="T192" s="171">
        <f>Financials!S13*($C$192/30)</f>
        <v>49775.54355</v>
      </c>
      <c r="U192" s="171">
        <f>Financials!T13*($C$192/30)</f>
        <v>49777.11188</v>
      </c>
      <c r="V192" s="171">
        <f>Financials!U13*($C$192/30)</f>
        <v>49777.89604</v>
      </c>
      <c r="W192" s="171">
        <f>Financials!V13*($C$192/30)</f>
        <v>49778.28812</v>
      </c>
      <c r="X192" s="171">
        <f>Financials!W13*($C$192/30)</f>
        <v>49778.48416</v>
      </c>
      <c r="Y192" s="171">
        <f>Financials!X13*($C$192/30)</f>
        <v>49778.58218</v>
      </c>
      <c r="Z192" s="171">
        <f>Financials!Y13*($C$192/30)</f>
        <v>49778.63119</v>
      </c>
      <c r="AA192" s="171">
        <f>Financials!Z13*($C$192/30)</f>
        <v>49778.6557</v>
      </c>
      <c r="AB192" s="171">
        <f>Financials!AA13*($C$192/30)</f>
        <v>49778.66795</v>
      </c>
      <c r="AC192" s="171">
        <f>Financials!AB13*($C$192/30)</f>
        <v>49778.67408</v>
      </c>
      <c r="AD192" s="171">
        <f>Financials!AC13*($C$192/30)</f>
        <v>49778.67714</v>
      </c>
      <c r="AE192" s="171">
        <f>Financials!AD13*($C$192/30)</f>
        <v>49778.67867</v>
      </c>
      <c r="AF192" s="171">
        <f>Financials!AE13*($C$192/30)</f>
        <v>49778.67944</v>
      </c>
      <c r="AG192" s="171">
        <f>Financials!AF13*($C$192/30)</f>
        <v>49778.67982</v>
      </c>
      <c r="AH192" s="171">
        <f>Financials!AG13*($C$192/30)</f>
        <v>49778.68001</v>
      </c>
      <c r="AI192" s="171">
        <f>Financials!AH13*($C$192/30)</f>
        <v>49778.68011</v>
      </c>
      <c r="AJ192" s="171">
        <f>Financials!AI13*($C$192/30)</f>
        <v>49778.68016</v>
      </c>
      <c r="AK192" s="171">
        <f>Financials!AJ13*($C$192/30)</f>
        <v>49778.68018</v>
      </c>
      <c r="AL192" s="171">
        <f>Financials!AK13*($C$192/30)</f>
        <v>49778.68019</v>
      </c>
      <c r="AM192" s="171">
        <f>Financials!AL13*($C$192/30)</f>
        <v>49778.6802</v>
      </c>
      <c r="AN192" s="171">
        <f>Financials!AM13*($C$192/30)</f>
        <v>49778.6802</v>
      </c>
      <c r="AO192" s="171">
        <f>Financials!AN13*($C$192/30)</f>
        <v>49778.6802</v>
      </c>
      <c r="AP192" s="171">
        <f>Financials!AO13*($C$192/30)</f>
        <v>49778.6802</v>
      </c>
      <c r="AQ192" s="171">
        <f>Financials!AP13*($C$192/30)</f>
        <v>49778.6802</v>
      </c>
      <c r="AR192" s="171">
        <f>Financials!AQ13*($C$192/30)</f>
        <v>49778.6802</v>
      </c>
      <c r="AS192" s="171">
        <f>Financials!AR13*($C$192/30)</f>
        <v>49778.6802</v>
      </c>
      <c r="AT192" s="171">
        <f>Financials!AS13*($C$192/30)</f>
        <v>49778.6802</v>
      </c>
      <c r="AU192" s="171">
        <f>Financials!AT13*($C$192/30)</f>
        <v>49778.6802</v>
      </c>
      <c r="AV192" s="171">
        <f>Financials!AU13*($C$192/30)</f>
        <v>49778.6802</v>
      </c>
      <c r="AW192" s="171">
        <f>Financials!AV13*($C$192/30)</f>
        <v>49778.6802</v>
      </c>
      <c r="AX192" s="171">
        <f>Financials!AW13*($C$192/30)</f>
        <v>49778.6802</v>
      </c>
      <c r="AY192" s="171">
        <f>Financials!AX13*($C$192/30)</f>
        <v>49778.6802</v>
      </c>
      <c r="AZ192" s="171">
        <f>Financials!AY13*($C$192/30)</f>
        <v>49778.6802</v>
      </c>
      <c r="BA192" s="171">
        <f>Financials!AZ13*($C$192/30)</f>
        <v>49778.6802</v>
      </c>
      <c r="BB192" s="171">
        <f>Financials!BA13*($C$192/30)</f>
        <v>49778.6802</v>
      </c>
      <c r="BC192" s="171">
        <f>Financials!BB13*($C$192/30)</f>
        <v>49778.6802</v>
      </c>
      <c r="BD192" s="171">
        <f>Financials!BC13*($C$192/30)</f>
        <v>49778.6802</v>
      </c>
      <c r="BE192" s="171">
        <f>Financials!BD13*($C$192/30)</f>
        <v>49778.6802</v>
      </c>
      <c r="BF192" s="171">
        <f>Financials!BE13*($C$192/30)</f>
        <v>49778.6802</v>
      </c>
      <c r="BG192" s="171">
        <f>Financials!BF13*($C$192/30)</f>
        <v>49778.6802</v>
      </c>
      <c r="BH192" s="171">
        <f>Financials!BG13*($C$192/30)</f>
        <v>49778.6802</v>
      </c>
      <c r="BI192" s="171">
        <f>Financials!BH13*($C$192/30)</f>
        <v>49778.6802</v>
      </c>
      <c r="BJ192" s="171">
        <f>Financials!BI13*($C$192/30)</f>
        <v>49778.6802</v>
      </c>
      <c r="BK192" s="171">
        <f>Financials!BJ13*($C$192/30)</f>
        <v>49778.6802</v>
      </c>
      <c r="BL192" s="171">
        <f>Financials!BK13*($C$192/30)</f>
        <v>49778.6802</v>
      </c>
      <c r="BM192" s="171">
        <f>Financials!BL13*($C$192/30)</f>
        <v>49778.6802</v>
      </c>
      <c r="BN192" s="171">
        <f>Financials!BM13*($C$192/30)</f>
        <v>49778.6802</v>
      </c>
    </row>
    <row r="193" outlineLevel="1">
      <c r="A193" s="47"/>
      <c r="B193" s="175"/>
      <c r="C193" s="176"/>
      <c r="D193" s="177"/>
      <c r="E193" s="178"/>
      <c r="F193" s="109"/>
      <c r="G193" s="168"/>
      <c r="H193" s="168"/>
      <c r="I193" s="168"/>
      <c r="J193" s="168"/>
      <c r="K193" s="168"/>
      <c r="L193" s="168"/>
      <c r="M193" s="168"/>
      <c r="N193" s="168"/>
      <c r="O193" s="168"/>
      <c r="P193" s="168"/>
      <c r="Q193" s="168"/>
      <c r="R193" s="168"/>
      <c r="S193" s="168"/>
      <c r="T193" s="168"/>
      <c r="U193" s="168"/>
      <c r="V193" s="168"/>
      <c r="W193" s="168"/>
      <c r="X193" s="168"/>
      <c r="Y193" s="168"/>
      <c r="Z193" s="168"/>
      <c r="AA193" s="168"/>
      <c r="AB193" s="168"/>
      <c r="AC193" s="168"/>
      <c r="AD193" s="168"/>
      <c r="AE193" s="168"/>
      <c r="AF193" s="168"/>
      <c r="AG193" s="168"/>
      <c r="AH193" s="168"/>
      <c r="AI193" s="168"/>
      <c r="AJ193" s="168"/>
      <c r="AK193" s="168"/>
      <c r="AL193" s="168"/>
      <c r="AM193" s="168"/>
      <c r="AN193" s="168"/>
      <c r="AO193" s="168"/>
      <c r="AP193" s="168"/>
      <c r="AQ193" s="168"/>
      <c r="AR193" s="168"/>
      <c r="AS193" s="168"/>
      <c r="AT193" s="168"/>
      <c r="AU193" s="168"/>
      <c r="AV193" s="168"/>
      <c r="AW193" s="168"/>
      <c r="AX193" s="168"/>
      <c r="AY193" s="168"/>
      <c r="AZ193" s="168"/>
      <c r="BA193" s="168"/>
      <c r="BB193" s="168"/>
      <c r="BC193" s="168"/>
      <c r="BD193" s="168"/>
      <c r="BE193" s="168"/>
      <c r="BF193" s="168"/>
      <c r="BG193" s="168"/>
      <c r="BH193" s="168"/>
      <c r="BI193" s="168"/>
      <c r="BJ193" s="168"/>
      <c r="BK193" s="168"/>
      <c r="BL193" s="168"/>
      <c r="BM193" s="168"/>
      <c r="BN193" s="168"/>
    </row>
    <row r="194" outlineLevel="1">
      <c r="A194" s="47"/>
      <c r="B194" s="149" t="s">
        <v>135</v>
      </c>
      <c r="C194" s="144" t="s">
        <v>136</v>
      </c>
      <c r="D194" s="179" t="s">
        <v>137</v>
      </c>
      <c r="E194" s="172" t="s">
        <v>138</v>
      </c>
      <c r="F194" s="109"/>
      <c r="G194" s="168" t="s">
        <v>139</v>
      </c>
      <c r="H194" s="168"/>
      <c r="I194" s="168"/>
      <c r="J194" s="168"/>
      <c r="K194" s="168"/>
      <c r="L194" s="168"/>
      <c r="M194" s="168"/>
      <c r="N194" s="168"/>
      <c r="O194" s="168"/>
      <c r="P194" s="168"/>
      <c r="Q194" s="168"/>
      <c r="R194" s="168"/>
      <c r="S194" s="168"/>
      <c r="T194" s="168"/>
      <c r="U194" s="168"/>
      <c r="V194" s="168"/>
      <c r="W194" s="168"/>
      <c r="X194" s="168"/>
      <c r="Y194" s="168"/>
      <c r="Z194" s="168"/>
      <c r="AA194" s="168"/>
      <c r="AB194" s="168"/>
      <c r="AC194" s="168"/>
      <c r="AD194" s="168"/>
      <c r="AE194" s="168"/>
      <c r="AF194" s="168"/>
      <c r="AG194" s="168"/>
      <c r="AH194" s="168"/>
      <c r="AI194" s="168"/>
      <c r="AJ194" s="168"/>
      <c r="AK194" s="168"/>
      <c r="AL194" s="168"/>
      <c r="AM194" s="168"/>
      <c r="AN194" s="168"/>
      <c r="AO194" s="168"/>
      <c r="AP194" s="168"/>
      <c r="AQ194" s="168"/>
      <c r="AR194" s="168"/>
      <c r="AS194" s="168"/>
      <c r="AT194" s="168"/>
      <c r="AU194" s="168"/>
      <c r="AV194" s="168"/>
      <c r="AW194" s="168"/>
      <c r="AX194" s="168"/>
      <c r="AY194" s="168"/>
      <c r="AZ194" s="168"/>
      <c r="BA194" s="168"/>
      <c r="BB194" s="168"/>
      <c r="BC194" s="168"/>
      <c r="BD194" s="168"/>
      <c r="BE194" s="168"/>
      <c r="BF194" s="168"/>
      <c r="BG194" s="168"/>
      <c r="BH194" s="168"/>
      <c r="BI194" s="168"/>
      <c r="BJ194" s="168"/>
      <c r="BK194" s="168"/>
      <c r="BL194" s="168"/>
      <c r="BM194" s="168"/>
      <c r="BN194" s="168"/>
    </row>
    <row r="195" outlineLevel="1">
      <c r="A195" s="47"/>
      <c r="B195" s="149" t="s">
        <v>140</v>
      </c>
      <c r="C195" s="144">
        <v>0.0</v>
      </c>
      <c r="D195" s="179">
        <v>44562.0</v>
      </c>
      <c r="E195" s="172">
        <v>5.0</v>
      </c>
      <c r="F195" s="109"/>
      <c r="G195" s="168">
        <f t="shared" ref="G195:BN195" si="128">if(G$4&gt;=$D195,$C195,0)</f>
        <v>0</v>
      </c>
      <c r="H195" s="168">
        <f t="shared" si="128"/>
        <v>0</v>
      </c>
      <c r="I195" s="168">
        <f t="shared" si="128"/>
        <v>0</v>
      </c>
      <c r="J195" s="168">
        <f t="shared" si="128"/>
        <v>0</v>
      </c>
      <c r="K195" s="168">
        <f t="shared" si="128"/>
        <v>0</v>
      </c>
      <c r="L195" s="168">
        <f t="shared" si="128"/>
        <v>0</v>
      </c>
      <c r="M195" s="168">
        <f t="shared" si="128"/>
        <v>0</v>
      </c>
      <c r="N195" s="168">
        <f t="shared" si="128"/>
        <v>0</v>
      </c>
      <c r="O195" s="168">
        <f t="shared" si="128"/>
        <v>0</v>
      </c>
      <c r="P195" s="168">
        <f t="shared" si="128"/>
        <v>0</v>
      </c>
      <c r="Q195" s="168">
        <f t="shared" si="128"/>
        <v>0</v>
      </c>
      <c r="R195" s="168">
        <f t="shared" si="128"/>
        <v>0</v>
      </c>
      <c r="S195" s="168">
        <f t="shared" si="128"/>
        <v>0</v>
      </c>
      <c r="T195" s="168">
        <f t="shared" si="128"/>
        <v>0</v>
      </c>
      <c r="U195" s="168">
        <f t="shared" si="128"/>
        <v>0</v>
      </c>
      <c r="V195" s="168">
        <f t="shared" si="128"/>
        <v>0</v>
      </c>
      <c r="W195" s="168">
        <f t="shared" si="128"/>
        <v>0</v>
      </c>
      <c r="X195" s="168">
        <f t="shared" si="128"/>
        <v>0</v>
      </c>
      <c r="Y195" s="168">
        <f t="shared" si="128"/>
        <v>0</v>
      </c>
      <c r="Z195" s="168">
        <f t="shared" si="128"/>
        <v>0</v>
      </c>
      <c r="AA195" s="168">
        <f t="shared" si="128"/>
        <v>0</v>
      </c>
      <c r="AB195" s="168">
        <f t="shared" si="128"/>
        <v>0</v>
      </c>
      <c r="AC195" s="168">
        <f t="shared" si="128"/>
        <v>0</v>
      </c>
      <c r="AD195" s="168">
        <f t="shared" si="128"/>
        <v>0</v>
      </c>
      <c r="AE195" s="168">
        <f t="shared" si="128"/>
        <v>0</v>
      </c>
      <c r="AF195" s="168">
        <f t="shared" si="128"/>
        <v>0</v>
      </c>
      <c r="AG195" s="168">
        <f t="shared" si="128"/>
        <v>0</v>
      </c>
      <c r="AH195" s="168">
        <f t="shared" si="128"/>
        <v>0</v>
      </c>
      <c r="AI195" s="168">
        <f t="shared" si="128"/>
        <v>0</v>
      </c>
      <c r="AJ195" s="168">
        <f t="shared" si="128"/>
        <v>0</v>
      </c>
      <c r="AK195" s="168">
        <f t="shared" si="128"/>
        <v>0</v>
      </c>
      <c r="AL195" s="168">
        <f t="shared" si="128"/>
        <v>0</v>
      </c>
      <c r="AM195" s="168">
        <f t="shared" si="128"/>
        <v>0</v>
      </c>
      <c r="AN195" s="168">
        <f t="shared" si="128"/>
        <v>0</v>
      </c>
      <c r="AO195" s="168">
        <f t="shared" si="128"/>
        <v>0</v>
      </c>
      <c r="AP195" s="168">
        <f t="shared" si="128"/>
        <v>0</v>
      </c>
      <c r="AQ195" s="168">
        <f t="shared" si="128"/>
        <v>0</v>
      </c>
      <c r="AR195" s="168">
        <f t="shared" si="128"/>
        <v>0</v>
      </c>
      <c r="AS195" s="168">
        <f t="shared" si="128"/>
        <v>0</v>
      </c>
      <c r="AT195" s="168">
        <f t="shared" si="128"/>
        <v>0</v>
      </c>
      <c r="AU195" s="168">
        <f t="shared" si="128"/>
        <v>0</v>
      </c>
      <c r="AV195" s="168">
        <f t="shared" si="128"/>
        <v>0</v>
      </c>
      <c r="AW195" s="168">
        <f t="shared" si="128"/>
        <v>0</v>
      </c>
      <c r="AX195" s="168">
        <f t="shared" si="128"/>
        <v>0</v>
      </c>
      <c r="AY195" s="168">
        <f t="shared" si="128"/>
        <v>0</v>
      </c>
      <c r="AZ195" s="168">
        <f t="shared" si="128"/>
        <v>0</v>
      </c>
      <c r="BA195" s="168">
        <f t="shared" si="128"/>
        <v>0</v>
      </c>
      <c r="BB195" s="168">
        <f t="shared" si="128"/>
        <v>0</v>
      </c>
      <c r="BC195" s="168">
        <f t="shared" si="128"/>
        <v>0</v>
      </c>
      <c r="BD195" s="168">
        <f t="shared" si="128"/>
        <v>0</v>
      </c>
      <c r="BE195" s="168">
        <f t="shared" si="128"/>
        <v>0</v>
      </c>
      <c r="BF195" s="168">
        <f t="shared" si="128"/>
        <v>0</v>
      </c>
      <c r="BG195" s="168">
        <f t="shared" si="128"/>
        <v>0</v>
      </c>
      <c r="BH195" s="168">
        <f t="shared" si="128"/>
        <v>0</v>
      </c>
      <c r="BI195" s="168">
        <f t="shared" si="128"/>
        <v>0</v>
      </c>
      <c r="BJ195" s="168">
        <f t="shared" si="128"/>
        <v>0</v>
      </c>
      <c r="BK195" s="168">
        <f t="shared" si="128"/>
        <v>0</v>
      </c>
      <c r="BL195" s="168">
        <f t="shared" si="128"/>
        <v>0</v>
      </c>
      <c r="BM195" s="168">
        <f t="shared" si="128"/>
        <v>0</v>
      </c>
      <c r="BN195" s="168">
        <f t="shared" si="128"/>
        <v>0</v>
      </c>
    </row>
    <row r="196" outlineLevel="1">
      <c r="A196" s="47"/>
      <c r="B196" s="149" t="s">
        <v>141</v>
      </c>
      <c r="C196" s="144">
        <v>0.0</v>
      </c>
      <c r="D196" s="179">
        <v>44562.0</v>
      </c>
      <c r="E196" s="172">
        <v>5.0</v>
      </c>
      <c r="F196" s="109"/>
      <c r="G196" s="168">
        <f t="shared" ref="G196:BN196" si="129">if(G$4&gt;=$D196,$C196,0)</f>
        <v>0</v>
      </c>
      <c r="H196" s="168">
        <f t="shared" si="129"/>
        <v>0</v>
      </c>
      <c r="I196" s="168">
        <f t="shared" si="129"/>
        <v>0</v>
      </c>
      <c r="J196" s="168">
        <f t="shared" si="129"/>
        <v>0</v>
      </c>
      <c r="K196" s="168">
        <f t="shared" si="129"/>
        <v>0</v>
      </c>
      <c r="L196" s="168">
        <f t="shared" si="129"/>
        <v>0</v>
      </c>
      <c r="M196" s="168">
        <f t="shared" si="129"/>
        <v>0</v>
      </c>
      <c r="N196" s="168">
        <f t="shared" si="129"/>
        <v>0</v>
      </c>
      <c r="O196" s="168">
        <f t="shared" si="129"/>
        <v>0</v>
      </c>
      <c r="P196" s="168">
        <f t="shared" si="129"/>
        <v>0</v>
      </c>
      <c r="Q196" s="168">
        <f t="shared" si="129"/>
        <v>0</v>
      </c>
      <c r="R196" s="168">
        <f t="shared" si="129"/>
        <v>0</v>
      </c>
      <c r="S196" s="168">
        <f t="shared" si="129"/>
        <v>0</v>
      </c>
      <c r="T196" s="168">
        <f t="shared" si="129"/>
        <v>0</v>
      </c>
      <c r="U196" s="168">
        <f t="shared" si="129"/>
        <v>0</v>
      </c>
      <c r="V196" s="168">
        <f t="shared" si="129"/>
        <v>0</v>
      </c>
      <c r="W196" s="168">
        <f t="shared" si="129"/>
        <v>0</v>
      </c>
      <c r="X196" s="168">
        <f t="shared" si="129"/>
        <v>0</v>
      </c>
      <c r="Y196" s="168">
        <f t="shared" si="129"/>
        <v>0</v>
      </c>
      <c r="Z196" s="168">
        <f t="shared" si="129"/>
        <v>0</v>
      </c>
      <c r="AA196" s="168">
        <f t="shared" si="129"/>
        <v>0</v>
      </c>
      <c r="AB196" s="168">
        <f t="shared" si="129"/>
        <v>0</v>
      </c>
      <c r="AC196" s="168">
        <f t="shared" si="129"/>
        <v>0</v>
      </c>
      <c r="AD196" s="168">
        <f t="shared" si="129"/>
        <v>0</v>
      </c>
      <c r="AE196" s="168">
        <f t="shared" si="129"/>
        <v>0</v>
      </c>
      <c r="AF196" s="168">
        <f t="shared" si="129"/>
        <v>0</v>
      </c>
      <c r="AG196" s="168">
        <f t="shared" si="129"/>
        <v>0</v>
      </c>
      <c r="AH196" s="168">
        <f t="shared" si="129"/>
        <v>0</v>
      </c>
      <c r="AI196" s="168">
        <f t="shared" si="129"/>
        <v>0</v>
      </c>
      <c r="AJ196" s="168">
        <f t="shared" si="129"/>
        <v>0</v>
      </c>
      <c r="AK196" s="168">
        <f t="shared" si="129"/>
        <v>0</v>
      </c>
      <c r="AL196" s="168">
        <f t="shared" si="129"/>
        <v>0</v>
      </c>
      <c r="AM196" s="168">
        <f t="shared" si="129"/>
        <v>0</v>
      </c>
      <c r="AN196" s="168">
        <f t="shared" si="129"/>
        <v>0</v>
      </c>
      <c r="AO196" s="168">
        <f t="shared" si="129"/>
        <v>0</v>
      </c>
      <c r="AP196" s="168">
        <f t="shared" si="129"/>
        <v>0</v>
      </c>
      <c r="AQ196" s="168">
        <f t="shared" si="129"/>
        <v>0</v>
      </c>
      <c r="AR196" s="168">
        <f t="shared" si="129"/>
        <v>0</v>
      </c>
      <c r="AS196" s="168">
        <f t="shared" si="129"/>
        <v>0</v>
      </c>
      <c r="AT196" s="168">
        <f t="shared" si="129"/>
        <v>0</v>
      </c>
      <c r="AU196" s="168">
        <f t="shared" si="129"/>
        <v>0</v>
      </c>
      <c r="AV196" s="168">
        <f t="shared" si="129"/>
        <v>0</v>
      </c>
      <c r="AW196" s="168">
        <f t="shared" si="129"/>
        <v>0</v>
      </c>
      <c r="AX196" s="168">
        <f t="shared" si="129"/>
        <v>0</v>
      </c>
      <c r="AY196" s="168">
        <f t="shared" si="129"/>
        <v>0</v>
      </c>
      <c r="AZ196" s="168">
        <f t="shared" si="129"/>
        <v>0</v>
      </c>
      <c r="BA196" s="168">
        <f t="shared" si="129"/>
        <v>0</v>
      </c>
      <c r="BB196" s="168">
        <f t="shared" si="129"/>
        <v>0</v>
      </c>
      <c r="BC196" s="168">
        <f t="shared" si="129"/>
        <v>0</v>
      </c>
      <c r="BD196" s="168">
        <f t="shared" si="129"/>
        <v>0</v>
      </c>
      <c r="BE196" s="168">
        <f t="shared" si="129"/>
        <v>0</v>
      </c>
      <c r="BF196" s="168">
        <f t="shared" si="129"/>
        <v>0</v>
      </c>
      <c r="BG196" s="168">
        <f t="shared" si="129"/>
        <v>0</v>
      </c>
      <c r="BH196" s="168">
        <f t="shared" si="129"/>
        <v>0</v>
      </c>
      <c r="BI196" s="168">
        <f t="shared" si="129"/>
        <v>0</v>
      </c>
      <c r="BJ196" s="168">
        <f t="shared" si="129"/>
        <v>0</v>
      </c>
      <c r="BK196" s="168">
        <f t="shared" si="129"/>
        <v>0</v>
      </c>
      <c r="BL196" s="168">
        <f t="shared" si="129"/>
        <v>0</v>
      </c>
      <c r="BM196" s="168">
        <f t="shared" si="129"/>
        <v>0</v>
      </c>
      <c r="BN196" s="168">
        <f t="shared" si="129"/>
        <v>0</v>
      </c>
    </row>
    <row r="197" outlineLevel="1">
      <c r="A197" s="47"/>
      <c r="B197" s="149" t="s">
        <v>142</v>
      </c>
      <c r="C197" s="144">
        <v>0.0</v>
      </c>
      <c r="D197" s="179">
        <v>44562.0</v>
      </c>
      <c r="E197" s="172">
        <v>5.0</v>
      </c>
      <c r="F197" s="109"/>
      <c r="G197" s="109">
        <f t="shared" ref="G197:BN197" si="130">if(G$4&gt;=$D197,$C197,0)</f>
        <v>0</v>
      </c>
      <c r="H197" s="109">
        <f t="shared" si="130"/>
        <v>0</v>
      </c>
      <c r="I197" s="109">
        <f t="shared" si="130"/>
        <v>0</v>
      </c>
      <c r="J197" s="109">
        <f t="shared" si="130"/>
        <v>0</v>
      </c>
      <c r="K197" s="109">
        <f t="shared" si="130"/>
        <v>0</v>
      </c>
      <c r="L197" s="109">
        <f t="shared" si="130"/>
        <v>0</v>
      </c>
      <c r="M197" s="109">
        <f t="shared" si="130"/>
        <v>0</v>
      </c>
      <c r="N197" s="109">
        <f t="shared" si="130"/>
        <v>0</v>
      </c>
      <c r="O197" s="109">
        <f t="shared" si="130"/>
        <v>0</v>
      </c>
      <c r="P197" s="109">
        <f t="shared" si="130"/>
        <v>0</v>
      </c>
      <c r="Q197" s="109">
        <f t="shared" si="130"/>
        <v>0</v>
      </c>
      <c r="R197" s="109">
        <f t="shared" si="130"/>
        <v>0</v>
      </c>
      <c r="S197" s="109">
        <f t="shared" si="130"/>
        <v>0</v>
      </c>
      <c r="T197" s="109">
        <f t="shared" si="130"/>
        <v>0</v>
      </c>
      <c r="U197" s="109">
        <f t="shared" si="130"/>
        <v>0</v>
      </c>
      <c r="V197" s="109">
        <f t="shared" si="130"/>
        <v>0</v>
      </c>
      <c r="W197" s="109">
        <f t="shared" si="130"/>
        <v>0</v>
      </c>
      <c r="X197" s="109">
        <f t="shared" si="130"/>
        <v>0</v>
      </c>
      <c r="Y197" s="109">
        <f t="shared" si="130"/>
        <v>0</v>
      </c>
      <c r="Z197" s="109">
        <f t="shared" si="130"/>
        <v>0</v>
      </c>
      <c r="AA197" s="109">
        <f t="shared" si="130"/>
        <v>0</v>
      </c>
      <c r="AB197" s="109">
        <f t="shared" si="130"/>
        <v>0</v>
      </c>
      <c r="AC197" s="109">
        <f t="shared" si="130"/>
        <v>0</v>
      </c>
      <c r="AD197" s="109">
        <f t="shared" si="130"/>
        <v>0</v>
      </c>
      <c r="AE197" s="109">
        <f t="shared" si="130"/>
        <v>0</v>
      </c>
      <c r="AF197" s="109">
        <f t="shared" si="130"/>
        <v>0</v>
      </c>
      <c r="AG197" s="109">
        <f t="shared" si="130"/>
        <v>0</v>
      </c>
      <c r="AH197" s="109">
        <f t="shared" si="130"/>
        <v>0</v>
      </c>
      <c r="AI197" s="109">
        <f t="shared" si="130"/>
        <v>0</v>
      </c>
      <c r="AJ197" s="109">
        <f t="shared" si="130"/>
        <v>0</v>
      </c>
      <c r="AK197" s="109">
        <f t="shared" si="130"/>
        <v>0</v>
      </c>
      <c r="AL197" s="109">
        <f t="shared" si="130"/>
        <v>0</v>
      </c>
      <c r="AM197" s="109">
        <f t="shared" si="130"/>
        <v>0</v>
      </c>
      <c r="AN197" s="109">
        <f t="shared" si="130"/>
        <v>0</v>
      </c>
      <c r="AO197" s="109">
        <f t="shared" si="130"/>
        <v>0</v>
      </c>
      <c r="AP197" s="109">
        <f t="shared" si="130"/>
        <v>0</v>
      </c>
      <c r="AQ197" s="109">
        <f t="shared" si="130"/>
        <v>0</v>
      </c>
      <c r="AR197" s="109">
        <f t="shared" si="130"/>
        <v>0</v>
      </c>
      <c r="AS197" s="109">
        <f t="shared" si="130"/>
        <v>0</v>
      </c>
      <c r="AT197" s="109">
        <f t="shared" si="130"/>
        <v>0</v>
      </c>
      <c r="AU197" s="109">
        <f t="shared" si="130"/>
        <v>0</v>
      </c>
      <c r="AV197" s="109">
        <f t="shared" si="130"/>
        <v>0</v>
      </c>
      <c r="AW197" s="109">
        <f t="shared" si="130"/>
        <v>0</v>
      </c>
      <c r="AX197" s="109">
        <f t="shared" si="130"/>
        <v>0</v>
      </c>
      <c r="AY197" s="109">
        <f t="shared" si="130"/>
        <v>0</v>
      </c>
      <c r="AZ197" s="109">
        <f t="shared" si="130"/>
        <v>0</v>
      </c>
      <c r="BA197" s="109">
        <f t="shared" si="130"/>
        <v>0</v>
      </c>
      <c r="BB197" s="109">
        <f t="shared" si="130"/>
        <v>0</v>
      </c>
      <c r="BC197" s="109">
        <f t="shared" si="130"/>
        <v>0</v>
      </c>
      <c r="BD197" s="109">
        <f t="shared" si="130"/>
        <v>0</v>
      </c>
      <c r="BE197" s="109">
        <f t="shared" si="130"/>
        <v>0</v>
      </c>
      <c r="BF197" s="109">
        <f t="shared" si="130"/>
        <v>0</v>
      </c>
      <c r="BG197" s="109">
        <f t="shared" si="130"/>
        <v>0</v>
      </c>
      <c r="BH197" s="109">
        <f t="shared" si="130"/>
        <v>0</v>
      </c>
      <c r="BI197" s="109">
        <f t="shared" si="130"/>
        <v>0</v>
      </c>
      <c r="BJ197" s="109">
        <f t="shared" si="130"/>
        <v>0</v>
      </c>
      <c r="BK197" s="109">
        <f t="shared" si="130"/>
        <v>0</v>
      </c>
      <c r="BL197" s="109">
        <f t="shared" si="130"/>
        <v>0</v>
      </c>
      <c r="BM197" s="109">
        <f t="shared" si="130"/>
        <v>0</v>
      </c>
      <c r="BN197" s="109">
        <f t="shared" si="130"/>
        <v>0</v>
      </c>
    </row>
    <row r="198" outlineLevel="1">
      <c r="A198" s="47"/>
      <c r="B198" s="149" t="s">
        <v>143</v>
      </c>
      <c r="C198" s="144">
        <v>0.0</v>
      </c>
      <c r="D198" s="179">
        <v>44562.0</v>
      </c>
      <c r="E198" s="172">
        <v>5.0</v>
      </c>
      <c r="F198" s="47"/>
      <c r="G198" s="66">
        <f t="shared" ref="G198:BN198" si="131">if(G$4&gt;=$D198,$C198,0)</f>
        <v>0</v>
      </c>
      <c r="H198" s="109">
        <f t="shared" si="131"/>
        <v>0</v>
      </c>
      <c r="I198" s="109">
        <f t="shared" si="131"/>
        <v>0</v>
      </c>
      <c r="J198" s="109">
        <f t="shared" si="131"/>
        <v>0</v>
      </c>
      <c r="K198" s="109">
        <f t="shared" si="131"/>
        <v>0</v>
      </c>
      <c r="L198" s="109">
        <f t="shared" si="131"/>
        <v>0</v>
      </c>
      <c r="M198" s="109">
        <f t="shared" si="131"/>
        <v>0</v>
      </c>
      <c r="N198" s="109">
        <f t="shared" si="131"/>
        <v>0</v>
      </c>
      <c r="O198" s="109">
        <f t="shared" si="131"/>
        <v>0</v>
      </c>
      <c r="P198" s="109">
        <f t="shared" si="131"/>
        <v>0</v>
      </c>
      <c r="Q198" s="109">
        <f t="shared" si="131"/>
        <v>0</v>
      </c>
      <c r="R198" s="109">
        <f t="shared" si="131"/>
        <v>0</v>
      </c>
      <c r="S198" s="109">
        <f t="shared" si="131"/>
        <v>0</v>
      </c>
      <c r="T198" s="109">
        <f t="shared" si="131"/>
        <v>0</v>
      </c>
      <c r="U198" s="109">
        <f t="shared" si="131"/>
        <v>0</v>
      </c>
      <c r="V198" s="109">
        <f t="shared" si="131"/>
        <v>0</v>
      </c>
      <c r="W198" s="109">
        <f t="shared" si="131"/>
        <v>0</v>
      </c>
      <c r="X198" s="109">
        <f t="shared" si="131"/>
        <v>0</v>
      </c>
      <c r="Y198" s="109">
        <f t="shared" si="131"/>
        <v>0</v>
      </c>
      <c r="Z198" s="109">
        <f t="shared" si="131"/>
        <v>0</v>
      </c>
      <c r="AA198" s="109">
        <f t="shared" si="131"/>
        <v>0</v>
      </c>
      <c r="AB198" s="109">
        <f t="shared" si="131"/>
        <v>0</v>
      </c>
      <c r="AC198" s="109">
        <f t="shared" si="131"/>
        <v>0</v>
      </c>
      <c r="AD198" s="109">
        <f t="shared" si="131"/>
        <v>0</v>
      </c>
      <c r="AE198" s="109">
        <f t="shared" si="131"/>
        <v>0</v>
      </c>
      <c r="AF198" s="109">
        <f t="shared" si="131"/>
        <v>0</v>
      </c>
      <c r="AG198" s="109">
        <f t="shared" si="131"/>
        <v>0</v>
      </c>
      <c r="AH198" s="109">
        <f t="shared" si="131"/>
        <v>0</v>
      </c>
      <c r="AI198" s="109">
        <f t="shared" si="131"/>
        <v>0</v>
      </c>
      <c r="AJ198" s="109">
        <f t="shared" si="131"/>
        <v>0</v>
      </c>
      <c r="AK198" s="109">
        <f t="shared" si="131"/>
        <v>0</v>
      </c>
      <c r="AL198" s="109">
        <f t="shared" si="131"/>
        <v>0</v>
      </c>
      <c r="AM198" s="109">
        <f t="shared" si="131"/>
        <v>0</v>
      </c>
      <c r="AN198" s="109">
        <f t="shared" si="131"/>
        <v>0</v>
      </c>
      <c r="AO198" s="109">
        <f t="shared" si="131"/>
        <v>0</v>
      </c>
      <c r="AP198" s="109">
        <f t="shared" si="131"/>
        <v>0</v>
      </c>
      <c r="AQ198" s="109">
        <f t="shared" si="131"/>
        <v>0</v>
      </c>
      <c r="AR198" s="109">
        <f t="shared" si="131"/>
        <v>0</v>
      </c>
      <c r="AS198" s="109">
        <f t="shared" si="131"/>
        <v>0</v>
      </c>
      <c r="AT198" s="109">
        <f t="shared" si="131"/>
        <v>0</v>
      </c>
      <c r="AU198" s="109">
        <f t="shared" si="131"/>
        <v>0</v>
      </c>
      <c r="AV198" s="109">
        <f t="shared" si="131"/>
        <v>0</v>
      </c>
      <c r="AW198" s="109">
        <f t="shared" si="131"/>
        <v>0</v>
      </c>
      <c r="AX198" s="109">
        <f t="shared" si="131"/>
        <v>0</v>
      </c>
      <c r="AY198" s="109">
        <f t="shared" si="131"/>
        <v>0</v>
      </c>
      <c r="AZ198" s="109">
        <f t="shared" si="131"/>
        <v>0</v>
      </c>
      <c r="BA198" s="109">
        <f t="shared" si="131"/>
        <v>0</v>
      </c>
      <c r="BB198" s="109">
        <f t="shared" si="131"/>
        <v>0</v>
      </c>
      <c r="BC198" s="109">
        <f t="shared" si="131"/>
        <v>0</v>
      </c>
      <c r="BD198" s="109">
        <f t="shared" si="131"/>
        <v>0</v>
      </c>
      <c r="BE198" s="109">
        <f t="shared" si="131"/>
        <v>0</v>
      </c>
      <c r="BF198" s="109">
        <f t="shared" si="131"/>
        <v>0</v>
      </c>
      <c r="BG198" s="109">
        <f t="shared" si="131"/>
        <v>0</v>
      </c>
      <c r="BH198" s="109">
        <f t="shared" si="131"/>
        <v>0</v>
      </c>
      <c r="BI198" s="109">
        <f t="shared" si="131"/>
        <v>0</v>
      </c>
      <c r="BJ198" s="109">
        <f t="shared" si="131"/>
        <v>0</v>
      </c>
      <c r="BK198" s="109">
        <f t="shared" si="131"/>
        <v>0</v>
      </c>
      <c r="BL198" s="109">
        <f t="shared" si="131"/>
        <v>0</v>
      </c>
      <c r="BM198" s="109">
        <f t="shared" si="131"/>
        <v>0</v>
      </c>
      <c r="BN198" s="109">
        <f t="shared" si="131"/>
        <v>0</v>
      </c>
    </row>
    <row r="199" outlineLevel="1">
      <c r="A199" s="66"/>
      <c r="B199" s="67"/>
      <c r="C199" s="66"/>
      <c r="D199" s="66"/>
      <c r="E199" s="66"/>
      <c r="F199" s="109"/>
      <c r="G199" s="109"/>
      <c r="H199" s="109"/>
      <c r="I199" s="109"/>
      <c r="J199" s="109"/>
      <c r="K199" s="109"/>
      <c r="L199" s="109"/>
      <c r="M199" s="109"/>
      <c r="N199" s="109"/>
      <c r="O199" s="109"/>
      <c r="P199" s="109"/>
      <c r="Q199" s="109"/>
      <c r="R199" s="109"/>
      <c r="S199" s="109"/>
      <c r="T199" s="109"/>
      <c r="U199" s="109"/>
      <c r="V199" s="109"/>
      <c r="W199" s="109"/>
      <c r="X199" s="109"/>
      <c r="Y199" s="109"/>
      <c r="Z199" s="109"/>
      <c r="AA199" s="109"/>
      <c r="AB199" s="109"/>
      <c r="AC199" s="109"/>
      <c r="AD199" s="109"/>
      <c r="AE199" s="109"/>
      <c r="AF199" s="109"/>
      <c r="AG199" s="109"/>
      <c r="AH199" s="109"/>
      <c r="AI199" s="109"/>
      <c r="AJ199" s="109"/>
      <c r="AK199" s="109"/>
      <c r="AL199" s="109"/>
      <c r="AM199" s="109"/>
      <c r="AN199" s="109"/>
      <c r="AO199" s="109"/>
      <c r="AP199" s="109"/>
      <c r="AQ199" s="109"/>
      <c r="AR199" s="109"/>
      <c r="AS199" s="109"/>
      <c r="AT199" s="109"/>
      <c r="AU199" s="109"/>
      <c r="AV199" s="109"/>
      <c r="AW199" s="109"/>
      <c r="AX199" s="109"/>
      <c r="AY199" s="109"/>
      <c r="AZ199" s="109"/>
      <c r="BA199" s="109"/>
      <c r="BB199" s="109"/>
      <c r="BC199" s="109"/>
      <c r="BD199" s="109"/>
      <c r="BE199" s="109"/>
      <c r="BF199" s="109"/>
      <c r="BG199" s="109"/>
      <c r="BH199" s="109"/>
      <c r="BI199" s="109"/>
      <c r="BJ199" s="109"/>
      <c r="BK199" s="109"/>
      <c r="BL199" s="109"/>
      <c r="BM199" s="109"/>
      <c r="BN199" s="109"/>
    </row>
    <row r="200" outlineLevel="1">
      <c r="A200" s="66"/>
      <c r="B200" s="67"/>
      <c r="C200" s="66"/>
      <c r="D200" s="66"/>
      <c r="E200" s="66"/>
      <c r="F200" s="109"/>
      <c r="G200" s="109" t="s">
        <v>144</v>
      </c>
      <c r="H200" s="109"/>
      <c r="I200" s="109"/>
      <c r="J200" s="109"/>
      <c r="K200" s="109"/>
      <c r="L200" s="109"/>
      <c r="M200" s="109"/>
      <c r="N200" s="109"/>
      <c r="O200" s="109"/>
      <c r="P200" s="109"/>
      <c r="Q200" s="109"/>
      <c r="R200" s="109"/>
      <c r="S200" s="109"/>
      <c r="T200" s="109"/>
      <c r="U200" s="109"/>
      <c r="V200" s="109"/>
      <c r="W200" s="109"/>
      <c r="X200" s="109"/>
      <c r="Y200" s="109"/>
      <c r="Z200" s="109"/>
      <c r="AA200" s="109"/>
      <c r="AB200" s="109"/>
      <c r="AC200" s="109"/>
      <c r="AD200" s="109"/>
      <c r="AE200" s="109"/>
      <c r="AF200" s="109"/>
      <c r="AG200" s="109"/>
      <c r="AH200" s="109"/>
      <c r="AI200" s="109"/>
      <c r="AJ200" s="109"/>
      <c r="AK200" s="109"/>
      <c r="AL200" s="109"/>
      <c r="AM200" s="109"/>
      <c r="AN200" s="109"/>
      <c r="AO200" s="109"/>
      <c r="AP200" s="109"/>
      <c r="AQ200" s="109"/>
      <c r="AR200" s="109"/>
      <c r="AS200" s="109"/>
      <c r="AT200" s="109"/>
      <c r="AU200" s="109"/>
      <c r="AV200" s="109"/>
      <c r="AW200" s="109"/>
      <c r="AX200" s="109"/>
      <c r="AY200" s="109"/>
      <c r="AZ200" s="109"/>
      <c r="BA200" s="109"/>
      <c r="BB200" s="109"/>
      <c r="BC200" s="109"/>
      <c r="BD200" s="109"/>
      <c r="BE200" s="109"/>
      <c r="BF200" s="109"/>
      <c r="BG200" s="109"/>
      <c r="BH200" s="109"/>
      <c r="BI200" s="109"/>
      <c r="BJ200" s="109"/>
      <c r="BK200" s="109"/>
      <c r="BL200" s="109"/>
      <c r="BM200" s="109"/>
      <c r="BN200" s="109"/>
    </row>
    <row r="201" outlineLevel="1">
      <c r="A201" s="66"/>
      <c r="B201" s="67" t="str">
        <f t="shared" ref="B201:B204" si="133">B195</f>
        <v>Asset 1</v>
      </c>
      <c r="C201" s="66"/>
      <c r="D201" s="66"/>
      <c r="E201" s="66"/>
      <c r="F201" s="109"/>
      <c r="G201" s="109">
        <f t="shared" ref="G201:G204" si="134">MIN(E201+ IF(G$4&gt;=$D195,$C195/($E195*12),0),$C195)</f>
        <v>0</v>
      </c>
      <c r="H201" s="109">
        <f t="shared" ref="H201:BN201" si="132">MIN(G201+ IF(H$4&gt;=$D195,$C195/($E195*12),0),$C195)</f>
        <v>0</v>
      </c>
      <c r="I201" s="109">
        <f t="shared" si="132"/>
        <v>0</v>
      </c>
      <c r="J201" s="109">
        <f t="shared" si="132"/>
        <v>0</v>
      </c>
      <c r="K201" s="109">
        <f t="shared" si="132"/>
        <v>0</v>
      </c>
      <c r="L201" s="109">
        <f t="shared" si="132"/>
        <v>0</v>
      </c>
      <c r="M201" s="109">
        <f t="shared" si="132"/>
        <v>0</v>
      </c>
      <c r="N201" s="109">
        <f t="shared" si="132"/>
        <v>0</v>
      </c>
      <c r="O201" s="109">
        <f t="shared" si="132"/>
        <v>0</v>
      </c>
      <c r="P201" s="109">
        <f t="shared" si="132"/>
        <v>0</v>
      </c>
      <c r="Q201" s="109">
        <f t="shared" si="132"/>
        <v>0</v>
      </c>
      <c r="R201" s="109">
        <f t="shared" si="132"/>
        <v>0</v>
      </c>
      <c r="S201" s="109">
        <f t="shared" si="132"/>
        <v>0</v>
      </c>
      <c r="T201" s="109">
        <f t="shared" si="132"/>
        <v>0</v>
      </c>
      <c r="U201" s="109">
        <f t="shared" si="132"/>
        <v>0</v>
      </c>
      <c r="V201" s="109">
        <f t="shared" si="132"/>
        <v>0</v>
      </c>
      <c r="W201" s="109">
        <f t="shared" si="132"/>
        <v>0</v>
      </c>
      <c r="X201" s="109">
        <f t="shared" si="132"/>
        <v>0</v>
      </c>
      <c r="Y201" s="109">
        <f t="shared" si="132"/>
        <v>0</v>
      </c>
      <c r="Z201" s="109">
        <f t="shared" si="132"/>
        <v>0</v>
      </c>
      <c r="AA201" s="109">
        <f t="shared" si="132"/>
        <v>0</v>
      </c>
      <c r="AB201" s="109">
        <f t="shared" si="132"/>
        <v>0</v>
      </c>
      <c r="AC201" s="109">
        <f t="shared" si="132"/>
        <v>0</v>
      </c>
      <c r="AD201" s="109">
        <f t="shared" si="132"/>
        <v>0</v>
      </c>
      <c r="AE201" s="109">
        <f t="shared" si="132"/>
        <v>0</v>
      </c>
      <c r="AF201" s="109">
        <f t="shared" si="132"/>
        <v>0</v>
      </c>
      <c r="AG201" s="109">
        <f t="shared" si="132"/>
        <v>0</v>
      </c>
      <c r="AH201" s="109">
        <f t="shared" si="132"/>
        <v>0</v>
      </c>
      <c r="AI201" s="109">
        <f t="shared" si="132"/>
        <v>0</v>
      </c>
      <c r="AJ201" s="109">
        <f t="shared" si="132"/>
        <v>0</v>
      </c>
      <c r="AK201" s="109">
        <f t="shared" si="132"/>
        <v>0</v>
      </c>
      <c r="AL201" s="109">
        <f t="shared" si="132"/>
        <v>0</v>
      </c>
      <c r="AM201" s="109">
        <f t="shared" si="132"/>
        <v>0</v>
      </c>
      <c r="AN201" s="109">
        <f t="shared" si="132"/>
        <v>0</v>
      </c>
      <c r="AO201" s="109">
        <f t="shared" si="132"/>
        <v>0</v>
      </c>
      <c r="AP201" s="109">
        <f t="shared" si="132"/>
        <v>0</v>
      </c>
      <c r="AQ201" s="109">
        <f t="shared" si="132"/>
        <v>0</v>
      </c>
      <c r="AR201" s="109">
        <f t="shared" si="132"/>
        <v>0</v>
      </c>
      <c r="AS201" s="109">
        <f t="shared" si="132"/>
        <v>0</v>
      </c>
      <c r="AT201" s="109">
        <f t="shared" si="132"/>
        <v>0</v>
      </c>
      <c r="AU201" s="109">
        <f t="shared" si="132"/>
        <v>0</v>
      </c>
      <c r="AV201" s="109">
        <f t="shared" si="132"/>
        <v>0</v>
      </c>
      <c r="AW201" s="109">
        <f t="shared" si="132"/>
        <v>0</v>
      </c>
      <c r="AX201" s="109">
        <f t="shared" si="132"/>
        <v>0</v>
      </c>
      <c r="AY201" s="109">
        <f t="shared" si="132"/>
        <v>0</v>
      </c>
      <c r="AZ201" s="109">
        <f t="shared" si="132"/>
        <v>0</v>
      </c>
      <c r="BA201" s="109">
        <f t="shared" si="132"/>
        <v>0</v>
      </c>
      <c r="BB201" s="109">
        <f t="shared" si="132"/>
        <v>0</v>
      </c>
      <c r="BC201" s="109">
        <f t="shared" si="132"/>
        <v>0</v>
      </c>
      <c r="BD201" s="109">
        <f t="shared" si="132"/>
        <v>0</v>
      </c>
      <c r="BE201" s="109">
        <f t="shared" si="132"/>
        <v>0</v>
      </c>
      <c r="BF201" s="109">
        <f t="shared" si="132"/>
        <v>0</v>
      </c>
      <c r="BG201" s="109">
        <f t="shared" si="132"/>
        <v>0</v>
      </c>
      <c r="BH201" s="109">
        <f t="shared" si="132"/>
        <v>0</v>
      </c>
      <c r="BI201" s="109">
        <f t="shared" si="132"/>
        <v>0</v>
      </c>
      <c r="BJ201" s="109">
        <f t="shared" si="132"/>
        <v>0</v>
      </c>
      <c r="BK201" s="109">
        <f t="shared" si="132"/>
        <v>0</v>
      </c>
      <c r="BL201" s="109">
        <f t="shared" si="132"/>
        <v>0</v>
      </c>
      <c r="BM201" s="109">
        <f t="shared" si="132"/>
        <v>0</v>
      </c>
      <c r="BN201" s="109">
        <f t="shared" si="132"/>
        <v>0</v>
      </c>
    </row>
    <row r="202" outlineLevel="1">
      <c r="A202" s="66"/>
      <c r="B202" s="67" t="str">
        <f t="shared" si="133"/>
        <v>Asset 2</v>
      </c>
      <c r="C202" s="66"/>
      <c r="D202" s="66"/>
      <c r="E202" s="66"/>
      <c r="F202" s="109"/>
      <c r="G202" s="109">
        <f t="shared" si="134"/>
        <v>0</v>
      </c>
      <c r="H202" s="109">
        <f t="shared" ref="H202:BN202" si="135">MIN(G202+ IF(H$4&gt;=$D196,$C196/($E196*12),0),$C196)</f>
        <v>0</v>
      </c>
      <c r="I202" s="109">
        <f t="shared" si="135"/>
        <v>0</v>
      </c>
      <c r="J202" s="109">
        <f t="shared" si="135"/>
        <v>0</v>
      </c>
      <c r="K202" s="109">
        <f t="shared" si="135"/>
        <v>0</v>
      </c>
      <c r="L202" s="109">
        <f t="shared" si="135"/>
        <v>0</v>
      </c>
      <c r="M202" s="109">
        <f t="shared" si="135"/>
        <v>0</v>
      </c>
      <c r="N202" s="109">
        <f t="shared" si="135"/>
        <v>0</v>
      </c>
      <c r="O202" s="109">
        <f t="shared" si="135"/>
        <v>0</v>
      </c>
      <c r="P202" s="109">
        <f t="shared" si="135"/>
        <v>0</v>
      </c>
      <c r="Q202" s="109">
        <f t="shared" si="135"/>
        <v>0</v>
      </c>
      <c r="R202" s="109">
        <f t="shared" si="135"/>
        <v>0</v>
      </c>
      <c r="S202" s="109">
        <f t="shared" si="135"/>
        <v>0</v>
      </c>
      <c r="T202" s="109">
        <f t="shared" si="135"/>
        <v>0</v>
      </c>
      <c r="U202" s="109">
        <f t="shared" si="135"/>
        <v>0</v>
      </c>
      <c r="V202" s="109">
        <f t="shared" si="135"/>
        <v>0</v>
      </c>
      <c r="W202" s="109">
        <f t="shared" si="135"/>
        <v>0</v>
      </c>
      <c r="X202" s="109">
        <f t="shared" si="135"/>
        <v>0</v>
      </c>
      <c r="Y202" s="109">
        <f t="shared" si="135"/>
        <v>0</v>
      </c>
      <c r="Z202" s="109">
        <f t="shared" si="135"/>
        <v>0</v>
      </c>
      <c r="AA202" s="109">
        <f t="shared" si="135"/>
        <v>0</v>
      </c>
      <c r="AB202" s="109">
        <f t="shared" si="135"/>
        <v>0</v>
      </c>
      <c r="AC202" s="109">
        <f t="shared" si="135"/>
        <v>0</v>
      </c>
      <c r="AD202" s="109">
        <f t="shared" si="135"/>
        <v>0</v>
      </c>
      <c r="AE202" s="109">
        <f t="shared" si="135"/>
        <v>0</v>
      </c>
      <c r="AF202" s="109">
        <f t="shared" si="135"/>
        <v>0</v>
      </c>
      <c r="AG202" s="109">
        <f t="shared" si="135"/>
        <v>0</v>
      </c>
      <c r="AH202" s="109">
        <f t="shared" si="135"/>
        <v>0</v>
      </c>
      <c r="AI202" s="109">
        <f t="shared" si="135"/>
        <v>0</v>
      </c>
      <c r="AJ202" s="109">
        <f t="shared" si="135"/>
        <v>0</v>
      </c>
      <c r="AK202" s="109">
        <f t="shared" si="135"/>
        <v>0</v>
      </c>
      <c r="AL202" s="109">
        <f t="shared" si="135"/>
        <v>0</v>
      </c>
      <c r="AM202" s="109">
        <f t="shared" si="135"/>
        <v>0</v>
      </c>
      <c r="AN202" s="109">
        <f t="shared" si="135"/>
        <v>0</v>
      </c>
      <c r="AO202" s="109">
        <f t="shared" si="135"/>
        <v>0</v>
      </c>
      <c r="AP202" s="109">
        <f t="shared" si="135"/>
        <v>0</v>
      </c>
      <c r="AQ202" s="109">
        <f t="shared" si="135"/>
        <v>0</v>
      </c>
      <c r="AR202" s="109">
        <f t="shared" si="135"/>
        <v>0</v>
      </c>
      <c r="AS202" s="109">
        <f t="shared" si="135"/>
        <v>0</v>
      </c>
      <c r="AT202" s="109">
        <f t="shared" si="135"/>
        <v>0</v>
      </c>
      <c r="AU202" s="109">
        <f t="shared" si="135"/>
        <v>0</v>
      </c>
      <c r="AV202" s="109">
        <f t="shared" si="135"/>
        <v>0</v>
      </c>
      <c r="AW202" s="109">
        <f t="shared" si="135"/>
        <v>0</v>
      </c>
      <c r="AX202" s="109">
        <f t="shared" si="135"/>
        <v>0</v>
      </c>
      <c r="AY202" s="109">
        <f t="shared" si="135"/>
        <v>0</v>
      </c>
      <c r="AZ202" s="109">
        <f t="shared" si="135"/>
        <v>0</v>
      </c>
      <c r="BA202" s="109">
        <f t="shared" si="135"/>
        <v>0</v>
      </c>
      <c r="BB202" s="109">
        <f t="shared" si="135"/>
        <v>0</v>
      </c>
      <c r="BC202" s="109">
        <f t="shared" si="135"/>
        <v>0</v>
      </c>
      <c r="BD202" s="109">
        <f t="shared" si="135"/>
        <v>0</v>
      </c>
      <c r="BE202" s="109">
        <f t="shared" si="135"/>
        <v>0</v>
      </c>
      <c r="BF202" s="109">
        <f t="shared" si="135"/>
        <v>0</v>
      </c>
      <c r="BG202" s="109">
        <f t="shared" si="135"/>
        <v>0</v>
      </c>
      <c r="BH202" s="109">
        <f t="shared" si="135"/>
        <v>0</v>
      </c>
      <c r="BI202" s="109">
        <f t="shared" si="135"/>
        <v>0</v>
      </c>
      <c r="BJ202" s="109">
        <f t="shared" si="135"/>
        <v>0</v>
      </c>
      <c r="BK202" s="109">
        <f t="shared" si="135"/>
        <v>0</v>
      </c>
      <c r="BL202" s="109">
        <f t="shared" si="135"/>
        <v>0</v>
      </c>
      <c r="BM202" s="109">
        <f t="shared" si="135"/>
        <v>0</v>
      </c>
      <c r="BN202" s="109">
        <f t="shared" si="135"/>
        <v>0</v>
      </c>
    </row>
    <row r="203" outlineLevel="1">
      <c r="A203" s="47"/>
      <c r="B203" s="180" t="str">
        <f t="shared" si="133"/>
        <v>Asset 3</v>
      </c>
      <c r="C203" s="47"/>
      <c r="D203" s="47"/>
      <c r="E203" s="47"/>
      <c r="F203" s="109"/>
      <c r="G203" s="109">
        <f t="shared" si="134"/>
        <v>0</v>
      </c>
      <c r="H203" s="109">
        <f t="shared" ref="H203:BN203" si="136">MIN(G203+ IF(H$4&gt;=$D197,$C197/($E197*12),0),$C197)</f>
        <v>0</v>
      </c>
      <c r="I203" s="109">
        <f t="shared" si="136"/>
        <v>0</v>
      </c>
      <c r="J203" s="109">
        <f t="shared" si="136"/>
        <v>0</v>
      </c>
      <c r="K203" s="109">
        <f t="shared" si="136"/>
        <v>0</v>
      </c>
      <c r="L203" s="109">
        <f t="shared" si="136"/>
        <v>0</v>
      </c>
      <c r="M203" s="109">
        <f t="shared" si="136"/>
        <v>0</v>
      </c>
      <c r="N203" s="109">
        <f t="shared" si="136"/>
        <v>0</v>
      </c>
      <c r="O203" s="109">
        <f t="shared" si="136"/>
        <v>0</v>
      </c>
      <c r="P203" s="109">
        <f t="shared" si="136"/>
        <v>0</v>
      </c>
      <c r="Q203" s="109">
        <f t="shared" si="136"/>
        <v>0</v>
      </c>
      <c r="R203" s="109">
        <f t="shared" si="136"/>
        <v>0</v>
      </c>
      <c r="S203" s="109">
        <f t="shared" si="136"/>
        <v>0</v>
      </c>
      <c r="T203" s="109">
        <f t="shared" si="136"/>
        <v>0</v>
      </c>
      <c r="U203" s="109">
        <f t="shared" si="136"/>
        <v>0</v>
      </c>
      <c r="V203" s="109">
        <f t="shared" si="136"/>
        <v>0</v>
      </c>
      <c r="W203" s="109">
        <f t="shared" si="136"/>
        <v>0</v>
      </c>
      <c r="X203" s="109">
        <f t="shared" si="136"/>
        <v>0</v>
      </c>
      <c r="Y203" s="109">
        <f t="shared" si="136"/>
        <v>0</v>
      </c>
      <c r="Z203" s="109">
        <f t="shared" si="136"/>
        <v>0</v>
      </c>
      <c r="AA203" s="109">
        <f t="shared" si="136"/>
        <v>0</v>
      </c>
      <c r="AB203" s="109">
        <f t="shared" si="136"/>
        <v>0</v>
      </c>
      <c r="AC203" s="109">
        <f t="shared" si="136"/>
        <v>0</v>
      </c>
      <c r="AD203" s="109">
        <f t="shared" si="136"/>
        <v>0</v>
      </c>
      <c r="AE203" s="109">
        <f t="shared" si="136"/>
        <v>0</v>
      </c>
      <c r="AF203" s="109">
        <f t="shared" si="136"/>
        <v>0</v>
      </c>
      <c r="AG203" s="109">
        <f t="shared" si="136"/>
        <v>0</v>
      </c>
      <c r="AH203" s="109">
        <f t="shared" si="136"/>
        <v>0</v>
      </c>
      <c r="AI203" s="109">
        <f t="shared" si="136"/>
        <v>0</v>
      </c>
      <c r="AJ203" s="109">
        <f t="shared" si="136"/>
        <v>0</v>
      </c>
      <c r="AK203" s="109">
        <f t="shared" si="136"/>
        <v>0</v>
      </c>
      <c r="AL203" s="109">
        <f t="shared" si="136"/>
        <v>0</v>
      </c>
      <c r="AM203" s="109">
        <f t="shared" si="136"/>
        <v>0</v>
      </c>
      <c r="AN203" s="109">
        <f t="shared" si="136"/>
        <v>0</v>
      </c>
      <c r="AO203" s="109">
        <f t="shared" si="136"/>
        <v>0</v>
      </c>
      <c r="AP203" s="109">
        <f t="shared" si="136"/>
        <v>0</v>
      </c>
      <c r="AQ203" s="109">
        <f t="shared" si="136"/>
        <v>0</v>
      </c>
      <c r="AR203" s="109">
        <f t="shared" si="136"/>
        <v>0</v>
      </c>
      <c r="AS203" s="109">
        <f t="shared" si="136"/>
        <v>0</v>
      </c>
      <c r="AT203" s="109">
        <f t="shared" si="136"/>
        <v>0</v>
      </c>
      <c r="AU203" s="109">
        <f t="shared" si="136"/>
        <v>0</v>
      </c>
      <c r="AV203" s="109">
        <f t="shared" si="136"/>
        <v>0</v>
      </c>
      <c r="AW203" s="109">
        <f t="shared" si="136"/>
        <v>0</v>
      </c>
      <c r="AX203" s="109">
        <f t="shared" si="136"/>
        <v>0</v>
      </c>
      <c r="AY203" s="109">
        <f t="shared" si="136"/>
        <v>0</v>
      </c>
      <c r="AZ203" s="109">
        <f t="shared" si="136"/>
        <v>0</v>
      </c>
      <c r="BA203" s="109">
        <f t="shared" si="136"/>
        <v>0</v>
      </c>
      <c r="BB203" s="109">
        <f t="shared" si="136"/>
        <v>0</v>
      </c>
      <c r="BC203" s="109">
        <f t="shared" si="136"/>
        <v>0</v>
      </c>
      <c r="BD203" s="109">
        <f t="shared" si="136"/>
        <v>0</v>
      </c>
      <c r="BE203" s="109">
        <f t="shared" si="136"/>
        <v>0</v>
      </c>
      <c r="BF203" s="109">
        <f t="shared" si="136"/>
        <v>0</v>
      </c>
      <c r="BG203" s="109">
        <f t="shared" si="136"/>
        <v>0</v>
      </c>
      <c r="BH203" s="109">
        <f t="shared" si="136"/>
        <v>0</v>
      </c>
      <c r="BI203" s="109">
        <f t="shared" si="136"/>
        <v>0</v>
      </c>
      <c r="BJ203" s="109">
        <f t="shared" si="136"/>
        <v>0</v>
      </c>
      <c r="BK203" s="109">
        <f t="shared" si="136"/>
        <v>0</v>
      </c>
      <c r="BL203" s="109">
        <f t="shared" si="136"/>
        <v>0</v>
      </c>
      <c r="BM203" s="109">
        <f t="shared" si="136"/>
        <v>0</v>
      </c>
      <c r="BN203" s="109">
        <f t="shared" si="136"/>
        <v>0</v>
      </c>
    </row>
    <row r="204" outlineLevel="1">
      <c r="A204" s="47"/>
      <c r="B204" s="180" t="str">
        <f t="shared" si="133"/>
        <v>Asset 4</v>
      </c>
      <c r="C204" s="47"/>
      <c r="D204" s="47"/>
      <c r="E204" s="47"/>
      <c r="F204" s="109"/>
      <c r="G204" s="109">
        <f t="shared" si="134"/>
        <v>0</v>
      </c>
      <c r="H204" s="109">
        <f t="shared" ref="H204:BN204" si="137">MIN(G204+ IF(H$4&gt;=$D198,$C198/($E198*12),0),$C198)</f>
        <v>0</v>
      </c>
      <c r="I204" s="109">
        <f t="shared" si="137"/>
        <v>0</v>
      </c>
      <c r="J204" s="109">
        <f t="shared" si="137"/>
        <v>0</v>
      </c>
      <c r="K204" s="109">
        <f t="shared" si="137"/>
        <v>0</v>
      </c>
      <c r="L204" s="109">
        <f t="shared" si="137"/>
        <v>0</v>
      </c>
      <c r="M204" s="109">
        <f t="shared" si="137"/>
        <v>0</v>
      </c>
      <c r="N204" s="109">
        <f t="shared" si="137"/>
        <v>0</v>
      </c>
      <c r="O204" s="109">
        <f t="shared" si="137"/>
        <v>0</v>
      </c>
      <c r="P204" s="109">
        <f t="shared" si="137"/>
        <v>0</v>
      </c>
      <c r="Q204" s="109">
        <f t="shared" si="137"/>
        <v>0</v>
      </c>
      <c r="R204" s="109">
        <f t="shared" si="137"/>
        <v>0</v>
      </c>
      <c r="S204" s="109">
        <f t="shared" si="137"/>
        <v>0</v>
      </c>
      <c r="T204" s="109">
        <f t="shared" si="137"/>
        <v>0</v>
      </c>
      <c r="U204" s="109">
        <f t="shared" si="137"/>
        <v>0</v>
      </c>
      <c r="V204" s="109">
        <f t="shared" si="137"/>
        <v>0</v>
      </c>
      <c r="W204" s="109">
        <f t="shared" si="137"/>
        <v>0</v>
      </c>
      <c r="X204" s="109">
        <f t="shared" si="137"/>
        <v>0</v>
      </c>
      <c r="Y204" s="109">
        <f t="shared" si="137"/>
        <v>0</v>
      </c>
      <c r="Z204" s="109">
        <f t="shared" si="137"/>
        <v>0</v>
      </c>
      <c r="AA204" s="109">
        <f t="shared" si="137"/>
        <v>0</v>
      </c>
      <c r="AB204" s="109">
        <f t="shared" si="137"/>
        <v>0</v>
      </c>
      <c r="AC204" s="109">
        <f t="shared" si="137"/>
        <v>0</v>
      </c>
      <c r="AD204" s="109">
        <f t="shared" si="137"/>
        <v>0</v>
      </c>
      <c r="AE204" s="109">
        <f t="shared" si="137"/>
        <v>0</v>
      </c>
      <c r="AF204" s="109">
        <f t="shared" si="137"/>
        <v>0</v>
      </c>
      <c r="AG204" s="109">
        <f t="shared" si="137"/>
        <v>0</v>
      </c>
      <c r="AH204" s="109">
        <f t="shared" si="137"/>
        <v>0</v>
      </c>
      <c r="AI204" s="109">
        <f t="shared" si="137"/>
        <v>0</v>
      </c>
      <c r="AJ204" s="109">
        <f t="shared" si="137"/>
        <v>0</v>
      </c>
      <c r="AK204" s="109">
        <f t="shared" si="137"/>
        <v>0</v>
      </c>
      <c r="AL204" s="109">
        <f t="shared" si="137"/>
        <v>0</v>
      </c>
      <c r="AM204" s="109">
        <f t="shared" si="137"/>
        <v>0</v>
      </c>
      <c r="AN204" s="109">
        <f t="shared" si="137"/>
        <v>0</v>
      </c>
      <c r="AO204" s="109">
        <f t="shared" si="137"/>
        <v>0</v>
      </c>
      <c r="AP204" s="109">
        <f t="shared" si="137"/>
        <v>0</v>
      </c>
      <c r="AQ204" s="109">
        <f t="shared" si="137"/>
        <v>0</v>
      </c>
      <c r="AR204" s="109">
        <f t="shared" si="137"/>
        <v>0</v>
      </c>
      <c r="AS204" s="109">
        <f t="shared" si="137"/>
        <v>0</v>
      </c>
      <c r="AT204" s="109">
        <f t="shared" si="137"/>
        <v>0</v>
      </c>
      <c r="AU204" s="109">
        <f t="shared" si="137"/>
        <v>0</v>
      </c>
      <c r="AV204" s="109">
        <f t="shared" si="137"/>
        <v>0</v>
      </c>
      <c r="AW204" s="109">
        <f t="shared" si="137"/>
        <v>0</v>
      </c>
      <c r="AX204" s="109">
        <f t="shared" si="137"/>
        <v>0</v>
      </c>
      <c r="AY204" s="109">
        <f t="shared" si="137"/>
        <v>0</v>
      </c>
      <c r="AZ204" s="109">
        <f t="shared" si="137"/>
        <v>0</v>
      </c>
      <c r="BA204" s="109">
        <f t="shared" si="137"/>
        <v>0</v>
      </c>
      <c r="BB204" s="109">
        <f t="shared" si="137"/>
        <v>0</v>
      </c>
      <c r="BC204" s="109">
        <f t="shared" si="137"/>
        <v>0</v>
      </c>
      <c r="BD204" s="109">
        <f t="shared" si="137"/>
        <v>0</v>
      </c>
      <c r="BE204" s="109">
        <f t="shared" si="137"/>
        <v>0</v>
      </c>
      <c r="BF204" s="109">
        <f t="shared" si="137"/>
        <v>0</v>
      </c>
      <c r="BG204" s="109">
        <f t="shared" si="137"/>
        <v>0</v>
      </c>
      <c r="BH204" s="109">
        <f t="shared" si="137"/>
        <v>0</v>
      </c>
      <c r="BI204" s="109">
        <f t="shared" si="137"/>
        <v>0</v>
      </c>
      <c r="BJ204" s="109">
        <f t="shared" si="137"/>
        <v>0</v>
      </c>
      <c r="BK204" s="109">
        <f t="shared" si="137"/>
        <v>0</v>
      </c>
      <c r="BL204" s="109">
        <f t="shared" si="137"/>
        <v>0</v>
      </c>
      <c r="BM204" s="109">
        <f t="shared" si="137"/>
        <v>0</v>
      </c>
      <c r="BN204" s="109">
        <f t="shared" si="137"/>
        <v>0</v>
      </c>
    </row>
    <row r="205" outlineLevel="1">
      <c r="A205" s="47"/>
      <c r="B205" s="39"/>
      <c r="C205" s="39"/>
      <c r="D205" s="47"/>
      <c r="E205" s="47"/>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c r="AC205" s="109"/>
      <c r="AD205" s="109"/>
      <c r="AE205" s="109"/>
      <c r="AF205" s="109"/>
      <c r="AG205" s="109"/>
      <c r="AH205" s="109"/>
      <c r="AI205" s="109"/>
      <c r="AJ205" s="109"/>
      <c r="AK205" s="109"/>
      <c r="AL205" s="109"/>
      <c r="AM205" s="109"/>
      <c r="AN205" s="109"/>
      <c r="AO205" s="109"/>
      <c r="AP205" s="109"/>
      <c r="AQ205" s="109"/>
      <c r="AR205" s="109"/>
      <c r="AS205" s="109"/>
      <c r="AT205" s="109"/>
      <c r="AU205" s="109"/>
      <c r="AV205" s="109"/>
      <c r="AW205" s="109"/>
      <c r="AX205" s="109"/>
      <c r="AY205" s="109"/>
      <c r="AZ205" s="109"/>
      <c r="BA205" s="109"/>
      <c r="BB205" s="109"/>
      <c r="BC205" s="109"/>
      <c r="BD205" s="109"/>
      <c r="BE205" s="109"/>
      <c r="BF205" s="109"/>
      <c r="BG205" s="109"/>
      <c r="BH205" s="109"/>
      <c r="BI205" s="109"/>
      <c r="BJ205" s="109"/>
      <c r="BK205" s="109"/>
      <c r="BL205" s="109"/>
      <c r="BM205" s="109"/>
      <c r="BN205" s="109"/>
    </row>
    <row r="206" outlineLevel="1">
      <c r="A206" s="47"/>
      <c r="B206" s="166" t="s">
        <v>145</v>
      </c>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c r="AA206" s="167"/>
      <c r="AB206" s="167"/>
      <c r="AC206" s="167"/>
      <c r="AD206" s="167"/>
      <c r="AE206" s="167"/>
      <c r="AF206" s="167"/>
      <c r="AG206" s="167"/>
      <c r="AH206" s="167"/>
      <c r="AI206" s="167"/>
      <c r="AJ206" s="167"/>
      <c r="AK206" s="167"/>
      <c r="AL206" s="167"/>
      <c r="AM206" s="167"/>
      <c r="AN206" s="167"/>
      <c r="AO206" s="167"/>
      <c r="AP206" s="167"/>
      <c r="AQ206" s="167"/>
      <c r="AR206" s="167"/>
      <c r="AS206" s="167"/>
      <c r="AT206" s="167"/>
      <c r="AU206" s="167"/>
      <c r="AV206" s="167"/>
      <c r="AW206" s="167"/>
      <c r="AX206" s="167"/>
      <c r="AY206" s="167"/>
      <c r="AZ206" s="167"/>
      <c r="BA206" s="167"/>
      <c r="BB206" s="167"/>
      <c r="BC206" s="167"/>
      <c r="BD206" s="167"/>
      <c r="BE206" s="167"/>
      <c r="BF206" s="167"/>
      <c r="BG206" s="167"/>
      <c r="BH206" s="167"/>
      <c r="BI206" s="167"/>
      <c r="BJ206" s="167"/>
      <c r="BK206" s="167"/>
      <c r="BL206" s="167"/>
      <c r="BM206" s="167"/>
      <c r="BN206" s="167"/>
    </row>
    <row r="207" outlineLevel="1">
      <c r="A207" s="47"/>
      <c r="B207" s="47"/>
      <c r="C207" s="47"/>
      <c r="D207" s="47"/>
      <c r="E207" s="47"/>
      <c r="F207" s="109"/>
      <c r="G207" s="109"/>
      <c r="H207" s="109"/>
      <c r="I207" s="109"/>
      <c r="J207" s="109"/>
      <c r="K207" s="109"/>
      <c r="L207" s="109"/>
      <c r="M207" s="109"/>
      <c r="N207" s="109"/>
      <c r="O207" s="109"/>
      <c r="P207" s="109"/>
      <c r="Q207" s="109"/>
      <c r="R207" s="109"/>
      <c r="S207" s="109"/>
      <c r="T207" s="109"/>
      <c r="U207" s="109"/>
      <c r="V207" s="109"/>
      <c r="W207" s="109"/>
      <c r="X207" s="109"/>
      <c r="Y207" s="109"/>
      <c r="Z207" s="109"/>
      <c r="AA207" s="109"/>
      <c r="AB207" s="109"/>
      <c r="AC207" s="109"/>
      <c r="AD207" s="109"/>
      <c r="AE207" s="109"/>
      <c r="AF207" s="109"/>
      <c r="AG207" s="109"/>
      <c r="AH207" s="109"/>
      <c r="AI207" s="109"/>
      <c r="AJ207" s="109"/>
      <c r="AK207" s="109"/>
      <c r="AL207" s="109"/>
      <c r="AM207" s="109"/>
      <c r="AN207" s="109"/>
      <c r="AO207" s="109"/>
      <c r="AP207" s="109"/>
      <c r="AQ207" s="109"/>
      <c r="AR207" s="109"/>
      <c r="AS207" s="109"/>
      <c r="AT207" s="109"/>
      <c r="AU207" s="109"/>
      <c r="AV207" s="109"/>
      <c r="AW207" s="109"/>
      <c r="AX207" s="109"/>
      <c r="AY207" s="109"/>
      <c r="AZ207" s="109"/>
      <c r="BA207" s="109"/>
      <c r="BB207" s="109"/>
      <c r="BC207" s="109"/>
      <c r="BD207" s="109"/>
      <c r="BE207" s="109"/>
      <c r="BF207" s="109"/>
      <c r="BG207" s="109"/>
      <c r="BH207" s="109"/>
      <c r="BI207" s="109"/>
      <c r="BJ207" s="109"/>
      <c r="BK207" s="109"/>
      <c r="BL207" s="109"/>
      <c r="BM207" s="109"/>
      <c r="BN207" s="109"/>
    </row>
    <row r="208" outlineLevel="1">
      <c r="A208" s="47"/>
      <c r="B208" s="162" t="s">
        <v>146</v>
      </c>
      <c r="C208" s="172">
        <v>15.0</v>
      </c>
      <c r="D208" s="39" t="s">
        <v>147</v>
      </c>
      <c r="E208" s="181"/>
      <c r="F208" s="47"/>
      <c r="G208" s="174">
        <f t="shared" ref="G208:BN208" si="138">SUM(G153,G164,G169,G175,G178)*$C208/30</f>
        <v>34977.865</v>
      </c>
      <c r="H208" s="174">
        <f t="shared" si="138"/>
        <v>44275.20048</v>
      </c>
      <c r="I208" s="174">
        <f t="shared" si="138"/>
        <v>48932.24426</v>
      </c>
      <c r="J208" s="174">
        <f t="shared" si="138"/>
        <v>51260.89179</v>
      </c>
      <c r="K208" s="174">
        <f t="shared" si="138"/>
        <v>52425.21744</v>
      </c>
      <c r="L208" s="174">
        <f t="shared" si="138"/>
        <v>53007.38029</v>
      </c>
      <c r="M208" s="174">
        <f t="shared" si="138"/>
        <v>53298.46172</v>
      </c>
      <c r="N208" s="174">
        <f t="shared" si="138"/>
        <v>53444.00243</v>
      </c>
      <c r="O208" s="174">
        <f t="shared" si="138"/>
        <v>53516.77279</v>
      </c>
      <c r="P208" s="174">
        <f t="shared" si="138"/>
        <v>53553.15797</v>
      </c>
      <c r="Q208" s="174">
        <f t="shared" si="138"/>
        <v>53571.35056</v>
      </c>
      <c r="R208" s="174">
        <f t="shared" si="138"/>
        <v>53580.44685</v>
      </c>
      <c r="S208" s="174">
        <f t="shared" si="138"/>
        <v>53584.995</v>
      </c>
      <c r="T208" s="174">
        <f t="shared" si="138"/>
        <v>53587.26907</v>
      </c>
      <c r="U208" s="174">
        <f t="shared" si="138"/>
        <v>53588.40611</v>
      </c>
      <c r="V208" s="174">
        <f t="shared" si="138"/>
        <v>53588.97463</v>
      </c>
      <c r="W208" s="174">
        <f t="shared" si="138"/>
        <v>53589.25889</v>
      </c>
      <c r="X208" s="174">
        <f t="shared" si="138"/>
        <v>53589.40102</v>
      </c>
      <c r="Y208" s="174">
        <f t="shared" si="138"/>
        <v>53589.47208</v>
      </c>
      <c r="Z208" s="174">
        <f t="shared" si="138"/>
        <v>53589.50761</v>
      </c>
      <c r="AA208" s="174">
        <f t="shared" si="138"/>
        <v>53589.52538</v>
      </c>
      <c r="AB208" s="174">
        <f t="shared" si="138"/>
        <v>53589.53426</v>
      </c>
      <c r="AC208" s="174">
        <f t="shared" si="138"/>
        <v>53589.53871</v>
      </c>
      <c r="AD208" s="174">
        <f t="shared" si="138"/>
        <v>53589.54093</v>
      </c>
      <c r="AE208" s="174">
        <f t="shared" si="138"/>
        <v>53589.54204</v>
      </c>
      <c r="AF208" s="174">
        <f t="shared" si="138"/>
        <v>53589.54259</v>
      </c>
      <c r="AG208" s="174">
        <f t="shared" si="138"/>
        <v>53589.54287</v>
      </c>
      <c r="AH208" s="174">
        <f t="shared" si="138"/>
        <v>53589.54301</v>
      </c>
      <c r="AI208" s="174">
        <f t="shared" si="138"/>
        <v>53589.54308</v>
      </c>
      <c r="AJ208" s="174">
        <f t="shared" si="138"/>
        <v>53589.54311</v>
      </c>
      <c r="AK208" s="174">
        <f t="shared" si="138"/>
        <v>53589.54313</v>
      </c>
      <c r="AL208" s="174">
        <f t="shared" si="138"/>
        <v>53589.54314</v>
      </c>
      <c r="AM208" s="174">
        <f t="shared" si="138"/>
        <v>53589.54314</v>
      </c>
      <c r="AN208" s="174">
        <f t="shared" si="138"/>
        <v>53589.54315</v>
      </c>
      <c r="AO208" s="174">
        <f t="shared" si="138"/>
        <v>53589.54315</v>
      </c>
      <c r="AP208" s="174">
        <f t="shared" si="138"/>
        <v>53589.54315</v>
      </c>
      <c r="AQ208" s="174">
        <f t="shared" si="138"/>
        <v>53589.54315</v>
      </c>
      <c r="AR208" s="174">
        <f t="shared" si="138"/>
        <v>53589.54315</v>
      </c>
      <c r="AS208" s="174">
        <f t="shared" si="138"/>
        <v>53589.54315</v>
      </c>
      <c r="AT208" s="174">
        <f t="shared" si="138"/>
        <v>53589.54315</v>
      </c>
      <c r="AU208" s="174">
        <f t="shared" si="138"/>
        <v>53589.54315</v>
      </c>
      <c r="AV208" s="174">
        <f t="shared" si="138"/>
        <v>53589.54315</v>
      </c>
      <c r="AW208" s="174">
        <f t="shared" si="138"/>
        <v>53589.54315</v>
      </c>
      <c r="AX208" s="174">
        <f t="shared" si="138"/>
        <v>53589.54315</v>
      </c>
      <c r="AY208" s="174">
        <f t="shared" si="138"/>
        <v>53589.54315</v>
      </c>
      <c r="AZ208" s="174">
        <f t="shared" si="138"/>
        <v>53589.54315</v>
      </c>
      <c r="BA208" s="174">
        <f t="shared" si="138"/>
        <v>53589.54315</v>
      </c>
      <c r="BB208" s="174">
        <f t="shared" si="138"/>
        <v>53589.54315</v>
      </c>
      <c r="BC208" s="174">
        <f t="shared" si="138"/>
        <v>53589.54315</v>
      </c>
      <c r="BD208" s="174">
        <f t="shared" si="138"/>
        <v>53589.54315</v>
      </c>
      <c r="BE208" s="174">
        <f t="shared" si="138"/>
        <v>53589.54315</v>
      </c>
      <c r="BF208" s="174">
        <f t="shared" si="138"/>
        <v>53589.54315</v>
      </c>
      <c r="BG208" s="174">
        <f t="shared" si="138"/>
        <v>53589.54315</v>
      </c>
      <c r="BH208" s="174">
        <f t="shared" si="138"/>
        <v>53589.54315</v>
      </c>
      <c r="BI208" s="174">
        <f t="shared" si="138"/>
        <v>53589.54315</v>
      </c>
      <c r="BJ208" s="174">
        <f t="shared" si="138"/>
        <v>53589.54315</v>
      </c>
      <c r="BK208" s="174">
        <f t="shared" si="138"/>
        <v>53589.54315</v>
      </c>
      <c r="BL208" s="174">
        <f t="shared" si="138"/>
        <v>53589.54315</v>
      </c>
      <c r="BM208" s="174">
        <f t="shared" si="138"/>
        <v>53589.54315</v>
      </c>
      <c r="BN208" s="174">
        <f t="shared" si="138"/>
        <v>53589.54315</v>
      </c>
    </row>
    <row r="209" outlineLevel="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row>
    <row r="210" outlineLevel="1">
      <c r="A210" s="47"/>
      <c r="B210" s="166" t="s">
        <v>148</v>
      </c>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c r="AA210" s="167"/>
      <c r="AB210" s="167"/>
      <c r="AC210" s="167"/>
      <c r="AD210" s="167"/>
      <c r="AE210" s="167"/>
      <c r="AF210" s="167"/>
      <c r="AG210" s="167"/>
      <c r="AH210" s="167"/>
      <c r="AI210" s="167"/>
      <c r="AJ210" s="167"/>
      <c r="AK210" s="167"/>
      <c r="AL210" s="167"/>
      <c r="AM210" s="167"/>
      <c r="AN210" s="167"/>
      <c r="AO210" s="167"/>
      <c r="AP210" s="167"/>
      <c r="AQ210" s="167"/>
      <c r="AR210" s="167"/>
      <c r="AS210" s="167"/>
      <c r="AT210" s="167"/>
      <c r="AU210" s="167"/>
      <c r="AV210" s="167"/>
      <c r="AW210" s="167"/>
      <c r="AX210" s="167"/>
      <c r="AY210" s="167"/>
      <c r="AZ210" s="167"/>
      <c r="BA210" s="167"/>
      <c r="BB210" s="167"/>
      <c r="BC210" s="167"/>
      <c r="BD210" s="167"/>
      <c r="BE210" s="167"/>
      <c r="BF210" s="167"/>
      <c r="BG210" s="167"/>
      <c r="BH210" s="167"/>
      <c r="BI210" s="167"/>
      <c r="BJ210" s="167"/>
      <c r="BK210" s="167"/>
      <c r="BL210" s="167"/>
      <c r="BM210" s="167"/>
      <c r="BN210" s="167"/>
    </row>
    <row r="211" outlineLevel="1">
      <c r="A211" s="47"/>
      <c r="B211" s="39"/>
      <c r="C211" s="182"/>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row>
    <row r="212" outlineLevel="1">
      <c r="A212" s="47"/>
      <c r="B212" s="180" t="s">
        <v>149</v>
      </c>
      <c r="C212" s="144">
        <v>120000.0</v>
      </c>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row>
    <row r="213" outlineLevel="1">
      <c r="A213" s="47"/>
      <c r="B213" s="180" t="s">
        <v>150</v>
      </c>
      <c r="C213" s="148">
        <v>0.09</v>
      </c>
      <c r="D213" s="47"/>
      <c r="E213" s="47"/>
      <c r="F213" s="109"/>
      <c r="G213" s="109"/>
      <c r="H213" s="109"/>
      <c r="I213" s="109"/>
      <c r="J213" s="109"/>
      <c r="K213" s="109"/>
      <c r="L213" s="109"/>
      <c r="M213" s="109"/>
      <c r="N213" s="109"/>
      <c r="O213" s="109"/>
      <c r="P213" s="109"/>
      <c r="Q213" s="109"/>
      <c r="R213" s="109"/>
      <c r="S213" s="109"/>
      <c r="T213" s="109"/>
      <c r="U213" s="109"/>
      <c r="V213" s="109"/>
      <c r="W213" s="109"/>
      <c r="X213" s="109"/>
      <c r="Y213" s="109"/>
      <c r="Z213" s="109"/>
      <c r="AA213" s="109"/>
      <c r="AB213" s="109"/>
      <c r="AC213" s="109"/>
      <c r="AD213" s="109"/>
      <c r="AE213" s="109"/>
      <c r="AF213" s="109"/>
      <c r="AG213" s="109"/>
      <c r="AH213" s="109"/>
      <c r="AI213" s="109"/>
      <c r="AJ213" s="109"/>
      <c r="AK213" s="109"/>
      <c r="AL213" s="109"/>
      <c r="AM213" s="109"/>
      <c r="AN213" s="109"/>
      <c r="AO213" s="109"/>
      <c r="AP213" s="109"/>
      <c r="AQ213" s="109"/>
      <c r="AR213" s="109"/>
      <c r="AS213" s="109"/>
      <c r="AT213" s="109"/>
      <c r="AU213" s="109"/>
      <c r="AV213" s="109"/>
      <c r="AW213" s="109"/>
      <c r="AX213" s="109"/>
      <c r="AY213" s="109"/>
      <c r="AZ213" s="109"/>
      <c r="BA213" s="109"/>
      <c r="BB213" s="109"/>
      <c r="BC213" s="109"/>
      <c r="BD213" s="109"/>
      <c r="BE213" s="109"/>
      <c r="BF213" s="109"/>
      <c r="BG213" s="109"/>
      <c r="BH213" s="109"/>
      <c r="BI213" s="109"/>
      <c r="BJ213" s="109"/>
      <c r="BK213" s="109"/>
      <c r="BL213" s="109"/>
      <c r="BM213" s="109"/>
      <c r="BN213" s="109"/>
    </row>
    <row r="214" outlineLevel="1">
      <c r="A214" s="47"/>
      <c r="B214" s="180"/>
      <c r="C214" s="39"/>
      <c r="D214" s="39"/>
      <c r="E214" s="183"/>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row>
    <row r="215" outlineLevel="1">
      <c r="A215" s="47"/>
      <c r="B215" s="184" t="s">
        <v>151</v>
      </c>
      <c r="C215" s="184"/>
      <c r="D215" s="184"/>
      <c r="E215" s="184"/>
      <c r="F215" s="185"/>
      <c r="G215" s="185"/>
      <c r="H215" s="185"/>
      <c r="I215" s="185"/>
      <c r="J215" s="185"/>
      <c r="K215" s="185"/>
      <c r="L215" s="185"/>
      <c r="M215" s="185"/>
      <c r="N215" s="185"/>
      <c r="O215" s="185"/>
      <c r="P215" s="185"/>
      <c r="Q215" s="185"/>
      <c r="R215" s="185"/>
      <c r="S215" s="185"/>
      <c r="T215" s="185"/>
      <c r="U215" s="185"/>
      <c r="V215" s="185"/>
      <c r="W215" s="185"/>
      <c r="X215" s="185"/>
      <c r="Y215" s="185"/>
      <c r="Z215" s="185"/>
      <c r="AA215" s="185"/>
      <c r="AB215" s="185"/>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c r="AX215" s="185"/>
      <c r="AY215" s="185"/>
      <c r="AZ215" s="185"/>
      <c r="BA215" s="185"/>
      <c r="BB215" s="185"/>
      <c r="BC215" s="185"/>
      <c r="BD215" s="185"/>
      <c r="BE215" s="185"/>
      <c r="BF215" s="185"/>
      <c r="BG215" s="185"/>
      <c r="BH215" s="185"/>
      <c r="BI215" s="185"/>
      <c r="BJ215" s="185"/>
      <c r="BK215" s="185"/>
      <c r="BL215" s="185"/>
      <c r="BM215" s="185"/>
      <c r="BN215" s="185"/>
    </row>
    <row r="216" outlineLevel="1">
      <c r="A216" s="47"/>
      <c r="B216" s="186" t="s">
        <v>152</v>
      </c>
      <c r="C216" s="187" t="s">
        <v>153</v>
      </c>
      <c r="D216" s="188" t="s">
        <v>154</v>
      </c>
      <c r="E216" s="189"/>
      <c r="F216" s="109"/>
      <c r="G216" s="109"/>
      <c r="H216" s="109"/>
      <c r="I216" s="109"/>
      <c r="J216" s="109"/>
      <c r="K216" s="109"/>
      <c r="L216" s="109"/>
      <c r="M216" s="109"/>
      <c r="N216" s="109"/>
      <c r="O216" s="109"/>
      <c r="P216" s="109"/>
      <c r="Q216" s="109"/>
      <c r="R216" s="109"/>
      <c r="S216" s="109"/>
      <c r="T216" s="109"/>
      <c r="U216" s="109"/>
      <c r="V216" s="109"/>
      <c r="W216" s="109"/>
      <c r="X216" s="109"/>
      <c r="Y216" s="109"/>
      <c r="Z216" s="109"/>
      <c r="AA216" s="109"/>
      <c r="AB216" s="109"/>
      <c r="AC216" s="109"/>
      <c r="AD216" s="109"/>
      <c r="AE216" s="109"/>
      <c r="AF216" s="109"/>
      <c r="AG216" s="109"/>
      <c r="AH216" s="109"/>
      <c r="AI216" s="109"/>
      <c r="AJ216" s="109"/>
      <c r="AK216" s="109"/>
      <c r="AL216" s="109"/>
      <c r="AM216" s="109"/>
      <c r="AN216" s="109"/>
      <c r="AO216" s="109"/>
      <c r="AP216" s="109"/>
      <c r="AQ216" s="109"/>
      <c r="AR216" s="109"/>
      <c r="AS216" s="109"/>
      <c r="AT216" s="109"/>
      <c r="AU216" s="109"/>
      <c r="AV216" s="109"/>
      <c r="AW216" s="109"/>
      <c r="AX216" s="109"/>
      <c r="AY216" s="109"/>
      <c r="AZ216" s="109"/>
      <c r="BA216" s="109"/>
      <c r="BB216" s="109"/>
      <c r="BC216" s="109"/>
      <c r="BD216" s="109"/>
      <c r="BE216" s="109"/>
      <c r="BF216" s="109"/>
      <c r="BG216" s="109"/>
      <c r="BH216" s="109"/>
      <c r="BI216" s="109"/>
      <c r="BJ216" s="109"/>
      <c r="BK216" s="109"/>
      <c r="BL216" s="109"/>
      <c r="BM216" s="109"/>
      <c r="BN216" s="109"/>
    </row>
    <row r="217" outlineLevel="1">
      <c r="A217" s="47"/>
      <c r="B217" s="149" t="s">
        <v>155</v>
      </c>
      <c r="C217" s="68">
        <v>0.0</v>
      </c>
      <c r="D217" s="190">
        <v>44562.0</v>
      </c>
      <c r="E217" s="189"/>
      <c r="F217" s="109"/>
      <c r="G217" s="109">
        <f t="shared" ref="G217:BN217" si="139">IF(AND(Month(G$4)=Month($D217),Year(G$4)=Year($D217)),$C217,0)</f>
        <v>0</v>
      </c>
      <c r="H217" s="109">
        <f t="shared" si="139"/>
        <v>0</v>
      </c>
      <c r="I217" s="109">
        <f t="shared" si="139"/>
        <v>0</v>
      </c>
      <c r="J217" s="109">
        <f t="shared" si="139"/>
        <v>0</v>
      </c>
      <c r="K217" s="109">
        <f t="shared" si="139"/>
        <v>0</v>
      </c>
      <c r="L217" s="109">
        <f t="shared" si="139"/>
        <v>0</v>
      </c>
      <c r="M217" s="109">
        <f t="shared" si="139"/>
        <v>0</v>
      </c>
      <c r="N217" s="109">
        <f t="shared" si="139"/>
        <v>0</v>
      </c>
      <c r="O217" s="109">
        <f t="shared" si="139"/>
        <v>0</v>
      </c>
      <c r="P217" s="109">
        <f t="shared" si="139"/>
        <v>0</v>
      </c>
      <c r="Q217" s="109">
        <f t="shared" si="139"/>
        <v>0</v>
      </c>
      <c r="R217" s="109">
        <f t="shared" si="139"/>
        <v>0</v>
      </c>
      <c r="S217" s="109">
        <f t="shared" si="139"/>
        <v>0</v>
      </c>
      <c r="T217" s="109">
        <f t="shared" si="139"/>
        <v>0</v>
      </c>
      <c r="U217" s="109">
        <f t="shared" si="139"/>
        <v>0</v>
      </c>
      <c r="V217" s="109">
        <f t="shared" si="139"/>
        <v>0</v>
      </c>
      <c r="W217" s="109">
        <f t="shared" si="139"/>
        <v>0</v>
      </c>
      <c r="X217" s="109">
        <f t="shared" si="139"/>
        <v>0</v>
      </c>
      <c r="Y217" s="109">
        <f t="shared" si="139"/>
        <v>0</v>
      </c>
      <c r="Z217" s="109">
        <f t="shared" si="139"/>
        <v>0</v>
      </c>
      <c r="AA217" s="109">
        <f t="shared" si="139"/>
        <v>0</v>
      </c>
      <c r="AB217" s="109">
        <f t="shared" si="139"/>
        <v>0</v>
      </c>
      <c r="AC217" s="109">
        <f t="shared" si="139"/>
        <v>0</v>
      </c>
      <c r="AD217" s="109">
        <f t="shared" si="139"/>
        <v>0</v>
      </c>
      <c r="AE217" s="109">
        <f t="shared" si="139"/>
        <v>0</v>
      </c>
      <c r="AF217" s="109">
        <f t="shared" si="139"/>
        <v>0</v>
      </c>
      <c r="AG217" s="109">
        <f t="shared" si="139"/>
        <v>0</v>
      </c>
      <c r="AH217" s="109">
        <f t="shared" si="139"/>
        <v>0</v>
      </c>
      <c r="AI217" s="109">
        <f t="shared" si="139"/>
        <v>0</v>
      </c>
      <c r="AJ217" s="109">
        <f t="shared" si="139"/>
        <v>0</v>
      </c>
      <c r="AK217" s="109">
        <f t="shared" si="139"/>
        <v>0</v>
      </c>
      <c r="AL217" s="109">
        <f t="shared" si="139"/>
        <v>0</v>
      </c>
      <c r="AM217" s="109">
        <f t="shared" si="139"/>
        <v>0</v>
      </c>
      <c r="AN217" s="109">
        <f t="shared" si="139"/>
        <v>0</v>
      </c>
      <c r="AO217" s="109">
        <f t="shared" si="139"/>
        <v>0</v>
      </c>
      <c r="AP217" s="109">
        <f t="shared" si="139"/>
        <v>0</v>
      </c>
      <c r="AQ217" s="109">
        <f t="shared" si="139"/>
        <v>0</v>
      </c>
      <c r="AR217" s="109">
        <f t="shared" si="139"/>
        <v>0</v>
      </c>
      <c r="AS217" s="109">
        <f t="shared" si="139"/>
        <v>0</v>
      </c>
      <c r="AT217" s="109">
        <f t="shared" si="139"/>
        <v>0</v>
      </c>
      <c r="AU217" s="109">
        <f t="shared" si="139"/>
        <v>0</v>
      </c>
      <c r="AV217" s="109">
        <f t="shared" si="139"/>
        <v>0</v>
      </c>
      <c r="AW217" s="109">
        <f t="shared" si="139"/>
        <v>0</v>
      </c>
      <c r="AX217" s="109">
        <f t="shared" si="139"/>
        <v>0</v>
      </c>
      <c r="AY217" s="109">
        <f t="shared" si="139"/>
        <v>0</v>
      </c>
      <c r="AZ217" s="109">
        <f t="shared" si="139"/>
        <v>0</v>
      </c>
      <c r="BA217" s="109">
        <f t="shared" si="139"/>
        <v>0</v>
      </c>
      <c r="BB217" s="109">
        <f t="shared" si="139"/>
        <v>0</v>
      </c>
      <c r="BC217" s="109">
        <f t="shared" si="139"/>
        <v>0</v>
      </c>
      <c r="BD217" s="109">
        <f t="shared" si="139"/>
        <v>0</v>
      </c>
      <c r="BE217" s="109">
        <f t="shared" si="139"/>
        <v>0</v>
      </c>
      <c r="BF217" s="109">
        <f t="shared" si="139"/>
        <v>0</v>
      </c>
      <c r="BG217" s="109">
        <f t="shared" si="139"/>
        <v>0</v>
      </c>
      <c r="BH217" s="109">
        <f t="shared" si="139"/>
        <v>0</v>
      </c>
      <c r="BI217" s="109">
        <f t="shared" si="139"/>
        <v>0</v>
      </c>
      <c r="BJ217" s="109">
        <f t="shared" si="139"/>
        <v>0</v>
      </c>
      <c r="BK217" s="109">
        <f t="shared" si="139"/>
        <v>0</v>
      </c>
      <c r="BL217" s="109">
        <f t="shared" si="139"/>
        <v>0</v>
      </c>
      <c r="BM217" s="109">
        <f t="shared" si="139"/>
        <v>0</v>
      </c>
      <c r="BN217" s="109">
        <f t="shared" si="139"/>
        <v>0</v>
      </c>
    </row>
    <row r="218" outlineLevel="1">
      <c r="A218" s="47"/>
      <c r="B218" s="149" t="s">
        <v>156</v>
      </c>
      <c r="C218" s="68">
        <v>0.0</v>
      </c>
      <c r="D218" s="190"/>
      <c r="E218" s="189"/>
      <c r="F218" s="109"/>
      <c r="G218" s="109">
        <f t="shared" ref="G218:BN218" si="140">IF(AND(Month(G$4)=Month($D218),Year(G$4)=Year($D218)),$C218,0)</f>
        <v>0</v>
      </c>
      <c r="H218" s="109">
        <f t="shared" si="140"/>
        <v>0</v>
      </c>
      <c r="I218" s="109">
        <f t="shared" si="140"/>
        <v>0</v>
      </c>
      <c r="J218" s="109">
        <f t="shared" si="140"/>
        <v>0</v>
      </c>
      <c r="K218" s="109">
        <f t="shared" si="140"/>
        <v>0</v>
      </c>
      <c r="L218" s="109">
        <f t="shared" si="140"/>
        <v>0</v>
      </c>
      <c r="M218" s="109">
        <f t="shared" si="140"/>
        <v>0</v>
      </c>
      <c r="N218" s="109">
        <f t="shared" si="140"/>
        <v>0</v>
      </c>
      <c r="O218" s="109">
        <f t="shared" si="140"/>
        <v>0</v>
      </c>
      <c r="P218" s="109">
        <f t="shared" si="140"/>
        <v>0</v>
      </c>
      <c r="Q218" s="109">
        <f t="shared" si="140"/>
        <v>0</v>
      </c>
      <c r="R218" s="109">
        <f t="shared" si="140"/>
        <v>0</v>
      </c>
      <c r="S218" s="109">
        <f t="shared" si="140"/>
        <v>0</v>
      </c>
      <c r="T218" s="109">
        <f t="shared" si="140"/>
        <v>0</v>
      </c>
      <c r="U218" s="109">
        <f t="shared" si="140"/>
        <v>0</v>
      </c>
      <c r="V218" s="109">
        <f t="shared" si="140"/>
        <v>0</v>
      </c>
      <c r="W218" s="109">
        <f t="shared" si="140"/>
        <v>0</v>
      </c>
      <c r="X218" s="109">
        <f t="shared" si="140"/>
        <v>0</v>
      </c>
      <c r="Y218" s="109">
        <f t="shared" si="140"/>
        <v>0</v>
      </c>
      <c r="Z218" s="109">
        <f t="shared" si="140"/>
        <v>0</v>
      </c>
      <c r="AA218" s="109">
        <f t="shared" si="140"/>
        <v>0</v>
      </c>
      <c r="AB218" s="109">
        <f t="shared" si="140"/>
        <v>0</v>
      </c>
      <c r="AC218" s="109">
        <f t="shared" si="140"/>
        <v>0</v>
      </c>
      <c r="AD218" s="109">
        <f t="shared" si="140"/>
        <v>0</v>
      </c>
      <c r="AE218" s="109">
        <f t="shared" si="140"/>
        <v>0</v>
      </c>
      <c r="AF218" s="109">
        <f t="shared" si="140"/>
        <v>0</v>
      </c>
      <c r="AG218" s="109">
        <f t="shared" si="140"/>
        <v>0</v>
      </c>
      <c r="AH218" s="109">
        <f t="shared" si="140"/>
        <v>0</v>
      </c>
      <c r="AI218" s="109">
        <f t="shared" si="140"/>
        <v>0</v>
      </c>
      <c r="AJ218" s="109">
        <f t="shared" si="140"/>
        <v>0</v>
      </c>
      <c r="AK218" s="109">
        <f t="shared" si="140"/>
        <v>0</v>
      </c>
      <c r="AL218" s="109">
        <f t="shared" si="140"/>
        <v>0</v>
      </c>
      <c r="AM218" s="109">
        <f t="shared" si="140"/>
        <v>0</v>
      </c>
      <c r="AN218" s="109">
        <f t="shared" si="140"/>
        <v>0</v>
      </c>
      <c r="AO218" s="109">
        <f t="shared" si="140"/>
        <v>0</v>
      </c>
      <c r="AP218" s="109">
        <f t="shared" si="140"/>
        <v>0</v>
      </c>
      <c r="AQ218" s="109">
        <f t="shared" si="140"/>
        <v>0</v>
      </c>
      <c r="AR218" s="109">
        <f t="shared" si="140"/>
        <v>0</v>
      </c>
      <c r="AS218" s="109">
        <f t="shared" si="140"/>
        <v>0</v>
      </c>
      <c r="AT218" s="109">
        <f t="shared" si="140"/>
        <v>0</v>
      </c>
      <c r="AU218" s="109">
        <f t="shared" si="140"/>
        <v>0</v>
      </c>
      <c r="AV218" s="109">
        <f t="shared" si="140"/>
        <v>0</v>
      </c>
      <c r="AW218" s="109">
        <f t="shared" si="140"/>
        <v>0</v>
      </c>
      <c r="AX218" s="109">
        <f t="shared" si="140"/>
        <v>0</v>
      </c>
      <c r="AY218" s="109">
        <f t="shared" si="140"/>
        <v>0</v>
      </c>
      <c r="AZ218" s="109">
        <f t="shared" si="140"/>
        <v>0</v>
      </c>
      <c r="BA218" s="109">
        <f t="shared" si="140"/>
        <v>0</v>
      </c>
      <c r="BB218" s="109">
        <f t="shared" si="140"/>
        <v>0</v>
      </c>
      <c r="BC218" s="109">
        <f t="shared" si="140"/>
        <v>0</v>
      </c>
      <c r="BD218" s="109">
        <f t="shared" si="140"/>
        <v>0</v>
      </c>
      <c r="BE218" s="109">
        <f t="shared" si="140"/>
        <v>0</v>
      </c>
      <c r="BF218" s="109">
        <f t="shared" si="140"/>
        <v>0</v>
      </c>
      <c r="BG218" s="109">
        <f t="shared" si="140"/>
        <v>0</v>
      </c>
      <c r="BH218" s="109">
        <f t="shared" si="140"/>
        <v>0</v>
      </c>
      <c r="BI218" s="109">
        <f t="shared" si="140"/>
        <v>0</v>
      </c>
      <c r="BJ218" s="109">
        <f t="shared" si="140"/>
        <v>0</v>
      </c>
      <c r="BK218" s="109">
        <f t="shared" si="140"/>
        <v>0</v>
      </c>
      <c r="BL218" s="109">
        <f t="shared" si="140"/>
        <v>0</v>
      </c>
      <c r="BM218" s="109">
        <f t="shared" si="140"/>
        <v>0</v>
      </c>
      <c r="BN218" s="109">
        <f t="shared" si="140"/>
        <v>0</v>
      </c>
    </row>
    <row r="219" outlineLevel="1">
      <c r="A219" s="47"/>
      <c r="B219" s="149" t="s">
        <v>157</v>
      </c>
      <c r="C219" s="68">
        <v>0.0</v>
      </c>
      <c r="D219" s="190"/>
      <c r="E219" s="189"/>
      <c r="F219" s="109"/>
      <c r="G219" s="109">
        <f t="shared" ref="G219:BN219" si="141">IF(AND(Month(G$4)=Month($D219),Year(G$4)=Year($D219)),$C219,0)</f>
        <v>0</v>
      </c>
      <c r="H219" s="109">
        <f t="shared" si="141"/>
        <v>0</v>
      </c>
      <c r="I219" s="109">
        <f t="shared" si="141"/>
        <v>0</v>
      </c>
      <c r="J219" s="109">
        <f t="shared" si="141"/>
        <v>0</v>
      </c>
      <c r="K219" s="109">
        <f t="shared" si="141"/>
        <v>0</v>
      </c>
      <c r="L219" s="109">
        <f t="shared" si="141"/>
        <v>0</v>
      </c>
      <c r="M219" s="109">
        <f t="shared" si="141"/>
        <v>0</v>
      </c>
      <c r="N219" s="109">
        <f t="shared" si="141"/>
        <v>0</v>
      </c>
      <c r="O219" s="109">
        <f t="shared" si="141"/>
        <v>0</v>
      </c>
      <c r="P219" s="109">
        <f t="shared" si="141"/>
        <v>0</v>
      </c>
      <c r="Q219" s="109">
        <f t="shared" si="141"/>
        <v>0</v>
      </c>
      <c r="R219" s="109">
        <f t="shared" si="141"/>
        <v>0</v>
      </c>
      <c r="S219" s="109">
        <f t="shared" si="141"/>
        <v>0</v>
      </c>
      <c r="T219" s="109">
        <f t="shared" si="141"/>
        <v>0</v>
      </c>
      <c r="U219" s="109">
        <f t="shared" si="141"/>
        <v>0</v>
      </c>
      <c r="V219" s="109">
        <f t="shared" si="141"/>
        <v>0</v>
      </c>
      <c r="W219" s="109">
        <f t="shared" si="141"/>
        <v>0</v>
      </c>
      <c r="X219" s="109">
        <f t="shared" si="141"/>
        <v>0</v>
      </c>
      <c r="Y219" s="109">
        <f t="shared" si="141"/>
        <v>0</v>
      </c>
      <c r="Z219" s="109">
        <f t="shared" si="141"/>
        <v>0</v>
      </c>
      <c r="AA219" s="109">
        <f t="shared" si="141"/>
        <v>0</v>
      </c>
      <c r="AB219" s="109">
        <f t="shared" si="141"/>
        <v>0</v>
      </c>
      <c r="AC219" s="109">
        <f t="shared" si="141"/>
        <v>0</v>
      </c>
      <c r="AD219" s="109">
        <f t="shared" si="141"/>
        <v>0</v>
      </c>
      <c r="AE219" s="109">
        <f t="shared" si="141"/>
        <v>0</v>
      </c>
      <c r="AF219" s="109">
        <f t="shared" si="141"/>
        <v>0</v>
      </c>
      <c r="AG219" s="109">
        <f t="shared" si="141"/>
        <v>0</v>
      </c>
      <c r="AH219" s="109">
        <f t="shared" si="141"/>
        <v>0</v>
      </c>
      <c r="AI219" s="109">
        <f t="shared" si="141"/>
        <v>0</v>
      </c>
      <c r="AJ219" s="109">
        <f t="shared" si="141"/>
        <v>0</v>
      </c>
      <c r="AK219" s="109">
        <f t="shared" si="141"/>
        <v>0</v>
      </c>
      <c r="AL219" s="109">
        <f t="shared" si="141"/>
        <v>0</v>
      </c>
      <c r="AM219" s="109">
        <f t="shared" si="141"/>
        <v>0</v>
      </c>
      <c r="AN219" s="109">
        <f t="shared" si="141"/>
        <v>0</v>
      </c>
      <c r="AO219" s="109">
        <f t="shared" si="141"/>
        <v>0</v>
      </c>
      <c r="AP219" s="109">
        <f t="shared" si="141"/>
        <v>0</v>
      </c>
      <c r="AQ219" s="109">
        <f t="shared" si="141"/>
        <v>0</v>
      </c>
      <c r="AR219" s="109">
        <f t="shared" si="141"/>
        <v>0</v>
      </c>
      <c r="AS219" s="109">
        <f t="shared" si="141"/>
        <v>0</v>
      </c>
      <c r="AT219" s="109">
        <f t="shared" si="141"/>
        <v>0</v>
      </c>
      <c r="AU219" s="109">
        <f t="shared" si="141"/>
        <v>0</v>
      </c>
      <c r="AV219" s="109">
        <f t="shared" si="141"/>
        <v>0</v>
      </c>
      <c r="AW219" s="109">
        <f t="shared" si="141"/>
        <v>0</v>
      </c>
      <c r="AX219" s="109">
        <f t="shared" si="141"/>
        <v>0</v>
      </c>
      <c r="AY219" s="109">
        <f t="shared" si="141"/>
        <v>0</v>
      </c>
      <c r="AZ219" s="109">
        <f t="shared" si="141"/>
        <v>0</v>
      </c>
      <c r="BA219" s="109">
        <f t="shared" si="141"/>
        <v>0</v>
      </c>
      <c r="BB219" s="109">
        <f t="shared" si="141"/>
        <v>0</v>
      </c>
      <c r="BC219" s="109">
        <f t="shared" si="141"/>
        <v>0</v>
      </c>
      <c r="BD219" s="109">
        <f t="shared" si="141"/>
        <v>0</v>
      </c>
      <c r="BE219" s="109">
        <f t="shared" si="141"/>
        <v>0</v>
      </c>
      <c r="BF219" s="109">
        <f t="shared" si="141"/>
        <v>0</v>
      </c>
      <c r="BG219" s="109">
        <f t="shared" si="141"/>
        <v>0</v>
      </c>
      <c r="BH219" s="109">
        <f t="shared" si="141"/>
        <v>0</v>
      </c>
      <c r="BI219" s="109">
        <f t="shared" si="141"/>
        <v>0</v>
      </c>
      <c r="BJ219" s="109">
        <f t="shared" si="141"/>
        <v>0</v>
      </c>
      <c r="BK219" s="109">
        <f t="shared" si="141"/>
        <v>0</v>
      </c>
      <c r="BL219" s="109">
        <f t="shared" si="141"/>
        <v>0</v>
      </c>
      <c r="BM219" s="109">
        <f t="shared" si="141"/>
        <v>0</v>
      </c>
      <c r="BN219" s="109">
        <f t="shared" si="141"/>
        <v>0</v>
      </c>
    </row>
    <row r="220" outlineLevel="1">
      <c r="A220" s="47"/>
      <c r="B220" s="149" t="s">
        <v>157</v>
      </c>
      <c r="C220" s="68">
        <v>0.0</v>
      </c>
      <c r="D220" s="190"/>
      <c r="E220" s="189"/>
      <c r="F220" s="109"/>
      <c r="G220" s="109">
        <f t="shared" ref="G220:BN220" si="142">IF(AND(Month(G$4)=Month($D220),Year(G$4)=Year($D220)),$C220,0)</f>
        <v>0</v>
      </c>
      <c r="H220" s="109">
        <f t="shared" si="142"/>
        <v>0</v>
      </c>
      <c r="I220" s="109">
        <f t="shared" si="142"/>
        <v>0</v>
      </c>
      <c r="J220" s="109">
        <f t="shared" si="142"/>
        <v>0</v>
      </c>
      <c r="K220" s="109">
        <f t="shared" si="142"/>
        <v>0</v>
      </c>
      <c r="L220" s="109">
        <f t="shared" si="142"/>
        <v>0</v>
      </c>
      <c r="M220" s="109">
        <f t="shared" si="142"/>
        <v>0</v>
      </c>
      <c r="N220" s="109">
        <f t="shared" si="142"/>
        <v>0</v>
      </c>
      <c r="O220" s="109">
        <f t="shared" si="142"/>
        <v>0</v>
      </c>
      <c r="P220" s="109">
        <f t="shared" si="142"/>
        <v>0</v>
      </c>
      <c r="Q220" s="109">
        <f t="shared" si="142"/>
        <v>0</v>
      </c>
      <c r="R220" s="109">
        <f t="shared" si="142"/>
        <v>0</v>
      </c>
      <c r="S220" s="109">
        <f t="shared" si="142"/>
        <v>0</v>
      </c>
      <c r="T220" s="109">
        <f t="shared" si="142"/>
        <v>0</v>
      </c>
      <c r="U220" s="109">
        <f t="shared" si="142"/>
        <v>0</v>
      </c>
      <c r="V220" s="109">
        <f t="shared" si="142"/>
        <v>0</v>
      </c>
      <c r="W220" s="109">
        <f t="shared" si="142"/>
        <v>0</v>
      </c>
      <c r="X220" s="109">
        <f t="shared" si="142"/>
        <v>0</v>
      </c>
      <c r="Y220" s="109">
        <f t="shared" si="142"/>
        <v>0</v>
      </c>
      <c r="Z220" s="109">
        <f t="shared" si="142"/>
        <v>0</v>
      </c>
      <c r="AA220" s="109">
        <f t="shared" si="142"/>
        <v>0</v>
      </c>
      <c r="AB220" s="109">
        <f t="shared" si="142"/>
        <v>0</v>
      </c>
      <c r="AC220" s="109">
        <f t="shared" si="142"/>
        <v>0</v>
      </c>
      <c r="AD220" s="109">
        <f t="shared" si="142"/>
        <v>0</v>
      </c>
      <c r="AE220" s="109">
        <f t="shared" si="142"/>
        <v>0</v>
      </c>
      <c r="AF220" s="109">
        <f t="shared" si="142"/>
        <v>0</v>
      </c>
      <c r="AG220" s="109">
        <f t="shared" si="142"/>
        <v>0</v>
      </c>
      <c r="AH220" s="109">
        <f t="shared" si="142"/>
        <v>0</v>
      </c>
      <c r="AI220" s="109">
        <f t="shared" si="142"/>
        <v>0</v>
      </c>
      <c r="AJ220" s="109">
        <f t="shared" si="142"/>
        <v>0</v>
      </c>
      <c r="AK220" s="109">
        <f t="shared" si="142"/>
        <v>0</v>
      </c>
      <c r="AL220" s="109">
        <f t="shared" si="142"/>
        <v>0</v>
      </c>
      <c r="AM220" s="109">
        <f t="shared" si="142"/>
        <v>0</v>
      </c>
      <c r="AN220" s="109">
        <f t="shared" si="142"/>
        <v>0</v>
      </c>
      <c r="AO220" s="109">
        <f t="shared" si="142"/>
        <v>0</v>
      </c>
      <c r="AP220" s="109">
        <f t="shared" si="142"/>
        <v>0</v>
      </c>
      <c r="AQ220" s="109">
        <f t="shared" si="142"/>
        <v>0</v>
      </c>
      <c r="AR220" s="109">
        <f t="shared" si="142"/>
        <v>0</v>
      </c>
      <c r="AS220" s="109">
        <f t="shared" si="142"/>
        <v>0</v>
      </c>
      <c r="AT220" s="109">
        <f t="shared" si="142"/>
        <v>0</v>
      </c>
      <c r="AU220" s="109">
        <f t="shared" si="142"/>
        <v>0</v>
      </c>
      <c r="AV220" s="109">
        <f t="shared" si="142"/>
        <v>0</v>
      </c>
      <c r="AW220" s="109">
        <f t="shared" si="142"/>
        <v>0</v>
      </c>
      <c r="AX220" s="109">
        <f t="shared" si="142"/>
        <v>0</v>
      </c>
      <c r="AY220" s="109">
        <f t="shared" si="142"/>
        <v>0</v>
      </c>
      <c r="AZ220" s="109">
        <f t="shared" si="142"/>
        <v>0</v>
      </c>
      <c r="BA220" s="109">
        <f t="shared" si="142"/>
        <v>0</v>
      </c>
      <c r="BB220" s="109">
        <f t="shared" si="142"/>
        <v>0</v>
      </c>
      <c r="BC220" s="109">
        <f t="shared" si="142"/>
        <v>0</v>
      </c>
      <c r="BD220" s="109">
        <f t="shared" si="142"/>
        <v>0</v>
      </c>
      <c r="BE220" s="109">
        <f t="shared" si="142"/>
        <v>0</v>
      </c>
      <c r="BF220" s="109">
        <f t="shared" si="142"/>
        <v>0</v>
      </c>
      <c r="BG220" s="109">
        <f t="shared" si="142"/>
        <v>0</v>
      </c>
      <c r="BH220" s="109">
        <f t="shared" si="142"/>
        <v>0</v>
      </c>
      <c r="BI220" s="109">
        <f t="shared" si="142"/>
        <v>0</v>
      </c>
      <c r="BJ220" s="109">
        <f t="shared" si="142"/>
        <v>0</v>
      </c>
      <c r="BK220" s="109">
        <f t="shared" si="142"/>
        <v>0</v>
      </c>
      <c r="BL220" s="109">
        <f t="shared" si="142"/>
        <v>0</v>
      </c>
      <c r="BM220" s="109">
        <f t="shared" si="142"/>
        <v>0</v>
      </c>
      <c r="BN220" s="109">
        <f t="shared" si="142"/>
        <v>0</v>
      </c>
    </row>
    <row r="221" outlineLevel="1">
      <c r="A221" s="47"/>
      <c r="B221" s="47"/>
      <c r="C221" s="47"/>
      <c r="D221" s="47"/>
      <c r="E221" s="47"/>
      <c r="F221" s="109"/>
      <c r="G221" s="109"/>
      <c r="H221" s="109"/>
      <c r="I221" s="109"/>
      <c r="J221" s="109"/>
      <c r="K221" s="109"/>
      <c r="L221" s="109"/>
      <c r="M221" s="109"/>
      <c r="N221" s="109"/>
      <c r="O221" s="109"/>
      <c r="P221" s="109"/>
      <c r="Q221" s="109"/>
      <c r="R221" s="109"/>
      <c r="S221" s="109"/>
      <c r="T221" s="109"/>
      <c r="U221" s="109"/>
      <c r="V221" s="109"/>
      <c r="W221" s="109"/>
      <c r="X221" s="109"/>
      <c r="Y221" s="109"/>
      <c r="Z221" s="109"/>
      <c r="AA221" s="109"/>
      <c r="AB221" s="109"/>
      <c r="AC221" s="109"/>
      <c r="AD221" s="109"/>
      <c r="AE221" s="109"/>
      <c r="AF221" s="109"/>
      <c r="AG221" s="109"/>
      <c r="AH221" s="109"/>
      <c r="AI221" s="109"/>
      <c r="AJ221" s="109"/>
      <c r="AK221" s="109"/>
      <c r="AL221" s="109"/>
      <c r="AM221" s="109"/>
      <c r="AN221" s="109"/>
      <c r="AO221" s="109"/>
      <c r="AP221" s="109"/>
      <c r="AQ221" s="109"/>
      <c r="AR221" s="109"/>
      <c r="AS221" s="109"/>
      <c r="AT221" s="109"/>
      <c r="AU221" s="109"/>
      <c r="AV221" s="109"/>
      <c r="AW221" s="109"/>
      <c r="AX221" s="109"/>
      <c r="AY221" s="109"/>
      <c r="AZ221" s="109"/>
      <c r="BA221" s="109"/>
      <c r="BB221" s="109"/>
      <c r="BC221" s="109"/>
      <c r="BD221" s="109"/>
      <c r="BE221" s="109"/>
      <c r="BF221" s="109"/>
      <c r="BG221" s="109"/>
      <c r="BH221" s="109"/>
      <c r="BI221" s="109"/>
      <c r="BJ221" s="109"/>
      <c r="BK221" s="109"/>
      <c r="BL221" s="109"/>
      <c r="BM221" s="109"/>
      <c r="BN221" s="109"/>
    </row>
    <row r="222" outlineLevel="1">
      <c r="A222" s="47"/>
      <c r="B222" s="65" t="s">
        <v>151</v>
      </c>
      <c r="C222" s="81"/>
      <c r="D222" s="81"/>
      <c r="E222" s="81"/>
      <c r="F222" s="171"/>
      <c r="G222" s="171">
        <f>SUM(G217:G220)</f>
        <v>0</v>
      </c>
      <c r="H222" s="171">
        <f t="shared" ref="H222:BN222" si="143">G222+sum(H217:H220)</f>
        <v>0</v>
      </c>
      <c r="I222" s="171">
        <f t="shared" si="143"/>
        <v>0</v>
      </c>
      <c r="J222" s="171">
        <f t="shared" si="143"/>
        <v>0</v>
      </c>
      <c r="K222" s="171">
        <f t="shared" si="143"/>
        <v>0</v>
      </c>
      <c r="L222" s="171">
        <f t="shared" si="143"/>
        <v>0</v>
      </c>
      <c r="M222" s="171">
        <f t="shared" si="143"/>
        <v>0</v>
      </c>
      <c r="N222" s="171">
        <f t="shared" si="143"/>
        <v>0</v>
      </c>
      <c r="O222" s="171">
        <f t="shared" si="143"/>
        <v>0</v>
      </c>
      <c r="P222" s="171">
        <f t="shared" si="143"/>
        <v>0</v>
      </c>
      <c r="Q222" s="171">
        <f t="shared" si="143"/>
        <v>0</v>
      </c>
      <c r="R222" s="171">
        <f t="shared" si="143"/>
        <v>0</v>
      </c>
      <c r="S222" s="171">
        <f t="shared" si="143"/>
        <v>0</v>
      </c>
      <c r="T222" s="171">
        <f t="shared" si="143"/>
        <v>0</v>
      </c>
      <c r="U222" s="171">
        <f t="shared" si="143"/>
        <v>0</v>
      </c>
      <c r="V222" s="171">
        <f t="shared" si="143"/>
        <v>0</v>
      </c>
      <c r="W222" s="171">
        <f t="shared" si="143"/>
        <v>0</v>
      </c>
      <c r="X222" s="171">
        <f t="shared" si="143"/>
        <v>0</v>
      </c>
      <c r="Y222" s="171">
        <f t="shared" si="143"/>
        <v>0</v>
      </c>
      <c r="Z222" s="171">
        <f t="shared" si="143"/>
        <v>0</v>
      </c>
      <c r="AA222" s="171">
        <f t="shared" si="143"/>
        <v>0</v>
      </c>
      <c r="AB222" s="171">
        <f t="shared" si="143"/>
        <v>0</v>
      </c>
      <c r="AC222" s="171">
        <f t="shared" si="143"/>
        <v>0</v>
      </c>
      <c r="AD222" s="171">
        <f t="shared" si="143"/>
        <v>0</v>
      </c>
      <c r="AE222" s="171">
        <f t="shared" si="143"/>
        <v>0</v>
      </c>
      <c r="AF222" s="171">
        <f t="shared" si="143"/>
        <v>0</v>
      </c>
      <c r="AG222" s="171">
        <f t="shared" si="143"/>
        <v>0</v>
      </c>
      <c r="AH222" s="171">
        <f t="shared" si="143"/>
        <v>0</v>
      </c>
      <c r="AI222" s="171">
        <f t="shared" si="143"/>
        <v>0</v>
      </c>
      <c r="AJ222" s="171">
        <f t="shared" si="143"/>
        <v>0</v>
      </c>
      <c r="AK222" s="171">
        <f t="shared" si="143"/>
        <v>0</v>
      </c>
      <c r="AL222" s="171">
        <f t="shared" si="143"/>
        <v>0</v>
      </c>
      <c r="AM222" s="171">
        <f t="shared" si="143"/>
        <v>0</v>
      </c>
      <c r="AN222" s="171">
        <f t="shared" si="143"/>
        <v>0</v>
      </c>
      <c r="AO222" s="171">
        <f t="shared" si="143"/>
        <v>0</v>
      </c>
      <c r="AP222" s="171">
        <f t="shared" si="143"/>
        <v>0</v>
      </c>
      <c r="AQ222" s="171">
        <f t="shared" si="143"/>
        <v>0</v>
      </c>
      <c r="AR222" s="171">
        <f t="shared" si="143"/>
        <v>0</v>
      </c>
      <c r="AS222" s="171">
        <f t="shared" si="143"/>
        <v>0</v>
      </c>
      <c r="AT222" s="171">
        <f t="shared" si="143"/>
        <v>0</v>
      </c>
      <c r="AU222" s="171">
        <f t="shared" si="143"/>
        <v>0</v>
      </c>
      <c r="AV222" s="171">
        <f t="shared" si="143"/>
        <v>0</v>
      </c>
      <c r="AW222" s="171">
        <f t="shared" si="143"/>
        <v>0</v>
      </c>
      <c r="AX222" s="171">
        <f t="shared" si="143"/>
        <v>0</v>
      </c>
      <c r="AY222" s="171">
        <f t="shared" si="143"/>
        <v>0</v>
      </c>
      <c r="AZ222" s="171">
        <f t="shared" si="143"/>
        <v>0</v>
      </c>
      <c r="BA222" s="171">
        <f t="shared" si="143"/>
        <v>0</v>
      </c>
      <c r="BB222" s="171">
        <f t="shared" si="143"/>
        <v>0</v>
      </c>
      <c r="BC222" s="171">
        <f t="shared" si="143"/>
        <v>0</v>
      </c>
      <c r="BD222" s="171">
        <f t="shared" si="143"/>
        <v>0</v>
      </c>
      <c r="BE222" s="171">
        <f t="shared" si="143"/>
        <v>0</v>
      </c>
      <c r="BF222" s="171">
        <f t="shared" si="143"/>
        <v>0</v>
      </c>
      <c r="BG222" s="171">
        <f t="shared" si="143"/>
        <v>0</v>
      </c>
      <c r="BH222" s="171">
        <f t="shared" si="143"/>
        <v>0</v>
      </c>
      <c r="BI222" s="171">
        <f t="shared" si="143"/>
        <v>0</v>
      </c>
      <c r="BJ222" s="171">
        <f t="shared" si="143"/>
        <v>0</v>
      </c>
      <c r="BK222" s="171">
        <f t="shared" si="143"/>
        <v>0</v>
      </c>
      <c r="BL222" s="171">
        <f t="shared" si="143"/>
        <v>0</v>
      </c>
      <c r="BM222" s="171">
        <f t="shared" si="143"/>
        <v>0</v>
      </c>
      <c r="BN222" s="171">
        <f t="shared" si="143"/>
        <v>0</v>
      </c>
    </row>
    <row r="223">
      <c r="A223" s="47"/>
      <c r="B223" s="47"/>
      <c r="C223" s="47"/>
      <c r="D223" s="47"/>
      <c r="E223" s="47"/>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row>
    <row r="224">
      <c r="A224" s="47"/>
      <c r="B224" s="47"/>
      <c r="C224" s="47"/>
      <c r="D224" s="47"/>
      <c r="E224" s="47"/>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row>
    <row r="225">
      <c r="A225" s="47"/>
      <c r="B225" s="47"/>
      <c r="C225" s="47"/>
      <c r="D225" s="47"/>
      <c r="E225" s="47"/>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row>
    <row r="226">
      <c r="A226" s="47"/>
      <c r="B226" s="47"/>
      <c r="C226" s="47"/>
      <c r="D226" s="47"/>
      <c r="E226" s="47"/>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row>
    <row r="227">
      <c r="A227" s="47"/>
      <c r="B227" s="47"/>
      <c r="C227" s="47"/>
      <c r="D227" s="47"/>
      <c r="E227" s="47"/>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row>
    <row r="228">
      <c r="A228" s="47"/>
      <c r="B228" s="47"/>
      <c r="C228" s="47"/>
      <c r="D228" s="47"/>
      <c r="E228" s="47"/>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row>
    <row r="229">
      <c r="A229" s="47"/>
      <c r="B229" s="47"/>
      <c r="C229" s="47"/>
      <c r="D229" s="47"/>
      <c r="E229" s="47"/>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row>
    <row r="230">
      <c r="A230" s="47"/>
      <c r="B230" s="47"/>
      <c r="C230" s="47"/>
      <c r="D230" s="47"/>
      <c r="E230" s="47"/>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row>
    <row r="231">
      <c r="A231" s="47"/>
      <c r="B231" s="47"/>
      <c r="C231" s="47"/>
      <c r="D231" s="47"/>
      <c r="E231" s="47"/>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row>
    <row r="232">
      <c r="A232" s="47"/>
      <c r="B232" s="47"/>
      <c r="C232" s="47"/>
      <c r="D232" s="47"/>
      <c r="E232" s="47"/>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row>
    <row r="233">
      <c r="A233" s="47"/>
      <c r="B233" s="47"/>
      <c r="C233" s="47"/>
      <c r="D233" s="47"/>
      <c r="E233" s="47"/>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row>
    <row r="234">
      <c r="A234" s="47"/>
      <c r="B234" s="47"/>
      <c r="C234" s="47"/>
      <c r="D234" s="47"/>
      <c r="E234" s="47"/>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row>
    <row r="235">
      <c r="A235" s="47"/>
      <c r="B235" s="47"/>
      <c r="C235" s="47"/>
      <c r="D235" s="47"/>
      <c r="E235" s="47"/>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row>
    <row r="236">
      <c r="A236" s="47"/>
      <c r="B236" s="47"/>
      <c r="C236" s="47"/>
      <c r="D236" s="47"/>
      <c r="E236" s="47"/>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row>
    <row r="237">
      <c r="A237" s="47"/>
      <c r="B237" s="47"/>
      <c r="C237" s="47"/>
      <c r="D237" s="47"/>
      <c r="E237" s="47"/>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row>
    <row r="238">
      <c r="A238" s="47"/>
      <c r="B238" s="47"/>
      <c r="C238" s="47"/>
      <c r="D238" s="47"/>
      <c r="E238" s="47"/>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row>
    <row r="239">
      <c r="A239" s="47"/>
      <c r="B239" s="47"/>
      <c r="C239" s="47"/>
      <c r="D239" s="47"/>
      <c r="E239" s="47"/>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row>
    <row r="240">
      <c r="A240" s="47"/>
      <c r="B240" s="47"/>
      <c r="C240" s="47"/>
      <c r="D240" s="47"/>
      <c r="E240" s="47"/>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row>
    <row r="241">
      <c r="A241" s="47"/>
      <c r="B241" s="47"/>
      <c r="C241" s="47"/>
      <c r="D241" s="47"/>
      <c r="E241" s="47"/>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row>
    <row r="242">
      <c r="A242" s="47"/>
      <c r="B242" s="47"/>
      <c r="C242" s="47"/>
      <c r="D242" s="47"/>
      <c r="E242" s="47"/>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row>
    <row r="243">
      <c r="A243" s="47"/>
      <c r="B243" s="47"/>
      <c r="C243" s="47"/>
      <c r="D243" s="47"/>
      <c r="E243" s="47"/>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row>
    <row r="244">
      <c r="A244" s="47"/>
      <c r="B244" s="47"/>
      <c r="C244" s="47"/>
      <c r="D244" s="47"/>
      <c r="E244" s="47"/>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row>
    <row r="245">
      <c r="A245" s="47"/>
      <c r="B245" s="47"/>
      <c r="C245" s="47"/>
      <c r="D245" s="47"/>
      <c r="E245" s="47"/>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row>
    <row r="246">
      <c r="A246" s="47"/>
      <c r="B246" s="47"/>
      <c r="C246" s="47"/>
      <c r="D246" s="47"/>
      <c r="E246" s="47"/>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row>
    <row r="247">
      <c r="A247" s="47"/>
      <c r="B247" s="47"/>
      <c r="C247" s="47"/>
      <c r="D247" s="47"/>
      <c r="E247" s="47"/>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row>
    <row r="248">
      <c r="A248" s="47"/>
      <c r="B248" s="47"/>
      <c r="C248" s="47"/>
      <c r="D248" s="47"/>
      <c r="E248" s="47"/>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row>
    <row r="249">
      <c r="A249" s="47"/>
      <c r="B249" s="47"/>
      <c r="C249" s="47"/>
      <c r="D249" s="47"/>
      <c r="E249" s="47"/>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row>
    <row r="250">
      <c r="A250" s="47"/>
      <c r="B250" s="47"/>
      <c r="C250" s="47"/>
      <c r="D250" s="47"/>
      <c r="E250" s="47"/>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row>
    <row r="251">
      <c r="A251" s="47"/>
      <c r="B251" s="47"/>
      <c r="C251" s="47"/>
      <c r="D251" s="47"/>
      <c r="E251" s="47"/>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row>
    <row r="252">
      <c r="A252" s="47"/>
      <c r="B252" s="47"/>
      <c r="C252" s="47"/>
      <c r="D252" s="47"/>
      <c r="E252" s="47"/>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row>
    <row r="253">
      <c r="A253" s="47"/>
      <c r="B253" s="47"/>
      <c r="C253" s="47"/>
      <c r="D253" s="47"/>
      <c r="E253" s="47"/>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row>
    <row r="254">
      <c r="A254" s="47"/>
      <c r="B254" s="47"/>
      <c r="C254" s="47"/>
      <c r="D254" s="47"/>
      <c r="E254" s="47"/>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row>
    <row r="255">
      <c r="A255" s="47"/>
      <c r="B255" s="47"/>
      <c r="C255" s="47"/>
      <c r="D255" s="47"/>
      <c r="E255" s="47"/>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row>
    <row r="256">
      <c r="A256" s="47"/>
      <c r="B256" s="47"/>
      <c r="C256" s="47"/>
      <c r="D256" s="47"/>
      <c r="E256" s="47"/>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row>
    <row r="257">
      <c r="A257" s="47"/>
      <c r="B257" s="47"/>
      <c r="C257" s="47"/>
      <c r="D257" s="47"/>
      <c r="E257" s="47"/>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row>
    <row r="258">
      <c r="A258" s="47"/>
      <c r="B258" s="47"/>
      <c r="C258" s="47"/>
      <c r="D258" s="47"/>
      <c r="E258" s="47"/>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row>
    <row r="259">
      <c r="A259" s="47"/>
      <c r="B259" s="47"/>
      <c r="C259" s="47"/>
      <c r="D259" s="47"/>
      <c r="E259" s="47"/>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row>
    <row r="260">
      <c r="A260" s="47"/>
      <c r="B260" s="47"/>
      <c r="C260" s="47"/>
      <c r="D260" s="47"/>
      <c r="E260" s="47"/>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row>
    <row r="261">
      <c r="A261" s="47"/>
      <c r="B261" s="47"/>
      <c r="C261" s="47"/>
      <c r="D261" s="47"/>
      <c r="E261" s="47"/>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row>
    <row r="262">
      <c r="A262" s="47"/>
      <c r="B262" s="47"/>
      <c r="C262" s="47"/>
      <c r="D262" s="47"/>
      <c r="E262" s="47"/>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row>
    <row r="263">
      <c r="A263" s="47"/>
      <c r="B263" s="47"/>
      <c r="C263" s="47"/>
      <c r="D263" s="47"/>
      <c r="E263" s="47"/>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row>
    <row r="264">
      <c r="A264" s="47"/>
      <c r="B264" s="47"/>
      <c r="C264" s="47"/>
      <c r="D264" s="47"/>
      <c r="E264" s="47"/>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row>
    <row r="265">
      <c r="A265" s="47"/>
      <c r="B265" s="47"/>
      <c r="C265" s="47"/>
      <c r="D265" s="47"/>
      <c r="E265" s="47"/>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row>
    <row r="266">
      <c r="A266" s="47"/>
      <c r="B266" s="47"/>
      <c r="C266" s="47"/>
      <c r="D266" s="47"/>
      <c r="E266" s="47"/>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row>
    <row r="267">
      <c r="A267" s="47"/>
      <c r="B267" s="47"/>
      <c r="C267" s="47"/>
      <c r="D267" s="47"/>
      <c r="E267" s="47"/>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row>
    <row r="268">
      <c r="A268" s="47"/>
      <c r="B268" s="47"/>
      <c r="C268" s="47"/>
      <c r="D268" s="47"/>
      <c r="E268" s="47"/>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row>
    <row r="269">
      <c r="A269" s="47"/>
      <c r="B269" s="47"/>
      <c r="C269" s="47"/>
      <c r="D269" s="47"/>
      <c r="E269" s="47"/>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row>
    <row r="270">
      <c r="A270" s="47"/>
      <c r="B270" s="47"/>
      <c r="C270" s="47"/>
      <c r="D270" s="47"/>
      <c r="E270" s="47"/>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row>
    <row r="271">
      <c r="A271" s="47"/>
      <c r="B271" s="47"/>
      <c r="C271" s="47"/>
      <c r="D271" s="47"/>
      <c r="E271" s="47"/>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row>
    <row r="272">
      <c r="A272" s="47"/>
      <c r="B272" s="47"/>
      <c r="C272" s="47"/>
      <c r="D272" s="47"/>
      <c r="E272" s="47"/>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row>
    <row r="273">
      <c r="A273" s="47"/>
      <c r="B273" s="47"/>
      <c r="C273" s="47"/>
      <c r="D273" s="47"/>
      <c r="E273" s="47"/>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row>
    <row r="274">
      <c r="A274" s="47"/>
      <c r="B274" s="47"/>
      <c r="C274" s="47"/>
      <c r="D274" s="47"/>
      <c r="E274" s="47"/>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row>
    <row r="275">
      <c r="A275" s="47"/>
      <c r="B275" s="47"/>
      <c r="C275" s="47"/>
      <c r="D275" s="47"/>
      <c r="E275" s="47"/>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row>
    <row r="276">
      <c r="A276" s="47"/>
      <c r="B276" s="47"/>
      <c r="C276" s="47"/>
      <c r="D276" s="47"/>
      <c r="E276" s="47"/>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row>
    <row r="277">
      <c r="A277" s="47"/>
      <c r="B277" s="47"/>
      <c r="C277" s="47"/>
      <c r="D277" s="47"/>
      <c r="E277" s="47"/>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row>
    <row r="278">
      <c r="A278" s="47"/>
      <c r="B278" s="47"/>
      <c r="C278" s="47"/>
      <c r="D278" s="47"/>
      <c r="E278" s="47"/>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row>
    <row r="279">
      <c r="A279" s="47"/>
      <c r="B279" s="47"/>
      <c r="C279" s="47"/>
      <c r="D279" s="47"/>
      <c r="E279" s="47"/>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row>
    <row r="280">
      <c r="A280" s="47"/>
      <c r="B280" s="47"/>
      <c r="C280" s="47"/>
      <c r="D280" s="47"/>
      <c r="E280" s="47"/>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row>
    <row r="281">
      <c r="A281" s="47"/>
      <c r="B281" s="47"/>
      <c r="C281" s="47"/>
      <c r="D281" s="47"/>
      <c r="E281" s="47"/>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row>
    <row r="282">
      <c r="A282" s="47"/>
      <c r="B282" s="47"/>
      <c r="C282" s="47"/>
      <c r="D282" s="47"/>
      <c r="E282" s="47"/>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row>
    <row r="283">
      <c r="A283" s="47"/>
      <c r="B283" s="47"/>
      <c r="C283" s="47"/>
      <c r="D283" s="47"/>
      <c r="E283" s="47"/>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row>
    <row r="284">
      <c r="A284" s="47"/>
      <c r="B284" s="47"/>
      <c r="C284" s="47"/>
      <c r="D284" s="47"/>
      <c r="E284" s="47"/>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row>
    <row r="285">
      <c r="A285" s="47"/>
      <c r="B285" s="47"/>
      <c r="C285" s="47"/>
      <c r="D285" s="47"/>
      <c r="E285" s="47"/>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row>
    <row r="286">
      <c r="A286" s="47"/>
      <c r="B286" s="47"/>
      <c r="C286" s="47"/>
      <c r="D286" s="47"/>
      <c r="E286" s="47"/>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row>
    <row r="287">
      <c r="A287" s="47"/>
      <c r="B287" s="47"/>
      <c r="C287" s="47"/>
      <c r="D287" s="47"/>
      <c r="E287" s="47"/>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row>
    <row r="288">
      <c r="A288" s="47"/>
      <c r="B288" s="47"/>
      <c r="C288" s="47"/>
      <c r="D288" s="47"/>
      <c r="E288" s="47"/>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row>
    <row r="289">
      <c r="A289" s="47"/>
      <c r="B289" s="47"/>
      <c r="C289" s="47"/>
      <c r="D289" s="47"/>
      <c r="E289" s="47"/>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row>
    <row r="290">
      <c r="A290" s="47"/>
      <c r="B290" s="47"/>
      <c r="C290" s="47"/>
      <c r="D290" s="47"/>
      <c r="E290" s="47"/>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row>
    <row r="291">
      <c r="A291" s="47"/>
      <c r="B291" s="47"/>
      <c r="C291" s="47"/>
      <c r="D291" s="47"/>
      <c r="E291" s="47"/>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row>
    <row r="292">
      <c r="A292" s="47"/>
      <c r="B292" s="47"/>
      <c r="C292" s="47"/>
      <c r="D292" s="47"/>
      <c r="E292" s="47"/>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row>
    <row r="293">
      <c r="A293" s="47"/>
      <c r="B293" s="47"/>
      <c r="C293" s="47"/>
      <c r="D293" s="47"/>
      <c r="E293" s="47"/>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row>
    <row r="294">
      <c r="A294" s="47"/>
      <c r="B294" s="47"/>
      <c r="C294" s="47"/>
      <c r="D294" s="47"/>
      <c r="E294" s="47"/>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row>
    <row r="295">
      <c r="A295" s="47"/>
      <c r="B295" s="47"/>
      <c r="C295" s="47"/>
      <c r="D295" s="47"/>
      <c r="E295" s="47"/>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row>
    <row r="296">
      <c r="A296" s="47"/>
      <c r="B296" s="47"/>
      <c r="C296" s="47"/>
      <c r="D296" s="47"/>
      <c r="E296" s="47"/>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row>
    <row r="297">
      <c r="A297" s="47"/>
      <c r="B297" s="47"/>
      <c r="C297" s="47"/>
      <c r="D297" s="47"/>
      <c r="E297" s="47"/>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row>
    <row r="298">
      <c r="A298" s="47"/>
      <c r="B298" s="47"/>
      <c r="C298" s="47"/>
      <c r="D298" s="47"/>
      <c r="E298" s="47"/>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row>
    <row r="299">
      <c r="A299" s="47"/>
      <c r="B299" s="47"/>
      <c r="C299" s="47"/>
      <c r="D299" s="47"/>
      <c r="E299" s="47"/>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row>
    <row r="300">
      <c r="A300" s="47"/>
      <c r="B300" s="47"/>
      <c r="C300" s="47"/>
      <c r="D300" s="47"/>
      <c r="E300" s="47"/>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row>
    <row r="301">
      <c r="A301" s="47"/>
      <c r="B301" s="47"/>
      <c r="C301" s="47"/>
      <c r="D301" s="47"/>
      <c r="E301" s="47"/>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row>
    <row r="302">
      <c r="A302" s="47"/>
      <c r="B302" s="47"/>
      <c r="C302" s="47"/>
      <c r="D302" s="47"/>
      <c r="E302" s="47"/>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row>
    <row r="303">
      <c r="A303" s="47"/>
      <c r="B303" s="47"/>
      <c r="C303" s="47"/>
      <c r="D303" s="47"/>
      <c r="E303" s="47"/>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row>
    <row r="304">
      <c r="A304" s="47"/>
      <c r="B304" s="47"/>
      <c r="C304" s="47"/>
      <c r="D304" s="47"/>
      <c r="E304" s="47"/>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row>
    <row r="305">
      <c r="A305" s="47"/>
      <c r="B305" s="47"/>
      <c r="C305" s="47"/>
      <c r="D305" s="47"/>
      <c r="E305" s="47"/>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row>
    <row r="306">
      <c r="A306" s="47"/>
      <c r="B306" s="47"/>
      <c r="C306" s="47"/>
      <c r="D306" s="47"/>
      <c r="E306" s="47"/>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row>
    <row r="307">
      <c r="A307" s="47"/>
      <c r="B307" s="47"/>
      <c r="C307" s="47"/>
      <c r="D307" s="47"/>
      <c r="E307" s="47"/>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row>
    <row r="308">
      <c r="A308" s="47"/>
      <c r="B308" s="47"/>
      <c r="C308" s="47"/>
      <c r="D308" s="47"/>
      <c r="E308" s="47"/>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row>
    <row r="309">
      <c r="A309" s="47"/>
      <c r="B309" s="47"/>
      <c r="C309" s="47"/>
      <c r="D309" s="47"/>
      <c r="E309" s="47"/>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row>
    <row r="310">
      <c r="A310" s="47"/>
      <c r="B310" s="47"/>
      <c r="C310" s="47"/>
      <c r="D310" s="47"/>
      <c r="E310" s="47"/>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row>
    <row r="311">
      <c r="A311" s="47"/>
      <c r="B311" s="47"/>
      <c r="C311" s="47"/>
      <c r="D311" s="47"/>
      <c r="E311" s="47"/>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row>
    <row r="312">
      <c r="A312" s="47"/>
      <c r="B312" s="47"/>
      <c r="C312" s="47"/>
      <c r="D312" s="47"/>
      <c r="E312" s="47"/>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row>
    <row r="313">
      <c r="A313" s="47"/>
      <c r="B313" s="47"/>
      <c r="C313" s="47"/>
      <c r="D313" s="47"/>
      <c r="E313" s="47"/>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row>
    <row r="314">
      <c r="A314" s="47"/>
      <c r="B314" s="47"/>
      <c r="C314" s="47"/>
      <c r="D314" s="47"/>
      <c r="E314" s="47"/>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row>
    <row r="315">
      <c r="A315" s="47"/>
      <c r="B315" s="47"/>
      <c r="C315" s="47"/>
      <c r="D315" s="47"/>
      <c r="E315" s="47"/>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row>
    <row r="316">
      <c r="A316" s="47"/>
      <c r="B316" s="47"/>
      <c r="C316" s="47"/>
      <c r="D316" s="47"/>
      <c r="E316" s="47"/>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row>
    <row r="317">
      <c r="A317" s="47"/>
      <c r="B317" s="47"/>
      <c r="C317" s="47"/>
      <c r="D317" s="47"/>
      <c r="E317" s="47"/>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row>
    <row r="318">
      <c r="A318" s="47"/>
      <c r="B318" s="47"/>
      <c r="C318" s="47"/>
      <c r="D318" s="47"/>
      <c r="E318" s="47"/>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row>
    <row r="319">
      <c r="A319" s="47"/>
      <c r="B319" s="47"/>
      <c r="C319" s="47"/>
      <c r="D319" s="47"/>
      <c r="E319" s="47"/>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row>
    <row r="320">
      <c r="A320" s="47"/>
      <c r="B320" s="47"/>
      <c r="C320" s="47"/>
      <c r="D320" s="47"/>
      <c r="E320" s="47"/>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row>
    <row r="321">
      <c r="A321" s="47"/>
      <c r="B321" s="47"/>
      <c r="C321" s="47"/>
      <c r="D321" s="47"/>
      <c r="E321" s="47"/>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row>
    <row r="322">
      <c r="A322" s="47"/>
      <c r="B322" s="47"/>
      <c r="C322" s="47"/>
      <c r="D322" s="47"/>
      <c r="E322" s="47"/>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row>
    <row r="323">
      <c r="A323" s="47"/>
      <c r="B323" s="47"/>
      <c r="C323" s="47"/>
      <c r="D323" s="47"/>
      <c r="E323" s="47"/>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row>
    <row r="324">
      <c r="A324" s="47"/>
      <c r="B324" s="47"/>
      <c r="C324" s="47"/>
      <c r="D324" s="47"/>
      <c r="E324" s="47"/>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row>
    <row r="325">
      <c r="A325" s="47"/>
      <c r="B325" s="47"/>
      <c r="C325" s="47"/>
      <c r="D325" s="47"/>
      <c r="E325" s="47"/>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row>
    <row r="326">
      <c r="A326" s="47"/>
      <c r="B326" s="47"/>
      <c r="C326" s="47"/>
      <c r="D326" s="47"/>
      <c r="E326" s="47"/>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row>
    <row r="327">
      <c r="A327" s="47"/>
      <c r="B327" s="47"/>
      <c r="C327" s="47"/>
      <c r="D327" s="47"/>
      <c r="E327" s="47"/>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row>
    <row r="328">
      <c r="A328" s="47"/>
      <c r="B328" s="47"/>
      <c r="C328" s="47"/>
      <c r="D328" s="47"/>
      <c r="E328" s="47"/>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row>
    <row r="329">
      <c r="A329" s="47"/>
      <c r="B329" s="47"/>
      <c r="C329" s="47"/>
      <c r="D329" s="47"/>
      <c r="E329" s="47"/>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row>
    <row r="330">
      <c r="A330" s="47"/>
      <c r="B330" s="47"/>
      <c r="C330" s="47"/>
      <c r="D330" s="47"/>
      <c r="E330" s="47"/>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row>
    <row r="331">
      <c r="A331" s="47"/>
      <c r="B331" s="47"/>
      <c r="C331" s="47"/>
      <c r="D331" s="47"/>
      <c r="E331" s="47"/>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row>
    <row r="332">
      <c r="A332" s="47"/>
      <c r="B332" s="47"/>
      <c r="C332" s="47"/>
      <c r="D332" s="47"/>
      <c r="E332" s="47"/>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row>
    <row r="333">
      <c r="A333" s="47"/>
      <c r="B333" s="47"/>
      <c r="C333" s="47"/>
      <c r="D333" s="47"/>
      <c r="E333" s="47"/>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row>
    <row r="334">
      <c r="A334" s="47"/>
      <c r="B334" s="47"/>
      <c r="C334" s="47"/>
      <c r="D334" s="47"/>
      <c r="E334" s="47"/>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row>
    <row r="335">
      <c r="A335" s="47"/>
      <c r="B335" s="47"/>
      <c r="C335" s="47"/>
      <c r="D335" s="47"/>
      <c r="E335" s="47"/>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row>
    <row r="336">
      <c r="A336" s="47"/>
      <c r="B336" s="47"/>
      <c r="C336" s="47"/>
      <c r="D336" s="47"/>
      <c r="E336" s="47"/>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row>
    <row r="337">
      <c r="A337" s="47"/>
      <c r="B337" s="47"/>
      <c r="C337" s="47"/>
      <c r="D337" s="47"/>
      <c r="E337" s="47"/>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row>
    <row r="338">
      <c r="A338" s="47"/>
      <c r="B338" s="47"/>
      <c r="C338" s="47"/>
      <c r="D338" s="47"/>
      <c r="E338" s="47"/>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row>
    <row r="339">
      <c r="A339" s="47"/>
      <c r="B339" s="47"/>
      <c r="C339" s="47"/>
      <c r="D339" s="47"/>
      <c r="E339" s="47"/>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row>
    <row r="340">
      <c r="A340" s="47"/>
      <c r="B340" s="47"/>
      <c r="C340" s="47"/>
      <c r="D340" s="47"/>
      <c r="E340" s="47"/>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row>
    <row r="341">
      <c r="A341" s="47"/>
      <c r="B341" s="47"/>
      <c r="C341" s="47"/>
      <c r="D341" s="47"/>
      <c r="E341" s="47"/>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row>
    <row r="342">
      <c r="A342" s="47"/>
      <c r="B342" s="47"/>
      <c r="C342" s="47"/>
      <c r="D342" s="47"/>
      <c r="E342" s="47"/>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row>
    <row r="343">
      <c r="A343" s="47"/>
      <c r="B343" s="47"/>
      <c r="C343" s="47"/>
      <c r="D343" s="47"/>
      <c r="E343" s="47"/>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row>
    <row r="344">
      <c r="A344" s="47"/>
      <c r="B344" s="47"/>
      <c r="C344" s="47"/>
      <c r="D344" s="47"/>
      <c r="E344" s="47"/>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row>
    <row r="345">
      <c r="A345" s="47"/>
      <c r="B345" s="47"/>
      <c r="C345" s="47"/>
      <c r="D345" s="47"/>
      <c r="E345" s="47"/>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row>
    <row r="346">
      <c r="A346" s="47"/>
      <c r="B346" s="47"/>
      <c r="C346" s="47"/>
      <c r="D346" s="47"/>
      <c r="E346" s="47"/>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row>
    <row r="347">
      <c r="A347" s="47"/>
      <c r="B347" s="47"/>
      <c r="C347" s="47"/>
      <c r="D347" s="47"/>
      <c r="E347" s="47"/>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row>
    <row r="348">
      <c r="A348" s="47"/>
      <c r="B348" s="47"/>
      <c r="C348" s="47"/>
      <c r="D348" s="47"/>
      <c r="E348" s="47"/>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row>
    <row r="349">
      <c r="A349" s="47"/>
      <c r="B349" s="47"/>
      <c r="C349" s="47"/>
      <c r="D349" s="47"/>
      <c r="E349" s="47"/>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row>
    <row r="350">
      <c r="A350" s="47"/>
      <c r="B350" s="47"/>
      <c r="C350" s="47"/>
      <c r="D350" s="47"/>
      <c r="E350" s="47"/>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row>
    <row r="351">
      <c r="A351" s="47"/>
      <c r="B351" s="47"/>
      <c r="C351" s="47"/>
      <c r="D351" s="47"/>
      <c r="E351" s="47"/>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row>
    <row r="352">
      <c r="A352" s="47"/>
      <c r="B352" s="47"/>
      <c r="C352" s="47"/>
      <c r="D352" s="47"/>
      <c r="E352" s="47"/>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row>
    <row r="353">
      <c r="A353" s="47"/>
      <c r="B353" s="47"/>
      <c r="C353" s="47"/>
      <c r="D353" s="47"/>
      <c r="E353" s="47"/>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row>
    <row r="354">
      <c r="A354" s="47"/>
      <c r="B354" s="47"/>
      <c r="C354" s="47"/>
      <c r="D354" s="47"/>
      <c r="E354" s="47"/>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row>
    <row r="355">
      <c r="A355" s="47"/>
      <c r="B355" s="47"/>
      <c r="C355" s="47"/>
      <c r="D355" s="47"/>
      <c r="E355" s="47"/>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row>
    <row r="356">
      <c r="A356" s="47"/>
      <c r="B356" s="47"/>
      <c r="C356" s="47"/>
      <c r="D356" s="47"/>
      <c r="E356" s="47"/>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row>
    <row r="357">
      <c r="A357" s="47"/>
      <c r="B357" s="47"/>
      <c r="C357" s="47"/>
      <c r="D357" s="47"/>
      <c r="E357" s="47"/>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row>
    <row r="358">
      <c r="A358" s="47"/>
      <c r="B358" s="47"/>
      <c r="C358" s="47"/>
      <c r="D358" s="47"/>
      <c r="E358" s="47"/>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row>
    <row r="359">
      <c r="A359" s="47"/>
      <c r="B359" s="47"/>
      <c r="C359" s="47"/>
      <c r="D359" s="47"/>
      <c r="E359" s="47"/>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row>
    <row r="360">
      <c r="A360" s="47"/>
      <c r="B360" s="47"/>
      <c r="C360" s="47"/>
      <c r="D360" s="47"/>
      <c r="E360" s="47"/>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row>
    <row r="361">
      <c r="A361" s="47"/>
      <c r="B361" s="47"/>
      <c r="C361" s="47"/>
      <c r="D361" s="47"/>
      <c r="E361" s="47"/>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row>
    <row r="362">
      <c r="A362" s="47"/>
      <c r="B362" s="47"/>
      <c r="C362" s="47"/>
      <c r="D362" s="47"/>
      <c r="E362" s="47"/>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row>
    <row r="363">
      <c r="A363" s="47"/>
      <c r="B363" s="47"/>
      <c r="C363" s="47"/>
      <c r="D363" s="47"/>
      <c r="E363" s="47"/>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row>
    <row r="364">
      <c r="A364" s="47"/>
      <c r="B364" s="47"/>
      <c r="C364" s="47"/>
      <c r="D364" s="47"/>
      <c r="E364" s="47"/>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row>
    <row r="365">
      <c r="A365" s="47"/>
      <c r="B365" s="47"/>
      <c r="C365" s="47"/>
      <c r="D365" s="47"/>
      <c r="E365" s="47"/>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row>
    <row r="366">
      <c r="A366" s="47"/>
      <c r="B366" s="47"/>
      <c r="C366" s="47"/>
      <c r="D366" s="47"/>
      <c r="E366" s="47"/>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row>
    <row r="367">
      <c r="A367" s="47"/>
      <c r="B367" s="47"/>
      <c r="C367" s="47"/>
      <c r="D367" s="47"/>
      <c r="E367" s="47"/>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row>
    <row r="368">
      <c r="A368" s="47"/>
      <c r="B368" s="47"/>
      <c r="C368" s="47"/>
      <c r="D368" s="47"/>
      <c r="E368" s="47"/>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row>
    <row r="369">
      <c r="A369" s="47"/>
      <c r="B369" s="47"/>
      <c r="C369" s="47"/>
      <c r="D369" s="47"/>
      <c r="E369" s="47"/>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row>
    <row r="370">
      <c r="A370" s="47"/>
      <c r="B370" s="47"/>
      <c r="C370" s="47"/>
      <c r="D370" s="47"/>
      <c r="E370" s="47"/>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row>
    <row r="371">
      <c r="A371" s="47"/>
      <c r="B371" s="47"/>
      <c r="C371" s="47"/>
      <c r="D371" s="47"/>
      <c r="E371" s="47"/>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row>
    <row r="372">
      <c r="A372" s="47"/>
      <c r="B372" s="47"/>
      <c r="C372" s="47"/>
      <c r="D372" s="47"/>
      <c r="E372" s="47"/>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row>
    <row r="373">
      <c r="A373" s="47"/>
      <c r="B373" s="47"/>
      <c r="C373" s="47"/>
      <c r="D373" s="47"/>
      <c r="E373" s="47"/>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row>
    <row r="374">
      <c r="A374" s="47"/>
      <c r="B374" s="47"/>
      <c r="C374" s="47"/>
      <c r="D374" s="47"/>
      <c r="E374" s="47"/>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row>
    <row r="375">
      <c r="A375" s="47"/>
      <c r="B375" s="47"/>
      <c r="C375" s="47"/>
      <c r="D375" s="47"/>
      <c r="E375" s="47"/>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row>
    <row r="376">
      <c r="A376" s="47"/>
      <c r="B376" s="47"/>
      <c r="C376" s="47"/>
      <c r="D376" s="47"/>
      <c r="E376" s="47"/>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row>
    <row r="377">
      <c r="A377" s="47"/>
      <c r="B377" s="47"/>
      <c r="C377" s="47"/>
      <c r="D377" s="47"/>
      <c r="E377" s="47"/>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row>
    <row r="378">
      <c r="A378" s="47"/>
      <c r="B378" s="47"/>
      <c r="C378" s="47"/>
      <c r="D378" s="47"/>
      <c r="E378" s="47"/>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row>
    <row r="379">
      <c r="A379" s="47"/>
      <c r="B379" s="47"/>
      <c r="C379" s="47"/>
      <c r="D379" s="47"/>
      <c r="E379" s="47"/>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row>
    <row r="380">
      <c r="A380" s="47"/>
      <c r="B380" s="47"/>
      <c r="C380" s="47"/>
      <c r="D380" s="47"/>
      <c r="E380" s="47"/>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row>
    <row r="381">
      <c r="A381" s="47"/>
      <c r="B381" s="47"/>
      <c r="C381" s="47"/>
      <c r="D381" s="47"/>
      <c r="E381" s="47"/>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row>
    <row r="382">
      <c r="A382" s="47"/>
      <c r="B382" s="47"/>
      <c r="C382" s="47"/>
      <c r="D382" s="47"/>
      <c r="E382" s="47"/>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row>
    <row r="383">
      <c r="A383" s="47"/>
      <c r="B383" s="47"/>
      <c r="C383" s="47"/>
      <c r="D383" s="47"/>
      <c r="E383" s="47"/>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row>
    <row r="384">
      <c r="A384" s="47"/>
      <c r="B384" s="47"/>
      <c r="C384" s="47"/>
      <c r="D384" s="47"/>
      <c r="E384" s="47"/>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row>
    <row r="385">
      <c r="A385" s="47"/>
      <c r="B385" s="47"/>
      <c r="C385" s="47"/>
      <c r="D385" s="47"/>
      <c r="E385" s="47"/>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row>
    <row r="386">
      <c r="A386" s="47"/>
      <c r="B386" s="47"/>
      <c r="C386" s="47"/>
      <c r="D386" s="47"/>
      <c r="E386" s="47"/>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row>
    <row r="387">
      <c r="A387" s="47"/>
      <c r="B387" s="47"/>
      <c r="C387" s="47"/>
      <c r="D387" s="47"/>
      <c r="E387" s="47"/>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row>
    <row r="388">
      <c r="A388" s="47"/>
      <c r="B388" s="47"/>
      <c r="C388" s="47"/>
      <c r="D388" s="47"/>
      <c r="E388" s="47"/>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row>
    <row r="389">
      <c r="A389" s="47"/>
      <c r="B389" s="47"/>
      <c r="C389" s="47"/>
      <c r="D389" s="47"/>
      <c r="E389" s="47"/>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row>
    <row r="390">
      <c r="A390" s="47"/>
      <c r="B390" s="47"/>
      <c r="C390" s="47"/>
      <c r="D390" s="47"/>
      <c r="E390" s="47"/>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row>
    <row r="391">
      <c r="A391" s="47"/>
      <c r="B391" s="47"/>
      <c r="C391" s="47"/>
      <c r="D391" s="47"/>
      <c r="E391" s="47"/>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row>
    <row r="392">
      <c r="A392" s="47"/>
      <c r="B392" s="47"/>
      <c r="C392" s="47"/>
      <c r="D392" s="47"/>
      <c r="E392" s="47"/>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row>
    <row r="393">
      <c r="A393" s="47"/>
      <c r="B393" s="47"/>
      <c r="C393" s="47"/>
      <c r="D393" s="47"/>
      <c r="E393" s="47"/>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row>
    <row r="394">
      <c r="A394" s="47"/>
      <c r="B394" s="47"/>
      <c r="C394" s="47"/>
      <c r="D394" s="47"/>
      <c r="E394" s="47"/>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row>
    <row r="395">
      <c r="A395" s="47"/>
      <c r="B395" s="47"/>
      <c r="C395" s="47"/>
      <c r="D395" s="47"/>
      <c r="E395" s="47"/>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row>
    <row r="396">
      <c r="A396" s="47"/>
      <c r="B396" s="47"/>
      <c r="C396" s="47"/>
      <c r="D396" s="47"/>
      <c r="E396" s="47"/>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row>
    <row r="397">
      <c r="A397" s="47"/>
      <c r="B397" s="47"/>
      <c r="C397" s="47"/>
      <c r="D397" s="47"/>
      <c r="E397" s="47"/>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row>
    <row r="398">
      <c r="A398" s="47"/>
      <c r="B398" s="47"/>
      <c r="C398" s="47"/>
      <c r="D398" s="47"/>
      <c r="E398" s="47"/>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row>
    <row r="399">
      <c r="A399" s="47"/>
      <c r="B399" s="47"/>
      <c r="C399" s="47"/>
      <c r="D399" s="47"/>
      <c r="E399" s="47"/>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row>
    <row r="400">
      <c r="A400" s="47"/>
      <c r="B400" s="47"/>
      <c r="C400" s="47"/>
      <c r="D400" s="47"/>
      <c r="E400" s="47"/>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row>
    <row r="401">
      <c r="A401" s="47"/>
      <c r="B401" s="47"/>
      <c r="C401" s="47"/>
      <c r="D401" s="47"/>
      <c r="E401" s="47"/>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row>
    <row r="402">
      <c r="A402" s="47"/>
      <c r="B402" s="47"/>
      <c r="C402" s="47"/>
      <c r="D402" s="47"/>
      <c r="E402" s="47"/>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row>
    <row r="403">
      <c r="A403" s="47"/>
      <c r="B403" s="47"/>
      <c r="C403" s="47"/>
      <c r="D403" s="47"/>
      <c r="E403" s="47"/>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row>
    <row r="404">
      <c r="A404" s="47"/>
      <c r="B404" s="47"/>
      <c r="C404" s="47"/>
      <c r="D404" s="47"/>
      <c r="E404" s="47"/>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row>
    <row r="405">
      <c r="A405" s="47"/>
      <c r="B405" s="47"/>
      <c r="C405" s="47"/>
      <c r="D405" s="47"/>
      <c r="E405" s="47"/>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row>
    <row r="406">
      <c r="A406" s="47"/>
      <c r="B406" s="47"/>
      <c r="C406" s="47"/>
      <c r="D406" s="47"/>
      <c r="E406" s="47"/>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row>
    <row r="407">
      <c r="A407" s="47"/>
      <c r="B407" s="47"/>
      <c r="C407" s="47"/>
      <c r="D407" s="47"/>
      <c r="E407" s="47"/>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row>
    <row r="408">
      <c r="A408" s="47"/>
      <c r="B408" s="47"/>
      <c r="C408" s="47"/>
      <c r="D408" s="47"/>
      <c r="E408" s="47"/>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row>
    <row r="409">
      <c r="A409" s="47"/>
      <c r="B409" s="47"/>
      <c r="C409" s="47"/>
      <c r="D409" s="47"/>
      <c r="E409" s="47"/>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row>
    <row r="410">
      <c r="A410" s="47"/>
      <c r="B410" s="47"/>
      <c r="C410" s="47"/>
      <c r="D410" s="47"/>
      <c r="E410" s="47"/>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row>
    <row r="411">
      <c r="A411" s="47"/>
      <c r="B411" s="47"/>
      <c r="C411" s="47"/>
      <c r="D411" s="47"/>
      <c r="E411" s="47"/>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row>
    <row r="412">
      <c r="A412" s="47"/>
      <c r="B412" s="47"/>
      <c r="C412" s="47"/>
      <c r="D412" s="47"/>
      <c r="E412" s="47"/>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row>
    <row r="413">
      <c r="A413" s="47"/>
      <c r="B413" s="47"/>
      <c r="C413" s="47"/>
      <c r="D413" s="47"/>
      <c r="E413" s="47"/>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row>
    <row r="414">
      <c r="A414" s="47"/>
      <c r="B414" s="47"/>
      <c r="C414" s="47"/>
      <c r="D414" s="47"/>
      <c r="E414" s="47"/>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row>
    <row r="415">
      <c r="A415" s="47"/>
      <c r="B415" s="47"/>
      <c r="C415" s="47"/>
      <c r="D415" s="47"/>
      <c r="E415" s="47"/>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row>
    <row r="416">
      <c r="A416" s="47"/>
      <c r="B416" s="47"/>
      <c r="C416" s="47"/>
      <c r="D416" s="47"/>
      <c r="E416" s="47"/>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row>
    <row r="417">
      <c r="A417" s="47"/>
      <c r="B417" s="47"/>
      <c r="C417" s="47"/>
      <c r="D417" s="47"/>
      <c r="E417" s="47"/>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row>
    <row r="418">
      <c r="A418" s="47"/>
      <c r="B418" s="47"/>
      <c r="C418" s="47"/>
      <c r="D418" s="47"/>
      <c r="E418" s="47"/>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row>
    <row r="419">
      <c r="A419" s="47"/>
      <c r="B419" s="47"/>
      <c r="C419" s="47"/>
      <c r="D419" s="47"/>
      <c r="E419" s="47"/>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row>
    <row r="420">
      <c r="A420" s="47"/>
      <c r="B420" s="47"/>
      <c r="C420" s="47"/>
      <c r="D420" s="47"/>
      <c r="E420" s="47"/>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row>
    <row r="421">
      <c r="A421" s="47"/>
      <c r="B421" s="47"/>
      <c r="C421" s="47"/>
      <c r="D421" s="47"/>
      <c r="E421" s="47"/>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row>
    <row r="422">
      <c r="A422" s="47"/>
      <c r="B422" s="47"/>
      <c r="C422" s="47"/>
      <c r="D422" s="47"/>
      <c r="E422" s="47"/>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row>
    <row r="423">
      <c r="A423" s="47"/>
      <c r="B423" s="47"/>
      <c r="C423" s="47"/>
      <c r="D423" s="47"/>
      <c r="E423" s="47"/>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row>
    <row r="424">
      <c r="A424" s="47"/>
      <c r="B424" s="47"/>
      <c r="C424" s="47"/>
      <c r="D424" s="47"/>
      <c r="E424" s="47"/>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row>
    <row r="425">
      <c r="A425" s="47"/>
      <c r="B425" s="47"/>
      <c r="C425" s="47"/>
      <c r="D425" s="47"/>
      <c r="E425" s="47"/>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row>
    <row r="426">
      <c r="A426" s="47"/>
      <c r="B426" s="47"/>
      <c r="C426" s="47"/>
      <c r="D426" s="47"/>
      <c r="E426" s="47"/>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row>
    <row r="427">
      <c r="A427" s="47"/>
      <c r="B427" s="47"/>
      <c r="C427" s="47"/>
      <c r="D427" s="47"/>
      <c r="E427" s="47"/>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row>
    <row r="428">
      <c r="A428" s="47"/>
      <c r="B428" s="47"/>
      <c r="C428" s="47"/>
      <c r="D428" s="47"/>
      <c r="E428" s="47"/>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row>
    <row r="429">
      <c r="A429" s="47"/>
      <c r="B429" s="47"/>
      <c r="C429" s="47"/>
      <c r="D429" s="47"/>
      <c r="E429" s="47"/>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row>
    <row r="430">
      <c r="A430" s="47"/>
      <c r="B430" s="47"/>
      <c r="C430" s="47"/>
      <c r="D430" s="47"/>
      <c r="E430" s="47"/>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row>
    <row r="431">
      <c r="A431" s="47"/>
      <c r="B431" s="47"/>
      <c r="C431" s="47"/>
      <c r="D431" s="47"/>
      <c r="E431" s="47"/>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row>
    <row r="432">
      <c r="A432" s="47"/>
      <c r="B432" s="47"/>
      <c r="C432" s="47"/>
      <c r="D432" s="47"/>
      <c r="E432" s="47"/>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row>
    <row r="433">
      <c r="A433" s="47"/>
      <c r="B433" s="47"/>
      <c r="C433" s="47"/>
      <c r="D433" s="47"/>
      <c r="E433" s="47"/>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row>
    <row r="434">
      <c r="A434" s="47"/>
      <c r="B434" s="47"/>
      <c r="C434" s="47"/>
      <c r="D434" s="47"/>
      <c r="E434" s="47"/>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row>
    <row r="435">
      <c r="A435" s="47"/>
      <c r="B435" s="47"/>
      <c r="C435" s="47"/>
      <c r="D435" s="47"/>
      <c r="E435" s="47"/>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row>
    <row r="436">
      <c r="A436" s="47"/>
      <c r="B436" s="47"/>
      <c r="C436" s="47"/>
      <c r="D436" s="47"/>
      <c r="E436" s="47"/>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row>
    <row r="437">
      <c r="A437" s="47"/>
      <c r="B437" s="47"/>
      <c r="C437" s="47"/>
      <c r="D437" s="47"/>
      <c r="E437" s="47"/>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row>
    <row r="438">
      <c r="A438" s="47"/>
      <c r="B438" s="47"/>
      <c r="C438" s="47"/>
      <c r="D438" s="47"/>
      <c r="E438" s="47"/>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row>
    <row r="439">
      <c r="A439" s="47"/>
      <c r="B439" s="47"/>
      <c r="C439" s="47"/>
      <c r="D439" s="47"/>
      <c r="E439" s="47"/>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row>
    <row r="440">
      <c r="A440" s="47"/>
      <c r="B440" s="47"/>
      <c r="C440" s="47"/>
      <c r="D440" s="47"/>
      <c r="E440" s="47"/>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row>
    <row r="441">
      <c r="A441" s="47"/>
      <c r="B441" s="47"/>
      <c r="C441" s="47"/>
      <c r="D441" s="47"/>
      <c r="E441" s="47"/>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row>
    <row r="442">
      <c r="A442" s="47"/>
      <c r="B442" s="47"/>
      <c r="C442" s="47"/>
      <c r="D442" s="47"/>
      <c r="E442" s="47"/>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row>
    <row r="443">
      <c r="A443" s="47"/>
      <c r="B443" s="47"/>
      <c r="C443" s="47"/>
      <c r="D443" s="47"/>
      <c r="E443" s="47"/>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row>
    <row r="444">
      <c r="A444" s="47"/>
      <c r="B444" s="47"/>
      <c r="C444" s="47"/>
      <c r="D444" s="47"/>
      <c r="E444" s="47"/>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row>
    <row r="445">
      <c r="A445" s="47"/>
      <c r="B445" s="47"/>
      <c r="C445" s="47"/>
      <c r="D445" s="47"/>
      <c r="E445" s="47"/>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row>
    <row r="446">
      <c r="A446" s="47"/>
      <c r="B446" s="47"/>
      <c r="C446" s="47"/>
      <c r="D446" s="47"/>
      <c r="E446" s="47"/>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row>
    <row r="447">
      <c r="A447" s="47"/>
      <c r="B447" s="47"/>
      <c r="C447" s="47"/>
      <c r="D447" s="47"/>
      <c r="E447" s="47"/>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row>
    <row r="448">
      <c r="A448" s="47"/>
      <c r="B448" s="47"/>
      <c r="C448" s="47"/>
      <c r="D448" s="47"/>
      <c r="E448" s="47"/>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row>
    <row r="449">
      <c r="A449" s="47"/>
      <c r="B449" s="47"/>
      <c r="C449" s="47"/>
      <c r="D449" s="47"/>
      <c r="E449" s="47"/>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row>
    <row r="450">
      <c r="A450" s="47"/>
      <c r="B450" s="47"/>
      <c r="C450" s="47"/>
      <c r="D450" s="47"/>
      <c r="E450" s="47"/>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row>
    <row r="451">
      <c r="A451" s="47"/>
      <c r="B451" s="47"/>
      <c r="C451" s="47"/>
      <c r="D451" s="47"/>
      <c r="E451" s="47"/>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row>
    <row r="452">
      <c r="A452" s="47"/>
      <c r="B452" s="47"/>
      <c r="C452" s="47"/>
      <c r="D452" s="47"/>
      <c r="E452" s="47"/>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row>
    <row r="453">
      <c r="A453" s="47"/>
      <c r="B453" s="47"/>
      <c r="C453" s="47"/>
      <c r="D453" s="47"/>
      <c r="E453" s="47"/>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row>
    <row r="454">
      <c r="A454" s="47"/>
      <c r="B454" s="47"/>
      <c r="C454" s="47"/>
      <c r="D454" s="47"/>
      <c r="E454" s="47"/>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row>
    <row r="455">
      <c r="A455" s="47"/>
      <c r="B455" s="47"/>
      <c r="C455" s="47"/>
      <c r="D455" s="47"/>
      <c r="E455" s="47"/>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row>
    <row r="456">
      <c r="A456" s="47"/>
      <c r="B456" s="47"/>
      <c r="C456" s="47"/>
      <c r="D456" s="47"/>
      <c r="E456" s="47"/>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row>
    <row r="457">
      <c r="A457" s="47"/>
      <c r="B457" s="47"/>
      <c r="C457" s="47"/>
      <c r="D457" s="47"/>
      <c r="E457" s="47"/>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row>
    <row r="458">
      <c r="A458" s="47"/>
      <c r="B458" s="47"/>
      <c r="C458" s="47"/>
      <c r="D458" s="47"/>
      <c r="E458" s="47"/>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row>
    <row r="459">
      <c r="A459" s="47"/>
      <c r="B459" s="47"/>
      <c r="C459" s="47"/>
      <c r="D459" s="47"/>
      <c r="E459" s="47"/>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row>
    <row r="460">
      <c r="A460" s="47"/>
      <c r="B460" s="47"/>
      <c r="C460" s="47"/>
      <c r="D460" s="47"/>
      <c r="E460" s="47"/>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row>
    <row r="461">
      <c r="A461" s="47"/>
      <c r="B461" s="47"/>
      <c r="C461" s="47"/>
      <c r="D461" s="47"/>
      <c r="E461" s="47"/>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row>
    <row r="462">
      <c r="A462" s="47"/>
      <c r="B462" s="47"/>
      <c r="C462" s="47"/>
      <c r="D462" s="47"/>
      <c r="E462" s="47"/>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row>
    <row r="463">
      <c r="A463" s="47"/>
      <c r="B463" s="47"/>
      <c r="C463" s="47"/>
      <c r="D463" s="47"/>
      <c r="E463" s="47"/>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row>
    <row r="464">
      <c r="A464" s="47"/>
      <c r="B464" s="47"/>
      <c r="C464" s="47"/>
      <c r="D464" s="47"/>
      <c r="E464" s="47"/>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row>
    <row r="465">
      <c r="A465" s="47"/>
      <c r="B465" s="47"/>
      <c r="C465" s="47"/>
      <c r="D465" s="47"/>
      <c r="E465" s="47"/>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row>
    <row r="466">
      <c r="A466" s="47"/>
      <c r="B466" s="47"/>
      <c r="C466" s="47"/>
      <c r="D466" s="47"/>
      <c r="E466" s="47"/>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row>
    <row r="467">
      <c r="A467" s="47"/>
      <c r="B467" s="47"/>
      <c r="C467" s="47"/>
      <c r="D467" s="47"/>
      <c r="E467" s="47"/>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row>
    <row r="468">
      <c r="A468" s="47"/>
      <c r="B468" s="47"/>
      <c r="C468" s="47"/>
      <c r="D468" s="47"/>
      <c r="E468" s="47"/>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row>
    <row r="469">
      <c r="A469" s="47"/>
      <c r="B469" s="47"/>
      <c r="C469" s="47"/>
      <c r="D469" s="47"/>
      <c r="E469" s="47"/>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row>
    <row r="470">
      <c r="A470" s="47"/>
      <c r="B470" s="47"/>
      <c r="C470" s="47"/>
      <c r="D470" s="47"/>
      <c r="E470" s="47"/>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row>
    <row r="471">
      <c r="A471" s="47"/>
      <c r="B471" s="47"/>
      <c r="C471" s="47"/>
      <c r="D471" s="47"/>
      <c r="E471" s="47"/>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row>
    <row r="472">
      <c r="A472" s="47"/>
      <c r="B472" s="47"/>
      <c r="C472" s="47"/>
      <c r="D472" s="47"/>
      <c r="E472" s="47"/>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row>
    <row r="473">
      <c r="A473" s="47"/>
      <c r="B473" s="47"/>
      <c r="C473" s="47"/>
      <c r="D473" s="47"/>
      <c r="E473" s="47"/>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row>
    <row r="474">
      <c r="A474" s="47"/>
      <c r="B474" s="47"/>
      <c r="C474" s="47"/>
      <c r="D474" s="47"/>
      <c r="E474" s="47"/>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row>
    <row r="475">
      <c r="A475" s="47"/>
      <c r="B475" s="47"/>
      <c r="C475" s="47"/>
      <c r="D475" s="47"/>
      <c r="E475" s="47"/>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row>
    <row r="476">
      <c r="A476" s="47"/>
      <c r="B476" s="47"/>
      <c r="C476" s="47"/>
      <c r="D476" s="47"/>
      <c r="E476" s="47"/>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row>
    <row r="477">
      <c r="A477" s="47"/>
      <c r="B477" s="47"/>
      <c r="C477" s="47"/>
      <c r="D477" s="47"/>
      <c r="E477" s="47"/>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row>
    <row r="478">
      <c r="A478" s="47"/>
      <c r="B478" s="47"/>
      <c r="C478" s="47"/>
      <c r="D478" s="47"/>
      <c r="E478" s="47"/>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row>
    <row r="479">
      <c r="A479" s="47"/>
      <c r="B479" s="47"/>
      <c r="C479" s="47"/>
      <c r="D479" s="47"/>
      <c r="E479" s="47"/>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row>
    <row r="480">
      <c r="A480" s="47"/>
      <c r="B480" s="47"/>
      <c r="C480" s="47"/>
      <c r="D480" s="47"/>
      <c r="E480" s="47"/>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row>
    <row r="481">
      <c r="A481" s="47"/>
      <c r="B481" s="47"/>
      <c r="C481" s="47"/>
      <c r="D481" s="47"/>
      <c r="E481" s="47"/>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row>
    <row r="482">
      <c r="A482" s="47"/>
      <c r="B482" s="47"/>
      <c r="C482" s="47"/>
      <c r="D482" s="47"/>
      <c r="E482" s="47"/>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row>
    <row r="483">
      <c r="A483" s="47"/>
      <c r="B483" s="47"/>
      <c r="C483" s="47"/>
      <c r="D483" s="47"/>
      <c r="E483" s="47"/>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row>
    <row r="484">
      <c r="A484" s="47"/>
      <c r="B484" s="47"/>
      <c r="C484" s="47"/>
      <c r="D484" s="47"/>
      <c r="E484" s="47"/>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row>
    <row r="485">
      <c r="A485" s="47"/>
      <c r="B485" s="47"/>
      <c r="C485" s="47"/>
      <c r="D485" s="47"/>
      <c r="E485" s="47"/>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row>
    <row r="486">
      <c r="A486" s="47"/>
      <c r="B486" s="47"/>
      <c r="C486" s="47"/>
      <c r="D486" s="47"/>
      <c r="E486" s="47"/>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row>
    <row r="487">
      <c r="A487" s="47"/>
      <c r="B487" s="47"/>
      <c r="C487" s="47"/>
      <c r="D487" s="47"/>
      <c r="E487" s="47"/>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row>
    <row r="488">
      <c r="A488" s="47"/>
      <c r="B488" s="47"/>
      <c r="C488" s="47"/>
      <c r="D488" s="47"/>
      <c r="E488" s="47"/>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row>
    <row r="489">
      <c r="A489" s="47"/>
      <c r="B489" s="47"/>
      <c r="C489" s="47"/>
      <c r="D489" s="47"/>
      <c r="E489" s="47"/>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row>
    <row r="490">
      <c r="A490" s="47"/>
      <c r="B490" s="47"/>
      <c r="C490" s="47"/>
      <c r="D490" s="47"/>
      <c r="E490" s="47"/>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row>
    <row r="491">
      <c r="A491" s="47"/>
      <c r="B491" s="47"/>
      <c r="C491" s="47"/>
      <c r="D491" s="47"/>
      <c r="E491" s="47"/>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row>
    <row r="492">
      <c r="A492" s="47"/>
      <c r="B492" s="47"/>
      <c r="C492" s="47"/>
      <c r="D492" s="47"/>
      <c r="E492" s="47"/>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row>
    <row r="493">
      <c r="A493" s="47"/>
      <c r="B493" s="47"/>
      <c r="C493" s="47"/>
      <c r="D493" s="47"/>
      <c r="E493" s="47"/>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row>
    <row r="494">
      <c r="A494" s="47"/>
      <c r="B494" s="47"/>
      <c r="C494" s="47"/>
      <c r="D494" s="47"/>
      <c r="E494" s="47"/>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row>
    <row r="495">
      <c r="A495" s="47"/>
      <c r="B495" s="47"/>
      <c r="C495" s="47"/>
      <c r="D495" s="47"/>
      <c r="E495" s="47"/>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row>
    <row r="496">
      <c r="A496" s="47"/>
      <c r="B496" s="47"/>
      <c r="C496" s="47"/>
      <c r="D496" s="47"/>
      <c r="E496" s="47"/>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row>
    <row r="497">
      <c r="A497" s="47"/>
      <c r="B497" s="47"/>
      <c r="C497" s="47"/>
      <c r="D497" s="47"/>
      <c r="E497" s="47"/>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row>
    <row r="498">
      <c r="A498" s="47"/>
      <c r="B498" s="47"/>
      <c r="C498" s="47"/>
      <c r="D498" s="47"/>
      <c r="E498" s="47"/>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row>
    <row r="499">
      <c r="A499" s="47"/>
      <c r="B499" s="47"/>
      <c r="C499" s="47"/>
      <c r="D499" s="47"/>
      <c r="E499" s="47"/>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row>
    <row r="500">
      <c r="A500" s="47"/>
      <c r="B500" s="47"/>
      <c r="C500" s="47"/>
      <c r="D500" s="47"/>
      <c r="E500" s="47"/>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row>
    <row r="501">
      <c r="A501" s="47"/>
      <c r="B501" s="47"/>
      <c r="C501" s="47"/>
      <c r="D501" s="47"/>
      <c r="E501" s="47"/>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row>
    <row r="502">
      <c r="A502" s="47"/>
      <c r="B502" s="47"/>
      <c r="C502" s="47"/>
      <c r="D502" s="47"/>
      <c r="E502" s="47"/>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row>
    <row r="503">
      <c r="A503" s="47"/>
      <c r="B503" s="47"/>
      <c r="C503" s="47"/>
      <c r="D503" s="47"/>
      <c r="E503" s="47"/>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row>
    <row r="504">
      <c r="A504" s="47"/>
      <c r="B504" s="47"/>
      <c r="C504" s="47"/>
      <c r="D504" s="47"/>
      <c r="E504" s="47"/>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row>
    <row r="505">
      <c r="A505" s="47"/>
      <c r="B505" s="47"/>
      <c r="C505" s="47"/>
      <c r="D505" s="47"/>
      <c r="E505" s="47"/>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row>
    <row r="506">
      <c r="A506" s="47"/>
      <c r="B506" s="47"/>
      <c r="C506" s="47"/>
      <c r="D506" s="47"/>
      <c r="E506" s="47"/>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row>
    <row r="507">
      <c r="A507" s="47"/>
      <c r="B507" s="47"/>
      <c r="C507" s="47"/>
      <c r="D507" s="47"/>
      <c r="E507" s="47"/>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row>
    <row r="508">
      <c r="A508" s="47"/>
      <c r="B508" s="47"/>
      <c r="C508" s="47"/>
      <c r="D508" s="47"/>
      <c r="E508" s="47"/>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row>
    <row r="509">
      <c r="A509" s="47"/>
      <c r="B509" s="47"/>
      <c r="C509" s="47"/>
      <c r="D509" s="47"/>
      <c r="E509" s="47"/>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row>
    <row r="510">
      <c r="A510" s="47"/>
      <c r="B510" s="47"/>
      <c r="C510" s="47"/>
      <c r="D510" s="47"/>
      <c r="E510" s="47"/>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row>
    <row r="511">
      <c r="A511" s="47"/>
      <c r="B511" s="47"/>
      <c r="C511" s="47"/>
      <c r="D511" s="47"/>
      <c r="E511" s="47"/>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row>
    <row r="512">
      <c r="A512" s="47"/>
      <c r="B512" s="47"/>
      <c r="C512" s="47"/>
      <c r="D512" s="47"/>
      <c r="E512" s="47"/>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row>
    <row r="513">
      <c r="A513" s="47"/>
      <c r="B513" s="47"/>
      <c r="C513" s="47"/>
      <c r="D513" s="47"/>
      <c r="E513" s="47"/>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row>
    <row r="514">
      <c r="A514" s="47"/>
      <c r="B514" s="47"/>
      <c r="C514" s="47"/>
      <c r="D514" s="47"/>
      <c r="E514" s="47"/>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row>
    <row r="515">
      <c r="A515" s="47"/>
      <c r="B515" s="47"/>
      <c r="C515" s="47"/>
      <c r="D515" s="47"/>
      <c r="E515" s="47"/>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row>
    <row r="516">
      <c r="A516" s="47"/>
      <c r="B516" s="47"/>
      <c r="C516" s="47"/>
      <c r="D516" s="47"/>
      <c r="E516" s="47"/>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row>
    <row r="517">
      <c r="A517" s="47"/>
      <c r="B517" s="47"/>
      <c r="C517" s="47"/>
      <c r="D517" s="47"/>
      <c r="E517" s="47"/>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row>
    <row r="518">
      <c r="A518" s="47"/>
      <c r="B518" s="47"/>
      <c r="C518" s="47"/>
      <c r="D518" s="47"/>
      <c r="E518" s="47"/>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row>
    <row r="519">
      <c r="A519" s="47"/>
      <c r="B519" s="47"/>
      <c r="C519" s="47"/>
      <c r="D519" s="47"/>
      <c r="E519" s="47"/>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row>
    <row r="520">
      <c r="A520" s="47"/>
      <c r="B520" s="47"/>
      <c r="C520" s="47"/>
      <c r="D520" s="47"/>
      <c r="E520" s="47"/>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row>
    <row r="521">
      <c r="A521" s="47"/>
      <c r="B521" s="47"/>
      <c r="C521" s="47"/>
      <c r="D521" s="47"/>
      <c r="E521" s="47"/>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row>
    <row r="522">
      <c r="A522" s="47"/>
      <c r="B522" s="47"/>
      <c r="C522" s="47"/>
      <c r="D522" s="47"/>
      <c r="E522" s="47"/>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row>
    <row r="523">
      <c r="A523" s="47"/>
      <c r="B523" s="47"/>
      <c r="C523" s="47"/>
      <c r="D523" s="47"/>
      <c r="E523" s="47"/>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row>
    <row r="524">
      <c r="A524" s="47"/>
      <c r="B524" s="47"/>
      <c r="C524" s="47"/>
      <c r="D524" s="47"/>
      <c r="E524" s="47"/>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row>
    <row r="525">
      <c r="A525" s="47"/>
      <c r="B525" s="47"/>
      <c r="C525" s="47"/>
      <c r="D525" s="47"/>
      <c r="E525" s="47"/>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row>
    <row r="526">
      <c r="A526" s="47"/>
      <c r="B526" s="47"/>
      <c r="C526" s="47"/>
      <c r="D526" s="47"/>
      <c r="E526" s="47"/>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row>
    <row r="527">
      <c r="A527" s="47"/>
      <c r="B527" s="47"/>
      <c r="C527" s="47"/>
      <c r="D527" s="47"/>
      <c r="E527" s="47"/>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row>
    <row r="528">
      <c r="A528" s="47"/>
      <c r="B528" s="47"/>
      <c r="C528" s="47"/>
      <c r="D528" s="47"/>
      <c r="E528" s="47"/>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row>
    <row r="529">
      <c r="A529" s="47"/>
      <c r="B529" s="47"/>
      <c r="C529" s="47"/>
      <c r="D529" s="47"/>
      <c r="E529" s="47"/>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row>
    <row r="530">
      <c r="A530" s="47"/>
      <c r="B530" s="47"/>
      <c r="C530" s="47"/>
      <c r="D530" s="47"/>
      <c r="E530" s="47"/>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row>
    <row r="531">
      <c r="A531" s="47"/>
      <c r="B531" s="47"/>
      <c r="C531" s="47"/>
      <c r="D531" s="47"/>
      <c r="E531" s="47"/>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row>
    <row r="532">
      <c r="A532" s="47"/>
      <c r="B532" s="47"/>
      <c r="C532" s="47"/>
      <c r="D532" s="47"/>
      <c r="E532" s="47"/>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row>
    <row r="533">
      <c r="A533" s="47"/>
      <c r="B533" s="47"/>
      <c r="C533" s="47"/>
      <c r="D533" s="47"/>
      <c r="E533" s="47"/>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row>
    <row r="534">
      <c r="A534" s="47"/>
      <c r="B534" s="47"/>
      <c r="C534" s="47"/>
      <c r="D534" s="47"/>
      <c r="E534" s="47"/>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row>
    <row r="535">
      <c r="A535" s="47"/>
      <c r="B535" s="47"/>
      <c r="C535" s="47"/>
      <c r="D535" s="47"/>
      <c r="E535" s="47"/>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row>
    <row r="536">
      <c r="A536" s="47"/>
      <c r="B536" s="47"/>
      <c r="C536" s="47"/>
      <c r="D536" s="47"/>
      <c r="E536" s="47"/>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row>
    <row r="537">
      <c r="A537" s="47"/>
      <c r="B537" s="47"/>
      <c r="C537" s="47"/>
      <c r="D537" s="47"/>
      <c r="E537" s="47"/>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row>
    <row r="538">
      <c r="A538" s="47"/>
      <c r="B538" s="47"/>
      <c r="C538" s="47"/>
      <c r="D538" s="47"/>
      <c r="E538" s="47"/>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row>
    <row r="539">
      <c r="A539" s="47"/>
      <c r="B539" s="47"/>
      <c r="C539" s="47"/>
      <c r="D539" s="47"/>
      <c r="E539" s="47"/>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row>
    <row r="540">
      <c r="A540" s="47"/>
      <c r="B540" s="47"/>
      <c r="C540" s="47"/>
      <c r="D540" s="47"/>
      <c r="E540" s="47"/>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row>
    <row r="541">
      <c r="A541" s="47"/>
      <c r="B541" s="47"/>
      <c r="C541" s="47"/>
      <c r="D541" s="47"/>
      <c r="E541" s="47"/>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row>
    <row r="542">
      <c r="A542" s="47"/>
      <c r="B542" s="47"/>
      <c r="C542" s="47"/>
      <c r="D542" s="47"/>
      <c r="E542" s="47"/>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row>
    <row r="543">
      <c r="A543" s="47"/>
      <c r="B543" s="47"/>
      <c r="C543" s="47"/>
      <c r="D543" s="47"/>
      <c r="E543" s="47"/>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row>
    <row r="544">
      <c r="A544" s="47"/>
      <c r="B544" s="47"/>
      <c r="C544" s="47"/>
      <c r="D544" s="47"/>
      <c r="E544" s="47"/>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row>
    <row r="545">
      <c r="A545" s="47"/>
      <c r="B545" s="47"/>
      <c r="C545" s="47"/>
      <c r="D545" s="47"/>
      <c r="E545" s="47"/>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row>
    <row r="546">
      <c r="A546" s="47"/>
      <c r="B546" s="47"/>
      <c r="C546" s="47"/>
      <c r="D546" s="47"/>
      <c r="E546" s="47"/>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row>
    <row r="547">
      <c r="A547" s="47"/>
      <c r="B547" s="47"/>
      <c r="C547" s="47"/>
      <c r="D547" s="47"/>
      <c r="E547" s="47"/>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row>
    <row r="548">
      <c r="A548" s="47"/>
      <c r="B548" s="47"/>
      <c r="C548" s="47"/>
      <c r="D548" s="47"/>
      <c r="E548" s="47"/>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row>
    <row r="549">
      <c r="A549" s="47"/>
      <c r="B549" s="47"/>
      <c r="C549" s="47"/>
      <c r="D549" s="47"/>
      <c r="E549" s="47"/>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row>
    <row r="550">
      <c r="A550" s="47"/>
      <c r="B550" s="47"/>
      <c r="C550" s="47"/>
      <c r="D550" s="47"/>
      <c r="E550" s="47"/>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row>
    <row r="551">
      <c r="A551" s="47"/>
      <c r="B551" s="47"/>
      <c r="C551" s="47"/>
      <c r="D551" s="47"/>
      <c r="E551" s="47"/>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row>
    <row r="552">
      <c r="A552" s="47"/>
      <c r="B552" s="47"/>
      <c r="C552" s="47"/>
      <c r="D552" s="47"/>
      <c r="E552" s="47"/>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row>
    <row r="553">
      <c r="A553" s="47"/>
      <c r="B553" s="47"/>
      <c r="C553" s="47"/>
      <c r="D553" s="47"/>
      <c r="E553" s="47"/>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row>
    <row r="554">
      <c r="A554" s="47"/>
      <c r="B554" s="47"/>
      <c r="C554" s="47"/>
      <c r="D554" s="47"/>
      <c r="E554" s="47"/>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row>
    <row r="555">
      <c r="A555" s="47"/>
      <c r="B555" s="47"/>
      <c r="C555" s="47"/>
      <c r="D555" s="47"/>
      <c r="E555" s="47"/>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row>
    <row r="556">
      <c r="A556" s="47"/>
      <c r="B556" s="47"/>
      <c r="C556" s="47"/>
      <c r="D556" s="47"/>
      <c r="E556" s="47"/>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row>
    <row r="557">
      <c r="A557" s="47"/>
      <c r="B557" s="47"/>
      <c r="C557" s="47"/>
      <c r="D557" s="47"/>
      <c r="E557" s="47"/>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row>
    <row r="558">
      <c r="A558" s="47"/>
      <c r="B558" s="47"/>
      <c r="C558" s="47"/>
      <c r="D558" s="47"/>
      <c r="E558" s="47"/>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row>
    <row r="559">
      <c r="A559" s="47"/>
      <c r="B559" s="47"/>
      <c r="C559" s="47"/>
      <c r="D559" s="47"/>
      <c r="E559" s="47"/>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row>
    <row r="560">
      <c r="A560" s="47"/>
      <c r="B560" s="47"/>
      <c r="C560" s="47"/>
      <c r="D560" s="47"/>
      <c r="E560" s="47"/>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row>
    <row r="561">
      <c r="A561" s="47"/>
      <c r="B561" s="47"/>
      <c r="C561" s="47"/>
      <c r="D561" s="47"/>
      <c r="E561" s="47"/>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row>
    <row r="562">
      <c r="A562" s="47"/>
      <c r="B562" s="47"/>
      <c r="C562" s="47"/>
      <c r="D562" s="47"/>
      <c r="E562" s="47"/>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row>
    <row r="563">
      <c r="A563" s="47"/>
      <c r="B563" s="47"/>
      <c r="C563" s="47"/>
      <c r="D563" s="47"/>
      <c r="E563" s="47"/>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row>
    <row r="564">
      <c r="A564" s="47"/>
      <c r="B564" s="47"/>
      <c r="C564" s="47"/>
      <c r="D564" s="47"/>
      <c r="E564" s="47"/>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row>
    <row r="565">
      <c r="A565" s="47"/>
      <c r="B565" s="47"/>
      <c r="C565" s="47"/>
      <c r="D565" s="47"/>
      <c r="E565" s="47"/>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row>
    <row r="566">
      <c r="A566" s="47"/>
      <c r="B566" s="47"/>
      <c r="C566" s="47"/>
      <c r="D566" s="47"/>
      <c r="E566" s="47"/>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row>
    <row r="567">
      <c r="A567" s="47"/>
      <c r="B567" s="47"/>
      <c r="C567" s="47"/>
      <c r="D567" s="47"/>
      <c r="E567" s="47"/>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row>
    <row r="568">
      <c r="A568" s="47"/>
      <c r="B568" s="47"/>
      <c r="C568" s="47"/>
      <c r="D568" s="47"/>
      <c r="E568" s="47"/>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row>
    <row r="569">
      <c r="A569" s="47"/>
      <c r="B569" s="47"/>
      <c r="C569" s="47"/>
      <c r="D569" s="47"/>
      <c r="E569" s="47"/>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row>
    <row r="570">
      <c r="A570" s="47"/>
      <c r="B570" s="47"/>
      <c r="C570" s="47"/>
      <c r="D570" s="47"/>
      <c r="E570" s="47"/>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row>
    <row r="571">
      <c r="A571" s="47"/>
      <c r="B571" s="47"/>
      <c r="C571" s="47"/>
      <c r="D571" s="47"/>
      <c r="E571" s="47"/>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row>
    <row r="572">
      <c r="A572" s="47"/>
      <c r="B572" s="47"/>
      <c r="C572" s="47"/>
      <c r="D572" s="47"/>
      <c r="E572" s="47"/>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row>
    <row r="573">
      <c r="A573" s="47"/>
      <c r="B573" s="47"/>
      <c r="C573" s="47"/>
      <c r="D573" s="47"/>
      <c r="E573" s="47"/>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row>
    <row r="574">
      <c r="A574" s="47"/>
      <c r="B574" s="47"/>
      <c r="C574" s="47"/>
      <c r="D574" s="47"/>
      <c r="E574" s="47"/>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row>
    <row r="575">
      <c r="A575" s="47"/>
      <c r="B575" s="47"/>
      <c r="C575" s="47"/>
      <c r="D575" s="47"/>
      <c r="E575" s="47"/>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row>
    <row r="576">
      <c r="A576" s="47"/>
      <c r="B576" s="47"/>
      <c r="C576" s="47"/>
      <c r="D576" s="47"/>
      <c r="E576" s="47"/>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row>
    <row r="577">
      <c r="A577" s="47"/>
      <c r="B577" s="47"/>
      <c r="C577" s="47"/>
      <c r="D577" s="47"/>
      <c r="E577" s="47"/>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row>
    <row r="578">
      <c r="A578" s="47"/>
      <c r="B578" s="47"/>
      <c r="C578" s="47"/>
      <c r="D578" s="47"/>
      <c r="E578" s="47"/>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row>
    <row r="579">
      <c r="A579" s="47"/>
      <c r="B579" s="47"/>
      <c r="C579" s="47"/>
      <c r="D579" s="47"/>
      <c r="E579" s="47"/>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row>
    <row r="580">
      <c r="A580" s="47"/>
      <c r="B580" s="47"/>
      <c r="C580" s="47"/>
      <c r="D580" s="47"/>
      <c r="E580" s="47"/>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row>
    <row r="581">
      <c r="A581" s="47"/>
      <c r="B581" s="47"/>
      <c r="C581" s="47"/>
      <c r="D581" s="47"/>
      <c r="E581" s="47"/>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row>
    <row r="582">
      <c r="A582" s="47"/>
      <c r="B582" s="47"/>
      <c r="C582" s="47"/>
      <c r="D582" s="47"/>
      <c r="E582" s="47"/>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row>
    <row r="583">
      <c r="A583" s="47"/>
      <c r="B583" s="47"/>
      <c r="C583" s="47"/>
      <c r="D583" s="47"/>
      <c r="E583" s="47"/>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row>
    <row r="584">
      <c r="A584" s="47"/>
      <c r="B584" s="47"/>
      <c r="C584" s="47"/>
      <c r="D584" s="47"/>
      <c r="E584" s="47"/>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row>
    <row r="585">
      <c r="A585" s="47"/>
      <c r="B585" s="47"/>
      <c r="C585" s="47"/>
      <c r="D585" s="47"/>
      <c r="E585" s="47"/>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row>
    <row r="586">
      <c r="A586" s="47"/>
      <c r="B586" s="47"/>
      <c r="C586" s="47"/>
      <c r="D586" s="47"/>
      <c r="E586" s="47"/>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row>
    <row r="587">
      <c r="A587" s="47"/>
      <c r="B587" s="47"/>
      <c r="C587" s="47"/>
      <c r="D587" s="47"/>
      <c r="E587" s="47"/>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row>
    <row r="588">
      <c r="A588" s="47"/>
      <c r="B588" s="47"/>
      <c r="C588" s="47"/>
      <c r="D588" s="47"/>
      <c r="E588" s="47"/>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row>
    <row r="589">
      <c r="A589" s="47"/>
      <c r="B589" s="47"/>
      <c r="C589" s="47"/>
      <c r="D589" s="47"/>
      <c r="E589" s="47"/>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row>
    <row r="590">
      <c r="A590" s="47"/>
      <c r="B590" s="47"/>
      <c r="C590" s="47"/>
      <c r="D590" s="47"/>
      <c r="E590" s="47"/>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row>
    <row r="591">
      <c r="A591" s="47"/>
      <c r="B591" s="47"/>
      <c r="C591" s="47"/>
      <c r="D591" s="47"/>
      <c r="E591" s="47"/>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row>
    <row r="592">
      <c r="A592" s="47"/>
      <c r="B592" s="47"/>
      <c r="C592" s="47"/>
      <c r="D592" s="47"/>
      <c r="E592" s="47"/>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row>
    <row r="593">
      <c r="A593" s="47"/>
      <c r="B593" s="47"/>
      <c r="C593" s="47"/>
      <c r="D593" s="47"/>
      <c r="E593" s="47"/>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row>
    <row r="594">
      <c r="A594" s="47"/>
      <c r="B594" s="47"/>
      <c r="C594" s="47"/>
      <c r="D594" s="47"/>
      <c r="E594" s="47"/>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row>
    <row r="595">
      <c r="A595" s="47"/>
      <c r="B595" s="47"/>
      <c r="C595" s="47"/>
      <c r="D595" s="47"/>
      <c r="E595" s="47"/>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row>
    <row r="596">
      <c r="A596" s="47"/>
      <c r="B596" s="47"/>
      <c r="C596" s="47"/>
      <c r="D596" s="47"/>
      <c r="E596" s="47"/>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row>
    <row r="597">
      <c r="A597" s="47"/>
      <c r="B597" s="47"/>
      <c r="C597" s="47"/>
      <c r="D597" s="47"/>
      <c r="E597" s="47"/>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row>
    <row r="598">
      <c r="A598" s="47"/>
      <c r="B598" s="47"/>
      <c r="C598" s="47"/>
      <c r="D598" s="47"/>
      <c r="E598" s="47"/>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row>
    <row r="599">
      <c r="A599" s="47"/>
      <c r="B599" s="47"/>
      <c r="C599" s="47"/>
      <c r="D599" s="47"/>
      <c r="E599" s="47"/>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row>
    <row r="600">
      <c r="A600" s="47"/>
      <c r="B600" s="47"/>
      <c r="C600" s="47"/>
      <c r="D600" s="47"/>
      <c r="E600" s="47"/>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row>
    <row r="601">
      <c r="A601" s="47"/>
      <c r="B601" s="47"/>
      <c r="C601" s="47"/>
      <c r="D601" s="47"/>
      <c r="E601" s="47"/>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row>
    <row r="602">
      <c r="A602" s="47"/>
      <c r="B602" s="47"/>
      <c r="C602" s="47"/>
      <c r="D602" s="47"/>
      <c r="E602" s="47"/>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row>
    <row r="603">
      <c r="A603" s="47"/>
      <c r="B603" s="47"/>
      <c r="C603" s="47"/>
      <c r="D603" s="47"/>
      <c r="E603" s="47"/>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row>
    <row r="604">
      <c r="A604" s="47"/>
      <c r="B604" s="47"/>
      <c r="C604" s="47"/>
      <c r="D604" s="47"/>
      <c r="E604" s="47"/>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row>
    <row r="605">
      <c r="A605" s="47"/>
      <c r="B605" s="47"/>
      <c r="C605" s="47"/>
      <c r="D605" s="47"/>
      <c r="E605" s="47"/>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row>
    <row r="606">
      <c r="A606" s="47"/>
      <c r="B606" s="47"/>
      <c r="C606" s="47"/>
      <c r="D606" s="47"/>
      <c r="E606" s="47"/>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row>
    <row r="607">
      <c r="A607" s="47"/>
      <c r="B607" s="47"/>
      <c r="C607" s="47"/>
      <c r="D607" s="47"/>
      <c r="E607" s="47"/>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row>
    <row r="608">
      <c r="A608" s="47"/>
      <c r="B608" s="47"/>
      <c r="C608" s="47"/>
      <c r="D608" s="47"/>
      <c r="E608" s="47"/>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row>
    <row r="609">
      <c r="A609" s="47"/>
      <c r="B609" s="47"/>
      <c r="C609" s="47"/>
      <c r="D609" s="47"/>
      <c r="E609" s="47"/>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row>
    <row r="610">
      <c r="A610" s="47"/>
      <c r="B610" s="47"/>
      <c r="C610" s="47"/>
      <c r="D610" s="47"/>
      <c r="E610" s="47"/>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row>
    <row r="611">
      <c r="A611" s="47"/>
      <c r="B611" s="47"/>
      <c r="C611" s="47"/>
      <c r="D611" s="47"/>
      <c r="E611" s="47"/>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row>
    <row r="612">
      <c r="A612" s="47"/>
      <c r="B612" s="47"/>
      <c r="C612" s="47"/>
      <c r="D612" s="47"/>
      <c r="E612" s="47"/>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row>
    <row r="613">
      <c r="A613" s="47"/>
      <c r="B613" s="47"/>
      <c r="C613" s="47"/>
      <c r="D613" s="47"/>
      <c r="E613" s="47"/>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row>
    <row r="614">
      <c r="A614" s="47"/>
      <c r="B614" s="47"/>
      <c r="C614" s="47"/>
      <c r="D614" s="47"/>
      <c r="E614" s="47"/>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row>
    <row r="615">
      <c r="A615" s="47"/>
      <c r="B615" s="47"/>
      <c r="C615" s="47"/>
      <c r="D615" s="47"/>
      <c r="E615" s="47"/>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row>
    <row r="616">
      <c r="A616" s="47"/>
      <c r="B616" s="47"/>
      <c r="C616" s="47"/>
      <c r="D616" s="47"/>
      <c r="E616" s="47"/>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row>
    <row r="617">
      <c r="A617" s="47"/>
      <c r="B617" s="47"/>
      <c r="C617" s="47"/>
      <c r="D617" s="47"/>
      <c r="E617" s="47"/>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row>
    <row r="618">
      <c r="A618" s="47"/>
      <c r="B618" s="47"/>
      <c r="C618" s="47"/>
      <c r="D618" s="47"/>
      <c r="E618" s="47"/>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row>
    <row r="619">
      <c r="A619" s="47"/>
      <c r="B619" s="47"/>
      <c r="C619" s="47"/>
      <c r="D619" s="47"/>
      <c r="E619" s="47"/>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row>
    <row r="620">
      <c r="A620" s="47"/>
      <c r="B620" s="47"/>
      <c r="C620" s="47"/>
      <c r="D620" s="47"/>
      <c r="E620" s="47"/>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row>
    <row r="621">
      <c r="A621" s="47"/>
      <c r="B621" s="47"/>
      <c r="C621" s="47"/>
      <c r="D621" s="47"/>
      <c r="E621" s="47"/>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row>
    <row r="622">
      <c r="A622" s="47"/>
      <c r="B622" s="47"/>
      <c r="C622" s="47"/>
      <c r="D622" s="47"/>
      <c r="E622" s="47"/>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row>
    <row r="623">
      <c r="A623" s="47"/>
      <c r="B623" s="47"/>
      <c r="C623" s="47"/>
      <c r="D623" s="47"/>
      <c r="E623" s="47"/>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row>
    <row r="624">
      <c r="A624" s="47"/>
      <c r="B624" s="47"/>
      <c r="C624" s="47"/>
      <c r="D624" s="47"/>
      <c r="E624" s="47"/>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row>
    <row r="625">
      <c r="A625" s="47"/>
      <c r="B625" s="47"/>
      <c r="C625" s="47"/>
      <c r="D625" s="47"/>
      <c r="E625" s="47"/>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row>
    <row r="626">
      <c r="A626" s="47"/>
      <c r="B626" s="47"/>
      <c r="C626" s="47"/>
      <c r="D626" s="47"/>
      <c r="E626" s="47"/>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row>
    <row r="627">
      <c r="A627" s="47"/>
      <c r="B627" s="47"/>
      <c r="C627" s="47"/>
      <c r="D627" s="47"/>
      <c r="E627" s="47"/>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row>
    <row r="628">
      <c r="A628" s="47"/>
      <c r="B628" s="47"/>
      <c r="C628" s="47"/>
      <c r="D628" s="47"/>
      <c r="E628" s="47"/>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row>
    <row r="629">
      <c r="A629" s="47"/>
      <c r="B629" s="47"/>
      <c r="C629" s="47"/>
      <c r="D629" s="47"/>
      <c r="E629" s="47"/>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row>
    <row r="630">
      <c r="A630" s="47"/>
      <c r="B630" s="47"/>
      <c r="C630" s="47"/>
      <c r="D630" s="47"/>
      <c r="E630" s="47"/>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row>
    <row r="631">
      <c r="A631" s="47"/>
      <c r="B631" s="47"/>
      <c r="C631" s="47"/>
      <c r="D631" s="47"/>
      <c r="E631" s="47"/>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row>
    <row r="632">
      <c r="A632" s="47"/>
      <c r="B632" s="47"/>
      <c r="C632" s="47"/>
      <c r="D632" s="47"/>
      <c r="E632" s="47"/>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row>
    <row r="633">
      <c r="A633" s="47"/>
      <c r="B633" s="47"/>
      <c r="C633" s="47"/>
      <c r="D633" s="47"/>
      <c r="E633" s="47"/>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row>
    <row r="634">
      <c r="A634" s="47"/>
      <c r="B634" s="47"/>
      <c r="C634" s="47"/>
      <c r="D634" s="47"/>
      <c r="E634" s="47"/>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row>
    <row r="635">
      <c r="A635" s="47"/>
      <c r="B635" s="47"/>
      <c r="C635" s="47"/>
      <c r="D635" s="47"/>
      <c r="E635" s="47"/>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row>
    <row r="636">
      <c r="A636" s="47"/>
      <c r="B636" s="47"/>
      <c r="C636" s="47"/>
      <c r="D636" s="47"/>
      <c r="E636" s="47"/>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row>
    <row r="637">
      <c r="A637" s="47"/>
      <c r="B637" s="47"/>
      <c r="C637" s="47"/>
      <c r="D637" s="47"/>
      <c r="E637" s="47"/>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row>
    <row r="638">
      <c r="A638" s="47"/>
      <c r="B638" s="47"/>
      <c r="C638" s="47"/>
      <c r="D638" s="47"/>
      <c r="E638" s="47"/>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row>
    <row r="639">
      <c r="A639" s="47"/>
      <c r="B639" s="47"/>
      <c r="C639" s="47"/>
      <c r="D639" s="47"/>
      <c r="E639" s="47"/>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row>
    <row r="640">
      <c r="A640" s="47"/>
      <c r="B640" s="47"/>
      <c r="C640" s="47"/>
      <c r="D640" s="47"/>
      <c r="E640" s="47"/>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row>
    <row r="641">
      <c r="A641" s="47"/>
      <c r="B641" s="47"/>
      <c r="C641" s="47"/>
      <c r="D641" s="47"/>
      <c r="E641" s="47"/>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row>
    <row r="642">
      <c r="A642" s="47"/>
      <c r="B642" s="47"/>
      <c r="C642" s="47"/>
      <c r="D642" s="47"/>
      <c r="E642" s="47"/>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row>
    <row r="643">
      <c r="A643" s="47"/>
      <c r="B643" s="47"/>
      <c r="C643" s="47"/>
      <c r="D643" s="47"/>
      <c r="E643" s="47"/>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row>
    <row r="644">
      <c r="A644" s="47"/>
      <c r="B644" s="47"/>
      <c r="C644" s="47"/>
      <c r="D644" s="47"/>
      <c r="E644" s="47"/>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row>
    <row r="645">
      <c r="A645" s="47"/>
      <c r="B645" s="47"/>
      <c r="C645" s="47"/>
      <c r="D645" s="47"/>
      <c r="E645" s="47"/>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row>
    <row r="646">
      <c r="A646" s="47"/>
      <c r="B646" s="47"/>
      <c r="C646" s="47"/>
      <c r="D646" s="47"/>
      <c r="E646" s="47"/>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row>
    <row r="647">
      <c r="A647" s="47"/>
      <c r="B647" s="47"/>
      <c r="C647" s="47"/>
      <c r="D647" s="47"/>
      <c r="E647" s="47"/>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row>
    <row r="648">
      <c r="A648" s="47"/>
      <c r="B648" s="47"/>
      <c r="C648" s="47"/>
      <c r="D648" s="47"/>
      <c r="E648" s="47"/>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row>
    <row r="649">
      <c r="A649" s="47"/>
      <c r="B649" s="47"/>
      <c r="C649" s="47"/>
      <c r="D649" s="47"/>
      <c r="E649" s="47"/>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row>
    <row r="650">
      <c r="A650" s="47"/>
      <c r="B650" s="47"/>
      <c r="C650" s="47"/>
      <c r="D650" s="47"/>
      <c r="E650" s="47"/>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row>
    <row r="651">
      <c r="A651" s="47"/>
      <c r="B651" s="47"/>
      <c r="C651" s="47"/>
      <c r="D651" s="47"/>
      <c r="E651" s="47"/>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row>
    <row r="652">
      <c r="A652" s="47"/>
      <c r="B652" s="47"/>
      <c r="C652" s="47"/>
      <c r="D652" s="47"/>
      <c r="E652" s="47"/>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row>
    <row r="653">
      <c r="A653" s="47"/>
      <c r="B653" s="47"/>
      <c r="C653" s="47"/>
      <c r="D653" s="47"/>
      <c r="E653" s="47"/>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row>
    <row r="654">
      <c r="A654" s="47"/>
      <c r="B654" s="47"/>
      <c r="C654" s="47"/>
      <c r="D654" s="47"/>
      <c r="E654" s="47"/>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row>
    <row r="655">
      <c r="A655" s="47"/>
      <c r="B655" s="47"/>
      <c r="C655" s="47"/>
      <c r="D655" s="47"/>
      <c r="E655" s="47"/>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row>
    <row r="656">
      <c r="A656" s="47"/>
      <c r="B656" s="47"/>
      <c r="C656" s="47"/>
      <c r="D656" s="47"/>
      <c r="E656" s="47"/>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row>
    <row r="657">
      <c r="A657" s="47"/>
      <c r="B657" s="47"/>
      <c r="C657" s="47"/>
      <c r="D657" s="47"/>
      <c r="E657" s="47"/>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row>
    <row r="658">
      <c r="A658" s="47"/>
      <c r="B658" s="47"/>
      <c r="C658" s="47"/>
      <c r="D658" s="47"/>
      <c r="E658" s="47"/>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row>
    <row r="659">
      <c r="A659" s="47"/>
      <c r="B659" s="47"/>
      <c r="C659" s="47"/>
      <c r="D659" s="47"/>
      <c r="E659" s="47"/>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row>
    <row r="660">
      <c r="A660" s="47"/>
      <c r="B660" s="47"/>
      <c r="C660" s="47"/>
      <c r="D660" s="47"/>
      <c r="E660" s="47"/>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row>
    <row r="661">
      <c r="A661" s="47"/>
      <c r="B661" s="47"/>
      <c r="C661" s="47"/>
      <c r="D661" s="47"/>
      <c r="E661" s="47"/>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row>
    <row r="662">
      <c r="A662" s="47"/>
      <c r="B662" s="47"/>
      <c r="C662" s="47"/>
      <c r="D662" s="47"/>
      <c r="E662" s="47"/>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row>
    <row r="663">
      <c r="A663" s="47"/>
      <c r="B663" s="47"/>
      <c r="C663" s="47"/>
      <c r="D663" s="47"/>
      <c r="E663" s="47"/>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row>
    <row r="664">
      <c r="A664" s="47"/>
      <c r="B664" s="47"/>
      <c r="C664" s="47"/>
      <c r="D664" s="47"/>
      <c r="E664" s="47"/>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row>
    <row r="665">
      <c r="A665" s="47"/>
      <c r="B665" s="47"/>
      <c r="C665" s="47"/>
      <c r="D665" s="47"/>
      <c r="E665" s="47"/>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row>
    <row r="666">
      <c r="A666" s="47"/>
      <c r="B666" s="47"/>
      <c r="C666" s="47"/>
      <c r="D666" s="47"/>
      <c r="E666" s="47"/>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row>
    <row r="667">
      <c r="A667" s="47"/>
      <c r="B667" s="47"/>
      <c r="C667" s="47"/>
      <c r="D667" s="47"/>
      <c r="E667" s="47"/>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row>
    <row r="668">
      <c r="A668" s="47"/>
      <c r="B668" s="47"/>
      <c r="C668" s="47"/>
      <c r="D668" s="47"/>
      <c r="E668" s="47"/>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row>
    <row r="669">
      <c r="A669" s="47"/>
      <c r="B669" s="47"/>
      <c r="C669" s="47"/>
      <c r="D669" s="47"/>
      <c r="E669" s="47"/>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row>
    <row r="670">
      <c r="A670" s="47"/>
      <c r="B670" s="47"/>
      <c r="C670" s="47"/>
      <c r="D670" s="47"/>
      <c r="E670" s="47"/>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row>
    <row r="671">
      <c r="A671" s="47"/>
      <c r="B671" s="47"/>
      <c r="C671" s="47"/>
      <c r="D671" s="47"/>
      <c r="E671" s="47"/>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row>
    <row r="672">
      <c r="A672" s="47"/>
      <c r="B672" s="47"/>
      <c r="C672" s="47"/>
      <c r="D672" s="47"/>
      <c r="E672" s="47"/>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row>
    <row r="673">
      <c r="A673" s="47"/>
      <c r="B673" s="47"/>
      <c r="C673" s="47"/>
      <c r="D673" s="47"/>
      <c r="E673" s="47"/>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row>
    <row r="674">
      <c r="A674" s="47"/>
      <c r="B674" s="47"/>
      <c r="C674" s="47"/>
      <c r="D674" s="47"/>
      <c r="E674" s="47"/>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row>
    <row r="675">
      <c r="A675" s="47"/>
      <c r="B675" s="47"/>
      <c r="C675" s="47"/>
      <c r="D675" s="47"/>
      <c r="E675" s="47"/>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row>
    <row r="676">
      <c r="A676" s="47"/>
      <c r="B676" s="47"/>
      <c r="C676" s="47"/>
      <c r="D676" s="47"/>
      <c r="E676" s="47"/>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row>
    <row r="677">
      <c r="A677" s="47"/>
      <c r="B677" s="47"/>
      <c r="C677" s="47"/>
      <c r="D677" s="47"/>
      <c r="E677" s="47"/>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row>
    <row r="678">
      <c r="A678" s="47"/>
      <c r="B678" s="47"/>
      <c r="C678" s="47"/>
      <c r="D678" s="47"/>
      <c r="E678" s="47"/>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row>
    <row r="679">
      <c r="A679" s="47"/>
      <c r="B679" s="47"/>
      <c r="C679" s="47"/>
      <c r="D679" s="47"/>
      <c r="E679" s="47"/>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row>
    <row r="680">
      <c r="A680" s="47"/>
      <c r="B680" s="47"/>
      <c r="C680" s="47"/>
      <c r="D680" s="47"/>
      <c r="E680" s="47"/>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row>
    <row r="681">
      <c r="A681" s="47"/>
      <c r="B681" s="47"/>
      <c r="C681" s="47"/>
      <c r="D681" s="47"/>
      <c r="E681" s="47"/>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row>
    <row r="682">
      <c r="A682" s="47"/>
      <c r="B682" s="47"/>
      <c r="C682" s="47"/>
      <c r="D682" s="47"/>
      <c r="E682" s="47"/>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row>
    <row r="683">
      <c r="A683" s="47"/>
      <c r="B683" s="47"/>
      <c r="C683" s="47"/>
      <c r="D683" s="47"/>
      <c r="E683" s="47"/>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row>
    <row r="684">
      <c r="A684" s="47"/>
      <c r="B684" s="47"/>
      <c r="C684" s="47"/>
      <c r="D684" s="47"/>
      <c r="E684" s="47"/>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row>
    <row r="685">
      <c r="A685" s="47"/>
      <c r="B685" s="47"/>
      <c r="C685" s="47"/>
      <c r="D685" s="47"/>
      <c r="E685" s="47"/>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row>
    <row r="686">
      <c r="A686" s="47"/>
      <c r="B686" s="47"/>
      <c r="C686" s="47"/>
      <c r="D686" s="47"/>
      <c r="E686" s="47"/>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row>
    <row r="687">
      <c r="A687" s="47"/>
      <c r="B687" s="47"/>
      <c r="C687" s="47"/>
      <c r="D687" s="47"/>
      <c r="E687" s="47"/>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row>
    <row r="688">
      <c r="A688" s="47"/>
      <c r="B688" s="47"/>
      <c r="C688" s="47"/>
      <c r="D688" s="47"/>
      <c r="E688" s="47"/>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row>
    <row r="689">
      <c r="A689" s="47"/>
      <c r="B689" s="47"/>
      <c r="C689" s="47"/>
      <c r="D689" s="47"/>
      <c r="E689" s="47"/>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row>
    <row r="690">
      <c r="A690" s="47"/>
      <c r="B690" s="47"/>
      <c r="C690" s="47"/>
      <c r="D690" s="47"/>
      <c r="E690" s="47"/>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row>
    <row r="691">
      <c r="A691" s="47"/>
      <c r="B691" s="47"/>
      <c r="C691" s="47"/>
      <c r="D691" s="47"/>
      <c r="E691" s="47"/>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row>
    <row r="692">
      <c r="A692" s="47"/>
      <c r="B692" s="47"/>
      <c r="C692" s="47"/>
      <c r="D692" s="47"/>
      <c r="E692" s="47"/>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row>
    <row r="693">
      <c r="A693" s="47"/>
      <c r="B693" s="47"/>
      <c r="C693" s="47"/>
      <c r="D693" s="47"/>
      <c r="E693" s="47"/>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row>
    <row r="694">
      <c r="A694" s="47"/>
      <c r="B694" s="47"/>
      <c r="C694" s="47"/>
      <c r="D694" s="47"/>
      <c r="E694" s="47"/>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row>
    <row r="695">
      <c r="A695" s="47"/>
      <c r="B695" s="47"/>
      <c r="C695" s="47"/>
      <c r="D695" s="47"/>
      <c r="E695" s="47"/>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row>
    <row r="696">
      <c r="A696" s="47"/>
      <c r="B696" s="47"/>
      <c r="C696" s="47"/>
      <c r="D696" s="47"/>
      <c r="E696" s="47"/>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row>
    <row r="697">
      <c r="A697" s="47"/>
      <c r="B697" s="47"/>
      <c r="C697" s="47"/>
      <c r="D697" s="47"/>
      <c r="E697" s="47"/>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row>
    <row r="698">
      <c r="A698" s="47"/>
      <c r="B698" s="47"/>
      <c r="C698" s="47"/>
      <c r="D698" s="47"/>
      <c r="E698" s="47"/>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row>
    <row r="699">
      <c r="A699" s="47"/>
      <c r="B699" s="47"/>
      <c r="C699" s="47"/>
      <c r="D699" s="47"/>
      <c r="E699" s="47"/>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row>
    <row r="700">
      <c r="A700" s="47"/>
      <c r="B700" s="47"/>
      <c r="C700" s="47"/>
      <c r="D700" s="47"/>
      <c r="E700" s="47"/>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row>
    <row r="701">
      <c r="A701" s="47"/>
      <c r="B701" s="47"/>
      <c r="C701" s="47"/>
      <c r="D701" s="47"/>
      <c r="E701" s="47"/>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row>
    <row r="702">
      <c r="A702" s="47"/>
      <c r="B702" s="47"/>
      <c r="C702" s="47"/>
      <c r="D702" s="47"/>
      <c r="E702" s="47"/>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row>
    <row r="703">
      <c r="A703" s="47"/>
      <c r="B703" s="47"/>
      <c r="C703" s="47"/>
      <c r="D703" s="47"/>
      <c r="E703" s="47"/>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row>
    <row r="704">
      <c r="A704" s="47"/>
      <c r="B704" s="47"/>
      <c r="C704" s="47"/>
      <c r="D704" s="47"/>
      <c r="E704" s="47"/>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row>
    <row r="705">
      <c r="A705" s="47"/>
      <c r="B705" s="47"/>
      <c r="C705" s="47"/>
      <c r="D705" s="47"/>
      <c r="E705" s="47"/>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row>
    <row r="706">
      <c r="A706" s="47"/>
      <c r="B706" s="47"/>
      <c r="C706" s="47"/>
      <c r="D706" s="47"/>
      <c r="E706" s="47"/>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row>
    <row r="707">
      <c r="A707" s="47"/>
      <c r="B707" s="47"/>
      <c r="C707" s="47"/>
      <c r="D707" s="47"/>
      <c r="E707" s="47"/>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row>
    <row r="708">
      <c r="A708" s="47"/>
      <c r="B708" s="47"/>
      <c r="C708" s="47"/>
      <c r="D708" s="47"/>
      <c r="E708" s="47"/>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row>
    <row r="709">
      <c r="A709" s="47"/>
      <c r="B709" s="47"/>
      <c r="C709" s="47"/>
      <c r="D709" s="47"/>
      <c r="E709" s="47"/>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row>
    <row r="710">
      <c r="A710" s="47"/>
      <c r="B710" s="47"/>
      <c r="C710" s="47"/>
      <c r="D710" s="47"/>
      <c r="E710" s="47"/>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row>
    <row r="711">
      <c r="A711" s="47"/>
      <c r="B711" s="47"/>
      <c r="C711" s="47"/>
      <c r="D711" s="47"/>
      <c r="E711" s="47"/>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row>
    <row r="712">
      <c r="A712" s="47"/>
      <c r="B712" s="47"/>
      <c r="C712" s="47"/>
      <c r="D712" s="47"/>
      <c r="E712" s="47"/>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row>
    <row r="713">
      <c r="A713" s="47"/>
      <c r="B713" s="47"/>
      <c r="C713" s="47"/>
      <c r="D713" s="47"/>
      <c r="E713" s="47"/>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row>
    <row r="714">
      <c r="A714" s="47"/>
      <c r="B714" s="47"/>
      <c r="C714" s="47"/>
      <c r="D714" s="47"/>
      <c r="E714" s="47"/>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row>
    <row r="715">
      <c r="A715" s="47"/>
      <c r="B715" s="47"/>
      <c r="C715" s="47"/>
      <c r="D715" s="47"/>
      <c r="E715" s="47"/>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row>
    <row r="716">
      <c r="A716" s="47"/>
      <c r="B716" s="47"/>
      <c r="C716" s="47"/>
      <c r="D716" s="47"/>
      <c r="E716" s="47"/>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row>
    <row r="717">
      <c r="A717" s="47"/>
      <c r="B717" s="47"/>
      <c r="C717" s="47"/>
      <c r="D717" s="47"/>
      <c r="E717" s="47"/>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row>
    <row r="718">
      <c r="A718" s="47"/>
      <c r="B718" s="47"/>
      <c r="C718" s="47"/>
      <c r="D718" s="47"/>
      <c r="E718" s="47"/>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row>
    <row r="719">
      <c r="A719" s="47"/>
      <c r="B719" s="47"/>
      <c r="C719" s="47"/>
      <c r="D719" s="47"/>
      <c r="E719" s="47"/>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row>
    <row r="720">
      <c r="A720" s="47"/>
      <c r="B720" s="47"/>
      <c r="C720" s="47"/>
      <c r="D720" s="47"/>
      <c r="E720" s="47"/>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row>
    <row r="721">
      <c r="A721" s="47"/>
      <c r="B721" s="47"/>
      <c r="C721" s="47"/>
      <c r="D721" s="47"/>
      <c r="E721" s="47"/>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row>
    <row r="722">
      <c r="A722" s="47"/>
      <c r="B722" s="47"/>
      <c r="C722" s="47"/>
      <c r="D722" s="47"/>
      <c r="E722" s="47"/>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row>
    <row r="723">
      <c r="A723" s="47"/>
      <c r="B723" s="47"/>
      <c r="C723" s="47"/>
      <c r="D723" s="47"/>
      <c r="E723" s="47"/>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row>
    <row r="724">
      <c r="A724" s="47"/>
      <c r="B724" s="47"/>
      <c r="C724" s="47"/>
      <c r="D724" s="47"/>
      <c r="E724" s="47"/>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row>
    <row r="725">
      <c r="A725" s="47"/>
      <c r="B725" s="47"/>
      <c r="C725" s="47"/>
      <c r="D725" s="47"/>
      <c r="E725" s="47"/>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row>
    <row r="726">
      <c r="A726" s="47"/>
      <c r="B726" s="47"/>
      <c r="C726" s="47"/>
      <c r="D726" s="47"/>
      <c r="E726" s="47"/>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row>
    <row r="727">
      <c r="A727" s="47"/>
      <c r="B727" s="47"/>
      <c r="C727" s="47"/>
      <c r="D727" s="47"/>
      <c r="E727" s="47"/>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row>
    <row r="728">
      <c r="A728" s="47"/>
      <c r="B728" s="47"/>
      <c r="C728" s="47"/>
      <c r="D728" s="47"/>
      <c r="E728" s="47"/>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row>
    <row r="729">
      <c r="A729" s="47"/>
      <c r="B729" s="47"/>
      <c r="C729" s="47"/>
      <c r="D729" s="47"/>
      <c r="E729" s="47"/>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row>
    <row r="730">
      <c r="A730" s="47"/>
      <c r="B730" s="47"/>
      <c r="C730" s="47"/>
      <c r="D730" s="47"/>
      <c r="E730" s="47"/>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row>
    <row r="731">
      <c r="A731" s="47"/>
      <c r="B731" s="47"/>
      <c r="C731" s="47"/>
      <c r="D731" s="47"/>
      <c r="E731" s="47"/>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row>
    <row r="732">
      <c r="A732" s="47"/>
      <c r="B732" s="47"/>
      <c r="C732" s="47"/>
      <c r="D732" s="47"/>
      <c r="E732" s="47"/>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row>
    <row r="733">
      <c r="A733" s="47"/>
      <c r="B733" s="47"/>
      <c r="C733" s="47"/>
      <c r="D733" s="47"/>
      <c r="E733" s="47"/>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row>
    <row r="734">
      <c r="A734" s="47"/>
      <c r="B734" s="47"/>
      <c r="C734" s="47"/>
      <c r="D734" s="47"/>
      <c r="E734" s="47"/>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row>
    <row r="735">
      <c r="A735" s="47"/>
      <c r="B735" s="47"/>
      <c r="C735" s="47"/>
      <c r="D735" s="47"/>
      <c r="E735" s="47"/>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row>
    <row r="736">
      <c r="A736" s="47"/>
      <c r="B736" s="47"/>
      <c r="C736" s="47"/>
      <c r="D736" s="47"/>
      <c r="E736" s="47"/>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row>
    <row r="737">
      <c r="A737" s="47"/>
      <c r="B737" s="47"/>
      <c r="C737" s="47"/>
      <c r="D737" s="47"/>
      <c r="E737" s="47"/>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row>
    <row r="738">
      <c r="A738" s="47"/>
      <c r="B738" s="47"/>
      <c r="C738" s="47"/>
      <c r="D738" s="47"/>
      <c r="E738" s="47"/>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row>
    <row r="739">
      <c r="A739" s="47"/>
      <c r="B739" s="47"/>
      <c r="C739" s="47"/>
      <c r="D739" s="47"/>
      <c r="E739" s="47"/>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row>
    <row r="740">
      <c r="A740" s="47"/>
      <c r="B740" s="47"/>
      <c r="C740" s="47"/>
      <c r="D740" s="47"/>
      <c r="E740" s="47"/>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row>
    <row r="741">
      <c r="A741" s="47"/>
      <c r="B741" s="47"/>
      <c r="C741" s="47"/>
      <c r="D741" s="47"/>
      <c r="E741" s="47"/>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row>
    <row r="742">
      <c r="A742" s="47"/>
      <c r="B742" s="47"/>
      <c r="C742" s="47"/>
      <c r="D742" s="47"/>
      <c r="E742" s="47"/>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row>
    <row r="743">
      <c r="A743" s="47"/>
      <c r="B743" s="47"/>
      <c r="C743" s="47"/>
      <c r="D743" s="47"/>
      <c r="E743" s="47"/>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row>
    <row r="744">
      <c r="A744" s="47"/>
      <c r="B744" s="47"/>
      <c r="C744" s="47"/>
      <c r="D744" s="47"/>
      <c r="E744" s="47"/>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row>
    <row r="745">
      <c r="A745" s="47"/>
      <c r="B745" s="47"/>
      <c r="C745" s="47"/>
      <c r="D745" s="47"/>
      <c r="E745" s="47"/>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row>
    <row r="746">
      <c r="A746" s="47"/>
      <c r="B746" s="47"/>
      <c r="C746" s="47"/>
      <c r="D746" s="47"/>
      <c r="E746" s="47"/>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row>
    <row r="747">
      <c r="A747" s="47"/>
      <c r="B747" s="47"/>
      <c r="C747" s="47"/>
      <c r="D747" s="47"/>
      <c r="E747" s="47"/>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row>
    <row r="748">
      <c r="A748" s="47"/>
      <c r="B748" s="47"/>
      <c r="C748" s="47"/>
      <c r="D748" s="47"/>
      <c r="E748" s="47"/>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row>
    <row r="749">
      <c r="A749" s="47"/>
      <c r="B749" s="47"/>
      <c r="C749" s="47"/>
      <c r="D749" s="47"/>
      <c r="E749" s="47"/>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row>
    <row r="750">
      <c r="A750" s="47"/>
      <c r="B750" s="47"/>
      <c r="C750" s="47"/>
      <c r="D750" s="47"/>
      <c r="E750" s="47"/>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row>
    <row r="751">
      <c r="A751" s="47"/>
      <c r="B751" s="47"/>
      <c r="C751" s="47"/>
      <c r="D751" s="47"/>
      <c r="E751" s="47"/>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row>
    <row r="752">
      <c r="A752" s="47"/>
      <c r="B752" s="47"/>
      <c r="C752" s="47"/>
      <c r="D752" s="47"/>
      <c r="E752" s="47"/>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row>
    <row r="753">
      <c r="A753" s="47"/>
      <c r="B753" s="47"/>
      <c r="C753" s="47"/>
      <c r="D753" s="47"/>
      <c r="E753" s="47"/>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row>
    <row r="754">
      <c r="A754" s="47"/>
      <c r="B754" s="47"/>
      <c r="C754" s="47"/>
      <c r="D754" s="47"/>
      <c r="E754" s="47"/>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row>
    <row r="755">
      <c r="A755" s="47"/>
      <c r="B755" s="47"/>
      <c r="C755" s="47"/>
      <c r="D755" s="47"/>
      <c r="E755" s="47"/>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row>
    <row r="756">
      <c r="A756" s="47"/>
      <c r="B756" s="47"/>
      <c r="C756" s="47"/>
      <c r="D756" s="47"/>
      <c r="E756" s="47"/>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row>
    <row r="757">
      <c r="A757" s="47"/>
      <c r="B757" s="47"/>
      <c r="C757" s="47"/>
      <c r="D757" s="47"/>
      <c r="E757" s="47"/>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row>
    <row r="758">
      <c r="A758" s="47"/>
      <c r="B758" s="47"/>
      <c r="C758" s="47"/>
      <c r="D758" s="47"/>
      <c r="E758" s="47"/>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row>
    <row r="759">
      <c r="A759" s="47"/>
      <c r="B759" s="47"/>
      <c r="C759" s="47"/>
      <c r="D759" s="47"/>
      <c r="E759" s="47"/>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row>
    <row r="760">
      <c r="A760" s="47"/>
      <c r="B760" s="47"/>
      <c r="C760" s="47"/>
      <c r="D760" s="47"/>
      <c r="E760" s="47"/>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row>
    <row r="761">
      <c r="A761" s="47"/>
      <c r="B761" s="47"/>
      <c r="C761" s="47"/>
      <c r="D761" s="47"/>
      <c r="E761" s="47"/>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row>
    <row r="762">
      <c r="A762" s="47"/>
      <c r="B762" s="47"/>
      <c r="C762" s="47"/>
      <c r="D762" s="47"/>
      <c r="E762" s="47"/>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row>
    <row r="763">
      <c r="A763" s="47"/>
      <c r="B763" s="47"/>
      <c r="C763" s="47"/>
      <c r="D763" s="47"/>
      <c r="E763" s="47"/>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row>
    <row r="764">
      <c r="A764" s="47"/>
      <c r="B764" s="47"/>
      <c r="C764" s="47"/>
      <c r="D764" s="47"/>
      <c r="E764" s="47"/>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row>
    <row r="765">
      <c r="A765" s="47"/>
      <c r="B765" s="47"/>
      <c r="C765" s="47"/>
      <c r="D765" s="47"/>
      <c r="E765" s="47"/>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row>
    <row r="766">
      <c r="A766" s="47"/>
      <c r="B766" s="47"/>
      <c r="C766" s="47"/>
      <c r="D766" s="47"/>
      <c r="E766" s="47"/>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row>
    <row r="767">
      <c r="A767" s="47"/>
      <c r="B767" s="47"/>
      <c r="C767" s="47"/>
      <c r="D767" s="47"/>
      <c r="E767" s="47"/>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row>
    <row r="768">
      <c r="A768" s="47"/>
      <c r="B768" s="47"/>
      <c r="C768" s="47"/>
      <c r="D768" s="47"/>
      <c r="E768" s="47"/>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row>
    <row r="769">
      <c r="A769" s="47"/>
      <c r="B769" s="47"/>
      <c r="C769" s="47"/>
      <c r="D769" s="47"/>
      <c r="E769" s="47"/>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row>
    <row r="770">
      <c r="A770" s="47"/>
      <c r="B770" s="47"/>
      <c r="C770" s="47"/>
      <c r="D770" s="47"/>
      <c r="E770" s="47"/>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row>
    <row r="771">
      <c r="A771" s="47"/>
      <c r="B771" s="47"/>
      <c r="C771" s="47"/>
      <c r="D771" s="47"/>
      <c r="E771" s="47"/>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row>
    <row r="772">
      <c r="A772" s="47"/>
      <c r="B772" s="47"/>
      <c r="C772" s="47"/>
      <c r="D772" s="47"/>
      <c r="E772" s="47"/>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row>
    <row r="773">
      <c r="A773" s="47"/>
      <c r="B773" s="47"/>
      <c r="C773" s="47"/>
      <c r="D773" s="47"/>
      <c r="E773" s="47"/>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row>
    <row r="774">
      <c r="A774" s="47"/>
      <c r="B774" s="47"/>
      <c r="C774" s="47"/>
      <c r="D774" s="47"/>
      <c r="E774" s="47"/>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row>
    <row r="775">
      <c r="A775" s="47"/>
      <c r="B775" s="47"/>
      <c r="C775" s="47"/>
      <c r="D775" s="47"/>
      <c r="E775" s="47"/>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row>
    <row r="776">
      <c r="A776" s="47"/>
      <c r="B776" s="47"/>
      <c r="C776" s="47"/>
      <c r="D776" s="47"/>
      <c r="E776" s="47"/>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row>
    <row r="777">
      <c r="A777" s="47"/>
      <c r="B777" s="47"/>
      <c r="C777" s="47"/>
      <c r="D777" s="47"/>
      <c r="E777" s="47"/>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row>
    <row r="778">
      <c r="A778" s="47"/>
      <c r="B778" s="47"/>
      <c r="C778" s="47"/>
      <c r="D778" s="47"/>
      <c r="E778" s="47"/>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row>
    <row r="779">
      <c r="A779" s="47"/>
      <c r="B779" s="47"/>
      <c r="C779" s="47"/>
      <c r="D779" s="47"/>
      <c r="E779" s="47"/>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row>
    <row r="780">
      <c r="A780" s="47"/>
      <c r="B780" s="47"/>
      <c r="C780" s="47"/>
      <c r="D780" s="47"/>
      <c r="E780" s="47"/>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row>
    <row r="781">
      <c r="A781" s="47"/>
      <c r="B781" s="47"/>
      <c r="C781" s="47"/>
      <c r="D781" s="47"/>
      <c r="E781" s="47"/>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row>
    <row r="782">
      <c r="A782" s="47"/>
      <c r="B782" s="47"/>
      <c r="C782" s="47"/>
      <c r="D782" s="47"/>
      <c r="E782" s="47"/>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row>
    <row r="783">
      <c r="A783" s="47"/>
      <c r="B783" s="47"/>
      <c r="C783" s="47"/>
      <c r="D783" s="47"/>
      <c r="E783" s="47"/>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row>
    <row r="784">
      <c r="A784" s="47"/>
      <c r="B784" s="47"/>
      <c r="C784" s="47"/>
      <c r="D784" s="47"/>
      <c r="E784" s="47"/>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row>
    <row r="785">
      <c r="A785" s="47"/>
      <c r="B785" s="47"/>
      <c r="C785" s="47"/>
      <c r="D785" s="47"/>
      <c r="E785" s="47"/>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row>
    <row r="786">
      <c r="A786" s="47"/>
      <c r="B786" s="47"/>
      <c r="C786" s="47"/>
      <c r="D786" s="47"/>
      <c r="E786" s="47"/>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row>
    <row r="787">
      <c r="A787" s="47"/>
      <c r="B787" s="47"/>
      <c r="C787" s="47"/>
      <c r="D787" s="47"/>
      <c r="E787" s="47"/>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row>
    <row r="788">
      <c r="A788" s="47"/>
      <c r="B788" s="47"/>
      <c r="C788" s="47"/>
      <c r="D788" s="47"/>
      <c r="E788" s="47"/>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row>
    <row r="789">
      <c r="A789" s="47"/>
      <c r="B789" s="47"/>
      <c r="C789" s="47"/>
      <c r="D789" s="47"/>
      <c r="E789" s="47"/>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row>
    <row r="790">
      <c r="A790" s="47"/>
      <c r="B790" s="47"/>
      <c r="C790" s="47"/>
      <c r="D790" s="47"/>
      <c r="E790" s="47"/>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row>
    <row r="791">
      <c r="A791" s="47"/>
      <c r="B791" s="47"/>
      <c r="C791" s="47"/>
      <c r="D791" s="47"/>
      <c r="E791" s="47"/>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row>
    <row r="792">
      <c r="A792" s="47"/>
      <c r="B792" s="47"/>
      <c r="C792" s="47"/>
      <c r="D792" s="47"/>
      <c r="E792" s="47"/>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row>
    <row r="793">
      <c r="A793" s="47"/>
      <c r="B793" s="47"/>
      <c r="C793" s="47"/>
      <c r="D793" s="47"/>
      <c r="E793" s="47"/>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row>
    <row r="794">
      <c r="A794" s="47"/>
      <c r="B794" s="47"/>
      <c r="C794" s="47"/>
      <c r="D794" s="47"/>
      <c r="E794" s="47"/>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row>
    <row r="795">
      <c r="A795" s="47"/>
      <c r="B795" s="47"/>
      <c r="C795" s="47"/>
      <c r="D795" s="47"/>
      <c r="E795" s="47"/>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row>
    <row r="796">
      <c r="A796" s="47"/>
      <c r="B796" s="47"/>
      <c r="C796" s="47"/>
      <c r="D796" s="47"/>
      <c r="E796" s="47"/>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row>
    <row r="797">
      <c r="A797" s="47"/>
      <c r="B797" s="47"/>
      <c r="C797" s="47"/>
      <c r="D797" s="47"/>
      <c r="E797" s="47"/>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row>
    <row r="798">
      <c r="A798" s="47"/>
      <c r="B798" s="47"/>
      <c r="C798" s="47"/>
      <c r="D798" s="47"/>
      <c r="E798" s="47"/>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row>
    <row r="799">
      <c r="A799" s="47"/>
      <c r="B799" s="47"/>
      <c r="C799" s="47"/>
      <c r="D799" s="47"/>
      <c r="E799" s="47"/>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row>
    <row r="800">
      <c r="A800" s="47"/>
      <c r="B800" s="47"/>
      <c r="C800" s="47"/>
      <c r="D800" s="47"/>
      <c r="E800" s="47"/>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row>
    <row r="801">
      <c r="A801" s="47"/>
      <c r="B801" s="47"/>
      <c r="C801" s="47"/>
      <c r="D801" s="47"/>
      <c r="E801" s="47"/>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row>
    <row r="802">
      <c r="A802" s="47"/>
      <c r="B802" s="47"/>
      <c r="C802" s="47"/>
      <c r="D802" s="47"/>
      <c r="E802" s="47"/>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row>
    <row r="803">
      <c r="A803" s="47"/>
      <c r="B803" s="47"/>
      <c r="C803" s="47"/>
      <c r="D803" s="47"/>
      <c r="E803" s="47"/>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row>
    <row r="804">
      <c r="A804" s="47"/>
      <c r="B804" s="47"/>
      <c r="C804" s="47"/>
      <c r="D804" s="47"/>
      <c r="E804" s="47"/>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row>
    <row r="805">
      <c r="A805" s="47"/>
      <c r="B805" s="47"/>
      <c r="C805" s="47"/>
      <c r="D805" s="47"/>
      <c r="E805" s="47"/>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row>
    <row r="806">
      <c r="A806" s="47"/>
      <c r="B806" s="47"/>
      <c r="C806" s="47"/>
      <c r="D806" s="47"/>
      <c r="E806" s="47"/>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row>
    <row r="807">
      <c r="A807" s="47"/>
      <c r="B807" s="47"/>
      <c r="C807" s="47"/>
      <c r="D807" s="47"/>
      <c r="E807" s="47"/>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row>
    <row r="808">
      <c r="A808" s="47"/>
      <c r="B808" s="47"/>
      <c r="C808" s="47"/>
      <c r="D808" s="47"/>
      <c r="E808" s="47"/>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row>
    <row r="809">
      <c r="A809" s="47"/>
      <c r="B809" s="47"/>
      <c r="C809" s="47"/>
      <c r="D809" s="47"/>
      <c r="E809" s="47"/>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row>
    <row r="810">
      <c r="A810" s="47"/>
      <c r="B810" s="47"/>
      <c r="C810" s="47"/>
      <c r="D810" s="47"/>
      <c r="E810" s="47"/>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row>
    <row r="811">
      <c r="A811" s="47"/>
      <c r="B811" s="47"/>
      <c r="C811" s="47"/>
      <c r="D811" s="47"/>
      <c r="E811" s="47"/>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row>
    <row r="812">
      <c r="A812" s="47"/>
      <c r="B812" s="47"/>
      <c r="C812" s="47"/>
      <c r="D812" s="47"/>
      <c r="E812" s="47"/>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row>
    <row r="813">
      <c r="A813" s="47"/>
      <c r="B813" s="47"/>
      <c r="C813" s="47"/>
      <c r="D813" s="47"/>
      <c r="E813" s="47"/>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row>
    <row r="814">
      <c r="A814" s="47"/>
      <c r="B814" s="47"/>
      <c r="C814" s="47"/>
      <c r="D814" s="47"/>
      <c r="E814" s="47"/>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row>
    <row r="815">
      <c r="A815" s="47"/>
      <c r="B815" s="47"/>
      <c r="C815" s="47"/>
      <c r="D815" s="47"/>
      <c r="E815" s="47"/>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row>
    <row r="816">
      <c r="A816" s="47"/>
      <c r="B816" s="47"/>
      <c r="C816" s="47"/>
      <c r="D816" s="47"/>
      <c r="E816" s="47"/>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row>
    <row r="817">
      <c r="A817" s="47"/>
      <c r="B817" s="47"/>
      <c r="C817" s="47"/>
      <c r="D817" s="47"/>
      <c r="E817" s="47"/>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row>
    <row r="818">
      <c r="A818" s="47"/>
      <c r="B818" s="47"/>
      <c r="C818" s="47"/>
      <c r="D818" s="47"/>
      <c r="E818" s="47"/>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row>
    <row r="819">
      <c r="A819" s="47"/>
      <c r="B819" s="47"/>
      <c r="C819" s="47"/>
      <c r="D819" s="47"/>
      <c r="E819" s="47"/>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row>
    <row r="820">
      <c r="A820" s="47"/>
      <c r="B820" s="47"/>
      <c r="C820" s="47"/>
      <c r="D820" s="47"/>
      <c r="E820" s="47"/>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row>
    <row r="821">
      <c r="A821" s="47"/>
      <c r="B821" s="47"/>
      <c r="C821" s="47"/>
      <c r="D821" s="47"/>
      <c r="E821" s="47"/>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row>
    <row r="822">
      <c r="A822" s="47"/>
      <c r="B822" s="47"/>
      <c r="C822" s="47"/>
      <c r="D822" s="47"/>
      <c r="E822" s="47"/>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row>
    <row r="823">
      <c r="A823" s="47"/>
      <c r="B823" s="47"/>
      <c r="C823" s="47"/>
      <c r="D823" s="47"/>
      <c r="E823" s="47"/>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row>
    <row r="824">
      <c r="A824" s="47"/>
      <c r="B824" s="47"/>
      <c r="C824" s="47"/>
      <c r="D824" s="47"/>
      <c r="E824" s="47"/>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row>
    <row r="825">
      <c r="A825" s="47"/>
      <c r="B825" s="47"/>
      <c r="C825" s="47"/>
      <c r="D825" s="47"/>
      <c r="E825" s="47"/>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row>
    <row r="826">
      <c r="A826" s="47"/>
      <c r="B826" s="47"/>
      <c r="C826" s="47"/>
      <c r="D826" s="47"/>
      <c r="E826" s="47"/>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row>
    <row r="827">
      <c r="A827" s="47"/>
      <c r="B827" s="47"/>
      <c r="C827" s="47"/>
      <c r="D827" s="47"/>
      <c r="E827" s="47"/>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row>
    <row r="828">
      <c r="A828" s="47"/>
      <c r="B828" s="47"/>
      <c r="C828" s="47"/>
      <c r="D828" s="47"/>
      <c r="E828" s="47"/>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row>
    <row r="829">
      <c r="A829" s="47"/>
      <c r="B829" s="47"/>
      <c r="C829" s="47"/>
      <c r="D829" s="47"/>
      <c r="E829" s="47"/>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row>
    <row r="830">
      <c r="A830" s="47"/>
      <c r="B830" s="47"/>
      <c r="C830" s="47"/>
      <c r="D830" s="47"/>
      <c r="E830" s="47"/>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row>
    <row r="831">
      <c r="A831" s="47"/>
      <c r="B831" s="47"/>
      <c r="C831" s="47"/>
      <c r="D831" s="47"/>
      <c r="E831" s="47"/>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row>
    <row r="832">
      <c r="A832" s="47"/>
      <c r="B832" s="47"/>
      <c r="C832" s="47"/>
      <c r="D832" s="47"/>
      <c r="E832" s="47"/>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row>
    <row r="833">
      <c r="A833" s="47"/>
      <c r="B833" s="47"/>
      <c r="C833" s="47"/>
      <c r="D833" s="47"/>
      <c r="E833" s="47"/>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row>
    <row r="834">
      <c r="A834" s="47"/>
      <c r="B834" s="47"/>
      <c r="C834" s="47"/>
      <c r="D834" s="47"/>
      <c r="E834" s="47"/>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row>
    <row r="835">
      <c r="A835" s="47"/>
      <c r="B835" s="47"/>
      <c r="C835" s="47"/>
      <c r="D835" s="47"/>
      <c r="E835" s="47"/>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row>
    <row r="836">
      <c r="A836" s="47"/>
      <c r="B836" s="47"/>
      <c r="C836" s="47"/>
      <c r="D836" s="47"/>
      <c r="E836" s="47"/>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row>
    <row r="837">
      <c r="A837" s="47"/>
      <c r="B837" s="47"/>
      <c r="C837" s="47"/>
      <c r="D837" s="47"/>
      <c r="E837" s="47"/>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row>
    <row r="838">
      <c r="A838" s="47"/>
      <c r="B838" s="47"/>
      <c r="C838" s="47"/>
      <c r="D838" s="47"/>
      <c r="E838" s="47"/>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row>
    <row r="839">
      <c r="A839" s="47"/>
      <c r="B839" s="47"/>
      <c r="C839" s="47"/>
      <c r="D839" s="47"/>
      <c r="E839" s="47"/>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row>
    <row r="840">
      <c r="A840" s="47"/>
      <c r="B840" s="47"/>
      <c r="C840" s="47"/>
      <c r="D840" s="47"/>
      <c r="E840" s="47"/>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row>
    <row r="841">
      <c r="A841" s="47"/>
      <c r="B841" s="47"/>
      <c r="C841" s="47"/>
      <c r="D841" s="47"/>
      <c r="E841" s="47"/>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row>
    <row r="842">
      <c r="A842" s="47"/>
      <c r="B842" s="47"/>
      <c r="C842" s="47"/>
      <c r="D842" s="47"/>
      <c r="E842" s="47"/>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row>
    <row r="843">
      <c r="A843" s="47"/>
      <c r="B843" s="47"/>
      <c r="C843" s="47"/>
      <c r="D843" s="47"/>
      <c r="E843" s="47"/>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row>
    <row r="844">
      <c r="A844" s="47"/>
      <c r="B844" s="47"/>
      <c r="C844" s="47"/>
      <c r="D844" s="47"/>
      <c r="E844" s="47"/>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row>
    <row r="845">
      <c r="A845" s="47"/>
      <c r="B845" s="47"/>
      <c r="C845" s="47"/>
      <c r="D845" s="47"/>
      <c r="E845" s="47"/>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row>
    <row r="846">
      <c r="A846" s="47"/>
      <c r="B846" s="47"/>
      <c r="C846" s="47"/>
      <c r="D846" s="47"/>
      <c r="E846" s="47"/>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row>
    <row r="847">
      <c r="A847" s="47"/>
      <c r="B847" s="47"/>
      <c r="C847" s="47"/>
      <c r="D847" s="47"/>
      <c r="E847" s="47"/>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row>
    <row r="848">
      <c r="A848" s="47"/>
      <c r="B848" s="47"/>
      <c r="C848" s="47"/>
      <c r="D848" s="47"/>
      <c r="E848" s="47"/>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row>
    <row r="849">
      <c r="A849" s="47"/>
      <c r="B849" s="47"/>
      <c r="C849" s="47"/>
      <c r="D849" s="47"/>
      <c r="E849" s="47"/>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row>
    <row r="850">
      <c r="A850" s="47"/>
      <c r="B850" s="47"/>
      <c r="C850" s="47"/>
      <c r="D850" s="47"/>
      <c r="E850" s="47"/>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row>
    <row r="851">
      <c r="A851" s="47"/>
      <c r="B851" s="47"/>
      <c r="C851" s="47"/>
      <c r="D851" s="47"/>
      <c r="E851" s="47"/>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row>
    <row r="852">
      <c r="A852" s="47"/>
      <c r="B852" s="47"/>
      <c r="C852" s="47"/>
      <c r="D852" s="47"/>
      <c r="E852" s="47"/>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row>
    <row r="853">
      <c r="A853" s="47"/>
      <c r="B853" s="47"/>
      <c r="C853" s="47"/>
      <c r="D853" s="47"/>
      <c r="E853" s="47"/>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row>
    <row r="854">
      <c r="A854" s="47"/>
      <c r="B854" s="47"/>
      <c r="C854" s="47"/>
      <c r="D854" s="47"/>
      <c r="E854" s="47"/>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row>
    <row r="855">
      <c r="A855" s="47"/>
      <c r="B855" s="47"/>
      <c r="C855" s="47"/>
      <c r="D855" s="47"/>
      <c r="E855" s="47"/>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row>
    <row r="856">
      <c r="A856" s="47"/>
      <c r="B856" s="47"/>
      <c r="C856" s="47"/>
      <c r="D856" s="47"/>
      <c r="E856" s="47"/>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row>
    <row r="857">
      <c r="A857" s="47"/>
      <c r="B857" s="47"/>
      <c r="C857" s="47"/>
      <c r="D857" s="47"/>
      <c r="E857" s="47"/>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row>
    <row r="858">
      <c r="A858" s="47"/>
      <c r="B858" s="47"/>
      <c r="C858" s="47"/>
      <c r="D858" s="47"/>
      <c r="E858" s="47"/>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row>
    <row r="859">
      <c r="A859" s="47"/>
      <c r="B859" s="47"/>
      <c r="C859" s="47"/>
      <c r="D859" s="47"/>
      <c r="E859" s="47"/>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row>
    <row r="860">
      <c r="A860" s="47"/>
      <c r="B860" s="47"/>
      <c r="C860" s="47"/>
      <c r="D860" s="47"/>
      <c r="E860" s="47"/>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row>
    <row r="861">
      <c r="A861" s="47"/>
      <c r="B861" s="47"/>
      <c r="C861" s="47"/>
      <c r="D861" s="47"/>
      <c r="E861" s="47"/>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row>
    <row r="862">
      <c r="A862" s="47"/>
      <c r="B862" s="47"/>
      <c r="C862" s="47"/>
      <c r="D862" s="47"/>
      <c r="E862" s="47"/>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row>
    <row r="863">
      <c r="A863" s="47"/>
      <c r="B863" s="47"/>
      <c r="C863" s="47"/>
      <c r="D863" s="47"/>
      <c r="E863" s="47"/>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row>
    <row r="864">
      <c r="A864" s="47"/>
      <c r="B864" s="47"/>
      <c r="C864" s="47"/>
      <c r="D864" s="47"/>
      <c r="E864" s="47"/>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row>
    <row r="865">
      <c r="A865" s="47"/>
      <c r="B865" s="47"/>
      <c r="C865" s="47"/>
      <c r="D865" s="47"/>
      <c r="E865" s="47"/>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row>
    <row r="866">
      <c r="A866" s="47"/>
      <c r="B866" s="47"/>
      <c r="C866" s="47"/>
      <c r="D866" s="47"/>
      <c r="E866" s="47"/>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row>
    <row r="867">
      <c r="A867" s="47"/>
      <c r="B867" s="47"/>
      <c r="C867" s="47"/>
      <c r="D867" s="47"/>
      <c r="E867" s="47"/>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row>
    <row r="868">
      <c r="A868" s="47"/>
      <c r="B868" s="47"/>
      <c r="C868" s="47"/>
      <c r="D868" s="47"/>
      <c r="E868" s="47"/>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row>
    <row r="869">
      <c r="A869" s="47"/>
      <c r="B869" s="47"/>
      <c r="C869" s="47"/>
      <c r="D869" s="47"/>
      <c r="E869" s="47"/>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row>
    <row r="870">
      <c r="A870" s="47"/>
      <c r="B870" s="47"/>
      <c r="C870" s="47"/>
      <c r="D870" s="47"/>
      <c r="E870" s="47"/>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row>
    <row r="871">
      <c r="A871" s="47"/>
      <c r="B871" s="47"/>
      <c r="C871" s="47"/>
      <c r="D871" s="47"/>
      <c r="E871" s="47"/>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row>
    <row r="872">
      <c r="A872" s="47"/>
      <c r="B872" s="47"/>
      <c r="C872" s="47"/>
      <c r="D872" s="47"/>
      <c r="E872" s="47"/>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row>
    <row r="873">
      <c r="A873" s="47"/>
      <c r="B873" s="47"/>
      <c r="C873" s="47"/>
      <c r="D873" s="47"/>
      <c r="E873" s="47"/>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row>
    <row r="874">
      <c r="A874" s="47"/>
      <c r="B874" s="47"/>
      <c r="C874" s="47"/>
      <c r="D874" s="47"/>
      <c r="E874" s="47"/>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row>
    <row r="875">
      <c r="A875" s="47"/>
      <c r="B875" s="47"/>
      <c r="C875" s="47"/>
      <c r="D875" s="47"/>
      <c r="E875" s="47"/>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row>
    <row r="876">
      <c r="A876" s="47"/>
      <c r="B876" s="47"/>
      <c r="C876" s="47"/>
      <c r="D876" s="47"/>
      <c r="E876" s="47"/>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row>
    <row r="877">
      <c r="A877" s="47"/>
      <c r="B877" s="47"/>
      <c r="C877" s="47"/>
      <c r="D877" s="47"/>
      <c r="E877" s="47"/>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row>
    <row r="878">
      <c r="A878" s="47"/>
      <c r="B878" s="47"/>
      <c r="C878" s="47"/>
      <c r="D878" s="47"/>
      <c r="E878" s="47"/>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row>
    <row r="879">
      <c r="A879" s="47"/>
      <c r="B879" s="47"/>
      <c r="C879" s="47"/>
      <c r="D879" s="47"/>
      <c r="E879" s="47"/>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row>
    <row r="880">
      <c r="A880" s="47"/>
      <c r="B880" s="47"/>
      <c r="C880" s="47"/>
      <c r="D880" s="47"/>
      <c r="E880" s="47"/>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row>
    <row r="881">
      <c r="A881" s="47"/>
      <c r="B881" s="47"/>
      <c r="C881" s="47"/>
      <c r="D881" s="47"/>
      <c r="E881" s="47"/>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row>
    <row r="882">
      <c r="A882" s="47"/>
      <c r="B882" s="47"/>
      <c r="C882" s="47"/>
      <c r="D882" s="47"/>
      <c r="E882" s="47"/>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row>
    <row r="883">
      <c r="A883" s="47"/>
      <c r="B883" s="47"/>
      <c r="C883" s="47"/>
      <c r="D883" s="47"/>
      <c r="E883" s="47"/>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row>
    <row r="884">
      <c r="A884" s="47"/>
      <c r="B884" s="47"/>
      <c r="C884" s="47"/>
      <c r="D884" s="47"/>
      <c r="E884" s="47"/>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row>
    <row r="885">
      <c r="A885" s="47"/>
      <c r="B885" s="47"/>
      <c r="C885" s="47"/>
      <c r="D885" s="47"/>
      <c r="E885" s="47"/>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row>
    <row r="886">
      <c r="A886" s="47"/>
      <c r="B886" s="47"/>
      <c r="C886" s="47"/>
      <c r="D886" s="47"/>
      <c r="E886" s="47"/>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row>
    <row r="887">
      <c r="A887" s="47"/>
      <c r="B887" s="47"/>
      <c r="C887" s="47"/>
      <c r="D887" s="47"/>
      <c r="E887" s="47"/>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row>
    <row r="888">
      <c r="A888" s="47"/>
      <c r="B888" s="47"/>
      <c r="C888" s="47"/>
      <c r="D888" s="47"/>
      <c r="E888" s="47"/>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row>
    <row r="889">
      <c r="A889" s="47"/>
      <c r="B889" s="47"/>
      <c r="C889" s="47"/>
      <c r="D889" s="47"/>
      <c r="E889" s="47"/>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row>
    <row r="890">
      <c r="A890" s="47"/>
      <c r="B890" s="47"/>
      <c r="C890" s="47"/>
      <c r="D890" s="47"/>
      <c r="E890" s="47"/>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row>
    <row r="891">
      <c r="A891" s="47"/>
      <c r="B891" s="47"/>
      <c r="C891" s="47"/>
      <c r="D891" s="47"/>
      <c r="E891" s="47"/>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row>
    <row r="892">
      <c r="A892" s="47"/>
      <c r="B892" s="47"/>
      <c r="C892" s="47"/>
      <c r="D892" s="47"/>
      <c r="E892" s="47"/>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row>
    <row r="893">
      <c r="A893" s="47"/>
      <c r="B893" s="47"/>
      <c r="C893" s="47"/>
      <c r="D893" s="47"/>
      <c r="E893" s="47"/>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row>
    <row r="894">
      <c r="A894" s="47"/>
      <c r="B894" s="47"/>
      <c r="C894" s="47"/>
      <c r="D894" s="47"/>
      <c r="E894" s="47"/>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row>
    <row r="895">
      <c r="A895" s="47"/>
      <c r="B895" s="47"/>
      <c r="C895" s="47"/>
      <c r="D895" s="47"/>
      <c r="E895" s="47"/>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row>
    <row r="896">
      <c r="A896" s="47"/>
      <c r="B896" s="47"/>
      <c r="C896" s="47"/>
      <c r="D896" s="47"/>
      <c r="E896" s="47"/>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row>
    <row r="897">
      <c r="A897" s="47"/>
      <c r="B897" s="47"/>
      <c r="C897" s="47"/>
      <c r="D897" s="47"/>
      <c r="E897" s="47"/>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row>
    <row r="898">
      <c r="A898" s="47"/>
      <c r="B898" s="47"/>
      <c r="C898" s="47"/>
      <c r="D898" s="47"/>
      <c r="E898" s="47"/>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row>
    <row r="899">
      <c r="A899" s="47"/>
      <c r="B899" s="47"/>
      <c r="C899" s="47"/>
      <c r="D899" s="47"/>
      <c r="E899" s="47"/>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row>
    <row r="900">
      <c r="A900" s="47"/>
      <c r="B900" s="47"/>
      <c r="C900" s="47"/>
      <c r="D900" s="47"/>
      <c r="E900" s="47"/>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row>
    <row r="901">
      <c r="A901" s="47"/>
      <c r="B901" s="47"/>
      <c r="C901" s="47"/>
      <c r="D901" s="47"/>
      <c r="E901" s="47"/>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row>
    <row r="902">
      <c r="A902" s="47"/>
      <c r="B902" s="47"/>
      <c r="C902" s="47"/>
      <c r="D902" s="47"/>
      <c r="E902" s="47"/>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row>
    <row r="903">
      <c r="A903" s="47"/>
      <c r="B903" s="47"/>
      <c r="C903" s="47"/>
      <c r="D903" s="47"/>
      <c r="E903" s="47"/>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row>
    <row r="904">
      <c r="A904" s="47"/>
      <c r="B904" s="47"/>
      <c r="C904" s="47"/>
      <c r="D904" s="47"/>
      <c r="E904" s="47"/>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row>
    <row r="905">
      <c r="A905" s="47"/>
      <c r="B905" s="47"/>
      <c r="C905" s="47"/>
      <c r="D905" s="47"/>
      <c r="E905" s="47"/>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row>
    <row r="906">
      <c r="A906" s="47"/>
      <c r="B906" s="47"/>
      <c r="C906" s="47"/>
      <c r="D906" s="47"/>
      <c r="E906" s="47"/>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row>
    <row r="907">
      <c r="A907" s="47"/>
      <c r="B907" s="47"/>
      <c r="C907" s="47"/>
      <c r="D907" s="47"/>
      <c r="E907" s="47"/>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row>
    <row r="908">
      <c r="A908" s="47"/>
      <c r="B908" s="47"/>
      <c r="C908" s="47"/>
      <c r="D908" s="47"/>
      <c r="E908" s="47"/>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row>
    <row r="909">
      <c r="A909" s="47"/>
      <c r="B909" s="47"/>
      <c r="C909" s="47"/>
      <c r="D909" s="47"/>
      <c r="E909" s="47"/>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row>
    <row r="910">
      <c r="A910" s="47"/>
      <c r="B910" s="47"/>
      <c r="C910" s="47"/>
      <c r="D910" s="47"/>
      <c r="E910" s="47"/>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row>
    <row r="911">
      <c r="A911" s="47"/>
      <c r="B911" s="47"/>
      <c r="C911" s="47"/>
      <c r="D911" s="47"/>
      <c r="E911" s="47"/>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row>
    <row r="912">
      <c r="A912" s="47"/>
      <c r="B912" s="47"/>
      <c r="C912" s="47"/>
      <c r="D912" s="47"/>
      <c r="E912" s="47"/>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row>
    <row r="913">
      <c r="A913" s="47"/>
      <c r="B913" s="47"/>
      <c r="C913" s="47"/>
      <c r="D913" s="47"/>
      <c r="E913" s="47"/>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row>
    <row r="914">
      <c r="A914" s="47"/>
      <c r="B914" s="47"/>
      <c r="C914" s="47"/>
      <c r="D914" s="47"/>
      <c r="E914" s="47"/>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row>
    <row r="915">
      <c r="A915" s="47"/>
      <c r="B915" s="47"/>
      <c r="C915" s="47"/>
      <c r="D915" s="47"/>
      <c r="E915" s="47"/>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row>
    <row r="916">
      <c r="A916" s="47"/>
      <c r="B916" s="47"/>
      <c r="C916" s="47"/>
      <c r="D916" s="47"/>
      <c r="E916" s="47"/>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row>
    <row r="917">
      <c r="A917" s="47"/>
      <c r="B917" s="47"/>
      <c r="C917" s="47"/>
      <c r="D917" s="47"/>
      <c r="E917" s="47"/>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row>
    <row r="918">
      <c r="A918" s="47"/>
      <c r="B918" s="47"/>
      <c r="C918" s="47"/>
      <c r="D918" s="47"/>
      <c r="E918" s="47"/>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row>
    <row r="919">
      <c r="A919" s="47"/>
      <c r="B919" s="47"/>
      <c r="C919" s="47"/>
      <c r="D919" s="47"/>
      <c r="E919" s="47"/>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row>
    <row r="920">
      <c r="A920" s="47"/>
      <c r="B920" s="47"/>
      <c r="C920" s="47"/>
      <c r="D920" s="47"/>
      <c r="E920" s="47"/>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row>
    <row r="921">
      <c r="A921" s="47"/>
      <c r="B921" s="47"/>
      <c r="C921" s="47"/>
      <c r="D921" s="47"/>
      <c r="E921" s="47"/>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row>
    <row r="922">
      <c r="A922" s="47"/>
      <c r="B922" s="47"/>
      <c r="C922" s="47"/>
      <c r="D922" s="47"/>
      <c r="E922" s="47"/>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row>
    <row r="923">
      <c r="A923" s="47"/>
      <c r="B923" s="47"/>
      <c r="C923" s="47"/>
      <c r="D923" s="47"/>
      <c r="E923" s="47"/>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row>
    <row r="924">
      <c r="A924" s="47"/>
      <c r="B924" s="47"/>
      <c r="C924" s="47"/>
      <c r="D924" s="47"/>
      <c r="E924" s="47"/>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row>
    <row r="925">
      <c r="A925" s="47"/>
      <c r="B925" s="47"/>
      <c r="C925" s="47"/>
      <c r="D925" s="47"/>
      <c r="E925" s="47"/>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row>
    <row r="926">
      <c r="A926" s="47"/>
      <c r="B926" s="47"/>
      <c r="C926" s="47"/>
      <c r="D926" s="47"/>
      <c r="E926" s="47"/>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row>
    <row r="927">
      <c r="A927" s="47"/>
      <c r="B927" s="47"/>
      <c r="C927" s="47"/>
      <c r="D927" s="47"/>
      <c r="E927" s="47"/>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row>
    <row r="928">
      <c r="A928" s="47"/>
      <c r="B928" s="47"/>
      <c r="C928" s="47"/>
      <c r="D928" s="47"/>
      <c r="E928" s="47"/>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row>
    <row r="929">
      <c r="A929" s="47"/>
      <c r="B929" s="47"/>
      <c r="C929" s="47"/>
      <c r="D929" s="47"/>
      <c r="E929" s="47"/>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row>
    <row r="930">
      <c r="A930" s="47"/>
      <c r="B930" s="47"/>
      <c r="C930" s="47"/>
      <c r="D930" s="47"/>
      <c r="E930" s="47"/>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row>
    <row r="931">
      <c r="A931" s="47"/>
      <c r="B931" s="47"/>
      <c r="C931" s="47"/>
      <c r="D931" s="47"/>
      <c r="E931" s="47"/>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row>
    <row r="932">
      <c r="A932" s="47"/>
      <c r="B932" s="47"/>
      <c r="C932" s="47"/>
      <c r="D932" s="47"/>
      <c r="E932" s="47"/>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row>
    <row r="933">
      <c r="A933" s="47"/>
      <c r="B933" s="47"/>
      <c r="C933" s="47"/>
      <c r="D933" s="47"/>
      <c r="E933" s="47"/>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row>
    <row r="934">
      <c r="A934" s="47"/>
      <c r="B934" s="47"/>
      <c r="C934" s="47"/>
      <c r="D934" s="47"/>
      <c r="E934" s="47"/>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row>
    <row r="935">
      <c r="A935" s="47"/>
      <c r="B935" s="47"/>
      <c r="C935" s="47"/>
      <c r="D935" s="47"/>
      <c r="E935" s="47"/>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row>
    <row r="936">
      <c r="A936" s="47"/>
      <c r="B936" s="47"/>
      <c r="C936" s="47"/>
      <c r="D936" s="47"/>
      <c r="E936" s="47"/>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row>
    <row r="937">
      <c r="A937" s="47"/>
      <c r="B937" s="47"/>
      <c r="C937" s="47"/>
      <c r="D937" s="47"/>
      <c r="E937" s="47"/>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row>
    <row r="938">
      <c r="A938" s="47"/>
      <c r="B938" s="47"/>
      <c r="C938" s="47"/>
      <c r="D938" s="47"/>
      <c r="E938" s="47"/>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row>
    <row r="939">
      <c r="A939" s="47"/>
      <c r="B939" s="47"/>
      <c r="C939" s="47"/>
      <c r="D939" s="47"/>
      <c r="E939" s="47"/>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row>
    <row r="940">
      <c r="A940" s="47"/>
      <c r="B940" s="47"/>
      <c r="C940" s="47"/>
      <c r="D940" s="47"/>
      <c r="E940" s="47"/>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row>
    <row r="941">
      <c r="A941" s="47"/>
      <c r="B941" s="47"/>
      <c r="C941" s="47"/>
      <c r="D941" s="47"/>
      <c r="E941" s="47"/>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row>
    <row r="942">
      <c r="A942" s="47"/>
      <c r="B942" s="47"/>
      <c r="C942" s="47"/>
      <c r="D942" s="47"/>
      <c r="E942" s="47"/>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row>
    <row r="943">
      <c r="A943" s="47"/>
      <c r="B943" s="47"/>
      <c r="C943" s="47"/>
      <c r="D943" s="47"/>
      <c r="E943" s="47"/>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row>
    <row r="944">
      <c r="A944" s="47"/>
      <c r="B944" s="47"/>
      <c r="C944" s="47"/>
      <c r="D944" s="47"/>
      <c r="E944" s="47"/>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row>
    <row r="945">
      <c r="A945" s="47"/>
      <c r="B945" s="47"/>
      <c r="C945" s="47"/>
      <c r="D945" s="47"/>
      <c r="E945" s="47"/>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row>
    <row r="946">
      <c r="A946" s="47"/>
      <c r="B946" s="47"/>
      <c r="C946" s="47"/>
      <c r="D946" s="47"/>
      <c r="E946" s="47"/>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row>
    <row r="947">
      <c r="A947" s="47"/>
      <c r="B947" s="47"/>
      <c r="C947" s="47"/>
      <c r="D947" s="47"/>
      <c r="E947" s="47"/>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row>
    <row r="948">
      <c r="A948" s="47"/>
      <c r="B948" s="47"/>
      <c r="C948" s="47"/>
      <c r="D948" s="47"/>
      <c r="E948" s="47"/>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row>
    <row r="949">
      <c r="A949" s="47"/>
      <c r="B949" s="47"/>
      <c r="C949" s="47"/>
      <c r="D949" s="47"/>
      <c r="E949" s="47"/>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row>
    <row r="950">
      <c r="A950" s="47"/>
      <c r="B950" s="47"/>
      <c r="C950" s="47"/>
      <c r="D950" s="47"/>
      <c r="E950" s="47"/>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row>
    <row r="951">
      <c r="A951" s="47"/>
      <c r="B951" s="47"/>
      <c r="C951" s="47"/>
      <c r="D951" s="47"/>
      <c r="E951" s="47"/>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row>
    <row r="952">
      <c r="A952" s="47"/>
      <c r="B952" s="47"/>
      <c r="C952" s="47"/>
      <c r="D952" s="47"/>
      <c r="E952" s="47"/>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row>
    <row r="953">
      <c r="A953" s="47"/>
      <c r="B953" s="47"/>
      <c r="C953" s="47"/>
      <c r="D953" s="47"/>
      <c r="E953" s="47"/>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row>
    <row r="954">
      <c r="A954" s="47"/>
      <c r="B954" s="47"/>
      <c r="C954" s="47"/>
      <c r="D954" s="47"/>
      <c r="E954" s="47"/>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row>
    <row r="955">
      <c r="A955" s="47"/>
      <c r="B955" s="47"/>
      <c r="C955" s="47"/>
      <c r="D955" s="47"/>
      <c r="E955" s="47"/>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row>
    <row r="956">
      <c r="A956" s="47"/>
      <c r="B956" s="47"/>
      <c r="C956" s="47"/>
      <c r="D956" s="47"/>
      <c r="E956" s="47"/>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row>
    <row r="957">
      <c r="A957" s="47"/>
      <c r="B957" s="47"/>
      <c r="C957" s="47"/>
      <c r="D957" s="47"/>
      <c r="E957" s="47"/>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row>
    <row r="958">
      <c r="A958" s="47"/>
      <c r="B958" s="47"/>
      <c r="C958" s="47"/>
      <c r="D958" s="47"/>
      <c r="E958" s="47"/>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row>
    <row r="959">
      <c r="A959" s="47"/>
      <c r="B959" s="47"/>
      <c r="C959" s="47"/>
      <c r="D959" s="47"/>
      <c r="E959" s="47"/>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row>
    <row r="960">
      <c r="A960" s="47"/>
      <c r="B960" s="47"/>
      <c r="C960" s="47"/>
      <c r="D960" s="47"/>
      <c r="E960" s="47"/>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row>
    <row r="961">
      <c r="A961" s="47"/>
      <c r="B961" s="47"/>
      <c r="C961" s="47"/>
      <c r="D961" s="47"/>
      <c r="E961" s="47"/>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row>
    <row r="962">
      <c r="A962" s="47"/>
      <c r="B962" s="47"/>
      <c r="C962" s="47"/>
      <c r="D962" s="47"/>
      <c r="E962" s="47"/>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row>
    <row r="963">
      <c r="A963" s="47"/>
      <c r="B963" s="47"/>
      <c r="C963" s="47"/>
      <c r="D963" s="47"/>
      <c r="E963" s="47"/>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row>
    <row r="964">
      <c r="A964" s="47"/>
      <c r="B964" s="47"/>
      <c r="C964" s="47"/>
      <c r="D964" s="47"/>
      <c r="E964" s="47"/>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row>
    <row r="965">
      <c r="A965" s="47"/>
      <c r="B965" s="47"/>
      <c r="C965" s="47"/>
      <c r="D965" s="47"/>
      <c r="E965" s="47"/>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row>
    <row r="966">
      <c r="A966" s="47"/>
      <c r="B966" s="47"/>
      <c r="C966" s="47"/>
      <c r="D966" s="47"/>
      <c r="E966" s="47"/>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row>
    <row r="967">
      <c r="A967" s="47"/>
      <c r="B967" s="47"/>
      <c r="C967" s="47"/>
      <c r="D967" s="47"/>
      <c r="E967" s="47"/>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row>
    <row r="968">
      <c r="A968" s="47"/>
      <c r="B968" s="47"/>
      <c r="C968" s="47"/>
      <c r="D968" s="47"/>
      <c r="E968" s="47"/>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row>
    <row r="969">
      <c r="A969" s="47"/>
      <c r="B969" s="47"/>
      <c r="C969" s="47"/>
      <c r="D969" s="47"/>
      <c r="E969" s="47"/>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row>
    <row r="970">
      <c r="A970" s="47"/>
      <c r="B970" s="47"/>
      <c r="C970" s="47"/>
      <c r="D970" s="47"/>
      <c r="E970" s="47"/>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row>
    <row r="971">
      <c r="A971" s="47"/>
      <c r="B971" s="47"/>
      <c r="C971" s="47"/>
      <c r="D971" s="47"/>
      <c r="E971" s="47"/>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row>
    <row r="972">
      <c r="A972" s="47"/>
      <c r="B972" s="47"/>
      <c r="C972" s="47"/>
      <c r="D972" s="47"/>
      <c r="E972" s="47"/>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row>
    <row r="973">
      <c r="A973" s="47"/>
      <c r="B973" s="47"/>
      <c r="C973" s="47"/>
      <c r="D973" s="47"/>
      <c r="E973" s="47"/>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row>
    <row r="974">
      <c r="A974" s="47"/>
      <c r="B974" s="47"/>
      <c r="C974" s="47"/>
      <c r="D974" s="47"/>
      <c r="E974" s="47"/>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row>
    <row r="975">
      <c r="A975" s="47"/>
      <c r="B975" s="47"/>
      <c r="C975" s="47"/>
      <c r="D975" s="47"/>
      <c r="E975" s="47"/>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row>
    <row r="976">
      <c r="A976" s="47"/>
      <c r="B976" s="47"/>
      <c r="C976" s="47"/>
      <c r="D976" s="47"/>
      <c r="E976" s="47"/>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row>
    <row r="977">
      <c r="A977" s="47"/>
      <c r="B977" s="47"/>
      <c r="C977" s="47"/>
      <c r="D977" s="47"/>
      <c r="E977" s="47"/>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row>
    <row r="978">
      <c r="A978" s="47"/>
      <c r="B978" s="47"/>
      <c r="C978" s="47"/>
      <c r="D978" s="47"/>
      <c r="E978" s="47"/>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row>
    <row r="979">
      <c r="A979" s="47"/>
      <c r="B979" s="47"/>
      <c r="C979" s="47"/>
      <c r="D979" s="47"/>
      <c r="E979" s="47"/>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row>
    <row r="980">
      <c r="A980" s="47"/>
      <c r="B980" s="47"/>
      <c r="C980" s="47"/>
      <c r="D980" s="47"/>
      <c r="E980" s="47"/>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row>
    <row r="981">
      <c r="A981" s="47"/>
      <c r="B981" s="47"/>
      <c r="C981" s="47"/>
      <c r="D981" s="47"/>
      <c r="E981" s="47"/>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row>
    <row r="982">
      <c r="A982" s="47"/>
      <c r="B982" s="47"/>
      <c r="C982" s="47"/>
      <c r="D982" s="47"/>
      <c r="E982" s="47"/>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row>
    <row r="983">
      <c r="A983" s="47"/>
      <c r="B983" s="47"/>
      <c r="C983" s="47"/>
      <c r="D983" s="47"/>
      <c r="E983" s="47"/>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row>
    <row r="984">
      <c r="A984" s="47"/>
      <c r="B984" s="47"/>
      <c r="C984" s="47"/>
      <c r="D984" s="47"/>
      <c r="E984" s="47"/>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row>
    <row r="985">
      <c r="A985" s="47"/>
      <c r="B985" s="47"/>
      <c r="C985" s="47"/>
      <c r="D985" s="47"/>
      <c r="E985" s="47"/>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row>
    <row r="986">
      <c r="A986" s="47"/>
      <c r="B986" s="47"/>
      <c r="C986" s="47"/>
      <c r="D986" s="47"/>
      <c r="E986" s="47"/>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row>
    <row r="987">
      <c r="A987" s="47"/>
      <c r="B987" s="47"/>
      <c r="C987" s="47"/>
      <c r="D987" s="47"/>
      <c r="E987" s="47"/>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row>
    <row r="988">
      <c r="A988" s="47"/>
      <c r="B988" s="47"/>
      <c r="C988" s="47"/>
      <c r="D988" s="47"/>
      <c r="E988" s="47"/>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row>
    <row r="989">
      <c r="A989" s="47"/>
      <c r="B989" s="47"/>
      <c r="C989" s="47"/>
      <c r="D989" s="47"/>
      <c r="E989" s="47"/>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row>
    <row r="990">
      <c r="A990" s="47"/>
      <c r="B990" s="47"/>
      <c r="C990" s="47"/>
      <c r="D990" s="47"/>
      <c r="E990" s="47"/>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row>
    <row r="991">
      <c r="A991" s="47"/>
      <c r="B991" s="47"/>
      <c r="C991" s="47"/>
      <c r="D991" s="47"/>
      <c r="E991" s="47"/>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row>
    <row r="992">
      <c r="A992" s="47"/>
      <c r="B992" s="47"/>
      <c r="C992" s="47"/>
      <c r="D992" s="47"/>
      <c r="E992" s="47"/>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row>
    <row r="993">
      <c r="A993" s="47"/>
      <c r="B993" s="47"/>
      <c r="C993" s="47"/>
      <c r="D993" s="47"/>
      <c r="E993" s="47"/>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row>
    <row r="994">
      <c r="A994" s="47"/>
      <c r="B994" s="47"/>
      <c r="C994" s="47"/>
      <c r="D994" s="47"/>
      <c r="E994" s="47"/>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row>
    <row r="995">
      <c r="A995" s="47"/>
      <c r="B995" s="47"/>
      <c r="C995" s="47"/>
      <c r="D995" s="47"/>
      <c r="E995" s="47"/>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row>
    <row r="996">
      <c r="A996" s="47"/>
      <c r="B996" s="47"/>
      <c r="C996" s="47"/>
      <c r="D996" s="47"/>
      <c r="E996" s="47"/>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row>
    <row r="997">
      <c r="A997" s="47"/>
      <c r="B997" s="47"/>
      <c r="C997" s="47"/>
      <c r="D997" s="47"/>
      <c r="E997" s="47"/>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row>
    <row r="998">
      <c r="A998" s="47"/>
      <c r="B998" s="47"/>
      <c r="C998" s="47"/>
      <c r="D998" s="47"/>
      <c r="E998" s="47"/>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row>
    <row r="999">
      <c r="A999" s="47"/>
      <c r="B999" s="47"/>
      <c r="C999" s="47"/>
      <c r="D999" s="47"/>
      <c r="E999" s="47"/>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row>
    <row r="1000">
      <c r="A1000" s="47"/>
      <c r="B1000" s="47"/>
      <c r="C1000" s="47"/>
      <c r="D1000" s="47"/>
      <c r="E1000" s="47"/>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row>
    <row r="1001">
      <c r="A1001" s="47"/>
      <c r="B1001" s="47"/>
      <c r="C1001" s="47"/>
      <c r="D1001" s="47"/>
      <c r="E1001" s="47"/>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row>
    <row r="1002">
      <c r="A1002" s="47"/>
      <c r="B1002" s="47"/>
      <c r="C1002" s="47"/>
      <c r="D1002" s="47"/>
      <c r="E1002" s="47"/>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row>
    <row r="1003">
      <c r="A1003" s="47"/>
      <c r="B1003" s="47"/>
      <c r="C1003" s="47"/>
      <c r="D1003" s="47"/>
      <c r="E1003" s="47"/>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row>
    <row r="1004">
      <c r="A1004" s="47"/>
      <c r="B1004" s="47"/>
      <c r="C1004" s="47"/>
      <c r="D1004" s="47"/>
      <c r="E1004" s="47"/>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row>
    <row r="1005">
      <c r="A1005" s="47"/>
      <c r="B1005" s="47"/>
      <c r="C1005" s="47"/>
      <c r="D1005" s="47"/>
      <c r="E1005" s="47"/>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row>
    <row r="1006">
      <c r="A1006" s="47"/>
      <c r="B1006" s="47"/>
      <c r="C1006" s="47"/>
      <c r="D1006" s="47"/>
      <c r="E1006" s="47"/>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row>
    <row r="1007">
      <c r="A1007" s="47"/>
      <c r="B1007" s="47"/>
      <c r="C1007" s="47"/>
      <c r="D1007" s="47"/>
      <c r="E1007" s="47"/>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row>
    <row r="1008">
      <c r="A1008" s="47"/>
      <c r="B1008" s="47"/>
      <c r="C1008" s="47"/>
      <c r="D1008" s="47"/>
      <c r="E1008" s="47"/>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row>
    <row r="1009">
      <c r="A1009" s="47"/>
      <c r="B1009" s="47"/>
      <c r="C1009" s="47"/>
      <c r="D1009" s="47"/>
      <c r="E1009" s="47"/>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row>
    <row r="1010">
      <c r="A1010" s="47"/>
      <c r="B1010" s="47"/>
      <c r="C1010" s="47"/>
      <c r="D1010" s="47"/>
      <c r="E1010" s="47"/>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row>
    <row r="1011">
      <c r="A1011" s="47"/>
      <c r="B1011" s="47"/>
      <c r="C1011" s="47"/>
      <c r="D1011" s="47"/>
      <c r="E1011" s="47"/>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row>
    <row r="1012">
      <c r="A1012" s="47"/>
      <c r="B1012" s="47"/>
      <c r="C1012" s="47"/>
      <c r="D1012" s="47"/>
      <c r="E1012" s="47"/>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row>
    <row r="1013">
      <c r="A1013" s="47"/>
      <c r="B1013" s="47"/>
      <c r="C1013" s="47"/>
      <c r="D1013" s="47"/>
      <c r="E1013" s="47"/>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row>
    <row r="1014">
      <c r="A1014" s="47"/>
      <c r="B1014" s="47"/>
      <c r="C1014" s="47"/>
      <c r="D1014" s="47"/>
      <c r="E1014" s="47"/>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row>
    <row r="1015">
      <c r="A1015" s="47"/>
      <c r="B1015" s="47"/>
      <c r="C1015" s="47"/>
      <c r="D1015" s="47"/>
      <c r="E1015" s="47"/>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row>
    <row r="1016">
      <c r="A1016" s="47"/>
      <c r="B1016" s="47"/>
      <c r="C1016" s="47"/>
      <c r="D1016" s="47"/>
      <c r="E1016" s="47"/>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row>
    <row r="1017">
      <c r="A1017" s="47"/>
      <c r="B1017" s="47"/>
      <c r="C1017" s="47"/>
      <c r="D1017" s="47"/>
      <c r="E1017" s="47"/>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row>
    <row r="1018">
      <c r="A1018" s="47"/>
      <c r="B1018" s="47"/>
      <c r="C1018" s="47"/>
      <c r="D1018" s="47"/>
      <c r="E1018" s="47"/>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row>
    <row r="1019">
      <c r="A1019" s="47"/>
      <c r="B1019" s="47"/>
      <c r="C1019" s="47"/>
      <c r="D1019" s="47"/>
      <c r="E1019" s="47"/>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row>
    <row r="1020">
      <c r="A1020" s="47"/>
      <c r="B1020" s="47"/>
      <c r="C1020" s="47"/>
      <c r="D1020" s="47"/>
      <c r="E1020" s="47"/>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row>
    <row r="1021">
      <c r="A1021" s="47"/>
      <c r="B1021" s="47"/>
      <c r="C1021" s="47"/>
      <c r="D1021" s="47"/>
      <c r="E1021" s="47"/>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row>
    <row r="1022">
      <c r="A1022" s="47"/>
      <c r="B1022" s="47"/>
      <c r="C1022" s="47"/>
      <c r="D1022" s="47"/>
      <c r="E1022" s="47"/>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row>
    <row r="1023">
      <c r="A1023" s="47"/>
      <c r="B1023" s="47"/>
      <c r="C1023" s="47"/>
      <c r="D1023" s="47"/>
      <c r="E1023" s="47"/>
      <c r="F1023" s="43"/>
      <c r="G1023" s="43"/>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row>
    <row r="1024">
      <c r="A1024" s="47"/>
      <c r="B1024" s="47"/>
      <c r="C1024" s="47"/>
      <c r="D1024" s="47"/>
      <c r="E1024" s="47"/>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row>
    <row r="1025">
      <c r="A1025" s="47"/>
      <c r="B1025" s="47"/>
      <c r="C1025" s="47"/>
      <c r="D1025" s="47"/>
      <c r="E1025" s="47"/>
      <c r="F1025" s="43"/>
      <c r="G1025" s="43"/>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row>
    <row r="1026">
      <c r="A1026" s="47"/>
      <c r="B1026" s="47"/>
      <c r="C1026" s="47"/>
      <c r="D1026" s="47"/>
      <c r="E1026" s="47"/>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row>
    <row r="1027">
      <c r="A1027" s="47"/>
      <c r="B1027" s="47"/>
      <c r="C1027" s="47"/>
      <c r="D1027" s="47"/>
      <c r="E1027" s="47"/>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row>
    <row r="1028">
      <c r="A1028" s="47"/>
      <c r="B1028" s="47"/>
      <c r="C1028" s="47"/>
      <c r="D1028" s="47"/>
      <c r="E1028" s="47"/>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row>
    <row r="1029">
      <c r="A1029" s="47"/>
      <c r="B1029" s="47"/>
      <c r="C1029" s="47"/>
      <c r="D1029" s="47"/>
      <c r="E1029" s="47"/>
      <c r="F1029" s="43"/>
      <c r="G1029" s="43"/>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row>
    <row r="1030">
      <c r="A1030" s="47"/>
      <c r="B1030" s="47"/>
      <c r="C1030" s="47"/>
      <c r="D1030" s="47"/>
      <c r="E1030" s="47"/>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row>
    <row r="1031">
      <c r="A1031" s="47"/>
      <c r="B1031" s="47"/>
      <c r="C1031" s="47"/>
      <c r="D1031" s="47"/>
      <c r="E1031" s="47"/>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row>
    <row r="1032">
      <c r="A1032" s="47"/>
      <c r="B1032" s="47"/>
      <c r="C1032" s="47"/>
      <c r="D1032" s="47"/>
      <c r="E1032" s="47"/>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row>
    <row r="1033">
      <c r="A1033" s="47"/>
      <c r="B1033" s="47"/>
      <c r="C1033" s="47"/>
      <c r="D1033" s="47"/>
      <c r="E1033" s="47"/>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row>
    <row r="1034">
      <c r="A1034" s="47"/>
      <c r="B1034" s="47"/>
      <c r="C1034" s="47"/>
      <c r="D1034" s="47"/>
      <c r="E1034" s="47"/>
      <c r="F1034" s="43"/>
      <c r="G1034" s="43"/>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row>
    <row r="1035">
      <c r="A1035" s="47"/>
      <c r="B1035" s="47"/>
      <c r="C1035" s="47"/>
      <c r="D1035" s="47"/>
      <c r="E1035" s="47"/>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row>
    <row r="1036">
      <c r="A1036" s="47"/>
      <c r="B1036" s="47"/>
      <c r="C1036" s="47"/>
      <c r="D1036" s="47"/>
      <c r="E1036" s="47"/>
      <c r="F1036" s="43"/>
      <c r="G1036" s="43"/>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row>
    <row r="1037">
      <c r="A1037" s="47"/>
      <c r="B1037" s="47"/>
      <c r="C1037" s="47"/>
      <c r="D1037" s="47"/>
      <c r="E1037" s="47"/>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row>
    <row r="1038">
      <c r="A1038" s="47"/>
      <c r="B1038" s="47"/>
      <c r="C1038" s="47"/>
      <c r="D1038" s="47"/>
      <c r="E1038" s="47"/>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row>
    <row r="1039">
      <c r="A1039" s="47"/>
      <c r="B1039" s="47"/>
      <c r="C1039" s="47"/>
      <c r="D1039" s="47"/>
      <c r="E1039" s="47"/>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row>
    <row r="1040">
      <c r="A1040" s="47"/>
      <c r="B1040" s="47"/>
      <c r="C1040" s="47"/>
      <c r="D1040" s="47"/>
      <c r="E1040" s="47"/>
      <c r="F1040" s="43"/>
      <c r="G1040" s="43"/>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row>
    <row r="1041">
      <c r="A1041" s="47"/>
      <c r="B1041" s="47"/>
      <c r="C1041" s="47"/>
      <c r="D1041" s="47"/>
      <c r="E1041" s="47"/>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row>
    <row r="1042">
      <c r="A1042" s="47"/>
      <c r="B1042" s="47"/>
      <c r="C1042" s="47"/>
      <c r="D1042" s="47"/>
      <c r="E1042" s="47"/>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row>
    <row r="1043">
      <c r="A1043" s="47"/>
      <c r="B1043" s="47"/>
      <c r="C1043" s="47"/>
      <c r="D1043" s="47"/>
      <c r="E1043" s="47"/>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row>
    <row r="1044">
      <c r="A1044" s="47"/>
      <c r="B1044" s="47"/>
      <c r="C1044" s="47"/>
      <c r="D1044" s="47"/>
      <c r="E1044" s="47"/>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row>
    <row r="1045">
      <c r="A1045" s="47"/>
      <c r="B1045" s="47"/>
      <c r="C1045" s="47"/>
      <c r="D1045" s="47"/>
      <c r="E1045" s="47"/>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row>
    <row r="1046">
      <c r="A1046" s="47"/>
      <c r="B1046" s="47"/>
      <c r="C1046" s="47"/>
      <c r="D1046" s="47"/>
      <c r="E1046" s="47"/>
      <c r="F1046" s="43"/>
      <c r="G1046" s="43"/>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row>
    <row r="1047">
      <c r="A1047" s="47"/>
      <c r="B1047" s="47"/>
      <c r="C1047" s="47"/>
      <c r="D1047" s="47"/>
      <c r="E1047" s="47"/>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row>
    <row r="1048">
      <c r="A1048" s="47"/>
      <c r="B1048" s="47"/>
      <c r="C1048" s="47"/>
      <c r="D1048" s="47"/>
      <c r="E1048" s="47"/>
      <c r="F1048" s="43"/>
      <c r="G1048" s="43"/>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row>
    <row r="1049">
      <c r="A1049" s="47"/>
      <c r="B1049" s="47"/>
      <c r="C1049" s="47"/>
      <c r="D1049" s="47"/>
      <c r="E1049" s="47"/>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3"/>
      <c r="AZ1049" s="43"/>
      <c r="BA1049" s="43"/>
      <c r="BB1049" s="43"/>
      <c r="BC1049" s="43"/>
      <c r="BD1049" s="43"/>
      <c r="BE1049" s="43"/>
      <c r="BF1049" s="43"/>
      <c r="BG1049" s="43"/>
      <c r="BH1049" s="43"/>
      <c r="BI1049" s="43"/>
      <c r="BJ1049" s="43"/>
      <c r="BK1049" s="43"/>
      <c r="BL1049" s="43"/>
      <c r="BM1049" s="43"/>
      <c r="BN1049" s="43"/>
    </row>
    <row r="1050">
      <c r="A1050" s="47"/>
      <c r="B1050" s="47"/>
      <c r="C1050" s="47"/>
      <c r="D1050" s="47"/>
      <c r="E1050" s="47"/>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3"/>
      <c r="AZ1050" s="43"/>
      <c r="BA1050" s="43"/>
      <c r="BB1050" s="43"/>
      <c r="BC1050" s="43"/>
      <c r="BD1050" s="43"/>
      <c r="BE1050" s="43"/>
      <c r="BF1050" s="43"/>
      <c r="BG1050" s="43"/>
      <c r="BH1050" s="43"/>
      <c r="BI1050" s="43"/>
      <c r="BJ1050" s="43"/>
      <c r="BK1050" s="43"/>
      <c r="BL1050" s="43"/>
      <c r="BM1050" s="43"/>
      <c r="BN1050" s="43"/>
    </row>
    <row r="1051">
      <c r="A1051" s="47"/>
      <c r="B1051" s="47"/>
      <c r="C1051" s="47"/>
      <c r="D1051" s="47"/>
      <c r="E1051" s="47"/>
      <c r="F1051" s="43"/>
      <c r="G1051" s="43"/>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3"/>
      <c r="AZ1051" s="43"/>
      <c r="BA1051" s="43"/>
      <c r="BB1051" s="43"/>
      <c r="BC1051" s="43"/>
      <c r="BD1051" s="43"/>
      <c r="BE1051" s="43"/>
      <c r="BF1051" s="43"/>
      <c r="BG1051" s="43"/>
      <c r="BH1051" s="43"/>
      <c r="BI1051" s="43"/>
      <c r="BJ1051" s="43"/>
      <c r="BK1051" s="43"/>
      <c r="BL1051" s="43"/>
      <c r="BM1051" s="43"/>
      <c r="BN1051" s="43"/>
    </row>
    <row r="1052">
      <c r="A1052" s="47"/>
      <c r="B1052" s="47"/>
      <c r="C1052" s="47"/>
      <c r="D1052" s="47"/>
      <c r="E1052" s="47"/>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3"/>
      <c r="AZ1052" s="43"/>
      <c r="BA1052" s="43"/>
      <c r="BB1052" s="43"/>
      <c r="BC1052" s="43"/>
      <c r="BD1052" s="43"/>
      <c r="BE1052" s="43"/>
      <c r="BF1052" s="43"/>
      <c r="BG1052" s="43"/>
      <c r="BH1052" s="43"/>
      <c r="BI1052" s="43"/>
      <c r="BJ1052" s="43"/>
      <c r="BK1052" s="43"/>
      <c r="BL1052" s="43"/>
      <c r="BM1052" s="43"/>
      <c r="BN1052" s="43"/>
    </row>
    <row r="1053">
      <c r="A1053" s="47"/>
      <c r="B1053" s="47"/>
      <c r="C1053" s="47"/>
      <c r="D1053" s="47"/>
      <c r="E1053" s="47"/>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3"/>
      <c r="AZ1053" s="43"/>
      <c r="BA1053" s="43"/>
      <c r="BB1053" s="43"/>
      <c r="BC1053" s="43"/>
      <c r="BD1053" s="43"/>
      <c r="BE1053" s="43"/>
      <c r="BF1053" s="43"/>
      <c r="BG1053" s="43"/>
      <c r="BH1053" s="43"/>
      <c r="BI1053" s="43"/>
      <c r="BJ1053" s="43"/>
      <c r="BK1053" s="43"/>
      <c r="BL1053" s="43"/>
      <c r="BM1053" s="43"/>
      <c r="BN1053" s="43"/>
    </row>
    <row r="1054">
      <c r="A1054" s="47"/>
      <c r="B1054" s="47"/>
      <c r="C1054" s="47"/>
      <c r="D1054" s="47"/>
      <c r="E1054" s="47"/>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row>
    <row r="1055">
      <c r="A1055" s="47"/>
      <c r="B1055" s="47"/>
      <c r="C1055" s="47"/>
      <c r="D1055" s="47"/>
      <c r="E1055" s="47"/>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3"/>
      <c r="AZ1055" s="43"/>
      <c r="BA1055" s="43"/>
      <c r="BB1055" s="43"/>
      <c r="BC1055" s="43"/>
      <c r="BD1055" s="43"/>
      <c r="BE1055" s="43"/>
      <c r="BF1055" s="43"/>
      <c r="BG1055" s="43"/>
      <c r="BH1055" s="43"/>
      <c r="BI1055" s="43"/>
      <c r="BJ1055" s="43"/>
      <c r="BK1055" s="43"/>
      <c r="BL1055" s="43"/>
      <c r="BM1055" s="43"/>
      <c r="BN1055" s="43"/>
    </row>
    <row r="1056">
      <c r="A1056" s="47"/>
      <c r="B1056" s="47"/>
      <c r="C1056" s="47"/>
      <c r="D1056" s="47"/>
      <c r="E1056" s="47"/>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row>
    <row r="1057">
      <c r="A1057" s="47"/>
      <c r="B1057" s="47"/>
      <c r="C1057" s="47"/>
      <c r="D1057" s="47"/>
      <c r="E1057" s="47"/>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3"/>
      <c r="AZ1057" s="43"/>
      <c r="BA1057" s="43"/>
      <c r="BB1057" s="43"/>
      <c r="BC1057" s="43"/>
      <c r="BD1057" s="43"/>
      <c r="BE1057" s="43"/>
      <c r="BF1057" s="43"/>
      <c r="BG1057" s="43"/>
      <c r="BH1057" s="43"/>
      <c r="BI1057" s="43"/>
      <c r="BJ1057" s="43"/>
      <c r="BK1057" s="43"/>
      <c r="BL1057" s="43"/>
      <c r="BM1057" s="43"/>
      <c r="BN1057" s="43"/>
    </row>
    <row r="1058">
      <c r="A1058" s="47"/>
      <c r="B1058" s="47"/>
      <c r="C1058" s="47"/>
      <c r="D1058" s="47"/>
      <c r="E1058" s="47"/>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row>
    <row r="1059">
      <c r="A1059" s="47"/>
      <c r="B1059" s="47"/>
      <c r="C1059" s="47"/>
      <c r="D1059" s="47"/>
      <c r="E1059" s="47"/>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3"/>
      <c r="AZ1059" s="43"/>
      <c r="BA1059" s="43"/>
      <c r="BB1059" s="43"/>
      <c r="BC1059" s="43"/>
      <c r="BD1059" s="43"/>
      <c r="BE1059" s="43"/>
      <c r="BF1059" s="43"/>
      <c r="BG1059" s="43"/>
      <c r="BH1059" s="43"/>
      <c r="BI1059" s="43"/>
      <c r="BJ1059" s="43"/>
      <c r="BK1059" s="43"/>
      <c r="BL1059" s="43"/>
      <c r="BM1059" s="43"/>
      <c r="BN1059" s="43"/>
    </row>
    <row r="1060">
      <c r="A1060" s="47"/>
      <c r="B1060" s="47"/>
      <c r="C1060" s="47"/>
      <c r="D1060" s="47"/>
      <c r="E1060" s="47"/>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row>
    <row r="1061">
      <c r="A1061" s="47"/>
      <c r="B1061" s="47"/>
      <c r="C1061" s="47"/>
      <c r="D1061" s="47"/>
      <c r="E1061" s="47"/>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3"/>
      <c r="AZ1061" s="43"/>
      <c r="BA1061" s="43"/>
      <c r="BB1061" s="43"/>
      <c r="BC1061" s="43"/>
      <c r="BD1061" s="43"/>
      <c r="BE1061" s="43"/>
      <c r="BF1061" s="43"/>
      <c r="BG1061" s="43"/>
      <c r="BH1061" s="43"/>
      <c r="BI1061" s="43"/>
      <c r="BJ1061" s="43"/>
      <c r="BK1061" s="43"/>
      <c r="BL1061" s="43"/>
      <c r="BM1061" s="43"/>
      <c r="BN1061" s="43"/>
    </row>
    <row r="1062">
      <c r="A1062" s="47"/>
      <c r="B1062" s="47"/>
      <c r="C1062" s="47"/>
      <c r="D1062" s="47"/>
      <c r="E1062" s="47"/>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row>
    <row r="1063">
      <c r="A1063" s="47"/>
      <c r="B1063" s="47"/>
      <c r="C1063" s="47"/>
      <c r="D1063" s="47"/>
      <c r="E1063" s="47"/>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3"/>
      <c r="AZ1063" s="43"/>
      <c r="BA1063" s="43"/>
      <c r="BB1063" s="43"/>
      <c r="BC1063" s="43"/>
      <c r="BD1063" s="43"/>
      <c r="BE1063" s="43"/>
      <c r="BF1063" s="43"/>
      <c r="BG1063" s="43"/>
      <c r="BH1063" s="43"/>
      <c r="BI1063" s="43"/>
      <c r="BJ1063" s="43"/>
      <c r="BK1063" s="43"/>
      <c r="BL1063" s="43"/>
      <c r="BM1063" s="43"/>
      <c r="BN1063" s="43"/>
    </row>
    <row r="1064">
      <c r="A1064" s="47"/>
      <c r="B1064" s="47"/>
      <c r="C1064" s="47"/>
      <c r="D1064" s="47"/>
      <c r="E1064" s="47"/>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3"/>
      <c r="AZ1064" s="43"/>
      <c r="BA1064" s="43"/>
      <c r="BB1064" s="43"/>
      <c r="BC1064" s="43"/>
      <c r="BD1064" s="43"/>
      <c r="BE1064" s="43"/>
      <c r="BF1064" s="43"/>
      <c r="BG1064" s="43"/>
      <c r="BH1064" s="43"/>
      <c r="BI1064" s="43"/>
      <c r="BJ1064" s="43"/>
      <c r="BK1064" s="43"/>
      <c r="BL1064" s="43"/>
      <c r="BM1064" s="43"/>
      <c r="BN1064" s="43"/>
    </row>
    <row r="1065">
      <c r="A1065" s="47"/>
      <c r="B1065" s="47"/>
      <c r="C1065" s="47"/>
      <c r="D1065" s="47"/>
      <c r="E1065" s="47"/>
      <c r="F1065" s="43"/>
      <c r="G1065" s="43"/>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row>
    <row r="1066">
      <c r="A1066" s="47"/>
      <c r="B1066" s="47"/>
      <c r="C1066" s="47"/>
      <c r="D1066" s="47"/>
      <c r="E1066" s="47"/>
      <c r="F1066" s="43"/>
      <c r="G1066" s="43"/>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row>
    <row r="1067">
      <c r="A1067" s="47"/>
      <c r="B1067" s="47"/>
      <c r="C1067" s="47"/>
      <c r="D1067" s="47"/>
      <c r="E1067" s="47"/>
      <c r="F1067" s="43"/>
      <c r="G1067" s="43"/>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3"/>
      <c r="AZ1067" s="43"/>
      <c r="BA1067" s="43"/>
      <c r="BB1067" s="43"/>
      <c r="BC1067" s="43"/>
      <c r="BD1067" s="43"/>
      <c r="BE1067" s="43"/>
      <c r="BF1067" s="43"/>
      <c r="BG1067" s="43"/>
      <c r="BH1067" s="43"/>
      <c r="BI1067" s="43"/>
      <c r="BJ1067" s="43"/>
      <c r="BK1067" s="43"/>
      <c r="BL1067" s="43"/>
      <c r="BM1067" s="43"/>
      <c r="BN1067" s="43"/>
    </row>
    <row r="1068">
      <c r="A1068" s="47"/>
      <c r="B1068" s="47"/>
      <c r="C1068" s="47"/>
      <c r="D1068" s="47"/>
      <c r="E1068" s="47"/>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3"/>
      <c r="AZ1068" s="43"/>
      <c r="BA1068" s="43"/>
      <c r="BB1068" s="43"/>
      <c r="BC1068" s="43"/>
      <c r="BD1068" s="43"/>
      <c r="BE1068" s="43"/>
      <c r="BF1068" s="43"/>
      <c r="BG1068" s="43"/>
      <c r="BH1068" s="43"/>
      <c r="BI1068" s="43"/>
      <c r="BJ1068" s="43"/>
      <c r="BK1068" s="43"/>
      <c r="BL1068" s="43"/>
      <c r="BM1068" s="43"/>
      <c r="BN1068" s="43"/>
    </row>
    <row r="1069">
      <c r="A1069" s="47"/>
      <c r="B1069" s="47"/>
      <c r="C1069" s="47"/>
      <c r="D1069" s="47"/>
      <c r="E1069" s="47"/>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3"/>
      <c r="AZ1069" s="43"/>
      <c r="BA1069" s="43"/>
      <c r="BB1069" s="43"/>
      <c r="BC1069" s="43"/>
      <c r="BD1069" s="43"/>
      <c r="BE1069" s="43"/>
      <c r="BF1069" s="43"/>
      <c r="BG1069" s="43"/>
      <c r="BH1069" s="43"/>
      <c r="BI1069" s="43"/>
      <c r="BJ1069" s="43"/>
      <c r="BK1069" s="43"/>
      <c r="BL1069" s="43"/>
      <c r="BM1069" s="43"/>
      <c r="BN1069" s="43"/>
    </row>
    <row r="1070">
      <c r="A1070" s="47"/>
      <c r="B1070" s="47"/>
      <c r="C1070" s="47"/>
      <c r="D1070" s="47"/>
      <c r="E1070" s="47"/>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3"/>
      <c r="AZ1070" s="43"/>
      <c r="BA1070" s="43"/>
      <c r="BB1070" s="43"/>
      <c r="BC1070" s="43"/>
      <c r="BD1070" s="43"/>
      <c r="BE1070" s="43"/>
      <c r="BF1070" s="43"/>
      <c r="BG1070" s="43"/>
      <c r="BH1070" s="43"/>
      <c r="BI1070" s="43"/>
      <c r="BJ1070" s="43"/>
      <c r="BK1070" s="43"/>
      <c r="BL1070" s="43"/>
      <c r="BM1070" s="43"/>
      <c r="BN1070" s="43"/>
    </row>
    <row r="1071">
      <c r="A1071" s="47"/>
      <c r="B1071" s="47"/>
      <c r="C1071" s="47"/>
      <c r="D1071" s="47"/>
      <c r="E1071" s="47"/>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3"/>
      <c r="AZ1071" s="43"/>
      <c r="BA1071" s="43"/>
      <c r="BB1071" s="43"/>
      <c r="BC1071" s="43"/>
      <c r="BD1071" s="43"/>
      <c r="BE1071" s="43"/>
      <c r="BF1071" s="43"/>
      <c r="BG1071" s="43"/>
      <c r="BH1071" s="43"/>
      <c r="BI1071" s="43"/>
      <c r="BJ1071" s="43"/>
      <c r="BK1071" s="43"/>
      <c r="BL1071" s="43"/>
      <c r="BM1071" s="43"/>
      <c r="BN1071" s="43"/>
    </row>
    <row r="1072">
      <c r="A1072" s="47"/>
      <c r="B1072" s="47"/>
      <c r="C1072" s="47"/>
      <c r="D1072" s="47"/>
      <c r="E1072" s="47"/>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3"/>
      <c r="AZ1072" s="43"/>
      <c r="BA1072" s="43"/>
      <c r="BB1072" s="43"/>
      <c r="BC1072" s="43"/>
      <c r="BD1072" s="43"/>
      <c r="BE1072" s="43"/>
      <c r="BF1072" s="43"/>
      <c r="BG1072" s="43"/>
      <c r="BH1072" s="43"/>
      <c r="BI1072" s="43"/>
      <c r="BJ1072" s="43"/>
      <c r="BK1072" s="43"/>
      <c r="BL1072" s="43"/>
      <c r="BM1072" s="43"/>
      <c r="BN1072" s="43"/>
    </row>
    <row r="1073">
      <c r="A1073" s="47"/>
      <c r="B1073" s="47"/>
      <c r="C1073" s="47"/>
      <c r="D1073" s="47"/>
      <c r="E1073" s="47"/>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3"/>
      <c r="AZ1073" s="43"/>
      <c r="BA1073" s="43"/>
      <c r="BB1073" s="43"/>
      <c r="BC1073" s="43"/>
      <c r="BD1073" s="43"/>
      <c r="BE1073" s="43"/>
      <c r="BF1073" s="43"/>
      <c r="BG1073" s="43"/>
      <c r="BH1073" s="43"/>
      <c r="BI1073" s="43"/>
      <c r="BJ1073" s="43"/>
      <c r="BK1073" s="43"/>
      <c r="BL1073" s="43"/>
      <c r="BM1073" s="43"/>
      <c r="BN1073" s="43"/>
    </row>
    <row r="1074">
      <c r="A1074" s="47"/>
      <c r="B1074" s="47"/>
      <c r="C1074" s="47"/>
      <c r="D1074" s="47"/>
      <c r="E1074" s="47"/>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3"/>
      <c r="AZ1074" s="43"/>
      <c r="BA1074" s="43"/>
      <c r="BB1074" s="43"/>
      <c r="BC1074" s="43"/>
      <c r="BD1074" s="43"/>
      <c r="BE1074" s="43"/>
      <c r="BF1074" s="43"/>
      <c r="BG1074" s="43"/>
      <c r="BH1074" s="43"/>
      <c r="BI1074" s="43"/>
      <c r="BJ1074" s="43"/>
      <c r="BK1074" s="43"/>
      <c r="BL1074" s="43"/>
      <c r="BM1074" s="43"/>
      <c r="BN1074" s="43"/>
    </row>
    <row r="1075">
      <c r="A1075" s="47"/>
      <c r="B1075" s="47"/>
      <c r="C1075" s="47"/>
      <c r="D1075" s="47"/>
      <c r="E1075" s="47"/>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3"/>
      <c r="AZ1075" s="43"/>
      <c r="BA1075" s="43"/>
      <c r="BB1075" s="43"/>
      <c r="BC1075" s="43"/>
      <c r="BD1075" s="43"/>
      <c r="BE1075" s="43"/>
      <c r="BF1075" s="43"/>
      <c r="BG1075" s="43"/>
      <c r="BH1075" s="43"/>
      <c r="BI1075" s="43"/>
      <c r="BJ1075" s="43"/>
      <c r="BK1075" s="43"/>
      <c r="BL1075" s="43"/>
      <c r="BM1075" s="43"/>
      <c r="BN1075" s="43"/>
    </row>
    <row r="1076">
      <c r="A1076" s="47"/>
      <c r="B1076" s="47"/>
      <c r="C1076" s="47"/>
      <c r="D1076" s="47"/>
      <c r="E1076" s="47"/>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3"/>
      <c r="AZ1076" s="43"/>
      <c r="BA1076" s="43"/>
      <c r="BB1076" s="43"/>
      <c r="BC1076" s="43"/>
      <c r="BD1076" s="43"/>
      <c r="BE1076" s="43"/>
      <c r="BF1076" s="43"/>
      <c r="BG1076" s="43"/>
      <c r="BH1076" s="43"/>
      <c r="BI1076" s="43"/>
      <c r="BJ1076" s="43"/>
      <c r="BK1076" s="43"/>
      <c r="BL1076" s="43"/>
      <c r="BM1076" s="43"/>
      <c r="BN1076" s="43"/>
    </row>
    <row r="1077">
      <c r="A1077" s="47"/>
      <c r="B1077" s="47"/>
      <c r="C1077" s="47"/>
      <c r="D1077" s="47"/>
      <c r="E1077" s="47"/>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3"/>
      <c r="AZ1077" s="43"/>
      <c r="BA1077" s="43"/>
      <c r="BB1077" s="43"/>
      <c r="BC1077" s="43"/>
      <c r="BD1077" s="43"/>
      <c r="BE1077" s="43"/>
      <c r="BF1077" s="43"/>
      <c r="BG1077" s="43"/>
      <c r="BH1077" s="43"/>
      <c r="BI1077" s="43"/>
      <c r="BJ1077" s="43"/>
      <c r="BK1077" s="43"/>
      <c r="BL1077" s="43"/>
      <c r="BM1077" s="43"/>
      <c r="BN1077" s="43"/>
    </row>
    <row r="1078">
      <c r="A1078" s="47"/>
      <c r="B1078" s="47"/>
      <c r="C1078" s="47"/>
      <c r="D1078" s="47"/>
      <c r="E1078" s="47"/>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3"/>
      <c r="AZ1078" s="43"/>
      <c r="BA1078" s="43"/>
      <c r="BB1078" s="43"/>
      <c r="BC1078" s="43"/>
      <c r="BD1078" s="43"/>
      <c r="BE1078" s="43"/>
      <c r="BF1078" s="43"/>
      <c r="BG1078" s="43"/>
      <c r="BH1078" s="43"/>
      <c r="BI1078" s="43"/>
      <c r="BJ1078" s="43"/>
      <c r="BK1078" s="43"/>
      <c r="BL1078" s="43"/>
      <c r="BM1078" s="43"/>
      <c r="BN1078" s="43"/>
    </row>
    <row r="1079">
      <c r="A1079" s="47"/>
      <c r="B1079" s="47"/>
      <c r="C1079" s="47"/>
      <c r="D1079" s="47"/>
      <c r="E1079" s="47"/>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3"/>
      <c r="AZ1079" s="43"/>
      <c r="BA1079" s="43"/>
      <c r="BB1079" s="43"/>
      <c r="BC1079" s="43"/>
      <c r="BD1079" s="43"/>
      <c r="BE1079" s="43"/>
      <c r="BF1079" s="43"/>
      <c r="BG1079" s="43"/>
      <c r="BH1079" s="43"/>
      <c r="BI1079" s="43"/>
      <c r="BJ1079" s="43"/>
      <c r="BK1079" s="43"/>
      <c r="BL1079" s="43"/>
      <c r="BM1079" s="43"/>
      <c r="BN1079" s="43"/>
    </row>
    <row r="1080">
      <c r="A1080" s="47"/>
      <c r="B1080" s="47"/>
      <c r="C1080" s="47"/>
      <c r="D1080" s="47"/>
      <c r="E1080" s="47"/>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3"/>
      <c r="AZ1080" s="43"/>
      <c r="BA1080" s="43"/>
      <c r="BB1080" s="43"/>
      <c r="BC1080" s="43"/>
      <c r="BD1080" s="43"/>
      <c r="BE1080" s="43"/>
      <c r="BF1080" s="43"/>
      <c r="BG1080" s="43"/>
      <c r="BH1080" s="43"/>
      <c r="BI1080" s="43"/>
      <c r="BJ1080" s="43"/>
      <c r="BK1080" s="43"/>
      <c r="BL1080" s="43"/>
      <c r="BM1080" s="43"/>
      <c r="BN1080" s="43"/>
    </row>
    <row r="1081">
      <c r="A1081" s="47"/>
      <c r="B1081" s="47"/>
      <c r="C1081" s="47"/>
      <c r="D1081" s="47"/>
      <c r="E1081" s="47"/>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3"/>
      <c r="AZ1081" s="43"/>
      <c r="BA1081" s="43"/>
      <c r="BB1081" s="43"/>
      <c r="BC1081" s="43"/>
      <c r="BD1081" s="43"/>
      <c r="BE1081" s="43"/>
      <c r="BF1081" s="43"/>
      <c r="BG1081" s="43"/>
      <c r="BH1081" s="43"/>
      <c r="BI1081" s="43"/>
      <c r="BJ1081" s="43"/>
      <c r="BK1081" s="43"/>
      <c r="BL1081" s="43"/>
      <c r="BM1081" s="43"/>
      <c r="BN1081" s="43"/>
    </row>
    <row r="1082">
      <c r="A1082" s="47"/>
      <c r="B1082" s="47"/>
      <c r="C1082" s="47"/>
      <c r="D1082" s="47"/>
      <c r="E1082" s="47"/>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3"/>
      <c r="AZ1082" s="43"/>
      <c r="BA1082" s="43"/>
      <c r="BB1082" s="43"/>
      <c r="BC1082" s="43"/>
      <c r="BD1082" s="43"/>
      <c r="BE1082" s="43"/>
      <c r="BF1082" s="43"/>
      <c r="BG1082" s="43"/>
      <c r="BH1082" s="43"/>
      <c r="BI1082" s="43"/>
      <c r="BJ1082" s="43"/>
      <c r="BK1082" s="43"/>
      <c r="BL1082" s="43"/>
      <c r="BM1082" s="43"/>
      <c r="BN1082" s="43"/>
    </row>
    <row r="1083">
      <c r="A1083" s="47"/>
      <c r="B1083" s="47"/>
      <c r="C1083" s="47"/>
      <c r="D1083" s="47"/>
      <c r="E1083" s="47"/>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3"/>
      <c r="AZ1083" s="43"/>
      <c r="BA1083" s="43"/>
      <c r="BB1083" s="43"/>
      <c r="BC1083" s="43"/>
      <c r="BD1083" s="43"/>
      <c r="BE1083" s="43"/>
      <c r="BF1083" s="43"/>
      <c r="BG1083" s="43"/>
      <c r="BH1083" s="43"/>
      <c r="BI1083" s="43"/>
      <c r="BJ1083" s="43"/>
      <c r="BK1083" s="43"/>
      <c r="BL1083" s="43"/>
      <c r="BM1083" s="43"/>
      <c r="BN1083" s="43"/>
    </row>
    <row r="1084">
      <c r="A1084" s="47"/>
      <c r="B1084" s="47"/>
      <c r="C1084" s="47"/>
      <c r="D1084" s="47"/>
      <c r="E1084" s="47"/>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3"/>
      <c r="AZ1084" s="43"/>
      <c r="BA1084" s="43"/>
      <c r="BB1084" s="43"/>
      <c r="BC1084" s="43"/>
      <c r="BD1084" s="43"/>
      <c r="BE1084" s="43"/>
      <c r="BF1084" s="43"/>
      <c r="BG1084" s="43"/>
      <c r="BH1084" s="43"/>
      <c r="BI1084" s="43"/>
      <c r="BJ1084" s="43"/>
      <c r="BK1084" s="43"/>
      <c r="BL1084" s="43"/>
      <c r="BM1084" s="43"/>
      <c r="BN1084" s="43"/>
    </row>
    <row r="1085">
      <c r="A1085" s="47"/>
      <c r="B1085" s="47"/>
      <c r="C1085" s="47"/>
      <c r="D1085" s="47"/>
      <c r="E1085" s="47"/>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3"/>
      <c r="AZ1085" s="43"/>
      <c r="BA1085" s="43"/>
      <c r="BB1085" s="43"/>
      <c r="BC1085" s="43"/>
      <c r="BD1085" s="43"/>
      <c r="BE1085" s="43"/>
      <c r="BF1085" s="43"/>
      <c r="BG1085" s="43"/>
      <c r="BH1085" s="43"/>
      <c r="BI1085" s="43"/>
      <c r="BJ1085" s="43"/>
      <c r="BK1085" s="43"/>
      <c r="BL1085" s="43"/>
      <c r="BM1085" s="43"/>
      <c r="BN1085" s="43"/>
    </row>
    <row r="1086">
      <c r="A1086" s="47"/>
      <c r="B1086" s="47"/>
      <c r="C1086" s="47"/>
      <c r="D1086" s="47"/>
      <c r="E1086" s="47"/>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3"/>
      <c r="AZ1086" s="43"/>
      <c r="BA1086" s="43"/>
      <c r="BB1086" s="43"/>
      <c r="BC1086" s="43"/>
      <c r="BD1086" s="43"/>
      <c r="BE1086" s="43"/>
      <c r="BF1086" s="43"/>
      <c r="BG1086" s="43"/>
      <c r="BH1086" s="43"/>
      <c r="BI1086" s="43"/>
      <c r="BJ1086" s="43"/>
      <c r="BK1086" s="43"/>
      <c r="BL1086" s="43"/>
      <c r="BM1086" s="43"/>
      <c r="BN1086" s="43"/>
    </row>
    <row r="1087">
      <c r="A1087" s="47"/>
      <c r="B1087" s="47"/>
      <c r="C1087" s="47"/>
      <c r="D1087" s="47"/>
      <c r="E1087" s="47"/>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3"/>
      <c r="AZ1087" s="43"/>
      <c r="BA1087" s="43"/>
      <c r="BB1087" s="43"/>
      <c r="BC1087" s="43"/>
      <c r="BD1087" s="43"/>
      <c r="BE1087" s="43"/>
      <c r="BF1087" s="43"/>
      <c r="BG1087" s="43"/>
      <c r="BH1087" s="43"/>
      <c r="BI1087" s="43"/>
      <c r="BJ1087" s="43"/>
      <c r="BK1087" s="43"/>
      <c r="BL1087" s="43"/>
      <c r="BM1087" s="43"/>
      <c r="BN1087" s="43"/>
    </row>
    <row r="1088">
      <c r="A1088" s="47"/>
      <c r="B1088" s="47"/>
      <c r="C1088" s="47"/>
      <c r="D1088" s="47"/>
      <c r="E1088" s="47"/>
      <c r="F1088" s="43"/>
      <c r="G1088" s="43"/>
      <c r="H1088" s="43"/>
      <c r="I1088" s="43"/>
      <c r="J1088" s="43"/>
      <c r="K1088" s="43"/>
      <c r="L1088" s="43"/>
      <c r="M1088" s="43"/>
      <c r="N1088" s="43"/>
      <c r="O1088" s="43"/>
      <c r="P1088" s="43"/>
      <c r="Q1088" s="43"/>
      <c r="R1088" s="43"/>
      <c r="S1088" s="43"/>
      <c r="T1088" s="43"/>
      <c r="U1088" s="43"/>
      <c r="V1088" s="43"/>
      <c r="W1088" s="43"/>
      <c r="X1088" s="43"/>
      <c r="Y1088" s="43"/>
      <c r="Z1088" s="43"/>
      <c r="AA1088" s="43"/>
      <c r="AB1088" s="43"/>
      <c r="AC1088" s="43"/>
      <c r="AD1088" s="43"/>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3"/>
      <c r="AZ1088" s="43"/>
      <c r="BA1088" s="43"/>
      <c r="BB1088" s="43"/>
      <c r="BC1088" s="43"/>
      <c r="BD1088" s="43"/>
      <c r="BE1088" s="43"/>
      <c r="BF1088" s="43"/>
      <c r="BG1088" s="43"/>
      <c r="BH1088" s="43"/>
      <c r="BI1088" s="43"/>
      <c r="BJ1088" s="43"/>
      <c r="BK1088" s="43"/>
      <c r="BL1088" s="43"/>
      <c r="BM1088" s="43"/>
      <c r="BN1088" s="43"/>
    </row>
    <row r="1089">
      <c r="A1089" s="47"/>
      <c r="B1089" s="47"/>
      <c r="C1089" s="47"/>
      <c r="D1089" s="47"/>
      <c r="E1089" s="47"/>
      <c r="F1089" s="43"/>
      <c r="G1089" s="43"/>
      <c r="H1089" s="43"/>
      <c r="I1089" s="43"/>
      <c r="J1089" s="43"/>
      <c r="K1089" s="43"/>
      <c r="L1089" s="43"/>
      <c r="M1089" s="43"/>
      <c r="N1089" s="43"/>
      <c r="O1089" s="43"/>
      <c r="P1089" s="43"/>
      <c r="Q1089" s="43"/>
      <c r="R1089" s="43"/>
      <c r="S1089" s="43"/>
      <c r="T1089" s="43"/>
      <c r="U1089" s="43"/>
      <c r="V1089" s="43"/>
      <c r="W1089" s="43"/>
      <c r="X1089" s="43"/>
      <c r="Y1089" s="43"/>
      <c r="Z1089" s="43"/>
      <c r="AA1089" s="43"/>
      <c r="AB1089" s="43"/>
      <c r="AC1089" s="43"/>
      <c r="AD1089" s="43"/>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3"/>
      <c r="AZ1089" s="43"/>
      <c r="BA1089" s="43"/>
      <c r="BB1089" s="43"/>
      <c r="BC1089" s="43"/>
      <c r="BD1089" s="43"/>
      <c r="BE1089" s="43"/>
      <c r="BF1089" s="43"/>
      <c r="BG1089" s="43"/>
      <c r="BH1089" s="43"/>
      <c r="BI1089" s="43"/>
      <c r="BJ1089" s="43"/>
      <c r="BK1089" s="43"/>
      <c r="BL1089" s="43"/>
      <c r="BM1089" s="43"/>
      <c r="BN1089" s="43"/>
    </row>
    <row r="1090">
      <c r="A1090" s="47"/>
      <c r="B1090" s="47"/>
      <c r="C1090" s="47"/>
      <c r="D1090" s="47"/>
      <c r="E1090" s="47"/>
      <c r="F1090" s="43"/>
      <c r="G1090" s="43"/>
      <c r="H1090" s="43"/>
      <c r="I1090" s="43"/>
      <c r="J1090" s="43"/>
      <c r="K1090" s="43"/>
      <c r="L1090" s="43"/>
      <c r="M1090" s="43"/>
      <c r="N1090" s="43"/>
      <c r="O1090" s="43"/>
      <c r="P1090" s="43"/>
      <c r="Q1090" s="43"/>
      <c r="R1090" s="43"/>
      <c r="S1090" s="43"/>
      <c r="T1090" s="43"/>
      <c r="U1090" s="43"/>
      <c r="V1090" s="43"/>
      <c r="W1090" s="43"/>
      <c r="X1090" s="43"/>
      <c r="Y1090" s="43"/>
      <c r="Z1090" s="43"/>
      <c r="AA1090" s="43"/>
      <c r="AB1090" s="43"/>
      <c r="AC1090" s="43"/>
      <c r="AD1090" s="43"/>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3"/>
      <c r="AZ1090" s="43"/>
      <c r="BA1090" s="43"/>
      <c r="BB1090" s="43"/>
      <c r="BC1090" s="43"/>
      <c r="BD1090" s="43"/>
      <c r="BE1090" s="43"/>
      <c r="BF1090" s="43"/>
      <c r="BG1090" s="43"/>
      <c r="BH1090" s="43"/>
      <c r="BI1090" s="43"/>
      <c r="BJ1090" s="43"/>
      <c r="BK1090" s="43"/>
      <c r="BL1090" s="43"/>
      <c r="BM1090" s="43"/>
      <c r="BN1090" s="43"/>
    </row>
    <row r="1091">
      <c r="A1091" s="47"/>
      <c r="B1091" s="47"/>
      <c r="C1091" s="47"/>
      <c r="D1091" s="47"/>
      <c r="E1091" s="47"/>
      <c r="F1091" s="43"/>
      <c r="G1091" s="43"/>
      <c r="H1091" s="43"/>
      <c r="I1091" s="43"/>
      <c r="J1091" s="43"/>
      <c r="K1091" s="43"/>
      <c r="L1091" s="43"/>
      <c r="M1091" s="43"/>
      <c r="N1091" s="43"/>
      <c r="O1091" s="43"/>
      <c r="P1091" s="43"/>
      <c r="Q1091" s="43"/>
      <c r="R1091" s="43"/>
      <c r="S1091" s="43"/>
      <c r="T1091" s="43"/>
      <c r="U1091" s="43"/>
      <c r="V1091" s="43"/>
      <c r="W1091" s="43"/>
      <c r="X1091" s="43"/>
      <c r="Y1091" s="43"/>
      <c r="Z1091" s="43"/>
      <c r="AA1091" s="43"/>
      <c r="AB1091" s="43"/>
      <c r="AC1091" s="43"/>
      <c r="AD1091" s="43"/>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3"/>
      <c r="AZ1091" s="43"/>
      <c r="BA1091" s="43"/>
      <c r="BB1091" s="43"/>
      <c r="BC1091" s="43"/>
      <c r="BD1091" s="43"/>
      <c r="BE1091" s="43"/>
      <c r="BF1091" s="43"/>
      <c r="BG1091" s="43"/>
      <c r="BH1091" s="43"/>
      <c r="BI1091" s="43"/>
      <c r="BJ1091" s="43"/>
      <c r="BK1091" s="43"/>
      <c r="BL1091" s="43"/>
      <c r="BM1091" s="43"/>
      <c r="BN1091" s="43"/>
    </row>
    <row r="1092">
      <c r="A1092" s="47"/>
      <c r="B1092" s="47"/>
      <c r="C1092" s="47"/>
      <c r="D1092" s="47"/>
      <c r="E1092" s="47"/>
      <c r="F1092" s="43"/>
      <c r="G1092" s="43"/>
      <c r="H1092" s="43"/>
      <c r="I1092" s="43"/>
      <c r="J1092" s="43"/>
      <c r="K1092" s="43"/>
      <c r="L1092" s="43"/>
      <c r="M1092" s="43"/>
      <c r="N1092" s="43"/>
      <c r="O1092" s="43"/>
      <c r="P1092" s="43"/>
      <c r="Q1092" s="43"/>
      <c r="R1092" s="43"/>
      <c r="S1092" s="43"/>
      <c r="T1092" s="43"/>
      <c r="U1092" s="43"/>
      <c r="V1092" s="43"/>
      <c r="W1092" s="43"/>
      <c r="X1092" s="43"/>
      <c r="Y1092" s="43"/>
      <c r="Z1092" s="43"/>
      <c r="AA1092" s="43"/>
      <c r="AB1092" s="43"/>
      <c r="AC1092" s="43"/>
      <c r="AD1092" s="43"/>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3"/>
      <c r="AZ1092" s="43"/>
      <c r="BA1092" s="43"/>
      <c r="BB1092" s="43"/>
      <c r="BC1092" s="43"/>
      <c r="BD1092" s="43"/>
      <c r="BE1092" s="43"/>
      <c r="BF1092" s="43"/>
      <c r="BG1092" s="43"/>
      <c r="BH1092" s="43"/>
      <c r="BI1092" s="43"/>
      <c r="BJ1092" s="43"/>
      <c r="BK1092" s="43"/>
      <c r="BL1092" s="43"/>
      <c r="BM1092" s="43"/>
      <c r="BN1092" s="43"/>
    </row>
    <row r="1093">
      <c r="A1093" s="47"/>
      <c r="B1093" s="47"/>
      <c r="C1093" s="47"/>
      <c r="D1093" s="47"/>
      <c r="E1093" s="47"/>
      <c r="F1093" s="43"/>
      <c r="G1093" s="43"/>
      <c r="H1093" s="43"/>
      <c r="I1093" s="43"/>
      <c r="J1093" s="43"/>
      <c r="K1093" s="43"/>
      <c r="L1093" s="43"/>
      <c r="M1093" s="43"/>
      <c r="N1093" s="43"/>
      <c r="O1093" s="43"/>
      <c r="P1093" s="43"/>
      <c r="Q1093" s="43"/>
      <c r="R1093" s="43"/>
      <c r="S1093" s="43"/>
      <c r="T1093" s="43"/>
      <c r="U1093" s="43"/>
      <c r="V1093" s="43"/>
      <c r="W1093" s="43"/>
      <c r="X1093" s="43"/>
      <c r="Y1093" s="43"/>
      <c r="Z1093" s="43"/>
      <c r="AA1093" s="43"/>
      <c r="AB1093" s="43"/>
      <c r="AC1093" s="43"/>
      <c r="AD1093" s="43"/>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3"/>
      <c r="AZ1093" s="43"/>
      <c r="BA1093" s="43"/>
      <c r="BB1093" s="43"/>
      <c r="BC1093" s="43"/>
      <c r="BD1093" s="43"/>
      <c r="BE1093" s="43"/>
      <c r="BF1093" s="43"/>
      <c r="BG1093" s="43"/>
      <c r="BH1093" s="43"/>
      <c r="BI1093" s="43"/>
      <c r="BJ1093" s="43"/>
      <c r="BK1093" s="43"/>
      <c r="BL1093" s="43"/>
      <c r="BM1093" s="43"/>
      <c r="BN1093" s="43"/>
    </row>
    <row r="1094">
      <c r="A1094" s="47"/>
      <c r="B1094" s="47"/>
      <c r="C1094" s="47"/>
      <c r="D1094" s="47"/>
      <c r="E1094" s="47"/>
      <c r="F1094" s="43"/>
      <c r="G1094" s="43"/>
      <c r="H1094" s="43"/>
      <c r="I1094" s="43"/>
      <c r="J1094" s="43"/>
      <c r="K1094" s="43"/>
      <c r="L1094" s="43"/>
      <c r="M1094" s="43"/>
      <c r="N1094" s="43"/>
      <c r="O1094" s="43"/>
      <c r="P1094" s="43"/>
      <c r="Q1094" s="43"/>
      <c r="R1094" s="43"/>
      <c r="S1094" s="43"/>
      <c r="T1094" s="43"/>
      <c r="U1094" s="43"/>
      <c r="V1094" s="43"/>
      <c r="W1094" s="43"/>
      <c r="X1094" s="43"/>
      <c r="Y1094" s="43"/>
      <c r="Z1094" s="43"/>
      <c r="AA1094" s="43"/>
      <c r="AB1094" s="43"/>
      <c r="AC1094" s="43"/>
      <c r="AD1094" s="43"/>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3"/>
      <c r="AZ1094" s="43"/>
      <c r="BA1094" s="43"/>
      <c r="BB1094" s="43"/>
      <c r="BC1094" s="43"/>
      <c r="BD1094" s="43"/>
      <c r="BE1094" s="43"/>
      <c r="BF1094" s="43"/>
      <c r="BG1094" s="43"/>
      <c r="BH1094" s="43"/>
      <c r="BI1094" s="43"/>
      <c r="BJ1094" s="43"/>
      <c r="BK1094" s="43"/>
      <c r="BL1094" s="43"/>
      <c r="BM1094" s="43"/>
      <c r="BN1094" s="43"/>
    </row>
    <row r="1095">
      <c r="A1095" s="47"/>
      <c r="B1095" s="47"/>
      <c r="C1095" s="47"/>
      <c r="D1095" s="47"/>
      <c r="E1095" s="47"/>
      <c r="F1095" s="43"/>
      <c r="G1095" s="43"/>
      <c r="H1095" s="43"/>
      <c r="I1095" s="43"/>
      <c r="J1095" s="43"/>
      <c r="K1095" s="43"/>
      <c r="L1095" s="43"/>
      <c r="M1095" s="43"/>
      <c r="N1095" s="43"/>
      <c r="O1095" s="43"/>
      <c r="P1095" s="43"/>
      <c r="Q1095" s="43"/>
      <c r="R1095" s="43"/>
      <c r="S1095" s="43"/>
      <c r="T1095" s="43"/>
      <c r="U1095" s="43"/>
      <c r="V1095" s="43"/>
      <c r="W1095" s="43"/>
      <c r="X1095" s="43"/>
      <c r="Y1095" s="43"/>
      <c r="Z1095" s="43"/>
      <c r="AA1095" s="43"/>
      <c r="AB1095" s="43"/>
      <c r="AC1095" s="43"/>
      <c r="AD1095" s="43"/>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3"/>
      <c r="AZ1095" s="43"/>
      <c r="BA1095" s="43"/>
      <c r="BB1095" s="43"/>
      <c r="BC1095" s="43"/>
      <c r="BD1095" s="43"/>
      <c r="BE1095" s="43"/>
      <c r="BF1095" s="43"/>
      <c r="BG1095" s="43"/>
      <c r="BH1095" s="43"/>
      <c r="BI1095" s="43"/>
      <c r="BJ1095" s="43"/>
      <c r="BK1095" s="43"/>
      <c r="BL1095" s="43"/>
      <c r="BM1095" s="43"/>
      <c r="BN1095" s="43"/>
    </row>
    <row r="1096">
      <c r="A1096" s="47"/>
      <c r="B1096" s="47"/>
      <c r="C1096" s="47"/>
      <c r="D1096" s="47"/>
      <c r="E1096" s="47"/>
      <c r="F1096" s="43"/>
      <c r="G1096" s="43"/>
      <c r="H1096" s="43"/>
      <c r="I1096" s="43"/>
      <c r="J1096" s="43"/>
      <c r="K1096" s="43"/>
      <c r="L1096" s="43"/>
      <c r="M1096" s="43"/>
      <c r="N1096" s="43"/>
      <c r="O1096" s="43"/>
      <c r="P1096" s="43"/>
      <c r="Q1096" s="43"/>
      <c r="R1096" s="43"/>
      <c r="S1096" s="43"/>
      <c r="T1096" s="43"/>
      <c r="U1096" s="43"/>
      <c r="V1096" s="43"/>
      <c r="W1096" s="43"/>
      <c r="X1096" s="43"/>
      <c r="Y1096" s="43"/>
      <c r="Z1096" s="43"/>
      <c r="AA1096" s="43"/>
      <c r="AB1096" s="43"/>
      <c r="AC1096" s="43"/>
      <c r="AD1096" s="43"/>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3"/>
      <c r="AZ1096" s="43"/>
      <c r="BA1096" s="43"/>
      <c r="BB1096" s="43"/>
      <c r="BC1096" s="43"/>
      <c r="BD1096" s="43"/>
      <c r="BE1096" s="43"/>
      <c r="BF1096" s="43"/>
      <c r="BG1096" s="43"/>
      <c r="BH1096" s="43"/>
      <c r="BI1096" s="43"/>
      <c r="BJ1096" s="43"/>
      <c r="BK1096" s="43"/>
      <c r="BL1096" s="43"/>
      <c r="BM1096" s="43"/>
      <c r="BN1096" s="43"/>
    </row>
    <row r="1097">
      <c r="A1097" s="47"/>
      <c r="B1097" s="47"/>
      <c r="C1097" s="47"/>
      <c r="D1097" s="47"/>
      <c r="E1097" s="47"/>
      <c r="F1097" s="43"/>
      <c r="G1097" s="43"/>
      <c r="H1097" s="43"/>
      <c r="I1097" s="43"/>
      <c r="J1097" s="43"/>
      <c r="K1097" s="43"/>
      <c r="L1097" s="43"/>
      <c r="M1097" s="43"/>
      <c r="N1097" s="43"/>
      <c r="O1097" s="43"/>
      <c r="P1097" s="43"/>
      <c r="Q1097" s="43"/>
      <c r="R1097" s="43"/>
      <c r="S1097" s="43"/>
      <c r="T1097" s="43"/>
      <c r="U1097" s="43"/>
      <c r="V1097" s="43"/>
      <c r="W1097" s="43"/>
      <c r="X1097" s="43"/>
      <c r="Y1097" s="43"/>
      <c r="Z1097" s="43"/>
      <c r="AA1097" s="43"/>
      <c r="AB1097" s="43"/>
      <c r="AC1097" s="43"/>
      <c r="AD1097" s="43"/>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3"/>
      <c r="AZ1097" s="43"/>
      <c r="BA1097" s="43"/>
      <c r="BB1097" s="43"/>
      <c r="BC1097" s="43"/>
      <c r="BD1097" s="43"/>
      <c r="BE1097" s="43"/>
      <c r="BF1097" s="43"/>
      <c r="BG1097" s="43"/>
      <c r="BH1097" s="43"/>
      <c r="BI1097" s="43"/>
      <c r="BJ1097" s="43"/>
      <c r="BK1097" s="43"/>
      <c r="BL1097" s="43"/>
      <c r="BM1097" s="43"/>
      <c r="BN1097" s="43"/>
    </row>
    <row r="1098">
      <c r="A1098" s="47"/>
      <c r="B1098" s="47"/>
      <c r="C1098" s="47"/>
      <c r="D1098" s="47"/>
      <c r="E1098" s="47"/>
      <c r="F1098" s="43"/>
      <c r="G1098" s="43"/>
      <c r="H1098" s="43"/>
      <c r="I1098" s="43"/>
      <c r="J1098" s="43"/>
      <c r="K1098" s="43"/>
      <c r="L1098" s="43"/>
      <c r="M1098" s="43"/>
      <c r="N1098" s="43"/>
      <c r="O1098" s="43"/>
      <c r="P1098" s="43"/>
      <c r="Q1098" s="43"/>
      <c r="R1098" s="43"/>
      <c r="S1098" s="43"/>
      <c r="T1098" s="43"/>
      <c r="U1098" s="43"/>
      <c r="V1098" s="43"/>
      <c r="W1098" s="43"/>
      <c r="X1098" s="43"/>
      <c r="Y1098" s="43"/>
      <c r="Z1098" s="43"/>
      <c r="AA1098" s="43"/>
      <c r="AB1098" s="43"/>
      <c r="AC1098" s="43"/>
      <c r="AD1098" s="43"/>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3"/>
      <c r="AZ1098" s="43"/>
      <c r="BA1098" s="43"/>
      <c r="BB1098" s="43"/>
      <c r="BC1098" s="43"/>
      <c r="BD1098" s="43"/>
      <c r="BE1098" s="43"/>
      <c r="BF1098" s="43"/>
      <c r="BG1098" s="43"/>
      <c r="BH1098" s="43"/>
      <c r="BI1098" s="43"/>
      <c r="BJ1098" s="43"/>
      <c r="BK1098" s="43"/>
      <c r="BL1098" s="43"/>
      <c r="BM1098" s="43"/>
      <c r="BN1098" s="43"/>
    </row>
    <row r="1099">
      <c r="A1099" s="47"/>
      <c r="B1099" s="47"/>
      <c r="C1099" s="47"/>
      <c r="D1099" s="47"/>
      <c r="E1099" s="47"/>
      <c r="F1099" s="43"/>
      <c r="G1099" s="43"/>
      <c r="H1099" s="43"/>
      <c r="I1099" s="43"/>
      <c r="J1099" s="43"/>
      <c r="K1099" s="43"/>
      <c r="L1099" s="43"/>
      <c r="M1099" s="43"/>
      <c r="N1099" s="43"/>
      <c r="O1099" s="43"/>
      <c r="P1099" s="43"/>
      <c r="Q1099" s="43"/>
      <c r="R1099" s="43"/>
      <c r="S1099" s="43"/>
      <c r="T1099" s="43"/>
      <c r="U1099" s="43"/>
      <c r="V1099" s="43"/>
      <c r="W1099" s="43"/>
      <c r="X1099" s="43"/>
      <c r="Y1099" s="43"/>
      <c r="Z1099" s="43"/>
      <c r="AA1099" s="43"/>
      <c r="AB1099" s="43"/>
      <c r="AC1099" s="43"/>
      <c r="AD1099" s="43"/>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3"/>
      <c r="AZ1099" s="43"/>
      <c r="BA1099" s="43"/>
      <c r="BB1099" s="43"/>
      <c r="BC1099" s="43"/>
      <c r="BD1099" s="43"/>
      <c r="BE1099" s="43"/>
      <c r="BF1099" s="43"/>
      <c r="BG1099" s="43"/>
      <c r="BH1099" s="43"/>
      <c r="BI1099" s="43"/>
      <c r="BJ1099" s="43"/>
      <c r="BK1099" s="43"/>
      <c r="BL1099" s="43"/>
      <c r="BM1099" s="43"/>
      <c r="BN1099" s="43"/>
    </row>
    <row r="1100">
      <c r="A1100" s="47"/>
      <c r="B1100" s="47"/>
      <c r="C1100" s="47"/>
      <c r="D1100" s="47"/>
      <c r="E1100" s="47"/>
      <c r="F1100" s="43"/>
      <c r="G1100" s="43"/>
      <c r="H1100" s="43"/>
      <c r="I1100" s="43"/>
      <c r="J1100" s="43"/>
      <c r="K1100" s="43"/>
      <c r="L1100" s="43"/>
      <c r="M1100" s="43"/>
      <c r="N1100" s="43"/>
      <c r="O1100" s="43"/>
      <c r="P1100" s="43"/>
      <c r="Q1100" s="43"/>
      <c r="R1100" s="43"/>
      <c r="S1100" s="43"/>
      <c r="T1100" s="43"/>
      <c r="U1100" s="43"/>
      <c r="V1100" s="43"/>
      <c r="W1100" s="43"/>
      <c r="X1100" s="43"/>
      <c r="Y1100" s="43"/>
      <c r="Z1100" s="43"/>
      <c r="AA1100" s="43"/>
      <c r="AB1100" s="43"/>
      <c r="AC1100" s="43"/>
      <c r="AD1100" s="43"/>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3"/>
      <c r="AZ1100" s="43"/>
      <c r="BA1100" s="43"/>
      <c r="BB1100" s="43"/>
      <c r="BC1100" s="43"/>
      <c r="BD1100" s="43"/>
      <c r="BE1100" s="43"/>
      <c r="BF1100" s="43"/>
      <c r="BG1100" s="43"/>
      <c r="BH1100" s="43"/>
      <c r="BI1100" s="43"/>
      <c r="BJ1100" s="43"/>
      <c r="BK1100" s="43"/>
      <c r="BL1100" s="43"/>
      <c r="BM1100" s="43"/>
      <c r="BN1100" s="43"/>
    </row>
    <row r="1101">
      <c r="A1101" s="47"/>
      <c r="B1101" s="47"/>
      <c r="C1101" s="47"/>
      <c r="D1101" s="47"/>
      <c r="E1101" s="47"/>
      <c r="F1101" s="43"/>
      <c r="G1101" s="43"/>
      <c r="H1101" s="43"/>
      <c r="I1101" s="43"/>
      <c r="J1101" s="43"/>
      <c r="K1101" s="43"/>
      <c r="L1101" s="43"/>
      <c r="M1101" s="43"/>
      <c r="N1101" s="43"/>
      <c r="O1101" s="43"/>
      <c r="P1101" s="43"/>
      <c r="Q1101" s="43"/>
      <c r="R1101" s="43"/>
      <c r="S1101" s="43"/>
      <c r="T1101" s="43"/>
      <c r="U1101" s="43"/>
      <c r="V1101" s="43"/>
      <c r="W1101" s="43"/>
      <c r="X1101" s="43"/>
      <c r="Y1101" s="43"/>
      <c r="Z1101" s="43"/>
      <c r="AA1101" s="43"/>
      <c r="AB1101" s="43"/>
      <c r="AC1101" s="43"/>
      <c r="AD1101" s="43"/>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3"/>
      <c r="AZ1101" s="43"/>
      <c r="BA1101" s="43"/>
      <c r="BB1101" s="43"/>
      <c r="BC1101" s="43"/>
      <c r="BD1101" s="43"/>
      <c r="BE1101" s="43"/>
      <c r="BF1101" s="43"/>
      <c r="BG1101" s="43"/>
      <c r="BH1101" s="43"/>
      <c r="BI1101" s="43"/>
      <c r="BJ1101" s="43"/>
      <c r="BK1101" s="43"/>
      <c r="BL1101" s="43"/>
      <c r="BM1101" s="43"/>
      <c r="BN1101" s="43"/>
    </row>
    <row r="1102">
      <c r="A1102" s="47"/>
      <c r="B1102" s="47"/>
      <c r="C1102" s="47"/>
      <c r="D1102" s="47"/>
      <c r="E1102" s="47"/>
      <c r="F1102" s="43"/>
      <c r="G1102" s="43"/>
      <c r="H1102" s="43"/>
      <c r="I1102" s="43"/>
      <c r="J1102" s="43"/>
      <c r="K1102" s="43"/>
      <c r="L1102" s="43"/>
      <c r="M1102" s="43"/>
      <c r="N1102" s="43"/>
      <c r="O1102" s="43"/>
      <c r="P1102" s="43"/>
      <c r="Q1102" s="43"/>
      <c r="R1102" s="43"/>
      <c r="S1102" s="43"/>
      <c r="T1102" s="43"/>
      <c r="U1102" s="43"/>
      <c r="V1102" s="43"/>
      <c r="W1102" s="43"/>
      <c r="X1102" s="43"/>
      <c r="Y1102" s="43"/>
      <c r="Z1102" s="43"/>
      <c r="AA1102" s="43"/>
      <c r="AB1102" s="43"/>
      <c r="AC1102" s="43"/>
      <c r="AD1102" s="43"/>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3"/>
      <c r="AZ1102" s="43"/>
      <c r="BA1102" s="43"/>
      <c r="BB1102" s="43"/>
      <c r="BC1102" s="43"/>
      <c r="BD1102" s="43"/>
      <c r="BE1102" s="43"/>
      <c r="BF1102" s="43"/>
      <c r="BG1102" s="43"/>
      <c r="BH1102" s="43"/>
      <c r="BI1102" s="43"/>
      <c r="BJ1102" s="43"/>
      <c r="BK1102" s="43"/>
      <c r="BL1102" s="43"/>
      <c r="BM1102" s="43"/>
      <c r="BN1102" s="43"/>
    </row>
    <row r="1103">
      <c r="A1103" s="47"/>
      <c r="B1103" s="47"/>
      <c r="C1103" s="47"/>
      <c r="D1103" s="47"/>
      <c r="E1103" s="47"/>
      <c r="F1103" s="43"/>
      <c r="G1103" s="43"/>
      <c r="H1103" s="43"/>
      <c r="I1103" s="43"/>
      <c r="J1103" s="43"/>
      <c r="K1103" s="43"/>
      <c r="L1103" s="43"/>
      <c r="M1103" s="43"/>
      <c r="N1103" s="43"/>
      <c r="O1103" s="43"/>
      <c r="P1103" s="43"/>
      <c r="Q1103" s="43"/>
      <c r="R1103" s="43"/>
      <c r="S1103" s="43"/>
      <c r="T1103" s="43"/>
      <c r="U1103" s="43"/>
      <c r="V1103" s="43"/>
      <c r="W1103" s="43"/>
      <c r="X1103" s="43"/>
      <c r="Y1103" s="43"/>
      <c r="Z1103" s="43"/>
      <c r="AA1103" s="43"/>
      <c r="AB1103" s="43"/>
      <c r="AC1103" s="43"/>
      <c r="AD1103" s="43"/>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3"/>
      <c r="AZ1103" s="43"/>
      <c r="BA1103" s="43"/>
      <c r="BB1103" s="43"/>
      <c r="BC1103" s="43"/>
      <c r="BD1103" s="43"/>
      <c r="BE1103" s="43"/>
      <c r="BF1103" s="43"/>
      <c r="BG1103" s="43"/>
      <c r="BH1103" s="43"/>
      <c r="BI1103" s="43"/>
      <c r="BJ1103" s="43"/>
      <c r="BK1103" s="43"/>
      <c r="BL1103" s="43"/>
      <c r="BM1103" s="43"/>
      <c r="BN1103" s="43"/>
    </row>
    <row r="1104">
      <c r="A1104" s="47"/>
      <c r="B1104" s="47"/>
      <c r="C1104" s="47"/>
      <c r="D1104" s="47"/>
      <c r="E1104" s="47"/>
      <c r="F1104" s="43"/>
      <c r="G1104" s="43"/>
      <c r="H1104" s="43"/>
      <c r="I1104" s="43"/>
      <c r="J1104" s="43"/>
      <c r="K1104" s="43"/>
      <c r="L1104" s="43"/>
      <c r="M1104" s="43"/>
      <c r="N1104" s="43"/>
      <c r="O1104" s="43"/>
      <c r="P1104" s="43"/>
      <c r="Q1104" s="43"/>
      <c r="R1104" s="43"/>
      <c r="S1104" s="43"/>
      <c r="T1104" s="43"/>
      <c r="U1104" s="43"/>
      <c r="V1104" s="43"/>
      <c r="W1104" s="43"/>
      <c r="X1104" s="43"/>
      <c r="Y1104" s="43"/>
      <c r="Z1104" s="43"/>
      <c r="AA1104" s="43"/>
      <c r="AB1104" s="43"/>
      <c r="AC1104" s="43"/>
      <c r="AD1104" s="43"/>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3"/>
      <c r="AZ1104" s="43"/>
      <c r="BA1104" s="43"/>
      <c r="BB1104" s="43"/>
      <c r="BC1104" s="43"/>
      <c r="BD1104" s="43"/>
      <c r="BE1104" s="43"/>
      <c r="BF1104" s="43"/>
      <c r="BG1104" s="43"/>
      <c r="BH1104" s="43"/>
      <c r="BI1104" s="43"/>
      <c r="BJ1104" s="43"/>
      <c r="BK1104" s="43"/>
      <c r="BL1104" s="43"/>
      <c r="BM1104" s="43"/>
      <c r="BN1104" s="43"/>
    </row>
    <row r="1105">
      <c r="A1105" s="47"/>
      <c r="B1105" s="47"/>
      <c r="C1105" s="47"/>
      <c r="D1105" s="47"/>
      <c r="E1105" s="47"/>
      <c r="F1105" s="43"/>
      <c r="G1105" s="43"/>
      <c r="H1105" s="43"/>
      <c r="I1105" s="43"/>
      <c r="J1105" s="43"/>
      <c r="K1105" s="43"/>
      <c r="L1105" s="43"/>
      <c r="M1105" s="43"/>
      <c r="N1105" s="43"/>
      <c r="O1105" s="43"/>
      <c r="P1105" s="43"/>
      <c r="Q1105" s="43"/>
      <c r="R1105" s="43"/>
      <c r="S1105" s="43"/>
      <c r="T1105" s="43"/>
      <c r="U1105" s="43"/>
      <c r="V1105" s="43"/>
      <c r="W1105" s="43"/>
      <c r="X1105" s="43"/>
      <c r="Y1105" s="43"/>
      <c r="Z1105" s="43"/>
      <c r="AA1105" s="43"/>
      <c r="AB1105" s="43"/>
      <c r="AC1105" s="43"/>
      <c r="AD1105" s="43"/>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3"/>
      <c r="AZ1105" s="43"/>
      <c r="BA1105" s="43"/>
      <c r="BB1105" s="43"/>
      <c r="BC1105" s="43"/>
      <c r="BD1105" s="43"/>
      <c r="BE1105" s="43"/>
      <c r="BF1105" s="43"/>
      <c r="BG1105" s="43"/>
      <c r="BH1105" s="43"/>
      <c r="BI1105" s="43"/>
      <c r="BJ1105" s="43"/>
      <c r="BK1105" s="43"/>
      <c r="BL1105" s="43"/>
      <c r="BM1105" s="43"/>
      <c r="BN1105" s="43"/>
    </row>
    <row r="1106">
      <c r="A1106" s="47"/>
      <c r="B1106" s="47"/>
      <c r="C1106" s="47"/>
      <c r="D1106" s="47"/>
      <c r="E1106" s="47"/>
      <c r="F1106" s="43"/>
      <c r="G1106" s="43"/>
      <c r="H1106" s="43"/>
      <c r="I1106" s="43"/>
      <c r="J1106" s="43"/>
      <c r="K1106" s="43"/>
      <c r="L1106" s="43"/>
      <c r="M1106" s="43"/>
      <c r="N1106" s="43"/>
      <c r="O1106" s="43"/>
      <c r="P1106" s="43"/>
      <c r="Q1106" s="43"/>
      <c r="R1106" s="43"/>
      <c r="S1106" s="43"/>
      <c r="T1106" s="43"/>
      <c r="U1106" s="43"/>
      <c r="V1106" s="43"/>
      <c r="W1106" s="43"/>
      <c r="X1106" s="43"/>
      <c r="Y1106" s="43"/>
      <c r="Z1106" s="43"/>
      <c r="AA1106" s="43"/>
      <c r="AB1106" s="43"/>
      <c r="AC1106" s="43"/>
      <c r="AD1106" s="43"/>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3"/>
      <c r="AZ1106" s="43"/>
      <c r="BA1106" s="43"/>
      <c r="BB1106" s="43"/>
      <c r="BC1106" s="43"/>
      <c r="BD1106" s="43"/>
      <c r="BE1106" s="43"/>
      <c r="BF1106" s="43"/>
      <c r="BG1106" s="43"/>
      <c r="BH1106" s="43"/>
      <c r="BI1106" s="43"/>
      <c r="BJ1106" s="43"/>
      <c r="BK1106" s="43"/>
      <c r="BL1106" s="43"/>
      <c r="BM1106" s="43"/>
      <c r="BN1106" s="43"/>
    </row>
    <row r="1107">
      <c r="A1107" s="47"/>
      <c r="B1107" s="47"/>
      <c r="C1107" s="47"/>
      <c r="D1107" s="47"/>
      <c r="E1107" s="47"/>
      <c r="F1107" s="43"/>
      <c r="G1107" s="43"/>
      <c r="H1107" s="43"/>
      <c r="I1107" s="43"/>
      <c r="J1107" s="43"/>
      <c r="K1107" s="43"/>
      <c r="L1107" s="43"/>
      <c r="M1107" s="43"/>
      <c r="N1107" s="43"/>
      <c r="O1107" s="43"/>
      <c r="P1107" s="43"/>
      <c r="Q1107" s="43"/>
      <c r="R1107" s="43"/>
      <c r="S1107" s="43"/>
      <c r="T1107" s="43"/>
      <c r="U1107" s="43"/>
      <c r="V1107" s="43"/>
      <c r="W1107" s="43"/>
      <c r="X1107" s="43"/>
      <c r="Y1107" s="43"/>
      <c r="Z1107" s="43"/>
      <c r="AA1107" s="43"/>
      <c r="AB1107" s="43"/>
      <c r="AC1107" s="43"/>
      <c r="AD1107" s="43"/>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3"/>
      <c r="AZ1107" s="43"/>
      <c r="BA1107" s="43"/>
      <c r="BB1107" s="43"/>
      <c r="BC1107" s="43"/>
      <c r="BD1107" s="43"/>
      <c r="BE1107" s="43"/>
      <c r="BF1107" s="43"/>
      <c r="BG1107" s="43"/>
      <c r="BH1107" s="43"/>
      <c r="BI1107" s="43"/>
      <c r="BJ1107" s="43"/>
      <c r="BK1107" s="43"/>
      <c r="BL1107" s="43"/>
      <c r="BM1107" s="43"/>
      <c r="BN1107" s="43"/>
    </row>
    <row r="1108">
      <c r="A1108" s="47"/>
      <c r="B1108" s="47"/>
      <c r="C1108" s="47"/>
      <c r="D1108" s="47"/>
      <c r="E1108" s="47"/>
      <c r="F1108" s="43"/>
      <c r="G1108" s="43"/>
      <c r="H1108" s="43"/>
      <c r="I1108" s="43"/>
      <c r="J1108" s="43"/>
      <c r="K1108" s="43"/>
      <c r="L1108" s="43"/>
      <c r="M1108" s="43"/>
      <c r="N1108" s="43"/>
      <c r="O1108" s="43"/>
      <c r="P1108" s="43"/>
      <c r="Q1108" s="43"/>
      <c r="R1108" s="43"/>
      <c r="S1108" s="43"/>
      <c r="T1108" s="43"/>
      <c r="U1108" s="43"/>
      <c r="V1108" s="43"/>
      <c r="W1108" s="43"/>
      <c r="X1108" s="43"/>
      <c r="Y1108" s="43"/>
      <c r="Z1108" s="43"/>
      <c r="AA1108" s="43"/>
      <c r="AB1108" s="43"/>
      <c r="AC1108" s="43"/>
      <c r="AD1108" s="43"/>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3"/>
      <c r="AZ1108" s="43"/>
      <c r="BA1108" s="43"/>
      <c r="BB1108" s="43"/>
      <c r="BC1108" s="43"/>
      <c r="BD1108" s="43"/>
      <c r="BE1108" s="43"/>
      <c r="BF1108" s="43"/>
      <c r="BG1108" s="43"/>
      <c r="BH1108" s="43"/>
      <c r="BI1108" s="43"/>
      <c r="BJ1108" s="43"/>
      <c r="BK1108" s="43"/>
      <c r="BL1108" s="43"/>
      <c r="BM1108" s="43"/>
      <c r="BN1108" s="43"/>
    </row>
    <row r="1109">
      <c r="A1109" s="47"/>
      <c r="B1109" s="47"/>
      <c r="C1109" s="47"/>
      <c r="D1109" s="47"/>
      <c r="E1109" s="47"/>
      <c r="F1109" s="43"/>
      <c r="G1109" s="43"/>
      <c r="H1109" s="43"/>
      <c r="I1109" s="43"/>
      <c r="J1109" s="43"/>
      <c r="K1109" s="43"/>
      <c r="L1109" s="43"/>
      <c r="M1109" s="43"/>
      <c r="N1109" s="43"/>
      <c r="O1109" s="43"/>
      <c r="P1109" s="43"/>
      <c r="Q1109" s="43"/>
      <c r="R1109" s="43"/>
      <c r="S1109" s="43"/>
      <c r="T1109" s="43"/>
      <c r="U1109" s="43"/>
      <c r="V1109" s="43"/>
      <c r="W1109" s="43"/>
      <c r="X1109" s="43"/>
      <c r="Y1109" s="43"/>
      <c r="Z1109" s="43"/>
      <c r="AA1109" s="43"/>
      <c r="AB1109" s="43"/>
      <c r="AC1109" s="43"/>
      <c r="AD1109" s="43"/>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3"/>
      <c r="AZ1109" s="43"/>
      <c r="BA1109" s="43"/>
      <c r="BB1109" s="43"/>
      <c r="BC1109" s="43"/>
      <c r="BD1109" s="43"/>
      <c r="BE1109" s="43"/>
      <c r="BF1109" s="43"/>
      <c r="BG1109" s="43"/>
      <c r="BH1109" s="43"/>
      <c r="BI1109" s="43"/>
      <c r="BJ1109" s="43"/>
      <c r="BK1109" s="43"/>
      <c r="BL1109" s="43"/>
      <c r="BM1109" s="43"/>
      <c r="BN1109" s="43"/>
    </row>
    <row r="1110">
      <c r="A1110" s="47"/>
      <c r="B1110" s="47"/>
      <c r="C1110" s="47"/>
      <c r="D1110" s="47"/>
      <c r="E1110" s="47"/>
      <c r="F1110" s="43"/>
      <c r="G1110" s="43"/>
      <c r="H1110" s="43"/>
      <c r="I1110" s="43"/>
      <c r="J1110" s="43"/>
      <c r="K1110" s="43"/>
      <c r="L1110" s="43"/>
      <c r="M1110" s="43"/>
      <c r="N1110" s="43"/>
      <c r="O1110" s="43"/>
      <c r="P1110" s="43"/>
      <c r="Q1110" s="43"/>
      <c r="R1110" s="43"/>
      <c r="S1110" s="43"/>
      <c r="T1110" s="43"/>
      <c r="U1110" s="43"/>
      <c r="V1110" s="43"/>
      <c r="W1110" s="43"/>
      <c r="X1110" s="43"/>
      <c r="Y1110" s="43"/>
      <c r="Z1110" s="43"/>
      <c r="AA1110" s="43"/>
      <c r="AB1110" s="43"/>
      <c r="AC1110" s="43"/>
      <c r="AD1110" s="43"/>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3"/>
      <c r="AZ1110" s="43"/>
      <c r="BA1110" s="43"/>
      <c r="BB1110" s="43"/>
      <c r="BC1110" s="43"/>
      <c r="BD1110" s="43"/>
      <c r="BE1110" s="43"/>
      <c r="BF1110" s="43"/>
      <c r="BG1110" s="43"/>
      <c r="BH1110" s="43"/>
      <c r="BI1110" s="43"/>
      <c r="BJ1110" s="43"/>
      <c r="BK1110" s="43"/>
      <c r="BL1110" s="43"/>
      <c r="BM1110" s="43"/>
      <c r="BN1110" s="43"/>
    </row>
    <row r="1111">
      <c r="A1111" s="47"/>
      <c r="B1111" s="47"/>
      <c r="C1111" s="47"/>
      <c r="D1111" s="47"/>
      <c r="E1111" s="47"/>
      <c r="F1111" s="43"/>
      <c r="G1111" s="43"/>
      <c r="H1111" s="43"/>
      <c r="I1111" s="43"/>
      <c r="J1111" s="43"/>
      <c r="K1111" s="43"/>
      <c r="L1111" s="43"/>
      <c r="M1111" s="43"/>
      <c r="N1111" s="43"/>
      <c r="O1111" s="43"/>
      <c r="P1111" s="43"/>
      <c r="Q1111" s="43"/>
      <c r="R1111" s="43"/>
      <c r="S1111" s="43"/>
      <c r="T1111" s="43"/>
      <c r="U1111" s="43"/>
      <c r="V1111" s="43"/>
      <c r="W1111" s="43"/>
      <c r="X1111" s="43"/>
      <c r="Y1111" s="43"/>
      <c r="Z1111" s="43"/>
      <c r="AA1111" s="43"/>
      <c r="AB1111" s="43"/>
      <c r="AC1111" s="43"/>
      <c r="AD1111" s="43"/>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3"/>
      <c r="AZ1111" s="43"/>
      <c r="BA1111" s="43"/>
      <c r="BB1111" s="43"/>
      <c r="BC1111" s="43"/>
      <c r="BD1111" s="43"/>
      <c r="BE1111" s="43"/>
      <c r="BF1111" s="43"/>
      <c r="BG1111" s="43"/>
      <c r="BH1111" s="43"/>
      <c r="BI1111" s="43"/>
      <c r="BJ1111" s="43"/>
      <c r="BK1111" s="43"/>
      <c r="BL1111" s="43"/>
      <c r="BM1111" s="43"/>
      <c r="BN1111" s="43"/>
    </row>
    <row r="1112">
      <c r="A1112" s="47"/>
      <c r="B1112" s="47"/>
      <c r="C1112" s="47"/>
      <c r="D1112" s="47"/>
      <c r="E1112" s="47"/>
      <c r="F1112" s="43"/>
      <c r="G1112" s="43"/>
      <c r="H1112" s="43"/>
      <c r="I1112" s="43"/>
      <c r="J1112" s="43"/>
      <c r="K1112" s="43"/>
      <c r="L1112" s="43"/>
      <c r="M1112" s="43"/>
      <c r="N1112" s="43"/>
      <c r="O1112" s="43"/>
      <c r="P1112" s="43"/>
      <c r="Q1112" s="43"/>
      <c r="R1112" s="43"/>
      <c r="S1112" s="43"/>
      <c r="T1112" s="43"/>
      <c r="U1112" s="43"/>
      <c r="V1112" s="43"/>
      <c r="W1112" s="43"/>
      <c r="X1112" s="43"/>
      <c r="Y1112" s="43"/>
      <c r="Z1112" s="43"/>
      <c r="AA1112" s="43"/>
      <c r="AB1112" s="43"/>
      <c r="AC1112" s="43"/>
      <c r="AD1112" s="43"/>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3"/>
      <c r="AZ1112" s="43"/>
      <c r="BA1112" s="43"/>
      <c r="BB1112" s="43"/>
      <c r="BC1112" s="43"/>
      <c r="BD1112" s="43"/>
      <c r="BE1112" s="43"/>
      <c r="BF1112" s="43"/>
      <c r="BG1112" s="43"/>
      <c r="BH1112" s="43"/>
      <c r="BI1112" s="43"/>
      <c r="BJ1112" s="43"/>
      <c r="BK1112" s="43"/>
      <c r="BL1112" s="43"/>
      <c r="BM1112" s="43"/>
      <c r="BN1112"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91"/>
      <c r="B1" s="191" t="s">
        <v>8</v>
      </c>
      <c r="C1" s="192"/>
      <c r="D1" s="192"/>
      <c r="E1" s="192"/>
      <c r="F1" s="192">
        <v>1.0</v>
      </c>
      <c r="G1" s="192">
        <v>1.0</v>
      </c>
      <c r="H1" s="192">
        <v>1.0</v>
      </c>
      <c r="I1" s="192">
        <v>1.0</v>
      </c>
      <c r="J1" s="192">
        <v>1.0</v>
      </c>
      <c r="K1" s="192">
        <v>1.0</v>
      </c>
      <c r="L1" s="192">
        <v>1.0</v>
      </c>
      <c r="M1" s="192">
        <v>1.0</v>
      </c>
      <c r="N1" s="192">
        <v>1.0</v>
      </c>
      <c r="O1" s="192">
        <v>1.0</v>
      </c>
      <c r="P1" s="192">
        <v>1.0</v>
      </c>
      <c r="Q1" s="192">
        <v>1.0</v>
      </c>
      <c r="R1" s="192">
        <f t="shared" ref="R1:BM1" si="1">F1+1</f>
        <v>2</v>
      </c>
      <c r="S1" s="192">
        <f t="shared" si="1"/>
        <v>2</v>
      </c>
      <c r="T1" s="192">
        <f t="shared" si="1"/>
        <v>2</v>
      </c>
      <c r="U1" s="192">
        <f t="shared" si="1"/>
        <v>2</v>
      </c>
      <c r="V1" s="192">
        <f t="shared" si="1"/>
        <v>2</v>
      </c>
      <c r="W1" s="192">
        <f t="shared" si="1"/>
        <v>2</v>
      </c>
      <c r="X1" s="192">
        <f t="shared" si="1"/>
        <v>2</v>
      </c>
      <c r="Y1" s="192">
        <f t="shared" si="1"/>
        <v>2</v>
      </c>
      <c r="Z1" s="192">
        <f t="shared" si="1"/>
        <v>2</v>
      </c>
      <c r="AA1" s="192">
        <f t="shared" si="1"/>
        <v>2</v>
      </c>
      <c r="AB1" s="192">
        <f t="shared" si="1"/>
        <v>2</v>
      </c>
      <c r="AC1" s="192">
        <f t="shared" si="1"/>
        <v>2</v>
      </c>
      <c r="AD1" s="192">
        <f t="shared" si="1"/>
        <v>3</v>
      </c>
      <c r="AE1" s="192">
        <f t="shared" si="1"/>
        <v>3</v>
      </c>
      <c r="AF1" s="192">
        <f t="shared" si="1"/>
        <v>3</v>
      </c>
      <c r="AG1" s="192">
        <f t="shared" si="1"/>
        <v>3</v>
      </c>
      <c r="AH1" s="192">
        <f t="shared" si="1"/>
        <v>3</v>
      </c>
      <c r="AI1" s="192">
        <f t="shared" si="1"/>
        <v>3</v>
      </c>
      <c r="AJ1" s="192">
        <f t="shared" si="1"/>
        <v>3</v>
      </c>
      <c r="AK1" s="192">
        <f t="shared" si="1"/>
        <v>3</v>
      </c>
      <c r="AL1" s="192">
        <f t="shared" si="1"/>
        <v>3</v>
      </c>
      <c r="AM1" s="192">
        <f t="shared" si="1"/>
        <v>3</v>
      </c>
      <c r="AN1" s="192">
        <f t="shared" si="1"/>
        <v>3</v>
      </c>
      <c r="AO1" s="192">
        <f t="shared" si="1"/>
        <v>3</v>
      </c>
      <c r="AP1" s="192">
        <f t="shared" si="1"/>
        <v>4</v>
      </c>
      <c r="AQ1" s="192">
        <f t="shared" si="1"/>
        <v>4</v>
      </c>
      <c r="AR1" s="192">
        <f t="shared" si="1"/>
        <v>4</v>
      </c>
      <c r="AS1" s="192">
        <f t="shared" si="1"/>
        <v>4</v>
      </c>
      <c r="AT1" s="192">
        <f t="shared" si="1"/>
        <v>4</v>
      </c>
      <c r="AU1" s="192">
        <f t="shared" si="1"/>
        <v>4</v>
      </c>
      <c r="AV1" s="192">
        <f t="shared" si="1"/>
        <v>4</v>
      </c>
      <c r="AW1" s="192">
        <f t="shared" si="1"/>
        <v>4</v>
      </c>
      <c r="AX1" s="192">
        <f t="shared" si="1"/>
        <v>4</v>
      </c>
      <c r="AY1" s="192">
        <f t="shared" si="1"/>
        <v>4</v>
      </c>
      <c r="AZ1" s="192">
        <f t="shared" si="1"/>
        <v>4</v>
      </c>
      <c r="BA1" s="192">
        <f t="shared" si="1"/>
        <v>4</v>
      </c>
      <c r="BB1" s="192">
        <f t="shared" si="1"/>
        <v>5</v>
      </c>
      <c r="BC1" s="192">
        <f t="shared" si="1"/>
        <v>5</v>
      </c>
      <c r="BD1" s="192">
        <f t="shared" si="1"/>
        <v>5</v>
      </c>
      <c r="BE1" s="192">
        <f t="shared" si="1"/>
        <v>5</v>
      </c>
      <c r="BF1" s="192">
        <f t="shared" si="1"/>
        <v>5</v>
      </c>
      <c r="BG1" s="192">
        <f t="shared" si="1"/>
        <v>5</v>
      </c>
      <c r="BH1" s="192">
        <f t="shared" si="1"/>
        <v>5</v>
      </c>
      <c r="BI1" s="192">
        <f t="shared" si="1"/>
        <v>5</v>
      </c>
      <c r="BJ1" s="192">
        <f t="shared" si="1"/>
        <v>5</v>
      </c>
      <c r="BK1" s="192">
        <f t="shared" si="1"/>
        <v>5</v>
      </c>
      <c r="BL1" s="192">
        <f t="shared" si="1"/>
        <v>5</v>
      </c>
      <c r="BM1" s="192">
        <f t="shared" si="1"/>
        <v>5</v>
      </c>
      <c r="BN1" s="192"/>
    </row>
    <row r="2">
      <c r="A2" s="191"/>
      <c r="B2" s="191" t="s">
        <v>9</v>
      </c>
      <c r="C2" s="193"/>
      <c r="D2" s="193"/>
      <c r="E2" s="193"/>
      <c r="F2" s="193">
        <f t="shared" ref="F2:BM2" si="2">YEAR(F4)</f>
        <v>2026</v>
      </c>
      <c r="G2" s="193">
        <f t="shared" si="2"/>
        <v>2026</v>
      </c>
      <c r="H2" s="193">
        <f t="shared" si="2"/>
        <v>2026</v>
      </c>
      <c r="I2" s="193">
        <f t="shared" si="2"/>
        <v>2026</v>
      </c>
      <c r="J2" s="193">
        <f t="shared" si="2"/>
        <v>2026</v>
      </c>
      <c r="K2" s="193">
        <f t="shared" si="2"/>
        <v>2026</v>
      </c>
      <c r="L2" s="193">
        <f t="shared" si="2"/>
        <v>2026</v>
      </c>
      <c r="M2" s="193">
        <f t="shared" si="2"/>
        <v>2026</v>
      </c>
      <c r="N2" s="193">
        <f t="shared" si="2"/>
        <v>2026</v>
      </c>
      <c r="O2" s="193">
        <f t="shared" si="2"/>
        <v>2026</v>
      </c>
      <c r="P2" s="193">
        <f t="shared" si="2"/>
        <v>2026</v>
      </c>
      <c r="Q2" s="193">
        <f t="shared" si="2"/>
        <v>2027</v>
      </c>
      <c r="R2" s="193">
        <f t="shared" si="2"/>
        <v>2027</v>
      </c>
      <c r="S2" s="193">
        <f t="shared" si="2"/>
        <v>2027</v>
      </c>
      <c r="T2" s="193">
        <f t="shared" si="2"/>
        <v>2027</v>
      </c>
      <c r="U2" s="193">
        <f t="shared" si="2"/>
        <v>2027</v>
      </c>
      <c r="V2" s="193">
        <f t="shared" si="2"/>
        <v>2027</v>
      </c>
      <c r="W2" s="193">
        <f t="shared" si="2"/>
        <v>2027</v>
      </c>
      <c r="X2" s="193">
        <f t="shared" si="2"/>
        <v>2027</v>
      </c>
      <c r="Y2" s="193">
        <f t="shared" si="2"/>
        <v>2027</v>
      </c>
      <c r="Z2" s="193">
        <f t="shared" si="2"/>
        <v>2027</v>
      </c>
      <c r="AA2" s="193">
        <f t="shared" si="2"/>
        <v>2027</v>
      </c>
      <c r="AB2" s="193">
        <f t="shared" si="2"/>
        <v>2027</v>
      </c>
      <c r="AC2" s="193">
        <f t="shared" si="2"/>
        <v>2028</v>
      </c>
      <c r="AD2" s="193">
        <f t="shared" si="2"/>
        <v>2028</v>
      </c>
      <c r="AE2" s="193">
        <f t="shared" si="2"/>
        <v>2028</v>
      </c>
      <c r="AF2" s="193">
        <f t="shared" si="2"/>
        <v>2028</v>
      </c>
      <c r="AG2" s="193">
        <f t="shared" si="2"/>
        <v>2028</v>
      </c>
      <c r="AH2" s="193">
        <f t="shared" si="2"/>
        <v>2028</v>
      </c>
      <c r="AI2" s="193">
        <f t="shared" si="2"/>
        <v>2028</v>
      </c>
      <c r="AJ2" s="193">
        <f t="shared" si="2"/>
        <v>2028</v>
      </c>
      <c r="AK2" s="193">
        <f t="shared" si="2"/>
        <v>2028</v>
      </c>
      <c r="AL2" s="193">
        <f t="shared" si="2"/>
        <v>2028</v>
      </c>
      <c r="AM2" s="193">
        <f t="shared" si="2"/>
        <v>2028</v>
      </c>
      <c r="AN2" s="193">
        <f t="shared" si="2"/>
        <v>2028</v>
      </c>
      <c r="AO2" s="193">
        <f t="shared" si="2"/>
        <v>2029</v>
      </c>
      <c r="AP2" s="193">
        <f t="shared" si="2"/>
        <v>2029</v>
      </c>
      <c r="AQ2" s="193">
        <f t="shared" si="2"/>
        <v>2029</v>
      </c>
      <c r="AR2" s="193">
        <f t="shared" si="2"/>
        <v>2029</v>
      </c>
      <c r="AS2" s="193">
        <f t="shared" si="2"/>
        <v>2029</v>
      </c>
      <c r="AT2" s="193">
        <f t="shared" si="2"/>
        <v>2029</v>
      </c>
      <c r="AU2" s="193">
        <f t="shared" si="2"/>
        <v>2029</v>
      </c>
      <c r="AV2" s="193">
        <f t="shared" si="2"/>
        <v>2029</v>
      </c>
      <c r="AW2" s="193">
        <f t="shared" si="2"/>
        <v>2029</v>
      </c>
      <c r="AX2" s="193">
        <f t="shared" si="2"/>
        <v>2029</v>
      </c>
      <c r="AY2" s="193">
        <f t="shared" si="2"/>
        <v>2029</v>
      </c>
      <c r="AZ2" s="193">
        <f t="shared" si="2"/>
        <v>2029</v>
      </c>
      <c r="BA2" s="193">
        <f t="shared" si="2"/>
        <v>2030</v>
      </c>
      <c r="BB2" s="193">
        <f t="shared" si="2"/>
        <v>2030</v>
      </c>
      <c r="BC2" s="193">
        <f t="shared" si="2"/>
        <v>2030</v>
      </c>
      <c r="BD2" s="193">
        <f t="shared" si="2"/>
        <v>2030</v>
      </c>
      <c r="BE2" s="193">
        <f t="shared" si="2"/>
        <v>2030</v>
      </c>
      <c r="BF2" s="193">
        <f t="shared" si="2"/>
        <v>2030</v>
      </c>
      <c r="BG2" s="193">
        <f t="shared" si="2"/>
        <v>2030</v>
      </c>
      <c r="BH2" s="193">
        <f t="shared" si="2"/>
        <v>2030</v>
      </c>
      <c r="BI2" s="193">
        <f t="shared" si="2"/>
        <v>2030</v>
      </c>
      <c r="BJ2" s="193">
        <f t="shared" si="2"/>
        <v>2030</v>
      </c>
      <c r="BK2" s="193">
        <f t="shared" si="2"/>
        <v>2030</v>
      </c>
      <c r="BL2" s="193">
        <f t="shared" si="2"/>
        <v>2030</v>
      </c>
      <c r="BM2" s="193">
        <f t="shared" si="2"/>
        <v>2031</v>
      </c>
      <c r="BN2" s="192"/>
    </row>
    <row r="3">
      <c r="A3" s="191"/>
      <c r="B3" s="191" t="s">
        <v>10</v>
      </c>
      <c r="C3" s="192"/>
      <c r="D3" s="192"/>
      <c r="E3" s="192"/>
      <c r="F3" s="192">
        <v>1.0</v>
      </c>
      <c r="G3" s="193">
        <f t="shared" ref="G3:BM3" si="3">F3+1</f>
        <v>2</v>
      </c>
      <c r="H3" s="193">
        <f t="shared" si="3"/>
        <v>3</v>
      </c>
      <c r="I3" s="193">
        <f t="shared" si="3"/>
        <v>4</v>
      </c>
      <c r="J3" s="193">
        <f t="shared" si="3"/>
        <v>5</v>
      </c>
      <c r="K3" s="193">
        <f t="shared" si="3"/>
        <v>6</v>
      </c>
      <c r="L3" s="193">
        <f t="shared" si="3"/>
        <v>7</v>
      </c>
      <c r="M3" s="193">
        <f t="shared" si="3"/>
        <v>8</v>
      </c>
      <c r="N3" s="193">
        <f t="shared" si="3"/>
        <v>9</v>
      </c>
      <c r="O3" s="193">
        <f t="shared" si="3"/>
        <v>10</v>
      </c>
      <c r="P3" s="193">
        <f t="shared" si="3"/>
        <v>11</v>
      </c>
      <c r="Q3" s="193">
        <f t="shared" si="3"/>
        <v>12</v>
      </c>
      <c r="R3" s="193">
        <f t="shared" si="3"/>
        <v>13</v>
      </c>
      <c r="S3" s="193">
        <f t="shared" si="3"/>
        <v>14</v>
      </c>
      <c r="T3" s="193">
        <f t="shared" si="3"/>
        <v>15</v>
      </c>
      <c r="U3" s="193">
        <f t="shared" si="3"/>
        <v>16</v>
      </c>
      <c r="V3" s="193">
        <f t="shared" si="3"/>
        <v>17</v>
      </c>
      <c r="W3" s="193">
        <f t="shared" si="3"/>
        <v>18</v>
      </c>
      <c r="X3" s="193">
        <f t="shared" si="3"/>
        <v>19</v>
      </c>
      <c r="Y3" s="193">
        <f t="shared" si="3"/>
        <v>20</v>
      </c>
      <c r="Z3" s="193">
        <f t="shared" si="3"/>
        <v>21</v>
      </c>
      <c r="AA3" s="193">
        <f t="shared" si="3"/>
        <v>22</v>
      </c>
      <c r="AB3" s="193">
        <f t="shared" si="3"/>
        <v>23</v>
      </c>
      <c r="AC3" s="193">
        <f t="shared" si="3"/>
        <v>24</v>
      </c>
      <c r="AD3" s="193">
        <f t="shared" si="3"/>
        <v>25</v>
      </c>
      <c r="AE3" s="193">
        <f t="shared" si="3"/>
        <v>26</v>
      </c>
      <c r="AF3" s="193">
        <f t="shared" si="3"/>
        <v>27</v>
      </c>
      <c r="AG3" s="193">
        <f t="shared" si="3"/>
        <v>28</v>
      </c>
      <c r="AH3" s="193">
        <f t="shared" si="3"/>
        <v>29</v>
      </c>
      <c r="AI3" s="193">
        <f t="shared" si="3"/>
        <v>30</v>
      </c>
      <c r="AJ3" s="193">
        <f t="shared" si="3"/>
        <v>31</v>
      </c>
      <c r="AK3" s="193">
        <f t="shared" si="3"/>
        <v>32</v>
      </c>
      <c r="AL3" s="193">
        <f t="shared" si="3"/>
        <v>33</v>
      </c>
      <c r="AM3" s="193">
        <f t="shared" si="3"/>
        <v>34</v>
      </c>
      <c r="AN3" s="193">
        <f t="shared" si="3"/>
        <v>35</v>
      </c>
      <c r="AO3" s="193">
        <f t="shared" si="3"/>
        <v>36</v>
      </c>
      <c r="AP3" s="193">
        <f t="shared" si="3"/>
        <v>37</v>
      </c>
      <c r="AQ3" s="193">
        <f t="shared" si="3"/>
        <v>38</v>
      </c>
      <c r="AR3" s="193">
        <f t="shared" si="3"/>
        <v>39</v>
      </c>
      <c r="AS3" s="193">
        <f t="shared" si="3"/>
        <v>40</v>
      </c>
      <c r="AT3" s="193">
        <f t="shared" si="3"/>
        <v>41</v>
      </c>
      <c r="AU3" s="193">
        <f t="shared" si="3"/>
        <v>42</v>
      </c>
      <c r="AV3" s="193">
        <f t="shared" si="3"/>
        <v>43</v>
      </c>
      <c r="AW3" s="193">
        <f t="shared" si="3"/>
        <v>44</v>
      </c>
      <c r="AX3" s="193">
        <f t="shared" si="3"/>
        <v>45</v>
      </c>
      <c r="AY3" s="193">
        <f t="shared" si="3"/>
        <v>46</v>
      </c>
      <c r="AZ3" s="193">
        <f t="shared" si="3"/>
        <v>47</v>
      </c>
      <c r="BA3" s="193">
        <f t="shared" si="3"/>
        <v>48</v>
      </c>
      <c r="BB3" s="193">
        <f t="shared" si="3"/>
        <v>49</v>
      </c>
      <c r="BC3" s="193">
        <f t="shared" si="3"/>
        <v>50</v>
      </c>
      <c r="BD3" s="193">
        <f t="shared" si="3"/>
        <v>51</v>
      </c>
      <c r="BE3" s="193">
        <f t="shared" si="3"/>
        <v>52</v>
      </c>
      <c r="BF3" s="193">
        <f t="shared" si="3"/>
        <v>53</v>
      </c>
      <c r="BG3" s="193">
        <f t="shared" si="3"/>
        <v>54</v>
      </c>
      <c r="BH3" s="193">
        <f t="shared" si="3"/>
        <v>55</v>
      </c>
      <c r="BI3" s="193">
        <f t="shared" si="3"/>
        <v>56</v>
      </c>
      <c r="BJ3" s="193">
        <f t="shared" si="3"/>
        <v>57</v>
      </c>
      <c r="BK3" s="193">
        <f t="shared" si="3"/>
        <v>58</v>
      </c>
      <c r="BL3" s="193">
        <f t="shared" si="3"/>
        <v>59</v>
      </c>
      <c r="BM3" s="193">
        <f t="shared" si="3"/>
        <v>60</v>
      </c>
      <c r="BN3" s="192"/>
    </row>
    <row r="4">
      <c r="A4" s="191"/>
      <c r="B4" s="191" t="s">
        <v>11</v>
      </c>
      <c r="C4" s="192"/>
      <c r="D4" s="192"/>
      <c r="E4" s="192"/>
      <c r="F4" s="194">
        <f>Assumptions!G4</f>
        <v>46081</v>
      </c>
      <c r="G4" s="194">
        <f t="shared" ref="G4:BM4" si="4">EOMONTH(F4,1)</f>
        <v>46112</v>
      </c>
      <c r="H4" s="194">
        <f t="shared" si="4"/>
        <v>46142</v>
      </c>
      <c r="I4" s="194">
        <f t="shared" si="4"/>
        <v>46173</v>
      </c>
      <c r="J4" s="194">
        <f t="shared" si="4"/>
        <v>46203</v>
      </c>
      <c r="K4" s="194">
        <f t="shared" si="4"/>
        <v>46234</v>
      </c>
      <c r="L4" s="194">
        <f t="shared" si="4"/>
        <v>46265</v>
      </c>
      <c r="M4" s="194">
        <f t="shared" si="4"/>
        <v>46295</v>
      </c>
      <c r="N4" s="194">
        <f t="shared" si="4"/>
        <v>46326</v>
      </c>
      <c r="O4" s="194">
        <f t="shared" si="4"/>
        <v>46356</v>
      </c>
      <c r="P4" s="194">
        <f t="shared" si="4"/>
        <v>46387</v>
      </c>
      <c r="Q4" s="194">
        <f t="shared" si="4"/>
        <v>46418</v>
      </c>
      <c r="R4" s="194">
        <f t="shared" si="4"/>
        <v>46446</v>
      </c>
      <c r="S4" s="194">
        <f t="shared" si="4"/>
        <v>46477</v>
      </c>
      <c r="T4" s="194">
        <f t="shared" si="4"/>
        <v>46507</v>
      </c>
      <c r="U4" s="194">
        <f t="shared" si="4"/>
        <v>46538</v>
      </c>
      <c r="V4" s="194">
        <f t="shared" si="4"/>
        <v>46568</v>
      </c>
      <c r="W4" s="194">
        <f t="shared" si="4"/>
        <v>46599</v>
      </c>
      <c r="X4" s="194">
        <f t="shared" si="4"/>
        <v>46630</v>
      </c>
      <c r="Y4" s="194">
        <f t="shared" si="4"/>
        <v>46660</v>
      </c>
      <c r="Z4" s="194">
        <f t="shared" si="4"/>
        <v>46691</v>
      </c>
      <c r="AA4" s="194">
        <f t="shared" si="4"/>
        <v>46721</v>
      </c>
      <c r="AB4" s="194">
        <f t="shared" si="4"/>
        <v>46752</v>
      </c>
      <c r="AC4" s="194">
        <f t="shared" si="4"/>
        <v>46783</v>
      </c>
      <c r="AD4" s="194">
        <f t="shared" si="4"/>
        <v>46812</v>
      </c>
      <c r="AE4" s="194">
        <f t="shared" si="4"/>
        <v>46843</v>
      </c>
      <c r="AF4" s="194">
        <f t="shared" si="4"/>
        <v>46873</v>
      </c>
      <c r="AG4" s="194">
        <f t="shared" si="4"/>
        <v>46904</v>
      </c>
      <c r="AH4" s="194">
        <f t="shared" si="4"/>
        <v>46934</v>
      </c>
      <c r="AI4" s="194">
        <f t="shared" si="4"/>
        <v>46965</v>
      </c>
      <c r="AJ4" s="194">
        <f t="shared" si="4"/>
        <v>46996</v>
      </c>
      <c r="AK4" s="194">
        <f t="shared" si="4"/>
        <v>47026</v>
      </c>
      <c r="AL4" s="194">
        <f t="shared" si="4"/>
        <v>47057</v>
      </c>
      <c r="AM4" s="194">
        <f t="shared" si="4"/>
        <v>47087</v>
      </c>
      <c r="AN4" s="194">
        <f t="shared" si="4"/>
        <v>47118</v>
      </c>
      <c r="AO4" s="194">
        <f t="shared" si="4"/>
        <v>47149</v>
      </c>
      <c r="AP4" s="194">
        <f t="shared" si="4"/>
        <v>47177</v>
      </c>
      <c r="AQ4" s="194">
        <f t="shared" si="4"/>
        <v>47208</v>
      </c>
      <c r="AR4" s="194">
        <f t="shared" si="4"/>
        <v>47238</v>
      </c>
      <c r="AS4" s="194">
        <f t="shared" si="4"/>
        <v>47269</v>
      </c>
      <c r="AT4" s="194">
        <f t="shared" si="4"/>
        <v>47299</v>
      </c>
      <c r="AU4" s="194">
        <f t="shared" si="4"/>
        <v>47330</v>
      </c>
      <c r="AV4" s="194">
        <f t="shared" si="4"/>
        <v>47361</v>
      </c>
      <c r="AW4" s="194">
        <f t="shared" si="4"/>
        <v>47391</v>
      </c>
      <c r="AX4" s="194">
        <f t="shared" si="4"/>
        <v>47422</v>
      </c>
      <c r="AY4" s="194">
        <f t="shared" si="4"/>
        <v>47452</v>
      </c>
      <c r="AZ4" s="194">
        <f t="shared" si="4"/>
        <v>47483</v>
      </c>
      <c r="BA4" s="194">
        <f t="shared" si="4"/>
        <v>47514</v>
      </c>
      <c r="BB4" s="194">
        <f t="shared" si="4"/>
        <v>47542</v>
      </c>
      <c r="BC4" s="194">
        <f t="shared" si="4"/>
        <v>47573</v>
      </c>
      <c r="BD4" s="194">
        <f t="shared" si="4"/>
        <v>47603</v>
      </c>
      <c r="BE4" s="194">
        <f t="shared" si="4"/>
        <v>47634</v>
      </c>
      <c r="BF4" s="194">
        <f t="shared" si="4"/>
        <v>47664</v>
      </c>
      <c r="BG4" s="194">
        <f t="shared" si="4"/>
        <v>47695</v>
      </c>
      <c r="BH4" s="194">
        <f t="shared" si="4"/>
        <v>47726</v>
      </c>
      <c r="BI4" s="194">
        <f t="shared" si="4"/>
        <v>47756</v>
      </c>
      <c r="BJ4" s="194">
        <f t="shared" si="4"/>
        <v>47787</v>
      </c>
      <c r="BK4" s="194">
        <f t="shared" si="4"/>
        <v>47817</v>
      </c>
      <c r="BL4" s="194">
        <f t="shared" si="4"/>
        <v>47848</v>
      </c>
      <c r="BM4" s="194">
        <f t="shared" si="4"/>
        <v>47879</v>
      </c>
      <c r="BN4" s="192"/>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192"/>
    </row>
    <row r="6">
      <c r="A6" s="30"/>
      <c r="B6" s="195" t="s">
        <v>158</v>
      </c>
      <c r="C6" s="196"/>
      <c r="D6" s="196"/>
      <c r="E6" s="196"/>
      <c r="F6" s="196"/>
      <c r="G6" s="196"/>
      <c r="H6" s="196"/>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2"/>
    </row>
    <row r="7" outlineLevel="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row>
    <row r="8" outlineLevel="1">
      <c r="A8" s="197"/>
      <c r="B8" s="198" t="s">
        <v>159</v>
      </c>
      <c r="C8" s="199"/>
      <c r="D8" s="199"/>
      <c r="E8" s="199"/>
      <c r="F8" s="199">
        <f t="shared" ref="F8:BM8" si="5">sum(F9:F11)</f>
        <v>60268.5</v>
      </c>
      <c r="G8" s="199">
        <f t="shared" si="5"/>
        <v>92328.2775</v>
      </c>
      <c r="H8" s="199">
        <f t="shared" si="5"/>
        <v>108387.0492</v>
      </c>
      <c r="I8" s="199">
        <f t="shared" si="5"/>
        <v>116416.8682</v>
      </c>
      <c r="J8" s="199">
        <f t="shared" si="5"/>
        <v>120431.7843</v>
      </c>
      <c r="K8" s="199">
        <f t="shared" si="5"/>
        <v>122439.2424</v>
      </c>
      <c r="L8" s="199">
        <f t="shared" si="5"/>
        <v>123442.9714</v>
      </c>
      <c r="M8" s="199">
        <f t="shared" si="5"/>
        <v>123944.836</v>
      </c>
      <c r="N8" s="199">
        <f t="shared" si="5"/>
        <v>124195.7682</v>
      </c>
      <c r="O8" s="199">
        <f t="shared" si="5"/>
        <v>124321.2344</v>
      </c>
      <c r="P8" s="199">
        <f t="shared" si="5"/>
        <v>124383.9674</v>
      </c>
      <c r="Q8" s="199">
        <f t="shared" si="5"/>
        <v>124415.334</v>
      </c>
      <c r="R8" s="199">
        <f t="shared" si="5"/>
        <v>124431.0172</v>
      </c>
      <c r="S8" s="199">
        <f t="shared" si="5"/>
        <v>124438.8589</v>
      </c>
      <c r="T8" s="199">
        <f t="shared" si="5"/>
        <v>124442.7797</v>
      </c>
      <c r="U8" s="199">
        <f t="shared" si="5"/>
        <v>124444.7401</v>
      </c>
      <c r="V8" s="199">
        <f t="shared" si="5"/>
        <v>124445.7203</v>
      </c>
      <c r="W8" s="199">
        <f t="shared" si="5"/>
        <v>124446.2104</v>
      </c>
      <c r="X8" s="199">
        <f t="shared" si="5"/>
        <v>124446.4555</v>
      </c>
      <c r="Y8" s="199">
        <f t="shared" si="5"/>
        <v>124446.578</v>
      </c>
      <c r="Z8" s="199">
        <f t="shared" si="5"/>
        <v>124446.6392</v>
      </c>
      <c r="AA8" s="199">
        <f t="shared" si="5"/>
        <v>124446.6699</v>
      </c>
      <c r="AB8" s="199">
        <f t="shared" si="5"/>
        <v>124446.6852</v>
      </c>
      <c r="AC8" s="199">
        <f t="shared" si="5"/>
        <v>124446.6928</v>
      </c>
      <c r="AD8" s="199">
        <f t="shared" si="5"/>
        <v>124446.6967</v>
      </c>
      <c r="AE8" s="199">
        <f t="shared" si="5"/>
        <v>124446.6986</v>
      </c>
      <c r="AF8" s="199">
        <f t="shared" si="5"/>
        <v>124446.6996</v>
      </c>
      <c r="AG8" s="199">
        <f t="shared" si="5"/>
        <v>124446.7</v>
      </c>
      <c r="AH8" s="199">
        <f t="shared" si="5"/>
        <v>124446.7003</v>
      </c>
      <c r="AI8" s="199">
        <f t="shared" si="5"/>
        <v>124446.7004</v>
      </c>
      <c r="AJ8" s="199">
        <f t="shared" si="5"/>
        <v>124446.7004</v>
      </c>
      <c r="AK8" s="199">
        <f t="shared" si="5"/>
        <v>124446.7005</v>
      </c>
      <c r="AL8" s="199">
        <f t="shared" si="5"/>
        <v>124446.7005</v>
      </c>
      <c r="AM8" s="199">
        <f t="shared" si="5"/>
        <v>124446.7005</v>
      </c>
      <c r="AN8" s="199">
        <f t="shared" si="5"/>
        <v>124446.7005</v>
      </c>
      <c r="AO8" s="199">
        <f t="shared" si="5"/>
        <v>124446.7005</v>
      </c>
      <c r="AP8" s="199">
        <f t="shared" si="5"/>
        <v>124446.7005</v>
      </c>
      <c r="AQ8" s="199">
        <f t="shared" si="5"/>
        <v>124446.7005</v>
      </c>
      <c r="AR8" s="199">
        <f t="shared" si="5"/>
        <v>124446.7005</v>
      </c>
      <c r="AS8" s="199">
        <f t="shared" si="5"/>
        <v>124446.7005</v>
      </c>
      <c r="AT8" s="199">
        <f t="shared" si="5"/>
        <v>124446.7005</v>
      </c>
      <c r="AU8" s="199">
        <f t="shared" si="5"/>
        <v>124446.7005</v>
      </c>
      <c r="AV8" s="199">
        <f t="shared" si="5"/>
        <v>124446.7005</v>
      </c>
      <c r="AW8" s="199">
        <f t="shared" si="5"/>
        <v>124446.7005</v>
      </c>
      <c r="AX8" s="199">
        <f t="shared" si="5"/>
        <v>124446.7005</v>
      </c>
      <c r="AY8" s="199">
        <f t="shared" si="5"/>
        <v>124446.7005</v>
      </c>
      <c r="AZ8" s="199">
        <f t="shared" si="5"/>
        <v>124446.7005</v>
      </c>
      <c r="BA8" s="199">
        <f t="shared" si="5"/>
        <v>124446.7005</v>
      </c>
      <c r="BB8" s="199">
        <f t="shared" si="5"/>
        <v>124446.7005</v>
      </c>
      <c r="BC8" s="199">
        <f t="shared" si="5"/>
        <v>124446.7005</v>
      </c>
      <c r="BD8" s="199">
        <f t="shared" si="5"/>
        <v>124446.7005</v>
      </c>
      <c r="BE8" s="199">
        <f t="shared" si="5"/>
        <v>124446.7005</v>
      </c>
      <c r="BF8" s="199">
        <f t="shared" si="5"/>
        <v>124446.7005</v>
      </c>
      <c r="BG8" s="199">
        <f t="shared" si="5"/>
        <v>124446.7005</v>
      </c>
      <c r="BH8" s="199">
        <f t="shared" si="5"/>
        <v>124446.7005</v>
      </c>
      <c r="BI8" s="199">
        <f t="shared" si="5"/>
        <v>124446.7005</v>
      </c>
      <c r="BJ8" s="199">
        <f t="shared" si="5"/>
        <v>124446.7005</v>
      </c>
      <c r="BK8" s="199">
        <f t="shared" si="5"/>
        <v>124446.7005</v>
      </c>
      <c r="BL8" s="199">
        <f t="shared" si="5"/>
        <v>124446.7005</v>
      </c>
      <c r="BM8" s="199">
        <f t="shared" si="5"/>
        <v>124446.7005</v>
      </c>
      <c r="BN8" s="197"/>
    </row>
    <row r="9" outlineLevel="1">
      <c r="A9" s="197"/>
      <c r="B9" s="197" t="str">
        <f>Assumptions!B75</f>
        <v>Product Purchases #1</v>
      </c>
      <c r="C9" s="197"/>
      <c r="D9" s="197"/>
      <c r="E9" s="197"/>
      <c r="F9" s="197">
        <f>Assumptions!G85</f>
        <v>19912.5</v>
      </c>
      <c r="G9" s="197">
        <f>Assumptions!H85</f>
        <v>30504.9375</v>
      </c>
      <c r="H9" s="197">
        <f>Assumptions!I85</f>
        <v>35810.69906</v>
      </c>
      <c r="I9" s="197">
        <f>Assumptions!J85</f>
        <v>38463.72299</v>
      </c>
      <c r="J9" s="197">
        <f>Assumptions!K85</f>
        <v>39790.23709</v>
      </c>
      <c r="K9" s="197">
        <f>Assumptions!L85</f>
        <v>40453.49418</v>
      </c>
      <c r="L9" s="197">
        <f>Assumptions!M85</f>
        <v>40785.12273</v>
      </c>
      <c r="M9" s="197">
        <f>Assumptions!N85</f>
        <v>40950.937</v>
      </c>
      <c r="N9" s="197">
        <f>Assumptions!O85</f>
        <v>41033.84413</v>
      </c>
      <c r="O9" s="197">
        <f>Assumptions!P85</f>
        <v>41075.2977</v>
      </c>
      <c r="P9" s="197">
        <f>Assumptions!Q85</f>
        <v>41096.02449</v>
      </c>
      <c r="Q9" s="197">
        <f>Assumptions!R85</f>
        <v>41106.38788</v>
      </c>
      <c r="R9" s="197">
        <f>Assumptions!S85</f>
        <v>41111.56957</v>
      </c>
      <c r="S9" s="197">
        <f>Assumptions!T85</f>
        <v>41114.16042</v>
      </c>
      <c r="T9" s="197">
        <f>Assumptions!U85</f>
        <v>41115.45585</v>
      </c>
      <c r="U9" s="197">
        <f>Assumptions!V85</f>
        <v>41116.10356</v>
      </c>
      <c r="V9" s="197">
        <f>Assumptions!W85</f>
        <v>41116.42741</v>
      </c>
      <c r="W9" s="197">
        <f>Assumptions!X85</f>
        <v>41116.58934</v>
      </c>
      <c r="X9" s="197">
        <f>Assumptions!Y85</f>
        <v>41116.67031</v>
      </c>
      <c r="Y9" s="197">
        <f>Assumptions!Z85</f>
        <v>41116.71079</v>
      </c>
      <c r="Z9" s="197">
        <f>Assumptions!AA85</f>
        <v>41116.73103</v>
      </c>
      <c r="AA9" s="197">
        <f>Assumptions!AB85</f>
        <v>41116.74115</v>
      </c>
      <c r="AB9" s="197">
        <f>Assumptions!AC85</f>
        <v>41116.74621</v>
      </c>
      <c r="AC9" s="197">
        <f>Assumptions!AD85</f>
        <v>41116.74874</v>
      </c>
      <c r="AD9" s="197">
        <f>Assumptions!AE85</f>
        <v>41116.75</v>
      </c>
      <c r="AE9" s="197">
        <f>Assumptions!AF85</f>
        <v>41116.75064</v>
      </c>
      <c r="AF9" s="197">
        <f>Assumptions!AG85</f>
        <v>41116.75095</v>
      </c>
      <c r="AG9" s="197">
        <f>Assumptions!AH85</f>
        <v>41116.75111</v>
      </c>
      <c r="AH9" s="197">
        <f>Assumptions!AI85</f>
        <v>41116.75119</v>
      </c>
      <c r="AI9" s="197">
        <f>Assumptions!AJ85</f>
        <v>41116.75123</v>
      </c>
      <c r="AJ9" s="197">
        <f>Assumptions!AK85</f>
        <v>41116.75125</v>
      </c>
      <c r="AK9" s="197">
        <f>Assumptions!AL85</f>
        <v>41116.75126</v>
      </c>
      <c r="AL9" s="197">
        <f>Assumptions!AM85</f>
        <v>41116.75126</v>
      </c>
      <c r="AM9" s="197">
        <f>Assumptions!AN85</f>
        <v>41116.75127</v>
      </c>
      <c r="AN9" s="197">
        <f>Assumptions!AO85</f>
        <v>41116.75127</v>
      </c>
      <c r="AO9" s="197">
        <f>Assumptions!AP85</f>
        <v>41116.75127</v>
      </c>
      <c r="AP9" s="197">
        <f>Assumptions!AQ85</f>
        <v>41116.75127</v>
      </c>
      <c r="AQ9" s="197">
        <f>Assumptions!AR85</f>
        <v>41116.75127</v>
      </c>
      <c r="AR9" s="197">
        <f>Assumptions!AS85</f>
        <v>41116.75127</v>
      </c>
      <c r="AS9" s="197">
        <f>Assumptions!AT85</f>
        <v>41116.75127</v>
      </c>
      <c r="AT9" s="197">
        <f>Assumptions!AU85</f>
        <v>41116.75127</v>
      </c>
      <c r="AU9" s="197">
        <f>Assumptions!AV85</f>
        <v>41116.75127</v>
      </c>
      <c r="AV9" s="197">
        <f>Assumptions!AW85</f>
        <v>41116.75127</v>
      </c>
      <c r="AW9" s="197">
        <f>Assumptions!AX85</f>
        <v>41116.75127</v>
      </c>
      <c r="AX9" s="197">
        <f>Assumptions!AY85</f>
        <v>41116.75127</v>
      </c>
      <c r="AY9" s="197">
        <f>Assumptions!AZ85</f>
        <v>41116.75127</v>
      </c>
      <c r="AZ9" s="197">
        <f>Assumptions!BA85</f>
        <v>41116.75127</v>
      </c>
      <c r="BA9" s="197">
        <f>Assumptions!BB85</f>
        <v>41116.75127</v>
      </c>
      <c r="BB9" s="197">
        <f>Assumptions!BC85</f>
        <v>41116.75127</v>
      </c>
      <c r="BC9" s="197">
        <f>Assumptions!BD85</f>
        <v>41116.75127</v>
      </c>
      <c r="BD9" s="197">
        <f>Assumptions!BE85</f>
        <v>41116.75127</v>
      </c>
      <c r="BE9" s="197">
        <f>Assumptions!BF85</f>
        <v>41116.75127</v>
      </c>
      <c r="BF9" s="197">
        <f>Assumptions!BG85</f>
        <v>41116.75127</v>
      </c>
      <c r="BG9" s="197">
        <f>Assumptions!BH85</f>
        <v>41116.75127</v>
      </c>
      <c r="BH9" s="197">
        <f>Assumptions!BI85</f>
        <v>41116.75127</v>
      </c>
      <c r="BI9" s="197">
        <f>Assumptions!BJ85</f>
        <v>41116.75127</v>
      </c>
      <c r="BJ9" s="197">
        <f>Assumptions!BK85</f>
        <v>41116.75127</v>
      </c>
      <c r="BK9" s="197">
        <f>Assumptions!BL85</f>
        <v>41116.75127</v>
      </c>
      <c r="BL9" s="197">
        <f>Assumptions!BM85</f>
        <v>41116.75127</v>
      </c>
      <c r="BM9" s="197">
        <f>Assumptions!BN85</f>
        <v>41116.75127</v>
      </c>
      <c r="BN9" s="197" t="str">
        <f>Assumptions!BO85</f>
        <v/>
      </c>
    </row>
    <row r="10" outlineLevel="1">
      <c r="A10" s="197"/>
      <c r="B10" s="197" t="str">
        <f>Assumptions!B87</f>
        <v>Product Purchases #2</v>
      </c>
      <c r="C10" s="197"/>
      <c r="D10" s="197"/>
      <c r="E10" s="197"/>
      <c r="F10" s="197">
        <f>Assumptions!G97</f>
        <v>39825</v>
      </c>
      <c r="G10" s="197">
        <f>Assumptions!H97</f>
        <v>61009.875</v>
      </c>
      <c r="H10" s="197">
        <f>Assumptions!I97</f>
        <v>71621.39813</v>
      </c>
      <c r="I10" s="197">
        <f>Assumptions!J97</f>
        <v>76927.44597</v>
      </c>
      <c r="J10" s="197">
        <f>Assumptions!K97</f>
        <v>79580.47419</v>
      </c>
      <c r="K10" s="197">
        <f>Assumptions!L97</f>
        <v>80906.98836</v>
      </c>
      <c r="L10" s="197">
        <f>Assumptions!M97</f>
        <v>81570.24545</v>
      </c>
      <c r="M10" s="197">
        <f>Assumptions!N97</f>
        <v>81901.87399</v>
      </c>
      <c r="N10" s="197">
        <f>Assumptions!O97</f>
        <v>82067.68827</v>
      </c>
      <c r="O10" s="197">
        <f>Assumptions!P97</f>
        <v>82150.5954</v>
      </c>
      <c r="P10" s="197">
        <f>Assumptions!Q97</f>
        <v>82192.04897</v>
      </c>
      <c r="Q10" s="197">
        <f>Assumptions!R97</f>
        <v>82212.77575</v>
      </c>
      <c r="R10" s="197">
        <f>Assumptions!S97</f>
        <v>82223.13915</v>
      </c>
      <c r="S10" s="197">
        <f>Assumptions!T97</f>
        <v>82228.32084</v>
      </c>
      <c r="T10" s="197">
        <f>Assumptions!U97</f>
        <v>82230.91169</v>
      </c>
      <c r="U10" s="197">
        <f>Assumptions!V97</f>
        <v>82232.20711</v>
      </c>
      <c r="V10" s="197">
        <f>Assumptions!W97</f>
        <v>82232.85483</v>
      </c>
      <c r="W10" s="197">
        <f>Assumptions!X97</f>
        <v>82233.17868</v>
      </c>
      <c r="X10" s="197">
        <f>Assumptions!Y97</f>
        <v>82233.34061</v>
      </c>
      <c r="Y10" s="197">
        <f>Assumptions!Z97</f>
        <v>82233.42157</v>
      </c>
      <c r="Z10" s="197">
        <f>Assumptions!AA97</f>
        <v>82233.46206</v>
      </c>
      <c r="AA10" s="197">
        <f>Assumptions!AB97</f>
        <v>82233.4823</v>
      </c>
      <c r="AB10" s="197">
        <f>Assumptions!AC97</f>
        <v>82233.49242</v>
      </c>
      <c r="AC10" s="197">
        <f>Assumptions!AD97</f>
        <v>82233.49748</v>
      </c>
      <c r="AD10" s="197">
        <f>Assumptions!AE97</f>
        <v>82233.50001</v>
      </c>
      <c r="AE10" s="197">
        <f>Assumptions!AF97</f>
        <v>82233.50127</v>
      </c>
      <c r="AF10" s="197">
        <f>Assumptions!AG97</f>
        <v>82233.50191</v>
      </c>
      <c r="AG10" s="197">
        <f>Assumptions!AH97</f>
        <v>82233.50222</v>
      </c>
      <c r="AH10" s="197">
        <f>Assumptions!AI97</f>
        <v>82233.50238</v>
      </c>
      <c r="AI10" s="197">
        <f>Assumptions!AJ97</f>
        <v>82233.50246</v>
      </c>
      <c r="AJ10" s="197">
        <f>Assumptions!AK97</f>
        <v>82233.5025</v>
      </c>
      <c r="AK10" s="197">
        <f>Assumptions!AL97</f>
        <v>82233.50252</v>
      </c>
      <c r="AL10" s="197">
        <f>Assumptions!AM97</f>
        <v>82233.50253</v>
      </c>
      <c r="AM10" s="197">
        <f>Assumptions!AN97</f>
        <v>82233.50253</v>
      </c>
      <c r="AN10" s="197">
        <f>Assumptions!AO97</f>
        <v>82233.50254</v>
      </c>
      <c r="AO10" s="197">
        <f>Assumptions!AP97</f>
        <v>82233.50254</v>
      </c>
      <c r="AP10" s="197">
        <f>Assumptions!AQ97</f>
        <v>82233.50254</v>
      </c>
      <c r="AQ10" s="197">
        <f>Assumptions!AR97</f>
        <v>82233.50254</v>
      </c>
      <c r="AR10" s="197">
        <f>Assumptions!AS97</f>
        <v>82233.50254</v>
      </c>
      <c r="AS10" s="197">
        <f>Assumptions!AT97</f>
        <v>82233.50254</v>
      </c>
      <c r="AT10" s="197">
        <f>Assumptions!AU97</f>
        <v>82233.50254</v>
      </c>
      <c r="AU10" s="197">
        <f>Assumptions!AV97</f>
        <v>82233.50254</v>
      </c>
      <c r="AV10" s="197">
        <f>Assumptions!AW97</f>
        <v>82233.50254</v>
      </c>
      <c r="AW10" s="197">
        <f>Assumptions!AX97</f>
        <v>82233.50254</v>
      </c>
      <c r="AX10" s="197">
        <f>Assumptions!AY97</f>
        <v>82233.50254</v>
      </c>
      <c r="AY10" s="197">
        <f>Assumptions!AZ97</f>
        <v>82233.50254</v>
      </c>
      <c r="AZ10" s="197">
        <f>Assumptions!BA97</f>
        <v>82233.50254</v>
      </c>
      <c r="BA10" s="197">
        <f>Assumptions!BB97</f>
        <v>82233.50254</v>
      </c>
      <c r="BB10" s="197">
        <f>Assumptions!BC97</f>
        <v>82233.50254</v>
      </c>
      <c r="BC10" s="197">
        <f>Assumptions!BD97</f>
        <v>82233.50254</v>
      </c>
      <c r="BD10" s="197">
        <f>Assumptions!BE97</f>
        <v>82233.50254</v>
      </c>
      <c r="BE10" s="197">
        <f>Assumptions!BF97</f>
        <v>82233.50254</v>
      </c>
      <c r="BF10" s="197">
        <f>Assumptions!BG97</f>
        <v>82233.50254</v>
      </c>
      <c r="BG10" s="197">
        <f>Assumptions!BH97</f>
        <v>82233.50254</v>
      </c>
      <c r="BH10" s="197">
        <f>Assumptions!BI97</f>
        <v>82233.50254</v>
      </c>
      <c r="BI10" s="197">
        <f>Assumptions!BJ97</f>
        <v>82233.50254</v>
      </c>
      <c r="BJ10" s="197">
        <f>Assumptions!BK97</f>
        <v>82233.50254</v>
      </c>
      <c r="BK10" s="197">
        <f>Assumptions!BL97</f>
        <v>82233.50254</v>
      </c>
      <c r="BL10" s="197">
        <f>Assumptions!BM97</f>
        <v>82233.50254</v>
      </c>
      <c r="BM10" s="197">
        <f>Assumptions!BN97</f>
        <v>82233.50254</v>
      </c>
      <c r="BN10" s="197" t="str">
        <f>Assumptions!BO97</f>
        <v/>
      </c>
    </row>
    <row r="11" outlineLevel="1">
      <c r="A11" s="197"/>
      <c r="B11" s="197" t="str">
        <f>Assumptions!B99</f>
        <v>Monthly Subscription Purchases</v>
      </c>
      <c r="C11" s="197"/>
      <c r="D11" s="197"/>
      <c r="E11" s="197"/>
      <c r="F11" s="197">
        <f>Assumptions!G108</f>
        <v>531</v>
      </c>
      <c r="G11" s="197">
        <f>Assumptions!H108</f>
        <v>813.465</v>
      </c>
      <c r="H11" s="197">
        <f>Assumptions!I108</f>
        <v>954.951975</v>
      </c>
      <c r="I11" s="197">
        <f>Assumptions!J108</f>
        <v>1025.69928</v>
      </c>
      <c r="J11" s="197">
        <f>Assumptions!K108</f>
        <v>1061.072989</v>
      </c>
      <c r="K11" s="197">
        <f>Assumptions!L108</f>
        <v>1078.759845</v>
      </c>
      <c r="L11" s="197">
        <f>Assumptions!M108</f>
        <v>1087.603273</v>
      </c>
      <c r="M11" s="197">
        <f>Assumptions!N108</f>
        <v>1092.024987</v>
      </c>
      <c r="N11" s="197">
        <f>Assumptions!O108</f>
        <v>1094.235844</v>
      </c>
      <c r="O11" s="197">
        <f>Assumptions!P108</f>
        <v>1095.341272</v>
      </c>
      <c r="P11" s="197">
        <f>Assumptions!Q108</f>
        <v>1095.893986</v>
      </c>
      <c r="Q11" s="197">
        <f>Assumptions!R108</f>
        <v>1096.170343</v>
      </c>
      <c r="R11" s="197">
        <f>Assumptions!S108</f>
        <v>1096.308522</v>
      </c>
      <c r="S11" s="197">
        <f>Assumptions!T108</f>
        <v>1096.377611</v>
      </c>
      <c r="T11" s="197">
        <f>Assumptions!U108</f>
        <v>1096.412156</v>
      </c>
      <c r="U11" s="197">
        <f>Assumptions!V108</f>
        <v>1096.429428</v>
      </c>
      <c r="V11" s="197">
        <f>Assumptions!W108</f>
        <v>1096.438064</v>
      </c>
      <c r="W11" s="197">
        <f>Assumptions!X108</f>
        <v>1096.442382</v>
      </c>
      <c r="X11" s="197">
        <f>Assumptions!Y108</f>
        <v>1096.444541</v>
      </c>
      <c r="Y11" s="197">
        <f>Assumptions!Z108</f>
        <v>1096.445621</v>
      </c>
      <c r="Z11" s="197">
        <f>Assumptions!AA108</f>
        <v>1096.446161</v>
      </c>
      <c r="AA11" s="197">
        <f>Assumptions!AB108</f>
        <v>1096.446431</v>
      </c>
      <c r="AB11" s="197">
        <f>Assumptions!AC108</f>
        <v>1096.446566</v>
      </c>
      <c r="AC11" s="197">
        <f>Assumptions!AD108</f>
        <v>1096.446633</v>
      </c>
      <c r="AD11" s="197">
        <f>Assumptions!AE108</f>
        <v>1096.446667</v>
      </c>
      <c r="AE11" s="197">
        <f>Assumptions!AF108</f>
        <v>1096.446684</v>
      </c>
      <c r="AF11" s="197">
        <f>Assumptions!AG108</f>
        <v>1096.446692</v>
      </c>
      <c r="AG11" s="197">
        <f>Assumptions!AH108</f>
        <v>1096.446696</v>
      </c>
      <c r="AH11" s="197">
        <f>Assumptions!AI108</f>
        <v>1096.446698</v>
      </c>
      <c r="AI11" s="197">
        <f>Assumptions!AJ108</f>
        <v>1096.446699</v>
      </c>
      <c r="AJ11" s="197">
        <f>Assumptions!AK108</f>
        <v>1096.4467</v>
      </c>
      <c r="AK11" s="197">
        <f>Assumptions!AL108</f>
        <v>1096.4467</v>
      </c>
      <c r="AL11" s="197">
        <f>Assumptions!AM108</f>
        <v>1096.4467</v>
      </c>
      <c r="AM11" s="197">
        <f>Assumptions!AN108</f>
        <v>1096.4467</v>
      </c>
      <c r="AN11" s="197">
        <f>Assumptions!AO108</f>
        <v>1096.4467</v>
      </c>
      <c r="AO11" s="197">
        <f>Assumptions!AP108</f>
        <v>1096.4467</v>
      </c>
      <c r="AP11" s="197">
        <f>Assumptions!AQ108</f>
        <v>1096.4467</v>
      </c>
      <c r="AQ11" s="197">
        <f>Assumptions!AR108</f>
        <v>1096.446701</v>
      </c>
      <c r="AR11" s="197">
        <f>Assumptions!AS108</f>
        <v>1096.446701</v>
      </c>
      <c r="AS11" s="197">
        <f>Assumptions!AT108</f>
        <v>1096.446701</v>
      </c>
      <c r="AT11" s="197">
        <f>Assumptions!AU108</f>
        <v>1096.446701</v>
      </c>
      <c r="AU11" s="197">
        <f>Assumptions!AV108</f>
        <v>1096.446701</v>
      </c>
      <c r="AV11" s="197">
        <f>Assumptions!AW108</f>
        <v>1096.446701</v>
      </c>
      <c r="AW11" s="197">
        <f>Assumptions!AX108</f>
        <v>1096.446701</v>
      </c>
      <c r="AX11" s="197">
        <f>Assumptions!AY108</f>
        <v>1096.446701</v>
      </c>
      <c r="AY11" s="197">
        <f>Assumptions!AZ108</f>
        <v>1096.446701</v>
      </c>
      <c r="AZ11" s="197">
        <f>Assumptions!BA108</f>
        <v>1096.446701</v>
      </c>
      <c r="BA11" s="197">
        <f>Assumptions!BB108</f>
        <v>1096.446701</v>
      </c>
      <c r="BB11" s="197">
        <f>Assumptions!BC108</f>
        <v>1096.446701</v>
      </c>
      <c r="BC11" s="197">
        <f>Assumptions!BD108</f>
        <v>1096.446701</v>
      </c>
      <c r="BD11" s="197">
        <f>Assumptions!BE108</f>
        <v>1096.446701</v>
      </c>
      <c r="BE11" s="197">
        <f>Assumptions!BF108</f>
        <v>1096.446701</v>
      </c>
      <c r="BF11" s="197">
        <f>Assumptions!BG108</f>
        <v>1096.446701</v>
      </c>
      <c r="BG11" s="197">
        <f>Assumptions!BH108</f>
        <v>1096.446701</v>
      </c>
      <c r="BH11" s="197">
        <f>Assumptions!BI108</f>
        <v>1096.446701</v>
      </c>
      <c r="BI11" s="197">
        <f>Assumptions!BJ108</f>
        <v>1096.446701</v>
      </c>
      <c r="BJ11" s="197">
        <f>Assumptions!BK108</f>
        <v>1096.446701</v>
      </c>
      <c r="BK11" s="197">
        <f>Assumptions!BL108</f>
        <v>1096.446701</v>
      </c>
      <c r="BL11" s="197">
        <f>Assumptions!BM108</f>
        <v>1096.446701</v>
      </c>
      <c r="BM11" s="197">
        <f>Assumptions!BN108</f>
        <v>1096.446701</v>
      </c>
      <c r="BN11" s="197"/>
    </row>
    <row r="12" outlineLevel="1">
      <c r="A12" s="197"/>
      <c r="B12" s="197"/>
      <c r="C12" s="197"/>
      <c r="D12" s="197"/>
      <c r="E12" s="197"/>
      <c r="F12" s="197"/>
      <c r="G12" s="197"/>
      <c r="H12" s="197"/>
      <c r="I12" s="197"/>
      <c r="J12" s="197"/>
      <c r="K12" s="197"/>
      <c r="L12" s="197"/>
      <c r="M12" s="197"/>
      <c r="N12" s="197"/>
      <c r="O12" s="197"/>
      <c r="P12" s="197"/>
      <c r="Q12" s="197"/>
      <c r="R12" s="197"/>
      <c r="S12" s="197"/>
      <c r="T12" s="197"/>
      <c r="U12" s="197"/>
      <c r="V12" s="197"/>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row>
    <row r="13" outlineLevel="1">
      <c r="A13" s="197"/>
      <c r="B13" s="198" t="s">
        <v>160</v>
      </c>
      <c r="C13" s="199"/>
      <c r="D13" s="199"/>
      <c r="E13" s="199"/>
      <c r="F13" s="199">
        <f>Assumptions!G153</f>
        <v>24107.4</v>
      </c>
      <c r="G13" s="199">
        <f>Assumptions!H153</f>
        <v>36931.311</v>
      </c>
      <c r="H13" s="199">
        <f>Assumptions!I153</f>
        <v>43354.81967</v>
      </c>
      <c r="I13" s="199">
        <f>Assumptions!J153</f>
        <v>46566.74729</v>
      </c>
      <c r="J13" s="199">
        <f>Assumptions!K153</f>
        <v>48172.71371</v>
      </c>
      <c r="K13" s="199">
        <f>Assumptions!L153</f>
        <v>48975.69696</v>
      </c>
      <c r="L13" s="199">
        <f>Assumptions!M153</f>
        <v>49377.18858</v>
      </c>
      <c r="M13" s="199">
        <f>Assumptions!N153</f>
        <v>49577.93439</v>
      </c>
      <c r="N13" s="199">
        <f>Assumptions!O153</f>
        <v>49678.3073</v>
      </c>
      <c r="O13" s="199">
        <f>Assumptions!P153</f>
        <v>49728.49375</v>
      </c>
      <c r="P13" s="199">
        <f>Assumptions!Q153</f>
        <v>49753.58698</v>
      </c>
      <c r="Q13" s="199">
        <f>Assumptions!R153</f>
        <v>49766.13359</v>
      </c>
      <c r="R13" s="199">
        <f>Assumptions!S153</f>
        <v>49772.4069</v>
      </c>
      <c r="S13" s="199">
        <f>Assumptions!T153</f>
        <v>49775.54355</v>
      </c>
      <c r="T13" s="199">
        <f>Assumptions!U153</f>
        <v>49777.11188</v>
      </c>
      <c r="U13" s="199">
        <f>Assumptions!V153</f>
        <v>49777.89604</v>
      </c>
      <c r="V13" s="199">
        <f>Assumptions!W153</f>
        <v>49778.28812</v>
      </c>
      <c r="W13" s="199">
        <f>Assumptions!X153</f>
        <v>49778.48416</v>
      </c>
      <c r="X13" s="199">
        <f>Assumptions!Y153</f>
        <v>49778.58218</v>
      </c>
      <c r="Y13" s="199">
        <f>Assumptions!Z153</f>
        <v>49778.63119</v>
      </c>
      <c r="Z13" s="199">
        <f>Assumptions!AA153</f>
        <v>49778.6557</v>
      </c>
      <c r="AA13" s="199">
        <f>Assumptions!AB153</f>
        <v>49778.66795</v>
      </c>
      <c r="AB13" s="199">
        <f>Assumptions!AC153</f>
        <v>49778.67408</v>
      </c>
      <c r="AC13" s="199">
        <f>Assumptions!AD153</f>
        <v>49778.67714</v>
      </c>
      <c r="AD13" s="199">
        <f>Assumptions!AE153</f>
        <v>49778.67867</v>
      </c>
      <c r="AE13" s="199">
        <f>Assumptions!AF153</f>
        <v>49778.67944</v>
      </c>
      <c r="AF13" s="199">
        <f>Assumptions!AG153</f>
        <v>49778.67982</v>
      </c>
      <c r="AG13" s="199">
        <f>Assumptions!AH153</f>
        <v>49778.68001</v>
      </c>
      <c r="AH13" s="199">
        <f>Assumptions!AI153</f>
        <v>49778.68011</v>
      </c>
      <c r="AI13" s="199">
        <f>Assumptions!AJ153</f>
        <v>49778.68016</v>
      </c>
      <c r="AJ13" s="199">
        <f>Assumptions!AK153</f>
        <v>49778.68018</v>
      </c>
      <c r="AK13" s="199">
        <f>Assumptions!AL153</f>
        <v>49778.68019</v>
      </c>
      <c r="AL13" s="199">
        <f>Assumptions!AM153</f>
        <v>49778.6802</v>
      </c>
      <c r="AM13" s="199">
        <f>Assumptions!AN153</f>
        <v>49778.6802</v>
      </c>
      <c r="AN13" s="199">
        <f>Assumptions!AO153</f>
        <v>49778.6802</v>
      </c>
      <c r="AO13" s="199">
        <f>Assumptions!AP153</f>
        <v>49778.6802</v>
      </c>
      <c r="AP13" s="199">
        <f>Assumptions!AQ153</f>
        <v>49778.6802</v>
      </c>
      <c r="AQ13" s="199">
        <f>Assumptions!AR153</f>
        <v>49778.6802</v>
      </c>
      <c r="AR13" s="199">
        <f>Assumptions!AS153</f>
        <v>49778.6802</v>
      </c>
      <c r="AS13" s="199">
        <f>Assumptions!AT153</f>
        <v>49778.6802</v>
      </c>
      <c r="AT13" s="199">
        <f>Assumptions!AU153</f>
        <v>49778.6802</v>
      </c>
      <c r="AU13" s="199">
        <f>Assumptions!AV153</f>
        <v>49778.6802</v>
      </c>
      <c r="AV13" s="199">
        <f>Assumptions!AW153</f>
        <v>49778.6802</v>
      </c>
      <c r="AW13" s="199">
        <f>Assumptions!AX153</f>
        <v>49778.6802</v>
      </c>
      <c r="AX13" s="199">
        <f>Assumptions!AY153</f>
        <v>49778.6802</v>
      </c>
      <c r="AY13" s="199">
        <f>Assumptions!AZ153</f>
        <v>49778.6802</v>
      </c>
      <c r="AZ13" s="199">
        <f>Assumptions!BA153</f>
        <v>49778.6802</v>
      </c>
      <c r="BA13" s="199">
        <f>Assumptions!BB153</f>
        <v>49778.6802</v>
      </c>
      <c r="BB13" s="199">
        <f>Assumptions!BC153</f>
        <v>49778.6802</v>
      </c>
      <c r="BC13" s="199">
        <f>Assumptions!BD153</f>
        <v>49778.6802</v>
      </c>
      <c r="BD13" s="199">
        <f>Assumptions!BE153</f>
        <v>49778.6802</v>
      </c>
      <c r="BE13" s="199">
        <f>Assumptions!BF153</f>
        <v>49778.6802</v>
      </c>
      <c r="BF13" s="199">
        <f>Assumptions!BG153</f>
        <v>49778.6802</v>
      </c>
      <c r="BG13" s="199">
        <f>Assumptions!BH153</f>
        <v>49778.6802</v>
      </c>
      <c r="BH13" s="199">
        <f>Assumptions!BI153</f>
        <v>49778.6802</v>
      </c>
      <c r="BI13" s="199">
        <f>Assumptions!BJ153</f>
        <v>49778.6802</v>
      </c>
      <c r="BJ13" s="199">
        <f>Assumptions!BK153</f>
        <v>49778.6802</v>
      </c>
      <c r="BK13" s="199">
        <f>Assumptions!BL153</f>
        <v>49778.6802</v>
      </c>
      <c r="BL13" s="199">
        <f>Assumptions!BM153</f>
        <v>49778.6802</v>
      </c>
      <c r="BM13" s="199">
        <f>Assumptions!BN153</f>
        <v>49778.6802</v>
      </c>
      <c r="BN13" s="197"/>
    </row>
    <row r="14" outlineLevel="1">
      <c r="A14" s="197"/>
      <c r="B14" s="197"/>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row>
    <row r="15" outlineLevel="1">
      <c r="A15" s="197"/>
      <c r="B15" s="200" t="s">
        <v>161</v>
      </c>
      <c r="C15" s="201"/>
      <c r="D15" s="201"/>
      <c r="E15" s="201"/>
      <c r="F15" s="202">
        <f t="shared" ref="F15:BM15" si="6">F8-F13</f>
        <v>36161.1</v>
      </c>
      <c r="G15" s="202">
        <f t="shared" si="6"/>
        <v>55396.9665</v>
      </c>
      <c r="H15" s="202">
        <f t="shared" si="6"/>
        <v>65032.2295</v>
      </c>
      <c r="I15" s="202">
        <f t="shared" si="6"/>
        <v>69850.12094</v>
      </c>
      <c r="J15" s="202">
        <f t="shared" si="6"/>
        <v>72259.07056</v>
      </c>
      <c r="K15" s="202">
        <f t="shared" si="6"/>
        <v>73463.54543</v>
      </c>
      <c r="L15" s="202">
        <f t="shared" si="6"/>
        <v>74065.78287</v>
      </c>
      <c r="M15" s="202">
        <f t="shared" si="6"/>
        <v>74366.90159</v>
      </c>
      <c r="N15" s="202">
        <f t="shared" si="6"/>
        <v>74517.46095</v>
      </c>
      <c r="O15" s="202">
        <f t="shared" si="6"/>
        <v>74592.74063</v>
      </c>
      <c r="P15" s="202">
        <f t="shared" si="6"/>
        <v>74630.38046</v>
      </c>
      <c r="Q15" s="202">
        <f t="shared" si="6"/>
        <v>74649.20038</v>
      </c>
      <c r="R15" s="202">
        <f t="shared" si="6"/>
        <v>74658.61034</v>
      </c>
      <c r="S15" s="202">
        <f t="shared" si="6"/>
        <v>74663.31532</v>
      </c>
      <c r="T15" s="202">
        <f t="shared" si="6"/>
        <v>74665.66781</v>
      </c>
      <c r="U15" s="202">
        <f t="shared" si="6"/>
        <v>74666.84406</v>
      </c>
      <c r="V15" s="202">
        <f t="shared" si="6"/>
        <v>74667.43218</v>
      </c>
      <c r="W15" s="202">
        <f t="shared" si="6"/>
        <v>74667.72624</v>
      </c>
      <c r="X15" s="202">
        <f t="shared" si="6"/>
        <v>74667.87327</v>
      </c>
      <c r="Y15" s="202">
        <f t="shared" si="6"/>
        <v>74667.94679</v>
      </c>
      <c r="Z15" s="202">
        <f t="shared" si="6"/>
        <v>74667.98355</v>
      </c>
      <c r="AA15" s="202">
        <f t="shared" si="6"/>
        <v>74668.00193</v>
      </c>
      <c r="AB15" s="202">
        <f t="shared" si="6"/>
        <v>74668.01112</v>
      </c>
      <c r="AC15" s="202">
        <f t="shared" si="6"/>
        <v>74668.01571</v>
      </c>
      <c r="AD15" s="202">
        <f t="shared" si="6"/>
        <v>74668.01801</v>
      </c>
      <c r="AE15" s="202">
        <f t="shared" si="6"/>
        <v>74668.01916</v>
      </c>
      <c r="AF15" s="202">
        <f t="shared" si="6"/>
        <v>74668.01973</v>
      </c>
      <c r="AG15" s="202">
        <f t="shared" si="6"/>
        <v>74668.02002</v>
      </c>
      <c r="AH15" s="202">
        <f t="shared" si="6"/>
        <v>74668.02016</v>
      </c>
      <c r="AI15" s="202">
        <f t="shared" si="6"/>
        <v>74668.02023</v>
      </c>
      <c r="AJ15" s="202">
        <f t="shared" si="6"/>
        <v>74668.02027</v>
      </c>
      <c r="AK15" s="202">
        <f t="shared" si="6"/>
        <v>74668.02029</v>
      </c>
      <c r="AL15" s="202">
        <f t="shared" si="6"/>
        <v>74668.0203</v>
      </c>
      <c r="AM15" s="202">
        <f t="shared" si="6"/>
        <v>74668.0203</v>
      </c>
      <c r="AN15" s="202">
        <f t="shared" si="6"/>
        <v>74668.0203</v>
      </c>
      <c r="AO15" s="202">
        <f t="shared" si="6"/>
        <v>74668.0203</v>
      </c>
      <c r="AP15" s="202">
        <f t="shared" si="6"/>
        <v>74668.0203</v>
      </c>
      <c r="AQ15" s="202">
        <f t="shared" si="6"/>
        <v>74668.0203</v>
      </c>
      <c r="AR15" s="202">
        <f t="shared" si="6"/>
        <v>74668.0203</v>
      </c>
      <c r="AS15" s="202">
        <f t="shared" si="6"/>
        <v>74668.0203</v>
      </c>
      <c r="AT15" s="202">
        <f t="shared" si="6"/>
        <v>74668.0203</v>
      </c>
      <c r="AU15" s="202">
        <f t="shared" si="6"/>
        <v>74668.0203</v>
      </c>
      <c r="AV15" s="202">
        <f t="shared" si="6"/>
        <v>74668.0203</v>
      </c>
      <c r="AW15" s="202">
        <f t="shared" si="6"/>
        <v>74668.0203</v>
      </c>
      <c r="AX15" s="202">
        <f t="shared" si="6"/>
        <v>74668.0203</v>
      </c>
      <c r="AY15" s="202">
        <f t="shared" si="6"/>
        <v>74668.0203</v>
      </c>
      <c r="AZ15" s="202">
        <f t="shared" si="6"/>
        <v>74668.0203</v>
      </c>
      <c r="BA15" s="202">
        <f t="shared" si="6"/>
        <v>74668.0203</v>
      </c>
      <c r="BB15" s="202">
        <f t="shared" si="6"/>
        <v>74668.0203</v>
      </c>
      <c r="BC15" s="202">
        <f t="shared" si="6"/>
        <v>74668.0203</v>
      </c>
      <c r="BD15" s="202">
        <f t="shared" si="6"/>
        <v>74668.0203</v>
      </c>
      <c r="BE15" s="202">
        <f t="shared" si="6"/>
        <v>74668.0203</v>
      </c>
      <c r="BF15" s="202">
        <f t="shared" si="6"/>
        <v>74668.0203</v>
      </c>
      <c r="BG15" s="202">
        <f t="shared" si="6"/>
        <v>74668.0203</v>
      </c>
      <c r="BH15" s="202">
        <f t="shared" si="6"/>
        <v>74668.0203</v>
      </c>
      <c r="BI15" s="202">
        <f t="shared" si="6"/>
        <v>74668.0203</v>
      </c>
      <c r="BJ15" s="202">
        <f t="shared" si="6"/>
        <v>74668.0203</v>
      </c>
      <c r="BK15" s="202">
        <f t="shared" si="6"/>
        <v>74668.0203</v>
      </c>
      <c r="BL15" s="202">
        <f t="shared" si="6"/>
        <v>74668.0203</v>
      </c>
      <c r="BM15" s="202">
        <f t="shared" si="6"/>
        <v>74668.0203</v>
      </c>
      <c r="BN15" s="197"/>
    </row>
    <row r="16" outlineLevel="1">
      <c r="A16" s="203"/>
      <c r="B16" s="204" t="s">
        <v>162</v>
      </c>
      <c r="C16" s="203"/>
      <c r="D16" s="203"/>
      <c r="E16" s="203"/>
      <c r="F16" s="205">
        <f t="shared" ref="F16:BM16" si="7">F15/F8</f>
        <v>0.6</v>
      </c>
      <c r="G16" s="205">
        <f t="shared" si="7"/>
        <v>0.6</v>
      </c>
      <c r="H16" s="205">
        <f t="shared" si="7"/>
        <v>0.6</v>
      </c>
      <c r="I16" s="205">
        <f t="shared" si="7"/>
        <v>0.6</v>
      </c>
      <c r="J16" s="205">
        <f t="shared" si="7"/>
        <v>0.6</v>
      </c>
      <c r="K16" s="205">
        <f t="shared" si="7"/>
        <v>0.6</v>
      </c>
      <c r="L16" s="205">
        <f t="shared" si="7"/>
        <v>0.6</v>
      </c>
      <c r="M16" s="205">
        <f t="shared" si="7"/>
        <v>0.6</v>
      </c>
      <c r="N16" s="205">
        <f t="shared" si="7"/>
        <v>0.6</v>
      </c>
      <c r="O16" s="205">
        <f t="shared" si="7"/>
        <v>0.6</v>
      </c>
      <c r="P16" s="205">
        <f t="shared" si="7"/>
        <v>0.6</v>
      </c>
      <c r="Q16" s="205">
        <f t="shared" si="7"/>
        <v>0.6</v>
      </c>
      <c r="R16" s="205">
        <f t="shared" si="7"/>
        <v>0.6</v>
      </c>
      <c r="S16" s="205">
        <f t="shared" si="7"/>
        <v>0.6</v>
      </c>
      <c r="T16" s="205">
        <f t="shared" si="7"/>
        <v>0.6</v>
      </c>
      <c r="U16" s="205">
        <f t="shared" si="7"/>
        <v>0.6</v>
      </c>
      <c r="V16" s="205">
        <f t="shared" si="7"/>
        <v>0.6</v>
      </c>
      <c r="W16" s="205">
        <f t="shared" si="7"/>
        <v>0.6</v>
      </c>
      <c r="X16" s="205">
        <f t="shared" si="7"/>
        <v>0.6</v>
      </c>
      <c r="Y16" s="205">
        <f t="shared" si="7"/>
        <v>0.6</v>
      </c>
      <c r="Z16" s="205">
        <f t="shared" si="7"/>
        <v>0.6</v>
      </c>
      <c r="AA16" s="205">
        <f t="shared" si="7"/>
        <v>0.6</v>
      </c>
      <c r="AB16" s="205">
        <f t="shared" si="7"/>
        <v>0.6</v>
      </c>
      <c r="AC16" s="205">
        <f t="shared" si="7"/>
        <v>0.6</v>
      </c>
      <c r="AD16" s="205">
        <f t="shared" si="7"/>
        <v>0.6</v>
      </c>
      <c r="AE16" s="205">
        <f t="shared" si="7"/>
        <v>0.6</v>
      </c>
      <c r="AF16" s="205">
        <f t="shared" si="7"/>
        <v>0.6</v>
      </c>
      <c r="AG16" s="205">
        <f t="shared" si="7"/>
        <v>0.6</v>
      </c>
      <c r="AH16" s="205">
        <f t="shared" si="7"/>
        <v>0.6</v>
      </c>
      <c r="AI16" s="205">
        <f t="shared" si="7"/>
        <v>0.6</v>
      </c>
      <c r="AJ16" s="205">
        <f t="shared" si="7"/>
        <v>0.6</v>
      </c>
      <c r="AK16" s="205">
        <f t="shared" si="7"/>
        <v>0.6</v>
      </c>
      <c r="AL16" s="205">
        <f t="shared" si="7"/>
        <v>0.6</v>
      </c>
      <c r="AM16" s="205">
        <f t="shared" si="7"/>
        <v>0.6</v>
      </c>
      <c r="AN16" s="205">
        <f t="shared" si="7"/>
        <v>0.6</v>
      </c>
      <c r="AO16" s="205">
        <f t="shared" si="7"/>
        <v>0.6</v>
      </c>
      <c r="AP16" s="205">
        <f t="shared" si="7"/>
        <v>0.6</v>
      </c>
      <c r="AQ16" s="205">
        <f t="shared" si="7"/>
        <v>0.6</v>
      </c>
      <c r="AR16" s="205">
        <f t="shared" si="7"/>
        <v>0.6</v>
      </c>
      <c r="AS16" s="205">
        <f t="shared" si="7"/>
        <v>0.6</v>
      </c>
      <c r="AT16" s="205">
        <f t="shared" si="7"/>
        <v>0.6</v>
      </c>
      <c r="AU16" s="205">
        <f t="shared" si="7"/>
        <v>0.6</v>
      </c>
      <c r="AV16" s="205">
        <f t="shared" si="7"/>
        <v>0.6</v>
      </c>
      <c r="AW16" s="205">
        <f t="shared" si="7"/>
        <v>0.6</v>
      </c>
      <c r="AX16" s="205">
        <f t="shared" si="7"/>
        <v>0.6</v>
      </c>
      <c r="AY16" s="205">
        <f t="shared" si="7"/>
        <v>0.6</v>
      </c>
      <c r="AZ16" s="205">
        <f t="shared" si="7"/>
        <v>0.6</v>
      </c>
      <c r="BA16" s="205">
        <f t="shared" si="7"/>
        <v>0.6</v>
      </c>
      <c r="BB16" s="205">
        <f t="shared" si="7"/>
        <v>0.6</v>
      </c>
      <c r="BC16" s="205">
        <f t="shared" si="7"/>
        <v>0.6</v>
      </c>
      <c r="BD16" s="205">
        <f t="shared" si="7"/>
        <v>0.6</v>
      </c>
      <c r="BE16" s="205">
        <f t="shared" si="7"/>
        <v>0.6</v>
      </c>
      <c r="BF16" s="205">
        <f t="shared" si="7"/>
        <v>0.6</v>
      </c>
      <c r="BG16" s="205">
        <f t="shared" si="7"/>
        <v>0.6</v>
      </c>
      <c r="BH16" s="205">
        <f t="shared" si="7"/>
        <v>0.6</v>
      </c>
      <c r="BI16" s="205">
        <f t="shared" si="7"/>
        <v>0.6</v>
      </c>
      <c r="BJ16" s="205">
        <f t="shared" si="7"/>
        <v>0.6</v>
      </c>
      <c r="BK16" s="205">
        <f t="shared" si="7"/>
        <v>0.6</v>
      </c>
      <c r="BL16" s="205">
        <f t="shared" si="7"/>
        <v>0.6</v>
      </c>
      <c r="BM16" s="205">
        <f t="shared" si="7"/>
        <v>0.6</v>
      </c>
      <c r="BN16" s="203"/>
    </row>
    <row r="17" outlineLevel="1">
      <c r="A17" s="197"/>
      <c r="B17" s="197"/>
      <c r="C17" s="197"/>
      <c r="D17" s="197"/>
      <c r="E17" s="197"/>
      <c r="F17" s="197"/>
      <c r="G17" s="197"/>
      <c r="H17" s="197"/>
      <c r="I17" s="197"/>
      <c r="J17" s="197"/>
      <c r="K17" s="197"/>
      <c r="L17" s="197"/>
      <c r="M17" s="197"/>
      <c r="N17" s="197"/>
      <c r="O17" s="197"/>
      <c r="P17" s="197"/>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row>
    <row r="18" outlineLevel="1">
      <c r="A18" s="197"/>
      <c r="B18" s="206" t="s">
        <v>163</v>
      </c>
      <c r="C18" s="197"/>
      <c r="D18" s="197"/>
      <c r="E18" s="197"/>
      <c r="F18" s="197"/>
      <c r="G18" s="197"/>
      <c r="H18" s="197"/>
      <c r="I18" s="197"/>
      <c r="J18" s="197"/>
      <c r="K18" s="197"/>
      <c r="L18" s="197"/>
      <c r="M18" s="197"/>
      <c r="N18" s="197"/>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7"/>
      <c r="BK18" s="197"/>
      <c r="BL18" s="197"/>
      <c r="BM18" s="197"/>
      <c r="BN18" s="197"/>
    </row>
    <row r="19" outlineLevel="1">
      <c r="A19" s="197"/>
      <c r="B19" s="207" t="s">
        <v>164</v>
      </c>
      <c r="C19" s="197"/>
      <c r="D19" s="197"/>
      <c r="E19" s="197"/>
      <c r="F19" s="197">
        <f>SUM(Assumptions!G116:G140)</f>
        <v>202000</v>
      </c>
      <c r="G19" s="197">
        <f>SUM(Assumptions!H116:H140)</f>
        <v>202000</v>
      </c>
      <c r="H19" s="197">
        <f>SUM(Assumptions!I116:I140)</f>
        <v>202000</v>
      </c>
      <c r="I19" s="197">
        <f>SUM(Assumptions!J116:J140)</f>
        <v>202000</v>
      </c>
      <c r="J19" s="197">
        <f>SUM(Assumptions!K116:K140)</f>
        <v>202000</v>
      </c>
      <c r="K19" s="197">
        <f>SUM(Assumptions!L116:L140)</f>
        <v>202000</v>
      </c>
      <c r="L19" s="197">
        <f>SUM(Assumptions!M116:M140)</f>
        <v>202000</v>
      </c>
      <c r="M19" s="197">
        <f>SUM(Assumptions!N116:N140)</f>
        <v>202000</v>
      </c>
      <c r="N19" s="197">
        <f>SUM(Assumptions!O116:O140)</f>
        <v>202000</v>
      </c>
      <c r="O19" s="197">
        <f>SUM(Assumptions!P116:P140)</f>
        <v>202000</v>
      </c>
      <c r="P19" s="197">
        <f>SUM(Assumptions!Q116:Q140)</f>
        <v>202000</v>
      </c>
      <c r="Q19" s="197">
        <f>SUM(Assumptions!R116:R140)</f>
        <v>202000</v>
      </c>
      <c r="R19" s="197">
        <f>SUM(Assumptions!S116:S140)</f>
        <v>202000</v>
      </c>
      <c r="S19" s="197">
        <f>SUM(Assumptions!T116:T140)</f>
        <v>202000</v>
      </c>
      <c r="T19" s="197">
        <f>SUM(Assumptions!U116:U140)</f>
        <v>202000</v>
      </c>
      <c r="U19" s="197">
        <f>SUM(Assumptions!V116:V140)</f>
        <v>202000</v>
      </c>
      <c r="V19" s="197">
        <f>SUM(Assumptions!W116:W140)</f>
        <v>202000</v>
      </c>
      <c r="W19" s="197">
        <f>SUM(Assumptions!X116:X140)</f>
        <v>202000</v>
      </c>
      <c r="X19" s="197">
        <f>SUM(Assumptions!Y116:Y140)</f>
        <v>202000</v>
      </c>
      <c r="Y19" s="197">
        <f>SUM(Assumptions!Z116:Z140)</f>
        <v>202000</v>
      </c>
      <c r="Z19" s="197">
        <f>SUM(Assumptions!AA116:AA140)</f>
        <v>202000</v>
      </c>
      <c r="AA19" s="197">
        <f>SUM(Assumptions!AB116:AB140)</f>
        <v>202000</v>
      </c>
      <c r="AB19" s="197">
        <f>SUM(Assumptions!AC116:AC140)</f>
        <v>202000</v>
      </c>
      <c r="AC19" s="197">
        <f>SUM(Assumptions!AD116:AD140)</f>
        <v>202000</v>
      </c>
      <c r="AD19" s="197">
        <f>SUM(Assumptions!AE116:AE140)</f>
        <v>202000</v>
      </c>
      <c r="AE19" s="197">
        <f>SUM(Assumptions!AF116:AF140)</f>
        <v>202000</v>
      </c>
      <c r="AF19" s="197">
        <f>SUM(Assumptions!AG116:AG140)</f>
        <v>202000</v>
      </c>
      <c r="AG19" s="197">
        <f>SUM(Assumptions!AH116:AH140)</f>
        <v>202000</v>
      </c>
      <c r="AH19" s="197">
        <f>SUM(Assumptions!AI116:AI140)</f>
        <v>202000</v>
      </c>
      <c r="AI19" s="197">
        <f>SUM(Assumptions!AJ116:AJ140)</f>
        <v>202000</v>
      </c>
      <c r="AJ19" s="197">
        <f>SUM(Assumptions!AK116:AK140)</f>
        <v>202000</v>
      </c>
      <c r="AK19" s="197">
        <f>SUM(Assumptions!AL116:AL140)</f>
        <v>202000</v>
      </c>
      <c r="AL19" s="197">
        <f>SUM(Assumptions!AM116:AM140)</f>
        <v>202000</v>
      </c>
      <c r="AM19" s="197">
        <f>SUM(Assumptions!AN116:AN140)</f>
        <v>202000</v>
      </c>
      <c r="AN19" s="197">
        <f>SUM(Assumptions!AO116:AO140)</f>
        <v>202000</v>
      </c>
      <c r="AO19" s="197">
        <f>SUM(Assumptions!AP116:AP140)</f>
        <v>202000</v>
      </c>
      <c r="AP19" s="197">
        <f>SUM(Assumptions!AQ116:AQ140)</f>
        <v>202000</v>
      </c>
      <c r="AQ19" s="197">
        <f>SUM(Assumptions!AR116:AR140)</f>
        <v>202000</v>
      </c>
      <c r="AR19" s="197">
        <f>SUM(Assumptions!AS116:AS140)</f>
        <v>202000</v>
      </c>
      <c r="AS19" s="197">
        <f>SUM(Assumptions!AT116:AT140)</f>
        <v>202000</v>
      </c>
      <c r="AT19" s="197">
        <f>SUM(Assumptions!AU116:AU140)</f>
        <v>202000</v>
      </c>
      <c r="AU19" s="197">
        <f>SUM(Assumptions!AV116:AV140)</f>
        <v>202000</v>
      </c>
      <c r="AV19" s="197">
        <f>SUM(Assumptions!AW116:AW140)</f>
        <v>202000</v>
      </c>
      <c r="AW19" s="197">
        <f>SUM(Assumptions!AX116:AX140)</f>
        <v>202000</v>
      </c>
      <c r="AX19" s="197">
        <f>SUM(Assumptions!AY116:AY140)</f>
        <v>202000</v>
      </c>
      <c r="AY19" s="197">
        <f>SUM(Assumptions!AZ116:AZ140)</f>
        <v>202000</v>
      </c>
      <c r="AZ19" s="197">
        <f>SUM(Assumptions!BA116:BA140)</f>
        <v>202000</v>
      </c>
      <c r="BA19" s="197">
        <f>SUM(Assumptions!BB116:BB140)</f>
        <v>202000</v>
      </c>
      <c r="BB19" s="197">
        <f>SUM(Assumptions!BC116:BC140)</f>
        <v>202000</v>
      </c>
      <c r="BC19" s="197">
        <f>SUM(Assumptions!BD116:BD140)</f>
        <v>202000</v>
      </c>
      <c r="BD19" s="197">
        <f>SUM(Assumptions!BE116:BE140)</f>
        <v>202000</v>
      </c>
      <c r="BE19" s="197">
        <f>SUM(Assumptions!BF116:BF140)</f>
        <v>202000</v>
      </c>
      <c r="BF19" s="197">
        <f>SUM(Assumptions!BG116:BG140)</f>
        <v>202000</v>
      </c>
      <c r="BG19" s="197">
        <f>SUM(Assumptions!BH116:BH140)</f>
        <v>202000</v>
      </c>
      <c r="BH19" s="197">
        <f>SUM(Assumptions!BI116:BI140)</f>
        <v>202000</v>
      </c>
      <c r="BI19" s="197">
        <f>SUM(Assumptions!BJ116:BJ140)</f>
        <v>202000</v>
      </c>
      <c r="BJ19" s="197">
        <f>SUM(Assumptions!BK116:BK140)</f>
        <v>202000</v>
      </c>
      <c r="BK19" s="197">
        <f>SUM(Assumptions!BL116:BL140)</f>
        <v>202000</v>
      </c>
      <c r="BL19" s="197">
        <f>SUM(Assumptions!BM116:BM140)</f>
        <v>202000</v>
      </c>
      <c r="BM19" s="197">
        <f>SUM(Assumptions!BN116:BN140)</f>
        <v>202000</v>
      </c>
      <c r="BN19" s="197"/>
    </row>
    <row r="20" outlineLevel="1">
      <c r="A20" s="197"/>
      <c r="B20" s="197" t="str">
        <f>Assumptions!B155</f>
        <v>General &amp; Admin</v>
      </c>
      <c r="C20" s="197"/>
      <c r="D20" s="197"/>
      <c r="E20" s="197"/>
      <c r="F20" s="197">
        <f>sum(Assumptions!G156:G163)</f>
        <v>20000</v>
      </c>
      <c r="G20" s="197">
        <f>sum(Assumptions!H156:H163)</f>
        <v>20000</v>
      </c>
      <c r="H20" s="197">
        <f>sum(Assumptions!I156:I163)</f>
        <v>20000</v>
      </c>
      <c r="I20" s="197">
        <f>sum(Assumptions!J156:J163)</f>
        <v>20000</v>
      </c>
      <c r="J20" s="197">
        <f>sum(Assumptions!K156:K163)</f>
        <v>20000</v>
      </c>
      <c r="K20" s="197">
        <f>sum(Assumptions!L156:L163)</f>
        <v>20000</v>
      </c>
      <c r="L20" s="197">
        <f>sum(Assumptions!M156:M163)</f>
        <v>20000</v>
      </c>
      <c r="M20" s="197">
        <f>sum(Assumptions!N156:N163)</f>
        <v>20000</v>
      </c>
      <c r="N20" s="197">
        <f>sum(Assumptions!O156:O163)</f>
        <v>20000</v>
      </c>
      <c r="O20" s="197">
        <f>sum(Assumptions!P156:P163)</f>
        <v>20000</v>
      </c>
      <c r="P20" s="197">
        <f>sum(Assumptions!Q156:Q163)</f>
        <v>20000</v>
      </c>
      <c r="Q20" s="197">
        <f>sum(Assumptions!R156:R163)</f>
        <v>20000</v>
      </c>
      <c r="R20" s="197">
        <f>sum(Assumptions!S156:S163)</f>
        <v>20000</v>
      </c>
      <c r="S20" s="197">
        <f>sum(Assumptions!T156:T163)</f>
        <v>20000</v>
      </c>
      <c r="T20" s="197">
        <f>sum(Assumptions!U156:U163)</f>
        <v>20000</v>
      </c>
      <c r="U20" s="197">
        <f>sum(Assumptions!V156:V163)</f>
        <v>20000</v>
      </c>
      <c r="V20" s="197">
        <f>sum(Assumptions!W156:W163)</f>
        <v>20000</v>
      </c>
      <c r="W20" s="197">
        <f>sum(Assumptions!X156:X163)</f>
        <v>20000</v>
      </c>
      <c r="X20" s="197">
        <f>sum(Assumptions!Y156:Y163)</f>
        <v>20000</v>
      </c>
      <c r="Y20" s="197">
        <f>sum(Assumptions!Z156:Z163)</f>
        <v>20000</v>
      </c>
      <c r="Z20" s="197">
        <f>sum(Assumptions!AA156:AA163)</f>
        <v>20000</v>
      </c>
      <c r="AA20" s="197">
        <f>sum(Assumptions!AB156:AB163)</f>
        <v>20000</v>
      </c>
      <c r="AB20" s="197">
        <f>sum(Assumptions!AC156:AC163)</f>
        <v>20000</v>
      </c>
      <c r="AC20" s="197">
        <f>sum(Assumptions!AD156:AD163)</f>
        <v>20000</v>
      </c>
      <c r="AD20" s="197">
        <f>sum(Assumptions!AE156:AE163)</f>
        <v>20000</v>
      </c>
      <c r="AE20" s="197">
        <f>sum(Assumptions!AF156:AF163)</f>
        <v>20000</v>
      </c>
      <c r="AF20" s="197">
        <f>sum(Assumptions!AG156:AG163)</f>
        <v>20000</v>
      </c>
      <c r="AG20" s="197">
        <f>sum(Assumptions!AH156:AH163)</f>
        <v>20000</v>
      </c>
      <c r="AH20" s="197">
        <f>sum(Assumptions!AI156:AI163)</f>
        <v>20000</v>
      </c>
      <c r="AI20" s="197">
        <f>sum(Assumptions!AJ156:AJ163)</f>
        <v>20000</v>
      </c>
      <c r="AJ20" s="197">
        <f>sum(Assumptions!AK156:AK163)</f>
        <v>20000</v>
      </c>
      <c r="AK20" s="197">
        <f>sum(Assumptions!AL156:AL163)</f>
        <v>20000</v>
      </c>
      <c r="AL20" s="197">
        <f>sum(Assumptions!AM156:AM163)</f>
        <v>20000</v>
      </c>
      <c r="AM20" s="197">
        <f>sum(Assumptions!AN156:AN163)</f>
        <v>20000</v>
      </c>
      <c r="AN20" s="197">
        <f>sum(Assumptions!AO156:AO163)</f>
        <v>20000</v>
      </c>
      <c r="AO20" s="197">
        <f>sum(Assumptions!AP156:AP163)</f>
        <v>20000</v>
      </c>
      <c r="AP20" s="197">
        <f>sum(Assumptions!AQ156:AQ163)</f>
        <v>20000</v>
      </c>
      <c r="AQ20" s="197">
        <f>sum(Assumptions!AR156:AR163)</f>
        <v>20000</v>
      </c>
      <c r="AR20" s="197">
        <f>sum(Assumptions!AS156:AS163)</f>
        <v>20000</v>
      </c>
      <c r="AS20" s="197">
        <f>sum(Assumptions!AT156:AT163)</f>
        <v>20000</v>
      </c>
      <c r="AT20" s="197">
        <f>sum(Assumptions!AU156:AU163)</f>
        <v>20000</v>
      </c>
      <c r="AU20" s="197">
        <f>sum(Assumptions!AV156:AV163)</f>
        <v>20000</v>
      </c>
      <c r="AV20" s="197">
        <f>sum(Assumptions!AW156:AW163)</f>
        <v>20000</v>
      </c>
      <c r="AW20" s="197">
        <f>sum(Assumptions!AX156:AX163)</f>
        <v>20000</v>
      </c>
      <c r="AX20" s="197">
        <f>sum(Assumptions!AY156:AY163)</f>
        <v>20000</v>
      </c>
      <c r="AY20" s="197">
        <f>sum(Assumptions!AZ156:AZ163)</f>
        <v>20000</v>
      </c>
      <c r="AZ20" s="197">
        <f>sum(Assumptions!BA156:BA163)</f>
        <v>20000</v>
      </c>
      <c r="BA20" s="197">
        <f>sum(Assumptions!BB156:BB163)</f>
        <v>20000</v>
      </c>
      <c r="BB20" s="197">
        <f>sum(Assumptions!BC156:BC163)</f>
        <v>20000</v>
      </c>
      <c r="BC20" s="197">
        <f>sum(Assumptions!BD156:BD163)</f>
        <v>20000</v>
      </c>
      <c r="BD20" s="197">
        <f>sum(Assumptions!BE156:BE163)</f>
        <v>20000</v>
      </c>
      <c r="BE20" s="197">
        <f>sum(Assumptions!BF156:BF163)</f>
        <v>20000</v>
      </c>
      <c r="BF20" s="197">
        <f>sum(Assumptions!BG156:BG163)</f>
        <v>20000</v>
      </c>
      <c r="BG20" s="197">
        <f>sum(Assumptions!BH156:BH163)</f>
        <v>20000</v>
      </c>
      <c r="BH20" s="197">
        <f>sum(Assumptions!BI156:BI163)</f>
        <v>20000</v>
      </c>
      <c r="BI20" s="197">
        <f>sum(Assumptions!BJ156:BJ163)</f>
        <v>20000</v>
      </c>
      <c r="BJ20" s="197">
        <f>sum(Assumptions!BK156:BK163)</f>
        <v>20000</v>
      </c>
      <c r="BK20" s="197">
        <f>sum(Assumptions!BL156:BL163)</f>
        <v>20000</v>
      </c>
      <c r="BL20" s="197">
        <f>sum(Assumptions!BM156:BM163)</f>
        <v>20000</v>
      </c>
      <c r="BM20" s="197">
        <f>sum(Assumptions!BN156:BN163)</f>
        <v>20000</v>
      </c>
      <c r="BN20" s="197"/>
    </row>
    <row r="21" outlineLevel="1">
      <c r="A21" s="197"/>
      <c r="B21" s="207" t="str">
        <f>Assumptions!B166</f>
        <v>Sales &amp; Marketing</v>
      </c>
      <c r="C21" s="197"/>
      <c r="D21" s="197"/>
      <c r="E21" s="197"/>
      <c r="F21" s="197">
        <f>sum(Assumptions!G167:G168)</f>
        <v>14821.48</v>
      </c>
      <c r="G21" s="197">
        <f>sum(Assumptions!H167:H168)</f>
        <v>17386.2622</v>
      </c>
      <c r="H21" s="197">
        <f>sum(Assumptions!I167:I168)</f>
        <v>18670.96393</v>
      </c>
      <c r="I21" s="197">
        <f>sum(Assumptions!J167:J168)</f>
        <v>19313.34946</v>
      </c>
      <c r="J21" s="197">
        <f>sum(Assumptions!K167:K168)</f>
        <v>19634.54274</v>
      </c>
      <c r="K21" s="197">
        <f>sum(Assumptions!L167:L168)</f>
        <v>19795.13939</v>
      </c>
      <c r="L21" s="197">
        <f>sum(Assumptions!M167:M168)</f>
        <v>19875.43772</v>
      </c>
      <c r="M21" s="197">
        <f>sum(Assumptions!N167:N168)</f>
        <v>19915.58688</v>
      </c>
      <c r="N21" s="197">
        <f>sum(Assumptions!O167:O168)</f>
        <v>19935.66146</v>
      </c>
      <c r="O21" s="197">
        <f>sum(Assumptions!P167:P168)</f>
        <v>19945.69875</v>
      </c>
      <c r="P21" s="197">
        <f>sum(Assumptions!Q167:Q168)</f>
        <v>19950.7174</v>
      </c>
      <c r="Q21" s="197">
        <f>sum(Assumptions!R167:R168)</f>
        <v>19953.22672</v>
      </c>
      <c r="R21" s="197">
        <f>sum(Assumptions!S167:S168)</f>
        <v>19954.48138</v>
      </c>
      <c r="S21" s="197">
        <f>sum(Assumptions!T167:T168)</f>
        <v>19955.10871</v>
      </c>
      <c r="T21" s="197">
        <f>sum(Assumptions!U167:U168)</f>
        <v>19955.42238</v>
      </c>
      <c r="U21" s="197">
        <f>sum(Assumptions!V167:V168)</f>
        <v>19955.57921</v>
      </c>
      <c r="V21" s="197">
        <f>sum(Assumptions!W167:W168)</f>
        <v>19955.65762</v>
      </c>
      <c r="W21" s="197">
        <f>sum(Assumptions!X167:X168)</f>
        <v>19955.69683</v>
      </c>
      <c r="X21" s="197">
        <f>sum(Assumptions!Y167:Y168)</f>
        <v>19955.71644</v>
      </c>
      <c r="Y21" s="197">
        <f>sum(Assumptions!Z167:Z168)</f>
        <v>19955.72624</v>
      </c>
      <c r="Z21" s="197">
        <f>sum(Assumptions!AA167:AA168)</f>
        <v>19955.73114</v>
      </c>
      <c r="AA21" s="197">
        <f>sum(Assumptions!AB167:AB168)</f>
        <v>19955.73359</v>
      </c>
      <c r="AB21" s="197">
        <f>sum(Assumptions!AC167:AC168)</f>
        <v>19955.73482</v>
      </c>
      <c r="AC21" s="197">
        <f>sum(Assumptions!AD167:AD168)</f>
        <v>19955.73543</v>
      </c>
      <c r="AD21" s="197">
        <f>sum(Assumptions!AE167:AE168)</f>
        <v>19955.73573</v>
      </c>
      <c r="AE21" s="197">
        <f>sum(Assumptions!AF167:AF168)</f>
        <v>19955.73589</v>
      </c>
      <c r="AF21" s="197">
        <f>sum(Assumptions!AG167:AG168)</f>
        <v>19955.73596</v>
      </c>
      <c r="AG21" s="197">
        <f>sum(Assumptions!AH167:AH168)</f>
        <v>19955.736</v>
      </c>
      <c r="AH21" s="197">
        <f>sum(Assumptions!AI167:AI168)</f>
        <v>19955.73602</v>
      </c>
      <c r="AI21" s="197">
        <f>sum(Assumptions!AJ167:AJ168)</f>
        <v>19955.73603</v>
      </c>
      <c r="AJ21" s="197">
        <f>sum(Assumptions!AK167:AK168)</f>
        <v>19955.73604</v>
      </c>
      <c r="AK21" s="197">
        <f>sum(Assumptions!AL167:AL168)</f>
        <v>19955.73604</v>
      </c>
      <c r="AL21" s="197">
        <f>sum(Assumptions!AM167:AM168)</f>
        <v>19955.73604</v>
      </c>
      <c r="AM21" s="197">
        <f>sum(Assumptions!AN167:AN168)</f>
        <v>19955.73604</v>
      </c>
      <c r="AN21" s="197">
        <f>sum(Assumptions!AO167:AO168)</f>
        <v>19955.73604</v>
      </c>
      <c r="AO21" s="197">
        <f>sum(Assumptions!AP167:AP168)</f>
        <v>19955.73604</v>
      </c>
      <c r="AP21" s="197">
        <f>sum(Assumptions!AQ167:AQ168)</f>
        <v>19955.73604</v>
      </c>
      <c r="AQ21" s="197">
        <f>sum(Assumptions!AR167:AR168)</f>
        <v>19955.73604</v>
      </c>
      <c r="AR21" s="197">
        <f>sum(Assumptions!AS167:AS168)</f>
        <v>19955.73604</v>
      </c>
      <c r="AS21" s="197">
        <f>sum(Assumptions!AT167:AT168)</f>
        <v>19955.73604</v>
      </c>
      <c r="AT21" s="197">
        <f>sum(Assumptions!AU167:AU168)</f>
        <v>19955.73604</v>
      </c>
      <c r="AU21" s="197">
        <f>sum(Assumptions!AV167:AV168)</f>
        <v>19955.73604</v>
      </c>
      <c r="AV21" s="197">
        <f>sum(Assumptions!AW167:AW168)</f>
        <v>19955.73604</v>
      </c>
      <c r="AW21" s="197">
        <f>sum(Assumptions!AX167:AX168)</f>
        <v>19955.73604</v>
      </c>
      <c r="AX21" s="197">
        <f>sum(Assumptions!AY167:AY168)</f>
        <v>19955.73604</v>
      </c>
      <c r="AY21" s="197">
        <f>sum(Assumptions!AZ167:AZ168)</f>
        <v>19955.73604</v>
      </c>
      <c r="AZ21" s="197">
        <f>sum(Assumptions!BA167:BA168)</f>
        <v>19955.73604</v>
      </c>
      <c r="BA21" s="197">
        <f>sum(Assumptions!BB167:BB168)</f>
        <v>19955.73604</v>
      </c>
      <c r="BB21" s="197">
        <f>sum(Assumptions!BC167:BC168)</f>
        <v>19955.73604</v>
      </c>
      <c r="BC21" s="197">
        <f>sum(Assumptions!BD167:BD168)</f>
        <v>19955.73604</v>
      </c>
      <c r="BD21" s="197">
        <f>sum(Assumptions!BE167:BE168)</f>
        <v>19955.73604</v>
      </c>
      <c r="BE21" s="197">
        <f>sum(Assumptions!BF167:BF168)</f>
        <v>19955.73604</v>
      </c>
      <c r="BF21" s="197">
        <f>sum(Assumptions!BG167:BG168)</f>
        <v>19955.73604</v>
      </c>
      <c r="BG21" s="197">
        <f>sum(Assumptions!BH167:BH168)</f>
        <v>19955.73604</v>
      </c>
      <c r="BH21" s="197">
        <f>sum(Assumptions!BI167:BI168)</f>
        <v>19955.73604</v>
      </c>
      <c r="BI21" s="197">
        <f>sum(Assumptions!BJ167:BJ168)</f>
        <v>19955.73604</v>
      </c>
      <c r="BJ21" s="197">
        <f>sum(Assumptions!BK167:BK168)</f>
        <v>19955.73604</v>
      </c>
      <c r="BK21" s="197">
        <f>sum(Assumptions!BL167:BL168)</f>
        <v>19955.73604</v>
      </c>
      <c r="BL21" s="197">
        <f>sum(Assumptions!BM167:BM168)</f>
        <v>19955.73604</v>
      </c>
      <c r="BM21" s="197">
        <f>sum(Assumptions!BN167:BN168)</f>
        <v>19955.73604</v>
      </c>
      <c r="BN21" s="197"/>
    </row>
    <row r="22" outlineLevel="1">
      <c r="A22" s="197"/>
      <c r="B22" s="197" t="str">
        <f>Assumptions!B171</f>
        <v>Professional Fees</v>
      </c>
      <c r="C22" s="197"/>
      <c r="D22" s="197"/>
      <c r="E22" s="197"/>
      <c r="F22" s="197">
        <f>SUM(Assumptions!G172:G174)</f>
        <v>5000</v>
      </c>
      <c r="G22" s="197">
        <f>SUM(Assumptions!H172:H174)</f>
        <v>5000</v>
      </c>
      <c r="H22" s="197">
        <f>SUM(Assumptions!I172:I174)</f>
        <v>5000</v>
      </c>
      <c r="I22" s="197">
        <f>SUM(Assumptions!J172:J174)</f>
        <v>5000</v>
      </c>
      <c r="J22" s="197">
        <f>SUM(Assumptions!K172:K174)</f>
        <v>5000</v>
      </c>
      <c r="K22" s="197">
        <f>SUM(Assumptions!L172:L174)</f>
        <v>5000</v>
      </c>
      <c r="L22" s="197">
        <f>SUM(Assumptions!M172:M174)</f>
        <v>5000</v>
      </c>
      <c r="M22" s="197">
        <f>SUM(Assumptions!N172:N174)</f>
        <v>5000</v>
      </c>
      <c r="N22" s="197">
        <f>SUM(Assumptions!O172:O174)</f>
        <v>5000</v>
      </c>
      <c r="O22" s="197">
        <f>SUM(Assumptions!P172:P174)</f>
        <v>5000</v>
      </c>
      <c r="P22" s="197">
        <f>SUM(Assumptions!Q172:Q174)</f>
        <v>5000</v>
      </c>
      <c r="Q22" s="197">
        <f>SUM(Assumptions!R172:R174)</f>
        <v>5000</v>
      </c>
      <c r="R22" s="197">
        <f>SUM(Assumptions!S172:S174)</f>
        <v>5000</v>
      </c>
      <c r="S22" s="197">
        <f>SUM(Assumptions!T172:T174)</f>
        <v>5000</v>
      </c>
      <c r="T22" s="197">
        <f>SUM(Assumptions!U172:U174)</f>
        <v>5000</v>
      </c>
      <c r="U22" s="197">
        <f>SUM(Assumptions!V172:V174)</f>
        <v>5000</v>
      </c>
      <c r="V22" s="197">
        <f>SUM(Assumptions!W172:W174)</f>
        <v>5000</v>
      </c>
      <c r="W22" s="197">
        <f>SUM(Assumptions!X172:X174)</f>
        <v>5000</v>
      </c>
      <c r="X22" s="197">
        <f>SUM(Assumptions!Y172:Y174)</f>
        <v>5000</v>
      </c>
      <c r="Y22" s="197">
        <f>SUM(Assumptions!Z172:Z174)</f>
        <v>5000</v>
      </c>
      <c r="Z22" s="197">
        <f>SUM(Assumptions!AA172:AA174)</f>
        <v>5000</v>
      </c>
      <c r="AA22" s="197">
        <f>SUM(Assumptions!AB172:AB174)</f>
        <v>5000</v>
      </c>
      <c r="AB22" s="197">
        <f>SUM(Assumptions!AC172:AC174)</f>
        <v>5000</v>
      </c>
      <c r="AC22" s="197">
        <f>SUM(Assumptions!AD172:AD174)</f>
        <v>5000</v>
      </c>
      <c r="AD22" s="197">
        <f>SUM(Assumptions!AE172:AE174)</f>
        <v>5000</v>
      </c>
      <c r="AE22" s="197">
        <f>SUM(Assumptions!AF172:AF174)</f>
        <v>5000</v>
      </c>
      <c r="AF22" s="197">
        <f>SUM(Assumptions!AG172:AG174)</f>
        <v>5000</v>
      </c>
      <c r="AG22" s="197">
        <f>SUM(Assumptions!AH172:AH174)</f>
        <v>5000</v>
      </c>
      <c r="AH22" s="197">
        <f>SUM(Assumptions!AI172:AI174)</f>
        <v>5000</v>
      </c>
      <c r="AI22" s="197">
        <f>SUM(Assumptions!AJ172:AJ174)</f>
        <v>5000</v>
      </c>
      <c r="AJ22" s="197">
        <f>SUM(Assumptions!AK172:AK174)</f>
        <v>5000</v>
      </c>
      <c r="AK22" s="197">
        <f>SUM(Assumptions!AL172:AL174)</f>
        <v>5000</v>
      </c>
      <c r="AL22" s="197">
        <f>SUM(Assumptions!AM172:AM174)</f>
        <v>5000</v>
      </c>
      <c r="AM22" s="197">
        <f>SUM(Assumptions!AN172:AN174)</f>
        <v>5000</v>
      </c>
      <c r="AN22" s="197">
        <f>SUM(Assumptions!AO172:AO174)</f>
        <v>5000</v>
      </c>
      <c r="AO22" s="197">
        <f>SUM(Assumptions!AP172:AP174)</f>
        <v>5000</v>
      </c>
      <c r="AP22" s="197">
        <f>SUM(Assumptions!AQ172:AQ174)</f>
        <v>5000</v>
      </c>
      <c r="AQ22" s="197">
        <f>SUM(Assumptions!AR172:AR174)</f>
        <v>5000</v>
      </c>
      <c r="AR22" s="197">
        <f>SUM(Assumptions!AS172:AS174)</f>
        <v>5000</v>
      </c>
      <c r="AS22" s="197">
        <f>SUM(Assumptions!AT172:AT174)</f>
        <v>5000</v>
      </c>
      <c r="AT22" s="197">
        <f>SUM(Assumptions!AU172:AU174)</f>
        <v>5000</v>
      </c>
      <c r="AU22" s="197">
        <f>SUM(Assumptions!AV172:AV174)</f>
        <v>5000</v>
      </c>
      <c r="AV22" s="197">
        <f>SUM(Assumptions!AW172:AW174)</f>
        <v>5000</v>
      </c>
      <c r="AW22" s="197">
        <f>SUM(Assumptions!AX172:AX174)</f>
        <v>5000</v>
      </c>
      <c r="AX22" s="197">
        <f>SUM(Assumptions!AY172:AY174)</f>
        <v>5000</v>
      </c>
      <c r="AY22" s="197">
        <f>SUM(Assumptions!AZ172:AZ174)</f>
        <v>5000</v>
      </c>
      <c r="AZ22" s="197">
        <f>SUM(Assumptions!BA172:BA174)</f>
        <v>5000</v>
      </c>
      <c r="BA22" s="197">
        <f>SUM(Assumptions!BB172:BB174)</f>
        <v>5000</v>
      </c>
      <c r="BB22" s="197">
        <f>SUM(Assumptions!BC172:BC174)</f>
        <v>5000</v>
      </c>
      <c r="BC22" s="197">
        <f>SUM(Assumptions!BD172:BD174)</f>
        <v>5000</v>
      </c>
      <c r="BD22" s="197">
        <f>SUM(Assumptions!BE172:BE174)</f>
        <v>5000</v>
      </c>
      <c r="BE22" s="197">
        <f>SUM(Assumptions!BF172:BF174)</f>
        <v>5000</v>
      </c>
      <c r="BF22" s="197">
        <f>SUM(Assumptions!BG172:BG174)</f>
        <v>5000</v>
      </c>
      <c r="BG22" s="197">
        <f>SUM(Assumptions!BH172:BH174)</f>
        <v>5000</v>
      </c>
      <c r="BH22" s="197">
        <f>SUM(Assumptions!BI172:BI174)</f>
        <v>5000</v>
      </c>
      <c r="BI22" s="197">
        <f>SUM(Assumptions!BJ172:BJ174)</f>
        <v>5000</v>
      </c>
      <c r="BJ22" s="197">
        <f>SUM(Assumptions!BK172:BK174)</f>
        <v>5000</v>
      </c>
      <c r="BK22" s="197">
        <f>SUM(Assumptions!BL172:BL174)</f>
        <v>5000</v>
      </c>
      <c r="BL22" s="197">
        <f>SUM(Assumptions!BM172:BM174)</f>
        <v>5000</v>
      </c>
      <c r="BM22" s="197">
        <f>SUM(Assumptions!BN172:BN174)</f>
        <v>5000</v>
      </c>
      <c r="BN22" s="197"/>
    </row>
    <row r="23" outlineLevel="1">
      <c r="A23" s="197"/>
      <c r="B23" s="208" t="str">
        <f>Assumptions!B177</f>
        <v>Other</v>
      </c>
      <c r="C23" s="208"/>
      <c r="D23" s="208"/>
      <c r="E23" s="208"/>
      <c r="F23" s="208">
        <f>Assumptions!G178</f>
        <v>6026.85</v>
      </c>
      <c r="G23" s="208">
        <f>Assumptions!H178</f>
        <v>9232.82775</v>
      </c>
      <c r="H23" s="208">
        <f>Assumptions!I178</f>
        <v>10838.70492</v>
      </c>
      <c r="I23" s="208">
        <f>Assumptions!J178</f>
        <v>11641.68682</v>
      </c>
      <c r="J23" s="208">
        <f>Assumptions!K178</f>
        <v>12043.17843</v>
      </c>
      <c r="K23" s="208">
        <f>Assumptions!L178</f>
        <v>12243.92424</v>
      </c>
      <c r="L23" s="208">
        <f>Assumptions!M178</f>
        <v>12344.29714</v>
      </c>
      <c r="M23" s="208">
        <f>Assumptions!N178</f>
        <v>12394.4836</v>
      </c>
      <c r="N23" s="208">
        <f>Assumptions!O178</f>
        <v>12419.57682</v>
      </c>
      <c r="O23" s="208">
        <f>Assumptions!P178</f>
        <v>12432.12344</v>
      </c>
      <c r="P23" s="208">
        <f>Assumptions!Q178</f>
        <v>12438.39674</v>
      </c>
      <c r="Q23" s="208">
        <f>Assumptions!R178</f>
        <v>12441.5334</v>
      </c>
      <c r="R23" s="208">
        <f>Assumptions!S178</f>
        <v>12443.10172</v>
      </c>
      <c r="S23" s="208">
        <f>Assumptions!T178</f>
        <v>12443.88589</v>
      </c>
      <c r="T23" s="208">
        <f>Assumptions!U178</f>
        <v>12444.27797</v>
      </c>
      <c r="U23" s="208">
        <f>Assumptions!V178</f>
        <v>12444.47401</v>
      </c>
      <c r="V23" s="208">
        <f>Assumptions!W178</f>
        <v>12444.57203</v>
      </c>
      <c r="W23" s="208">
        <f>Assumptions!X178</f>
        <v>12444.62104</v>
      </c>
      <c r="X23" s="208">
        <f>Assumptions!Y178</f>
        <v>12444.64555</v>
      </c>
      <c r="Y23" s="208">
        <f>Assumptions!Z178</f>
        <v>12444.6578</v>
      </c>
      <c r="Z23" s="208">
        <f>Assumptions!AA178</f>
        <v>12444.66392</v>
      </c>
      <c r="AA23" s="208">
        <f>Assumptions!AB178</f>
        <v>12444.66699</v>
      </c>
      <c r="AB23" s="208">
        <f>Assumptions!AC178</f>
        <v>12444.66852</v>
      </c>
      <c r="AC23" s="208">
        <f>Assumptions!AD178</f>
        <v>12444.66928</v>
      </c>
      <c r="AD23" s="208">
        <f>Assumptions!AE178</f>
        <v>12444.66967</v>
      </c>
      <c r="AE23" s="208">
        <f>Assumptions!AF178</f>
        <v>12444.66986</v>
      </c>
      <c r="AF23" s="208">
        <f>Assumptions!AG178</f>
        <v>12444.66996</v>
      </c>
      <c r="AG23" s="208">
        <f>Assumptions!AH178</f>
        <v>12444.67</v>
      </c>
      <c r="AH23" s="208">
        <f>Assumptions!AI178</f>
        <v>12444.67003</v>
      </c>
      <c r="AI23" s="208">
        <f>Assumptions!AJ178</f>
        <v>12444.67004</v>
      </c>
      <c r="AJ23" s="208">
        <f>Assumptions!AK178</f>
        <v>12444.67004</v>
      </c>
      <c r="AK23" s="208">
        <f>Assumptions!AL178</f>
        <v>12444.67005</v>
      </c>
      <c r="AL23" s="208">
        <f>Assumptions!AM178</f>
        <v>12444.67005</v>
      </c>
      <c r="AM23" s="208">
        <f>Assumptions!AN178</f>
        <v>12444.67005</v>
      </c>
      <c r="AN23" s="208">
        <f>Assumptions!AO178</f>
        <v>12444.67005</v>
      </c>
      <c r="AO23" s="208">
        <f>Assumptions!AP178</f>
        <v>12444.67005</v>
      </c>
      <c r="AP23" s="208">
        <f>Assumptions!AQ178</f>
        <v>12444.67005</v>
      </c>
      <c r="AQ23" s="208">
        <f>Assumptions!AR178</f>
        <v>12444.67005</v>
      </c>
      <c r="AR23" s="208">
        <f>Assumptions!AS178</f>
        <v>12444.67005</v>
      </c>
      <c r="AS23" s="208">
        <f>Assumptions!AT178</f>
        <v>12444.67005</v>
      </c>
      <c r="AT23" s="208">
        <f>Assumptions!AU178</f>
        <v>12444.67005</v>
      </c>
      <c r="AU23" s="208">
        <f>Assumptions!AV178</f>
        <v>12444.67005</v>
      </c>
      <c r="AV23" s="208">
        <f>Assumptions!AW178</f>
        <v>12444.67005</v>
      </c>
      <c r="AW23" s="208">
        <f>Assumptions!AX178</f>
        <v>12444.67005</v>
      </c>
      <c r="AX23" s="208">
        <f>Assumptions!AY178</f>
        <v>12444.67005</v>
      </c>
      <c r="AY23" s="208">
        <f>Assumptions!AZ178</f>
        <v>12444.67005</v>
      </c>
      <c r="AZ23" s="208">
        <f>Assumptions!BA178</f>
        <v>12444.67005</v>
      </c>
      <c r="BA23" s="208">
        <f>Assumptions!BB178</f>
        <v>12444.67005</v>
      </c>
      <c r="BB23" s="208">
        <f>Assumptions!BC178</f>
        <v>12444.67005</v>
      </c>
      <c r="BC23" s="208">
        <f>Assumptions!BD178</f>
        <v>12444.67005</v>
      </c>
      <c r="BD23" s="208">
        <f>Assumptions!BE178</f>
        <v>12444.67005</v>
      </c>
      <c r="BE23" s="208">
        <f>Assumptions!BF178</f>
        <v>12444.67005</v>
      </c>
      <c r="BF23" s="208">
        <f>Assumptions!BG178</f>
        <v>12444.67005</v>
      </c>
      <c r="BG23" s="208">
        <f>Assumptions!BH178</f>
        <v>12444.67005</v>
      </c>
      <c r="BH23" s="208">
        <f>Assumptions!BI178</f>
        <v>12444.67005</v>
      </c>
      <c r="BI23" s="208">
        <f>Assumptions!BJ178</f>
        <v>12444.67005</v>
      </c>
      <c r="BJ23" s="208">
        <f>Assumptions!BK178</f>
        <v>12444.67005</v>
      </c>
      <c r="BK23" s="208">
        <f>Assumptions!BL178</f>
        <v>12444.67005</v>
      </c>
      <c r="BL23" s="208">
        <f>Assumptions!BM178</f>
        <v>12444.67005</v>
      </c>
      <c r="BM23" s="208">
        <f>Assumptions!BN178</f>
        <v>12444.67005</v>
      </c>
      <c r="BN23" s="197"/>
    </row>
    <row r="24" outlineLevel="1">
      <c r="A24" s="197"/>
      <c r="B24" s="206" t="s">
        <v>165</v>
      </c>
      <c r="C24" s="197"/>
      <c r="D24" s="197"/>
      <c r="E24" s="197"/>
      <c r="F24" s="209">
        <f t="shared" ref="F24:BM24" si="8">SUM(F19:F23)</f>
        <v>247848.33</v>
      </c>
      <c r="G24" s="209">
        <f t="shared" si="8"/>
        <v>253619.09</v>
      </c>
      <c r="H24" s="209">
        <f t="shared" si="8"/>
        <v>256509.6688</v>
      </c>
      <c r="I24" s="209">
        <f t="shared" si="8"/>
        <v>257955.0363</v>
      </c>
      <c r="J24" s="209">
        <f t="shared" si="8"/>
        <v>258677.7212</v>
      </c>
      <c r="K24" s="209">
        <f t="shared" si="8"/>
        <v>259039.0636</v>
      </c>
      <c r="L24" s="209">
        <f t="shared" si="8"/>
        <v>259219.7349</v>
      </c>
      <c r="M24" s="209">
        <f t="shared" si="8"/>
        <v>259310.0705</v>
      </c>
      <c r="N24" s="209">
        <f t="shared" si="8"/>
        <v>259355.2383</v>
      </c>
      <c r="O24" s="209">
        <f t="shared" si="8"/>
        <v>259377.8222</v>
      </c>
      <c r="P24" s="209">
        <f t="shared" si="8"/>
        <v>259389.1141</v>
      </c>
      <c r="Q24" s="209">
        <f t="shared" si="8"/>
        <v>259394.7601</v>
      </c>
      <c r="R24" s="209">
        <f t="shared" si="8"/>
        <v>259397.5831</v>
      </c>
      <c r="S24" s="209">
        <f t="shared" si="8"/>
        <v>259398.9946</v>
      </c>
      <c r="T24" s="209">
        <f t="shared" si="8"/>
        <v>259399.7003</v>
      </c>
      <c r="U24" s="209">
        <f t="shared" si="8"/>
        <v>259400.0532</v>
      </c>
      <c r="V24" s="209">
        <f t="shared" si="8"/>
        <v>259400.2297</v>
      </c>
      <c r="W24" s="209">
        <f t="shared" si="8"/>
        <v>259400.3179</v>
      </c>
      <c r="X24" s="209">
        <f t="shared" si="8"/>
        <v>259400.362</v>
      </c>
      <c r="Y24" s="209">
        <f t="shared" si="8"/>
        <v>259400.384</v>
      </c>
      <c r="Z24" s="209">
        <f t="shared" si="8"/>
        <v>259400.3951</v>
      </c>
      <c r="AA24" s="209">
        <f t="shared" si="8"/>
        <v>259400.4006</v>
      </c>
      <c r="AB24" s="209">
        <f t="shared" si="8"/>
        <v>259400.4033</v>
      </c>
      <c r="AC24" s="209">
        <f t="shared" si="8"/>
        <v>259400.4047</v>
      </c>
      <c r="AD24" s="209">
        <f t="shared" si="8"/>
        <v>259400.4054</v>
      </c>
      <c r="AE24" s="209">
        <f t="shared" si="8"/>
        <v>259400.4057</v>
      </c>
      <c r="AF24" s="209">
        <f t="shared" si="8"/>
        <v>259400.4059</v>
      </c>
      <c r="AG24" s="209">
        <f t="shared" si="8"/>
        <v>259400.406</v>
      </c>
      <c r="AH24" s="209">
        <f t="shared" si="8"/>
        <v>259400.406</v>
      </c>
      <c r="AI24" s="209">
        <f t="shared" si="8"/>
        <v>259400.4061</v>
      </c>
      <c r="AJ24" s="209">
        <f t="shared" si="8"/>
        <v>259400.4061</v>
      </c>
      <c r="AK24" s="209">
        <f t="shared" si="8"/>
        <v>259400.4061</v>
      </c>
      <c r="AL24" s="209">
        <f t="shared" si="8"/>
        <v>259400.4061</v>
      </c>
      <c r="AM24" s="209">
        <f t="shared" si="8"/>
        <v>259400.4061</v>
      </c>
      <c r="AN24" s="209">
        <f t="shared" si="8"/>
        <v>259400.4061</v>
      </c>
      <c r="AO24" s="209">
        <f t="shared" si="8"/>
        <v>259400.4061</v>
      </c>
      <c r="AP24" s="209">
        <f t="shared" si="8"/>
        <v>259400.4061</v>
      </c>
      <c r="AQ24" s="209">
        <f t="shared" si="8"/>
        <v>259400.4061</v>
      </c>
      <c r="AR24" s="209">
        <f t="shared" si="8"/>
        <v>259400.4061</v>
      </c>
      <c r="AS24" s="209">
        <f t="shared" si="8"/>
        <v>259400.4061</v>
      </c>
      <c r="AT24" s="209">
        <f t="shared" si="8"/>
        <v>259400.4061</v>
      </c>
      <c r="AU24" s="209">
        <f t="shared" si="8"/>
        <v>259400.4061</v>
      </c>
      <c r="AV24" s="209">
        <f t="shared" si="8"/>
        <v>259400.4061</v>
      </c>
      <c r="AW24" s="209">
        <f t="shared" si="8"/>
        <v>259400.4061</v>
      </c>
      <c r="AX24" s="209">
        <f t="shared" si="8"/>
        <v>259400.4061</v>
      </c>
      <c r="AY24" s="209">
        <f t="shared" si="8"/>
        <v>259400.4061</v>
      </c>
      <c r="AZ24" s="209">
        <f t="shared" si="8"/>
        <v>259400.4061</v>
      </c>
      <c r="BA24" s="209">
        <f t="shared" si="8"/>
        <v>259400.4061</v>
      </c>
      <c r="BB24" s="209">
        <f t="shared" si="8"/>
        <v>259400.4061</v>
      </c>
      <c r="BC24" s="209">
        <f t="shared" si="8"/>
        <v>259400.4061</v>
      </c>
      <c r="BD24" s="209">
        <f t="shared" si="8"/>
        <v>259400.4061</v>
      </c>
      <c r="BE24" s="209">
        <f t="shared" si="8"/>
        <v>259400.4061</v>
      </c>
      <c r="BF24" s="209">
        <f t="shared" si="8"/>
        <v>259400.4061</v>
      </c>
      <c r="BG24" s="209">
        <f t="shared" si="8"/>
        <v>259400.4061</v>
      </c>
      <c r="BH24" s="209">
        <f t="shared" si="8"/>
        <v>259400.4061</v>
      </c>
      <c r="BI24" s="209">
        <f t="shared" si="8"/>
        <v>259400.4061</v>
      </c>
      <c r="BJ24" s="209">
        <f t="shared" si="8"/>
        <v>259400.4061</v>
      </c>
      <c r="BK24" s="209">
        <f t="shared" si="8"/>
        <v>259400.4061</v>
      </c>
      <c r="BL24" s="209">
        <f t="shared" si="8"/>
        <v>259400.4061</v>
      </c>
      <c r="BM24" s="209">
        <f t="shared" si="8"/>
        <v>259400.4061</v>
      </c>
      <c r="BN24" s="197"/>
    </row>
    <row r="25" outlineLevel="1">
      <c r="A25" s="197"/>
      <c r="B25" s="197"/>
      <c r="C25" s="197"/>
      <c r="D25" s="197"/>
      <c r="E25" s="197"/>
      <c r="F25" s="197"/>
      <c r="G25" s="197"/>
      <c r="H25" s="197"/>
      <c r="I25" s="197"/>
      <c r="J25" s="197"/>
      <c r="K25" s="197"/>
      <c r="L25" s="197"/>
      <c r="M25" s="197"/>
      <c r="N25" s="197"/>
      <c r="O25" s="197"/>
      <c r="P25" s="197"/>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c r="BJ25" s="197"/>
      <c r="BK25" s="197"/>
      <c r="BL25" s="197"/>
      <c r="BM25" s="197"/>
      <c r="BN25" s="197"/>
    </row>
    <row r="26" outlineLevel="1">
      <c r="A26" s="197"/>
      <c r="B26" s="200" t="s">
        <v>166</v>
      </c>
      <c r="C26" s="201"/>
      <c r="D26" s="201"/>
      <c r="E26" s="201"/>
      <c r="F26" s="202">
        <f t="shared" ref="F26:BM26" si="9">F15-F24</f>
        <v>-211687.23</v>
      </c>
      <c r="G26" s="202">
        <f t="shared" si="9"/>
        <v>-198222.1235</v>
      </c>
      <c r="H26" s="202">
        <f t="shared" si="9"/>
        <v>-191477.4394</v>
      </c>
      <c r="I26" s="202">
        <f t="shared" si="9"/>
        <v>-188104.9153</v>
      </c>
      <c r="J26" s="202">
        <f t="shared" si="9"/>
        <v>-186418.6506</v>
      </c>
      <c r="K26" s="202">
        <f t="shared" si="9"/>
        <v>-185575.5182</v>
      </c>
      <c r="L26" s="202">
        <f t="shared" si="9"/>
        <v>-185153.952</v>
      </c>
      <c r="M26" s="202">
        <f t="shared" si="9"/>
        <v>-184943.1689</v>
      </c>
      <c r="N26" s="202">
        <f t="shared" si="9"/>
        <v>-184837.7773</v>
      </c>
      <c r="O26" s="202">
        <f t="shared" si="9"/>
        <v>-184785.0816</v>
      </c>
      <c r="P26" s="202">
        <f t="shared" si="9"/>
        <v>-184758.7337</v>
      </c>
      <c r="Q26" s="202">
        <f t="shared" si="9"/>
        <v>-184745.5597</v>
      </c>
      <c r="R26" s="202">
        <f t="shared" si="9"/>
        <v>-184738.9728</v>
      </c>
      <c r="S26" s="202">
        <f t="shared" si="9"/>
        <v>-184735.6793</v>
      </c>
      <c r="T26" s="202">
        <f t="shared" si="9"/>
        <v>-184734.0325</v>
      </c>
      <c r="U26" s="202">
        <f t="shared" si="9"/>
        <v>-184733.2092</v>
      </c>
      <c r="V26" s="202">
        <f t="shared" si="9"/>
        <v>-184732.7975</v>
      </c>
      <c r="W26" s="202">
        <f t="shared" si="9"/>
        <v>-184732.5916</v>
      </c>
      <c r="X26" s="202">
        <f t="shared" si="9"/>
        <v>-184732.4887</v>
      </c>
      <c r="Y26" s="202">
        <f t="shared" si="9"/>
        <v>-184732.4372</v>
      </c>
      <c r="Z26" s="202">
        <f t="shared" si="9"/>
        <v>-184732.4115</v>
      </c>
      <c r="AA26" s="202">
        <f t="shared" si="9"/>
        <v>-184732.3987</v>
      </c>
      <c r="AB26" s="202">
        <f t="shared" si="9"/>
        <v>-184732.3922</v>
      </c>
      <c r="AC26" s="202">
        <f t="shared" si="9"/>
        <v>-184732.389</v>
      </c>
      <c r="AD26" s="202">
        <f t="shared" si="9"/>
        <v>-184732.3874</v>
      </c>
      <c r="AE26" s="202">
        <f t="shared" si="9"/>
        <v>-184732.3866</v>
      </c>
      <c r="AF26" s="202">
        <f t="shared" si="9"/>
        <v>-184732.3862</v>
      </c>
      <c r="AG26" s="202">
        <f t="shared" si="9"/>
        <v>-184732.386</v>
      </c>
      <c r="AH26" s="202">
        <f t="shared" si="9"/>
        <v>-184732.3859</v>
      </c>
      <c r="AI26" s="202">
        <f t="shared" si="9"/>
        <v>-184732.3858</v>
      </c>
      <c r="AJ26" s="202">
        <f t="shared" si="9"/>
        <v>-184732.3858</v>
      </c>
      <c r="AK26" s="202">
        <f t="shared" si="9"/>
        <v>-184732.3858</v>
      </c>
      <c r="AL26" s="202">
        <f t="shared" si="9"/>
        <v>-184732.3858</v>
      </c>
      <c r="AM26" s="202">
        <f t="shared" si="9"/>
        <v>-184732.3858</v>
      </c>
      <c r="AN26" s="202">
        <f t="shared" si="9"/>
        <v>-184732.3858</v>
      </c>
      <c r="AO26" s="202">
        <f t="shared" si="9"/>
        <v>-184732.3858</v>
      </c>
      <c r="AP26" s="202">
        <f t="shared" si="9"/>
        <v>-184732.3858</v>
      </c>
      <c r="AQ26" s="202">
        <f t="shared" si="9"/>
        <v>-184732.3858</v>
      </c>
      <c r="AR26" s="202">
        <f t="shared" si="9"/>
        <v>-184732.3858</v>
      </c>
      <c r="AS26" s="202">
        <f t="shared" si="9"/>
        <v>-184732.3858</v>
      </c>
      <c r="AT26" s="202">
        <f t="shared" si="9"/>
        <v>-184732.3858</v>
      </c>
      <c r="AU26" s="202">
        <f t="shared" si="9"/>
        <v>-184732.3858</v>
      </c>
      <c r="AV26" s="202">
        <f t="shared" si="9"/>
        <v>-184732.3858</v>
      </c>
      <c r="AW26" s="202">
        <f t="shared" si="9"/>
        <v>-184732.3858</v>
      </c>
      <c r="AX26" s="202">
        <f t="shared" si="9"/>
        <v>-184732.3858</v>
      </c>
      <c r="AY26" s="202">
        <f t="shared" si="9"/>
        <v>-184732.3858</v>
      </c>
      <c r="AZ26" s="202">
        <f t="shared" si="9"/>
        <v>-184732.3858</v>
      </c>
      <c r="BA26" s="202">
        <f t="shared" si="9"/>
        <v>-184732.3858</v>
      </c>
      <c r="BB26" s="202">
        <f t="shared" si="9"/>
        <v>-184732.3858</v>
      </c>
      <c r="BC26" s="202">
        <f t="shared" si="9"/>
        <v>-184732.3858</v>
      </c>
      <c r="BD26" s="202">
        <f t="shared" si="9"/>
        <v>-184732.3858</v>
      </c>
      <c r="BE26" s="202">
        <f t="shared" si="9"/>
        <v>-184732.3858</v>
      </c>
      <c r="BF26" s="202">
        <f t="shared" si="9"/>
        <v>-184732.3858</v>
      </c>
      <c r="BG26" s="202">
        <f t="shared" si="9"/>
        <v>-184732.3858</v>
      </c>
      <c r="BH26" s="202">
        <f t="shared" si="9"/>
        <v>-184732.3858</v>
      </c>
      <c r="BI26" s="202">
        <f t="shared" si="9"/>
        <v>-184732.3858</v>
      </c>
      <c r="BJ26" s="202">
        <f t="shared" si="9"/>
        <v>-184732.3858</v>
      </c>
      <c r="BK26" s="202">
        <f t="shared" si="9"/>
        <v>-184732.3858</v>
      </c>
      <c r="BL26" s="202">
        <f t="shared" si="9"/>
        <v>-184732.3858</v>
      </c>
      <c r="BM26" s="202">
        <f t="shared" si="9"/>
        <v>-184732.3858</v>
      </c>
      <c r="BN26" s="197"/>
    </row>
    <row r="27" outlineLevel="1">
      <c r="A27" s="197"/>
      <c r="B27" s="207" t="s">
        <v>167</v>
      </c>
      <c r="C27" s="197"/>
      <c r="D27" s="197"/>
      <c r="E27" s="197"/>
      <c r="F27" s="197">
        <f>SUM(Assumptions!G201:G204)-sum(Assumptions!E201:E204)</f>
        <v>0</v>
      </c>
      <c r="G27" s="197">
        <f>SUM(Assumptions!H201:H204)-sum(Assumptions!G201:G204)</f>
        <v>0</v>
      </c>
      <c r="H27" s="197">
        <f>SUM(Assumptions!I201:I204)-sum(Assumptions!H201:H204)</f>
        <v>0</v>
      </c>
      <c r="I27" s="197">
        <f>SUM(Assumptions!J201:J204)-sum(Assumptions!I201:I204)</f>
        <v>0</v>
      </c>
      <c r="J27" s="197">
        <f>SUM(Assumptions!K201:K204)-sum(Assumptions!J201:J204)</f>
        <v>0</v>
      </c>
      <c r="K27" s="197">
        <f>SUM(Assumptions!L201:L204)-sum(Assumptions!K201:K204)</f>
        <v>0</v>
      </c>
      <c r="L27" s="197">
        <f>SUM(Assumptions!M201:M204)-sum(Assumptions!L201:L204)</f>
        <v>0</v>
      </c>
      <c r="M27" s="197">
        <f>SUM(Assumptions!N201:N204)-sum(Assumptions!M201:M204)</f>
        <v>0</v>
      </c>
      <c r="N27" s="197">
        <f>SUM(Assumptions!O201:O204)-sum(Assumptions!N201:N204)</f>
        <v>0</v>
      </c>
      <c r="O27" s="197">
        <f>SUM(Assumptions!P201:P204)-sum(Assumptions!O201:O204)</f>
        <v>0</v>
      </c>
      <c r="P27" s="197">
        <f>SUM(Assumptions!Q201:Q204)-sum(Assumptions!P201:P204)</f>
        <v>0</v>
      </c>
      <c r="Q27" s="197">
        <f>SUM(Assumptions!R201:R204)-sum(Assumptions!Q201:Q204)</f>
        <v>0</v>
      </c>
      <c r="R27" s="197">
        <f>SUM(Assumptions!S201:S204)-sum(Assumptions!R201:R204)</f>
        <v>0</v>
      </c>
      <c r="S27" s="197">
        <f>SUM(Assumptions!T201:T204)-sum(Assumptions!S201:S204)</f>
        <v>0</v>
      </c>
      <c r="T27" s="197">
        <f>SUM(Assumptions!U201:U204)-sum(Assumptions!T201:T204)</f>
        <v>0</v>
      </c>
      <c r="U27" s="197">
        <f>SUM(Assumptions!V201:V204)-sum(Assumptions!U201:U204)</f>
        <v>0</v>
      </c>
      <c r="V27" s="197">
        <f>SUM(Assumptions!W201:W204)-sum(Assumptions!V201:V204)</f>
        <v>0</v>
      </c>
      <c r="W27" s="197">
        <f>SUM(Assumptions!X201:X204)-sum(Assumptions!W201:W204)</f>
        <v>0</v>
      </c>
      <c r="X27" s="197">
        <f>SUM(Assumptions!Y201:Y204)-sum(Assumptions!X201:X204)</f>
        <v>0</v>
      </c>
      <c r="Y27" s="197">
        <f>SUM(Assumptions!Z201:Z204)-sum(Assumptions!Y201:Y204)</f>
        <v>0</v>
      </c>
      <c r="Z27" s="197">
        <f>SUM(Assumptions!AA201:AA204)-sum(Assumptions!Z201:Z204)</f>
        <v>0</v>
      </c>
      <c r="AA27" s="197">
        <f>SUM(Assumptions!AB201:AB204)-sum(Assumptions!AA201:AA204)</f>
        <v>0</v>
      </c>
      <c r="AB27" s="197">
        <f>SUM(Assumptions!AC201:AC204)-sum(Assumptions!AB201:AB204)</f>
        <v>0</v>
      </c>
      <c r="AC27" s="197">
        <f>SUM(Assumptions!AD201:AD204)-sum(Assumptions!AC201:AC204)</f>
        <v>0</v>
      </c>
      <c r="AD27" s="197">
        <f>SUM(Assumptions!AE201:AE204)-sum(Assumptions!AD201:AD204)</f>
        <v>0</v>
      </c>
      <c r="AE27" s="197">
        <f>SUM(Assumptions!AF201:AF204)-sum(Assumptions!AE201:AE204)</f>
        <v>0</v>
      </c>
      <c r="AF27" s="197">
        <f>SUM(Assumptions!AG201:AG204)-sum(Assumptions!AF201:AF204)</f>
        <v>0</v>
      </c>
      <c r="AG27" s="197">
        <f>SUM(Assumptions!AH201:AH204)-sum(Assumptions!AG201:AG204)</f>
        <v>0</v>
      </c>
      <c r="AH27" s="197">
        <f>SUM(Assumptions!AI201:AI204)-sum(Assumptions!AH201:AH204)</f>
        <v>0</v>
      </c>
      <c r="AI27" s="197">
        <f>SUM(Assumptions!AJ201:AJ204)-sum(Assumptions!AI201:AI204)</f>
        <v>0</v>
      </c>
      <c r="AJ27" s="197">
        <f>SUM(Assumptions!AK201:AK204)-sum(Assumptions!AJ201:AJ204)</f>
        <v>0</v>
      </c>
      <c r="AK27" s="197">
        <f>SUM(Assumptions!AL201:AL204)-sum(Assumptions!AK201:AK204)</f>
        <v>0</v>
      </c>
      <c r="AL27" s="197">
        <f>SUM(Assumptions!AM201:AM204)-sum(Assumptions!AL201:AL204)</f>
        <v>0</v>
      </c>
      <c r="AM27" s="197">
        <f>SUM(Assumptions!AN201:AN204)-sum(Assumptions!AM201:AM204)</f>
        <v>0</v>
      </c>
      <c r="AN27" s="197">
        <f>SUM(Assumptions!AO201:AO204)-sum(Assumptions!AN201:AN204)</f>
        <v>0</v>
      </c>
      <c r="AO27" s="197">
        <f>SUM(Assumptions!AP201:AP204)-sum(Assumptions!AO201:AO204)</f>
        <v>0</v>
      </c>
      <c r="AP27" s="197">
        <f>SUM(Assumptions!AQ201:AQ204)-sum(Assumptions!AP201:AP204)</f>
        <v>0</v>
      </c>
      <c r="AQ27" s="197">
        <f>SUM(Assumptions!AR201:AR204)-sum(Assumptions!AQ201:AQ204)</f>
        <v>0</v>
      </c>
      <c r="AR27" s="197">
        <f>SUM(Assumptions!AS201:AS204)-sum(Assumptions!AR201:AR204)</f>
        <v>0</v>
      </c>
      <c r="AS27" s="197">
        <f>SUM(Assumptions!AT201:AT204)-sum(Assumptions!AS201:AS204)</f>
        <v>0</v>
      </c>
      <c r="AT27" s="197">
        <f>SUM(Assumptions!AU201:AU204)-sum(Assumptions!AT201:AT204)</f>
        <v>0</v>
      </c>
      <c r="AU27" s="197">
        <f>SUM(Assumptions!AV201:AV204)-sum(Assumptions!AU201:AU204)</f>
        <v>0</v>
      </c>
      <c r="AV27" s="197">
        <f>SUM(Assumptions!AW201:AW204)-sum(Assumptions!AV201:AV204)</f>
        <v>0</v>
      </c>
      <c r="AW27" s="197">
        <f>SUM(Assumptions!AX201:AX204)-sum(Assumptions!AW201:AW204)</f>
        <v>0</v>
      </c>
      <c r="AX27" s="197">
        <f>SUM(Assumptions!AY201:AY204)-sum(Assumptions!AX201:AX204)</f>
        <v>0</v>
      </c>
      <c r="AY27" s="197">
        <f>SUM(Assumptions!AZ201:AZ204)-sum(Assumptions!AY201:AY204)</f>
        <v>0</v>
      </c>
      <c r="AZ27" s="197">
        <f>SUM(Assumptions!BA201:BA204)-sum(Assumptions!AZ201:AZ204)</f>
        <v>0</v>
      </c>
      <c r="BA27" s="197">
        <f>SUM(Assumptions!BB201:BB204)-sum(Assumptions!BA201:BA204)</f>
        <v>0</v>
      </c>
      <c r="BB27" s="197">
        <f>SUM(Assumptions!BC201:BC204)-sum(Assumptions!BB201:BB204)</f>
        <v>0</v>
      </c>
      <c r="BC27" s="197">
        <f>SUM(Assumptions!BD201:BD204)-sum(Assumptions!BC201:BC204)</f>
        <v>0</v>
      </c>
      <c r="BD27" s="197">
        <f>SUM(Assumptions!BE201:BE204)-sum(Assumptions!BD201:BD204)</f>
        <v>0</v>
      </c>
      <c r="BE27" s="197">
        <f>SUM(Assumptions!BF201:BF204)-sum(Assumptions!BE201:BE204)</f>
        <v>0</v>
      </c>
      <c r="BF27" s="197">
        <f>SUM(Assumptions!BG201:BG204)-sum(Assumptions!BF201:BF204)</f>
        <v>0</v>
      </c>
      <c r="BG27" s="197">
        <f>SUM(Assumptions!BH201:BH204)-sum(Assumptions!BG201:BG204)</f>
        <v>0</v>
      </c>
      <c r="BH27" s="197">
        <f>SUM(Assumptions!BI201:BI204)-sum(Assumptions!BH201:BH204)</f>
        <v>0</v>
      </c>
      <c r="BI27" s="197">
        <f>SUM(Assumptions!BJ201:BJ204)-sum(Assumptions!BI201:BI204)</f>
        <v>0</v>
      </c>
      <c r="BJ27" s="197">
        <f>SUM(Assumptions!BK201:BK204)-sum(Assumptions!BJ201:BJ204)</f>
        <v>0</v>
      </c>
      <c r="BK27" s="197">
        <f>SUM(Assumptions!BL201:BL204)-sum(Assumptions!BK201:BK204)</f>
        <v>0</v>
      </c>
      <c r="BL27" s="197">
        <f>SUM(Assumptions!BM201:BM204)-sum(Assumptions!BL201:BL204)</f>
        <v>0</v>
      </c>
      <c r="BM27" s="197">
        <f>SUM(Assumptions!BN201:BN204)-sum(Assumptions!BM201:BM204)</f>
        <v>0</v>
      </c>
      <c r="BN27" s="197"/>
    </row>
    <row r="28" outlineLevel="1">
      <c r="A28" s="197"/>
      <c r="B28" s="200" t="s">
        <v>168</v>
      </c>
      <c r="C28" s="201"/>
      <c r="D28" s="201"/>
      <c r="E28" s="201"/>
      <c r="F28" s="202">
        <f t="shared" ref="F28:BM28" si="10">F26-F27</f>
        <v>-211687.23</v>
      </c>
      <c r="G28" s="202">
        <f t="shared" si="10"/>
        <v>-198222.1235</v>
      </c>
      <c r="H28" s="202">
        <f t="shared" si="10"/>
        <v>-191477.4394</v>
      </c>
      <c r="I28" s="202">
        <f t="shared" si="10"/>
        <v>-188104.9153</v>
      </c>
      <c r="J28" s="202">
        <f t="shared" si="10"/>
        <v>-186418.6506</v>
      </c>
      <c r="K28" s="202">
        <f t="shared" si="10"/>
        <v>-185575.5182</v>
      </c>
      <c r="L28" s="202">
        <f t="shared" si="10"/>
        <v>-185153.952</v>
      </c>
      <c r="M28" s="202">
        <f t="shared" si="10"/>
        <v>-184943.1689</v>
      </c>
      <c r="N28" s="202">
        <f t="shared" si="10"/>
        <v>-184837.7773</v>
      </c>
      <c r="O28" s="202">
        <f t="shared" si="10"/>
        <v>-184785.0816</v>
      </c>
      <c r="P28" s="202">
        <f t="shared" si="10"/>
        <v>-184758.7337</v>
      </c>
      <c r="Q28" s="202">
        <f t="shared" si="10"/>
        <v>-184745.5597</v>
      </c>
      <c r="R28" s="202">
        <f t="shared" si="10"/>
        <v>-184738.9728</v>
      </c>
      <c r="S28" s="202">
        <f t="shared" si="10"/>
        <v>-184735.6793</v>
      </c>
      <c r="T28" s="202">
        <f t="shared" si="10"/>
        <v>-184734.0325</v>
      </c>
      <c r="U28" s="202">
        <f t="shared" si="10"/>
        <v>-184733.2092</v>
      </c>
      <c r="V28" s="202">
        <f t="shared" si="10"/>
        <v>-184732.7975</v>
      </c>
      <c r="W28" s="202">
        <f t="shared" si="10"/>
        <v>-184732.5916</v>
      </c>
      <c r="X28" s="202">
        <f t="shared" si="10"/>
        <v>-184732.4887</v>
      </c>
      <c r="Y28" s="202">
        <f t="shared" si="10"/>
        <v>-184732.4372</v>
      </c>
      <c r="Z28" s="202">
        <f t="shared" si="10"/>
        <v>-184732.4115</v>
      </c>
      <c r="AA28" s="202">
        <f t="shared" si="10"/>
        <v>-184732.3987</v>
      </c>
      <c r="AB28" s="202">
        <f t="shared" si="10"/>
        <v>-184732.3922</v>
      </c>
      <c r="AC28" s="202">
        <f t="shared" si="10"/>
        <v>-184732.389</v>
      </c>
      <c r="AD28" s="202">
        <f t="shared" si="10"/>
        <v>-184732.3874</v>
      </c>
      <c r="AE28" s="202">
        <f t="shared" si="10"/>
        <v>-184732.3866</v>
      </c>
      <c r="AF28" s="202">
        <f t="shared" si="10"/>
        <v>-184732.3862</v>
      </c>
      <c r="AG28" s="202">
        <f t="shared" si="10"/>
        <v>-184732.386</v>
      </c>
      <c r="AH28" s="202">
        <f t="shared" si="10"/>
        <v>-184732.3859</v>
      </c>
      <c r="AI28" s="202">
        <f t="shared" si="10"/>
        <v>-184732.3858</v>
      </c>
      <c r="AJ28" s="202">
        <f t="shared" si="10"/>
        <v>-184732.3858</v>
      </c>
      <c r="AK28" s="202">
        <f t="shared" si="10"/>
        <v>-184732.3858</v>
      </c>
      <c r="AL28" s="202">
        <f t="shared" si="10"/>
        <v>-184732.3858</v>
      </c>
      <c r="AM28" s="202">
        <f t="shared" si="10"/>
        <v>-184732.3858</v>
      </c>
      <c r="AN28" s="202">
        <f t="shared" si="10"/>
        <v>-184732.3858</v>
      </c>
      <c r="AO28" s="202">
        <f t="shared" si="10"/>
        <v>-184732.3858</v>
      </c>
      <c r="AP28" s="202">
        <f t="shared" si="10"/>
        <v>-184732.3858</v>
      </c>
      <c r="AQ28" s="202">
        <f t="shared" si="10"/>
        <v>-184732.3858</v>
      </c>
      <c r="AR28" s="202">
        <f t="shared" si="10"/>
        <v>-184732.3858</v>
      </c>
      <c r="AS28" s="202">
        <f t="shared" si="10"/>
        <v>-184732.3858</v>
      </c>
      <c r="AT28" s="202">
        <f t="shared" si="10"/>
        <v>-184732.3858</v>
      </c>
      <c r="AU28" s="202">
        <f t="shared" si="10"/>
        <v>-184732.3858</v>
      </c>
      <c r="AV28" s="202">
        <f t="shared" si="10"/>
        <v>-184732.3858</v>
      </c>
      <c r="AW28" s="202">
        <f t="shared" si="10"/>
        <v>-184732.3858</v>
      </c>
      <c r="AX28" s="202">
        <f t="shared" si="10"/>
        <v>-184732.3858</v>
      </c>
      <c r="AY28" s="202">
        <f t="shared" si="10"/>
        <v>-184732.3858</v>
      </c>
      <c r="AZ28" s="202">
        <f t="shared" si="10"/>
        <v>-184732.3858</v>
      </c>
      <c r="BA28" s="202">
        <f t="shared" si="10"/>
        <v>-184732.3858</v>
      </c>
      <c r="BB28" s="202">
        <f t="shared" si="10"/>
        <v>-184732.3858</v>
      </c>
      <c r="BC28" s="202">
        <f t="shared" si="10"/>
        <v>-184732.3858</v>
      </c>
      <c r="BD28" s="202">
        <f t="shared" si="10"/>
        <v>-184732.3858</v>
      </c>
      <c r="BE28" s="202">
        <f t="shared" si="10"/>
        <v>-184732.3858</v>
      </c>
      <c r="BF28" s="202">
        <f t="shared" si="10"/>
        <v>-184732.3858</v>
      </c>
      <c r="BG28" s="202">
        <f t="shared" si="10"/>
        <v>-184732.3858</v>
      </c>
      <c r="BH28" s="202">
        <f t="shared" si="10"/>
        <v>-184732.3858</v>
      </c>
      <c r="BI28" s="202">
        <f t="shared" si="10"/>
        <v>-184732.3858</v>
      </c>
      <c r="BJ28" s="202">
        <f t="shared" si="10"/>
        <v>-184732.3858</v>
      </c>
      <c r="BK28" s="202">
        <f t="shared" si="10"/>
        <v>-184732.3858</v>
      </c>
      <c r="BL28" s="202">
        <f t="shared" si="10"/>
        <v>-184732.3858</v>
      </c>
      <c r="BM28" s="202">
        <f t="shared" si="10"/>
        <v>-184732.3858</v>
      </c>
      <c r="BN28" s="197"/>
    </row>
    <row r="29" outlineLevel="1">
      <c r="A29" s="197"/>
      <c r="B29" s="210" t="s">
        <v>169</v>
      </c>
      <c r="C29" s="208"/>
      <c r="D29" s="208"/>
      <c r="E29" s="208"/>
      <c r="F29" s="208">
        <f>IF(F28&gt;0,F28*Assumptions!$C$180,0)</f>
        <v>0</v>
      </c>
      <c r="G29" s="208">
        <f>IF(G28&gt;0,G28*Assumptions!$C$180,0)</f>
        <v>0</v>
      </c>
      <c r="H29" s="208">
        <f>IF(H28&gt;0,H28*Assumptions!$C$180,0)</f>
        <v>0</v>
      </c>
      <c r="I29" s="208">
        <f>IF(I28&gt;0,I28*Assumptions!$C$180,0)</f>
        <v>0</v>
      </c>
      <c r="J29" s="208">
        <f>IF(J28&gt;0,J28*Assumptions!$C$180,0)</f>
        <v>0</v>
      </c>
      <c r="K29" s="208">
        <f>IF(K28&gt;0,K28*Assumptions!$C$180,0)</f>
        <v>0</v>
      </c>
      <c r="L29" s="208">
        <f>IF(L28&gt;0,L28*Assumptions!$C$180,0)</f>
        <v>0</v>
      </c>
      <c r="M29" s="208">
        <f>IF(M28&gt;0,M28*Assumptions!$C$180,0)</f>
        <v>0</v>
      </c>
      <c r="N29" s="208">
        <f>IF(N28&gt;0,N28*Assumptions!$C$180,0)</f>
        <v>0</v>
      </c>
      <c r="O29" s="208">
        <f>IF(O28&gt;0,O28*Assumptions!$C$180,0)</f>
        <v>0</v>
      </c>
      <c r="P29" s="208">
        <f>IF(P28&gt;0,P28*Assumptions!$C$180,0)</f>
        <v>0</v>
      </c>
      <c r="Q29" s="208">
        <f>IF(Q28&gt;0,Q28*Assumptions!$C$180,0)</f>
        <v>0</v>
      </c>
      <c r="R29" s="208">
        <f>IF(R28&gt;0,R28*Assumptions!$C$180,0)</f>
        <v>0</v>
      </c>
      <c r="S29" s="208">
        <f>IF(S28&gt;0,S28*Assumptions!$C$180,0)</f>
        <v>0</v>
      </c>
      <c r="T29" s="208">
        <f>IF(T28&gt;0,T28*Assumptions!$C$180,0)</f>
        <v>0</v>
      </c>
      <c r="U29" s="208">
        <f>IF(U28&gt;0,U28*Assumptions!$C$180,0)</f>
        <v>0</v>
      </c>
      <c r="V29" s="208">
        <f>IF(V28&gt;0,V28*Assumptions!$C$180,0)</f>
        <v>0</v>
      </c>
      <c r="W29" s="208">
        <f>IF(W28&gt;0,W28*Assumptions!$C$180,0)</f>
        <v>0</v>
      </c>
      <c r="X29" s="208">
        <f>IF(X28&gt;0,X28*Assumptions!$C$180,0)</f>
        <v>0</v>
      </c>
      <c r="Y29" s="208">
        <f>IF(Y28&gt;0,Y28*Assumptions!$C$180,0)</f>
        <v>0</v>
      </c>
      <c r="Z29" s="208">
        <f>IF(Z28&gt;0,Z28*Assumptions!$C$180,0)</f>
        <v>0</v>
      </c>
      <c r="AA29" s="208">
        <f>IF(AA28&gt;0,AA28*Assumptions!$C$180,0)</f>
        <v>0</v>
      </c>
      <c r="AB29" s="208">
        <f>IF(AB28&gt;0,AB28*Assumptions!$C$180,0)</f>
        <v>0</v>
      </c>
      <c r="AC29" s="208">
        <f>IF(AC28&gt;0,AC28*Assumptions!$C$180,0)</f>
        <v>0</v>
      </c>
      <c r="AD29" s="208">
        <f>IF(AD28&gt;0,AD28*Assumptions!$C$180,0)</f>
        <v>0</v>
      </c>
      <c r="AE29" s="208">
        <f>IF(AE28&gt;0,AE28*Assumptions!$C$180,0)</f>
        <v>0</v>
      </c>
      <c r="AF29" s="208">
        <f>IF(AF28&gt;0,AF28*Assumptions!$C$180,0)</f>
        <v>0</v>
      </c>
      <c r="AG29" s="208">
        <f>IF(AG28&gt;0,AG28*Assumptions!$C$180,0)</f>
        <v>0</v>
      </c>
      <c r="AH29" s="208">
        <f>IF(AH28&gt;0,AH28*Assumptions!$C$180,0)</f>
        <v>0</v>
      </c>
      <c r="AI29" s="208">
        <f>IF(AI28&gt;0,AI28*Assumptions!$C$180,0)</f>
        <v>0</v>
      </c>
      <c r="AJ29" s="208">
        <f>IF(AJ28&gt;0,AJ28*Assumptions!$C$180,0)</f>
        <v>0</v>
      </c>
      <c r="AK29" s="208">
        <f>IF(AK28&gt;0,AK28*Assumptions!$C$180,0)</f>
        <v>0</v>
      </c>
      <c r="AL29" s="208">
        <f>IF(AL28&gt;0,AL28*Assumptions!$C$180,0)</f>
        <v>0</v>
      </c>
      <c r="AM29" s="208">
        <f>IF(AM28&gt;0,AM28*Assumptions!$C$180,0)</f>
        <v>0</v>
      </c>
      <c r="AN29" s="208">
        <f>IF(AN28&gt;0,AN28*Assumptions!$C$180,0)</f>
        <v>0</v>
      </c>
      <c r="AO29" s="208">
        <f>IF(AO28&gt;0,AO28*Assumptions!$C$180,0)</f>
        <v>0</v>
      </c>
      <c r="AP29" s="208">
        <f>IF(AP28&gt;0,AP28*Assumptions!$C$180,0)</f>
        <v>0</v>
      </c>
      <c r="AQ29" s="208">
        <f>IF(AQ28&gt;0,AQ28*Assumptions!$C$180,0)</f>
        <v>0</v>
      </c>
      <c r="AR29" s="208">
        <f>IF(AR28&gt;0,AR28*Assumptions!$C$180,0)</f>
        <v>0</v>
      </c>
      <c r="AS29" s="208">
        <f>IF(AS28&gt;0,AS28*Assumptions!$C$180,0)</f>
        <v>0</v>
      </c>
      <c r="AT29" s="208">
        <f>IF(AT28&gt;0,AT28*Assumptions!$C$180,0)</f>
        <v>0</v>
      </c>
      <c r="AU29" s="208">
        <f>IF(AU28&gt;0,AU28*Assumptions!$C$180,0)</f>
        <v>0</v>
      </c>
      <c r="AV29" s="208">
        <f>IF(AV28&gt;0,AV28*Assumptions!$C$180,0)</f>
        <v>0</v>
      </c>
      <c r="AW29" s="208">
        <f>IF(AW28&gt;0,AW28*Assumptions!$C$180,0)</f>
        <v>0</v>
      </c>
      <c r="AX29" s="208">
        <f>IF(AX28&gt;0,AX28*Assumptions!$C$180,0)</f>
        <v>0</v>
      </c>
      <c r="AY29" s="208">
        <f>IF(AY28&gt;0,AY28*Assumptions!$C$180,0)</f>
        <v>0</v>
      </c>
      <c r="AZ29" s="208">
        <f>IF(AZ28&gt;0,AZ28*Assumptions!$C$180,0)</f>
        <v>0</v>
      </c>
      <c r="BA29" s="208">
        <f>IF(BA28&gt;0,BA28*Assumptions!$C$180,0)</f>
        <v>0</v>
      </c>
      <c r="BB29" s="208">
        <f>IF(BB28&gt;0,BB28*Assumptions!$C$180,0)</f>
        <v>0</v>
      </c>
      <c r="BC29" s="208">
        <f>IF(BC28&gt;0,BC28*Assumptions!$C$180,0)</f>
        <v>0</v>
      </c>
      <c r="BD29" s="208">
        <f>IF(BD28&gt;0,BD28*Assumptions!$C$180,0)</f>
        <v>0</v>
      </c>
      <c r="BE29" s="208">
        <f>IF(BE28&gt;0,BE28*Assumptions!$C$180,0)</f>
        <v>0</v>
      </c>
      <c r="BF29" s="208">
        <f>IF(BF28&gt;0,BF28*Assumptions!$C$180,0)</f>
        <v>0</v>
      </c>
      <c r="BG29" s="208">
        <f>IF(BG28&gt;0,BG28*Assumptions!$C$180,0)</f>
        <v>0</v>
      </c>
      <c r="BH29" s="208">
        <f>IF(BH28&gt;0,BH28*Assumptions!$C$180,0)</f>
        <v>0</v>
      </c>
      <c r="BI29" s="208">
        <f>IF(BI28&gt;0,BI28*Assumptions!$C$180,0)</f>
        <v>0</v>
      </c>
      <c r="BJ29" s="208">
        <f>IF(BJ28&gt;0,BJ28*Assumptions!$C$180,0)</f>
        <v>0</v>
      </c>
      <c r="BK29" s="208">
        <f>IF(BK28&gt;0,BK28*Assumptions!$C$180,0)</f>
        <v>0</v>
      </c>
      <c r="BL29" s="208">
        <f>IF(BL28&gt;0,BL28*Assumptions!$C$180,0)</f>
        <v>0</v>
      </c>
      <c r="BM29" s="208">
        <f>IF(BM28&gt;0,BM28*Assumptions!$C$180,0)</f>
        <v>0</v>
      </c>
      <c r="BN29" s="197"/>
    </row>
    <row r="30" outlineLevel="1">
      <c r="A30" s="197"/>
      <c r="B30" s="206" t="s">
        <v>170</v>
      </c>
      <c r="C30" s="197"/>
      <c r="D30" s="197"/>
      <c r="E30" s="197"/>
      <c r="F30" s="209">
        <f t="shared" ref="F30:BM30" si="11">F28-F29</f>
        <v>-211687.23</v>
      </c>
      <c r="G30" s="209">
        <f t="shared" si="11"/>
        <v>-198222.1235</v>
      </c>
      <c r="H30" s="209">
        <f t="shared" si="11"/>
        <v>-191477.4394</v>
      </c>
      <c r="I30" s="209">
        <f t="shared" si="11"/>
        <v>-188104.9153</v>
      </c>
      <c r="J30" s="209">
        <f t="shared" si="11"/>
        <v>-186418.6506</v>
      </c>
      <c r="K30" s="209">
        <f t="shared" si="11"/>
        <v>-185575.5182</v>
      </c>
      <c r="L30" s="209">
        <f t="shared" si="11"/>
        <v>-185153.952</v>
      </c>
      <c r="M30" s="209">
        <f t="shared" si="11"/>
        <v>-184943.1689</v>
      </c>
      <c r="N30" s="209">
        <f t="shared" si="11"/>
        <v>-184837.7773</v>
      </c>
      <c r="O30" s="209">
        <f t="shared" si="11"/>
        <v>-184785.0816</v>
      </c>
      <c r="P30" s="209">
        <f t="shared" si="11"/>
        <v>-184758.7337</v>
      </c>
      <c r="Q30" s="209">
        <f t="shared" si="11"/>
        <v>-184745.5597</v>
      </c>
      <c r="R30" s="209">
        <f t="shared" si="11"/>
        <v>-184738.9728</v>
      </c>
      <c r="S30" s="209">
        <f t="shared" si="11"/>
        <v>-184735.6793</v>
      </c>
      <c r="T30" s="209">
        <f t="shared" si="11"/>
        <v>-184734.0325</v>
      </c>
      <c r="U30" s="209">
        <f t="shared" si="11"/>
        <v>-184733.2092</v>
      </c>
      <c r="V30" s="209">
        <f t="shared" si="11"/>
        <v>-184732.7975</v>
      </c>
      <c r="W30" s="209">
        <f t="shared" si="11"/>
        <v>-184732.5916</v>
      </c>
      <c r="X30" s="209">
        <f t="shared" si="11"/>
        <v>-184732.4887</v>
      </c>
      <c r="Y30" s="209">
        <f t="shared" si="11"/>
        <v>-184732.4372</v>
      </c>
      <c r="Z30" s="209">
        <f t="shared" si="11"/>
        <v>-184732.4115</v>
      </c>
      <c r="AA30" s="209">
        <f t="shared" si="11"/>
        <v>-184732.3987</v>
      </c>
      <c r="AB30" s="209">
        <f t="shared" si="11"/>
        <v>-184732.3922</v>
      </c>
      <c r="AC30" s="209">
        <f t="shared" si="11"/>
        <v>-184732.389</v>
      </c>
      <c r="AD30" s="209">
        <f t="shared" si="11"/>
        <v>-184732.3874</v>
      </c>
      <c r="AE30" s="209">
        <f t="shared" si="11"/>
        <v>-184732.3866</v>
      </c>
      <c r="AF30" s="209">
        <f t="shared" si="11"/>
        <v>-184732.3862</v>
      </c>
      <c r="AG30" s="209">
        <f t="shared" si="11"/>
        <v>-184732.386</v>
      </c>
      <c r="AH30" s="209">
        <f t="shared" si="11"/>
        <v>-184732.3859</v>
      </c>
      <c r="AI30" s="209">
        <f t="shared" si="11"/>
        <v>-184732.3858</v>
      </c>
      <c r="AJ30" s="209">
        <f t="shared" si="11"/>
        <v>-184732.3858</v>
      </c>
      <c r="AK30" s="209">
        <f t="shared" si="11"/>
        <v>-184732.3858</v>
      </c>
      <c r="AL30" s="209">
        <f t="shared" si="11"/>
        <v>-184732.3858</v>
      </c>
      <c r="AM30" s="209">
        <f t="shared" si="11"/>
        <v>-184732.3858</v>
      </c>
      <c r="AN30" s="209">
        <f t="shared" si="11"/>
        <v>-184732.3858</v>
      </c>
      <c r="AO30" s="209">
        <f t="shared" si="11"/>
        <v>-184732.3858</v>
      </c>
      <c r="AP30" s="209">
        <f t="shared" si="11"/>
        <v>-184732.3858</v>
      </c>
      <c r="AQ30" s="209">
        <f t="shared" si="11"/>
        <v>-184732.3858</v>
      </c>
      <c r="AR30" s="209">
        <f t="shared" si="11"/>
        <v>-184732.3858</v>
      </c>
      <c r="AS30" s="209">
        <f t="shared" si="11"/>
        <v>-184732.3858</v>
      </c>
      <c r="AT30" s="209">
        <f t="shared" si="11"/>
        <v>-184732.3858</v>
      </c>
      <c r="AU30" s="209">
        <f t="shared" si="11"/>
        <v>-184732.3858</v>
      </c>
      <c r="AV30" s="209">
        <f t="shared" si="11"/>
        <v>-184732.3858</v>
      </c>
      <c r="AW30" s="209">
        <f t="shared" si="11"/>
        <v>-184732.3858</v>
      </c>
      <c r="AX30" s="209">
        <f t="shared" si="11"/>
        <v>-184732.3858</v>
      </c>
      <c r="AY30" s="209">
        <f t="shared" si="11"/>
        <v>-184732.3858</v>
      </c>
      <c r="AZ30" s="209">
        <f t="shared" si="11"/>
        <v>-184732.3858</v>
      </c>
      <c r="BA30" s="209">
        <f t="shared" si="11"/>
        <v>-184732.3858</v>
      </c>
      <c r="BB30" s="209">
        <f t="shared" si="11"/>
        <v>-184732.3858</v>
      </c>
      <c r="BC30" s="209">
        <f t="shared" si="11"/>
        <v>-184732.3858</v>
      </c>
      <c r="BD30" s="209">
        <f t="shared" si="11"/>
        <v>-184732.3858</v>
      </c>
      <c r="BE30" s="209">
        <f t="shared" si="11"/>
        <v>-184732.3858</v>
      </c>
      <c r="BF30" s="209">
        <f t="shared" si="11"/>
        <v>-184732.3858</v>
      </c>
      <c r="BG30" s="209">
        <f t="shared" si="11"/>
        <v>-184732.3858</v>
      </c>
      <c r="BH30" s="209">
        <f t="shared" si="11"/>
        <v>-184732.3858</v>
      </c>
      <c r="BI30" s="209">
        <f t="shared" si="11"/>
        <v>-184732.3858</v>
      </c>
      <c r="BJ30" s="209">
        <f t="shared" si="11"/>
        <v>-184732.3858</v>
      </c>
      <c r="BK30" s="209">
        <f t="shared" si="11"/>
        <v>-184732.3858</v>
      </c>
      <c r="BL30" s="209">
        <f t="shared" si="11"/>
        <v>-184732.3858</v>
      </c>
      <c r="BM30" s="209">
        <f t="shared" si="11"/>
        <v>-184732.3858</v>
      </c>
      <c r="BN30" s="197"/>
    </row>
    <row r="31" outlineLevel="1">
      <c r="A31" s="30"/>
      <c r="B31" s="211" t="s">
        <v>171</v>
      </c>
      <c r="C31" s="30"/>
      <c r="D31" s="30"/>
      <c r="E31" s="30"/>
      <c r="F31" s="205">
        <f t="shared" ref="F31:BM31" si="12">F30/F8</f>
        <v>-3.512402499</v>
      </c>
      <c r="G31" s="205">
        <f t="shared" si="12"/>
        <v>-2.146927559</v>
      </c>
      <c r="H31" s="205">
        <f t="shared" si="12"/>
        <v>-1.766608103</v>
      </c>
      <c r="I31" s="205">
        <f t="shared" si="12"/>
        <v>-1.615787456</v>
      </c>
      <c r="J31" s="205">
        <f t="shared" si="12"/>
        <v>-1.547919029</v>
      </c>
      <c r="K31" s="205">
        <f t="shared" si="12"/>
        <v>-1.515653924</v>
      </c>
      <c r="L31" s="205">
        <f t="shared" si="12"/>
        <v>-1.499914899</v>
      </c>
      <c r="M31" s="205">
        <f t="shared" si="12"/>
        <v>-1.492140979</v>
      </c>
      <c r="N31" s="205">
        <f t="shared" si="12"/>
        <v>-1.488277579</v>
      </c>
      <c r="O31" s="205">
        <f t="shared" si="12"/>
        <v>-1.486351728</v>
      </c>
      <c r="P31" s="205">
        <f t="shared" si="12"/>
        <v>-1.485390259</v>
      </c>
      <c r="Q31" s="205">
        <f t="shared" si="12"/>
        <v>-1.484909889</v>
      </c>
      <c r="R31" s="205">
        <f t="shared" si="12"/>
        <v>-1.484669794</v>
      </c>
      <c r="S31" s="205">
        <f t="shared" si="12"/>
        <v>-1.48454977</v>
      </c>
      <c r="T31" s="205">
        <f t="shared" si="12"/>
        <v>-1.484489763</v>
      </c>
      <c r="U31" s="205">
        <f t="shared" si="12"/>
        <v>-1.484459761</v>
      </c>
      <c r="V31" s="205">
        <f t="shared" si="12"/>
        <v>-1.484444761</v>
      </c>
      <c r="W31" s="205">
        <f t="shared" si="12"/>
        <v>-1.48443726</v>
      </c>
      <c r="X31" s="205">
        <f t="shared" si="12"/>
        <v>-1.48443351</v>
      </c>
      <c r="Y31" s="205">
        <f t="shared" si="12"/>
        <v>-1.484431635</v>
      </c>
      <c r="Z31" s="205">
        <f t="shared" si="12"/>
        <v>-1.484430698</v>
      </c>
      <c r="AA31" s="205">
        <f t="shared" si="12"/>
        <v>-1.484430229</v>
      </c>
      <c r="AB31" s="205">
        <f t="shared" si="12"/>
        <v>-1.484429995</v>
      </c>
      <c r="AC31" s="205">
        <f t="shared" si="12"/>
        <v>-1.484429877</v>
      </c>
      <c r="AD31" s="205">
        <f t="shared" si="12"/>
        <v>-1.484429819</v>
      </c>
      <c r="AE31" s="205">
        <f t="shared" si="12"/>
        <v>-1.484429789</v>
      </c>
      <c r="AF31" s="205">
        <f t="shared" si="12"/>
        <v>-1.484429775</v>
      </c>
      <c r="AG31" s="205">
        <f t="shared" si="12"/>
        <v>-1.484429767</v>
      </c>
      <c r="AH31" s="205">
        <f t="shared" si="12"/>
        <v>-1.484429764</v>
      </c>
      <c r="AI31" s="205">
        <f t="shared" si="12"/>
        <v>-1.484429762</v>
      </c>
      <c r="AJ31" s="205">
        <f t="shared" si="12"/>
        <v>-1.484429761</v>
      </c>
      <c r="AK31" s="205">
        <f t="shared" si="12"/>
        <v>-1.484429761</v>
      </c>
      <c r="AL31" s="205">
        <f t="shared" si="12"/>
        <v>-1.48442976</v>
      </c>
      <c r="AM31" s="205">
        <f t="shared" si="12"/>
        <v>-1.48442976</v>
      </c>
      <c r="AN31" s="205">
        <f t="shared" si="12"/>
        <v>-1.48442976</v>
      </c>
      <c r="AO31" s="205">
        <f t="shared" si="12"/>
        <v>-1.48442976</v>
      </c>
      <c r="AP31" s="205">
        <f t="shared" si="12"/>
        <v>-1.48442976</v>
      </c>
      <c r="AQ31" s="205">
        <f t="shared" si="12"/>
        <v>-1.48442976</v>
      </c>
      <c r="AR31" s="205">
        <f t="shared" si="12"/>
        <v>-1.48442976</v>
      </c>
      <c r="AS31" s="205">
        <f t="shared" si="12"/>
        <v>-1.48442976</v>
      </c>
      <c r="AT31" s="205">
        <f t="shared" si="12"/>
        <v>-1.48442976</v>
      </c>
      <c r="AU31" s="205">
        <f t="shared" si="12"/>
        <v>-1.48442976</v>
      </c>
      <c r="AV31" s="205">
        <f t="shared" si="12"/>
        <v>-1.48442976</v>
      </c>
      <c r="AW31" s="205">
        <f t="shared" si="12"/>
        <v>-1.48442976</v>
      </c>
      <c r="AX31" s="205">
        <f t="shared" si="12"/>
        <v>-1.48442976</v>
      </c>
      <c r="AY31" s="205">
        <f t="shared" si="12"/>
        <v>-1.48442976</v>
      </c>
      <c r="AZ31" s="205">
        <f t="shared" si="12"/>
        <v>-1.48442976</v>
      </c>
      <c r="BA31" s="205">
        <f t="shared" si="12"/>
        <v>-1.48442976</v>
      </c>
      <c r="BB31" s="205">
        <f t="shared" si="12"/>
        <v>-1.48442976</v>
      </c>
      <c r="BC31" s="205">
        <f t="shared" si="12"/>
        <v>-1.48442976</v>
      </c>
      <c r="BD31" s="205">
        <f t="shared" si="12"/>
        <v>-1.48442976</v>
      </c>
      <c r="BE31" s="205">
        <f t="shared" si="12"/>
        <v>-1.48442976</v>
      </c>
      <c r="BF31" s="205">
        <f t="shared" si="12"/>
        <v>-1.48442976</v>
      </c>
      <c r="BG31" s="205">
        <f t="shared" si="12"/>
        <v>-1.48442976</v>
      </c>
      <c r="BH31" s="205">
        <f t="shared" si="12"/>
        <v>-1.48442976</v>
      </c>
      <c r="BI31" s="205">
        <f t="shared" si="12"/>
        <v>-1.48442976</v>
      </c>
      <c r="BJ31" s="205">
        <f t="shared" si="12"/>
        <v>-1.48442976</v>
      </c>
      <c r="BK31" s="205">
        <f t="shared" si="12"/>
        <v>-1.48442976</v>
      </c>
      <c r="BL31" s="205">
        <f t="shared" si="12"/>
        <v>-1.48442976</v>
      </c>
      <c r="BM31" s="205">
        <f t="shared" si="12"/>
        <v>-1.48442976</v>
      </c>
      <c r="BN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row>
    <row r="33">
      <c r="A33" s="30"/>
      <c r="B33" s="195" t="s">
        <v>128</v>
      </c>
      <c r="C33" s="196"/>
      <c r="D33" s="196"/>
      <c r="E33" s="196"/>
      <c r="F33" s="196"/>
      <c r="G33" s="196"/>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6"/>
      <c r="BK33" s="196"/>
      <c r="BL33" s="196"/>
      <c r="BM33" s="196"/>
      <c r="BN33" s="192"/>
    </row>
    <row r="34" outlineLevel="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row>
    <row r="35" outlineLevel="1">
      <c r="A35" s="197"/>
      <c r="B35" s="206" t="s">
        <v>129</v>
      </c>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197"/>
      <c r="BG35" s="197"/>
      <c r="BH35" s="197"/>
      <c r="BI35" s="197"/>
      <c r="BJ35" s="197"/>
      <c r="BK35" s="197"/>
      <c r="BL35" s="197"/>
      <c r="BM35" s="197"/>
      <c r="BN35" s="197"/>
    </row>
    <row r="36" outlineLevel="1">
      <c r="A36" s="197"/>
      <c r="B36" s="212" t="s">
        <v>172</v>
      </c>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c r="BD36" s="197"/>
      <c r="BE36" s="197"/>
      <c r="BF36" s="197"/>
      <c r="BG36" s="197"/>
      <c r="BH36" s="197"/>
      <c r="BI36" s="197"/>
      <c r="BJ36" s="197"/>
      <c r="BK36" s="197"/>
      <c r="BL36" s="197"/>
      <c r="BM36" s="197"/>
      <c r="BN36" s="197"/>
    </row>
    <row r="37" outlineLevel="1">
      <c r="A37" s="197"/>
      <c r="B37" s="207" t="s">
        <v>173</v>
      </c>
      <c r="C37" s="197"/>
      <c r="D37" s="197"/>
      <c r="E37" s="197"/>
      <c r="F37" s="197">
        <f t="shared" ref="F37:BM37" si="13">F82</f>
        <v>269048.985</v>
      </c>
      <c r="G37" s="197">
        <f t="shared" si="13"/>
        <v>51270.39728</v>
      </c>
      <c r="H37" s="197">
        <f t="shared" si="13"/>
        <v>-150002.8928</v>
      </c>
      <c r="I37" s="197">
        <f t="shared" si="13"/>
        <v>-343005.9978</v>
      </c>
      <c r="J37" s="197">
        <f t="shared" si="13"/>
        <v>-531873.7472</v>
      </c>
      <c r="K37" s="197">
        <f t="shared" si="13"/>
        <v>-718673.8148</v>
      </c>
      <c r="L37" s="197">
        <f t="shared" si="13"/>
        <v>-904440.0415</v>
      </c>
      <c r="M37" s="197">
        <f t="shared" si="13"/>
        <v>-1089689.348</v>
      </c>
      <c r="N37" s="197">
        <f t="shared" si="13"/>
        <v>-1274680.194</v>
      </c>
      <c r="O37" s="197">
        <f t="shared" si="13"/>
        <v>-1459541.81</v>
      </c>
      <c r="P37" s="197">
        <f t="shared" si="13"/>
        <v>-1644338.811</v>
      </c>
      <c r="Q37" s="197">
        <f t="shared" si="13"/>
        <v>-1829103.504</v>
      </c>
      <c r="R37" s="197">
        <f t="shared" si="13"/>
        <v>-2013852.043</v>
      </c>
      <c r="S37" s="197">
        <f t="shared" si="13"/>
        <v>-2198592.506</v>
      </c>
      <c r="T37" s="197">
        <f t="shared" si="13"/>
        <v>-2383328.93</v>
      </c>
      <c r="U37" s="197">
        <f t="shared" si="13"/>
        <v>-2568063.335</v>
      </c>
      <c r="V37" s="197">
        <f t="shared" si="13"/>
        <v>-2752796.731</v>
      </c>
      <c r="W37" s="197">
        <f t="shared" si="13"/>
        <v>-2937529.621</v>
      </c>
      <c r="X37" s="197">
        <f t="shared" si="13"/>
        <v>-3122262.259</v>
      </c>
      <c r="Y37" s="197">
        <f t="shared" si="13"/>
        <v>-3306994.771</v>
      </c>
      <c r="Z37" s="197">
        <f t="shared" si="13"/>
        <v>-3491727.22</v>
      </c>
      <c r="AA37" s="197">
        <f t="shared" si="13"/>
        <v>-3676459.638</v>
      </c>
      <c r="AB37" s="197">
        <f t="shared" si="13"/>
        <v>-3861192.039</v>
      </c>
      <c r="AC37" s="197">
        <f t="shared" si="13"/>
        <v>-4045924.433</v>
      </c>
      <c r="AD37" s="197">
        <f t="shared" si="13"/>
        <v>-4230656.823</v>
      </c>
      <c r="AE37" s="197">
        <f t="shared" si="13"/>
        <v>-4415389.21</v>
      </c>
      <c r="AF37" s="197">
        <f t="shared" si="13"/>
        <v>-4600121.597</v>
      </c>
      <c r="AG37" s="197">
        <f t="shared" si="13"/>
        <v>-4784853.983</v>
      </c>
      <c r="AH37" s="197">
        <f t="shared" si="13"/>
        <v>-4969586.37</v>
      </c>
      <c r="AI37" s="197">
        <f t="shared" si="13"/>
        <v>-5154318.755</v>
      </c>
      <c r="AJ37" s="197">
        <f t="shared" si="13"/>
        <v>-5339051.141</v>
      </c>
      <c r="AK37" s="197">
        <f t="shared" si="13"/>
        <v>-5523783.527</v>
      </c>
      <c r="AL37" s="197">
        <f t="shared" si="13"/>
        <v>-5708515.913</v>
      </c>
      <c r="AM37" s="197">
        <f t="shared" si="13"/>
        <v>-5893248.299</v>
      </c>
      <c r="AN37" s="197">
        <f t="shared" si="13"/>
        <v>-6077980.684</v>
      </c>
      <c r="AO37" s="197">
        <f t="shared" si="13"/>
        <v>-6262713.07</v>
      </c>
      <c r="AP37" s="197">
        <f t="shared" si="13"/>
        <v>-6447445.456</v>
      </c>
      <c r="AQ37" s="197">
        <f t="shared" si="13"/>
        <v>-6632177.842</v>
      </c>
      <c r="AR37" s="197">
        <f t="shared" si="13"/>
        <v>-6816910.228</v>
      </c>
      <c r="AS37" s="197">
        <f t="shared" si="13"/>
        <v>-7001642.613</v>
      </c>
      <c r="AT37" s="197">
        <f t="shared" si="13"/>
        <v>-7186374.999</v>
      </c>
      <c r="AU37" s="197">
        <f t="shared" si="13"/>
        <v>-7371107.385</v>
      </c>
      <c r="AV37" s="197">
        <f t="shared" si="13"/>
        <v>-7555839.771</v>
      </c>
      <c r="AW37" s="197">
        <f t="shared" si="13"/>
        <v>-7740572.157</v>
      </c>
      <c r="AX37" s="197">
        <f t="shared" si="13"/>
        <v>-7925304.542</v>
      </c>
      <c r="AY37" s="197">
        <f t="shared" si="13"/>
        <v>-8110036.928</v>
      </c>
      <c r="AZ37" s="197">
        <f t="shared" si="13"/>
        <v>-8294769.314</v>
      </c>
      <c r="BA37" s="197">
        <f t="shared" si="13"/>
        <v>-8479501.7</v>
      </c>
      <c r="BB37" s="197">
        <f t="shared" si="13"/>
        <v>-8664234.085</v>
      </c>
      <c r="BC37" s="197">
        <f t="shared" si="13"/>
        <v>-8848966.471</v>
      </c>
      <c r="BD37" s="197">
        <f t="shared" si="13"/>
        <v>-9033698.857</v>
      </c>
      <c r="BE37" s="197">
        <f t="shared" si="13"/>
        <v>-9218431.243</v>
      </c>
      <c r="BF37" s="197">
        <f t="shared" si="13"/>
        <v>-9403163.629</v>
      </c>
      <c r="BG37" s="197">
        <f t="shared" si="13"/>
        <v>-9587896.014</v>
      </c>
      <c r="BH37" s="197">
        <f t="shared" si="13"/>
        <v>-9772628.4</v>
      </c>
      <c r="BI37" s="197">
        <f t="shared" si="13"/>
        <v>-9957360.786</v>
      </c>
      <c r="BJ37" s="197">
        <f t="shared" si="13"/>
        <v>-10142093.17</v>
      </c>
      <c r="BK37" s="197">
        <f t="shared" si="13"/>
        <v>-10326825.56</v>
      </c>
      <c r="BL37" s="197">
        <f t="shared" si="13"/>
        <v>-10511557.94</v>
      </c>
      <c r="BM37" s="197">
        <f t="shared" si="13"/>
        <v>-10696290.33</v>
      </c>
      <c r="BN37" s="197"/>
    </row>
    <row r="38" outlineLevel="1">
      <c r="A38" s="197"/>
      <c r="B38" s="207" t="s">
        <v>174</v>
      </c>
      <c r="C38" s="197"/>
      <c r="D38" s="197"/>
      <c r="E38" s="197"/>
      <c r="F38" s="197">
        <f>Assumptions!G190</f>
        <v>30134.25</v>
      </c>
      <c r="G38" s="197">
        <f>Assumptions!H190</f>
        <v>46164.13875</v>
      </c>
      <c r="H38" s="197">
        <f>Assumptions!I190</f>
        <v>54193.52458</v>
      </c>
      <c r="I38" s="197">
        <f>Assumptions!J190</f>
        <v>58208.43412</v>
      </c>
      <c r="J38" s="197">
        <f>Assumptions!K190</f>
        <v>60215.89214</v>
      </c>
      <c r="K38" s="197">
        <f>Assumptions!L190</f>
        <v>61219.62119</v>
      </c>
      <c r="L38" s="197">
        <f>Assumptions!M190</f>
        <v>61721.48572</v>
      </c>
      <c r="M38" s="197">
        <f>Assumptions!N190</f>
        <v>61972.41799</v>
      </c>
      <c r="N38" s="197">
        <f>Assumptions!O190</f>
        <v>62097.88412</v>
      </c>
      <c r="O38" s="197">
        <f>Assumptions!P190</f>
        <v>62160.61719</v>
      </c>
      <c r="P38" s="197">
        <f>Assumptions!Q190</f>
        <v>62191.98372</v>
      </c>
      <c r="Q38" s="197">
        <f>Assumptions!R190</f>
        <v>62207.66699</v>
      </c>
      <c r="R38" s="197">
        <f>Assumptions!S190</f>
        <v>62215.50862</v>
      </c>
      <c r="S38" s="197">
        <f>Assumptions!T190</f>
        <v>62219.42944</v>
      </c>
      <c r="T38" s="197">
        <f>Assumptions!U190</f>
        <v>62221.38985</v>
      </c>
      <c r="U38" s="197">
        <f>Assumptions!V190</f>
        <v>62222.37005</v>
      </c>
      <c r="V38" s="197">
        <f>Assumptions!W190</f>
        <v>62222.86015</v>
      </c>
      <c r="W38" s="197">
        <f>Assumptions!X190</f>
        <v>62223.1052</v>
      </c>
      <c r="X38" s="197">
        <f>Assumptions!Y190</f>
        <v>62223.22773</v>
      </c>
      <c r="Y38" s="197">
        <f>Assumptions!Z190</f>
        <v>62223.28899</v>
      </c>
      <c r="Z38" s="197">
        <f>Assumptions!AA190</f>
        <v>62223.31962</v>
      </c>
      <c r="AA38" s="197">
        <f>Assumptions!AB190</f>
        <v>62223.33494</v>
      </c>
      <c r="AB38" s="197">
        <f>Assumptions!AC190</f>
        <v>62223.3426</v>
      </c>
      <c r="AC38" s="197">
        <f>Assumptions!AD190</f>
        <v>62223.34642</v>
      </c>
      <c r="AD38" s="197">
        <f>Assumptions!AE190</f>
        <v>62223.34834</v>
      </c>
      <c r="AE38" s="197">
        <f>Assumptions!AF190</f>
        <v>62223.3493</v>
      </c>
      <c r="AF38" s="197">
        <f>Assumptions!AG190</f>
        <v>62223.34978</v>
      </c>
      <c r="AG38" s="197">
        <f>Assumptions!AH190</f>
        <v>62223.35001</v>
      </c>
      <c r="AH38" s="197">
        <f>Assumptions!AI190</f>
        <v>62223.35013</v>
      </c>
      <c r="AI38" s="197">
        <f>Assumptions!AJ190</f>
        <v>62223.35019</v>
      </c>
      <c r="AJ38" s="197">
        <f>Assumptions!AK190</f>
        <v>62223.35022</v>
      </c>
      <c r="AK38" s="197">
        <f>Assumptions!AL190</f>
        <v>62223.35024</v>
      </c>
      <c r="AL38" s="197">
        <f>Assumptions!AM190</f>
        <v>62223.35025</v>
      </c>
      <c r="AM38" s="197">
        <f>Assumptions!AN190</f>
        <v>62223.35025</v>
      </c>
      <c r="AN38" s="197">
        <f>Assumptions!AO190</f>
        <v>62223.35025</v>
      </c>
      <c r="AO38" s="197">
        <f>Assumptions!AP190</f>
        <v>62223.35025</v>
      </c>
      <c r="AP38" s="197">
        <f>Assumptions!AQ190</f>
        <v>62223.35025</v>
      </c>
      <c r="AQ38" s="197">
        <f>Assumptions!AR190</f>
        <v>62223.35025</v>
      </c>
      <c r="AR38" s="197">
        <f>Assumptions!AS190</f>
        <v>62223.35025</v>
      </c>
      <c r="AS38" s="197">
        <f>Assumptions!AT190</f>
        <v>62223.35025</v>
      </c>
      <c r="AT38" s="197">
        <f>Assumptions!AU190</f>
        <v>62223.35025</v>
      </c>
      <c r="AU38" s="197">
        <f>Assumptions!AV190</f>
        <v>62223.35025</v>
      </c>
      <c r="AV38" s="197">
        <f>Assumptions!AW190</f>
        <v>62223.35025</v>
      </c>
      <c r="AW38" s="197">
        <f>Assumptions!AX190</f>
        <v>62223.35025</v>
      </c>
      <c r="AX38" s="197">
        <f>Assumptions!AY190</f>
        <v>62223.35025</v>
      </c>
      <c r="AY38" s="197">
        <f>Assumptions!AZ190</f>
        <v>62223.35025</v>
      </c>
      <c r="AZ38" s="197">
        <f>Assumptions!BA190</f>
        <v>62223.35025</v>
      </c>
      <c r="BA38" s="197">
        <f>Assumptions!BB190</f>
        <v>62223.35025</v>
      </c>
      <c r="BB38" s="197">
        <f>Assumptions!BC190</f>
        <v>62223.35025</v>
      </c>
      <c r="BC38" s="197">
        <f>Assumptions!BD190</f>
        <v>62223.35025</v>
      </c>
      <c r="BD38" s="197">
        <f>Assumptions!BE190</f>
        <v>62223.35025</v>
      </c>
      <c r="BE38" s="197">
        <f>Assumptions!BF190</f>
        <v>62223.35025</v>
      </c>
      <c r="BF38" s="197">
        <f>Assumptions!BG190</f>
        <v>62223.35025</v>
      </c>
      <c r="BG38" s="197">
        <f>Assumptions!BH190</f>
        <v>62223.35025</v>
      </c>
      <c r="BH38" s="197">
        <f>Assumptions!BI190</f>
        <v>62223.35025</v>
      </c>
      <c r="BI38" s="197">
        <f>Assumptions!BJ190</f>
        <v>62223.35025</v>
      </c>
      <c r="BJ38" s="197">
        <f>Assumptions!BK190</f>
        <v>62223.35025</v>
      </c>
      <c r="BK38" s="197">
        <f>Assumptions!BL190</f>
        <v>62223.35025</v>
      </c>
      <c r="BL38" s="197">
        <f>Assumptions!BM190</f>
        <v>62223.35025</v>
      </c>
      <c r="BM38" s="197">
        <f>Assumptions!BN190</f>
        <v>62223.35025</v>
      </c>
      <c r="BN38" s="197"/>
    </row>
    <row r="39" outlineLevel="1">
      <c r="A39" s="197"/>
      <c r="B39" s="207" t="s">
        <v>133</v>
      </c>
      <c r="C39" s="197"/>
      <c r="D39" s="197"/>
      <c r="E39" s="197"/>
      <c r="F39" s="197">
        <f>Assumptions!G192</f>
        <v>24107.4</v>
      </c>
      <c r="G39" s="197">
        <f>Assumptions!H192</f>
        <v>36931.311</v>
      </c>
      <c r="H39" s="197">
        <f>Assumptions!I192</f>
        <v>43354.81967</v>
      </c>
      <c r="I39" s="197">
        <f>Assumptions!J192</f>
        <v>46566.74729</v>
      </c>
      <c r="J39" s="197">
        <f>Assumptions!K192</f>
        <v>48172.71371</v>
      </c>
      <c r="K39" s="197">
        <f>Assumptions!L192</f>
        <v>48975.69696</v>
      </c>
      <c r="L39" s="197">
        <f>Assumptions!M192</f>
        <v>49377.18858</v>
      </c>
      <c r="M39" s="197">
        <f>Assumptions!N192</f>
        <v>49577.93439</v>
      </c>
      <c r="N39" s="197">
        <f>Assumptions!O192</f>
        <v>49678.3073</v>
      </c>
      <c r="O39" s="197">
        <f>Assumptions!P192</f>
        <v>49728.49375</v>
      </c>
      <c r="P39" s="197">
        <f>Assumptions!Q192</f>
        <v>49753.58698</v>
      </c>
      <c r="Q39" s="197">
        <f>Assumptions!R192</f>
        <v>49766.13359</v>
      </c>
      <c r="R39" s="197">
        <f>Assumptions!S192</f>
        <v>49772.4069</v>
      </c>
      <c r="S39" s="197">
        <f>Assumptions!T192</f>
        <v>49775.54355</v>
      </c>
      <c r="T39" s="197">
        <f>Assumptions!U192</f>
        <v>49777.11188</v>
      </c>
      <c r="U39" s="197">
        <f>Assumptions!V192</f>
        <v>49777.89604</v>
      </c>
      <c r="V39" s="197">
        <f>Assumptions!W192</f>
        <v>49778.28812</v>
      </c>
      <c r="W39" s="197">
        <f>Assumptions!X192</f>
        <v>49778.48416</v>
      </c>
      <c r="X39" s="197">
        <f>Assumptions!Y192</f>
        <v>49778.58218</v>
      </c>
      <c r="Y39" s="197">
        <f>Assumptions!Z192</f>
        <v>49778.63119</v>
      </c>
      <c r="Z39" s="197">
        <f>Assumptions!AA192</f>
        <v>49778.6557</v>
      </c>
      <c r="AA39" s="197">
        <f>Assumptions!AB192</f>
        <v>49778.66795</v>
      </c>
      <c r="AB39" s="197">
        <f>Assumptions!AC192</f>
        <v>49778.67408</v>
      </c>
      <c r="AC39" s="197">
        <f>Assumptions!AD192</f>
        <v>49778.67714</v>
      </c>
      <c r="AD39" s="197">
        <f>Assumptions!AE192</f>
        <v>49778.67867</v>
      </c>
      <c r="AE39" s="197">
        <f>Assumptions!AF192</f>
        <v>49778.67944</v>
      </c>
      <c r="AF39" s="197">
        <f>Assumptions!AG192</f>
        <v>49778.67982</v>
      </c>
      <c r="AG39" s="197">
        <f>Assumptions!AH192</f>
        <v>49778.68001</v>
      </c>
      <c r="AH39" s="197">
        <f>Assumptions!AI192</f>
        <v>49778.68011</v>
      </c>
      <c r="AI39" s="197">
        <f>Assumptions!AJ192</f>
        <v>49778.68016</v>
      </c>
      <c r="AJ39" s="197">
        <f>Assumptions!AK192</f>
        <v>49778.68018</v>
      </c>
      <c r="AK39" s="197">
        <f>Assumptions!AL192</f>
        <v>49778.68019</v>
      </c>
      <c r="AL39" s="197">
        <f>Assumptions!AM192</f>
        <v>49778.6802</v>
      </c>
      <c r="AM39" s="197">
        <f>Assumptions!AN192</f>
        <v>49778.6802</v>
      </c>
      <c r="AN39" s="197">
        <f>Assumptions!AO192</f>
        <v>49778.6802</v>
      </c>
      <c r="AO39" s="197">
        <f>Assumptions!AP192</f>
        <v>49778.6802</v>
      </c>
      <c r="AP39" s="197">
        <f>Assumptions!AQ192</f>
        <v>49778.6802</v>
      </c>
      <c r="AQ39" s="197">
        <f>Assumptions!AR192</f>
        <v>49778.6802</v>
      </c>
      <c r="AR39" s="197">
        <f>Assumptions!AS192</f>
        <v>49778.6802</v>
      </c>
      <c r="AS39" s="197">
        <f>Assumptions!AT192</f>
        <v>49778.6802</v>
      </c>
      <c r="AT39" s="197">
        <f>Assumptions!AU192</f>
        <v>49778.6802</v>
      </c>
      <c r="AU39" s="197">
        <f>Assumptions!AV192</f>
        <v>49778.6802</v>
      </c>
      <c r="AV39" s="197">
        <f>Assumptions!AW192</f>
        <v>49778.6802</v>
      </c>
      <c r="AW39" s="197">
        <f>Assumptions!AX192</f>
        <v>49778.6802</v>
      </c>
      <c r="AX39" s="197">
        <f>Assumptions!AY192</f>
        <v>49778.6802</v>
      </c>
      <c r="AY39" s="197">
        <f>Assumptions!AZ192</f>
        <v>49778.6802</v>
      </c>
      <c r="AZ39" s="197">
        <f>Assumptions!BA192</f>
        <v>49778.6802</v>
      </c>
      <c r="BA39" s="197">
        <f>Assumptions!BB192</f>
        <v>49778.6802</v>
      </c>
      <c r="BB39" s="197">
        <f>Assumptions!BC192</f>
        <v>49778.6802</v>
      </c>
      <c r="BC39" s="197">
        <f>Assumptions!BD192</f>
        <v>49778.6802</v>
      </c>
      <c r="BD39" s="197">
        <f>Assumptions!BE192</f>
        <v>49778.6802</v>
      </c>
      <c r="BE39" s="197">
        <f>Assumptions!BF192</f>
        <v>49778.6802</v>
      </c>
      <c r="BF39" s="197">
        <f>Assumptions!BG192</f>
        <v>49778.6802</v>
      </c>
      <c r="BG39" s="197">
        <f>Assumptions!BH192</f>
        <v>49778.6802</v>
      </c>
      <c r="BH39" s="197">
        <f>Assumptions!BI192</f>
        <v>49778.6802</v>
      </c>
      <c r="BI39" s="197">
        <f>Assumptions!BJ192</f>
        <v>49778.6802</v>
      </c>
      <c r="BJ39" s="197">
        <f>Assumptions!BK192</f>
        <v>49778.6802</v>
      </c>
      <c r="BK39" s="197">
        <f>Assumptions!BL192</f>
        <v>49778.6802</v>
      </c>
      <c r="BL39" s="197">
        <f>Assumptions!BM192</f>
        <v>49778.6802</v>
      </c>
      <c r="BM39" s="197">
        <f>Assumptions!BN192</f>
        <v>49778.6802</v>
      </c>
      <c r="BN39" s="197" t="str">
        <f>Assumptions!BO192</f>
        <v/>
      </c>
    </row>
    <row r="40" outlineLevel="1">
      <c r="A40" s="197"/>
      <c r="B40" s="213" t="s">
        <v>175</v>
      </c>
      <c r="C40" s="214"/>
      <c r="D40" s="214"/>
      <c r="E40" s="214"/>
      <c r="F40" s="214">
        <f t="shared" ref="F40:BM40" si="14">SUM(F37:F39)</f>
        <v>323290.635</v>
      </c>
      <c r="G40" s="214">
        <f t="shared" si="14"/>
        <v>134365.847</v>
      </c>
      <c r="H40" s="214">
        <f t="shared" si="14"/>
        <v>-52454.54854</v>
      </c>
      <c r="I40" s="214">
        <f t="shared" si="14"/>
        <v>-238230.8164</v>
      </c>
      <c r="J40" s="214">
        <f t="shared" si="14"/>
        <v>-423485.1413</v>
      </c>
      <c r="K40" s="214">
        <f t="shared" si="14"/>
        <v>-608478.4967</v>
      </c>
      <c r="L40" s="214">
        <f t="shared" si="14"/>
        <v>-793341.3672</v>
      </c>
      <c r="M40" s="214">
        <f t="shared" si="14"/>
        <v>-978138.9954</v>
      </c>
      <c r="N40" s="214">
        <f t="shared" si="14"/>
        <v>-1162904.002</v>
      </c>
      <c r="O40" s="214">
        <f t="shared" si="14"/>
        <v>-1347652.699</v>
      </c>
      <c r="P40" s="214">
        <f t="shared" si="14"/>
        <v>-1532393.24</v>
      </c>
      <c r="Q40" s="214">
        <f t="shared" si="14"/>
        <v>-1717129.703</v>
      </c>
      <c r="R40" s="214">
        <f t="shared" si="14"/>
        <v>-1901864.128</v>
      </c>
      <c r="S40" s="214">
        <f t="shared" si="14"/>
        <v>-2086597.533</v>
      </c>
      <c r="T40" s="214">
        <f t="shared" si="14"/>
        <v>-2271330.429</v>
      </c>
      <c r="U40" s="214">
        <f t="shared" si="14"/>
        <v>-2456063.069</v>
      </c>
      <c r="V40" s="214">
        <f t="shared" si="14"/>
        <v>-2640795.582</v>
      </c>
      <c r="W40" s="214">
        <f t="shared" si="14"/>
        <v>-2825528.032</v>
      </c>
      <c r="X40" s="214">
        <f t="shared" si="14"/>
        <v>-3010260.45</v>
      </c>
      <c r="Y40" s="214">
        <f t="shared" si="14"/>
        <v>-3194992.851</v>
      </c>
      <c r="Z40" s="214">
        <f t="shared" si="14"/>
        <v>-3379725.245</v>
      </c>
      <c r="AA40" s="214">
        <f t="shared" si="14"/>
        <v>-3564457.635</v>
      </c>
      <c r="AB40" s="214">
        <f t="shared" si="14"/>
        <v>-3749190.023</v>
      </c>
      <c r="AC40" s="214">
        <f t="shared" si="14"/>
        <v>-3933922.409</v>
      </c>
      <c r="AD40" s="214">
        <f t="shared" si="14"/>
        <v>-4118654.796</v>
      </c>
      <c r="AE40" s="214">
        <f t="shared" si="14"/>
        <v>-4303387.182</v>
      </c>
      <c r="AF40" s="214">
        <f t="shared" si="14"/>
        <v>-4488119.568</v>
      </c>
      <c r="AG40" s="214">
        <f t="shared" si="14"/>
        <v>-4672851.953</v>
      </c>
      <c r="AH40" s="214">
        <f t="shared" si="14"/>
        <v>-4857584.339</v>
      </c>
      <c r="AI40" s="214">
        <f t="shared" si="14"/>
        <v>-5042316.725</v>
      </c>
      <c r="AJ40" s="214">
        <f t="shared" si="14"/>
        <v>-5227049.111</v>
      </c>
      <c r="AK40" s="214">
        <f t="shared" si="14"/>
        <v>-5411781.497</v>
      </c>
      <c r="AL40" s="214">
        <f t="shared" si="14"/>
        <v>-5596513.882</v>
      </c>
      <c r="AM40" s="214">
        <f t="shared" si="14"/>
        <v>-5781246.268</v>
      </c>
      <c r="AN40" s="214">
        <f t="shared" si="14"/>
        <v>-5965978.654</v>
      </c>
      <c r="AO40" s="214">
        <f t="shared" si="14"/>
        <v>-6150711.04</v>
      </c>
      <c r="AP40" s="214">
        <f t="shared" si="14"/>
        <v>-6335443.426</v>
      </c>
      <c r="AQ40" s="214">
        <f t="shared" si="14"/>
        <v>-6520175.811</v>
      </c>
      <c r="AR40" s="214">
        <f t="shared" si="14"/>
        <v>-6704908.197</v>
      </c>
      <c r="AS40" s="214">
        <f t="shared" si="14"/>
        <v>-6889640.583</v>
      </c>
      <c r="AT40" s="214">
        <f t="shared" si="14"/>
        <v>-7074372.969</v>
      </c>
      <c r="AU40" s="214">
        <f t="shared" si="14"/>
        <v>-7259105.355</v>
      </c>
      <c r="AV40" s="214">
        <f t="shared" si="14"/>
        <v>-7443837.74</v>
      </c>
      <c r="AW40" s="214">
        <f t="shared" si="14"/>
        <v>-7628570.126</v>
      </c>
      <c r="AX40" s="214">
        <f t="shared" si="14"/>
        <v>-7813302.512</v>
      </c>
      <c r="AY40" s="214">
        <f t="shared" si="14"/>
        <v>-7998034.898</v>
      </c>
      <c r="AZ40" s="214">
        <f t="shared" si="14"/>
        <v>-8182767.283</v>
      </c>
      <c r="BA40" s="214">
        <f t="shared" si="14"/>
        <v>-8367499.669</v>
      </c>
      <c r="BB40" s="214">
        <f t="shared" si="14"/>
        <v>-8552232.055</v>
      </c>
      <c r="BC40" s="214">
        <f t="shared" si="14"/>
        <v>-8736964.441</v>
      </c>
      <c r="BD40" s="214">
        <f t="shared" si="14"/>
        <v>-8921696.827</v>
      </c>
      <c r="BE40" s="214">
        <f t="shared" si="14"/>
        <v>-9106429.212</v>
      </c>
      <c r="BF40" s="214">
        <f t="shared" si="14"/>
        <v>-9291161.598</v>
      </c>
      <c r="BG40" s="214">
        <f t="shared" si="14"/>
        <v>-9475893.984</v>
      </c>
      <c r="BH40" s="214">
        <f t="shared" si="14"/>
        <v>-9660626.37</v>
      </c>
      <c r="BI40" s="214">
        <f t="shared" si="14"/>
        <v>-9845358.756</v>
      </c>
      <c r="BJ40" s="214">
        <f t="shared" si="14"/>
        <v>-10030091.14</v>
      </c>
      <c r="BK40" s="214">
        <f t="shared" si="14"/>
        <v>-10214823.53</v>
      </c>
      <c r="BL40" s="214">
        <f t="shared" si="14"/>
        <v>-10399555.91</v>
      </c>
      <c r="BM40" s="214">
        <f t="shared" si="14"/>
        <v>-10584288.3</v>
      </c>
      <c r="BN40" s="197"/>
    </row>
    <row r="41" outlineLevel="1">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197"/>
      <c r="BG41" s="197"/>
      <c r="BH41" s="197"/>
      <c r="BI41" s="197"/>
      <c r="BJ41" s="197"/>
      <c r="BK41" s="197"/>
      <c r="BL41" s="197"/>
      <c r="BM41" s="197"/>
      <c r="BN41" s="197"/>
    </row>
    <row r="42" outlineLevel="1">
      <c r="A42" s="197"/>
      <c r="B42" s="207" t="s">
        <v>135</v>
      </c>
      <c r="C42" s="197"/>
      <c r="D42" s="197"/>
      <c r="E42" s="197"/>
      <c r="F42" s="197">
        <f>SUM(Assumptions!G194:G198)</f>
        <v>0</v>
      </c>
      <c r="G42" s="197">
        <f>SUM(Assumptions!H194:H198)</f>
        <v>0</v>
      </c>
      <c r="H42" s="197">
        <f>SUM(Assumptions!I194:I198)</f>
        <v>0</v>
      </c>
      <c r="I42" s="197">
        <f>SUM(Assumptions!J194:J198)</f>
        <v>0</v>
      </c>
      <c r="J42" s="197">
        <f>SUM(Assumptions!K194:K198)</f>
        <v>0</v>
      </c>
      <c r="K42" s="197">
        <f>SUM(Assumptions!L194:L198)</f>
        <v>0</v>
      </c>
      <c r="L42" s="197">
        <f>SUM(Assumptions!M194:M198)</f>
        <v>0</v>
      </c>
      <c r="M42" s="197">
        <f>SUM(Assumptions!N194:N198)</f>
        <v>0</v>
      </c>
      <c r="N42" s="197">
        <f>SUM(Assumptions!O194:O198)</f>
        <v>0</v>
      </c>
      <c r="O42" s="197">
        <f>SUM(Assumptions!P194:P198)</f>
        <v>0</v>
      </c>
      <c r="P42" s="197">
        <f>SUM(Assumptions!Q194:Q198)</f>
        <v>0</v>
      </c>
      <c r="Q42" s="197">
        <f>SUM(Assumptions!R194:R198)</f>
        <v>0</v>
      </c>
      <c r="R42" s="197">
        <f>SUM(Assumptions!S194:S198)</f>
        <v>0</v>
      </c>
      <c r="S42" s="197">
        <f>SUM(Assumptions!T194:T198)</f>
        <v>0</v>
      </c>
      <c r="T42" s="197">
        <f>SUM(Assumptions!U194:U198)</f>
        <v>0</v>
      </c>
      <c r="U42" s="197">
        <f>SUM(Assumptions!V194:V198)</f>
        <v>0</v>
      </c>
      <c r="V42" s="197">
        <f>SUM(Assumptions!W194:W198)</f>
        <v>0</v>
      </c>
      <c r="W42" s="197">
        <f>SUM(Assumptions!X194:X198)</f>
        <v>0</v>
      </c>
      <c r="X42" s="197">
        <f>SUM(Assumptions!Y194:Y198)</f>
        <v>0</v>
      </c>
      <c r="Y42" s="197">
        <f>SUM(Assumptions!Z194:Z198)</f>
        <v>0</v>
      </c>
      <c r="Z42" s="197">
        <f>SUM(Assumptions!AA194:AA198)</f>
        <v>0</v>
      </c>
      <c r="AA42" s="197">
        <f>SUM(Assumptions!AB194:AB198)</f>
        <v>0</v>
      </c>
      <c r="AB42" s="197">
        <f>SUM(Assumptions!AC194:AC198)</f>
        <v>0</v>
      </c>
      <c r="AC42" s="197">
        <f>SUM(Assumptions!AD194:AD198)</f>
        <v>0</v>
      </c>
      <c r="AD42" s="197">
        <f>SUM(Assumptions!AE194:AE198)</f>
        <v>0</v>
      </c>
      <c r="AE42" s="197">
        <f>SUM(Assumptions!AF194:AF198)</f>
        <v>0</v>
      </c>
      <c r="AF42" s="197">
        <f>SUM(Assumptions!AG194:AG198)</f>
        <v>0</v>
      </c>
      <c r="AG42" s="197">
        <f>SUM(Assumptions!AH194:AH198)</f>
        <v>0</v>
      </c>
      <c r="AH42" s="197">
        <f>SUM(Assumptions!AI194:AI198)</f>
        <v>0</v>
      </c>
      <c r="AI42" s="197">
        <f>SUM(Assumptions!AJ194:AJ198)</f>
        <v>0</v>
      </c>
      <c r="AJ42" s="197">
        <f>SUM(Assumptions!AK194:AK198)</f>
        <v>0</v>
      </c>
      <c r="AK42" s="197">
        <f>SUM(Assumptions!AL194:AL198)</f>
        <v>0</v>
      </c>
      <c r="AL42" s="197">
        <f>SUM(Assumptions!AM194:AM198)</f>
        <v>0</v>
      </c>
      <c r="AM42" s="197">
        <f>SUM(Assumptions!AN194:AN198)</f>
        <v>0</v>
      </c>
      <c r="AN42" s="197">
        <f>SUM(Assumptions!AO194:AO198)</f>
        <v>0</v>
      </c>
      <c r="AO42" s="197">
        <f>SUM(Assumptions!AP194:AP198)</f>
        <v>0</v>
      </c>
      <c r="AP42" s="197">
        <f>SUM(Assumptions!AQ194:AQ198)</f>
        <v>0</v>
      </c>
      <c r="AQ42" s="197">
        <f>SUM(Assumptions!AR194:AR198)</f>
        <v>0</v>
      </c>
      <c r="AR42" s="197">
        <f>SUM(Assumptions!AS194:AS198)</f>
        <v>0</v>
      </c>
      <c r="AS42" s="197">
        <f>SUM(Assumptions!AT194:AT198)</f>
        <v>0</v>
      </c>
      <c r="AT42" s="197">
        <f>SUM(Assumptions!AU194:AU198)</f>
        <v>0</v>
      </c>
      <c r="AU42" s="197">
        <f>SUM(Assumptions!AV194:AV198)</f>
        <v>0</v>
      </c>
      <c r="AV42" s="197">
        <f>SUM(Assumptions!AW194:AW198)</f>
        <v>0</v>
      </c>
      <c r="AW42" s="197">
        <f>SUM(Assumptions!AX194:AX198)</f>
        <v>0</v>
      </c>
      <c r="AX42" s="197">
        <f>SUM(Assumptions!AY194:AY198)</f>
        <v>0</v>
      </c>
      <c r="AY42" s="197">
        <f>SUM(Assumptions!AZ194:AZ198)</f>
        <v>0</v>
      </c>
      <c r="AZ42" s="197">
        <f>SUM(Assumptions!BA194:BA198)</f>
        <v>0</v>
      </c>
      <c r="BA42" s="197">
        <f>SUM(Assumptions!BB194:BB198)</f>
        <v>0</v>
      </c>
      <c r="BB42" s="197">
        <f>SUM(Assumptions!BC194:BC198)</f>
        <v>0</v>
      </c>
      <c r="BC42" s="197">
        <f>SUM(Assumptions!BD194:BD198)</f>
        <v>0</v>
      </c>
      <c r="BD42" s="197">
        <f>SUM(Assumptions!BE194:BE198)</f>
        <v>0</v>
      </c>
      <c r="BE42" s="197">
        <f>SUM(Assumptions!BF194:BF198)</f>
        <v>0</v>
      </c>
      <c r="BF42" s="197">
        <f>SUM(Assumptions!BG194:BG198)</f>
        <v>0</v>
      </c>
      <c r="BG42" s="197">
        <f>SUM(Assumptions!BH194:BH198)</f>
        <v>0</v>
      </c>
      <c r="BH42" s="197">
        <f>SUM(Assumptions!BI194:BI198)</f>
        <v>0</v>
      </c>
      <c r="BI42" s="197">
        <f>SUM(Assumptions!BJ194:BJ198)</f>
        <v>0</v>
      </c>
      <c r="BJ42" s="197">
        <f>SUM(Assumptions!BK194:BK198)</f>
        <v>0</v>
      </c>
      <c r="BK42" s="197">
        <f>SUM(Assumptions!BL194:BL198)</f>
        <v>0</v>
      </c>
      <c r="BL42" s="197">
        <f>SUM(Assumptions!BM194:BM198)</f>
        <v>0</v>
      </c>
      <c r="BM42" s="197">
        <f>SUM(Assumptions!BN194:BN198)</f>
        <v>0</v>
      </c>
      <c r="BN42" s="197"/>
    </row>
    <row r="43" outlineLevel="1">
      <c r="A43" s="197"/>
      <c r="B43" s="207" t="s">
        <v>176</v>
      </c>
      <c r="C43" s="197"/>
      <c r="D43" s="197"/>
      <c r="E43" s="197"/>
      <c r="F43" s="197">
        <f>-SUM(Assumptions!G201:G204)</f>
        <v>0</v>
      </c>
      <c r="G43" s="197">
        <f>-SUM(Assumptions!H201:H204)</f>
        <v>0</v>
      </c>
      <c r="H43" s="197">
        <f>-SUM(Assumptions!I201:I204)</f>
        <v>0</v>
      </c>
      <c r="I43" s="197">
        <f>-SUM(Assumptions!J201:J204)</f>
        <v>0</v>
      </c>
      <c r="J43" s="197">
        <f>-SUM(Assumptions!K201:K204)</f>
        <v>0</v>
      </c>
      <c r="K43" s="197">
        <f>-SUM(Assumptions!L201:L204)</f>
        <v>0</v>
      </c>
      <c r="L43" s="197">
        <f>-SUM(Assumptions!M201:M204)</f>
        <v>0</v>
      </c>
      <c r="M43" s="197">
        <f>-SUM(Assumptions!N201:N204)</f>
        <v>0</v>
      </c>
      <c r="N43" s="197">
        <f>-SUM(Assumptions!O201:O204)</f>
        <v>0</v>
      </c>
      <c r="O43" s="197">
        <f>-SUM(Assumptions!P201:P204)</f>
        <v>0</v>
      </c>
      <c r="P43" s="197">
        <f>-SUM(Assumptions!Q201:Q204)</f>
        <v>0</v>
      </c>
      <c r="Q43" s="197">
        <f>-SUM(Assumptions!R201:R204)</f>
        <v>0</v>
      </c>
      <c r="R43" s="197">
        <f>-SUM(Assumptions!S201:S204)</f>
        <v>0</v>
      </c>
      <c r="S43" s="197">
        <f>-SUM(Assumptions!T201:T204)</f>
        <v>0</v>
      </c>
      <c r="T43" s="197">
        <f>-SUM(Assumptions!U201:U204)</f>
        <v>0</v>
      </c>
      <c r="U43" s="197">
        <f>-SUM(Assumptions!V201:V204)</f>
        <v>0</v>
      </c>
      <c r="V43" s="197">
        <f>-SUM(Assumptions!W201:W204)</f>
        <v>0</v>
      </c>
      <c r="W43" s="197">
        <f>-SUM(Assumptions!X201:X204)</f>
        <v>0</v>
      </c>
      <c r="X43" s="197">
        <f>-SUM(Assumptions!Y201:Y204)</f>
        <v>0</v>
      </c>
      <c r="Y43" s="197">
        <f>-SUM(Assumptions!Z201:Z204)</f>
        <v>0</v>
      </c>
      <c r="Z43" s="197">
        <f>-SUM(Assumptions!AA201:AA204)</f>
        <v>0</v>
      </c>
      <c r="AA43" s="197">
        <f>-SUM(Assumptions!AB201:AB204)</f>
        <v>0</v>
      </c>
      <c r="AB43" s="197">
        <f>-SUM(Assumptions!AC201:AC204)</f>
        <v>0</v>
      </c>
      <c r="AC43" s="197">
        <f>-SUM(Assumptions!AD201:AD204)</f>
        <v>0</v>
      </c>
      <c r="AD43" s="197">
        <f>-SUM(Assumptions!AE201:AE204)</f>
        <v>0</v>
      </c>
      <c r="AE43" s="197">
        <f>-SUM(Assumptions!AF201:AF204)</f>
        <v>0</v>
      </c>
      <c r="AF43" s="197">
        <f>-SUM(Assumptions!AG201:AG204)</f>
        <v>0</v>
      </c>
      <c r="AG43" s="197">
        <f>-SUM(Assumptions!AH201:AH204)</f>
        <v>0</v>
      </c>
      <c r="AH43" s="197">
        <f>-SUM(Assumptions!AI201:AI204)</f>
        <v>0</v>
      </c>
      <c r="AI43" s="197">
        <f>-SUM(Assumptions!AJ201:AJ204)</f>
        <v>0</v>
      </c>
      <c r="AJ43" s="197">
        <f>-SUM(Assumptions!AK201:AK204)</f>
        <v>0</v>
      </c>
      <c r="AK43" s="197">
        <f>-SUM(Assumptions!AL201:AL204)</f>
        <v>0</v>
      </c>
      <c r="AL43" s="197">
        <f>-SUM(Assumptions!AM201:AM204)</f>
        <v>0</v>
      </c>
      <c r="AM43" s="197">
        <f>-SUM(Assumptions!AN201:AN204)</f>
        <v>0</v>
      </c>
      <c r="AN43" s="197">
        <f>-SUM(Assumptions!AO201:AO204)</f>
        <v>0</v>
      </c>
      <c r="AO43" s="197">
        <f>-SUM(Assumptions!AP201:AP204)</f>
        <v>0</v>
      </c>
      <c r="AP43" s="197">
        <f>-SUM(Assumptions!AQ201:AQ204)</f>
        <v>0</v>
      </c>
      <c r="AQ43" s="197">
        <f>-SUM(Assumptions!AR201:AR204)</f>
        <v>0</v>
      </c>
      <c r="AR43" s="197">
        <f>-SUM(Assumptions!AS201:AS204)</f>
        <v>0</v>
      </c>
      <c r="AS43" s="197">
        <f>-SUM(Assumptions!AT201:AT204)</f>
        <v>0</v>
      </c>
      <c r="AT43" s="197">
        <f>-SUM(Assumptions!AU201:AU204)</f>
        <v>0</v>
      </c>
      <c r="AU43" s="197">
        <f>-SUM(Assumptions!AV201:AV204)</f>
        <v>0</v>
      </c>
      <c r="AV43" s="197">
        <f>-SUM(Assumptions!AW201:AW204)</f>
        <v>0</v>
      </c>
      <c r="AW43" s="197">
        <f>-SUM(Assumptions!AX201:AX204)</f>
        <v>0</v>
      </c>
      <c r="AX43" s="197">
        <f>-SUM(Assumptions!AY201:AY204)</f>
        <v>0</v>
      </c>
      <c r="AY43" s="197">
        <f>-SUM(Assumptions!AZ201:AZ204)</f>
        <v>0</v>
      </c>
      <c r="AZ43" s="197">
        <f>-SUM(Assumptions!BA201:BA204)</f>
        <v>0</v>
      </c>
      <c r="BA43" s="197">
        <f>-SUM(Assumptions!BB201:BB204)</f>
        <v>0</v>
      </c>
      <c r="BB43" s="197">
        <f>-SUM(Assumptions!BC201:BC204)</f>
        <v>0</v>
      </c>
      <c r="BC43" s="197">
        <f>-SUM(Assumptions!BD201:BD204)</f>
        <v>0</v>
      </c>
      <c r="BD43" s="197">
        <f>-SUM(Assumptions!BE201:BE204)</f>
        <v>0</v>
      </c>
      <c r="BE43" s="197">
        <f>-SUM(Assumptions!BF201:BF204)</f>
        <v>0</v>
      </c>
      <c r="BF43" s="197">
        <f>-SUM(Assumptions!BG201:BG204)</f>
        <v>0</v>
      </c>
      <c r="BG43" s="197">
        <f>-SUM(Assumptions!BH201:BH204)</f>
        <v>0</v>
      </c>
      <c r="BH43" s="197">
        <f>-SUM(Assumptions!BI201:BI204)</f>
        <v>0</v>
      </c>
      <c r="BI43" s="197">
        <f>-SUM(Assumptions!BJ201:BJ204)</f>
        <v>0</v>
      </c>
      <c r="BJ43" s="197">
        <f>-SUM(Assumptions!BK201:BK204)</f>
        <v>0</v>
      </c>
      <c r="BK43" s="197">
        <f>-SUM(Assumptions!BL201:BL204)</f>
        <v>0</v>
      </c>
      <c r="BL43" s="197">
        <f>-SUM(Assumptions!BM201:BM204)</f>
        <v>0</v>
      </c>
      <c r="BM43" s="197">
        <f>-SUM(Assumptions!BN201:BN204)</f>
        <v>0</v>
      </c>
      <c r="BN43" s="197"/>
    </row>
    <row r="44" outlineLevel="1">
      <c r="A44" s="197"/>
      <c r="B44" s="200" t="s">
        <v>177</v>
      </c>
      <c r="C44" s="201"/>
      <c r="D44" s="201"/>
      <c r="E44" s="201"/>
      <c r="F44" s="202">
        <f t="shared" ref="F44:BM44" si="15">SUM(F40:F43)</f>
        <v>323290.635</v>
      </c>
      <c r="G44" s="202">
        <f t="shared" si="15"/>
        <v>134365.847</v>
      </c>
      <c r="H44" s="202">
        <f t="shared" si="15"/>
        <v>-52454.54854</v>
      </c>
      <c r="I44" s="202">
        <f t="shared" si="15"/>
        <v>-238230.8164</v>
      </c>
      <c r="J44" s="202">
        <f t="shared" si="15"/>
        <v>-423485.1413</v>
      </c>
      <c r="K44" s="202">
        <f t="shared" si="15"/>
        <v>-608478.4967</v>
      </c>
      <c r="L44" s="202">
        <f t="shared" si="15"/>
        <v>-793341.3672</v>
      </c>
      <c r="M44" s="202">
        <f t="shared" si="15"/>
        <v>-978138.9954</v>
      </c>
      <c r="N44" s="202">
        <f t="shared" si="15"/>
        <v>-1162904.002</v>
      </c>
      <c r="O44" s="202">
        <f t="shared" si="15"/>
        <v>-1347652.699</v>
      </c>
      <c r="P44" s="202">
        <f t="shared" si="15"/>
        <v>-1532393.24</v>
      </c>
      <c r="Q44" s="202">
        <f t="shared" si="15"/>
        <v>-1717129.703</v>
      </c>
      <c r="R44" s="202">
        <f t="shared" si="15"/>
        <v>-1901864.128</v>
      </c>
      <c r="S44" s="202">
        <f t="shared" si="15"/>
        <v>-2086597.533</v>
      </c>
      <c r="T44" s="202">
        <f t="shared" si="15"/>
        <v>-2271330.429</v>
      </c>
      <c r="U44" s="202">
        <f t="shared" si="15"/>
        <v>-2456063.069</v>
      </c>
      <c r="V44" s="202">
        <f t="shared" si="15"/>
        <v>-2640795.582</v>
      </c>
      <c r="W44" s="202">
        <f t="shared" si="15"/>
        <v>-2825528.032</v>
      </c>
      <c r="X44" s="202">
        <f t="shared" si="15"/>
        <v>-3010260.45</v>
      </c>
      <c r="Y44" s="202">
        <f t="shared" si="15"/>
        <v>-3194992.851</v>
      </c>
      <c r="Z44" s="202">
        <f t="shared" si="15"/>
        <v>-3379725.245</v>
      </c>
      <c r="AA44" s="202">
        <f t="shared" si="15"/>
        <v>-3564457.635</v>
      </c>
      <c r="AB44" s="202">
        <f t="shared" si="15"/>
        <v>-3749190.023</v>
      </c>
      <c r="AC44" s="202">
        <f t="shared" si="15"/>
        <v>-3933922.409</v>
      </c>
      <c r="AD44" s="202">
        <f t="shared" si="15"/>
        <v>-4118654.796</v>
      </c>
      <c r="AE44" s="202">
        <f t="shared" si="15"/>
        <v>-4303387.182</v>
      </c>
      <c r="AF44" s="202">
        <f t="shared" si="15"/>
        <v>-4488119.568</v>
      </c>
      <c r="AG44" s="202">
        <f t="shared" si="15"/>
        <v>-4672851.953</v>
      </c>
      <c r="AH44" s="202">
        <f t="shared" si="15"/>
        <v>-4857584.339</v>
      </c>
      <c r="AI44" s="202">
        <f t="shared" si="15"/>
        <v>-5042316.725</v>
      </c>
      <c r="AJ44" s="202">
        <f t="shared" si="15"/>
        <v>-5227049.111</v>
      </c>
      <c r="AK44" s="202">
        <f t="shared" si="15"/>
        <v>-5411781.497</v>
      </c>
      <c r="AL44" s="202">
        <f t="shared" si="15"/>
        <v>-5596513.882</v>
      </c>
      <c r="AM44" s="202">
        <f t="shared" si="15"/>
        <v>-5781246.268</v>
      </c>
      <c r="AN44" s="202">
        <f t="shared" si="15"/>
        <v>-5965978.654</v>
      </c>
      <c r="AO44" s="202">
        <f t="shared" si="15"/>
        <v>-6150711.04</v>
      </c>
      <c r="AP44" s="202">
        <f t="shared" si="15"/>
        <v>-6335443.426</v>
      </c>
      <c r="AQ44" s="202">
        <f t="shared" si="15"/>
        <v>-6520175.811</v>
      </c>
      <c r="AR44" s="202">
        <f t="shared" si="15"/>
        <v>-6704908.197</v>
      </c>
      <c r="AS44" s="202">
        <f t="shared" si="15"/>
        <v>-6889640.583</v>
      </c>
      <c r="AT44" s="202">
        <f t="shared" si="15"/>
        <v>-7074372.969</v>
      </c>
      <c r="AU44" s="202">
        <f t="shared" si="15"/>
        <v>-7259105.355</v>
      </c>
      <c r="AV44" s="202">
        <f t="shared" si="15"/>
        <v>-7443837.74</v>
      </c>
      <c r="AW44" s="202">
        <f t="shared" si="15"/>
        <v>-7628570.126</v>
      </c>
      <c r="AX44" s="202">
        <f t="shared" si="15"/>
        <v>-7813302.512</v>
      </c>
      <c r="AY44" s="202">
        <f t="shared" si="15"/>
        <v>-7998034.898</v>
      </c>
      <c r="AZ44" s="202">
        <f t="shared" si="15"/>
        <v>-8182767.283</v>
      </c>
      <c r="BA44" s="202">
        <f t="shared" si="15"/>
        <v>-8367499.669</v>
      </c>
      <c r="BB44" s="202">
        <f t="shared" si="15"/>
        <v>-8552232.055</v>
      </c>
      <c r="BC44" s="202">
        <f t="shared" si="15"/>
        <v>-8736964.441</v>
      </c>
      <c r="BD44" s="202">
        <f t="shared" si="15"/>
        <v>-8921696.827</v>
      </c>
      <c r="BE44" s="202">
        <f t="shared" si="15"/>
        <v>-9106429.212</v>
      </c>
      <c r="BF44" s="202">
        <f t="shared" si="15"/>
        <v>-9291161.598</v>
      </c>
      <c r="BG44" s="202">
        <f t="shared" si="15"/>
        <v>-9475893.984</v>
      </c>
      <c r="BH44" s="202">
        <f t="shared" si="15"/>
        <v>-9660626.37</v>
      </c>
      <c r="BI44" s="202">
        <f t="shared" si="15"/>
        <v>-9845358.756</v>
      </c>
      <c r="BJ44" s="202">
        <f t="shared" si="15"/>
        <v>-10030091.14</v>
      </c>
      <c r="BK44" s="202">
        <f t="shared" si="15"/>
        <v>-10214823.53</v>
      </c>
      <c r="BL44" s="202">
        <f t="shared" si="15"/>
        <v>-10399555.91</v>
      </c>
      <c r="BM44" s="202">
        <f t="shared" si="15"/>
        <v>-10584288.3</v>
      </c>
      <c r="BN44" s="197"/>
    </row>
    <row r="45" outlineLevel="1">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197"/>
      <c r="BG45" s="197"/>
      <c r="BH45" s="197"/>
      <c r="BI45" s="197"/>
      <c r="BJ45" s="197"/>
      <c r="BK45" s="197"/>
      <c r="BL45" s="197"/>
      <c r="BM45" s="197"/>
      <c r="BN45" s="197"/>
    </row>
    <row r="46" outlineLevel="1">
      <c r="A46" s="197"/>
      <c r="B46" s="206" t="s">
        <v>178</v>
      </c>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197"/>
      <c r="BG46" s="197"/>
      <c r="BH46" s="197"/>
      <c r="BI46" s="197"/>
      <c r="BJ46" s="197"/>
      <c r="BK46" s="197"/>
      <c r="BL46" s="197"/>
      <c r="BM46" s="197"/>
      <c r="BN46" s="197"/>
    </row>
    <row r="47" outlineLevel="1">
      <c r="A47" s="197"/>
      <c r="B47" s="212" t="s">
        <v>145</v>
      </c>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row>
    <row r="48" outlineLevel="1">
      <c r="A48" s="197"/>
      <c r="B48" s="207" t="s">
        <v>179</v>
      </c>
      <c r="C48" s="197"/>
      <c r="D48" s="197"/>
      <c r="E48" s="197"/>
      <c r="F48" s="197">
        <f>Assumptions!G208</f>
        <v>34977.865</v>
      </c>
      <c r="G48" s="197">
        <f>Assumptions!H208</f>
        <v>44275.20048</v>
      </c>
      <c r="H48" s="197">
        <f>Assumptions!I208</f>
        <v>48932.24426</v>
      </c>
      <c r="I48" s="197">
        <f>Assumptions!J208</f>
        <v>51260.89179</v>
      </c>
      <c r="J48" s="197">
        <f>Assumptions!K208</f>
        <v>52425.21744</v>
      </c>
      <c r="K48" s="197">
        <f>Assumptions!L208</f>
        <v>53007.38029</v>
      </c>
      <c r="L48" s="197">
        <f>Assumptions!M208</f>
        <v>53298.46172</v>
      </c>
      <c r="M48" s="197">
        <f>Assumptions!N208</f>
        <v>53444.00243</v>
      </c>
      <c r="N48" s="197">
        <f>Assumptions!O208</f>
        <v>53516.77279</v>
      </c>
      <c r="O48" s="197">
        <f>Assumptions!P208</f>
        <v>53553.15797</v>
      </c>
      <c r="P48" s="197">
        <f>Assumptions!Q208</f>
        <v>53571.35056</v>
      </c>
      <c r="Q48" s="197">
        <f>Assumptions!R208</f>
        <v>53580.44685</v>
      </c>
      <c r="R48" s="197">
        <f>Assumptions!S208</f>
        <v>53584.995</v>
      </c>
      <c r="S48" s="197">
        <f>Assumptions!T208</f>
        <v>53587.26907</v>
      </c>
      <c r="T48" s="197">
        <f>Assumptions!U208</f>
        <v>53588.40611</v>
      </c>
      <c r="U48" s="197">
        <f>Assumptions!V208</f>
        <v>53588.97463</v>
      </c>
      <c r="V48" s="197">
        <f>Assumptions!W208</f>
        <v>53589.25889</v>
      </c>
      <c r="W48" s="197">
        <f>Assumptions!X208</f>
        <v>53589.40102</v>
      </c>
      <c r="X48" s="197">
        <f>Assumptions!Y208</f>
        <v>53589.47208</v>
      </c>
      <c r="Y48" s="197">
        <f>Assumptions!Z208</f>
        <v>53589.50761</v>
      </c>
      <c r="Z48" s="197">
        <f>Assumptions!AA208</f>
        <v>53589.52538</v>
      </c>
      <c r="AA48" s="197">
        <f>Assumptions!AB208</f>
        <v>53589.53426</v>
      </c>
      <c r="AB48" s="197">
        <f>Assumptions!AC208</f>
        <v>53589.53871</v>
      </c>
      <c r="AC48" s="197">
        <f>Assumptions!AD208</f>
        <v>53589.54093</v>
      </c>
      <c r="AD48" s="197">
        <f>Assumptions!AE208</f>
        <v>53589.54204</v>
      </c>
      <c r="AE48" s="197">
        <f>Assumptions!AF208</f>
        <v>53589.54259</v>
      </c>
      <c r="AF48" s="197">
        <f>Assumptions!AG208</f>
        <v>53589.54287</v>
      </c>
      <c r="AG48" s="197">
        <f>Assumptions!AH208</f>
        <v>53589.54301</v>
      </c>
      <c r="AH48" s="197">
        <f>Assumptions!AI208</f>
        <v>53589.54308</v>
      </c>
      <c r="AI48" s="197">
        <f>Assumptions!AJ208</f>
        <v>53589.54311</v>
      </c>
      <c r="AJ48" s="197">
        <f>Assumptions!AK208</f>
        <v>53589.54313</v>
      </c>
      <c r="AK48" s="197">
        <f>Assumptions!AL208</f>
        <v>53589.54314</v>
      </c>
      <c r="AL48" s="197">
        <f>Assumptions!AM208</f>
        <v>53589.54314</v>
      </c>
      <c r="AM48" s="197">
        <f>Assumptions!AN208</f>
        <v>53589.54315</v>
      </c>
      <c r="AN48" s="197">
        <f>Assumptions!AO208</f>
        <v>53589.54315</v>
      </c>
      <c r="AO48" s="197">
        <f>Assumptions!AP208</f>
        <v>53589.54315</v>
      </c>
      <c r="AP48" s="197">
        <f>Assumptions!AQ208</f>
        <v>53589.54315</v>
      </c>
      <c r="AQ48" s="197">
        <f>Assumptions!AR208</f>
        <v>53589.54315</v>
      </c>
      <c r="AR48" s="197">
        <f>Assumptions!AS208</f>
        <v>53589.54315</v>
      </c>
      <c r="AS48" s="197">
        <f>Assumptions!AT208</f>
        <v>53589.54315</v>
      </c>
      <c r="AT48" s="197">
        <f>Assumptions!AU208</f>
        <v>53589.54315</v>
      </c>
      <c r="AU48" s="197">
        <f>Assumptions!AV208</f>
        <v>53589.54315</v>
      </c>
      <c r="AV48" s="197">
        <f>Assumptions!AW208</f>
        <v>53589.54315</v>
      </c>
      <c r="AW48" s="197">
        <f>Assumptions!AX208</f>
        <v>53589.54315</v>
      </c>
      <c r="AX48" s="197">
        <f>Assumptions!AY208</f>
        <v>53589.54315</v>
      </c>
      <c r="AY48" s="197">
        <f>Assumptions!AZ208</f>
        <v>53589.54315</v>
      </c>
      <c r="AZ48" s="197">
        <f>Assumptions!BA208</f>
        <v>53589.54315</v>
      </c>
      <c r="BA48" s="197">
        <f>Assumptions!BB208</f>
        <v>53589.54315</v>
      </c>
      <c r="BB48" s="197">
        <f>Assumptions!BC208</f>
        <v>53589.54315</v>
      </c>
      <c r="BC48" s="197">
        <f>Assumptions!BD208</f>
        <v>53589.54315</v>
      </c>
      <c r="BD48" s="197">
        <f>Assumptions!BE208</f>
        <v>53589.54315</v>
      </c>
      <c r="BE48" s="197">
        <f>Assumptions!BF208</f>
        <v>53589.54315</v>
      </c>
      <c r="BF48" s="197">
        <f>Assumptions!BG208</f>
        <v>53589.54315</v>
      </c>
      <c r="BG48" s="197">
        <f>Assumptions!BH208</f>
        <v>53589.54315</v>
      </c>
      <c r="BH48" s="197">
        <f>Assumptions!BI208</f>
        <v>53589.54315</v>
      </c>
      <c r="BI48" s="197">
        <f>Assumptions!BJ208</f>
        <v>53589.54315</v>
      </c>
      <c r="BJ48" s="197">
        <f>Assumptions!BK208</f>
        <v>53589.54315</v>
      </c>
      <c r="BK48" s="197">
        <f>Assumptions!BL208</f>
        <v>53589.54315</v>
      </c>
      <c r="BL48" s="197">
        <f>Assumptions!BM208</f>
        <v>53589.54315</v>
      </c>
      <c r="BM48" s="197">
        <f>Assumptions!BN208</f>
        <v>53589.54315</v>
      </c>
      <c r="BN48" s="197"/>
    </row>
    <row r="49" outlineLevel="1">
      <c r="A49" s="197"/>
      <c r="B49" s="215" t="s">
        <v>180</v>
      </c>
      <c r="C49" s="216"/>
      <c r="D49" s="216"/>
      <c r="E49" s="216"/>
      <c r="F49" s="215">
        <f t="shared" ref="F49:BM49" si="16">F48</f>
        <v>34977.865</v>
      </c>
      <c r="G49" s="215">
        <f t="shared" si="16"/>
        <v>44275.20048</v>
      </c>
      <c r="H49" s="215">
        <f t="shared" si="16"/>
        <v>48932.24426</v>
      </c>
      <c r="I49" s="215">
        <f t="shared" si="16"/>
        <v>51260.89179</v>
      </c>
      <c r="J49" s="215">
        <f t="shared" si="16"/>
        <v>52425.21744</v>
      </c>
      <c r="K49" s="215">
        <f t="shared" si="16"/>
        <v>53007.38029</v>
      </c>
      <c r="L49" s="215">
        <f t="shared" si="16"/>
        <v>53298.46172</v>
      </c>
      <c r="M49" s="215">
        <f t="shared" si="16"/>
        <v>53444.00243</v>
      </c>
      <c r="N49" s="215">
        <f t="shared" si="16"/>
        <v>53516.77279</v>
      </c>
      <c r="O49" s="215">
        <f t="shared" si="16"/>
        <v>53553.15797</v>
      </c>
      <c r="P49" s="215">
        <f t="shared" si="16"/>
        <v>53571.35056</v>
      </c>
      <c r="Q49" s="215">
        <f t="shared" si="16"/>
        <v>53580.44685</v>
      </c>
      <c r="R49" s="215">
        <f t="shared" si="16"/>
        <v>53584.995</v>
      </c>
      <c r="S49" s="215">
        <f t="shared" si="16"/>
        <v>53587.26907</v>
      </c>
      <c r="T49" s="215">
        <f t="shared" si="16"/>
        <v>53588.40611</v>
      </c>
      <c r="U49" s="215">
        <f t="shared" si="16"/>
        <v>53588.97463</v>
      </c>
      <c r="V49" s="215">
        <f t="shared" si="16"/>
        <v>53589.25889</v>
      </c>
      <c r="W49" s="215">
        <f t="shared" si="16"/>
        <v>53589.40102</v>
      </c>
      <c r="X49" s="215">
        <f t="shared" si="16"/>
        <v>53589.47208</v>
      </c>
      <c r="Y49" s="215">
        <f t="shared" si="16"/>
        <v>53589.50761</v>
      </c>
      <c r="Z49" s="215">
        <f t="shared" si="16"/>
        <v>53589.52538</v>
      </c>
      <c r="AA49" s="215">
        <f t="shared" si="16"/>
        <v>53589.53426</v>
      </c>
      <c r="AB49" s="215">
        <f t="shared" si="16"/>
        <v>53589.53871</v>
      </c>
      <c r="AC49" s="215">
        <f t="shared" si="16"/>
        <v>53589.54093</v>
      </c>
      <c r="AD49" s="215">
        <f t="shared" si="16"/>
        <v>53589.54204</v>
      </c>
      <c r="AE49" s="215">
        <f t="shared" si="16"/>
        <v>53589.54259</v>
      </c>
      <c r="AF49" s="215">
        <f t="shared" si="16"/>
        <v>53589.54287</v>
      </c>
      <c r="AG49" s="215">
        <f t="shared" si="16"/>
        <v>53589.54301</v>
      </c>
      <c r="AH49" s="215">
        <f t="shared" si="16"/>
        <v>53589.54308</v>
      </c>
      <c r="AI49" s="215">
        <f t="shared" si="16"/>
        <v>53589.54311</v>
      </c>
      <c r="AJ49" s="215">
        <f t="shared" si="16"/>
        <v>53589.54313</v>
      </c>
      <c r="AK49" s="215">
        <f t="shared" si="16"/>
        <v>53589.54314</v>
      </c>
      <c r="AL49" s="215">
        <f t="shared" si="16"/>
        <v>53589.54314</v>
      </c>
      <c r="AM49" s="215">
        <f t="shared" si="16"/>
        <v>53589.54315</v>
      </c>
      <c r="AN49" s="215">
        <f t="shared" si="16"/>
        <v>53589.54315</v>
      </c>
      <c r="AO49" s="215">
        <f t="shared" si="16"/>
        <v>53589.54315</v>
      </c>
      <c r="AP49" s="215">
        <f t="shared" si="16"/>
        <v>53589.54315</v>
      </c>
      <c r="AQ49" s="215">
        <f t="shared" si="16"/>
        <v>53589.54315</v>
      </c>
      <c r="AR49" s="215">
        <f t="shared" si="16"/>
        <v>53589.54315</v>
      </c>
      <c r="AS49" s="215">
        <f t="shared" si="16"/>
        <v>53589.54315</v>
      </c>
      <c r="AT49" s="215">
        <f t="shared" si="16"/>
        <v>53589.54315</v>
      </c>
      <c r="AU49" s="215">
        <f t="shared" si="16"/>
        <v>53589.54315</v>
      </c>
      <c r="AV49" s="215">
        <f t="shared" si="16"/>
        <v>53589.54315</v>
      </c>
      <c r="AW49" s="215">
        <f t="shared" si="16"/>
        <v>53589.54315</v>
      </c>
      <c r="AX49" s="215">
        <f t="shared" si="16"/>
        <v>53589.54315</v>
      </c>
      <c r="AY49" s="215">
        <f t="shared" si="16"/>
        <v>53589.54315</v>
      </c>
      <c r="AZ49" s="215">
        <f t="shared" si="16"/>
        <v>53589.54315</v>
      </c>
      <c r="BA49" s="215">
        <f t="shared" si="16"/>
        <v>53589.54315</v>
      </c>
      <c r="BB49" s="215">
        <f t="shared" si="16"/>
        <v>53589.54315</v>
      </c>
      <c r="BC49" s="215">
        <f t="shared" si="16"/>
        <v>53589.54315</v>
      </c>
      <c r="BD49" s="215">
        <f t="shared" si="16"/>
        <v>53589.54315</v>
      </c>
      <c r="BE49" s="215">
        <f t="shared" si="16"/>
        <v>53589.54315</v>
      </c>
      <c r="BF49" s="215">
        <f t="shared" si="16"/>
        <v>53589.54315</v>
      </c>
      <c r="BG49" s="215">
        <f t="shared" si="16"/>
        <v>53589.54315</v>
      </c>
      <c r="BH49" s="215">
        <f t="shared" si="16"/>
        <v>53589.54315</v>
      </c>
      <c r="BI49" s="215">
        <f t="shared" si="16"/>
        <v>53589.54315</v>
      </c>
      <c r="BJ49" s="215">
        <f t="shared" si="16"/>
        <v>53589.54315</v>
      </c>
      <c r="BK49" s="215">
        <f t="shared" si="16"/>
        <v>53589.54315</v>
      </c>
      <c r="BL49" s="215">
        <f t="shared" si="16"/>
        <v>53589.54315</v>
      </c>
      <c r="BM49" s="215">
        <f t="shared" si="16"/>
        <v>53589.54315</v>
      </c>
      <c r="BN49" s="197"/>
    </row>
    <row r="50" outlineLevel="1">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7"/>
      <c r="BK50" s="197"/>
      <c r="BL50" s="197"/>
      <c r="BM50" s="197"/>
      <c r="BN50" s="197"/>
    </row>
    <row r="51" outlineLevel="1">
      <c r="A51" s="197"/>
      <c r="B51" s="212" t="s">
        <v>181</v>
      </c>
      <c r="C51" s="197"/>
      <c r="D51" s="197"/>
      <c r="E51" s="217" t="s">
        <v>182</v>
      </c>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7"/>
      <c r="BK51" s="197"/>
      <c r="BL51" s="197"/>
      <c r="BM51" s="197"/>
      <c r="BN51" s="197"/>
    </row>
    <row r="52" outlineLevel="1">
      <c r="A52" s="197"/>
      <c r="B52" s="207" t="s">
        <v>183</v>
      </c>
      <c r="C52" s="197"/>
      <c r="D52" s="197"/>
      <c r="E52" s="218">
        <f>Assumptions!C188</f>
        <v>500000</v>
      </c>
      <c r="F52" s="197">
        <f>E52</f>
        <v>500000</v>
      </c>
      <c r="G52" s="197">
        <f>Assumptions!H222+$E52</f>
        <v>500000</v>
      </c>
      <c r="H52" s="197">
        <f>Assumptions!I222+$E52</f>
        <v>500000</v>
      </c>
      <c r="I52" s="197">
        <f>Assumptions!J222+$E52</f>
        <v>500000</v>
      </c>
      <c r="J52" s="197">
        <f>Assumptions!K222+$E52</f>
        <v>500000</v>
      </c>
      <c r="K52" s="197">
        <f>Assumptions!L222+$E52</f>
        <v>500000</v>
      </c>
      <c r="L52" s="197">
        <f>Assumptions!M222+$E52</f>
        <v>500000</v>
      </c>
      <c r="M52" s="197">
        <f>Assumptions!N222+$E52</f>
        <v>500000</v>
      </c>
      <c r="N52" s="197">
        <f>Assumptions!O222+$E52</f>
        <v>500000</v>
      </c>
      <c r="O52" s="197">
        <f>Assumptions!P222+$E52</f>
        <v>500000</v>
      </c>
      <c r="P52" s="197">
        <f>Assumptions!Q222+$E52</f>
        <v>500000</v>
      </c>
      <c r="Q52" s="197">
        <f>Assumptions!R222+$E52</f>
        <v>500000</v>
      </c>
      <c r="R52" s="197">
        <f>Assumptions!S222+$E52</f>
        <v>500000</v>
      </c>
      <c r="S52" s="197">
        <f>Assumptions!T222+$E52</f>
        <v>500000</v>
      </c>
      <c r="T52" s="197">
        <f>Assumptions!U222+$E52</f>
        <v>500000</v>
      </c>
      <c r="U52" s="197">
        <f>Assumptions!V222+$E52</f>
        <v>500000</v>
      </c>
      <c r="V52" s="197">
        <f>Assumptions!W222+$E52</f>
        <v>500000</v>
      </c>
      <c r="W52" s="197">
        <f>Assumptions!X222+$E52</f>
        <v>500000</v>
      </c>
      <c r="X52" s="197">
        <f>Assumptions!Y222+$E52</f>
        <v>500000</v>
      </c>
      <c r="Y52" s="197">
        <f>Assumptions!Z222+$E52</f>
        <v>500000</v>
      </c>
      <c r="Z52" s="197">
        <f>Assumptions!AA222+$E52</f>
        <v>500000</v>
      </c>
      <c r="AA52" s="197">
        <f>Assumptions!AB222+$E52</f>
        <v>500000</v>
      </c>
      <c r="AB52" s="197">
        <f>Assumptions!AC222+$E52</f>
        <v>500000</v>
      </c>
      <c r="AC52" s="197">
        <f>Assumptions!AD222+$E52</f>
        <v>500000</v>
      </c>
      <c r="AD52" s="197">
        <f>Assumptions!AE222+$E52</f>
        <v>500000</v>
      </c>
      <c r="AE52" s="197">
        <f>Assumptions!AF222+$E52</f>
        <v>500000</v>
      </c>
      <c r="AF52" s="197">
        <f>Assumptions!AG222+$E52</f>
        <v>500000</v>
      </c>
      <c r="AG52" s="197">
        <f>Assumptions!AH222+$E52</f>
        <v>500000</v>
      </c>
      <c r="AH52" s="197">
        <f>Assumptions!AI222+$E52</f>
        <v>500000</v>
      </c>
      <c r="AI52" s="197">
        <f>Assumptions!AJ222+$E52</f>
        <v>500000</v>
      </c>
      <c r="AJ52" s="197">
        <f>Assumptions!AK222+$E52</f>
        <v>500000</v>
      </c>
      <c r="AK52" s="197">
        <f>Assumptions!AL222+$E52</f>
        <v>500000</v>
      </c>
      <c r="AL52" s="197">
        <f>Assumptions!AM222+$E52</f>
        <v>500000</v>
      </c>
      <c r="AM52" s="197">
        <f>Assumptions!AN222+$E52</f>
        <v>500000</v>
      </c>
      <c r="AN52" s="197">
        <f>Assumptions!AO222+$E52</f>
        <v>500000</v>
      </c>
      <c r="AO52" s="197">
        <f>Assumptions!AP222+$E52</f>
        <v>500000</v>
      </c>
      <c r="AP52" s="197">
        <f>Assumptions!AQ222+$E52</f>
        <v>500000</v>
      </c>
      <c r="AQ52" s="197">
        <f>Assumptions!AR222+$E52</f>
        <v>500000</v>
      </c>
      <c r="AR52" s="197">
        <f>Assumptions!AS222+$E52</f>
        <v>500000</v>
      </c>
      <c r="AS52" s="197">
        <f>Assumptions!AT222+$E52</f>
        <v>500000</v>
      </c>
      <c r="AT52" s="197">
        <f>Assumptions!AU222+$E52</f>
        <v>500000</v>
      </c>
      <c r="AU52" s="197">
        <f>Assumptions!AV222+$E52</f>
        <v>500000</v>
      </c>
      <c r="AV52" s="197">
        <f>Assumptions!AW222+$E52</f>
        <v>500000</v>
      </c>
      <c r="AW52" s="197">
        <f>Assumptions!AX222+$E52</f>
        <v>500000</v>
      </c>
      <c r="AX52" s="197">
        <f>Assumptions!AY222+$E52</f>
        <v>500000</v>
      </c>
      <c r="AY52" s="197">
        <f>Assumptions!AZ222+$E52</f>
        <v>500000</v>
      </c>
      <c r="AZ52" s="197">
        <f>Assumptions!BA222+$E52</f>
        <v>500000</v>
      </c>
      <c r="BA52" s="197">
        <f>Assumptions!BB222+$E52</f>
        <v>500000</v>
      </c>
      <c r="BB52" s="197">
        <f>Assumptions!BC222+$E52</f>
        <v>500000</v>
      </c>
      <c r="BC52" s="197">
        <f>Assumptions!BD222+$E52</f>
        <v>500000</v>
      </c>
      <c r="BD52" s="197">
        <f>Assumptions!BE222+$E52</f>
        <v>500000</v>
      </c>
      <c r="BE52" s="197">
        <f>Assumptions!BF222+$E52</f>
        <v>500000</v>
      </c>
      <c r="BF52" s="197">
        <f>Assumptions!BG222+$E52</f>
        <v>500000</v>
      </c>
      <c r="BG52" s="197">
        <f>Assumptions!BH222+$E52</f>
        <v>500000</v>
      </c>
      <c r="BH52" s="197">
        <f>Assumptions!BI222+$E52</f>
        <v>500000</v>
      </c>
      <c r="BI52" s="197">
        <f>Assumptions!BJ222+$E52</f>
        <v>500000</v>
      </c>
      <c r="BJ52" s="197">
        <f>Assumptions!BK222+$E52</f>
        <v>500000</v>
      </c>
      <c r="BK52" s="197">
        <f>Assumptions!BL222+$E52</f>
        <v>500000</v>
      </c>
      <c r="BL52" s="197">
        <f>Assumptions!BM222+$E52</f>
        <v>500000</v>
      </c>
      <c r="BM52" s="197">
        <f>Assumptions!BN222+$E52</f>
        <v>500000</v>
      </c>
      <c r="BN52" s="197"/>
    </row>
    <row r="53" outlineLevel="1">
      <c r="A53" s="197"/>
      <c r="B53" s="207" t="s">
        <v>184</v>
      </c>
      <c r="C53" s="197"/>
      <c r="D53" s="197"/>
      <c r="E53" s="197"/>
      <c r="F53" s="197">
        <f t="shared" ref="F53:BM53" si="17">E53+F30</f>
        <v>-211687.23</v>
      </c>
      <c r="G53" s="197">
        <f t="shared" si="17"/>
        <v>-409909.3535</v>
      </c>
      <c r="H53" s="197">
        <f t="shared" si="17"/>
        <v>-601386.7928</v>
      </c>
      <c r="I53" s="197">
        <f t="shared" si="17"/>
        <v>-789491.7081</v>
      </c>
      <c r="J53" s="197">
        <f t="shared" si="17"/>
        <v>-975910.3587</v>
      </c>
      <c r="K53" s="197">
        <f t="shared" si="17"/>
        <v>-1161485.877</v>
      </c>
      <c r="L53" s="197">
        <f t="shared" si="17"/>
        <v>-1346639.829</v>
      </c>
      <c r="M53" s="197">
        <f t="shared" si="17"/>
        <v>-1531582.998</v>
      </c>
      <c r="N53" s="197">
        <f t="shared" si="17"/>
        <v>-1716420.775</v>
      </c>
      <c r="O53" s="197">
        <f t="shared" si="17"/>
        <v>-1901205.857</v>
      </c>
      <c r="P53" s="197">
        <f t="shared" si="17"/>
        <v>-2085964.59</v>
      </c>
      <c r="Q53" s="197">
        <f t="shared" si="17"/>
        <v>-2270710.15</v>
      </c>
      <c r="R53" s="197">
        <f t="shared" si="17"/>
        <v>-2455449.123</v>
      </c>
      <c r="S53" s="197">
        <f t="shared" si="17"/>
        <v>-2640184.802</v>
      </c>
      <c r="T53" s="197">
        <f t="shared" si="17"/>
        <v>-2824918.835</v>
      </c>
      <c r="U53" s="197">
        <f t="shared" si="17"/>
        <v>-3009652.044</v>
      </c>
      <c r="V53" s="197">
        <f t="shared" si="17"/>
        <v>-3194384.841</v>
      </c>
      <c r="W53" s="197">
        <f t="shared" si="17"/>
        <v>-3379117.433</v>
      </c>
      <c r="X53" s="197">
        <f t="shared" si="17"/>
        <v>-3563849.922</v>
      </c>
      <c r="Y53" s="197">
        <f t="shared" si="17"/>
        <v>-3748582.359</v>
      </c>
      <c r="Z53" s="197">
        <f t="shared" si="17"/>
        <v>-3933314.77</v>
      </c>
      <c r="AA53" s="197">
        <f t="shared" si="17"/>
        <v>-4118047.169</v>
      </c>
      <c r="AB53" s="197">
        <f t="shared" si="17"/>
        <v>-4302779.561</v>
      </c>
      <c r="AC53" s="197">
        <f t="shared" si="17"/>
        <v>-4487511.95</v>
      </c>
      <c r="AD53" s="197">
        <f t="shared" si="17"/>
        <v>-4672244.338</v>
      </c>
      <c r="AE53" s="197">
        <f t="shared" si="17"/>
        <v>-4856976.724</v>
      </c>
      <c r="AF53" s="197">
        <f t="shared" si="17"/>
        <v>-5041709.11</v>
      </c>
      <c r="AG53" s="197">
        <f t="shared" si="17"/>
        <v>-5226441.496</v>
      </c>
      <c r="AH53" s="197">
        <f t="shared" si="17"/>
        <v>-5411173.882</v>
      </c>
      <c r="AI53" s="197">
        <f t="shared" si="17"/>
        <v>-5595906.268</v>
      </c>
      <c r="AJ53" s="197">
        <f t="shared" si="17"/>
        <v>-5780638.654</v>
      </c>
      <c r="AK53" s="197">
        <f t="shared" si="17"/>
        <v>-5965371.04</v>
      </c>
      <c r="AL53" s="197">
        <f t="shared" si="17"/>
        <v>-6150103.426</v>
      </c>
      <c r="AM53" s="197">
        <f t="shared" si="17"/>
        <v>-6334835.811</v>
      </c>
      <c r="AN53" s="197">
        <f t="shared" si="17"/>
        <v>-6519568.197</v>
      </c>
      <c r="AO53" s="197">
        <f t="shared" si="17"/>
        <v>-6704300.583</v>
      </c>
      <c r="AP53" s="197">
        <f t="shared" si="17"/>
        <v>-6889032.969</v>
      </c>
      <c r="AQ53" s="197">
        <f t="shared" si="17"/>
        <v>-7073765.355</v>
      </c>
      <c r="AR53" s="197">
        <f t="shared" si="17"/>
        <v>-7258497.74</v>
      </c>
      <c r="AS53" s="197">
        <f t="shared" si="17"/>
        <v>-7443230.126</v>
      </c>
      <c r="AT53" s="197">
        <f t="shared" si="17"/>
        <v>-7627962.512</v>
      </c>
      <c r="AU53" s="197">
        <f t="shared" si="17"/>
        <v>-7812694.898</v>
      </c>
      <c r="AV53" s="197">
        <f t="shared" si="17"/>
        <v>-7997427.283</v>
      </c>
      <c r="AW53" s="197">
        <f t="shared" si="17"/>
        <v>-8182159.669</v>
      </c>
      <c r="AX53" s="197">
        <f t="shared" si="17"/>
        <v>-8366892.055</v>
      </c>
      <c r="AY53" s="197">
        <f t="shared" si="17"/>
        <v>-8551624.441</v>
      </c>
      <c r="AZ53" s="197">
        <f t="shared" si="17"/>
        <v>-8736356.827</v>
      </c>
      <c r="BA53" s="197">
        <f t="shared" si="17"/>
        <v>-8921089.212</v>
      </c>
      <c r="BB53" s="197">
        <f t="shared" si="17"/>
        <v>-9105821.598</v>
      </c>
      <c r="BC53" s="197">
        <f t="shared" si="17"/>
        <v>-9290553.984</v>
      </c>
      <c r="BD53" s="197">
        <f t="shared" si="17"/>
        <v>-9475286.37</v>
      </c>
      <c r="BE53" s="197">
        <f t="shared" si="17"/>
        <v>-9660018.756</v>
      </c>
      <c r="BF53" s="197">
        <f t="shared" si="17"/>
        <v>-9844751.141</v>
      </c>
      <c r="BG53" s="197">
        <f t="shared" si="17"/>
        <v>-10029483.53</v>
      </c>
      <c r="BH53" s="197">
        <f t="shared" si="17"/>
        <v>-10214215.91</v>
      </c>
      <c r="BI53" s="197">
        <f t="shared" si="17"/>
        <v>-10398948.3</v>
      </c>
      <c r="BJ53" s="197">
        <f t="shared" si="17"/>
        <v>-10583680.68</v>
      </c>
      <c r="BK53" s="197">
        <f t="shared" si="17"/>
        <v>-10768413.07</v>
      </c>
      <c r="BL53" s="197">
        <f t="shared" si="17"/>
        <v>-10953145.46</v>
      </c>
      <c r="BM53" s="197">
        <f t="shared" si="17"/>
        <v>-11137877.84</v>
      </c>
      <c r="BN53" s="197"/>
    </row>
    <row r="54" outlineLevel="1">
      <c r="A54" s="197"/>
      <c r="B54" s="215" t="s">
        <v>185</v>
      </c>
      <c r="C54" s="216"/>
      <c r="D54" s="216"/>
      <c r="E54" s="216"/>
      <c r="F54" s="215">
        <f t="shared" ref="F54:BM54" si="18">SUM(F52:F53)</f>
        <v>288312.77</v>
      </c>
      <c r="G54" s="215">
        <f t="shared" si="18"/>
        <v>90090.64655</v>
      </c>
      <c r="H54" s="215">
        <f t="shared" si="18"/>
        <v>-101386.7928</v>
      </c>
      <c r="I54" s="215">
        <f t="shared" si="18"/>
        <v>-289491.7081</v>
      </c>
      <c r="J54" s="215">
        <f t="shared" si="18"/>
        <v>-475910.3587</v>
      </c>
      <c r="K54" s="215">
        <f t="shared" si="18"/>
        <v>-661485.8769</v>
      </c>
      <c r="L54" s="215">
        <f t="shared" si="18"/>
        <v>-846639.8289</v>
      </c>
      <c r="M54" s="215">
        <f t="shared" si="18"/>
        <v>-1031582.998</v>
      </c>
      <c r="N54" s="215">
        <f t="shared" si="18"/>
        <v>-1216420.775</v>
      </c>
      <c r="O54" s="215">
        <f t="shared" si="18"/>
        <v>-1401205.857</v>
      </c>
      <c r="P54" s="215">
        <f t="shared" si="18"/>
        <v>-1585964.59</v>
      </c>
      <c r="Q54" s="215">
        <f t="shared" si="18"/>
        <v>-1770710.15</v>
      </c>
      <c r="R54" s="215">
        <f t="shared" si="18"/>
        <v>-1955449.123</v>
      </c>
      <c r="S54" s="215">
        <f t="shared" si="18"/>
        <v>-2140184.802</v>
      </c>
      <c r="T54" s="215">
        <f t="shared" si="18"/>
        <v>-2324918.835</v>
      </c>
      <c r="U54" s="215">
        <f t="shared" si="18"/>
        <v>-2509652.044</v>
      </c>
      <c r="V54" s="215">
        <f t="shared" si="18"/>
        <v>-2694384.841</v>
      </c>
      <c r="W54" s="215">
        <f t="shared" si="18"/>
        <v>-2879117.433</v>
      </c>
      <c r="X54" s="215">
        <f t="shared" si="18"/>
        <v>-3063849.922</v>
      </c>
      <c r="Y54" s="215">
        <f t="shared" si="18"/>
        <v>-3248582.359</v>
      </c>
      <c r="Z54" s="215">
        <f t="shared" si="18"/>
        <v>-3433314.77</v>
      </c>
      <c r="AA54" s="215">
        <f t="shared" si="18"/>
        <v>-3618047.169</v>
      </c>
      <c r="AB54" s="215">
        <f t="shared" si="18"/>
        <v>-3802779.561</v>
      </c>
      <c r="AC54" s="215">
        <f t="shared" si="18"/>
        <v>-3987511.95</v>
      </c>
      <c r="AD54" s="215">
        <f t="shared" si="18"/>
        <v>-4172244.338</v>
      </c>
      <c r="AE54" s="215">
        <f t="shared" si="18"/>
        <v>-4356976.724</v>
      </c>
      <c r="AF54" s="215">
        <f t="shared" si="18"/>
        <v>-4541709.11</v>
      </c>
      <c r="AG54" s="215">
        <f t="shared" si="18"/>
        <v>-4726441.496</v>
      </c>
      <c r="AH54" s="215">
        <f t="shared" si="18"/>
        <v>-4911173.882</v>
      </c>
      <c r="AI54" s="215">
        <f t="shared" si="18"/>
        <v>-5095906.268</v>
      </c>
      <c r="AJ54" s="215">
        <f t="shared" si="18"/>
        <v>-5280638.654</v>
      </c>
      <c r="AK54" s="215">
        <f t="shared" si="18"/>
        <v>-5465371.04</v>
      </c>
      <c r="AL54" s="215">
        <f t="shared" si="18"/>
        <v>-5650103.426</v>
      </c>
      <c r="AM54" s="215">
        <f t="shared" si="18"/>
        <v>-5834835.811</v>
      </c>
      <c r="AN54" s="215">
        <f t="shared" si="18"/>
        <v>-6019568.197</v>
      </c>
      <c r="AO54" s="215">
        <f t="shared" si="18"/>
        <v>-6204300.583</v>
      </c>
      <c r="AP54" s="215">
        <f t="shared" si="18"/>
        <v>-6389032.969</v>
      </c>
      <c r="AQ54" s="215">
        <f t="shared" si="18"/>
        <v>-6573765.355</v>
      </c>
      <c r="AR54" s="215">
        <f t="shared" si="18"/>
        <v>-6758497.74</v>
      </c>
      <c r="AS54" s="215">
        <f t="shared" si="18"/>
        <v>-6943230.126</v>
      </c>
      <c r="AT54" s="215">
        <f t="shared" si="18"/>
        <v>-7127962.512</v>
      </c>
      <c r="AU54" s="215">
        <f t="shared" si="18"/>
        <v>-7312694.898</v>
      </c>
      <c r="AV54" s="215">
        <f t="shared" si="18"/>
        <v>-7497427.283</v>
      </c>
      <c r="AW54" s="215">
        <f t="shared" si="18"/>
        <v>-7682159.669</v>
      </c>
      <c r="AX54" s="215">
        <f t="shared" si="18"/>
        <v>-7866892.055</v>
      </c>
      <c r="AY54" s="215">
        <f t="shared" si="18"/>
        <v>-8051624.441</v>
      </c>
      <c r="AZ54" s="215">
        <f t="shared" si="18"/>
        <v>-8236356.827</v>
      </c>
      <c r="BA54" s="215">
        <f t="shared" si="18"/>
        <v>-8421089.212</v>
      </c>
      <c r="BB54" s="215">
        <f t="shared" si="18"/>
        <v>-8605821.598</v>
      </c>
      <c r="BC54" s="215">
        <f t="shared" si="18"/>
        <v>-8790553.984</v>
      </c>
      <c r="BD54" s="215">
        <f t="shared" si="18"/>
        <v>-8975286.37</v>
      </c>
      <c r="BE54" s="215">
        <f t="shared" si="18"/>
        <v>-9160018.756</v>
      </c>
      <c r="BF54" s="215">
        <f t="shared" si="18"/>
        <v>-9344751.141</v>
      </c>
      <c r="BG54" s="215">
        <f t="shared" si="18"/>
        <v>-9529483.527</v>
      </c>
      <c r="BH54" s="215">
        <f t="shared" si="18"/>
        <v>-9714215.913</v>
      </c>
      <c r="BI54" s="215">
        <f t="shared" si="18"/>
        <v>-9898948.299</v>
      </c>
      <c r="BJ54" s="215">
        <f t="shared" si="18"/>
        <v>-10083680.68</v>
      </c>
      <c r="BK54" s="215">
        <f t="shared" si="18"/>
        <v>-10268413.07</v>
      </c>
      <c r="BL54" s="215">
        <f t="shared" si="18"/>
        <v>-10453145.46</v>
      </c>
      <c r="BM54" s="215">
        <f t="shared" si="18"/>
        <v>-10637877.84</v>
      </c>
      <c r="BN54" s="197"/>
    </row>
    <row r="55" outlineLevel="1">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197"/>
      <c r="BG55" s="197"/>
      <c r="BH55" s="197"/>
      <c r="BI55" s="197"/>
      <c r="BJ55" s="197"/>
      <c r="BK55" s="197"/>
      <c r="BL55" s="197"/>
      <c r="BM55" s="197"/>
      <c r="BN55" s="197"/>
    </row>
    <row r="56" outlineLevel="1">
      <c r="A56" s="197"/>
      <c r="B56" s="200" t="s">
        <v>186</v>
      </c>
      <c r="C56" s="201"/>
      <c r="D56" s="201"/>
      <c r="E56" s="201"/>
      <c r="F56" s="202">
        <f t="shared" ref="F56:BM56" si="19">F54+F49</f>
        <v>323290.635</v>
      </c>
      <c r="G56" s="202">
        <f t="shared" si="19"/>
        <v>134365.847</v>
      </c>
      <c r="H56" s="202">
        <f t="shared" si="19"/>
        <v>-52454.54854</v>
      </c>
      <c r="I56" s="202">
        <f t="shared" si="19"/>
        <v>-238230.8164</v>
      </c>
      <c r="J56" s="202">
        <f t="shared" si="19"/>
        <v>-423485.1413</v>
      </c>
      <c r="K56" s="202">
        <f t="shared" si="19"/>
        <v>-608478.4967</v>
      </c>
      <c r="L56" s="202">
        <f t="shared" si="19"/>
        <v>-793341.3672</v>
      </c>
      <c r="M56" s="202">
        <f t="shared" si="19"/>
        <v>-978138.9954</v>
      </c>
      <c r="N56" s="202">
        <f t="shared" si="19"/>
        <v>-1162904.002</v>
      </c>
      <c r="O56" s="202">
        <f t="shared" si="19"/>
        <v>-1347652.699</v>
      </c>
      <c r="P56" s="202">
        <f t="shared" si="19"/>
        <v>-1532393.24</v>
      </c>
      <c r="Q56" s="202">
        <f t="shared" si="19"/>
        <v>-1717129.703</v>
      </c>
      <c r="R56" s="202">
        <f t="shared" si="19"/>
        <v>-1901864.128</v>
      </c>
      <c r="S56" s="202">
        <f t="shared" si="19"/>
        <v>-2086597.533</v>
      </c>
      <c r="T56" s="202">
        <f t="shared" si="19"/>
        <v>-2271330.429</v>
      </c>
      <c r="U56" s="202">
        <f t="shared" si="19"/>
        <v>-2456063.069</v>
      </c>
      <c r="V56" s="202">
        <f t="shared" si="19"/>
        <v>-2640795.582</v>
      </c>
      <c r="W56" s="202">
        <f t="shared" si="19"/>
        <v>-2825528.032</v>
      </c>
      <c r="X56" s="202">
        <f t="shared" si="19"/>
        <v>-3010260.45</v>
      </c>
      <c r="Y56" s="202">
        <f t="shared" si="19"/>
        <v>-3194992.851</v>
      </c>
      <c r="Z56" s="202">
        <f t="shared" si="19"/>
        <v>-3379725.245</v>
      </c>
      <c r="AA56" s="202">
        <f t="shared" si="19"/>
        <v>-3564457.635</v>
      </c>
      <c r="AB56" s="202">
        <f t="shared" si="19"/>
        <v>-3749190.023</v>
      </c>
      <c r="AC56" s="202">
        <f t="shared" si="19"/>
        <v>-3933922.409</v>
      </c>
      <c r="AD56" s="202">
        <f t="shared" si="19"/>
        <v>-4118654.796</v>
      </c>
      <c r="AE56" s="202">
        <f t="shared" si="19"/>
        <v>-4303387.182</v>
      </c>
      <c r="AF56" s="202">
        <f t="shared" si="19"/>
        <v>-4488119.568</v>
      </c>
      <c r="AG56" s="202">
        <f t="shared" si="19"/>
        <v>-4672851.953</v>
      </c>
      <c r="AH56" s="202">
        <f t="shared" si="19"/>
        <v>-4857584.339</v>
      </c>
      <c r="AI56" s="202">
        <f t="shared" si="19"/>
        <v>-5042316.725</v>
      </c>
      <c r="AJ56" s="202">
        <f t="shared" si="19"/>
        <v>-5227049.111</v>
      </c>
      <c r="AK56" s="202">
        <f t="shared" si="19"/>
        <v>-5411781.497</v>
      </c>
      <c r="AL56" s="202">
        <f t="shared" si="19"/>
        <v>-5596513.882</v>
      </c>
      <c r="AM56" s="202">
        <f t="shared" si="19"/>
        <v>-5781246.268</v>
      </c>
      <c r="AN56" s="202">
        <f t="shared" si="19"/>
        <v>-5965978.654</v>
      </c>
      <c r="AO56" s="202">
        <f t="shared" si="19"/>
        <v>-6150711.04</v>
      </c>
      <c r="AP56" s="202">
        <f t="shared" si="19"/>
        <v>-6335443.426</v>
      </c>
      <c r="AQ56" s="202">
        <f t="shared" si="19"/>
        <v>-6520175.811</v>
      </c>
      <c r="AR56" s="202">
        <f t="shared" si="19"/>
        <v>-6704908.197</v>
      </c>
      <c r="AS56" s="202">
        <f t="shared" si="19"/>
        <v>-6889640.583</v>
      </c>
      <c r="AT56" s="202">
        <f t="shared" si="19"/>
        <v>-7074372.969</v>
      </c>
      <c r="AU56" s="202">
        <f t="shared" si="19"/>
        <v>-7259105.355</v>
      </c>
      <c r="AV56" s="202">
        <f t="shared" si="19"/>
        <v>-7443837.74</v>
      </c>
      <c r="AW56" s="202">
        <f t="shared" si="19"/>
        <v>-7628570.126</v>
      </c>
      <c r="AX56" s="202">
        <f t="shared" si="19"/>
        <v>-7813302.512</v>
      </c>
      <c r="AY56" s="202">
        <f t="shared" si="19"/>
        <v>-7998034.898</v>
      </c>
      <c r="AZ56" s="202">
        <f t="shared" si="19"/>
        <v>-8182767.283</v>
      </c>
      <c r="BA56" s="202">
        <f t="shared" si="19"/>
        <v>-8367499.669</v>
      </c>
      <c r="BB56" s="202">
        <f t="shared" si="19"/>
        <v>-8552232.055</v>
      </c>
      <c r="BC56" s="202">
        <f t="shared" si="19"/>
        <v>-8736964.441</v>
      </c>
      <c r="BD56" s="202">
        <f t="shared" si="19"/>
        <v>-8921696.827</v>
      </c>
      <c r="BE56" s="202">
        <f t="shared" si="19"/>
        <v>-9106429.212</v>
      </c>
      <c r="BF56" s="202">
        <f t="shared" si="19"/>
        <v>-9291161.598</v>
      </c>
      <c r="BG56" s="202">
        <f t="shared" si="19"/>
        <v>-9475893.984</v>
      </c>
      <c r="BH56" s="202">
        <f t="shared" si="19"/>
        <v>-9660626.37</v>
      </c>
      <c r="BI56" s="202">
        <f t="shared" si="19"/>
        <v>-9845358.756</v>
      </c>
      <c r="BJ56" s="202">
        <f t="shared" si="19"/>
        <v>-10030091.14</v>
      </c>
      <c r="BK56" s="202">
        <f t="shared" si="19"/>
        <v>-10214823.53</v>
      </c>
      <c r="BL56" s="202">
        <f t="shared" si="19"/>
        <v>-10399555.91</v>
      </c>
      <c r="BM56" s="202">
        <f t="shared" si="19"/>
        <v>-10584288.3</v>
      </c>
      <c r="BN56" s="197"/>
    </row>
    <row r="57" outlineLevel="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row>
    <row r="58" outlineLevel="1">
      <c r="A58" s="30"/>
      <c r="B58" s="219" t="s">
        <v>187</v>
      </c>
      <c r="C58" s="30"/>
      <c r="D58" s="30"/>
      <c r="E58" s="30"/>
      <c r="F58" s="220" t="str">
        <f t="shared" ref="F58:BM58" si="20">IF(ABS(F56-F44)&gt;0.001,"ERROR","OK")</f>
        <v>OK</v>
      </c>
      <c r="G58" s="220" t="str">
        <f t="shared" si="20"/>
        <v>OK</v>
      </c>
      <c r="H58" s="220" t="str">
        <f t="shared" si="20"/>
        <v>OK</v>
      </c>
      <c r="I58" s="220" t="str">
        <f t="shared" si="20"/>
        <v>OK</v>
      </c>
      <c r="J58" s="220" t="str">
        <f t="shared" si="20"/>
        <v>OK</v>
      </c>
      <c r="K58" s="220" t="str">
        <f t="shared" si="20"/>
        <v>OK</v>
      </c>
      <c r="L58" s="220" t="str">
        <f t="shared" si="20"/>
        <v>OK</v>
      </c>
      <c r="M58" s="220" t="str">
        <f t="shared" si="20"/>
        <v>OK</v>
      </c>
      <c r="N58" s="220" t="str">
        <f t="shared" si="20"/>
        <v>OK</v>
      </c>
      <c r="O58" s="220" t="str">
        <f t="shared" si="20"/>
        <v>OK</v>
      </c>
      <c r="P58" s="220" t="str">
        <f t="shared" si="20"/>
        <v>OK</v>
      </c>
      <c r="Q58" s="220" t="str">
        <f t="shared" si="20"/>
        <v>OK</v>
      </c>
      <c r="R58" s="220" t="str">
        <f t="shared" si="20"/>
        <v>OK</v>
      </c>
      <c r="S58" s="220" t="str">
        <f t="shared" si="20"/>
        <v>OK</v>
      </c>
      <c r="T58" s="220" t="str">
        <f t="shared" si="20"/>
        <v>OK</v>
      </c>
      <c r="U58" s="220" t="str">
        <f t="shared" si="20"/>
        <v>OK</v>
      </c>
      <c r="V58" s="220" t="str">
        <f t="shared" si="20"/>
        <v>OK</v>
      </c>
      <c r="W58" s="220" t="str">
        <f t="shared" si="20"/>
        <v>OK</v>
      </c>
      <c r="X58" s="220" t="str">
        <f t="shared" si="20"/>
        <v>OK</v>
      </c>
      <c r="Y58" s="220" t="str">
        <f t="shared" si="20"/>
        <v>OK</v>
      </c>
      <c r="Z58" s="220" t="str">
        <f t="shared" si="20"/>
        <v>OK</v>
      </c>
      <c r="AA58" s="220" t="str">
        <f t="shared" si="20"/>
        <v>OK</v>
      </c>
      <c r="AB58" s="220" t="str">
        <f t="shared" si="20"/>
        <v>OK</v>
      </c>
      <c r="AC58" s="220" t="str">
        <f t="shared" si="20"/>
        <v>OK</v>
      </c>
      <c r="AD58" s="220" t="str">
        <f t="shared" si="20"/>
        <v>OK</v>
      </c>
      <c r="AE58" s="220" t="str">
        <f t="shared" si="20"/>
        <v>OK</v>
      </c>
      <c r="AF58" s="220" t="str">
        <f t="shared" si="20"/>
        <v>OK</v>
      </c>
      <c r="AG58" s="220" t="str">
        <f t="shared" si="20"/>
        <v>OK</v>
      </c>
      <c r="AH58" s="220" t="str">
        <f t="shared" si="20"/>
        <v>OK</v>
      </c>
      <c r="AI58" s="220" t="str">
        <f t="shared" si="20"/>
        <v>OK</v>
      </c>
      <c r="AJ58" s="220" t="str">
        <f t="shared" si="20"/>
        <v>OK</v>
      </c>
      <c r="AK58" s="220" t="str">
        <f t="shared" si="20"/>
        <v>OK</v>
      </c>
      <c r="AL58" s="220" t="str">
        <f t="shared" si="20"/>
        <v>OK</v>
      </c>
      <c r="AM58" s="220" t="str">
        <f t="shared" si="20"/>
        <v>OK</v>
      </c>
      <c r="AN58" s="220" t="str">
        <f t="shared" si="20"/>
        <v>OK</v>
      </c>
      <c r="AO58" s="220" t="str">
        <f t="shared" si="20"/>
        <v>OK</v>
      </c>
      <c r="AP58" s="220" t="str">
        <f t="shared" si="20"/>
        <v>OK</v>
      </c>
      <c r="AQ58" s="220" t="str">
        <f t="shared" si="20"/>
        <v>OK</v>
      </c>
      <c r="AR58" s="220" t="str">
        <f t="shared" si="20"/>
        <v>OK</v>
      </c>
      <c r="AS58" s="220" t="str">
        <f t="shared" si="20"/>
        <v>OK</v>
      </c>
      <c r="AT58" s="220" t="str">
        <f t="shared" si="20"/>
        <v>OK</v>
      </c>
      <c r="AU58" s="220" t="str">
        <f t="shared" si="20"/>
        <v>OK</v>
      </c>
      <c r="AV58" s="220" t="str">
        <f t="shared" si="20"/>
        <v>OK</v>
      </c>
      <c r="AW58" s="220" t="str">
        <f t="shared" si="20"/>
        <v>OK</v>
      </c>
      <c r="AX58" s="220" t="str">
        <f t="shared" si="20"/>
        <v>OK</v>
      </c>
      <c r="AY58" s="220" t="str">
        <f t="shared" si="20"/>
        <v>OK</v>
      </c>
      <c r="AZ58" s="220" t="str">
        <f t="shared" si="20"/>
        <v>OK</v>
      </c>
      <c r="BA58" s="220" t="str">
        <f t="shared" si="20"/>
        <v>OK</v>
      </c>
      <c r="BB58" s="220" t="str">
        <f t="shared" si="20"/>
        <v>OK</v>
      </c>
      <c r="BC58" s="220" t="str">
        <f t="shared" si="20"/>
        <v>OK</v>
      </c>
      <c r="BD58" s="220" t="str">
        <f t="shared" si="20"/>
        <v>OK</v>
      </c>
      <c r="BE58" s="220" t="str">
        <f t="shared" si="20"/>
        <v>OK</v>
      </c>
      <c r="BF58" s="220" t="str">
        <f t="shared" si="20"/>
        <v>OK</v>
      </c>
      <c r="BG58" s="220" t="str">
        <f t="shared" si="20"/>
        <v>OK</v>
      </c>
      <c r="BH58" s="220" t="str">
        <f t="shared" si="20"/>
        <v>OK</v>
      </c>
      <c r="BI58" s="220" t="str">
        <f t="shared" si="20"/>
        <v>OK</v>
      </c>
      <c r="BJ58" s="220" t="str">
        <f t="shared" si="20"/>
        <v>OK</v>
      </c>
      <c r="BK58" s="220" t="str">
        <f t="shared" si="20"/>
        <v>OK</v>
      </c>
      <c r="BL58" s="220" t="str">
        <f t="shared" si="20"/>
        <v>OK</v>
      </c>
      <c r="BM58" s="220" t="str">
        <f t="shared" si="20"/>
        <v>OK</v>
      </c>
      <c r="BN58" s="30"/>
    </row>
    <row r="59">
      <c r="A59" s="30"/>
      <c r="B59" s="221"/>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192"/>
    </row>
    <row r="60">
      <c r="A60" s="30"/>
      <c r="B60" s="195" t="s">
        <v>188</v>
      </c>
      <c r="C60" s="196"/>
      <c r="D60" s="196"/>
      <c r="E60" s="196"/>
      <c r="F60" s="196"/>
      <c r="G60" s="196"/>
      <c r="H60" s="196"/>
      <c r="I60" s="196"/>
      <c r="J60" s="196"/>
      <c r="K60" s="196"/>
      <c r="L60" s="196"/>
      <c r="M60" s="196"/>
      <c r="N60" s="196"/>
      <c r="O60" s="196"/>
      <c r="P60" s="196"/>
      <c r="Q60" s="196"/>
      <c r="R60" s="196"/>
      <c r="S60" s="196"/>
      <c r="T60" s="196"/>
      <c r="U60" s="196"/>
      <c r="V60" s="196"/>
      <c r="W60" s="196"/>
      <c r="X60" s="196"/>
      <c r="Y60" s="196"/>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196"/>
      <c r="BJ60" s="196"/>
      <c r="BK60" s="196"/>
      <c r="BL60" s="196"/>
      <c r="BM60" s="196"/>
      <c r="BN60" s="192"/>
    </row>
    <row r="61" outlineLevel="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row>
    <row r="62" outlineLevel="1">
      <c r="A62" s="197"/>
      <c r="B62" s="206" t="s">
        <v>189</v>
      </c>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row>
    <row r="63" outlineLevel="1">
      <c r="A63" s="197"/>
      <c r="B63" s="207" t="s">
        <v>190</v>
      </c>
      <c r="C63" s="197"/>
      <c r="D63" s="197"/>
      <c r="E63" s="197"/>
      <c r="F63" s="197">
        <f t="shared" ref="F63:BM63" si="21">F53-E53</f>
        <v>-211687.23</v>
      </c>
      <c r="G63" s="197">
        <f t="shared" si="21"/>
        <v>-198222.1235</v>
      </c>
      <c r="H63" s="197">
        <f t="shared" si="21"/>
        <v>-191477.4394</v>
      </c>
      <c r="I63" s="197">
        <f t="shared" si="21"/>
        <v>-188104.9153</v>
      </c>
      <c r="J63" s="197">
        <f t="shared" si="21"/>
        <v>-186418.6506</v>
      </c>
      <c r="K63" s="197">
        <f t="shared" si="21"/>
        <v>-185575.5182</v>
      </c>
      <c r="L63" s="197">
        <f t="shared" si="21"/>
        <v>-185153.952</v>
      </c>
      <c r="M63" s="197">
        <f t="shared" si="21"/>
        <v>-184943.1689</v>
      </c>
      <c r="N63" s="197">
        <f t="shared" si="21"/>
        <v>-184837.7773</v>
      </c>
      <c r="O63" s="197">
        <f t="shared" si="21"/>
        <v>-184785.0816</v>
      </c>
      <c r="P63" s="197">
        <f t="shared" si="21"/>
        <v>-184758.7337</v>
      </c>
      <c r="Q63" s="197">
        <f t="shared" si="21"/>
        <v>-184745.5597</v>
      </c>
      <c r="R63" s="197">
        <f t="shared" si="21"/>
        <v>-184738.9728</v>
      </c>
      <c r="S63" s="197">
        <f t="shared" si="21"/>
        <v>-184735.6793</v>
      </c>
      <c r="T63" s="197">
        <f t="shared" si="21"/>
        <v>-184734.0325</v>
      </c>
      <c r="U63" s="197">
        <f t="shared" si="21"/>
        <v>-184733.2092</v>
      </c>
      <c r="V63" s="197">
        <f t="shared" si="21"/>
        <v>-184732.7975</v>
      </c>
      <c r="W63" s="197">
        <f t="shared" si="21"/>
        <v>-184732.5916</v>
      </c>
      <c r="X63" s="197">
        <f t="shared" si="21"/>
        <v>-184732.4887</v>
      </c>
      <c r="Y63" s="197">
        <f t="shared" si="21"/>
        <v>-184732.4372</v>
      </c>
      <c r="Z63" s="197">
        <f t="shared" si="21"/>
        <v>-184732.4115</v>
      </c>
      <c r="AA63" s="197">
        <f t="shared" si="21"/>
        <v>-184732.3987</v>
      </c>
      <c r="AB63" s="197">
        <f t="shared" si="21"/>
        <v>-184732.3922</v>
      </c>
      <c r="AC63" s="197">
        <f t="shared" si="21"/>
        <v>-184732.389</v>
      </c>
      <c r="AD63" s="197">
        <f t="shared" si="21"/>
        <v>-184732.3874</v>
      </c>
      <c r="AE63" s="197">
        <f t="shared" si="21"/>
        <v>-184732.3866</v>
      </c>
      <c r="AF63" s="197">
        <f t="shared" si="21"/>
        <v>-184732.3862</v>
      </c>
      <c r="AG63" s="197">
        <f t="shared" si="21"/>
        <v>-184732.386</v>
      </c>
      <c r="AH63" s="197">
        <f t="shared" si="21"/>
        <v>-184732.3859</v>
      </c>
      <c r="AI63" s="197">
        <f t="shared" si="21"/>
        <v>-184732.3858</v>
      </c>
      <c r="AJ63" s="197">
        <f t="shared" si="21"/>
        <v>-184732.3858</v>
      </c>
      <c r="AK63" s="197">
        <f t="shared" si="21"/>
        <v>-184732.3858</v>
      </c>
      <c r="AL63" s="197">
        <f t="shared" si="21"/>
        <v>-184732.3858</v>
      </c>
      <c r="AM63" s="197">
        <f t="shared" si="21"/>
        <v>-184732.3858</v>
      </c>
      <c r="AN63" s="197">
        <f t="shared" si="21"/>
        <v>-184732.3858</v>
      </c>
      <c r="AO63" s="197">
        <f t="shared" si="21"/>
        <v>-184732.3858</v>
      </c>
      <c r="AP63" s="197">
        <f t="shared" si="21"/>
        <v>-184732.3858</v>
      </c>
      <c r="AQ63" s="197">
        <f t="shared" si="21"/>
        <v>-184732.3858</v>
      </c>
      <c r="AR63" s="197">
        <f t="shared" si="21"/>
        <v>-184732.3858</v>
      </c>
      <c r="AS63" s="197">
        <f t="shared" si="21"/>
        <v>-184732.3858</v>
      </c>
      <c r="AT63" s="197">
        <f t="shared" si="21"/>
        <v>-184732.3858</v>
      </c>
      <c r="AU63" s="197">
        <f t="shared" si="21"/>
        <v>-184732.3858</v>
      </c>
      <c r="AV63" s="197">
        <f t="shared" si="21"/>
        <v>-184732.3858</v>
      </c>
      <c r="AW63" s="197">
        <f t="shared" si="21"/>
        <v>-184732.3858</v>
      </c>
      <c r="AX63" s="197">
        <f t="shared" si="21"/>
        <v>-184732.3858</v>
      </c>
      <c r="AY63" s="197">
        <f t="shared" si="21"/>
        <v>-184732.3858</v>
      </c>
      <c r="AZ63" s="197">
        <f t="shared" si="21"/>
        <v>-184732.3858</v>
      </c>
      <c r="BA63" s="197">
        <f t="shared" si="21"/>
        <v>-184732.3858</v>
      </c>
      <c r="BB63" s="197">
        <f t="shared" si="21"/>
        <v>-184732.3858</v>
      </c>
      <c r="BC63" s="197">
        <f t="shared" si="21"/>
        <v>-184732.3858</v>
      </c>
      <c r="BD63" s="197">
        <f t="shared" si="21"/>
        <v>-184732.3858</v>
      </c>
      <c r="BE63" s="197">
        <f t="shared" si="21"/>
        <v>-184732.3858</v>
      </c>
      <c r="BF63" s="197">
        <f t="shared" si="21"/>
        <v>-184732.3858</v>
      </c>
      <c r="BG63" s="197">
        <f t="shared" si="21"/>
        <v>-184732.3858</v>
      </c>
      <c r="BH63" s="197">
        <f t="shared" si="21"/>
        <v>-184732.3858</v>
      </c>
      <c r="BI63" s="197">
        <f t="shared" si="21"/>
        <v>-184732.3858</v>
      </c>
      <c r="BJ63" s="197">
        <f t="shared" si="21"/>
        <v>-184732.3858</v>
      </c>
      <c r="BK63" s="197">
        <f t="shared" si="21"/>
        <v>-184732.3858</v>
      </c>
      <c r="BL63" s="197">
        <f t="shared" si="21"/>
        <v>-184732.3858</v>
      </c>
      <c r="BM63" s="197">
        <f t="shared" si="21"/>
        <v>-184732.3858</v>
      </c>
      <c r="BN63" s="197"/>
    </row>
    <row r="64" outlineLevel="1">
      <c r="A64" s="197"/>
      <c r="B64" s="207" t="s">
        <v>167</v>
      </c>
      <c r="C64" s="197"/>
      <c r="D64" s="197"/>
      <c r="E64" s="197"/>
      <c r="F64" s="197">
        <f t="shared" ref="F64:BM64" si="22">E43-F43</f>
        <v>0</v>
      </c>
      <c r="G64" s="197">
        <f t="shared" si="22"/>
        <v>0</v>
      </c>
      <c r="H64" s="197">
        <f t="shared" si="22"/>
        <v>0</v>
      </c>
      <c r="I64" s="197">
        <f t="shared" si="22"/>
        <v>0</v>
      </c>
      <c r="J64" s="197">
        <f t="shared" si="22"/>
        <v>0</v>
      </c>
      <c r="K64" s="197">
        <f t="shared" si="22"/>
        <v>0</v>
      </c>
      <c r="L64" s="197">
        <f t="shared" si="22"/>
        <v>0</v>
      </c>
      <c r="M64" s="197">
        <f t="shared" si="22"/>
        <v>0</v>
      </c>
      <c r="N64" s="197">
        <f t="shared" si="22"/>
        <v>0</v>
      </c>
      <c r="O64" s="197">
        <f t="shared" si="22"/>
        <v>0</v>
      </c>
      <c r="P64" s="197">
        <f t="shared" si="22"/>
        <v>0</v>
      </c>
      <c r="Q64" s="197">
        <f t="shared" si="22"/>
        <v>0</v>
      </c>
      <c r="R64" s="197">
        <f t="shared" si="22"/>
        <v>0</v>
      </c>
      <c r="S64" s="197">
        <f t="shared" si="22"/>
        <v>0</v>
      </c>
      <c r="T64" s="197">
        <f t="shared" si="22"/>
        <v>0</v>
      </c>
      <c r="U64" s="197">
        <f t="shared" si="22"/>
        <v>0</v>
      </c>
      <c r="V64" s="197">
        <f t="shared" si="22"/>
        <v>0</v>
      </c>
      <c r="W64" s="197">
        <f t="shared" si="22"/>
        <v>0</v>
      </c>
      <c r="X64" s="197">
        <f t="shared" si="22"/>
        <v>0</v>
      </c>
      <c r="Y64" s="197">
        <f t="shared" si="22"/>
        <v>0</v>
      </c>
      <c r="Z64" s="197">
        <f t="shared" si="22"/>
        <v>0</v>
      </c>
      <c r="AA64" s="197">
        <f t="shared" si="22"/>
        <v>0</v>
      </c>
      <c r="AB64" s="197">
        <f t="shared" si="22"/>
        <v>0</v>
      </c>
      <c r="AC64" s="197">
        <f t="shared" si="22"/>
        <v>0</v>
      </c>
      <c r="AD64" s="197">
        <f t="shared" si="22"/>
        <v>0</v>
      </c>
      <c r="AE64" s="197">
        <f t="shared" si="22"/>
        <v>0</v>
      </c>
      <c r="AF64" s="197">
        <f t="shared" si="22"/>
        <v>0</v>
      </c>
      <c r="AG64" s="197">
        <f t="shared" si="22"/>
        <v>0</v>
      </c>
      <c r="AH64" s="197">
        <f t="shared" si="22"/>
        <v>0</v>
      </c>
      <c r="AI64" s="197">
        <f t="shared" si="22"/>
        <v>0</v>
      </c>
      <c r="AJ64" s="197">
        <f t="shared" si="22"/>
        <v>0</v>
      </c>
      <c r="AK64" s="197">
        <f t="shared" si="22"/>
        <v>0</v>
      </c>
      <c r="AL64" s="197">
        <f t="shared" si="22"/>
        <v>0</v>
      </c>
      <c r="AM64" s="197">
        <f t="shared" si="22"/>
        <v>0</v>
      </c>
      <c r="AN64" s="197">
        <f t="shared" si="22"/>
        <v>0</v>
      </c>
      <c r="AO64" s="197">
        <f t="shared" si="22"/>
        <v>0</v>
      </c>
      <c r="AP64" s="197">
        <f t="shared" si="22"/>
        <v>0</v>
      </c>
      <c r="AQ64" s="197">
        <f t="shared" si="22"/>
        <v>0</v>
      </c>
      <c r="AR64" s="197">
        <f t="shared" si="22"/>
        <v>0</v>
      </c>
      <c r="AS64" s="197">
        <f t="shared" si="22"/>
        <v>0</v>
      </c>
      <c r="AT64" s="197">
        <f t="shared" si="22"/>
        <v>0</v>
      </c>
      <c r="AU64" s="197">
        <f t="shared" si="22"/>
        <v>0</v>
      </c>
      <c r="AV64" s="197">
        <f t="shared" si="22"/>
        <v>0</v>
      </c>
      <c r="AW64" s="197">
        <f t="shared" si="22"/>
        <v>0</v>
      </c>
      <c r="AX64" s="197">
        <f t="shared" si="22"/>
        <v>0</v>
      </c>
      <c r="AY64" s="197">
        <f t="shared" si="22"/>
        <v>0</v>
      </c>
      <c r="AZ64" s="197">
        <f t="shared" si="22"/>
        <v>0</v>
      </c>
      <c r="BA64" s="197">
        <f t="shared" si="22"/>
        <v>0</v>
      </c>
      <c r="BB64" s="197">
        <f t="shared" si="22"/>
        <v>0</v>
      </c>
      <c r="BC64" s="197">
        <f t="shared" si="22"/>
        <v>0</v>
      </c>
      <c r="BD64" s="197">
        <f t="shared" si="22"/>
        <v>0</v>
      </c>
      <c r="BE64" s="197">
        <f t="shared" si="22"/>
        <v>0</v>
      </c>
      <c r="BF64" s="197">
        <f t="shared" si="22"/>
        <v>0</v>
      </c>
      <c r="BG64" s="197">
        <f t="shared" si="22"/>
        <v>0</v>
      </c>
      <c r="BH64" s="197">
        <f t="shared" si="22"/>
        <v>0</v>
      </c>
      <c r="BI64" s="197">
        <f t="shared" si="22"/>
        <v>0</v>
      </c>
      <c r="BJ64" s="197">
        <f t="shared" si="22"/>
        <v>0</v>
      </c>
      <c r="BK64" s="197">
        <f t="shared" si="22"/>
        <v>0</v>
      </c>
      <c r="BL64" s="197">
        <f t="shared" si="22"/>
        <v>0</v>
      </c>
      <c r="BM64" s="197">
        <f t="shared" si="22"/>
        <v>0</v>
      </c>
      <c r="BN64" s="197"/>
    </row>
    <row r="65" outlineLevel="1">
      <c r="A65" s="197"/>
      <c r="B65" s="207" t="s">
        <v>191</v>
      </c>
      <c r="C65" s="197"/>
      <c r="D65" s="197"/>
      <c r="E65" s="197"/>
      <c r="F65" s="197">
        <f t="shared" ref="F65:BM65" si="23">E38-F38</f>
        <v>-30134.25</v>
      </c>
      <c r="G65" s="197">
        <f t="shared" si="23"/>
        <v>-16029.88875</v>
      </c>
      <c r="H65" s="197">
        <f t="shared" si="23"/>
        <v>-8029.385831</v>
      </c>
      <c r="I65" s="197">
        <f t="shared" si="23"/>
        <v>-4014.909537</v>
      </c>
      <c r="J65" s="197">
        <f t="shared" si="23"/>
        <v>-2007.458018</v>
      </c>
      <c r="K65" s="197">
        <f t="shared" si="23"/>
        <v>-1003.729058</v>
      </c>
      <c r="L65" s="197">
        <f t="shared" si="23"/>
        <v>-501.8645296</v>
      </c>
      <c r="M65" s="197">
        <f t="shared" si="23"/>
        <v>-250.9322648</v>
      </c>
      <c r="N65" s="197">
        <f t="shared" si="23"/>
        <v>-125.4661324</v>
      </c>
      <c r="O65" s="197">
        <f t="shared" si="23"/>
        <v>-62.7330662</v>
      </c>
      <c r="P65" s="197">
        <f t="shared" si="23"/>
        <v>-31.3665331</v>
      </c>
      <c r="Q65" s="197">
        <f t="shared" si="23"/>
        <v>-15.68326655</v>
      </c>
      <c r="R65" s="197">
        <f t="shared" si="23"/>
        <v>-7.841633276</v>
      </c>
      <c r="S65" s="197">
        <f t="shared" si="23"/>
        <v>-3.920816638</v>
      </c>
      <c r="T65" s="197">
        <f t="shared" si="23"/>
        <v>-1.960408319</v>
      </c>
      <c r="U65" s="197">
        <f t="shared" si="23"/>
        <v>-0.9802041595</v>
      </c>
      <c r="V65" s="197">
        <f t="shared" si="23"/>
        <v>-0.4901020797</v>
      </c>
      <c r="W65" s="197">
        <f t="shared" si="23"/>
        <v>-0.2450510399</v>
      </c>
      <c r="X65" s="197">
        <f t="shared" si="23"/>
        <v>-0.1225255199</v>
      </c>
      <c r="Y65" s="197">
        <f t="shared" si="23"/>
        <v>-0.06126275997</v>
      </c>
      <c r="Z65" s="197">
        <f t="shared" si="23"/>
        <v>-0.03063137998</v>
      </c>
      <c r="AA65" s="197">
        <f t="shared" si="23"/>
        <v>-0.01531569</v>
      </c>
      <c r="AB65" s="197">
        <f t="shared" si="23"/>
        <v>-0.007657844995</v>
      </c>
      <c r="AC65" s="197">
        <f t="shared" si="23"/>
        <v>-0.003828922498</v>
      </c>
      <c r="AD65" s="197">
        <f t="shared" si="23"/>
        <v>-0.001914461238</v>
      </c>
      <c r="AE65" s="197">
        <f t="shared" si="23"/>
        <v>-0.0009572306299</v>
      </c>
      <c r="AF65" s="197">
        <f t="shared" si="23"/>
        <v>-0.0004786153077</v>
      </c>
      <c r="AG65" s="197">
        <f t="shared" si="23"/>
        <v>-0.0002393076575</v>
      </c>
      <c r="AH65" s="197">
        <f t="shared" si="23"/>
        <v>-0.0001196538215</v>
      </c>
      <c r="AI65" s="197">
        <f t="shared" si="23"/>
        <v>-0.00005982692528</v>
      </c>
      <c r="AJ65" s="197">
        <f t="shared" si="23"/>
        <v>-0.00002991345536</v>
      </c>
      <c r="AK65" s="197">
        <f t="shared" si="23"/>
        <v>-0.00001495673496</v>
      </c>
      <c r="AL65" s="197">
        <f t="shared" si="23"/>
        <v>-0.000007478352927</v>
      </c>
      <c r="AM65" s="197">
        <f t="shared" si="23"/>
        <v>-0.000003739187378</v>
      </c>
      <c r="AN65" s="197">
        <f t="shared" si="23"/>
        <v>-0.000001869586413</v>
      </c>
      <c r="AO65" s="197">
        <f t="shared" si="23"/>
        <v>-0.0000009348004824</v>
      </c>
      <c r="AP65" s="197">
        <f t="shared" si="23"/>
        <v>-0.0000004673929652</v>
      </c>
      <c r="AQ65" s="197">
        <f t="shared" si="23"/>
        <v>-0.0000002337037586</v>
      </c>
      <c r="AR65" s="197">
        <f t="shared" si="23"/>
        <v>-0.0000001168446033</v>
      </c>
      <c r="AS65" s="197">
        <f t="shared" si="23"/>
        <v>-0.00000005842593964</v>
      </c>
      <c r="AT65" s="197">
        <f t="shared" si="23"/>
        <v>-0.00000002922024578</v>
      </c>
      <c r="AU65" s="197">
        <f t="shared" si="23"/>
        <v>-0.00000001460284693</v>
      </c>
      <c r="AV65" s="197">
        <f t="shared" si="23"/>
        <v>-0.000000007297785487</v>
      </c>
      <c r="AW65" s="197">
        <f t="shared" si="23"/>
        <v>-0.000000003652530722</v>
      </c>
      <c r="AX65" s="197">
        <f t="shared" si="23"/>
        <v>-0.000000001826265361</v>
      </c>
      <c r="AY65" s="197">
        <f t="shared" si="23"/>
        <v>-0.0000000009094947018</v>
      </c>
      <c r="AZ65" s="197">
        <f t="shared" si="23"/>
        <v>-0.0000000004583853297</v>
      </c>
      <c r="BA65" s="197">
        <f t="shared" si="23"/>
        <v>-0.0000000002401066013</v>
      </c>
      <c r="BB65" s="197">
        <f t="shared" si="23"/>
        <v>-0.0000000001091393642</v>
      </c>
      <c r="BC65" s="197">
        <f t="shared" si="23"/>
        <v>0</v>
      </c>
      <c r="BD65" s="197">
        <f t="shared" si="23"/>
        <v>0</v>
      </c>
      <c r="BE65" s="197">
        <f t="shared" si="23"/>
        <v>0</v>
      </c>
      <c r="BF65" s="197">
        <f t="shared" si="23"/>
        <v>0</v>
      </c>
      <c r="BG65" s="197">
        <f t="shared" si="23"/>
        <v>0</v>
      </c>
      <c r="BH65" s="197">
        <f t="shared" si="23"/>
        <v>0</v>
      </c>
      <c r="BI65" s="197">
        <f t="shared" si="23"/>
        <v>0</v>
      </c>
      <c r="BJ65" s="197">
        <f t="shared" si="23"/>
        <v>0</v>
      </c>
      <c r="BK65" s="197">
        <f t="shared" si="23"/>
        <v>0</v>
      </c>
      <c r="BL65" s="197">
        <f t="shared" si="23"/>
        <v>0</v>
      </c>
      <c r="BM65" s="197">
        <f t="shared" si="23"/>
        <v>0</v>
      </c>
      <c r="BN65" s="197"/>
    </row>
    <row r="66" outlineLevel="1">
      <c r="A66" s="197"/>
      <c r="B66" s="207" t="s">
        <v>192</v>
      </c>
      <c r="C66" s="197"/>
      <c r="D66" s="197"/>
      <c r="E66" s="197"/>
      <c r="F66" s="197">
        <f t="shared" ref="F66:BM66" si="24">E39-F39</f>
        <v>-24107.4</v>
      </c>
      <c r="G66" s="197">
        <f t="shared" si="24"/>
        <v>-12823.911</v>
      </c>
      <c r="H66" s="197">
        <f t="shared" si="24"/>
        <v>-6423.508665</v>
      </c>
      <c r="I66" s="197">
        <f t="shared" si="24"/>
        <v>-3211.92763</v>
      </c>
      <c r="J66" s="197">
        <f t="shared" si="24"/>
        <v>-1605.966414</v>
      </c>
      <c r="K66" s="197">
        <f t="shared" si="24"/>
        <v>-802.9832462</v>
      </c>
      <c r="L66" s="197">
        <f t="shared" si="24"/>
        <v>-401.4916237</v>
      </c>
      <c r="M66" s="197">
        <f t="shared" si="24"/>
        <v>-200.7458119</v>
      </c>
      <c r="N66" s="197">
        <f t="shared" si="24"/>
        <v>-100.3729059</v>
      </c>
      <c r="O66" s="197">
        <f t="shared" si="24"/>
        <v>-50.18645296</v>
      </c>
      <c r="P66" s="197">
        <f t="shared" si="24"/>
        <v>-25.09322648</v>
      </c>
      <c r="Q66" s="197">
        <f t="shared" si="24"/>
        <v>-12.54661324</v>
      </c>
      <c r="R66" s="197">
        <f t="shared" si="24"/>
        <v>-6.27330662</v>
      </c>
      <c r="S66" s="197">
        <f t="shared" si="24"/>
        <v>-3.13665331</v>
      </c>
      <c r="T66" s="197">
        <f t="shared" si="24"/>
        <v>-1.568326655</v>
      </c>
      <c r="U66" s="197">
        <f t="shared" si="24"/>
        <v>-0.7841633276</v>
      </c>
      <c r="V66" s="197">
        <f t="shared" si="24"/>
        <v>-0.3920816638</v>
      </c>
      <c r="W66" s="197">
        <f t="shared" si="24"/>
        <v>-0.1960408319</v>
      </c>
      <c r="X66" s="197">
        <f t="shared" si="24"/>
        <v>-0.09802041594</v>
      </c>
      <c r="Y66" s="197">
        <f t="shared" si="24"/>
        <v>-0.04901020798</v>
      </c>
      <c r="Z66" s="197">
        <f t="shared" si="24"/>
        <v>-0.02450510399</v>
      </c>
      <c r="AA66" s="197">
        <f t="shared" si="24"/>
        <v>-0.01225255199</v>
      </c>
      <c r="AB66" s="197">
        <f t="shared" si="24"/>
        <v>-0.006126275992</v>
      </c>
      <c r="AC66" s="197">
        <f t="shared" si="24"/>
        <v>-0.003063138007</v>
      </c>
      <c r="AD66" s="197">
        <f t="shared" si="24"/>
        <v>-0.001531568982</v>
      </c>
      <c r="AE66" s="197">
        <f t="shared" si="24"/>
        <v>-0.0007657845126</v>
      </c>
      <c r="AF66" s="197">
        <f t="shared" si="24"/>
        <v>-0.000382892249</v>
      </c>
      <c r="AG66" s="197">
        <f t="shared" si="24"/>
        <v>-0.0001914461172</v>
      </c>
      <c r="AH66" s="197">
        <f t="shared" si="24"/>
        <v>-0.0000957230659</v>
      </c>
      <c r="AI66" s="197">
        <f t="shared" si="24"/>
        <v>-0.00004786154022</v>
      </c>
      <c r="AJ66" s="197">
        <f t="shared" si="24"/>
        <v>-0.00002393075556</v>
      </c>
      <c r="AK66" s="197">
        <f t="shared" si="24"/>
        <v>-0.00001196539233</v>
      </c>
      <c r="AL66" s="197">
        <f t="shared" si="24"/>
        <v>-0.000005982677976</v>
      </c>
      <c r="AM66" s="197">
        <f t="shared" si="24"/>
        <v>-0.000002991349902</v>
      </c>
      <c r="AN66" s="197">
        <f t="shared" si="24"/>
        <v>-0.000001495674951</v>
      </c>
      <c r="AO66" s="197">
        <f t="shared" si="24"/>
        <v>-0.0000007478447515</v>
      </c>
      <c r="AP66" s="197">
        <f t="shared" si="24"/>
        <v>-0.0000003739041858</v>
      </c>
      <c r="AQ66" s="197">
        <f t="shared" si="24"/>
        <v>-0.0000001869630069</v>
      </c>
      <c r="AR66" s="197">
        <f t="shared" si="24"/>
        <v>-0.00000009348150343</v>
      </c>
      <c r="AS66" s="197">
        <f t="shared" si="24"/>
        <v>-0.00000004674075171</v>
      </c>
      <c r="AT66" s="197">
        <f t="shared" si="24"/>
        <v>-0.00000002337037586</v>
      </c>
      <c r="AU66" s="197">
        <f t="shared" si="24"/>
        <v>-0.00000001169246389</v>
      </c>
      <c r="AV66" s="197">
        <f t="shared" si="24"/>
        <v>-0.000000005828042049</v>
      </c>
      <c r="AW66" s="197">
        <f t="shared" si="24"/>
        <v>-0.000000002917659003</v>
      </c>
      <c r="AX66" s="197">
        <f t="shared" si="24"/>
        <v>-0.00000000146246748</v>
      </c>
      <c r="AY66" s="197">
        <f t="shared" si="24"/>
        <v>-0.000000000734871719</v>
      </c>
      <c r="AZ66" s="197">
        <f t="shared" si="24"/>
        <v>-0.0000000003565219231</v>
      </c>
      <c r="BA66" s="197">
        <f t="shared" si="24"/>
        <v>-0.0000000002037268132</v>
      </c>
      <c r="BB66" s="197">
        <f t="shared" si="24"/>
        <v>0</v>
      </c>
      <c r="BC66" s="197">
        <f t="shared" si="24"/>
        <v>0</v>
      </c>
      <c r="BD66" s="197">
        <f t="shared" si="24"/>
        <v>0</v>
      </c>
      <c r="BE66" s="197">
        <f t="shared" si="24"/>
        <v>0</v>
      </c>
      <c r="BF66" s="197">
        <f t="shared" si="24"/>
        <v>0</v>
      </c>
      <c r="BG66" s="197">
        <f t="shared" si="24"/>
        <v>0</v>
      </c>
      <c r="BH66" s="197">
        <f t="shared" si="24"/>
        <v>0</v>
      </c>
      <c r="BI66" s="197">
        <f t="shared" si="24"/>
        <v>0</v>
      </c>
      <c r="BJ66" s="197">
        <f t="shared" si="24"/>
        <v>0</v>
      </c>
      <c r="BK66" s="197">
        <f t="shared" si="24"/>
        <v>0</v>
      </c>
      <c r="BL66" s="197">
        <f t="shared" si="24"/>
        <v>0</v>
      </c>
      <c r="BM66" s="197">
        <f t="shared" si="24"/>
        <v>0</v>
      </c>
      <c r="BN66" s="197"/>
    </row>
    <row r="67" outlineLevel="1">
      <c r="A67" s="197"/>
      <c r="B67" s="207" t="s">
        <v>193</v>
      </c>
      <c r="C67" s="197"/>
      <c r="D67" s="197"/>
      <c r="E67" s="197"/>
      <c r="F67" s="197">
        <f t="shared" ref="F67:BM67" si="25">F48-E48</f>
        <v>34977.865</v>
      </c>
      <c r="G67" s="197">
        <f t="shared" si="25"/>
        <v>9297.335475</v>
      </c>
      <c r="H67" s="197">
        <f t="shared" si="25"/>
        <v>4657.043782</v>
      </c>
      <c r="I67" s="197">
        <f t="shared" si="25"/>
        <v>2328.647532</v>
      </c>
      <c r="J67" s="197">
        <f t="shared" si="25"/>
        <v>1164.32565</v>
      </c>
      <c r="K67" s="197">
        <f t="shared" si="25"/>
        <v>582.1628535</v>
      </c>
      <c r="L67" s="197">
        <f t="shared" si="25"/>
        <v>291.0814272</v>
      </c>
      <c r="M67" s="197">
        <f t="shared" si="25"/>
        <v>145.5407136</v>
      </c>
      <c r="N67" s="197">
        <f t="shared" si="25"/>
        <v>72.7703568</v>
      </c>
      <c r="O67" s="197">
        <f t="shared" si="25"/>
        <v>36.3851784</v>
      </c>
      <c r="P67" s="197">
        <f t="shared" si="25"/>
        <v>18.1925892</v>
      </c>
      <c r="Q67" s="197">
        <f t="shared" si="25"/>
        <v>9.0962946</v>
      </c>
      <c r="R67" s="197">
        <f t="shared" si="25"/>
        <v>4.5481473</v>
      </c>
      <c r="S67" s="197">
        <f t="shared" si="25"/>
        <v>2.27407365</v>
      </c>
      <c r="T67" s="197">
        <f t="shared" si="25"/>
        <v>1.137036825</v>
      </c>
      <c r="U67" s="197">
        <f t="shared" si="25"/>
        <v>0.5685184125</v>
      </c>
      <c r="V67" s="197">
        <f t="shared" si="25"/>
        <v>0.2842592062</v>
      </c>
      <c r="W67" s="197">
        <f t="shared" si="25"/>
        <v>0.1421296031</v>
      </c>
      <c r="X67" s="197">
        <f t="shared" si="25"/>
        <v>0.07106480155</v>
      </c>
      <c r="Y67" s="197">
        <f t="shared" si="25"/>
        <v>0.03553240079</v>
      </c>
      <c r="Z67" s="197">
        <f t="shared" si="25"/>
        <v>0.01776620039</v>
      </c>
      <c r="AA67" s="197">
        <f t="shared" si="25"/>
        <v>0.008883100185</v>
      </c>
      <c r="AB67" s="197">
        <f t="shared" si="25"/>
        <v>0.004441550096</v>
      </c>
      <c r="AC67" s="197">
        <f t="shared" si="25"/>
        <v>0.002220775059</v>
      </c>
      <c r="AD67" s="197">
        <f t="shared" si="25"/>
        <v>0.001110387508</v>
      </c>
      <c r="AE67" s="197">
        <f t="shared" si="25"/>
        <v>0.0005551937647</v>
      </c>
      <c r="AF67" s="197">
        <f t="shared" si="25"/>
        <v>0.0002775968896</v>
      </c>
      <c r="AG67" s="197">
        <f t="shared" si="25"/>
        <v>0.0001387984375</v>
      </c>
      <c r="AH67" s="197">
        <f t="shared" si="25"/>
        <v>0.00006939922605</v>
      </c>
      <c r="AI67" s="197">
        <f t="shared" si="25"/>
        <v>0.00003469961666</v>
      </c>
      <c r="AJ67" s="197">
        <f t="shared" si="25"/>
        <v>0.00001734979014</v>
      </c>
      <c r="AK67" s="197">
        <f t="shared" si="25"/>
        <v>0.000008674920537</v>
      </c>
      <c r="AL67" s="197">
        <f t="shared" si="25"/>
        <v>0.000004337431164</v>
      </c>
      <c r="AM67" s="197">
        <f t="shared" si="25"/>
        <v>0.000002168730134</v>
      </c>
      <c r="AN67" s="197">
        <f t="shared" si="25"/>
        <v>0.000001084365067</v>
      </c>
      <c r="AO67" s="197">
        <f t="shared" si="25"/>
        <v>0.0000005421898095</v>
      </c>
      <c r="AP67" s="197">
        <f t="shared" si="25"/>
        <v>0.0000002710730769</v>
      </c>
      <c r="AQ67" s="197">
        <f t="shared" si="25"/>
        <v>0.0000001355510904</v>
      </c>
      <c r="AR67" s="197">
        <f t="shared" si="25"/>
        <v>0.00000006777554518</v>
      </c>
      <c r="AS67" s="197">
        <f t="shared" si="25"/>
        <v>0.00000003389141057</v>
      </c>
      <c r="AT67" s="197">
        <f t="shared" si="25"/>
        <v>0.00000001693842933</v>
      </c>
      <c r="AU67" s="197">
        <f t="shared" si="25"/>
        <v>0.000000008483766578</v>
      </c>
      <c r="AV67" s="197">
        <f t="shared" si="25"/>
        <v>0.000000004220055416</v>
      </c>
      <c r="AW67" s="197">
        <f t="shared" si="25"/>
        <v>0.000000002110027708</v>
      </c>
      <c r="AX67" s="197">
        <f t="shared" si="25"/>
        <v>0.000000001062289812</v>
      </c>
      <c r="AY67" s="197">
        <f t="shared" si="25"/>
        <v>0.0000000005384208634</v>
      </c>
      <c r="AZ67" s="197">
        <f t="shared" si="25"/>
        <v>0.0000000002546585165</v>
      </c>
      <c r="BA67" s="197">
        <f t="shared" si="25"/>
        <v>0.0000000001527951099</v>
      </c>
      <c r="BB67" s="197">
        <f t="shared" si="25"/>
        <v>0</v>
      </c>
      <c r="BC67" s="197">
        <f t="shared" si="25"/>
        <v>0</v>
      </c>
      <c r="BD67" s="197">
        <f t="shared" si="25"/>
        <v>0</v>
      </c>
      <c r="BE67" s="197">
        <f t="shared" si="25"/>
        <v>0</v>
      </c>
      <c r="BF67" s="197">
        <f t="shared" si="25"/>
        <v>0</v>
      </c>
      <c r="BG67" s="197">
        <f t="shared" si="25"/>
        <v>0</v>
      </c>
      <c r="BH67" s="197">
        <f t="shared" si="25"/>
        <v>0</v>
      </c>
      <c r="BI67" s="197">
        <f t="shared" si="25"/>
        <v>0</v>
      </c>
      <c r="BJ67" s="197">
        <f t="shared" si="25"/>
        <v>0</v>
      </c>
      <c r="BK67" s="197">
        <f t="shared" si="25"/>
        <v>0</v>
      </c>
      <c r="BL67" s="197">
        <f t="shared" si="25"/>
        <v>0</v>
      </c>
      <c r="BM67" s="197">
        <f t="shared" si="25"/>
        <v>0</v>
      </c>
      <c r="BN67" s="197"/>
    </row>
    <row r="68" outlineLevel="1">
      <c r="A68" s="197"/>
      <c r="B68" s="200" t="s">
        <v>194</v>
      </c>
      <c r="C68" s="201"/>
      <c r="D68" s="201"/>
      <c r="E68" s="201"/>
      <c r="F68" s="202">
        <f t="shared" ref="F68:BM68" si="26">SUM(F63:F67)</f>
        <v>-230951.015</v>
      </c>
      <c r="G68" s="202">
        <f t="shared" si="26"/>
        <v>-217778.5877</v>
      </c>
      <c r="H68" s="202">
        <f t="shared" si="26"/>
        <v>-201273.2901</v>
      </c>
      <c r="I68" s="202">
        <f t="shared" si="26"/>
        <v>-193003.105</v>
      </c>
      <c r="J68" s="202">
        <f t="shared" si="26"/>
        <v>-188867.7494</v>
      </c>
      <c r="K68" s="202">
        <f t="shared" si="26"/>
        <v>-186800.0676</v>
      </c>
      <c r="L68" s="202">
        <f t="shared" si="26"/>
        <v>-185766.2267</v>
      </c>
      <c r="M68" s="202">
        <f t="shared" si="26"/>
        <v>-185249.3063</v>
      </c>
      <c r="N68" s="202">
        <f t="shared" si="26"/>
        <v>-184990.846</v>
      </c>
      <c r="O68" s="202">
        <f t="shared" si="26"/>
        <v>-184861.6159</v>
      </c>
      <c r="P68" s="202">
        <f t="shared" si="26"/>
        <v>-184797.0008</v>
      </c>
      <c r="Q68" s="202">
        <f t="shared" si="26"/>
        <v>-184764.6933</v>
      </c>
      <c r="R68" s="202">
        <f t="shared" si="26"/>
        <v>-184748.5396</v>
      </c>
      <c r="S68" s="202">
        <f t="shared" si="26"/>
        <v>-184740.4627</v>
      </c>
      <c r="T68" s="202">
        <f t="shared" si="26"/>
        <v>-184736.4242</v>
      </c>
      <c r="U68" s="202">
        <f t="shared" si="26"/>
        <v>-184734.405</v>
      </c>
      <c r="V68" s="202">
        <f t="shared" si="26"/>
        <v>-184733.3954</v>
      </c>
      <c r="W68" s="202">
        <f t="shared" si="26"/>
        <v>-184732.8906</v>
      </c>
      <c r="X68" s="202">
        <f t="shared" si="26"/>
        <v>-184732.6382</v>
      </c>
      <c r="Y68" s="202">
        <f t="shared" si="26"/>
        <v>-184732.512</v>
      </c>
      <c r="Z68" s="202">
        <f t="shared" si="26"/>
        <v>-184732.4489</v>
      </c>
      <c r="AA68" s="202">
        <f t="shared" si="26"/>
        <v>-184732.4173</v>
      </c>
      <c r="AB68" s="202">
        <f t="shared" si="26"/>
        <v>-184732.4016</v>
      </c>
      <c r="AC68" s="202">
        <f t="shared" si="26"/>
        <v>-184732.3937</v>
      </c>
      <c r="AD68" s="202">
        <f t="shared" si="26"/>
        <v>-184732.3897</v>
      </c>
      <c r="AE68" s="202">
        <f t="shared" si="26"/>
        <v>-184732.3878</v>
      </c>
      <c r="AF68" s="202">
        <f t="shared" si="26"/>
        <v>-184732.3868</v>
      </c>
      <c r="AG68" s="202">
        <f t="shared" si="26"/>
        <v>-184732.3863</v>
      </c>
      <c r="AH68" s="202">
        <f t="shared" si="26"/>
        <v>-184732.386</v>
      </c>
      <c r="AI68" s="202">
        <f t="shared" si="26"/>
        <v>-184732.3859</v>
      </c>
      <c r="AJ68" s="202">
        <f t="shared" si="26"/>
        <v>-184732.3858</v>
      </c>
      <c r="AK68" s="202">
        <f t="shared" si="26"/>
        <v>-184732.3858</v>
      </c>
      <c r="AL68" s="202">
        <f t="shared" si="26"/>
        <v>-184732.3858</v>
      </c>
      <c r="AM68" s="202">
        <f t="shared" si="26"/>
        <v>-184732.3858</v>
      </c>
      <c r="AN68" s="202">
        <f t="shared" si="26"/>
        <v>-184732.3858</v>
      </c>
      <c r="AO68" s="202">
        <f t="shared" si="26"/>
        <v>-184732.3858</v>
      </c>
      <c r="AP68" s="202">
        <f t="shared" si="26"/>
        <v>-184732.3858</v>
      </c>
      <c r="AQ68" s="202">
        <f t="shared" si="26"/>
        <v>-184732.3858</v>
      </c>
      <c r="AR68" s="202">
        <f t="shared" si="26"/>
        <v>-184732.3858</v>
      </c>
      <c r="AS68" s="202">
        <f t="shared" si="26"/>
        <v>-184732.3858</v>
      </c>
      <c r="AT68" s="202">
        <f t="shared" si="26"/>
        <v>-184732.3858</v>
      </c>
      <c r="AU68" s="202">
        <f t="shared" si="26"/>
        <v>-184732.3858</v>
      </c>
      <c r="AV68" s="202">
        <f t="shared" si="26"/>
        <v>-184732.3858</v>
      </c>
      <c r="AW68" s="202">
        <f t="shared" si="26"/>
        <v>-184732.3858</v>
      </c>
      <c r="AX68" s="202">
        <f t="shared" si="26"/>
        <v>-184732.3858</v>
      </c>
      <c r="AY68" s="202">
        <f t="shared" si="26"/>
        <v>-184732.3858</v>
      </c>
      <c r="AZ68" s="202">
        <f t="shared" si="26"/>
        <v>-184732.3858</v>
      </c>
      <c r="BA68" s="202">
        <f t="shared" si="26"/>
        <v>-184732.3858</v>
      </c>
      <c r="BB68" s="202">
        <f t="shared" si="26"/>
        <v>-184732.3858</v>
      </c>
      <c r="BC68" s="202">
        <f t="shared" si="26"/>
        <v>-184732.3858</v>
      </c>
      <c r="BD68" s="202">
        <f t="shared" si="26"/>
        <v>-184732.3858</v>
      </c>
      <c r="BE68" s="202">
        <f t="shared" si="26"/>
        <v>-184732.3858</v>
      </c>
      <c r="BF68" s="202">
        <f t="shared" si="26"/>
        <v>-184732.3858</v>
      </c>
      <c r="BG68" s="202">
        <f t="shared" si="26"/>
        <v>-184732.3858</v>
      </c>
      <c r="BH68" s="202">
        <f t="shared" si="26"/>
        <v>-184732.3858</v>
      </c>
      <c r="BI68" s="202">
        <f t="shared" si="26"/>
        <v>-184732.3858</v>
      </c>
      <c r="BJ68" s="202">
        <f t="shared" si="26"/>
        <v>-184732.3858</v>
      </c>
      <c r="BK68" s="202">
        <f t="shared" si="26"/>
        <v>-184732.3858</v>
      </c>
      <c r="BL68" s="202">
        <f t="shared" si="26"/>
        <v>-184732.3858</v>
      </c>
      <c r="BM68" s="202">
        <f t="shared" si="26"/>
        <v>-184732.3858</v>
      </c>
      <c r="BN68" s="197"/>
    </row>
    <row r="69" outlineLevel="1">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197"/>
      <c r="BG69" s="197"/>
      <c r="BH69" s="197"/>
      <c r="BI69" s="197"/>
      <c r="BJ69" s="197"/>
      <c r="BK69" s="197"/>
      <c r="BL69" s="197"/>
      <c r="BM69" s="197"/>
      <c r="BN69" s="197"/>
    </row>
    <row r="70" outlineLevel="1">
      <c r="A70" s="197"/>
      <c r="B70" s="206" t="s">
        <v>195</v>
      </c>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row>
    <row r="71" outlineLevel="1">
      <c r="A71" s="197"/>
      <c r="B71" s="207" t="s">
        <v>196</v>
      </c>
      <c r="C71" s="197"/>
      <c r="D71" s="197"/>
      <c r="E71" s="197"/>
      <c r="F71" s="197">
        <f t="shared" ref="F71:BM71" si="27">E42-F42</f>
        <v>0</v>
      </c>
      <c r="G71" s="197">
        <f t="shared" si="27"/>
        <v>0</v>
      </c>
      <c r="H71" s="197">
        <f t="shared" si="27"/>
        <v>0</v>
      </c>
      <c r="I71" s="197">
        <f t="shared" si="27"/>
        <v>0</v>
      </c>
      <c r="J71" s="197">
        <f t="shared" si="27"/>
        <v>0</v>
      </c>
      <c r="K71" s="197">
        <f t="shared" si="27"/>
        <v>0</v>
      </c>
      <c r="L71" s="197">
        <f t="shared" si="27"/>
        <v>0</v>
      </c>
      <c r="M71" s="197">
        <f t="shared" si="27"/>
        <v>0</v>
      </c>
      <c r="N71" s="197">
        <f t="shared" si="27"/>
        <v>0</v>
      </c>
      <c r="O71" s="197">
        <f t="shared" si="27"/>
        <v>0</v>
      </c>
      <c r="P71" s="197">
        <f t="shared" si="27"/>
        <v>0</v>
      </c>
      <c r="Q71" s="197">
        <f t="shared" si="27"/>
        <v>0</v>
      </c>
      <c r="R71" s="197">
        <f t="shared" si="27"/>
        <v>0</v>
      </c>
      <c r="S71" s="197">
        <f t="shared" si="27"/>
        <v>0</v>
      </c>
      <c r="T71" s="197">
        <f t="shared" si="27"/>
        <v>0</v>
      </c>
      <c r="U71" s="197">
        <f t="shared" si="27"/>
        <v>0</v>
      </c>
      <c r="V71" s="197">
        <f t="shared" si="27"/>
        <v>0</v>
      </c>
      <c r="W71" s="197">
        <f t="shared" si="27"/>
        <v>0</v>
      </c>
      <c r="X71" s="197">
        <f t="shared" si="27"/>
        <v>0</v>
      </c>
      <c r="Y71" s="197">
        <f t="shared" si="27"/>
        <v>0</v>
      </c>
      <c r="Z71" s="197">
        <f t="shared" si="27"/>
        <v>0</v>
      </c>
      <c r="AA71" s="197">
        <f t="shared" si="27"/>
        <v>0</v>
      </c>
      <c r="AB71" s="197">
        <f t="shared" si="27"/>
        <v>0</v>
      </c>
      <c r="AC71" s="197">
        <f t="shared" si="27"/>
        <v>0</v>
      </c>
      <c r="AD71" s="197">
        <f t="shared" si="27"/>
        <v>0</v>
      </c>
      <c r="AE71" s="197">
        <f t="shared" si="27"/>
        <v>0</v>
      </c>
      <c r="AF71" s="197">
        <f t="shared" si="27"/>
        <v>0</v>
      </c>
      <c r="AG71" s="197">
        <f t="shared" si="27"/>
        <v>0</v>
      </c>
      <c r="AH71" s="197">
        <f t="shared" si="27"/>
        <v>0</v>
      </c>
      <c r="AI71" s="197">
        <f t="shared" si="27"/>
        <v>0</v>
      </c>
      <c r="AJ71" s="197">
        <f t="shared" si="27"/>
        <v>0</v>
      </c>
      <c r="AK71" s="197">
        <f t="shared" si="27"/>
        <v>0</v>
      </c>
      <c r="AL71" s="197">
        <f t="shared" si="27"/>
        <v>0</v>
      </c>
      <c r="AM71" s="197">
        <f t="shared" si="27"/>
        <v>0</v>
      </c>
      <c r="AN71" s="197">
        <f t="shared" si="27"/>
        <v>0</v>
      </c>
      <c r="AO71" s="197">
        <f t="shared" si="27"/>
        <v>0</v>
      </c>
      <c r="AP71" s="197">
        <f t="shared" si="27"/>
        <v>0</v>
      </c>
      <c r="AQ71" s="197">
        <f t="shared" si="27"/>
        <v>0</v>
      </c>
      <c r="AR71" s="197">
        <f t="shared" si="27"/>
        <v>0</v>
      </c>
      <c r="AS71" s="197">
        <f t="shared" si="27"/>
        <v>0</v>
      </c>
      <c r="AT71" s="197">
        <f t="shared" si="27"/>
        <v>0</v>
      </c>
      <c r="AU71" s="197">
        <f t="shared" si="27"/>
        <v>0</v>
      </c>
      <c r="AV71" s="197">
        <f t="shared" si="27"/>
        <v>0</v>
      </c>
      <c r="AW71" s="197">
        <f t="shared" si="27"/>
        <v>0</v>
      </c>
      <c r="AX71" s="197">
        <f t="shared" si="27"/>
        <v>0</v>
      </c>
      <c r="AY71" s="197">
        <f t="shared" si="27"/>
        <v>0</v>
      </c>
      <c r="AZ71" s="197">
        <f t="shared" si="27"/>
        <v>0</v>
      </c>
      <c r="BA71" s="197">
        <f t="shared" si="27"/>
        <v>0</v>
      </c>
      <c r="BB71" s="197">
        <f t="shared" si="27"/>
        <v>0</v>
      </c>
      <c r="BC71" s="197">
        <f t="shared" si="27"/>
        <v>0</v>
      </c>
      <c r="BD71" s="197">
        <f t="shared" si="27"/>
        <v>0</v>
      </c>
      <c r="BE71" s="197">
        <f t="shared" si="27"/>
        <v>0</v>
      </c>
      <c r="BF71" s="197">
        <f t="shared" si="27"/>
        <v>0</v>
      </c>
      <c r="BG71" s="197">
        <f t="shared" si="27"/>
        <v>0</v>
      </c>
      <c r="BH71" s="197">
        <f t="shared" si="27"/>
        <v>0</v>
      </c>
      <c r="BI71" s="197">
        <f t="shared" si="27"/>
        <v>0</v>
      </c>
      <c r="BJ71" s="197">
        <f t="shared" si="27"/>
        <v>0</v>
      </c>
      <c r="BK71" s="197">
        <f t="shared" si="27"/>
        <v>0</v>
      </c>
      <c r="BL71" s="197">
        <f t="shared" si="27"/>
        <v>0</v>
      </c>
      <c r="BM71" s="197">
        <f t="shared" si="27"/>
        <v>0</v>
      </c>
      <c r="BN71" s="197"/>
    </row>
    <row r="72" outlineLevel="1">
      <c r="A72" s="197"/>
      <c r="B72" s="200" t="s">
        <v>197</v>
      </c>
      <c r="C72" s="201"/>
      <c r="D72" s="201"/>
      <c r="E72" s="201"/>
      <c r="F72" s="202">
        <f t="shared" ref="F72:BM72" si="28">F71</f>
        <v>0</v>
      </c>
      <c r="G72" s="202">
        <f t="shared" si="28"/>
        <v>0</v>
      </c>
      <c r="H72" s="202">
        <f t="shared" si="28"/>
        <v>0</v>
      </c>
      <c r="I72" s="202">
        <f t="shared" si="28"/>
        <v>0</v>
      </c>
      <c r="J72" s="202">
        <f t="shared" si="28"/>
        <v>0</v>
      </c>
      <c r="K72" s="202">
        <f t="shared" si="28"/>
        <v>0</v>
      </c>
      <c r="L72" s="202">
        <f t="shared" si="28"/>
        <v>0</v>
      </c>
      <c r="M72" s="202">
        <f t="shared" si="28"/>
        <v>0</v>
      </c>
      <c r="N72" s="202">
        <f t="shared" si="28"/>
        <v>0</v>
      </c>
      <c r="O72" s="202">
        <f t="shared" si="28"/>
        <v>0</v>
      </c>
      <c r="P72" s="202">
        <f t="shared" si="28"/>
        <v>0</v>
      </c>
      <c r="Q72" s="202">
        <f t="shared" si="28"/>
        <v>0</v>
      </c>
      <c r="R72" s="202">
        <f t="shared" si="28"/>
        <v>0</v>
      </c>
      <c r="S72" s="202">
        <f t="shared" si="28"/>
        <v>0</v>
      </c>
      <c r="T72" s="202">
        <f t="shared" si="28"/>
        <v>0</v>
      </c>
      <c r="U72" s="202">
        <f t="shared" si="28"/>
        <v>0</v>
      </c>
      <c r="V72" s="202">
        <f t="shared" si="28"/>
        <v>0</v>
      </c>
      <c r="W72" s="202">
        <f t="shared" si="28"/>
        <v>0</v>
      </c>
      <c r="X72" s="202">
        <f t="shared" si="28"/>
        <v>0</v>
      </c>
      <c r="Y72" s="202">
        <f t="shared" si="28"/>
        <v>0</v>
      </c>
      <c r="Z72" s="202">
        <f t="shared" si="28"/>
        <v>0</v>
      </c>
      <c r="AA72" s="202">
        <f t="shared" si="28"/>
        <v>0</v>
      </c>
      <c r="AB72" s="202">
        <f t="shared" si="28"/>
        <v>0</v>
      </c>
      <c r="AC72" s="202">
        <f t="shared" si="28"/>
        <v>0</v>
      </c>
      <c r="AD72" s="202">
        <f t="shared" si="28"/>
        <v>0</v>
      </c>
      <c r="AE72" s="202">
        <f t="shared" si="28"/>
        <v>0</v>
      </c>
      <c r="AF72" s="202">
        <f t="shared" si="28"/>
        <v>0</v>
      </c>
      <c r="AG72" s="202">
        <f t="shared" si="28"/>
        <v>0</v>
      </c>
      <c r="AH72" s="202">
        <f t="shared" si="28"/>
        <v>0</v>
      </c>
      <c r="AI72" s="202">
        <f t="shared" si="28"/>
        <v>0</v>
      </c>
      <c r="AJ72" s="202">
        <f t="shared" si="28"/>
        <v>0</v>
      </c>
      <c r="AK72" s="202">
        <f t="shared" si="28"/>
        <v>0</v>
      </c>
      <c r="AL72" s="202">
        <f t="shared" si="28"/>
        <v>0</v>
      </c>
      <c r="AM72" s="202">
        <f t="shared" si="28"/>
        <v>0</v>
      </c>
      <c r="AN72" s="202">
        <f t="shared" si="28"/>
        <v>0</v>
      </c>
      <c r="AO72" s="202">
        <f t="shared" si="28"/>
        <v>0</v>
      </c>
      <c r="AP72" s="202">
        <f t="shared" si="28"/>
        <v>0</v>
      </c>
      <c r="AQ72" s="202">
        <f t="shared" si="28"/>
        <v>0</v>
      </c>
      <c r="AR72" s="202">
        <f t="shared" si="28"/>
        <v>0</v>
      </c>
      <c r="AS72" s="202">
        <f t="shared" si="28"/>
        <v>0</v>
      </c>
      <c r="AT72" s="202">
        <f t="shared" si="28"/>
        <v>0</v>
      </c>
      <c r="AU72" s="202">
        <f t="shared" si="28"/>
        <v>0</v>
      </c>
      <c r="AV72" s="202">
        <f t="shared" si="28"/>
        <v>0</v>
      </c>
      <c r="AW72" s="202">
        <f t="shared" si="28"/>
        <v>0</v>
      </c>
      <c r="AX72" s="202">
        <f t="shared" si="28"/>
        <v>0</v>
      </c>
      <c r="AY72" s="202">
        <f t="shared" si="28"/>
        <v>0</v>
      </c>
      <c r="AZ72" s="202">
        <f t="shared" si="28"/>
        <v>0</v>
      </c>
      <c r="BA72" s="202">
        <f t="shared" si="28"/>
        <v>0</v>
      </c>
      <c r="BB72" s="202">
        <f t="shared" si="28"/>
        <v>0</v>
      </c>
      <c r="BC72" s="202">
        <f t="shared" si="28"/>
        <v>0</v>
      </c>
      <c r="BD72" s="202">
        <f t="shared" si="28"/>
        <v>0</v>
      </c>
      <c r="BE72" s="202">
        <f t="shared" si="28"/>
        <v>0</v>
      </c>
      <c r="BF72" s="202">
        <f t="shared" si="28"/>
        <v>0</v>
      </c>
      <c r="BG72" s="202">
        <f t="shared" si="28"/>
        <v>0</v>
      </c>
      <c r="BH72" s="202">
        <f t="shared" si="28"/>
        <v>0</v>
      </c>
      <c r="BI72" s="202">
        <f t="shared" si="28"/>
        <v>0</v>
      </c>
      <c r="BJ72" s="202">
        <f t="shared" si="28"/>
        <v>0</v>
      </c>
      <c r="BK72" s="202">
        <f t="shared" si="28"/>
        <v>0</v>
      </c>
      <c r="BL72" s="202">
        <f t="shared" si="28"/>
        <v>0</v>
      </c>
      <c r="BM72" s="202">
        <f t="shared" si="28"/>
        <v>0</v>
      </c>
      <c r="BN72" s="197"/>
    </row>
    <row r="73" outlineLevel="1">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197"/>
      <c r="BG73" s="197"/>
      <c r="BH73" s="197"/>
      <c r="BI73" s="197"/>
      <c r="BJ73" s="197"/>
      <c r="BK73" s="197"/>
      <c r="BL73" s="197"/>
      <c r="BM73" s="197"/>
      <c r="BN73" s="197"/>
    </row>
    <row r="74" outlineLevel="1">
      <c r="A74" s="197"/>
      <c r="B74" s="206" t="s">
        <v>198</v>
      </c>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197"/>
      <c r="BG74" s="197"/>
      <c r="BH74" s="197"/>
      <c r="BI74" s="197"/>
      <c r="BJ74" s="197"/>
      <c r="BK74" s="197"/>
      <c r="BL74" s="197"/>
      <c r="BM74" s="197"/>
      <c r="BN74" s="197"/>
    </row>
    <row r="75" outlineLevel="1">
      <c r="A75" s="197"/>
      <c r="B75" s="207" t="s">
        <v>199</v>
      </c>
      <c r="C75" s="197"/>
      <c r="D75" s="197"/>
      <c r="E75" s="197"/>
      <c r="F75" s="197">
        <f t="shared" ref="F75:BM75" si="29">F52-E52</f>
        <v>0</v>
      </c>
      <c r="G75" s="197">
        <f t="shared" si="29"/>
        <v>0</v>
      </c>
      <c r="H75" s="197">
        <f t="shared" si="29"/>
        <v>0</v>
      </c>
      <c r="I75" s="197">
        <f t="shared" si="29"/>
        <v>0</v>
      </c>
      <c r="J75" s="197">
        <f t="shared" si="29"/>
        <v>0</v>
      </c>
      <c r="K75" s="197">
        <f t="shared" si="29"/>
        <v>0</v>
      </c>
      <c r="L75" s="197">
        <f t="shared" si="29"/>
        <v>0</v>
      </c>
      <c r="M75" s="197">
        <f t="shared" si="29"/>
        <v>0</v>
      </c>
      <c r="N75" s="197">
        <f t="shared" si="29"/>
        <v>0</v>
      </c>
      <c r="O75" s="197">
        <f t="shared" si="29"/>
        <v>0</v>
      </c>
      <c r="P75" s="197">
        <f t="shared" si="29"/>
        <v>0</v>
      </c>
      <c r="Q75" s="197">
        <f t="shared" si="29"/>
        <v>0</v>
      </c>
      <c r="R75" s="197">
        <f t="shared" si="29"/>
        <v>0</v>
      </c>
      <c r="S75" s="197">
        <f t="shared" si="29"/>
        <v>0</v>
      </c>
      <c r="T75" s="197">
        <f t="shared" si="29"/>
        <v>0</v>
      </c>
      <c r="U75" s="197">
        <f t="shared" si="29"/>
        <v>0</v>
      </c>
      <c r="V75" s="197">
        <f t="shared" si="29"/>
        <v>0</v>
      </c>
      <c r="W75" s="197">
        <f t="shared" si="29"/>
        <v>0</v>
      </c>
      <c r="X75" s="197">
        <f t="shared" si="29"/>
        <v>0</v>
      </c>
      <c r="Y75" s="197">
        <f t="shared" si="29"/>
        <v>0</v>
      </c>
      <c r="Z75" s="197">
        <f t="shared" si="29"/>
        <v>0</v>
      </c>
      <c r="AA75" s="197">
        <f t="shared" si="29"/>
        <v>0</v>
      </c>
      <c r="AB75" s="197">
        <f t="shared" si="29"/>
        <v>0</v>
      </c>
      <c r="AC75" s="197">
        <f t="shared" si="29"/>
        <v>0</v>
      </c>
      <c r="AD75" s="197">
        <f t="shared" si="29"/>
        <v>0</v>
      </c>
      <c r="AE75" s="197">
        <f t="shared" si="29"/>
        <v>0</v>
      </c>
      <c r="AF75" s="197">
        <f t="shared" si="29"/>
        <v>0</v>
      </c>
      <c r="AG75" s="197">
        <f t="shared" si="29"/>
        <v>0</v>
      </c>
      <c r="AH75" s="197">
        <f t="shared" si="29"/>
        <v>0</v>
      </c>
      <c r="AI75" s="197">
        <f t="shared" si="29"/>
        <v>0</v>
      </c>
      <c r="AJ75" s="197">
        <f t="shared" si="29"/>
        <v>0</v>
      </c>
      <c r="AK75" s="197">
        <f t="shared" si="29"/>
        <v>0</v>
      </c>
      <c r="AL75" s="197">
        <f t="shared" si="29"/>
        <v>0</v>
      </c>
      <c r="AM75" s="197">
        <f t="shared" si="29"/>
        <v>0</v>
      </c>
      <c r="AN75" s="197">
        <f t="shared" si="29"/>
        <v>0</v>
      </c>
      <c r="AO75" s="197">
        <f t="shared" si="29"/>
        <v>0</v>
      </c>
      <c r="AP75" s="197">
        <f t="shared" si="29"/>
        <v>0</v>
      </c>
      <c r="AQ75" s="197">
        <f t="shared" si="29"/>
        <v>0</v>
      </c>
      <c r="AR75" s="197">
        <f t="shared" si="29"/>
        <v>0</v>
      </c>
      <c r="AS75" s="197">
        <f t="shared" si="29"/>
        <v>0</v>
      </c>
      <c r="AT75" s="197">
        <f t="shared" si="29"/>
        <v>0</v>
      </c>
      <c r="AU75" s="197">
        <f t="shared" si="29"/>
        <v>0</v>
      </c>
      <c r="AV75" s="197">
        <f t="shared" si="29"/>
        <v>0</v>
      </c>
      <c r="AW75" s="197">
        <f t="shared" si="29"/>
        <v>0</v>
      </c>
      <c r="AX75" s="197">
        <f t="shared" si="29"/>
        <v>0</v>
      </c>
      <c r="AY75" s="197">
        <f t="shared" si="29"/>
        <v>0</v>
      </c>
      <c r="AZ75" s="197">
        <f t="shared" si="29"/>
        <v>0</v>
      </c>
      <c r="BA75" s="197">
        <f t="shared" si="29"/>
        <v>0</v>
      </c>
      <c r="BB75" s="197">
        <f t="shared" si="29"/>
        <v>0</v>
      </c>
      <c r="BC75" s="197">
        <f t="shared" si="29"/>
        <v>0</v>
      </c>
      <c r="BD75" s="197">
        <f t="shared" si="29"/>
        <v>0</v>
      </c>
      <c r="BE75" s="197">
        <f t="shared" si="29"/>
        <v>0</v>
      </c>
      <c r="BF75" s="197">
        <f t="shared" si="29"/>
        <v>0</v>
      </c>
      <c r="BG75" s="197">
        <f t="shared" si="29"/>
        <v>0</v>
      </c>
      <c r="BH75" s="197">
        <f t="shared" si="29"/>
        <v>0</v>
      </c>
      <c r="BI75" s="197">
        <f t="shared" si="29"/>
        <v>0</v>
      </c>
      <c r="BJ75" s="197">
        <f t="shared" si="29"/>
        <v>0</v>
      </c>
      <c r="BK75" s="197">
        <f t="shared" si="29"/>
        <v>0</v>
      </c>
      <c r="BL75" s="197">
        <f t="shared" si="29"/>
        <v>0</v>
      </c>
      <c r="BM75" s="197">
        <f t="shared" si="29"/>
        <v>0</v>
      </c>
      <c r="BN75" s="197"/>
    </row>
    <row r="76" outlineLevel="1">
      <c r="A76" s="197"/>
      <c r="B76" s="200" t="s">
        <v>200</v>
      </c>
      <c r="C76" s="201"/>
      <c r="D76" s="201"/>
      <c r="E76" s="201"/>
      <c r="F76" s="202">
        <f t="shared" ref="F76:BM76" si="30">F75</f>
        <v>0</v>
      </c>
      <c r="G76" s="202">
        <f t="shared" si="30"/>
        <v>0</v>
      </c>
      <c r="H76" s="202">
        <f t="shared" si="30"/>
        <v>0</v>
      </c>
      <c r="I76" s="202">
        <f t="shared" si="30"/>
        <v>0</v>
      </c>
      <c r="J76" s="202">
        <f t="shared" si="30"/>
        <v>0</v>
      </c>
      <c r="K76" s="202">
        <f t="shared" si="30"/>
        <v>0</v>
      </c>
      <c r="L76" s="202">
        <f t="shared" si="30"/>
        <v>0</v>
      </c>
      <c r="M76" s="202">
        <f t="shared" si="30"/>
        <v>0</v>
      </c>
      <c r="N76" s="202">
        <f t="shared" si="30"/>
        <v>0</v>
      </c>
      <c r="O76" s="202">
        <f t="shared" si="30"/>
        <v>0</v>
      </c>
      <c r="P76" s="202">
        <f t="shared" si="30"/>
        <v>0</v>
      </c>
      <c r="Q76" s="202">
        <f t="shared" si="30"/>
        <v>0</v>
      </c>
      <c r="R76" s="202">
        <f t="shared" si="30"/>
        <v>0</v>
      </c>
      <c r="S76" s="202">
        <f t="shared" si="30"/>
        <v>0</v>
      </c>
      <c r="T76" s="202">
        <f t="shared" si="30"/>
        <v>0</v>
      </c>
      <c r="U76" s="202">
        <f t="shared" si="30"/>
        <v>0</v>
      </c>
      <c r="V76" s="202">
        <f t="shared" si="30"/>
        <v>0</v>
      </c>
      <c r="W76" s="202">
        <f t="shared" si="30"/>
        <v>0</v>
      </c>
      <c r="X76" s="202">
        <f t="shared" si="30"/>
        <v>0</v>
      </c>
      <c r="Y76" s="202">
        <f t="shared" si="30"/>
        <v>0</v>
      </c>
      <c r="Z76" s="202">
        <f t="shared" si="30"/>
        <v>0</v>
      </c>
      <c r="AA76" s="202">
        <f t="shared" si="30"/>
        <v>0</v>
      </c>
      <c r="AB76" s="202">
        <f t="shared" si="30"/>
        <v>0</v>
      </c>
      <c r="AC76" s="202">
        <f t="shared" si="30"/>
        <v>0</v>
      </c>
      <c r="AD76" s="202">
        <f t="shared" si="30"/>
        <v>0</v>
      </c>
      <c r="AE76" s="202">
        <f t="shared" si="30"/>
        <v>0</v>
      </c>
      <c r="AF76" s="202">
        <f t="shared" si="30"/>
        <v>0</v>
      </c>
      <c r="AG76" s="202">
        <f t="shared" si="30"/>
        <v>0</v>
      </c>
      <c r="AH76" s="202">
        <f t="shared" si="30"/>
        <v>0</v>
      </c>
      <c r="AI76" s="202">
        <f t="shared" si="30"/>
        <v>0</v>
      </c>
      <c r="AJ76" s="202">
        <f t="shared" si="30"/>
        <v>0</v>
      </c>
      <c r="AK76" s="202">
        <f t="shared" si="30"/>
        <v>0</v>
      </c>
      <c r="AL76" s="202">
        <f t="shared" si="30"/>
        <v>0</v>
      </c>
      <c r="AM76" s="202">
        <f t="shared" si="30"/>
        <v>0</v>
      </c>
      <c r="AN76" s="202">
        <f t="shared" si="30"/>
        <v>0</v>
      </c>
      <c r="AO76" s="202">
        <f t="shared" si="30"/>
        <v>0</v>
      </c>
      <c r="AP76" s="202">
        <f t="shared" si="30"/>
        <v>0</v>
      </c>
      <c r="AQ76" s="202">
        <f t="shared" si="30"/>
        <v>0</v>
      </c>
      <c r="AR76" s="202">
        <f t="shared" si="30"/>
        <v>0</v>
      </c>
      <c r="AS76" s="202">
        <f t="shared" si="30"/>
        <v>0</v>
      </c>
      <c r="AT76" s="202">
        <f t="shared" si="30"/>
        <v>0</v>
      </c>
      <c r="AU76" s="202">
        <f t="shared" si="30"/>
        <v>0</v>
      </c>
      <c r="AV76" s="202">
        <f t="shared" si="30"/>
        <v>0</v>
      </c>
      <c r="AW76" s="202">
        <f t="shared" si="30"/>
        <v>0</v>
      </c>
      <c r="AX76" s="202">
        <f t="shared" si="30"/>
        <v>0</v>
      </c>
      <c r="AY76" s="202">
        <f t="shared" si="30"/>
        <v>0</v>
      </c>
      <c r="AZ76" s="202">
        <f t="shared" si="30"/>
        <v>0</v>
      </c>
      <c r="BA76" s="202">
        <f t="shared" si="30"/>
        <v>0</v>
      </c>
      <c r="BB76" s="202">
        <f t="shared" si="30"/>
        <v>0</v>
      </c>
      <c r="BC76" s="202">
        <f t="shared" si="30"/>
        <v>0</v>
      </c>
      <c r="BD76" s="202">
        <f t="shared" si="30"/>
        <v>0</v>
      </c>
      <c r="BE76" s="202">
        <f t="shared" si="30"/>
        <v>0</v>
      </c>
      <c r="BF76" s="202">
        <f t="shared" si="30"/>
        <v>0</v>
      </c>
      <c r="BG76" s="202">
        <f t="shared" si="30"/>
        <v>0</v>
      </c>
      <c r="BH76" s="202">
        <f t="shared" si="30"/>
        <v>0</v>
      </c>
      <c r="BI76" s="202">
        <f t="shared" si="30"/>
        <v>0</v>
      </c>
      <c r="BJ76" s="202">
        <f t="shared" si="30"/>
        <v>0</v>
      </c>
      <c r="BK76" s="202">
        <f t="shared" si="30"/>
        <v>0</v>
      </c>
      <c r="BL76" s="202">
        <f t="shared" si="30"/>
        <v>0</v>
      </c>
      <c r="BM76" s="202">
        <f t="shared" si="30"/>
        <v>0</v>
      </c>
      <c r="BN76" s="197"/>
    </row>
    <row r="77" outlineLevel="1">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197"/>
      <c r="BG77" s="197"/>
      <c r="BH77" s="197"/>
      <c r="BI77" s="197"/>
      <c r="BJ77" s="197"/>
      <c r="BK77" s="197"/>
      <c r="BL77" s="197"/>
      <c r="BM77" s="197"/>
      <c r="BN77" s="197"/>
    </row>
    <row r="78" outlineLevel="1">
      <c r="A78" s="197"/>
      <c r="B78" s="206" t="s">
        <v>201</v>
      </c>
      <c r="C78" s="197"/>
      <c r="D78" s="197"/>
      <c r="E78" s="197"/>
      <c r="F78" s="209">
        <f>Assumptions!C188</f>
        <v>500000</v>
      </c>
      <c r="G78" s="209">
        <f t="shared" ref="G78:BM78" si="31">F82</f>
        <v>269048.985</v>
      </c>
      <c r="H78" s="209">
        <f t="shared" si="31"/>
        <v>51270.39728</v>
      </c>
      <c r="I78" s="209">
        <f t="shared" si="31"/>
        <v>-150002.8928</v>
      </c>
      <c r="J78" s="209">
        <f t="shared" si="31"/>
        <v>-343005.9978</v>
      </c>
      <c r="K78" s="209">
        <f t="shared" si="31"/>
        <v>-531873.7472</v>
      </c>
      <c r="L78" s="209">
        <f t="shared" si="31"/>
        <v>-718673.8148</v>
      </c>
      <c r="M78" s="209">
        <f t="shared" si="31"/>
        <v>-904440.0415</v>
      </c>
      <c r="N78" s="209">
        <f t="shared" si="31"/>
        <v>-1089689.348</v>
      </c>
      <c r="O78" s="209">
        <f t="shared" si="31"/>
        <v>-1274680.194</v>
      </c>
      <c r="P78" s="209">
        <f t="shared" si="31"/>
        <v>-1459541.81</v>
      </c>
      <c r="Q78" s="209">
        <f t="shared" si="31"/>
        <v>-1644338.811</v>
      </c>
      <c r="R78" s="209">
        <f t="shared" si="31"/>
        <v>-1829103.504</v>
      </c>
      <c r="S78" s="209">
        <f t="shared" si="31"/>
        <v>-2013852.043</v>
      </c>
      <c r="T78" s="209">
        <f t="shared" si="31"/>
        <v>-2198592.506</v>
      </c>
      <c r="U78" s="209">
        <f t="shared" si="31"/>
        <v>-2383328.93</v>
      </c>
      <c r="V78" s="209">
        <f t="shared" si="31"/>
        <v>-2568063.335</v>
      </c>
      <c r="W78" s="209">
        <f t="shared" si="31"/>
        <v>-2752796.731</v>
      </c>
      <c r="X78" s="209">
        <f t="shared" si="31"/>
        <v>-2937529.621</v>
      </c>
      <c r="Y78" s="209">
        <f t="shared" si="31"/>
        <v>-3122262.259</v>
      </c>
      <c r="Z78" s="209">
        <f t="shared" si="31"/>
        <v>-3306994.771</v>
      </c>
      <c r="AA78" s="209">
        <f t="shared" si="31"/>
        <v>-3491727.22</v>
      </c>
      <c r="AB78" s="209">
        <f t="shared" si="31"/>
        <v>-3676459.638</v>
      </c>
      <c r="AC78" s="209">
        <f t="shared" si="31"/>
        <v>-3861192.039</v>
      </c>
      <c r="AD78" s="209">
        <f t="shared" si="31"/>
        <v>-4045924.433</v>
      </c>
      <c r="AE78" s="209">
        <f t="shared" si="31"/>
        <v>-4230656.823</v>
      </c>
      <c r="AF78" s="209">
        <f t="shared" si="31"/>
        <v>-4415389.21</v>
      </c>
      <c r="AG78" s="209">
        <f t="shared" si="31"/>
        <v>-4600121.597</v>
      </c>
      <c r="AH78" s="209">
        <f t="shared" si="31"/>
        <v>-4784853.983</v>
      </c>
      <c r="AI78" s="209">
        <f t="shared" si="31"/>
        <v>-4969586.37</v>
      </c>
      <c r="AJ78" s="209">
        <f t="shared" si="31"/>
        <v>-5154318.755</v>
      </c>
      <c r="AK78" s="209">
        <f t="shared" si="31"/>
        <v>-5339051.141</v>
      </c>
      <c r="AL78" s="209">
        <f t="shared" si="31"/>
        <v>-5523783.527</v>
      </c>
      <c r="AM78" s="209">
        <f t="shared" si="31"/>
        <v>-5708515.913</v>
      </c>
      <c r="AN78" s="209">
        <f t="shared" si="31"/>
        <v>-5893248.299</v>
      </c>
      <c r="AO78" s="209">
        <f t="shared" si="31"/>
        <v>-6077980.684</v>
      </c>
      <c r="AP78" s="209">
        <f t="shared" si="31"/>
        <v>-6262713.07</v>
      </c>
      <c r="AQ78" s="209">
        <f t="shared" si="31"/>
        <v>-6447445.456</v>
      </c>
      <c r="AR78" s="209">
        <f t="shared" si="31"/>
        <v>-6632177.842</v>
      </c>
      <c r="AS78" s="209">
        <f t="shared" si="31"/>
        <v>-6816910.228</v>
      </c>
      <c r="AT78" s="209">
        <f t="shared" si="31"/>
        <v>-7001642.613</v>
      </c>
      <c r="AU78" s="209">
        <f t="shared" si="31"/>
        <v>-7186374.999</v>
      </c>
      <c r="AV78" s="209">
        <f t="shared" si="31"/>
        <v>-7371107.385</v>
      </c>
      <c r="AW78" s="209">
        <f t="shared" si="31"/>
        <v>-7555839.771</v>
      </c>
      <c r="AX78" s="209">
        <f t="shared" si="31"/>
        <v>-7740572.157</v>
      </c>
      <c r="AY78" s="209">
        <f t="shared" si="31"/>
        <v>-7925304.542</v>
      </c>
      <c r="AZ78" s="209">
        <f t="shared" si="31"/>
        <v>-8110036.928</v>
      </c>
      <c r="BA78" s="209">
        <f t="shared" si="31"/>
        <v>-8294769.314</v>
      </c>
      <c r="BB78" s="209">
        <f t="shared" si="31"/>
        <v>-8479501.7</v>
      </c>
      <c r="BC78" s="209">
        <f t="shared" si="31"/>
        <v>-8664234.085</v>
      </c>
      <c r="BD78" s="209">
        <f t="shared" si="31"/>
        <v>-8848966.471</v>
      </c>
      <c r="BE78" s="209">
        <f t="shared" si="31"/>
        <v>-9033698.857</v>
      </c>
      <c r="BF78" s="209">
        <f t="shared" si="31"/>
        <v>-9218431.243</v>
      </c>
      <c r="BG78" s="209">
        <f t="shared" si="31"/>
        <v>-9403163.629</v>
      </c>
      <c r="BH78" s="209">
        <f t="shared" si="31"/>
        <v>-9587896.014</v>
      </c>
      <c r="BI78" s="209">
        <f t="shared" si="31"/>
        <v>-9772628.4</v>
      </c>
      <c r="BJ78" s="209">
        <f t="shared" si="31"/>
        <v>-9957360.786</v>
      </c>
      <c r="BK78" s="209">
        <f t="shared" si="31"/>
        <v>-10142093.17</v>
      </c>
      <c r="BL78" s="209">
        <f t="shared" si="31"/>
        <v>-10326825.56</v>
      </c>
      <c r="BM78" s="209">
        <f t="shared" si="31"/>
        <v>-10511557.94</v>
      </c>
      <c r="BN78" s="197"/>
    </row>
    <row r="79" outlineLevel="1">
      <c r="A79" s="197"/>
      <c r="B79" s="209"/>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197"/>
    </row>
    <row r="80" outlineLevel="1">
      <c r="A80" s="197"/>
      <c r="B80" s="206" t="s">
        <v>202</v>
      </c>
      <c r="C80" s="197"/>
      <c r="D80" s="197"/>
      <c r="E80" s="197"/>
      <c r="F80" s="209">
        <f t="shared" ref="F80:BM80" si="32">F76+F72+F68</f>
        <v>-230951.015</v>
      </c>
      <c r="G80" s="209">
        <f t="shared" si="32"/>
        <v>-217778.5877</v>
      </c>
      <c r="H80" s="209">
        <f t="shared" si="32"/>
        <v>-201273.2901</v>
      </c>
      <c r="I80" s="209">
        <f t="shared" si="32"/>
        <v>-193003.105</v>
      </c>
      <c r="J80" s="209">
        <f t="shared" si="32"/>
        <v>-188867.7494</v>
      </c>
      <c r="K80" s="209">
        <f t="shared" si="32"/>
        <v>-186800.0676</v>
      </c>
      <c r="L80" s="209">
        <f t="shared" si="32"/>
        <v>-185766.2267</v>
      </c>
      <c r="M80" s="209">
        <f t="shared" si="32"/>
        <v>-185249.3063</v>
      </c>
      <c r="N80" s="209">
        <f t="shared" si="32"/>
        <v>-184990.846</v>
      </c>
      <c r="O80" s="209">
        <f t="shared" si="32"/>
        <v>-184861.6159</v>
      </c>
      <c r="P80" s="209">
        <f t="shared" si="32"/>
        <v>-184797.0008</v>
      </c>
      <c r="Q80" s="209">
        <f t="shared" si="32"/>
        <v>-184764.6933</v>
      </c>
      <c r="R80" s="209">
        <f t="shared" si="32"/>
        <v>-184748.5396</v>
      </c>
      <c r="S80" s="209">
        <f t="shared" si="32"/>
        <v>-184740.4627</v>
      </c>
      <c r="T80" s="209">
        <f t="shared" si="32"/>
        <v>-184736.4242</v>
      </c>
      <c r="U80" s="209">
        <f t="shared" si="32"/>
        <v>-184734.405</v>
      </c>
      <c r="V80" s="209">
        <f t="shared" si="32"/>
        <v>-184733.3954</v>
      </c>
      <c r="W80" s="209">
        <f t="shared" si="32"/>
        <v>-184732.8906</v>
      </c>
      <c r="X80" s="209">
        <f t="shared" si="32"/>
        <v>-184732.6382</v>
      </c>
      <c r="Y80" s="209">
        <f t="shared" si="32"/>
        <v>-184732.512</v>
      </c>
      <c r="Z80" s="209">
        <f t="shared" si="32"/>
        <v>-184732.4489</v>
      </c>
      <c r="AA80" s="209">
        <f t="shared" si="32"/>
        <v>-184732.4173</v>
      </c>
      <c r="AB80" s="209">
        <f t="shared" si="32"/>
        <v>-184732.4016</v>
      </c>
      <c r="AC80" s="209">
        <f t="shared" si="32"/>
        <v>-184732.3937</v>
      </c>
      <c r="AD80" s="209">
        <f t="shared" si="32"/>
        <v>-184732.3897</v>
      </c>
      <c r="AE80" s="209">
        <f t="shared" si="32"/>
        <v>-184732.3878</v>
      </c>
      <c r="AF80" s="209">
        <f t="shared" si="32"/>
        <v>-184732.3868</v>
      </c>
      <c r="AG80" s="209">
        <f t="shared" si="32"/>
        <v>-184732.3863</v>
      </c>
      <c r="AH80" s="209">
        <f t="shared" si="32"/>
        <v>-184732.386</v>
      </c>
      <c r="AI80" s="209">
        <f t="shared" si="32"/>
        <v>-184732.3859</v>
      </c>
      <c r="AJ80" s="209">
        <f t="shared" si="32"/>
        <v>-184732.3858</v>
      </c>
      <c r="AK80" s="209">
        <f t="shared" si="32"/>
        <v>-184732.3858</v>
      </c>
      <c r="AL80" s="209">
        <f t="shared" si="32"/>
        <v>-184732.3858</v>
      </c>
      <c r="AM80" s="209">
        <f t="shared" si="32"/>
        <v>-184732.3858</v>
      </c>
      <c r="AN80" s="209">
        <f t="shared" si="32"/>
        <v>-184732.3858</v>
      </c>
      <c r="AO80" s="209">
        <f t="shared" si="32"/>
        <v>-184732.3858</v>
      </c>
      <c r="AP80" s="209">
        <f t="shared" si="32"/>
        <v>-184732.3858</v>
      </c>
      <c r="AQ80" s="209">
        <f t="shared" si="32"/>
        <v>-184732.3858</v>
      </c>
      <c r="AR80" s="209">
        <f t="shared" si="32"/>
        <v>-184732.3858</v>
      </c>
      <c r="AS80" s="209">
        <f t="shared" si="32"/>
        <v>-184732.3858</v>
      </c>
      <c r="AT80" s="209">
        <f t="shared" si="32"/>
        <v>-184732.3858</v>
      </c>
      <c r="AU80" s="209">
        <f t="shared" si="32"/>
        <v>-184732.3858</v>
      </c>
      <c r="AV80" s="209">
        <f t="shared" si="32"/>
        <v>-184732.3858</v>
      </c>
      <c r="AW80" s="209">
        <f t="shared" si="32"/>
        <v>-184732.3858</v>
      </c>
      <c r="AX80" s="209">
        <f t="shared" si="32"/>
        <v>-184732.3858</v>
      </c>
      <c r="AY80" s="209">
        <f t="shared" si="32"/>
        <v>-184732.3858</v>
      </c>
      <c r="AZ80" s="209">
        <f t="shared" si="32"/>
        <v>-184732.3858</v>
      </c>
      <c r="BA80" s="209">
        <f t="shared" si="32"/>
        <v>-184732.3858</v>
      </c>
      <c r="BB80" s="209">
        <f t="shared" si="32"/>
        <v>-184732.3858</v>
      </c>
      <c r="BC80" s="209">
        <f t="shared" si="32"/>
        <v>-184732.3858</v>
      </c>
      <c r="BD80" s="209">
        <f t="shared" si="32"/>
        <v>-184732.3858</v>
      </c>
      <c r="BE80" s="209">
        <f t="shared" si="32"/>
        <v>-184732.3858</v>
      </c>
      <c r="BF80" s="209">
        <f t="shared" si="32"/>
        <v>-184732.3858</v>
      </c>
      <c r="BG80" s="209">
        <f t="shared" si="32"/>
        <v>-184732.3858</v>
      </c>
      <c r="BH80" s="209">
        <f t="shared" si="32"/>
        <v>-184732.3858</v>
      </c>
      <c r="BI80" s="209">
        <f t="shared" si="32"/>
        <v>-184732.3858</v>
      </c>
      <c r="BJ80" s="209">
        <f t="shared" si="32"/>
        <v>-184732.3858</v>
      </c>
      <c r="BK80" s="209">
        <f t="shared" si="32"/>
        <v>-184732.3858</v>
      </c>
      <c r="BL80" s="209">
        <f t="shared" si="32"/>
        <v>-184732.3858</v>
      </c>
      <c r="BM80" s="209">
        <f t="shared" si="32"/>
        <v>-184732.3858</v>
      </c>
      <c r="BN80" s="197"/>
    </row>
    <row r="81" outlineLevel="1">
      <c r="A81" s="197"/>
      <c r="B81" s="209"/>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197"/>
      <c r="BG81" s="197"/>
      <c r="BH81" s="197"/>
      <c r="BI81" s="197"/>
      <c r="BJ81" s="197"/>
      <c r="BK81" s="197"/>
      <c r="BL81" s="197"/>
      <c r="BM81" s="197"/>
      <c r="BN81" s="197"/>
    </row>
    <row r="82" outlineLevel="1">
      <c r="A82" s="197"/>
      <c r="B82" s="206" t="s">
        <v>203</v>
      </c>
      <c r="C82" s="197"/>
      <c r="D82" s="197"/>
      <c r="E82" s="209"/>
      <c r="F82" s="209">
        <f t="shared" ref="F82:BM82" si="33">F78+F80</f>
        <v>269048.985</v>
      </c>
      <c r="G82" s="209">
        <f t="shared" si="33"/>
        <v>51270.39728</v>
      </c>
      <c r="H82" s="209">
        <f t="shared" si="33"/>
        <v>-150002.8928</v>
      </c>
      <c r="I82" s="209">
        <f t="shared" si="33"/>
        <v>-343005.9978</v>
      </c>
      <c r="J82" s="209">
        <f t="shared" si="33"/>
        <v>-531873.7472</v>
      </c>
      <c r="K82" s="209">
        <f t="shared" si="33"/>
        <v>-718673.8148</v>
      </c>
      <c r="L82" s="209">
        <f t="shared" si="33"/>
        <v>-904440.0415</v>
      </c>
      <c r="M82" s="209">
        <f t="shared" si="33"/>
        <v>-1089689.348</v>
      </c>
      <c r="N82" s="209">
        <f t="shared" si="33"/>
        <v>-1274680.194</v>
      </c>
      <c r="O82" s="209">
        <f t="shared" si="33"/>
        <v>-1459541.81</v>
      </c>
      <c r="P82" s="209">
        <f t="shared" si="33"/>
        <v>-1644338.811</v>
      </c>
      <c r="Q82" s="209">
        <f t="shared" si="33"/>
        <v>-1829103.504</v>
      </c>
      <c r="R82" s="209">
        <f t="shared" si="33"/>
        <v>-2013852.043</v>
      </c>
      <c r="S82" s="209">
        <f t="shared" si="33"/>
        <v>-2198592.506</v>
      </c>
      <c r="T82" s="209">
        <f t="shared" si="33"/>
        <v>-2383328.93</v>
      </c>
      <c r="U82" s="209">
        <f t="shared" si="33"/>
        <v>-2568063.335</v>
      </c>
      <c r="V82" s="209">
        <f t="shared" si="33"/>
        <v>-2752796.731</v>
      </c>
      <c r="W82" s="209">
        <f t="shared" si="33"/>
        <v>-2937529.621</v>
      </c>
      <c r="X82" s="209">
        <f t="shared" si="33"/>
        <v>-3122262.259</v>
      </c>
      <c r="Y82" s="209">
        <f t="shared" si="33"/>
        <v>-3306994.771</v>
      </c>
      <c r="Z82" s="209">
        <f t="shared" si="33"/>
        <v>-3491727.22</v>
      </c>
      <c r="AA82" s="209">
        <f t="shared" si="33"/>
        <v>-3676459.638</v>
      </c>
      <c r="AB82" s="209">
        <f t="shared" si="33"/>
        <v>-3861192.039</v>
      </c>
      <c r="AC82" s="209">
        <f t="shared" si="33"/>
        <v>-4045924.433</v>
      </c>
      <c r="AD82" s="209">
        <f t="shared" si="33"/>
        <v>-4230656.823</v>
      </c>
      <c r="AE82" s="209">
        <f t="shared" si="33"/>
        <v>-4415389.21</v>
      </c>
      <c r="AF82" s="209">
        <f t="shared" si="33"/>
        <v>-4600121.597</v>
      </c>
      <c r="AG82" s="209">
        <f t="shared" si="33"/>
        <v>-4784853.983</v>
      </c>
      <c r="AH82" s="209">
        <f t="shared" si="33"/>
        <v>-4969586.37</v>
      </c>
      <c r="AI82" s="209">
        <f t="shared" si="33"/>
        <v>-5154318.755</v>
      </c>
      <c r="AJ82" s="209">
        <f t="shared" si="33"/>
        <v>-5339051.141</v>
      </c>
      <c r="AK82" s="209">
        <f t="shared" si="33"/>
        <v>-5523783.527</v>
      </c>
      <c r="AL82" s="209">
        <f t="shared" si="33"/>
        <v>-5708515.913</v>
      </c>
      <c r="AM82" s="209">
        <f t="shared" si="33"/>
        <v>-5893248.299</v>
      </c>
      <c r="AN82" s="209">
        <f t="shared" si="33"/>
        <v>-6077980.684</v>
      </c>
      <c r="AO82" s="209">
        <f t="shared" si="33"/>
        <v>-6262713.07</v>
      </c>
      <c r="AP82" s="209">
        <f t="shared" si="33"/>
        <v>-6447445.456</v>
      </c>
      <c r="AQ82" s="209">
        <f t="shared" si="33"/>
        <v>-6632177.842</v>
      </c>
      <c r="AR82" s="209">
        <f t="shared" si="33"/>
        <v>-6816910.228</v>
      </c>
      <c r="AS82" s="209">
        <f t="shared" si="33"/>
        <v>-7001642.613</v>
      </c>
      <c r="AT82" s="209">
        <f t="shared" si="33"/>
        <v>-7186374.999</v>
      </c>
      <c r="AU82" s="209">
        <f t="shared" si="33"/>
        <v>-7371107.385</v>
      </c>
      <c r="AV82" s="209">
        <f t="shared" si="33"/>
        <v>-7555839.771</v>
      </c>
      <c r="AW82" s="209">
        <f t="shared" si="33"/>
        <v>-7740572.157</v>
      </c>
      <c r="AX82" s="209">
        <f t="shared" si="33"/>
        <v>-7925304.542</v>
      </c>
      <c r="AY82" s="209">
        <f t="shared" si="33"/>
        <v>-8110036.928</v>
      </c>
      <c r="AZ82" s="209">
        <f t="shared" si="33"/>
        <v>-8294769.314</v>
      </c>
      <c r="BA82" s="209">
        <f t="shared" si="33"/>
        <v>-8479501.7</v>
      </c>
      <c r="BB82" s="209">
        <f t="shared" si="33"/>
        <v>-8664234.085</v>
      </c>
      <c r="BC82" s="209">
        <f t="shared" si="33"/>
        <v>-8848966.471</v>
      </c>
      <c r="BD82" s="209">
        <f t="shared" si="33"/>
        <v>-9033698.857</v>
      </c>
      <c r="BE82" s="209">
        <f t="shared" si="33"/>
        <v>-9218431.243</v>
      </c>
      <c r="BF82" s="209">
        <f t="shared" si="33"/>
        <v>-9403163.629</v>
      </c>
      <c r="BG82" s="209">
        <f t="shared" si="33"/>
        <v>-9587896.014</v>
      </c>
      <c r="BH82" s="209">
        <f t="shared" si="33"/>
        <v>-9772628.4</v>
      </c>
      <c r="BI82" s="209">
        <f t="shared" si="33"/>
        <v>-9957360.786</v>
      </c>
      <c r="BJ82" s="209">
        <f t="shared" si="33"/>
        <v>-10142093.17</v>
      </c>
      <c r="BK82" s="209">
        <f t="shared" si="33"/>
        <v>-10326825.56</v>
      </c>
      <c r="BL82" s="209">
        <f t="shared" si="33"/>
        <v>-10511557.94</v>
      </c>
      <c r="BM82" s="209">
        <f t="shared" si="33"/>
        <v>-10696290.33</v>
      </c>
      <c r="BN82" s="197"/>
    </row>
    <row r="83">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c r="BM83" s="197"/>
      <c r="BN83" s="197"/>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c r="AY1007" s="30"/>
      <c r="AZ1007" s="30"/>
      <c r="BA1007" s="30"/>
      <c r="BB1007" s="30"/>
      <c r="BC1007" s="30"/>
      <c r="BD1007" s="30"/>
      <c r="BE1007" s="30"/>
      <c r="BF1007" s="30"/>
      <c r="BG1007" s="30"/>
      <c r="BH1007" s="30"/>
      <c r="BI1007" s="30"/>
      <c r="BJ1007" s="30"/>
      <c r="BK1007" s="30"/>
      <c r="BL1007" s="30"/>
      <c r="BM1007" s="30"/>
      <c r="BN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c r="BN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c r="AY1009" s="30"/>
      <c r="AZ1009" s="30"/>
      <c r="BA1009" s="30"/>
      <c r="BB1009" s="30"/>
      <c r="BC1009" s="30"/>
      <c r="BD1009" s="30"/>
      <c r="BE1009" s="30"/>
      <c r="BF1009" s="30"/>
      <c r="BG1009" s="30"/>
      <c r="BH1009" s="30"/>
      <c r="BI1009" s="30"/>
      <c r="BJ1009" s="30"/>
      <c r="BK1009" s="30"/>
      <c r="BL1009" s="30"/>
      <c r="BM1009" s="30"/>
      <c r="BN1009" s="30"/>
    </row>
    <row r="1010">
      <c r="A1010" s="30"/>
      <c r="B1010" s="30"/>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c r="AG1010" s="30"/>
      <c r="AH1010" s="30"/>
      <c r="AI1010" s="30"/>
      <c r="AJ1010" s="30"/>
      <c r="AK1010" s="30"/>
      <c r="AL1010" s="30"/>
      <c r="AM1010" s="30"/>
      <c r="AN1010" s="30"/>
      <c r="AO1010" s="30"/>
      <c r="AP1010" s="30"/>
      <c r="AQ1010" s="30"/>
      <c r="AR1010" s="30"/>
      <c r="AS1010" s="30"/>
      <c r="AT1010" s="30"/>
      <c r="AU1010" s="30"/>
      <c r="AV1010" s="30"/>
      <c r="AW1010" s="30"/>
      <c r="AX1010" s="30"/>
      <c r="AY1010" s="30"/>
      <c r="AZ1010" s="30"/>
      <c r="BA1010" s="30"/>
      <c r="BB1010" s="30"/>
      <c r="BC1010" s="30"/>
      <c r="BD1010" s="30"/>
      <c r="BE1010" s="30"/>
      <c r="BF1010" s="30"/>
      <c r="BG1010" s="30"/>
      <c r="BH1010" s="30"/>
      <c r="BI1010" s="30"/>
      <c r="BJ1010" s="30"/>
      <c r="BK1010" s="30"/>
      <c r="BL1010" s="30"/>
      <c r="BM1010" s="30"/>
      <c r="BN1010" s="30"/>
    </row>
    <row r="1011">
      <c r="A1011" s="30"/>
      <c r="B1011" s="30"/>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c r="AG1011" s="30"/>
      <c r="AH1011" s="30"/>
      <c r="AI1011" s="30"/>
      <c r="AJ1011" s="30"/>
      <c r="AK1011" s="30"/>
      <c r="AL1011" s="30"/>
      <c r="AM1011" s="30"/>
      <c r="AN1011" s="30"/>
      <c r="AO1011" s="30"/>
      <c r="AP1011" s="30"/>
      <c r="AQ1011" s="30"/>
      <c r="AR1011" s="30"/>
      <c r="AS1011" s="30"/>
      <c r="AT1011" s="30"/>
      <c r="AU1011" s="30"/>
      <c r="AV1011" s="30"/>
      <c r="AW1011" s="30"/>
      <c r="AX1011" s="30"/>
      <c r="AY1011" s="30"/>
      <c r="AZ1011" s="30"/>
      <c r="BA1011" s="30"/>
      <c r="BB1011" s="30"/>
      <c r="BC1011" s="30"/>
      <c r="BD1011" s="30"/>
      <c r="BE1011" s="30"/>
      <c r="BF1011" s="30"/>
      <c r="BG1011" s="30"/>
      <c r="BH1011" s="30"/>
      <c r="BI1011" s="30"/>
      <c r="BJ1011" s="30"/>
      <c r="BK1011" s="30"/>
      <c r="BL1011" s="30"/>
      <c r="BM1011" s="30"/>
      <c r="BN1011" s="30"/>
    </row>
  </sheetData>
  <conditionalFormatting sqref="F26:BM26 F28:BM28 F30:BM30 F37:BM37 F40:BM40">
    <cfRule type="cellIs" dxfId="0" priority="1" operator="lessThan">
      <formula>0</formula>
    </cfRule>
  </conditionalFormatting>
  <conditionalFormatting sqref="F82:BM82">
    <cfRule type="cellIs" dxfId="1" priority="2" operator="lessThan">
      <formula>0</formula>
    </cfRule>
  </conditionalFormatting>
  <drawing r:id="rId1"/>
</worksheet>
</file>