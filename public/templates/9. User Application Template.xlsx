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<sst xmlns="http://schemas.openxmlformats.org/spreadsheetml/2006/main" count="236" uniqueCount="198">
  <si>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</si>
  <si>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</si>
  <si>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</si>
  <si>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</si>
  <si>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</si>
  <si>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</si>
  <si>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</si>
  <si>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</si>
  <si>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</si>
  <si>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</si>
  <si>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</si>
  <si>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</si>
  <si>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</si>
  <si>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</si>
  <si>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</si>
  <si>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</si>
  <si>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</si>
  <si>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</si>
  <si>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</si>
  <si>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</si>
  <si>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</si>
  <si>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</si>
  <si>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</si>
  <si>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</si>
  <si>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</si>
  <si>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</si>
  <si>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</si>
  <si>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</si>
  <si>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</si>
  <si>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</si>
  <si>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</si>
  <si>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</si>
  <si>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</si>
  <si>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</si>
  <si>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</si>
  <si>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</si>
  <si>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</si>
  <si>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</si>
  <si>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</si>
  <si>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</si>
  <si>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</si>
  <si>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</si>
  <si>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</si>
  <si>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</si>
  <si>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</si>
  <si>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</si>
  <si>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</si>
  <si>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</si>
  <si>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User Application:</t>
  </si>
  <si>
    <t>User Application</t>
  </si>
  <si>
    <t>% of Total New Users</t>
  </si>
  <si>
    <t>New Users</t>
  </si>
  <si>
    <t>Churn Rate</t>
  </si>
  <si>
    <t>Churned Users</t>
  </si>
  <si>
    <t>Retained Users</t>
  </si>
  <si>
    <t>Total Users</t>
  </si>
  <si>
    <t>Previous Months Total Users</t>
  </si>
  <si>
    <t>% Active Users</t>
  </si>
  <si>
    <t>Monthly Active Users</t>
  </si>
  <si>
    <t>Average Transactions per Active User</t>
  </si>
  <si>
    <t>Total Transactions</t>
  </si>
  <si>
    <t>Average Transaction Size</t>
  </si>
  <si>
    <t>Take Rate</t>
  </si>
  <si>
    <t>Revenue</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</si>
  <si>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</si>
  <si>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</si>
  <si>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</si>
  <si>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</si>
  <si>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</si>
  <si>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</si>
  <si>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</si>
  <si>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</si>
  <si>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</si>
  <si>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</si>
  <si>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</si>
  <si>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</si>
  <si>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</si>
  <si>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</si>
  <si>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</si>
  <si>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</si>
  <si>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</si>
  <si>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</si>
  <si>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</si>
  <si>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</si>
  <si>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</si>
  <si>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</si>
  <si>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</si>
  <si>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</si>
  <si>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</si>
  <si>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</si>
  <si>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</si>
  <si>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</si>
  <si>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</si>
  <si>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</si>
  <si>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</si>
  <si>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</si>
  <si>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</si>
  <si>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</si>
  <si>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</si>
  <si>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</si>
  <si>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</si>
  <si>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</si>
  <si>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</si>
  <si>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</si>
  <si>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</si>
  <si>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</si>
  <si>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</si>
  <si>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</si>
  <si>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</si>
  <si>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</si>
  <si>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</si>
  <si>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</si>
  <si>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</si>
  <si>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</si>
  <si>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</si>
  <si>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</si>
  <si>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</si>
  <si>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</si>
  <si>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</si>
  <si>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</si>
  <si>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</si>
  <si>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</si>
  <si>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</si>
  <si>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</si>
  <si>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</si>
  <si>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</si>
  <si>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</si>
  <si>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</si>
  <si>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</si>
  <si>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</si>
  <si>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</si>
  <si>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</si>
  <si>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</si>
  <si>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</si>
  <si>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</si>
  <si>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</si>
  <si>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</si>
  <si>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</si>
  <si>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</si>
  <si>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</si>
  <si>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</si>
  <si>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</si>
  <si>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</si>
  <si>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</si>
  <si>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</si>
  <si>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</si>
  <si>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</si>
  <si>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</si>
  <si>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</si>
  <si>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</si>
  <si>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</si>
  <si>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</si>
  <si>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</si>
  <si>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</si>
  <si>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</si>
  <si>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Total 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</si>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</sst>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434343"/>
      <name val="Montserrat"/>
    </font>
    <font>
      <b/>
      <sz val="11.0"/>
      <color theme="1"/>
      <name val="Montserrat"/>
    </font>
    <font>
      <b/>
      <i/>
      <color theme="1"/>
      <name val="Montserrat"/>
    </font>
    <font>
      <i/>
      <color theme="1"/>
      <name val="Montserrat"/>
    </font>
    <font>
      <color theme="1"/>
      <name val="Arial"/>
      <scheme val="minor"/>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0">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FFFFFF"/>
      </left>
      <right style="medium">
        <color rgb="FFFFFFFF"/>
      </right>
      <top style="medium">
        <color rgb="FFFFFFFF"/>
      </top>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9" fillId="5" fontId="17" numFmtId="14" xfId="0" applyAlignment="1" applyBorder="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10" fillId="6" fontId="18" numFmtId="0" xfId="0" applyAlignment="1" applyBorder="1" applyFill="1" applyFont="1">
      <alignment readingOrder="0" vertical="center"/>
    </xf>
    <xf borderId="10" fillId="6" fontId="13" numFmtId="0" xfId="0" applyAlignment="1" applyBorder="1" applyFont="1">
      <alignment vertical="center"/>
    </xf>
    <xf borderId="10" fillId="6" fontId="13" numFmtId="0" xfId="0" applyAlignment="1" applyBorder="1" applyFont="1">
      <alignment horizontal="right" vertical="center"/>
    </xf>
    <xf borderId="11" fillId="7" fontId="13" numFmtId="0" xfId="0" applyAlignment="1" applyBorder="1" applyFill="1" applyFont="1">
      <alignment readingOrder="0" vertical="center"/>
    </xf>
    <xf borderId="12"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3"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4" fillId="0" fontId="13" numFmtId="0" xfId="0" applyAlignment="1" applyBorder="1" applyFont="1">
      <alignment vertical="center"/>
    </xf>
    <xf borderId="15" fillId="0" fontId="13" numFmtId="0" xfId="0" applyAlignment="1" applyBorder="1" applyFont="1">
      <alignment vertical="center"/>
    </xf>
    <xf borderId="16" fillId="5" fontId="17" numFmtId="10" xfId="0" applyAlignment="1" applyBorder="1" applyFont="1" applyNumberFormat="1">
      <alignment horizontal="right" readingOrder="0" vertical="center"/>
    </xf>
    <xf borderId="14" fillId="0" fontId="13" numFmtId="0" xfId="0" applyAlignment="1" applyBorder="1" applyFont="1">
      <alignment vertical="center"/>
    </xf>
    <xf borderId="15"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7" fillId="5" fontId="20"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19" fillId="0" fontId="21" numFmtId="165" xfId="0" applyAlignment="1" applyBorder="1" applyFont="1" applyNumberFormat="1">
      <alignment horizontal="right" readingOrder="0" vertical="center"/>
    </xf>
    <xf borderId="15" fillId="0" fontId="13" numFmtId="0" xfId="0" applyAlignment="1" applyBorder="1" applyFont="1">
      <alignment readingOrder="0" vertical="center"/>
    </xf>
    <xf borderId="20"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17" fillId="5" fontId="20" numFmtId="164" xfId="0" applyAlignment="1" applyBorder="1" applyFont="1" applyNumberFormat="1">
      <alignment horizontal="right" readingOrder="0" vertical="center"/>
    </xf>
    <xf borderId="17"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5" fillId="0" fontId="3" numFmtId="0" xfId="0" applyAlignment="1" applyBorder="1" applyFont="1">
      <alignment vertical="center"/>
    </xf>
    <xf borderId="20" fillId="5" fontId="17" numFmtId="10" xfId="0" applyAlignment="1" applyBorder="1" applyFont="1" applyNumberFormat="1">
      <alignment horizontal="right" vertical="center"/>
    </xf>
    <xf borderId="14"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7"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7"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4" fillId="0" fontId="25" numFmtId="0" xfId="0" applyAlignment="1" applyBorder="1" applyFont="1">
      <alignment readingOrder="0" vertical="center"/>
    </xf>
    <xf borderId="14"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3" numFmtId="3" xfId="0" applyAlignment="1" applyFont="1" applyNumberFormat="1">
      <alignment vertical="center"/>
    </xf>
    <xf borderId="0" fillId="0" fontId="13" numFmtId="165" xfId="0" applyAlignment="1" applyFont="1" applyNumberFormat="1">
      <alignment horizontal="right" vertical="center"/>
    </xf>
    <xf borderId="0" fillId="0" fontId="17" numFmtId="3" xfId="0" applyAlignment="1" applyFont="1" applyNumberFormat="1">
      <alignment readingOrder="0" vertical="center"/>
    </xf>
    <xf borderId="0" fillId="0" fontId="17" numFmtId="0" xfId="0" applyAlignment="1" applyFont="1">
      <alignment horizontal="center" vertical="center"/>
    </xf>
    <xf borderId="0" fillId="0" fontId="17" numFmtId="10" xfId="0" applyAlignment="1" applyFont="1" applyNumberFormat="1">
      <alignment horizontal="right" readingOrder="0" vertical="center"/>
    </xf>
    <xf borderId="0" fillId="5" fontId="17" numFmtId="10" xfId="0" applyAlignment="1" applyFont="1" applyNumberFormat="1">
      <alignment horizontal="right" readingOrder="0" vertical="center"/>
    </xf>
    <xf borderId="0" fillId="0" fontId="13" numFmtId="1" xfId="0" applyAlignment="1" applyFont="1" applyNumberFormat="1">
      <alignment vertical="center"/>
    </xf>
    <xf borderId="0" fillId="0" fontId="13" numFmtId="1" xfId="0" applyAlignment="1" applyFont="1" applyNumberFormat="1">
      <alignment horizontal="right" vertical="center"/>
    </xf>
    <xf borderId="0" fillId="0" fontId="13" numFmtId="1" xfId="0" applyAlignment="1" applyFont="1" applyNumberFormat="1">
      <alignment horizontal="right" readingOrder="0" vertical="center"/>
    </xf>
    <xf borderId="17" fillId="5" fontId="17" numFmtId="0" xfId="0" applyAlignment="1" applyBorder="1" applyFont="1">
      <alignment horizontal="right" readingOrder="0" vertical="center"/>
    </xf>
    <xf borderId="0" fillId="0" fontId="13" numFmtId="0" xfId="0" applyAlignment="1" applyFont="1">
      <alignment horizontal="right" vertical="center"/>
    </xf>
    <xf borderId="0" fillId="0" fontId="13" numFmtId="3" xfId="0" applyAlignment="1" applyFont="1" applyNumberFormat="1">
      <alignment readingOrder="0" vertical="center"/>
    </xf>
    <xf borderId="17" fillId="0" fontId="13" numFmtId="1" xfId="0" applyAlignment="1" applyBorder="1" applyFont="1" applyNumberFormat="1">
      <alignment horizontal="right" vertical="center"/>
    </xf>
    <xf borderId="17" fillId="5" fontId="17" numFmtId="167" xfId="0" applyAlignment="1" applyBorder="1" applyFont="1" applyNumberFormat="1">
      <alignment horizontal="right" readingOrder="0" vertical="center"/>
    </xf>
    <xf borderId="0" fillId="0" fontId="3" numFmtId="1" xfId="0" applyAlignment="1" applyFont="1" applyNumberFormat="1">
      <alignment vertical="center"/>
    </xf>
    <xf borderId="0" fillId="0" fontId="13" numFmtId="167" xfId="0" applyAlignment="1" applyFont="1" applyNumberFormat="1">
      <alignment horizontal="right" vertical="center"/>
    </xf>
    <xf borderId="21" fillId="5" fontId="17" numFmtId="10" xfId="0" applyAlignment="1" applyBorder="1" applyFont="1" applyNumberFormat="1">
      <alignment horizontal="right" readingOrder="0" vertical="center"/>
    </xf>
    <xf borderId="15" fillId="0" fontId="13" numFmtId="10" xfId="0" applyAlignment="1" applyBorder="1" applyFont="1" applyNumberFormat="1">
      <alignment horizontal="right" readingOrder="0" vertical="center"/>
    </xf>
    <xf borderId="0" fillId="0" fontId="22" numFmtId="3" xfId="0" applyAlignment="1" applyFont="1" applyNumberFormat="1">
      <alignment vertical="center"/>
    </xf>
    <xf borderId="0" fillId="0" fontId="17" numFmtId="168" xfId="0" applyAlignment="1" applyFont="1" applyNumberFormat="1">
      <alignment horizontal="right" vertical="center"/>
    </xf>
    <xf borderId="22" fillId="7" fontId="13" numFmtId="0" xfId="0" applyAlignment="1" applyBorder="1" applyFont="1">
      <alignment readingOrder="0" vertical="center"/>
    </xf>
    <xf borderId="0" fillId="0" fontId="28" numFmtId="0" xfId="0" applyAlignment="1" applyFont="1">
      <alignment readingOrder="0" vertical="center"/>
    </xf>
    <xf borderId="0" fillId="0" fontId="28" numFmtId="0" xfId="0" applyAlignment="1" applyFont="1">
      <alignment horizontal="center" readingOrder="0" vertical="center"/>
    </xf>
    <xf borderId="17" fillId="5" fontId="20" numFmtId="165" xfId="0" applyAlignment="1" applyBorder="1" applyFont="1" applyNumberFormat="1">
      <alignment horizontal="left" vertical="center"/>
    </xf>
    <xf borderId="17" fillId="5" fontId="20" numFmtId="165" xfId="0" applyAlignment="1" applyBorder="1" applyFont="1" applyNumberFormat="1">
      <alignment horizontal="center" readingOrder="0" vertical="center"/>
    </xf>
    <xf borderId="17" fillId="5" fontId="20" numFmtId="9" xfId="0" applyAlignment="1" applyBorder="1" applyFont="1" applyNumberFormat="1">
      <alignment horizontal="center" readingOrder="0" vertical="center"/>
    </xf>
    <xf borderId="23" fillId="5" fontId="20" numFmtId="169" xfId="0" applyAlignment="1" applyBorder="1" applyFont="1" applyNumberFormat="1">
      <alignment horizontal="center" readingOrder="0" vertical="center"/>
    </xf>
    <xf borderId="17" fillId="5" fontId="20" numFmtId="170" xfId="0" applyAlignment="1" applyBorder="1" applyFont="1" applyNumberFormat="1">
      <alignment horizontal="left" vertical="center"/>
    </xf>
    <xf borderId="17" fillId="5" fontId="20" numFmtId="10" xfId="0" applyAlignment="1" applyBorder="1" applyFont="1" applyNumberFormat="1">
      <alignment horizontal="center" readingOrder="0" vertical="center"/>
    </xf>
    <xf borderId="17" fillId="5" fontId="20" numFmtId="170" xfId="0" applyAlignment="1" applyBorder="1" applyFont="1" applyNumberFormat="1">
      <alignment horizontal="left" readingOrder="0" vertical="center"/>
    </xf>
    <xf borderId="21" fillId="5" fontId="20" numFmtId="170" xfId="0" applyAlignment="1" applyBorder="1" applyFont="1" applyNumberFormat="1">
      <alignment horizontal="left" readingOrder="0" vertical="center"/>
    </xf>
    <xf borderId="21" fillId="5" fontId="20" numFmtId="10" xfId="0" applyAlignment="1" applyBorder="1" applyFont="1" applyNumberFormat="1">
      <alignment horizontal="center" readingOrder="0" vertical="center"/>
    </xf>
    <xf borderId="14"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3"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1" fillId="5" fontId="20" numFmtId="165" xfId="0" applyAlignment="1" applyBorder="1" applyFont="1" applyNumberFormat="1">
      <alignment horizontal="left" readingOrder="0" vertical="center"/>
    </xf>
    <xf borderId="24" fillId="5" fontId="20" numFmtId="165" xfId="0" applyAlignment="1" applyBorder="1" applyFont="1" applyNumberFormat="1">
      <alignment horizontal="center" readingOrder="0" vertical="center"/>
    </xf>
    <xf borderId="14"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0" fillId="0" fontId="18" numFmtId="0" xfId="0" applyAlignment="1" applyFont="1">
      <alignment readingOrder="0" vertical="center"/>
    </xf>
    <xf borderId="25" fillId="0" fontId="17" numFmtId="0" xfId="0" applyAlignment="1" applyBorder="1" applyFont="1">
      <alignment readingOrder="0" vertical="center"/>
    </xf>
    <xf borderId="25"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9"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7" fillId="5" fontId="20" numFmtId="169" xfId="0" applyAlignment="1" applyBorder="1" applyFont="1" applyNumberFormat="1">
      <alignment horizontal="center" readingOrder="0" vertical="center"/>
    </xf>
    <xf borderId="23" fillId="5" fontId="20" numFmtId="3" xfId="0" applyAlignment="1" applyBorder="1" applyFont="1" applyNumberFormat="1">
      <alignment horizontal="center" readingOrder="0" vertical="center"/>
    </xf>
    <xf borderId="17" fillId="5" fontId="20" numFmtId="3" xfId="0" applyAlignment="1" applyBorder="1" applyFont="1" applyNumberFormat="1">
      <alignment horizontal="center" readingOrder="0" vertical="center"/>
    </xf>
    <xf borderId="26" fillId="0" fontId="29" numFmtId="0" xfId="0" applyAlignment="1" applyBorder="1" applyFont="1">
      <alignment readingOrder="0" vertical="center"/>
    </xf>
    <xf borderId="26" fillId="0" fontId="13" numFmtId="0" xfId="0" applyAlignment="1" applyBorder="1" applyFont="1">
      <alignment vertical="center"/>
    </xf>
    <xf borderId="0" fillId="0" fontId="13" numFmtId="170" xfId="0" applyAlignment="1" applyFont="1" applyNumberFormat="1">
      <alignment readingOrder="0" vertical="center"/>
    </xf>
    <xf borderId="0" fillId="0" fontId="30" numFmtId="0" xfId="0" applyAlignment="1" applyFont="1">
      <alignment vertical="center"/>
    </xf>
    <xf borderId="17" fillId="5" fontId="20" numFmtId="169" xfId="0" applyAlignment="1" applyBorder="1" applyFont="1" applyNumberFormat="1">
      <alignment horizontal="right" readingOrder="0" vertical="center"/>
    </xf>
    <xf borderId="0" fillId="0" fontId="30"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10" fillId="6" fontId="18" numFmtId="0" xfId="0" applyAlignment="1" applyBorder="1" applyFont="1">
      <alignment readingOrder="0"/>
    </xf>
    <xf borderId="10" fillId="6" fontId="13" numFmtId="0" xfId="0" applyBorder="1" applyFont="1"/>
    <xf borderId="0" fillId="0" fontId="13" numFmtId="165" xfId="0" applyFont="1" applyNumberFormat="1"/>
    <xf borderId="27" fillId="0" fontId="17" numFmtId="165" xfId="0" applyAlignment="1" applyBorder="1" applyFont="1" applyNumberFormat="1">
      <alignment readingOrder="0"/>
    </xf>
    <xf borderId="27" fillId="0" fontId="17" numFmtId="165" xfId="0" applyBorder="1" applyFont="1" applyNumberFormat="1"/>
    <xf borderId="28" fillId="0" fontId="17" numFmtId="165" xfId="0" applyAlignment="1" applyBorder="1" applyFont="1" applyNumberFormat="1">
      <alignment readingOrder="0"/>
    </xf>
    <xf borderId="28" fillId="0" fontId="13" numFmtId="165" xfId="0" applyBorder="1" applyFont="1" applyNumberFormat="1"/>
    <xf borderId="28" fillId="0" fontId="17" numFmtId="165" xfId="0" applyBorder="1" applyFont="1" applyNumberFormat="1"/>
    <xf borderId="0" fillId="0" fontId="13" numFmtId="10" xfId="0" applyFont="1" applyNumberFormat="1"/>
    <xf borderId="0" fillId="0" fontId="29" numFmtId="10" xfId="0" applyAlignment="1" applyFont="1" applyNumberFormat="1">
      <alignment readingOrder="0"/>
    </xf>
    <xf borderId="0" fillId="0" fontId="29"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7" fillId="0" fontId="13" numFmtId="165" xfId="0" applyBorder="1" applyFont="1" applyNumberFormat="1"/>
    <xf borderId="0" fillId="0" fontId="17" numFmtId="165" xfId="0" applyFont="1" applyNumberFormat="1"/>
    <xf borderId="27" fillId="0" fontId="13" numFmtId="165" xfId="0" applyAlignment="1" applyBorder="1" applyFont="1" applyNumberFormat="1">
      <alignment readingOrder="0"/>
    </xf>
    <xf borderId="0" fillId="0" fontId="29" numFmtId="0" xfId="0" applyAlignment="1" applyFont="1">
      <alignment readingOrder="0"/>
    </xf>
    <xf borderId="0" fillId="0" fontId="31" numFmtId="165" xfId="0" applyAlignment="1" applyFont="1" applyNumberFormat="1">
      <alignment readingOrder="0"/>
    </xf>
    <xf borderId="29" fillId="0" fontId="29" numFmtId="165" xfId="0" applyAlignment="1" applyBorder="1" applyFont="1" applyNumberFormat="1">
      <alignment readingOrder="0"/>
    </xf>
    <xf borderId="29" fillId="0" fontId="29" numFmtId="165" xfId="0" applyBorder="1" applyFont="1" applyNumberFormat="1"/>
    <xf borderId="29" fillId="0" fontId="13" numFmtId="165" xfId="0" applyBorder="1" applyFont="1" applyNumberFormat="1"/>
    <xf borderId="29" fillId="0" fontId="31" numFmtId="165" xfId="0" applyAlignment="1" applyBorder="1" applyFont="1" applyNumberFormat="1">
      <alignment readingOrder="0"/>
    </xf>
    <xf borderId="29"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CZW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7"/>
      <c r="F7" s="47"/>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47"/>
      <c r="B8" s="51" t="s">
        <v>13</v>
      </c>
      <c r="C8" s="52"/>
      <c r="D8" s="47"/>
      <c r="E8" s="47"/>
      <c r="F8" s="47"/>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outlineLevel="1">
      <c r="A9" s="47"/>
      <c r="B9" s="53"/>
      <c r="C9" s="47"/>
      <c r="D9" s="47"/>
      <c r="E9" s="47"/>
      <c r="F9" s="47"/>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outlineLevel="1">
      <c r="A10" s="47"/>
      <c r="B10" s="54" t="s">
        <v>14</v>
      </c>
      <c r="C10" s="47"/>
      <c r="D10" s="47"/>
      <c r="E10" s="47"/>
      <c r="F10" s="47"/>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outlineLevel="1">
      <c r="A11" s="47"/>
      <c r="B11" s="55" t="s">
        <v>15</v>
      </c>
      <c r="C11" s="47"/>
      <c r="D11" s="56">
        <v>1000.0</v>
      </c>
      <c r="E11" s="47"/>
      <c r="F11" s="47"/>
      <c r="G11" s="57">
        <f t="shared" ref="G11:G12" si="6">D11</f>
        <v>1000</v>
      </c>
      <c r="H11" s="57">
        <f t="shared" ref="H11:BN11" si="5">G11</f>
        <v>1000</v>
      </c>
      <c r="I11" s="57">
        <f t="shared" si="5"/>
        <v>1000</v>
      </c>
      <c r="J11" s="57">
        <f t="shared" si="5"/>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row>
    <row r="12" outlineLevel="1">
      <c r="A12" s="47"/>
      <c r="B12" s="58" t="s">
        <v>16</v>
      </c>
      <c r="C12" s="59"/>
      <c r="D12" s="60">
        <v>0.05</v>
      </c>
      <c r="E12" s="61"/>
      <c r="F12" s="61"/>
      <c r="G12" s="62">
        <f t="shared" si="6"/>
        <v>0.05</v>
      </c>
      <c r="H12" s="62">
        <f t="shared" ref="H12:BN12" si="7">G12</f>
        <v>0.05</v>
      </c>
      <c r="I12" s="62">
        <f t="shared" si="7"/>
        <v>0.05</v>
      </c>
      <c r="J12" s="62">
        <f t="shared" si="7"/>
        <v>0.05</v>
      </c>
      <c r="K12" s="62">
        <f t="shared" si="7"/>
        <v>0.05</v>
      </c>
      <c r="L12" s="62">
        <f t="shared" si="7"/>
        <v>0.05</v>
      </c>
      <c r="M12" s="62">
        <f t="shared" si="7"/>
        <v>0.05</v>
      </c>
      <c r="N12" s="62">
        <f t="shared" si="7"/>
        <v>0.05</v>
      </c>
      <c r="O12" s="62">
        <f t="shared" si="7"/>
        <v>0.05</v>
      </c>
      <c r="P12" s="62">
        <f t="shared" si="7"/>
        <v>0.05</v>
      </c>
      <c r="Q12" s="62">
        <f t="shared" si="7"/>
        <v>0.05</v>
      </c>
      <c r="R12" s="62">
        <f t="shared" si="7"/>
        <v>0.05</v>
      </c>
      <c r="S12" s="62">
        <f t="shared" si="7"/>
        <v>0.05</v>
      </c>
      <c r="T12" s="62">
        <f t="shared" si="7"/>
        <v>0.05</v>
      </c>
      <c r="U12" s="62">
        <f t="shared" si="7"/>
        <v>0.05</v>
      </c>
      <c r="V12" s="62">
        <f t="shared" si="7"/>
        <v>0.05</v>
      </c>
      <c r="W12" s="62">
        <f t="shared" si="7"/>
        <v>0.05</v>
      </c>
      <c r="X12" s="62">
        <f t="shared" si="7"/>
        <v>0.05</v>
      </c>
      <c r="Y12" s="62">
        <f t="shared" si="7"/>
        <v>0.05</v>
      </c>
      <c r="Z12" s="62">
        <f t="shared" si="7"/>
        <v>0.05</v>
      </c>
      <c r="AA12" s="62">
        <f t="shared" si="7"/>
        <v>0.05</v>
      </c>
      <c r="AB12" s="62">
        <f t="shared" si="7"/>
        <v>0.05</v>
      </c>
      <c r="AC12" s="62">
        <f t="shared" si="7"/>
        <v>0.05</v>
      </c>
      <c r="AD12" s="62">
        <f t="shared" si="7"/>
        <v>0.05</v>
      </c>
      <c r="AE12" s="62">
        <f t="shared" si="7"/>
        <v>0.05</v>
      </c>
      <c r="AF12" s="62">
        <f t="shared" si="7"/>
        <v>0.05</v>
      </c>
      <c r="AG12" s="62">
        <f t="shared" si="7"/>
        <v>0.05</v>
      </c>
      <c r="AH12" s="62">
        <f t="shared" si="7"/>
        <v>0.05</v>
      </c>
      <c r="AI12" s="62">
        <f t="shared" si="7"/>
        <v>0.05</v>
      </c>
      <c r="AJ12" s="62">
        <f t="shared" si="7"/>
        <v>0.05</v>
      </c>
      <c r="AK12" s="62">
        <f t="shared" si="7"/>
        <v>0.05</v>
      </c>
      <c r="AL12" s="62">
        <f t="shared" si="7"/>
        <v>0.05</v>
      </c>
      <c r="AM12" s="62">
        <f t="shared" si="7"/>
        <v>0.05</v>
      </c>
      <c r="AN12" s="62">
        <f t="shared" si="7"/>
        <v>0.05</v>
      </c>
      <c r="AO12" s="62">
        <f t="shared" si="7"/>
        <v>0.05</v>
      </c>
      <c r="AP12" s="62">
        <f t="shared" si="7"/>
        <v>0.05</v>
      </c>
      <c r="AQ12" s="62">
        <f t="shared" si="7"/>
        <v>0.05</v>
      </c>
      <c r="AR12" s="62">
        <f t="shared" si="7"/>
        <v>0.05</v>
      </c>
      <c r="AS12" s="62">
        <f t="shared" si="7"/>
        <v>0.05</v>
      </c>
      <c r="AT12" s="62">
        <f t="shared" si="7"/>
        <v>0.05</v>
      </c>
      <c r="AU12" s="62">
        <f t="shared" si="7"/>
        <v>0.05</v>
      </c>
      <c r="AV12" s="62">
        <f t="shared" si="7"/>
        <v>0.05</v>
      </c>
      <c r="AW12" s="62">
        <f t="shared" si="7"/>
        <v>0.05</v>
      </c>
      <c r="AX12" s="62">
        <f t="shared" si="7"/>
        <v>0.05</v>
      </c>
      <c r="AY12" s="62">
        <f t="shared" si="7"/>
        <v>0.05</v>
      </c>
      <c r="AZ12" s="62">
        <f t="shared" si="7"/>
        <v>0.05</v>
      </c>
      <c r="BA12" s="62">
        <f t="shared" si="7"/>
        <v>0.05</v>
      </c>
      <c r="BB12" s="62">
        <f t="shared" si="7"/>
        <v>0.05</v>
      </c>
      <c r="BC12" s="62">
        <f t="shared" si="7"/>
        <v>0.05</v>
      </c>
      <c r="BD12" s="62">
        <f t="shared" si="7"/>
        <v>0.05</v>
      </c>
      <c r="BE12" s="62">
        <f t="shared" si="7"/>
        <v>0.05</v>
      </c>
      <c r="BF12" s="62">
        <f t="shared" si="7"/>
        <v>0.05</v>
      </c>
      <c r="BG12" s="62">
        <f t="shared" si="7"/>
        <v>0.05</v>
      </c>
      <c r="BH12" s="62">
        <f t="shared" si="7"/>
        <v>0.05</v>
      </c>
      <c r="BI12" s="62">
        <f t="shared" si="7"/>
        <v>0.05</v>
      </c>
      <c r="BJ12" s="62">
        <f t="shared" si="7"/>
        <v>0.05</v>
      </c>
      <c r="BK12" s="62">
        <f t="shared" si="7"/>
        <v>0.05</v>
      </c>
      <c r="BL12" s="62">
        <f t="shared" si="7"/>
        <v>0.05</v>
      </c>
      <c r="BM12" s="62">
        <f t="shared" si="7"/>
        <v>0.05</v>
      </c>
      <c r="BN12" s="62">
        <f t="shared" si="7"/>
        <v>0.05</v>
      </c>
    </row>
    <row r="13" outlineLevel="1">
      <c r="A13" s="47"/>
      <c r="B13" s="54" t="s">
        <v>17</v>
      </c>
      <c r="C13" s="47"/>
      <c r="D13" s="63"/>
      <c r="E13" s="64"/>
      <c r="F13" s="64"/>
      <c r="G13" s="63">
        <f t="shared" ref="G13:BN13" si="8">G11*G12</f>
        <v>50</v>
      </c>
      <c r="H13" s="63">
        <f t="shared" si="8"/>
        <v>50</v>
      </c>
      <c r="I13" s="63">
        <f t="shared" si="8"/>
        <v>50</v>
      </c>
      <c r="J13" s="63">
        <f t="shared" si="8"/>
        <v>50</v>
      </c>
      <c r="K13" s="63">
        <f t="shared" si="8"/>
        <v>50</v>
      </c>
      <c r="L13" s="63">
        <f t="shared" si="8"/>
        <v>50</v>
      </c>
      <c r="M13" s="63">
        <f t="shared" si="8"/>
        <v>50</v>
      </c>
      <c r="N13" s="63">
        <f t="shared" si="8"/>
        <v>50</v>
      </c>
      <c r="O13" s="63">
        <f t="shared" si="8"/>
        <v>50</v>
      </c>
      <c r="P13" s="63">
        <f t="shared" si="8"/>
        <v>50</v>
      </c>
      <c r="Q13" s="63">
        <f t="shared" si="8"/>
        <v>50</v>
      </c>
      <c r="R13" s="63">
        <f t="shared" si="8"/>
        <v>50</v>
      </c>
      <c r="S13" s="63">
        <f t="shared" si="8"/>
        <v>50</v>
      </c>
      <c r="T13" s="63">
        <f t="shared" si="8"/>
        <v>50</v>
      </c>
      <c r="U13" s="63">
        <f t="shared" si="8"/>
        <v>50</v>
      </c>
      <c r="V13" s="63">
        <f t="shared" si="8"/>
        <v>50</v>
      </c>
      <c r="W13" s="63">
        <f t="shared" si="8"/>
        <v>50</v>
      </c>
      <c r="X13" s="63">
        <f t="shared" si="8"/>
        <v>50</v>
      </c>
      <c r="Y13" s="63">
        <f t="shared" si="8"/>
        <v>50</v>
      </c>
      <c r="Z13" s="63">
        <f t="shared" si="8"/>
        <v>50</v>
      </c>
      <c r="AA13" s="63">
        <f t="shared" si="8"/>
        <v>50</v>
      </c>
      <c r="AB13" s="63">
        <f t="shared" si="8"/>
        <v>50</v>
      </c>
      <c r="AC13" s="63">
        <f t="shared" si="8"/>
        <v>50</v>
      </c>
      <c r="AD13" s="63">
        <f t="shared" si="8"/>
        <v>50</v>
      </c>
      <c r="AE13" s="63">
        <f t="shared" si="8"/>
        <v>50</v>
      </c>
      <c r="AF13" s="63">
        <f t="shared" si="8"/>
        <v>50</v>
      </c>
      <c r="AG13" s="63">
        <f t="shared" si="8"/>
        <v>50</v>
      </c>
      <c r="AH13" s="63">
        <f t="shared" si="8"/>
        <v>50</v>
      </c>
      <c r="AI13" s="63">
        <f t="shared" si="8"/>
        <v>50</v>
      </c>
      <c r="AJ13" s="63">
        <f t="shared" si="8"/>
        <v>50</v>
      </c>
      <c r="AK13" s="63">
        <f t="shared" si="8"/>
        <v>50</v>
      </c>
      <c r="AL13" s="63">
        <f t="shared" si="8"/>
        <v>50</v>
      </c>
      <c r="AM13" s="63">
        <f t="shared" si="8"/>
        <v>50</v>
      </c>
      <c r="AN13" s="63">
        <f t="shared" si="8"/>
        <v>50</v>
      </c>
      <c r="AO13" s="63">
        <f t="shared" si="8"/>
        <v>50</v>
      </c>
      <c r="AP13" s="63">
        <f t="shared" si="8"/>
        <v>50</v>
      </c>
      <c r="AQ13" s="63">
        <f t="shared" si="8"/>
        <v>50</v>
      </c>
      <c r="AR13" s="63">
        <f t="shared" si="8"/>
        <v>50</v>
      </c>
      <c r="AS13" s="63">
        <f t="shared" si="8"/>
        <v>50</v>
      </c>
      <c r="AT13" s="63">
        <f t="shared" si="8"/>
        <v>50</v>
      </c>
      <c r="AU13" s="63">
        <f t="shared" si="8"/>
        <v>50</v>
      </c>
      <c r="AV13" s="63">
        <f t="shared" si="8"/>
        <v>50</v>
      </c>
      <c r="AW13" s="63">
        <f t="shared" si="8"/>
        <v>50</v>
      </c>
      <c r="AX13" s="63">
        <f t="shared" si="8"/>
        <v>50</v>
      </c>
      <c r="AY13" s="63">
        <f t="shared" si="8"/>
        <v>50</v>
      </c>
      <c r="AZ13" s="63">
        <f t="shared" si="8"/>
        <v>50</v>
      </c>
      <c r="BA13" s="63">
        <f t="shared" si="8"/>
        <v>50</v>
      </c>
      <c r="BB13" s="63">
        <f t="shared" si="8"/>
        <v>50</v>
      </c>
      <c r="BC13" s="63">
        <f t="shared" si="8"/>
        <v>50</v>
      </c>
      <c r="BD13" s="63">
        <f t="shared" si="8"/>
        <v>50</v>
      </c>
      <c r="BE13" s="63">
        <f t="shared" si="8"/>
        <v>50</v>
      </c>
      <c r="BF13" s="63">
        <f t="shared" si="8"/>
        <v>50</v>
      </c>
      <c r="BG13" s="63">
        <f t="shared" si="8"/>
        <v>50</v>
      </c>
      <c r="BH13" s="63">
        <f t="shared" si="8"/>
        <v>50</v>
      </c>
      <c r="BI13" s="63">
        <f t="shared" si="8"/>
        <v>50</v>
      </c>
      <c r="BJ13" s="63">
        <f t="shared" si="8"/>
        <v>50</v>
      </c>
      <c r="BK13" s="63">
        <f t="shared" si="8"/>
        <v>50</v>
      </c>
      <c r="BL13" s="63">
        <f t="shared" si="8"/>
        <v>50</v>
      </c>
      <c r="BM13" s="63">
        <f t="shared" si="8"/>
        <v>50</v>
      </c>
      <c r="BN13" s="63">
        <f t="shared" si="8"/>
        <v>50</v>
      </c>
    </row>
    <row r="14" outlineLevel="1">
      <c r="A14" s="47"/>
      <c r="B14" s="47"/>
      <c r="C14" s="47"/>
      <c r="D14" s="43"/>
      <c r="E14" s="47"/>
      <c r="F14" s="47"/>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outlineLevel="1">
      <c r="A15" s="47"/>
      <c r="B15" s="65" t="s">
        <v>18</v>
      </c>
      <c r="C15" s="47"/>
      <c r="D15" s="43"/>
      <c r="E15" s="47"/>
      <c r="F15" s="47"/>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outlineLevel="1">
      <c r="A16" s="66"/>
      <c r="B16" s="67" t="s">
        <v>19</v>
      </c>
      <c r="C16" s="66"/>
      <c r="D16" s="68">
        <v>5000.0</v>
      </c>
      <c r="E16" s="66"/>
      <c r="F16" s="66"/>
      <c r="G16" s="69">
        <f t="shared" ref="G16:G18" si="10">D16</f>
        <v>5000</v>
      </c>
      <c r="H16" s="69">
        <f t="shared" ref="H16:BN16" si="9">G16</f>
        <v>5000</v>
      </c>
      <c r="I16" s="70">
        <f t="shared" si="9"/>
        <v>5000</v>
      </c>
      <c r="J16" s="70">
        <f t="shared" si="9"/>
        <v>5000</v>
      </c>
      <c r="K16" s="70">
        <f t="shared" si="9"/>
        <v>5000</v>
      </c>
      <c r="L16" s="70">
        <f t="shared" si="9"/>
        <v>5000</v>
      </c>
      <c r="M16" s="70">
        <f t="shared" si="9"/>
        <v>5000</v>
      </c>
      <c r="N16" s="70">
        <f t="shared" si="9"/>
        <v>5000</v>
      </c>
      <c r="O16" s="70">
        <f t="shared" si="9"/>
        <v>5000</v>
      </c>
      <c r="P16" s="70">
        <f t="shared" si="9"/>
        <v>5000</v>
      </c>
      <c r="Q16" s="70">
        <f t="shared" si="9"/>
        <v>5000</v>
      </c>
      <c r="R16" s="70">
        <f t="shared" si="9"/>
        <v>5000</v>
      </c>
      <c r="S16" s="70">
        <f t="shared" si="9"/>
        <v>5000</v>
      </c>
      <c r="T16" s="70">
        <f t="shared" si="9"/>
        <v>5000</v>
      </c>
      <c r="U16" s="70">
        <f t="shared" si="9"/>
        <v>5000</v>
      </c>
      <c r="V16" s="70">
        <f t="shared" si="9"/>
        <v>5000</v>
      </c>
      <c r="W16" s="70">
        <f t="shared" si="9"/>
        <v>5000</v>
      </c>
      <c r="X16" s="70">
        <f t="shared" si="9"/>
        <v>5000</v>
      </c>
      <c r="Y16" s="70">
        <f t="shared" si="9"/>
        <v>5000</v>
      </c>
      <c r="Z16" s="70">
        <f t="shared" si="9"/>
        <v>5000</v>
      </c>
      <c r="AA16" s="70">
        <f t="shared" si="9"/>
        <v>5000</v>
      </c>
      <c r="AB16" s="70">
        <f t="shared" si="9"/>
        <v>5000</v>
      </c>
      <c r="AC16" s="70">
        <f t="shared" si="9"/>
        <v>5000</v>
      </c>
      <c r="AD16" s="70">
        <f t="shared" si="9"/>
        <v>5000</v>
      </c>
      <c r="AE16" s="70">
        <f t="shared" si="9"/>
        <v>5000</v>
      </c>
      <c r="AF16" s="70">
        <f t="shared" si="9"/>
        <v>5000</v>
      </c>
      <c r="AG16" s="70">
        <f t="shared" si="9"/>
        <v>5000</v>
      </c>
      <c r="AH16" s="70">
        <f t="shared" si="9"/>
        <v>5000</v>
      </c>
      <c r="AI16" s="70">
        <f t="shared" si="9"/>
        <v>5000</v>
      </c>
      <c r="AJ16" s="70">
        <f t="shared" si="9"/>
        <v>5000</v>
      </c>
      <c r="AK16" s="70">
        <f t="shared" si="9"/>
        <v>5000</v>
      </c>
      <c r="AL16" s="70">
        <f t="shared" si="9"/>
        <v>5000</v>
      </c>
      <c r="AM16" s="70">
        <f t="shared" si="9"/>
        <v>5000</v>
      </c>
      <c r="AN16" s="70">
        <f t="shared" si="9"/>
        <v>5000</v>
      </c>
      <c r="AO16" s="70">
        <f t="shared" si="9"/>
        <v>5000</v>
      </c>
      <c r="AP16" s="70">
        <f t="shared" si="9"/>
        <v>5000</v>
      </c>
      <c r="AQ16" s="70">
        <f t="shared" si="9"/>
        <v>5000</v>
      </c>
      <c r="AR16" s="70">
        <f t="shared" si="9"/>
        <v>5000</v>
      </c>
      <c r="AS16" s="70">
        <f t="shared" si="9"/>
        <v>5000</v>
      </c>
      <c r="AT16" s="70">
        <f t="shared" si="9"/>
        <v>5000</v>
      </c>
      <c r="AU16" s="70">
        <f t="shared" si="9"/>
        <v>5000</v>
      </c>
      <c r="AV16" s="70">
        <f t="shared" si="9"/>
        <v>5000</v>
      </c>
      <c r="AW16" s="70">
        <f t="shared" si="9"/>
        <v>5000</v>
      </c>
      <c r="AX16" s="70">
        <f t="shared" si="9"/>
        <v>5000</v>
      </c>
      <c r="AY16" s="70">
        <f t="shared" si="9"/>
        <v>5000</v>
      </c>
      <c r="AZ16" s="70">
        <f t="shared" si="9"/>
        <v>5000</v>
      </c>
      <c r="BA16" s="70">
        <f t="shared" si="9"/>
        <v>5000</v>
      </c>
      <c r="BB16" s="70">
        <f t="shared" si="9"/>
        <v>5000</v>
      </c>
      <c r="BC16" s="70">
        <f t="shared" si="9"/>
        <v>5000</v>
      </c>
      <c r="BD16" s="70">
        <f t="shared" si="9"/>
        <v>5000</v>
      </c>
      <c r="BE16" s="70">
        <f t="shared" si="9"/>
        <v>5000</v>
      </c>
      <c r="BF16" s="70">
        <f t="shared" si="9"/>
        <v>5000</v>
      </c>
      <c r="BG16" s="70">
        <f t="shared" si="9"/>
        <v>5000</v>
      </c>
      <c r="BH16" s="70">
        <f t="shared" si="9"/>
        <v>5000</v>
      </c>
      <c r="BI16" s="70">
        <f t="shared" si="9"/>
        <v>5000</v>
      </c>
      <c r="BJ16" s="70">
        <f t="shared" si="9"/>
        <v>5000</v>
      </c>
      <c r="BK16" s="70">
        <f t="shared" si="9"/>
        <v>5000</v>
      </c>
      <c r="BL16" s="70">
        <f t="shared" si="9"/>
        <v>5000</v>
      </c>
      <c r="BM16" s="70">
        <f t="shared" si="9"/>
        <v>5000</v>
      </c>
      <c r="BN16" s="70">
        <f t="shared" si="9"/>
        <v>5000</v>
      </c>
    </row>
    <row r="17" outlineLevel="1">
      <c r="A17" s="66"/>
      <c r="B17" s="67" t="s">
        <v>20</v>
      </c>
      <c r="C17" s="66"/>
      <c r="D17" s="68">
        <v>2.0</v>
      </c>
      <c r="E17" s="66"/>
      <c r="F17" s="66"/>
      <c r="G17" s="69">
        <f t="shared" si="10"/>
        <v>2</v>
      </c>
      <c r="H17" s="69">
        <f t="shared" ref="H17:BN17" si="11">G17</f>
        <v>2</v>
      </c>
      <c r="I17" s="70">
        <f t="shared" si="11"/>
        <v>2</v>
      </c>
      <c r="J17" s="70">
        <f t="shared" si="11"/>
        <v>2</v>
      </c>
      <c r="K17" s="70">
        <f t="shared" si="11"/>
        <v>2</v>
      </c>
      <c r="L17" s="70">
        <f t="shared" si="11"/>
        <v>2</v>
      </c>
      <c r="M17" s="70">
        <f t="shared" si="11"/>
        <v>2</v>
      </c>
      <c r="N17" s="70">
        <f t="shared" si="11"/>
        <v>2</v>
      </c>
      <c r="O17" s="70">
        <f t="shared" si="11"/>
        <v>2</v>
      </c>
      <c r="P17" s="70">
        <f t="shared" si="11"/>
        <v>2</v>
      </c>
      <c r="Q17" s="70">
        <f t="shared" si="11"/>
        <v>2</v>
      </c>
      <c r="R17" s="70">
        <f t="shared" si="11"/>
        <v>2</v>
      </c>
      <c r="S17" s="70">
        <f t="shared" si="11"/>
        <v>2</v>
      </c>
      <c r="T17" s="70">
        <f t="shared" si="11"/>
        <v>2</v>
      </c>
      <c r="U17" s="70">
        <f t="shared" si="11"/>
        <v>2</v>
      </c>
      <c r="V17" s="70">
        <f t="shared" si="11"/>
        <v>2</v>
      </c>
      <c r="W17" s="70">
        <f t="shared" si="11"/>
        <v>2</v>
      </c>
      <c r="X17" s="70">
        <f t="shared" si="11"/>
        <v>2</v>
      </c>
      <c r="Y17" s="70">
        <f t="shared" si="11"/>
        <v>2</v>
      </c>
      <c r="Z17" s="70">
        <f t="shared" si="11"/>
        <v>2</v>
      </c>
      <c r="AA17" s="70">
        <f t="shared" si="11"/>
        <v>2</v>
      </c>
      <c r="AB17" s="70">
        <f t="shared" si="11"/>
        <v>2</v>
      </c>
      <c r="AC17" s="70">
        <f t="shared" si="11"/>
        <v>2</v>
      </c>
      <c r="AD17" s="70">
        <f t="shared" si="11"/>
        <v>2</v>
      </c>
      <c r="AE17" s="70">
        <f t="shared" si="11"/>
        <v>2</v>
      </c>
      <c r="AF17" s="70">
        <f t="shared" si="11"/>
        <v>2</v>
      </c>
      <c r="AG17" s="70">
        <f t="shared" si="11"/>
        <v>2</v>
      </c>
      <c r="AH17" s="70">
        <f t="shared" si="11"/>
        <v>2</v>
      </c>
      <c r="AI17" s="70">
        <f t="shared" si="11"/>
        <v>2</v>
      </c>
      <c r="AJ17" s="70">
        <f t="shared" si="11"/>
        <v>2</v>
      </c>
      <c r="AK17" s="70">
        <f t="shared" si="11"/>
        <v>2</v>
      </c>
      <c r="AL17" s="70">
        <f t="shared" si="11"/>
        <v>2</v>
      </c>
      <c r="AM17" s="70">
        <f t="shared" si="11"/>
        <v>2</v>
      </c>
      <c r="AN17" s="70">
        <f t="shared" si="11"/>
        <v>2</v>
      </c>
      <c r="AO17" s="70">
        <f t="shared" si="11"/>
        <v>2</v>
      </c>
      <c r="AP17" s="70">
        <f t="shared" si="11"/>
        <v>2</v>
      </c>
      <c r="AQ17" s="70">
        <f t="shared" si="11"/>
        <v>2</v>
      </c>
      <c r="AR17" s="70">
        <f t="shared" si="11"/>
        <v>2</v>
      </c>
      <c r="AS17" s="70">
        <f t="shared" si="11"/>
        <v>2</v>
      </c>
      <c r="AT17" s="70">
        <f t="shared" si="11"/>
        <v>2</v>
      </c>
      <c r="AU17" s="70">
        <f t="shared" si="11"/>
        <v>2</v>
      </c>
      <c r="AV17" s="70">
        <f t="shared" si="11"/>
        <v>2</v>
      </c>
      <c r="AW17" s="70">
        <f t="shared" si="11"/>
        <v>2</v>
      </c>
      <c r="AX17" s="70">
        <f t="shared" si="11"/>
        <v>2</v>
      </c>
      <c r="AY17" s="70">
        <f t="shared" si="11"/>
        <v>2</v>
      </c>
      <c r="AZ17" s="70">
        <f t="shared" si="11"/>
        <v>2</v>
      </c>
      <c r="BA17" s="70">
        <f t="shared" si="11"/>
        <v>2</v>
      </c>
      <c r="BB17" s="70">
        <f t="shared" si="11"/>
        <v>2</v>
      </c>
      <c r="BC17" s="70">
        <f t="shared" si="11"/>
        <v>2</v>
      </c>
      <c r="BD17" s="70">
        <f t="shared" si="11"/>
        <v>2</v>
      </c>
      <c r="BE17" s="70">
        <f t="shared" si="11"/>
        <v>2</v>
      </c>
      <c r="BF17" s="70">
        <f t="shared" si="11"/>
        <v>2</v>
      </c>
      <c r="BG17" s="70">
        <f t="shared" si="11"/>
        <v>2</v>
      </c>
      <c r="BH17" s="70">
        <f t="shared" si="11"/>
        <v>2</v>
      </c>
      <c r="BI17" s="70">
        <f t="shared" si="11"/>
        <v>2</v>
      </c>
      <c r="BJ17" s="70">
        <f t="shared" si="11"/>
        <v>2</v>
      </c>
      <c r="BK17" s="70">
        <f t="shared" si="11"/>
        <v>2</v>
      </c>
      <c r="BL17" s="70">
        <f t="shared" si="11"/>
        <v>2</v>
      </c>
      <c r="BM17" s="70">
        <f t="shared" si="11"/>
        <v>2</v>
      </c>
      <c r="BN17" s="70">
        <f t="shared" si="11"/>
        <v>2</v>
      </c>
    </row>
    <row r="18" outlineLevel="1">
      <c r="A18" s="47"/>
      <c r="B18" s="71" t="s">
        <v>16</v>
      </c>
      <c r="C18" s="59"/>
      <c r="D18" s="72">
        <v>0.05</v>
      </c>
      <c r="E18" s="61"/>
      <c r="F18" s="61"/>
      <c r="G18" s="62">
        <f t="shared" si="10"/>
        <v>0.05</v>
      </c>
      <c r="H18" s="62">
        <f t="shared" ref="H18:BN18" si="12">G18</f>
        <v>0.05</v>
      </c>
      <c r="I18" s="62">
        <f t="shared" si="12"/>
        <v>0.05</v>
      </c>
      <c r="J18" s="62">
        <f t="shared" si="12"/>
        <v>0.05</v>
      </c>
      <c r="K18" s="62">
        <f t="shared" si="12"/>
        <v>0.05</v>
      </c>
      <c r="L18" s="62">
        <f t="shared" si="12"/>
        <v>0.05</v>
      </c>
      <c r="M18" s="62">
        <f t="shared" si="12"/>
        <v>0.05</v>
      </c>
      <c r="N18" s="62">
        <f t="shared" si="12"/>
        <v>0.05</v>
      </c>
      <c r="O18" s="62">
        <f t="shared" si="12"/>
        <v>0.05</v>
      </c>
      <c r="P18" s="62">
        <f t="shared" si="12"/>
        <v>0.05</v>
      </c>
      <c r="Q18" s="62">
        <f t="shared" si="12"/>
        <v>0.05</v>
      </c>
      <c r="R18" s="62">
        <f t="shared" si="12"/>
        <v>0.05</v>
      </c>
      <c r="S18" s="62">
        <f t="shared" si="12"/>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row>
    <row r="19" outlineLevel="1">
      <c r="A19" s="47"/>
      <c r="B19" s="73" t="s">
        <v>17</v>
      </c>
      <c r="C19" s="47"/>
      <c r="D19" s="74"/>
      <c r="E19" s="75"/>
      <c r="F19" s="75"/>
      <c r="G19" s="74">
        <f t="shared" ref="G19:BN19" si="13">(G16/G17)*G18</f>
        <v>125</v>
      </c>
      <c r="H19" s="74">
        <f t="shared" si="13"/>
        <v>125</v>
      </c>
      <c r="I19" s="74">
        <f t="shared" si="13"/>
        <v>125</v>
      </c>
      <c r="J19" s="74">
        <f t="shared" si="13"/>
        <v>125</v>
      </c>
      <c r="K19" s="74">
        <f t="shared" si="13"/>
        <v>125</v>
      </c>
      <c r="L19" s="74">
        <f t="shared" si="13"/>
        <v>125</v>
      </c>
      <c r="M19" s="74">
        <f t="shared" si="13"/>
        <v>125</v>
      </c>
      <c r="N19" s="74">
        <f t="shared" si="13"/>
        <v>125</v>
      </c>
      <c r="O19" s="74">
        <f t="shared" si="13"/>
        <v>125</v>
      </c>
      <c r="P19" s="74">
        <f t="shared" si="13"/>
        <v>125</v>
      </c>
      <c r="Q19" s="74">
        <f t="shared" si="13"/>
        <v>125</v>
      </c>
      <c r="R19" s="74">
        <f t="shared" si="13"/>
        <v>125</v>
      </c>
      <c r="S19" s="74">
        <f t="shared" si="13"/>
        <v>125</v>
      </c>
      <c r="T19" s="74">
        <f t="shared" si="13"/>
        <v>125</v>
      </c>
      <c r="U19" s="74">
        <f t="shared" si="13"/>
        <v>125</v>
      </c>
      <c r="V19" s="74">
        <f t="shared" si="13"/>
        <v>125</v>
      </c>
      <c r="W19" s="74">
        <f t="shared" si="13"/>
        <v>125</v>
      </c>
      <c r="X19" s="74">
        <f t="shared" si="13"/>
        <v>125</v>
      </c>
      <c r="Y19" s="74">
        <f t="shared" si="13"/>
        <v>125</v>
      </c>
      <c r="Z19" s="74">
        <f t="shared" si="13"/>
        <v>125</v>
      </c>
      <c r="AA19" s="74">
        <f t="shared" si="13"/>
        <v>125</v>
      </c>
      <c r="AB19" s="74">
        <f t="shared" si="13"/>
        <v>125</v>
      </c>
      <c r="AC19" s="74">
        <f t="shared" si="13"/>
        <v>125</v>
      </c>
      <c r="AD19" s="74">
        <f t="shared" si="13"/>
        <v>125</v>
      </c>
      <c r="AE19" s="74">
        <f t="shared" si="13"/>
        <v>125</v>
      </c>
      <c r="AF19" s="74">
        <f t="shared" si="13"/>
        <v>125</v>
      </c>
      <c r="AG19" s="74">
        <f t="shared" si="13"/>
        <v>125</v>
      </c>
      <c r="AH19" s="74">
        <f t="shared" si="13"/>
        <v>125</v>
      </c>
      <c r="AI19" s="74">
        <f t="shared" si="13"/>
        <v>125</v>
      </c>
      <c r="AJ19" s="74">
        <f t="shared" si="13"/>
        <v>125</v>
      </c>
      <c r="AK19" s="74">
        <f t="shared" si="13"/>
        <v>125</v>
      </c>
      <c r="AL19" s="74">
        <f t="shared" si="13"/>
        <v>125</v>
      </c>
      <c r="AM19" s="74">
        <f t="shared" si="13"/>
        <v>125</v>
      </c>
      <c r="AN19" s="74">
        <f t="shared" si="13"/>
        <v>125</v>
      </c>
      <c r="AO19" s="74">
        <f t="shared" si="13"/>
        <v>125</v>
      </c>
      <c r="AP19" s="74">
        <f t="shared" si="13"/>
        <v>125</v>
      </c>
      <c r="AQ19" s="74">
        <f t="shared" si="13"/>
        <v>125</v>
      </c>
      <c r="AR19" s="74">
        <f t="shared" si="13"/>
        <v>125</v>
      </c>
      <c r="AS19" s="74">
        <f t="shared" si="13"/>
        <v>125</v>
      </c>
      <c r="AT19" s="74">
        <f t="shared" si="13"/>
        <v>125</v>
      </c>
      <c r="AU19" s="74">
        <f t="shared" si="13"/>
        <v>125</v>
      </c>
      <c r="AV19" s="74">
        <f t="shared" si="13"/>
        <v>125</v>
      </c>
      <c r="AW19" s="74">
        <f t="shared" si="13"/>
        <v>125</v>
      </c>
      <c r="AX19" s="74">
        <f t="shared" si="13"/>
        <v>125</v>
      </c>
      <c r="AY19" s="74">
        <f t="shared" si="13"/>
        <v>125</v>
      </c>
      <c r="AZ19" s="74">
        <f t="shared" si="13"/>
        <v>125</v>
      </c>
      <c r="BA19" s="74">
        <f t="shared" si="13"/>
        <v>125</v>
      </c>
      <c r="BB19" s="74">
        <f t="shared" si="13"/>
        <v>125</v>
      </c>
      <c r="BC19" s="74">
        <f t="shared" si="13"/>
        <v>125</v>
      </c>
      <c r="BD19" s="74">
        <f t="shared" si="13"/>
        <v>125</v>
      </c>
      <c r="BE19" s="74">
        <f t="shared" si="13"/>
        <v>125</v>
      </c>
      <c r="BF19" s="74">
        <f t="shared" si="13"/>
        <v>125</v>
      </c>
      <c r="BG19" s="74">
        <f t="shared" si="13"/>
        <v>125</v>
      </c>
      <c r="BH19" s="74">
        <f t="shared" si="13"/>
        <v>125</v>
      </c>
      <c r="BI19" s="74">
        <f t="shared" si="13"/>
        <v>125</v>
      </c>
      <c r="BJ19" s="74">
        <f t="shared" si="13"/>
        <v>125</v>
      </c>
      <c r="BK19" s="74">
        <f t="shared" si="13"/>
        <v>125</v>
      </c>
      <c r="BL19" s="74">
        <f t="shared" si="13"/>
        <v>125</v>
      </c>
      <c r="BM19" s="74">
        <f t="shared" si="13"/>
        <v>125</v>
      </c>
      <c r="BN19" s="74">
        <f t="shared" si="13"/>
        <v>125</v>
      </c>
    </row>
    <row r="20" outlineLevel="1">
      <c r="A20" s="47"/>
      <c r="B20" s="47"/>
      <c r="C20" s="47"/>
      <c r="D20" s="43"/>
      <c r="E20" s="47"/>
      <c r="F20" s="4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outlineLevel="1">
      <c r="A21" s="47"/>
      <c r="B21" s="65" t="s">
        <v>21</v>
      </c>
      <c r="C21" s="47"/>
      <c r="D21" s="43"/>
      <c r="E21" s="47"/>
      <c r="F21" s="47"/>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39" t="s">
        <v>22</v>
      </c>
      <c r="C22" s="47"/>
      <c r="D22" s="76">
        <v>5.0</v>
      </c>
      <c r="E22" s="47"/>
      <c r="F22" s="47"/>
      <c r="G22" s="57">
        <f t="shared" ref="G22:G24" si="15">D22</f>
        <v>5</v>
      </c>
      <c r="H22" s="57">
        <f t="shared" ref="H22:BN22" si="14">G22</f>
        <v>5</v>
      </c>
      <c r="I22" s="57">
        <f t="shared" si="14"/>
        <v>5</v>
      </c>
      <c r="J22" s="57">
        <f t="shared" si="14"/>
        <v>5</v>
      </c>
      <c r="K22" s="57">
        <f t="shared" si="14"/>
        <v>5</v>
      </c>
      <c r="L22" s="57">
        <f t="shared" si="14"/>
        <v>5</v>
      </c>
      <c r="M22" s="57">
        <f t="shared" si="14"/>
        <v>5</v>
      </c>
      <c r="N22" s="57">
        <f t="shared" si="14"/>
        <v>5</v>
      </c>
      <c r="O22" s="57">
        <f t="shared" si="14"/>
        <v>5</v>
      </c>
      <c r="P22" s="57">
        <f t="shared" si="14"/>
        <v>5</v>
      </c>
      <c r="Q22" s="57">
        <f t="shared" si="14"/>
        <v>5</v>
      </c>
      <c r="R22" s="57">
        <f t="shared" si="14"/>
        <v>5</v>
      </c>
      <c r="S22" s="57">
        <f t="shared" si="14"/>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row>
    <row r="23" outlineLevel="1">
      <c r="A23" s="47"/>
      <c r="B23" s="39" t="s">
        <v>23</v>
      </c>
      <c r="C23" s="47"/>
      <c r="D23" s="77">
        <v>50.0</v>
      </c>
      <c r="E23" s="47"/>
      <c r="F23" s="47"/>
      <c r="G23" s="78">
        <f t="shared" si="15"/>
        <v>50</v>
      </c>
      <c r="H23" s="78">
        <f t="shared" ref="H23:BN23" si="16">G23</f>
        <v>50</v>
      </c>
      <c r="I23" s="78">
        <f t="shared" si="16"/>
        <v>50</v>
      </c>
      <c r="J23" s="78">
        <f t="shared" si="16"/>
        <v>50</v>
      </c>
      <c r="K23" s="78">
        <f t="shared" si="16"/>
        <v>50</v>
      </c>
      <c r="L23" s="78">
        <f t="shared" si="16"/>
        <v>50</v>
      </c>
      <c r="M23" s="78">
        <f t="shared" si="16"/>
        <v>50</v>
      </c>
      <c r="N23" s="78">
        <f t="shared" si="16"/>
        <v>50</v>
      </c>
      <c r="O23" s="78">
        <f t="shared" si="16"/>
        <v>50</v>
      </c>
      <c r="P23" s="78">
        <f t="shared" si="16"/>
        <v>50</v>
      </c>
      <c r="Q23" s="78">
        <f t="shared" si="16"/>
        <v>50</v>
      </c>
      <c r="R23" s="78">
        <f t="shared" si="16"/>
        <v>50</v>
      </c>
      <c r="S23" s="78">
        <f t="shared" si="16"/>
        <v>50</v>
      </c>
      <c r="T23" s="78">
        <f t="shared" si="16"/>
        <v>50</v>
      </c>
      <c r="U23" s="78">
        <f t="shared" si="16"/>
        <v>50</v>
      </c>
      <c r="V23" s="78">
        <f t="shared" si="16"/>
        <v>50</v>
      </c>
      <c r="W23" s="78">
        <f t="shared" si="16"/>
        <v>50</v>
      </c>
      <c r="X23" s="78">
        <f t="shared" si="16"/>
        <v>50</v>
      </c>
      <c r="Y23" s="78">
        <f t="shared" si="16"/>
        <v>50</v>
      </c>
      <c r="Z23" s="78">
        <f t="shared" si="16"/>
        <v>50</v>
      </c>
      <c r="AA23" s="78">
        <f t="shared" si="16"/>
        <v>50</v>
      </c>
      <c r="AB23" s="78">
        <f t="shared" si="16"/>
        <v>50</v>
      </c>
      <c r="AC23" s="78">
        <f t="shared" si="16"/>
        <v>50</v>
      </c>
      <c r="AD23" s="78">
        <f t="shared" si="16"/>
        <v>50</v>
      </c>
      <c r="AE23" s="78">
        <f t="shared" si="16"/>
        <v>50</v>
      </c>
      <c r="AF23" s="78">
        <f t="shared" si="16"/>
        <v>50</v>
      </c>
      <c r="AG23" s="78">
        <f t="shared" si="16"/>
        <v>50</v>
      </c>
      <c r="AH23" s="78">
        <f t="shared" si="16"/>
        <v>50</v>
      </c>
      <c r="AI23" s="78">
        <f t="shared" si="16"/>
        <v>50</v>
      </c>
      <c r="AJ23" s="78">
        <f t="shared" si="16"/>
        <v>50</v>
      </c>
      <c r="AK23" s="78">
        <f t="shared" si="16"/>
        <v>50</v>
      </c>
      <c r="AL23" s="78">
        <f t="shared" si="16"/>
        <v>50</v>
      </c>
      <c r="AM23" s="78">
        <f t="shared" si="16"/>
        <v>50</v>
      </c>
      <c r="AN23" s="78">
        <f t="shared" si="16"/>
        <v>50</v>
      </c>
      <c r="AO23" s="78">
        <f t="shared" si="16"/>
        <v>50</v>
      </c>
      <c r="AP23" s="78">
        <f t="shared" si="16"/>
        <v>50</v>
      </c>
      <c r="AQ23" s="78">
        <f t="shared" si="16"/>
        <v>50</v>
      </c>
      <c r="AR23" s="78">
        <f t="shared" si="16"/>
        <v>50</v>
      </c>
      <c r="AS23" s="78">
        <f t="shared" si="16"/>
        <v>50</v>
      </c>
      <c r="AT23" s="78">
        <f t="shared" si="16"/>
        <v>50</v>
      </c>
      <c r="AU23" s="78">
        <f t="shared" si="16"/>
        <v>50</v>
      </c>
      <c r="AV23" s="78">
        <f t="shared" si="16"/>
        <v>50</v>
      </c>
      <c r="AW23" s="78">
        <f t="shared" si="16"/>
        <v>50</v>
      </c>
      <c r="AX23" s="78">
        <f t="shared" si="16"/>
        <v>50</v>
      </c>
      <c r="AY23" s="78">
        <f t="shared" si="16"/>
        <v>50</v>
      </c>
      <c r="AZ23" s="78">
        <f t="shared" si="16"/>
        <v>50</v>
      </c>
      <c r="BA23" s="78">
        <f t="shared" si="16"/>
        <v>50</v>
      </c>
      <c r="BB23" s="78">
        <f t="shared" si="16"/>
        <v>50</v>
      </c>
      <c r="BC23" s="78">
        <f t="shared" si="16"/>
        <v>50</v>
      </c>
      <c r="BD23" s="78">
        <f t="shared" si="16"/>
        <v>50</v>
      </c>
      <c r="BE23" s="78">
        <f t="shared" si="16"/>
        <v>50</v>
      </c>
      <c r="BF23" s="78">
        <f t="shared" si="16"/>
        <v>50</v>
      </c>
      <c r="BG23" s="78">
        <f t="shared" si="16"/>
        <v>50</v>
      </c>
      <c r="BH23" s="78">
        <f t="shared" si="16"/>
        <v>50</v>
      </c>
      <c r="BI23" s="78">
        <f t="shared" si="16"/>
        <v>50</v>
      </c>
      <c r="BJ23" s="78">
        <f t="shared" si="16"/>
        <v>50</v>
      </c>
      <c r="BK23" s="78">
        <f t="shared" si="16"/>
        <v>50</v>
      </c>
      <c r="BL23" s="78">
        <f t="shared" si="16"/>
        <v>50</v>
      </c>
      <c r="BM23" s="78">
        <f t="shared" si="16"/>
        <v>50</v>
      </c>
      <c r="BN23" s="78">
        <f t="shared" si="16"/>
        <v>50</v>
      </c>
    </row>
    <row r="24" outlineLevel="1">
      <c r="A24" s="47"/>
      <c r="B24" s="71" t="s">
        <v>16</v>
      </c>
      <c r="C24" s="59"/>
      <c r="D24" s="72">
        <v>0.05</v>
      </c>
      <c r="E24" s="61"/>
      <c r="F24" s="61"/>
      <c r="G24" s="62">
        <f t="shared" si="15"/>
        <v>0.05</v>
      </c>
      <c r="H24" s="62">
        <f t="shared" ref="H24:BN24" si="17">G24</f>
        <v>0.05</v>
      </c>
      <c r="I24" s="62">
        <f t="shared" si="17"/>
        <v>0.05</v>
      </c>
      <c r="J24" s="62">
        <f t="shared" si="17"/>
        <v>0.05</v>
      </c>
      <c r="K24" s="62">
        <f t="shared" si="17"/>
        <v>0.05</v>
      </c>
      <c r="L24" s="62">
        <f t="shared" si="17"/>
        <v>0.05</v>
      </c>
      <c r="M24" s="62">
        <f t="shared" si="17"/>
        <v>0.05</v>
      </c>
      <c r="N24" s="62">
        <f t="shared" si="17"/>
        <v>0.05</v>
      </c>
      <c r="O24" s="62">
        <f t="shared" si="17"/>
        <v>0.05</v>
      </c>
      <c r="P24" s="62">
        <f t="shared" si="17"/>
        <v>0.05</v>
      </c>
      <c r="Q24" s="62">
        <f t="shared" si="17"/>
        <v>0.05</v>
      </c>
      <c r="R24" s="62">
        <f t="shared" si="17"/>
        <v>0.05</v>
      </c>
      <c r="S24" s="62">
        <f t="shared" si="17"/>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row>
    <row r="25" outlineLevel="1">
      <c r="A25" s="47"/>
      <c r="B25" s="73" t="s">
        <v>17</v>
      </c>
      <c r="C25" s="47"/>
      <c r="D25" s="63"/>
      <c r="E25" s="64"/>
      <c r="F25" s="64"/>
      <c r="G25" s="63">
        <f t="shared" ref="G25:BN25" si="18">G22*G23*G24</f>
        <v>12.5</v>
      </c>
      <c r="H25" s="63">
        <f t="shared" si="18"/>
        <v>12.5</v>
      </c>
      <c r="I25" s="63">
        <f t="shared" si="18"/>
        <v>12.5</v>
      </c>
      <c r="J25" s="63">
        <f t="shared" si="18"/>
        <v>12.5</v>
      </c>
      <c r="K25" s="63">
        <f t="shared" si="18"/>
        <v>12.5</v>
      </c>
      <c r="L25" s="63">
        <f t="shared" si="18"/>
        <v>12.5</v>
      </c>
      <c r="M25" s="63">
        <f t="shared" si="18"/>
        <v>12.5</v>
      </c>
      <c r="N25" s="63">
        <f t="shared" si="18"/>
        <v>12.5</v>
      </c>
      <c r="O25" s="63">
        <f t="shared" si="18"/>
        <v>12.5</v>
      </c>
      <c r="P25" s="63">
        <f t="shared" si="18"/>
        <v>12.5</v>
      </c>
      <c r="Q25" s="63">
        <f t="shared" si="18"/>
        <v>12.5</v>
      </c>
      <c r="R25" s="63">
        <f t="shared" si="18"/>
        <v>12.5</v>
      </c>
      <c r="S25" s="63">
        <f t="shared" si="18"/>
        <v>12.5</v>
      </c>
      <c r="T25" s="63">
        <f t="shared" si="18"/>
        <v>12.5</v>
      </c>
      <c r="U25" s="63">
        <f t="shared" si="18"/>
        <v>12.5</v>
      </c>
      <c r="V25" s="63">
        <f t="shared" si="18"/>
        <v>12.5</v>
      </c>
      <c r="W25" s="63">
        <f t="shared" si="18"/>
        <v>12.5</v>
      </c>
      <c r="X25" s="63">
        <f t="shared" si="18"/>
        <v>12.5</v>
      </c>
      <c r="Y25" s="63">
        <f t="shared" si="18"/>
        <v>12.5</v>
      </c>
      <c r="Z25" s="63">
        <f t="shared" si="18"/>
        <v>12.5</v>
      </c>
      <c r="AA25" s="63">
        <f t="shared" si="18"/>
        <v>12.5</v>
      </c>
      <c r="AB25" s="63">
        <f t="shared" si="18"/>
        <v>12.5</v>
      </c>
      <c r="AC25" s="63">
        <f t="shared" si="18"/>
        <v>12.5</v>
      </c>
      <c r="AD25" s="63">
        <f t="shared" si="18"/>
        <v>12.5</v>
      </c>
      <c r="AE25" s="63">
        <f t="shared" si="18"/>
        <v>12.5</v>
      </c>
      <c r="AF25" s="63">
        <f t="shared" si="18"/>
        <v>12.5</v>
      </c>
      <c r="AG25" s="63">
        <f t="shared" si="18"/>
        <v>12.5</v>
      </c>
      <c r="AH25" s="63">
        <f t="shared" si="18"/>
        <v>12.5</v>
      </c>
      <c r="AI25" s="63">
        <f t="shared" si="18"/>
        <v>12.5</v>
      </c>
      <c r="AJ25" s="63">
        <f t="shared" si="18"/>
        <v>12.5</v>
      </c>
      <c r="AK25" s="63">
        <f t="shared" si="18"/>
        <v>12.5</v>
      </c>
      <c r="AL25" s="63">
        <f t="shared" si="18"/>
        <v>12.5</v>
      </c>
      <c r="AM25" s="63">
        <f t="shared" si="18"/>
        <v>12.5</v>
      </c>
      <c r="AN25" s="63">
        <f t="shared" si="18"/>
        <v>12.5</v>
      </c>
      <c r="AO25" s="63">
        <f t="shared" si="18"/>
        <v>12.5</v>
      </c>
      <c r="AP25" s="63">
        <f t="shared" si="18"/>
        <v>12.5</v>
      </c>
      <c r="AQ25" s="63">
        <f t="shared" si="18"/>
        <v>12.5</v>
      </c>
      <c r="AR25" s="63">
        <f t="shared" si="18"/>
        <v>12.5</v>
      </c>
      <c r="AS25" s="63">
        <f t="shared" si="18"/>
        <v>12.5</v>
      </c>
      <c r="AT25" s="63">
        <f t="shared" si="18"/>
        <v>12.5</v>
      </c>
      <c r="AU25" s="63">
        <f t="shared" si="18"/>
        <v>12.5</v>
      </c>
      <c r="AV25" s="63">
        <f t="shared" si="18"/>
        <v>12.5</v>
      </c>
      <c r="AW25" s="63">
        <f t="shared" si="18"/>
        <v>12.5</v>
      </c>
      <c r="AX25" s="63">
        <f t="shared" si="18"/>
        <v>12.5</v>
      </c>
      <c r="AY25" s="63">
        <f t="shared" si="18"/>
        <v>12.5</v>
      </c>
      <c r="AZ25" s="63">
        <f t="shared" si="18"/>
        <v>12.5</v>
      </c>
      <c r="BA25" s="63">
        <f t="shared" si="18"/>
        <v>12.5</v>
      </c>
      <c r="BB25" s="63">
        <f t="shared" si="18"/>
        <v>12.5</v>
      </c>
      <c r="BC25" s="63">
        <f t="shared" si="18"/>
        <v>12.5</v>
      </c>
      <c r="BD25" s="63">
        <f t="shared" si="18"/>
        <v>12.5</v>
      </c>
      <c r="BE25" s="63">
        <f t="shared" si="18"/>
        <v>12.5</v>
      </c>
      <c r="BF25" s="63">
        <f t="shared" si="18"/>
        <v>12.5</v>
      </c>
      <c r="BG25" s="63">
        <f t="shared" si="18"/>
        <v>12.5</v>
      </c>
      <c r="BH25" s="63">
        <f t="shared" si="18"/>
        <v>12.5</v>
      </c>
      <c r="BI25" s="63">
        <f t="shared" si="18"/>
        <v>12.5</v>
      </c>
      <c r="BJ25" s="63">
        <f t="shared" si="18"/>
        <v>12.5</v>
      </c>
      <c r="BK25" s="63">
        <f t="shared" si="18"/>
        <v>12.5</v>
      </c>
      <c r="BL25" s="63">
        <f t="shared" si="18"/>
        <v>12.5</v>
      </c>
      <c r="BM25" s="63">
        <f t="shared" si="18"/>
        <v>12.5</v>
      </c>
      <c r="BN25" s="63">
        <f t="shared" si="18"/>
        <v>12.5</v>
      </c>
    </row>
    <row r="26" outlineLevel="1">
      <c r="A26" s="47"/>
      <c r="B26" s="65"/>
      <c r="C26" s="47"/>
      <c r="D26" s="43"/>
      <c r="E26" s="47"/>
      <c r="F26" s="47"/>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outlineLevel="1">
      <c r="A27" s="47"/>
      <c r="B27" s="65" t="s">
        <v>24</v>
      </c>
      <c r="C27" s="47"/>
      <c r="D27" s="43"/>
      <c r="E27" s="47"/>
      <c r="F27" s="47"/>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outlineLevel="1">
      <c r="A28" s="47"/>
      <c r="B28" s="39" t="s">
        <v>25</v>
      </c>
      <c r="C28" s="47"/>
      <c r="D28" s="76">
        <v>1.0</v>
      </c>
      <c r="E28" s="47"/>
      <c r="F28" s="47"/>
      <c r="G28" s="76">
        <v>1.0</v>
      </c>
      <c r="H28" s="76">
        <v>0.0</v>
      </c>
      <c r="I28" s="76">
        <v>0.0</v>
      </c>
      <c r="J28" s="76">
        <v>0.0</v>
      </c>
      <c r="K28" s="76">
        <v>0.0</v>
      </c>
      <c r="L28" s="76">
        <v>0.0</v>
      </c>
      <c r="M28" s="76">
        <v>0.0</v>
      </c>
      <c r="N28" s="76">
        <v>0.0</v>
      </c>
      <c r="O28" s="76">
        <v>0.0</v>
      </c>
      <c r="P28" s="76">
        <v>0.0</v>
      </c>
      <c r="Q28" s="76">
        <v>0.0</v>
      </c>
      <c r="R28" s="76">
        <v>0.0</v>
      </c>
      <c r="S28" s="76">
        <v>0.0</v>
      </c>
      <c r="T28" s="76">
        <v>0.0</v>
      </c>
      <c r="U28" s="76">
        <v>0.0</v>
      </c>
      <c r="V28" s="76">
        <v>0.0</v>
      </c>
      <c r="W28" s="76">
        <v>0.0</v>
      </c>
      <c r="X28" s="76">
        <v>0.0</v>
      </c>
      <c r="Y28" s="76">
        <v>0.0</v>
      </c>
      <c r="Z28" s="76">
        <v>0.0</v>
      </c>
      <c r="AA28" s="76">
        <v>0.0</v>
      </c>
      <c r="AB28" s="76">
        <v>0.0</v>
      </c>
      <c r="AC28" s="76">
        <v>0.0</v>
      </c>
      <c r="AD28" s="76">
        <v>0.0</v>
      </c>
      <c r="AE28" s="76">
        <v>0.0</v>
      </c>
      <c r="AF28" s="76">
        <v>0.0</v>
      </c>
      <c r="AG28" s="76">
        <v>0.0</v>
      </c>
      <c r="AH28" s="76">
        <v>0.0</v>
      </c>
      <c r="AI28" s="76">
        <v>0.0</v>
      </c>
      <c r="AJ28" s="76">
        <v>0.0</v>
      </c>
      <c r="AK28" s="76">
        <v>0.0</v>
      </c>
      <c r="AL28" s="76">
        <v>0.0</v>
      </c>
      <c r="AM28" s="76">
        <v>0.0</v>
      </c>
      <c r="AN28" s="76">
        <v>0.0</v>
      </c>
      <c r="AO28" s="76">
        <v>0.0</v>
      </c>
      <c r="AP28" s="76">
        <v>0.0</v>
      </c>
      <c r="AQ28" s="76">
        <v>0.0</v>
      </c>
      <c r="AR28" s="76">
        <v>0.0</v>
      </c>
      <c r="AS28" s="76">
        <v>0.0</v>
      </c>
      <c r="AT28" s="76">
        <v>0.0</v>
      </c>
      <c r="AU28" s="76">
        <v>0.0</v>
      </c>
      <c r="AV28" s="76">
        <v>0.0</v>
      </c>
      <c r="AW28" s="76">
        <v>0.0</v>
      </c>
      <c r="AX28" s="76">
        <v>0.0</v>
      </c>
      <c r="AY28" s="76">
        <v>0.0</v>
      </c>
      <c r="AZ28" s="76">
        <v>0.0</v>
      </c>
      <c r="BA28" s="76">
        <v>0.0</v>
      </c>
      <c r="BB28" s="76">
        <v>0.0</v>
      </c>
      <c r="BC28" s="76">
        <v>0.0</v>
      </c>
      <c r="BD28" s="76">
        <v>0.0</v>
      </c>
      <c r="BE28" s="76">
        <v>0.0</v>
      </c>
      <c r="BF28" s="76">
        <v>0.0</v>
      </c>
      <c r="BG28" s="76">
        <v>0.0</v>
      </c>
      <c r="BH28" s="76">
        <v>0.0</v>
      </c>
      <c r="BI28" s="76">
        <v>0.0</v>
      </c>
      <c r="BJ28" s="76">
        <v>0.0</v>
      </c>
      <c r="BK28" s="76">
        <v>0.0</v>
      </c>
      <c r="BL28" s="76">
        <v>0.0</v>
      </c>
      <c r="BM28" s="76">
        <v>0.0</v>
      </c>
      <c r="BN28" s="76">
        <v>0.0</v>
      </c>
    </row>
    <row r="29" outlineLevel="1">
      <c r="A29" s="47"/>
      <c r="B29" s="39" t="s">
        <v>26</v>
      </c>
      <c r="C29" s="47"/>
      <c r="D29" s="76">
        <v>50.0</v>
      </c>
      <c r="E29" s="47"/>
      <c r="F29" s="47"/>
      <c r="G29" s="79">
        <f t="shared" ref="G29:G30" si="20">D29</f>
        <v>50</v>
      </c>
      <c r="H29" s="79">
        <f t="shared" ref="H29:BN29" si="19">G29</f>
        <v>50</v>
      </c>
      <c r="I29" s="79">
        <f t="shared" si="19"/>
        <v>50</v>
      </c>
      <c r="J29" s="79">
        <f t="shared" si="19"/>
        <v>50</v>
      </c>
      <c r="K29" s="79">
        <f t="shared" si="19"/>
        <v>50</v>
      </c>
      <c r="L29" s="79">
        <f t="shared" si="19"/>
        <v>50</v>
      </c>
      <c r="M29" s="79">
        <f t="shared" si="19"/>
        <v>50</v>
      </c>
      <c r="N29" s="79">
        <f t="shared" si="19"/>
        <v>50</v>
      </c>
      <c r="O29" s="79">
        <f t="shared" si="19"/>
        <v>50</v>
      </c>
      <c r="P29" s="79">
        <f t="shared" si="19"/>
        <v>50</v>
      </c>
      <c r="Q29" s="79">
        <f t="shared" si="19"/>
        <v>50</v>
      </c>
      <c r="R29" s="79">
        <f t="shared" si="19"/>
        <v>50</v>
      </c>
      <c r="S29" s="79">
        <f t="shared" si="19"/>
        <v>50</v>
      </c>
      <c r="T29" s="79">
        <f t="shared" si="19"/>
        <v>50</v>
      </c>
      <c r="U29" s="79">
        <f t="shared" si="19"/>
        <v>50</v>
      </c>
      <c r="V29" s="79">
        <f t="shared" si="19"/>
        <v>50</v>
      </c>
      <c r="W29" s="79">
        <f t="shared" si="19"/>
        <v>50</v>
      </c>
      <c r="X29" s="79">
        <f t="shared" si="19"/>
        <v>50</v>
      </c>
      <c r="Y29" s="79">
        <f t="shared" si="19"/>
        <v>50</v>
      </c>
      <c r="Z29" s="79">
        <f t="shared" si="19"/>
        <v>50</v>
      </c>
      <c r="AA29" s="79">
        <f t="shared" si="19"/>
        <v>50</v>
      </c>
      <c r="AB29" s="79">
        <f t="shared" si="19"/>
        <v>50</v>
      </c>
      <c r="AC29" s="79">
        <f t="shared" si="19"/>
        <v>50</v>
      </c>
      <c r="AD29" s="79">
        <f t="shared" si="19"/>
        <v>50</v>
      </c>
      <c r="AE29" s="79">
        <f t="shared" si="19"/>
        <v>50</v>
      </c>
      <c r="AF29" s="79">
        <f t="shared" si="19"/>
        <v>50</v>
      </c>
      <c r="AG29" s="79">
        <f t="shared" si="19"/>
        <v>50</v>
      </c>
      <c r="AH29" s="79">
        <f t="shared" si="19"/>
        <v>50</v>
      </c>
      <c r="AI29" s="79">
        <f t="shared" si="19"/>
        <v>50</v>
      </c>
      <c r="AJ29" s="79">
        <f t="shared" si="19"/>
        <v>50</v>
      </c>
      <c r="AK29" s="79">
        <f t="shared" si="19"/>
        <v>50</v>
      </c>
      <c r="AL29" s="79">
        <f t="shared" si="19"/>
        <v>50</v>
      </c>
      <c r="AM29" s="79">
        <f t="shared" si="19"/>
        <v>50</v>
      </c>
      <c r="AN29" s="79">
        <f t="shared" si="19"/>
        <v>50</v>
      </c>
      <c r="AO29" s="79">
        <f t="shared" si="19"/>
        <v>50</v>
      </c>
      <c r="AP29" s="79">
        <f t="shared" si="19"/>
        <v>50</v>
      </c>
      <c r="AQ29" s="79">
        <f t="shared" si="19"/>
        <v>50</v>
      </c>
      <c r="AR29" s="79">
        <f t="shared" si="19"/>
        <v>50</v>
      </c>
      <c r="AS29" s="79">
        <f t="shared" si="19"/>
        <v>50</v>
      </c>
      <c r="AT29" s="79">
        <f t="shared" si="19"/>
        <v>50</v>
      </c>
      <c r="AU29" s="79">
        <f t="shared" si="19"/>
        <v>50</v>
      </c>
      <c r="AV29" s="79">
        <f t="shared" si="19"/>
        <v>50</v>
      </c>
      <c r="AW29" s="79">
        <f t="shared" si="19"/>
        <v>50</v>
      </c>
      <c r="AX29" s="79">
        <f t="shared" si="19"/>
        <v>50</v>
      </c>
      <c r="AY29" s="79">
        <f t="shared" si="19"/>
        <v>50</v>
      </c>
      <c r="AZ29" s="79">
        <f t="shared" si="19"/>
        <v>50</v>
      </c>
      <c r="BA29" s="79">
        <f t="shared" si="19"/>
        <v>50</v>
      </c>
      <c r="BB29" s="79">
        <f t="shared" si="19"/>
        <v>50</v>
      </c>
      <c r="BC29" s="79">
        <f t="shared" si="19"/>
        <v>50</v>
      </c>
      <c r="BD29" s="79">
        <f t="shared" si="19"/>
        <v>50</v>
      </c>
      <c r="BE29" s="79">
        <f t="shared" si="19"/>
        <v>50</v>
      </c>
      <c r="BF29" s="79">
        <f t="shared" si="19"/>
        <v>50</v>
      </c>
      <c r="BG29" s="79">
        <f t="shared" si="19"/>
        <v>50</v>
      </c>
      <c r="BH29" s="79">
        <f t="shared" si="19"/>
        <v>50</v>
      </c>
      <c r="BI29" s="79">
        <f t="shared" si="19"/>
        <v>50</v>
      </c>
      <c r="BJ29" s="79">
        <f t="shared" si="19"/>
        <v>50</v>
      </c>
      <c r="BK29" s="79">
        <f t="shared" si="19"/>
        <v>50</v>
      </c>
      <c r="BL29" s="79">
        <f t="shared" si="19"/>
        <v>50</v>
      </c>
      <c r="BM29" s="79">
        <f t="shared" si="19"/>
        <v>50</v>
      </c>
      <c r="BN29" s="79">
        <f t="shared" si="19"/>
        <v>50</v>
      </c>
    </row>
    <row r="30" outlineLevel="1">
      <c r="A30" s="47"/>
      <c r="B30" s="71" t="s">
        <v>16</v>
      </c>
      <c r="C30" s="59"/>
      <c r="D30" s="72">
        <v>0.05</v>
      </c>
      <c r="E30" s="61"/>
      <c r="F30" s="61"/>
      <c r="G30" s="62">
        <f t="shared" si="20"/>
        <v>0.05</v>
      </c>
      <c r="H30" s="62">
        <f t="shared" ref="H30:BN30" si="21">G30</f>
        <v>0.05</v>
      </c>
      <c r="I30" s="62">
        <f t="shared" si="21"/>
        <v>0.05</v>
      </c>
      <c r="J30" s="62">
        <f t="shared" si="21"/>
        <v>0.05</v>
      </c>
      <c r="K30" s="62">
        <f t="shared" si="21"/>
        <v>0.05</v>
      </c>
      <c r="L30" s="62">
        <f t="shared" si="21"/>
        <v>0.05</v>
      </c>
      <c r="M30" s="62">
        <f t="shared" si="21"/>
        <v>0.05</v>
      </c>
      <c r="N30" s="62">
        <f t="shared" si="21"/>
        <v>0.05</v>
      </c>
      <c r="O30" s="62">
        <f t="shared" si="21"/>
        <v>0.05</v>
      </c>
      <c r="P30" s="62">
        <f t="shared" si="21"/>
        <v>0.05</v>
      </c>
      <c r="Q30" s="62">
        <f t="shared" si="21"/>
        <v>0.05</v>
      </c>
      <c r="R30" s="62">
        <f t="shared" si="21"/>
        <v>0.05</v>
      </c>
      <c r="S30" s="62">
        <f t="shared" si="21"/>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row>
    <row r="31" outlineLevel="1">
      <c r="A31" s="47"/>
      <c r="B31" s="73" t="s">
        <v>17</v>
      </c>
      <c r="C31" s="47"/>
      <c r="D31" s="63"/>
      <c r="E31" s="64"/>
      <c r="F31" s="64"/>
      <c r="G31" s="63">
        <f t="shared" ref="G31:BN31" si="22">G28*G29*G30</f>
        <v>2.5</v>
      </c>
      <c r="H31" s="63">
        <f t="shared" si="22"/>
        <v>0</v>
      </c>
      <c r="I31" s="63">
        <f t="shared" si="22"/>
        <v>0</v>
      </c>
      <c r="J31" s="63">
        <f t="shared" si="22"/>
        <v>0</v>
      </c>
      <c r="K31" s="63">
        <f t="shared" si="22"/>
        <v>0</v>
      </c>
      <c r="L31" s="63">
        <f t="shared" si="22"/>
        <v>0</v>
      </c>
      <c r="M31" s="63">
        <f t="shared" si="22"/>
        <v>0</v>
      </c>
      <c r="N31" s="63">
        <f t="shared" si="22"/>
        <v>0</v>
      </c>
      <c r="O31" s="63">
        <f t="shared" si="22"/>
        <v>0</v>
      </c>
      <c r="P31" s="63">
        <f t="shared" si="22"/>
        <v>0</v>
      </c>
      <c r="Q31" s="63">
        <f t="shared" si="22"/>
        <v>0</v>
      </c>
      <c r="R31" s="63">
        <f t="shared" si="22"/>
        <v>0</v>
      </c>
      <c r="S31" s="63">
        <f t="shared" si="22"/>
        <v>0</v>
      </c>
      <c r="T31" s="63">
        <f t="shared" si="22"/>
        <v>0</v>
      </c>
      <c r="U31" s="63">
        <f t="shared" si="22"/>
        <v>0</v>
      </c>
      <c r="V31" s="63">
        <f t="shared" si="22"/>
        <v>0</v>
      </c>
      <c r="W31" s="63">
        <f t="shared" si="22"/>
        <v>0</v>
      </c>
      <c r="X31" s="63">
        <f t="shared" si="22"/>
        <v>0</v>
      </c>
      <c r="Y31" s="63">
        <f t="shared" si="22"/>
        <v>0</v>
      </c>
      <c r="Z31" s="63">
        <f t="shared" si="22"/>
        <v>0</v>
      </c>
      <c r="AA31" s="63">
        <f t="shared" si="22"/>
        <v>0</v>
      </c>
      <c r="AB31" s="63">
        <f t="shared" si="22"/>
        <v>0</v>
      </c>
      <c r="AC31" s="63">
        <f t="shared" si="22"/>
        <v>0</v>
      </c>
      <c r="AD31" s="63">
        <f t="shared" si="22"/>
        <v>0</v>
      </c>
      <c r="AE31" s="63">
        <f t="shared" si="22"/>
        <v>0</v>
      </c>
      <c r="AF31" s="63">
        <f t="shared" si="22"/>
        <v>0</v>
      </c>
      <c r="AG31" s="63">
        <f t="shared" si="22"/>
        <v>0</v>
      </c>
      <c r="AH31" s="63">
        <f t="shared" si="22"/>
        <v>0</v>
      </c>
      <c r="AI31" s="63">
        <f t="shared" si="22"/>
        <v>0</v>
      </c>
      <c r="AJ31" s="63">
        <f t="shared" si="22"/>
        <v>0</v>
      </c>
      <c r="AK31" s="63">
        <f t="shared" si="22"/>
        <v>0</v>
      </c>
      <c r="AL31" s="63">
        <f t="shared" si="22"/>
        <v>0</v>
      </c>
      <c r="AM31" s="63">
        <f t="shared" si="22"/>
        <v>0</v>
      </c>
      <c r="AN31" s="63">
        <f t="shared" si="22"/>
        <v>0</v>
      </c>
      <c r="AO31" s="63">
        <f t="shared" si="22"/>
        <v>0</v>
      </c>
      <c r="AP31" s="63">
        <f t="shared" si="22"/>
        <v>0</v>
      </c>
      <c r="AQ31" s="63">
        <f t="shared" si="22"/>
        <v>0</v>
      </c>
      <c r="AR31" s="63">
        <f t="shared" si="22"/>
        <v>0</v>
      </c>
      <c r="AS31" s="63">
        <f t="shared" si="22"/>
        <v>0</v>
      </c>
      <c r="AT31" s="63">
        <f t="shared" si="22"/>
        <v>0</v>
      </c>
      <c r="AU31" s="63">
        <f t="shared" si="22"/>
        <v>0</v>
      </c>
      <c r="AV31" s="63">
        <f t="shared" si="22"/>
        <v>0</v>
      </c>
      <c r="AW31" s="63">
        <f t="shared" si="22"/>
        <v>0</v>
      </c>
      <c r="AX31" s="63">
        <f t="shared" si="22"/>
        <v>0</v>
      </c>
      <c r="AY31" s="63">
        <f t="shared" si="22"/>
        <v>0</v>
      </c>
      <c r="AZ31" s="63">
        <f t="shared" si="22"/>
        <v>0</v>
      </c>
      <c r="BA31" s="63">
        <f t="shared" si="22"/>
        <v>0</v>
      </c>
      <c r="BB31" s="63">
        <f t="shared" si="22"/>
        <v>0</v>
      </c>
      <c r="BC31" s="63">
        <f t="shared" si="22"/>
        <v>0</v>
      </c>
      <c r="BD31" s="63">
        <f t="shared" si="22"/>
        <v>0</v>
      </c>
      <c r="BE31" s="63">
        <f t="shared" si="22"/>
        <v>0</v>
      </c>
      <c r="BF31" s="63">
        <f t="shared" si="22"/>
        <v>0</v>
      </c>
      <c r="BG31" s="63">
        <f t="shared" si="22"/>
        <v>0</v>
      </c>
      <c r="BH31" s="63">
        <f t="shared" si="22"/>
        <v>0</v>
      </c>
      <c r="BI31" s="63">
        <f t="shared" si="22"/>
        <v>0</v>
      </c>
      <c r="BJ31" s="63">
        <f t="shared" si="22"/>
        <v>0</v>
      </c>
      <c r="BK31" s="63">
        <f t="shared" si="22"/>
        <v>0</v>
      </c>
      <c r="BL31" s="63">
        <f t="shared" si="22"/>
        <v>0</v>
      </c>
      <c r="BM31" s="63">
        <f t="shared" si="22"/>
        <v>0</v>
      </c>
      <c r="BN31" s="63">
        <f t="shared" si="22"/>
        <v>0</v>
      </c>
    </row>
    <row r="32" outlineLevel="1">
      <c r="A32" s="47"/>
      <c r="B32" s="65"/>
      <c r="C32" s="47"/>
      <c r="D32" s="43"/>
      <c r="E32" s="47"/>
      <c r="F32" s="47"/>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outlineLevel="1">
      <c r="A33" s="80"/>
      <c r="B33" s="81" t="s">
        <v>27</v>
      </c>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row>
    <row r="34" outlineLevel="1">
      <c r="A34" s="80"/>
      <c r="B34" s="47" t="s">
        <v>28</v>
      </c>
      <c r="C34" s="80"/>
      <c r="D34" s="76">
        <v>2.0</v>
      </c>
      <c r="E34" s="80"/>
      <c r="F34" s="80"/>
      <c r="G34" s="57">
        <f t="shared" ref="G34:G37" si="24">D34</f>
        <v>2</v>
      </c>
      <c r="H34" s="57">
        <f t="shared" ref="H34:BN34" si="23">G34</f>
        <v>2</v>
      </c>
      <c r="I34" s="57">
        <f t="shared" si="23"/>
        <v>2</v>
      </c>
      <c r="J34" s="57">
        <f t="shared" si="23"/>
        <v>2</v>
      </c>
      <c r="K34" s="57">
        <f t="shared" si="23"/>
        <v>2</v>
      </c>
      <c r="L34" s="57">
        <f t="shared" si="23"/>
        <v>2</v>
      </c>
      <c r="M34" s="57">
        <f t="shared" si="23"/>
        <v>2</v>
      </c>
      <c r="N34" s="57">
        <f t="shared" si="23"/>
        <v>2</v>
      </c>
      <c r="O34" s="57">
        <f t="shared" si="23"/>
        <v>2</v>
      </c>
      <c r="P34" s="57">
        <f t="shared" si="23"/>
        <v>2</v>
      </c>
      <c r="Q34" s="57">
        <f t="shared" si="23"/>
        <v>2</v>
      </c>
      <c r="R34" s="57">
        <f t="shared" si="23"/>
        <v>2</v>
      </c>
      <c r="S34" s="57">
        <f t="shared" si="23"/>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row>
    <row r="35" outlineLevel="1">
      <c r="A35" s="80"/>
      <c r="B35" s="47" t="s">
        <v>29</v>
      </c>
      <c r="C35" s="80"/>
      <c r="D35" s="76">
        <v>100.0</v>
      </c>
      <c r="E35" s="80"/>
      <c r="F35" s="80"/>
      <c r="G35" s="57">
        <f t="shared" si="24"/>
        <v>100</v>
      </c>
      <c r="H35" s="57">
        <f t="shared" ref="H35:BN35" si="25">G35</f>
        <v>100</v>
      </c>
      <c r="I35" s="57">
        <f t="shared" si="25"/>
        <v>100</v>
      </c>
      <c r="J35" s="57">
        <f t="shared" si="25"/>
        <v>100</v>
      </c>
      <c r="K35" s="57">
        <f t="shared" si="25"/>
        <v>100</v>
      </c>
      <c r="L35" s="57">
        <f t="shared" si="25"/>
        <v>100</v>
      </c>
      <c r="M35" s="57">
        <f t="shared" si="25"/>
        <v>100</v>
      </c>
      <c r="N35" s="57">
        <f t="shared" si="25"/>
        <v>100</v>
      </c>
      <c r="O35" s="57">
        <f t="shared" si="25"/>
        <v>100</v>
      </c>
      <c r="P35" s="57">
        <f t="shared" si="25"/>
        <v>100</v>
      </c>
      <c r="Q35" s="57">
        <f t="shared" si="25"/>
        <v>100</v>
      </c>
      <c r="R35" s="57">
        <f t="shared" si="25"/>
        <v>100</v>
      </c>
      <c r="S35" s="57">
        <f t="shared" si="25"/>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row>
    <row r="36" outlineLevel="1">
      <c r="A36" s="80"/>
      <c r="B36" s="47" t="s">
        <v>30</v>
      </c>
      <c r="C36" s="80"/>
      <c r="D36" s="76">
        <v>5.0</v>
      </c>
      <c r="E36" s="80"/>
      <c r="F36" s="80"/>
      <c r="G36" s="57">
        <f t="shared" si="24"/>
        <v>5</v>
      </c>
      <c r="H36" s="57">
        <f t="shared" ref="H36:BN36" si="26">G36</f>
        <v>5</v>
      </c>
      <c r="I36" s="57">
        <f t="shared" si="26"/>
        <v>5</v>
      </c>
      <c r="J36" s="57">
        <f t="shared" si="26"/>
        <v>5</v>
      </c>
      <c r="K36" s="57">
        <f t="shared" si="26"/>
        <v>5</v>
      </c>
      <c r="L36" s="57">
        <f t="shared" si="26"/>
        <v>5</v>
      </c>
      <c r="M36" s="57">
        <f t="shared" si="26"/>
        <v>5</v>
      </c>
      <c r="N36" s="57">
        <f t="shared" si="26"/>
        <v>5</v>
      </c>
      <c r="O36" s="57">
        <f t="shared" si="26"/>
        <v>5</v>
      </c>
      <c r="P36" s="57">
        <f t="shared" si="26"/>
        <v>5</v>
      </c>
      <c r="Q36" s="57">
        <f t="shared" si="26"/>
        <v>5</v>
      </c>
      <c r="R36" s="57">
        <f t="shared" si="26"/>
        <v>5</v>
      </c>
      <c r="S36" s="57">
        <f t="shared" si="26"/>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row>
    <row r="37" outlineLevel="1">
      <c r="A37" s="80"/>
      <c r="B37" s="59" t="s">
        <v>16</v>
      </c>
      <c r="C37" s="82"/>
      <c r="D37" s="83">
        <v>0.05</v>
      </c>
      <c r="E37" s="84"/>
      <c r="F37" s="84"/>
      <c r="G37" s="62">
        <f t="shared" si="24"/>
        <v>0.05</v>
      </c>
      <c r="H37" s="62">
        <f t="shared" ref="H37:BN37" si="27">G37</f>
        <v>0.05</v>
      </c>
      <c r="I37" s="62">
        <f t="shared" si="27"/>
        <v>0.05</v>
      </c>
      <c r="J37" s="62">
        <f t="shared" si="27"/>
        <v>0.05</v>
      </c>
      <c r="K37" s="62">
        <f t="shared" si="27"/>
        <v>0.05</v>
      </c>
      <c r="L37" s="62">
        <f t="shared" si="27"/>
        <v>0.05</v>
      </c>
      <c r="M37" s="62">
        <f t="shared" si="27"/>
        <v>0.05</v>
      </c>
      <c r="N37" s="62">
        <f t="shared" si="27"/>
        <v>0.05</v>
      </c>
      <c r="O37" s="62">
        <f t="shared" si="27"/>
        <v>0.05</v>
      </c>
      <c r="P37" s="62">
        <f t="shared" si="27"/>
        <v>0.05</v>
      </c>
      <c r="Q37" s="62">
        <f t="shared" si="27"/>
        <v>0.05</v>
      </c>
      <c r="R37" s="62">
        <f t="shared" si="27"/>
        <v>0.05</v>
      </c>
      <c r="S37" s="62">
        <f t="shared" si="27"/>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row>
    <row r="38" outlineLevel="1">
      <c r="A38" s="80"/>
      <c r="B38" s="85" t="s">
        <v>17</v>
      </c>
      <c r="C38" s="80"/>
      <c r="D38" s="74"/>
      <c r="E38" s="86"/>
      <c r="F38" s="86"/>
      <c r="G38" s="74">
        <f t="shared" ref="G38:BN38" si="28">G34*G35*G36*G37</f>
        <v>50</v>
      </c>
      <c r="H38" s="74">
        <f t="shared" si="28"/>
        <v>50</v>
      </c>
      <c r="I38" s="74">
        <f t="shared" si="28"/>
        <v>50</v>
      </c>
      <c r="J38" s="74">
        <f t="shared" si="28"/>
        <v>50</v>
      </c>
      <c r="K38" s="74">
        <f t="shared" si="28"/>
        <v>50</v>
      </c>
      <c r="L38" s="74">
        <f t="shared" si="28"/>
        <v>50</v>
      </c>
      <c r="M38" s="74">
        <f t="shared" si="28"/>
        <v>50</v>
      </c>
      <c r="N38" s="74">
        <f t="shared" si="28"/>
        <v>50</v>
      </c>
      <c r="O38" s="74">
        <f t="shared" si="28"/>
        <v>50</v>
      </c>
      <c r="P38" s="74">
        <f t="shared" si="28"/>
        <v>50</v>
      </c>
      <c r="Q38" s="74">
        <f t="shared" si="28"/>
        <v>50</v>
      </c>
      <c r="R38" s="74">
        <f t="shared" si="28"/>
        <v>50</v>
      </c>
      <c r="S38" s="74">
        <f t="shared" si="28"/>
        <v>50</v>
      </c>
      <c r="T38" s="74">
        <f t="shared" si="28"/>
        <v>50</v>
      </c>
      <c r="U38" s="74">
        <f t="shared" si="28"/>
        <v>50</v>
      </c>
      <c r="V38" s="74">
        <f t="shared" si="28"/>
        <v>50</v>
      </c>
      <c r="W38" s="74">
        <f t="shared" si="28"/>
        <v>50</v>
      </c>
      <c r="X38" s="74">
        <f t="shared" si="28"/>
        <v>50</v>
      </c>
      <c r="Y38" s="74">
        <f t="shared" si="28"/>
        <v>50</v>
      </c>
      <c r="Z38" s="74">
        <f t="shared" si="28"/>
        <v>50</v>
      </c>
      <c r="AA38" s="74">
        <f t="shared" si="28"/>
        <v>50</v>
      </c>
      <c r="AB38" s="74">
        <f t="shared" si="28"/>
        <v>50</v>
      </c>
      <c r="AC38" s="74">
        <f t="shared" si="28"/>
        <v>50</v>
      </c>
      <c r="AD38" s="74">
        <f t="shared" si="28"/>
        <v>50</v>
      </c>
      <c r="AE38" s="74">
        <f t="shared" si="28"/>
        <v>50</v>
      </c>
      <c r="AF38" s="74">
        <f t="shared" si="28"/>
        <v>50</v>
      </c>
      <c r="AG38" s="74">
        <f t="shared" si="28"/>
        <v>50</v>
      </c>
      <c r="AH38" s="74">
        <f t="shared" si="28"/>
        <v>50</v>
      </c>
      <c r="AI38" s="74">
        <f t="shared" si="28"/>
        <v>50</v>
      </c>
      <c r="AJ38" s="74">
        <f t="shared" si="28"/>
        <v>50</v>
      </c>
      <c r="AK38" s="74">
        <f t="shared" si="28"/>
        <v>50</v>
      </c>
      <c r="AL38" s="74">
        <f t="shared" si="28"/>
        <v>50</v>
      </c>
      <c r="AM38" s="74">
        <f t="shared" si="28"/>
        <v>50</v>
      </c>
      <c r="AN38" s="74">
        <f t="shared" si="28"/>
        <v>50</v>
      </c>
      <c r="AO38" s="74">
        <f t="shared" si="28"/>
        <v>50</v>
      </c>
      <c r="AP38" s="74">
        <f t="shared" si="28"/>
        <v>50</v>
      </c>
      <c r="AQ38" s="74">
        <f t="shared" si="28"/>
        <v>50</v>
      </c>
      <c r="AR38" s="74">
        <f t="shared" si="28"/>
        <v>50</v>
      </c>
      <c r="AS38" s="74">
        <f t="shared" si="28"/>
        <v>50</v>
      </c>
      <c r="AT38" s="74">
        <f t="shared" si="28"/>
        <v>50</v>
      </c>
      <c r="AU38" s="74">
        <f t="shared" si="28"/>
        <v>50</v>
      </c>
      <c r="AV38" s="74">
        <f t="shared" si="28"/>
        <v>50</v>
      </c>
      <c r="AW38" s="74">
        <f t="shared" si="28"/>
        <v>50</v>
      </c>
      <c r="AX38" s="74">
        <f t="shared" si="28"/>
        <v>50</v>
      </c>
      <c r="AY38" s="74">
        <f t="shared" si="28"/>
        <v>50</v>
      </c>
      <c r="AZ38" s="74">
        <f t="shared" si="28"/>
        <v>50</v>
      </c>
      <c r="BA38" s="74">
        <f t="shared" si="28"/>
        <v>50</v>
      </c>
      <c r="BB38" s="74">
        <f t="shared" si="28"/>
        <v>50</v>
      </c>
      <c r="BC38" s="74">
        <f t="shared" si="28"/>
        <v>50</v>
      </c>
      <c r="BD38" s="74">
        <f t="shared" si="28"/>
        <v>50</v>
      </c>
      <c r="BE38" s="74">
        <f t="shared" si="28"/>
        <v>50</v>
      </c>
      <c r="BF38" s="74">
        <f t="shared" si="28"/>
        <v>50</v>
      </c>
      <c r="BG38" s="74">
        <f t="shared" si="28"/>
        <v>50</v>
      </c>
      <c r="BH38" s="74">
        <f t="shared" si="28"/>
        <v>50</v>
      </c>
      <c r="BI38" s="74">
        <f t="shared" si="28"/>
        <v>50</v>
      </c>
      <c r="BJ38" s="74">
        <f t="shared" si="28"/>
        <v>50</v>
      </c>
      <c r="BK38" s="74">
        <f t="shared" si="28"/>
        <v>50</v>
      </c>
      <c r="BL38" s="74">
        <f t="shared" si="28"/>
        <v>50</v>
      </c>
      <c r="BM38" s="74">
        <f t="shared" si="28"/>
        <v>50</v>
      </c>
      <c r="BN38" s="74">
        <f t="shared" si="28"/>
        <v>50</v>
      </c>
    </row>
    <row r="39" outlineLevel="1">
      <c r="A39" s="47"/>
      <c r="B39" s="65"/>
      <c r="C39" s="47"/>
      <c r="D39" s="43"/>
      <c r="E39" s="47"/>
      <c r="F39" s="47"/>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outlineLevel="1">
      <c r="A40" s="47"/>
      <c r="B40" s="65" t="s">
        <v>31</v>
      </c>
      <c r="C40" s="47"/>
      <c r="D40" s="43"/>
      <c r="E40" s="47"/>
      <c r="F40" s="47"/>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outlineLevel="1">
      <c r="A41" s="47"/>
      <c r="B41" s="39" t="s">
        <v>32</v>
      </c>
      <c r="C41" s="47"/>
      <c r="D41" s="57" t="str">
        <f>C71</f>
        <v/>
      </c>
      <c r="E41" s="47"/>
      <c r="F41" s="47"/>
      <c r="G41" s="57" t="str">
        <f t="shared" ref="G41:BN41" si="29">F71</f>
        <v/>
      </c>
      <c r="H41" s="57">
        <f t="shared" si="29"/>
        <v>267.5</v>
      </c>
      <c r="I41" s="57">
        <f t="shared" si="29"/>
        <v>274.0125</v>
      </c>
      <c r="J41" s="57">
        <f t="shared" si="29"/>
        <v>274.1101875</v>
      </c>
      <c r="K41" s="57">
        <f t="shared" si="29"/>
        <v>274.1116528</v>
      </c>
      <c r="L41" s="57">
        <f t="shared" si="29"/>
        <v>274.1116748</v>
      </c>
      <c r="M41" s="57">
        <f t="shared" si="29"/>
        <v>274.1116751</v>
      </c>
      <c r="N41" s="57">
        <f t="shared" si="29"/>
        <v>274.1116751</v>
      </c>
      <c r="O41" s="57">
        <f t="shared" si="29"/>
        <v>274.1116751</v>
      </c>
      <c r="P41" s="57">
        <f t="shared" si="29"/>
        <v>274.1116751</v>
      </c>
      <c r="Q41" s="57">
        <f t="shared" si="29"/>
        <v>274.1116751</v>
      </c>
      <c r="R41" s="57">
        <f t="shared" si="29"/>
        <v>274.1116751</v>
      </c>
      <c r="S41" s="57">
        <f t="shared" si="29"/>
        <v>274.1116751</v>
      </c>
      <c r="T41" s="57">
        <f t="shared" si="29"/>
        <v>274.1116751</v>
      </c>
      <c r="U41" s="57">
        <f t="shared" si="29"/>
        <v>274.1116751</v>
      </c>
      <c r="V41" s="57">
        <f t="shared" si="29"/>
        <v>274.1116751</v>
      </c>
      <c r="W41" s="57">
        <f t="shared" si="29"/>
        <v>274.1116751</v>
      </c>
      <c r="X41" s="57">
        <f t="shared" si="29"/>
        <v>274.1116751</v>
      </c>
      <c r="Y41" s="57">
        <f t="shared" si="29"/>
        <v>274.1116751</v>
      </c>
      <c r="Z41" s="57">
        <f t="shared" si="29"/>
        <v>274.1116751</v>
      </c>
      <c r="AA41" s="57">
        <f t="shared" si="29"/>
        <v>274.1116751</v>
      </c>
      <c r="AB41" s="57">
        <f t="shared" si="29"/>
        <v>274.1116751</v>
      </c>
      <c r="AC41" s="57">
        <f t="shared" si="29"/>
        <v>274.1116751</v>
      </c>
      <c r="AD41" s="57">
        <f t="shared" si="29"/>
        <v>274.1116751</v>
      </c>
      <c r="AE41" s="57">
        <f t="shared" si="29"/>
        <v>274.1116751</v>
      </c>
      <c r="AF41" s="57">
        <f t="shared" si="29"/>
        <v>274.1116751</v>
      </c>
      <c r="AG41" s="57">
        <f t="shared" si="29"/>
        <v>274.1116751</v>
      </c>
      <c r="AH41" s="57">
        <f t="shared" si="29"/>
        <v>274.1116751</v>
      </c>
      <c r="AI41" s="57">
        <f t="shared" si="29"/>
        <v>274.1116751</v>
      </c>
      <c r="AJ41" s="57">
        <f t="shared" si="29"/>
        <v>274.1116751</v>
      </c>
      <c r="AK41" s="57">
        <f t="shared" si="29"/>
        <v>274.1116751</v>
      </c>
      <c r="AL41" s="57">
        <f t="shared" si="29"/>
        <v>274.1116751</v>
      </c>
      <c r="AM41" s="57">
        <f t="shared" si="29"/>
        <v>274.1116751</v>
      </c>
      <c r="AN41" s="57">
        <f t="shared" si="29"/>
        <v>274.1116751</v>
      </c>
      <c r="AO41" s="57">
        <f t="shared" si="29"/>
        <v>274.1116751</v>
      </c>
      <c r="AP41" s="57">
        <f t="shared" si="29"/>
        <v>274.1116751</v>
      </c>
      <c r="AQ41" s="57">
        <f t="shared" si="29"/>
        <v>274.1116751</v>
      </c>
      <c r="AR41" s="57">
        <f t="shared" si="29"/>
        <v>274.1116751</v>
      </c>
      <c r="AS41" s="57">
        <f t="shared" si="29"/>
        <v>274.1116751</v>
      </c>
      <c r="AT41" s="57">
        <f t="shared" si="29"/>
        <v>274.1116751</v>
      </c>
      <c r="AU41" s="57">
        <f t="shared" si="29"/>
        <v>274.1116751</v>
      </c>
      <c r="AV41" s="57">
        <f t="shared" si="29"/>
        <v>274.1116751</v>
      </c>
      <c r="AW41" s="57">
        <f t="shared" si="29"/>
        <v>274.1116751</v>
      </c>
      <c r="AX41" s="57">
        <f t="shared" si="29"/>
        <v>274.1116751</v>
      </c>
      <c r="AY41" s="57">
        <f t="shared" si="29"/>
        <v>274.1116751</v>
      </c>
      <c r="AZ41" s="57">
        <f t="shared" si="29"/>
        <v>274.1116751</v>
      </c>
      <c r="BA41" s="57">
        <f t="shared" si="29"/>
        <v>274.1116751</v>
      </c>
      <c r="BB41" s="57">
        <f t="shared" si="29"/>
        <v>274.1116751</v>
      </c>
      <c r="BC41" s="57">
        <f t="shared" si="29"/>
        <v>274.1116751</v>
      </c>
      <c r="BD41" s="57">
        <f t="shared" si="29"/>
        <v>274.1116751</v>
      </c>
      <c r="BE41" s="57">
        <f t="shared" si="29"/>
        <v>274.1116751</v>
      </c>
      <c r="BF41" s="57">
        <f t="shared" si="29"/>
        <v>274.1116751</v>
      </c>
      <c r="BG41" s="57">
        <f t="shared" si="29"/>
        <v>274.1116751</v>
      </c>
      <c r="BH41" s="57">
        <f t="shared" si="29"/>
        <v>274.1116751</v>
      </c>
      <c r="BI41" s="57">
        <f t="shared" si="29"/>
        <v>274.1116751</v>
      </c>
      <c r="BJ41" s="57">
        <f t="shared" si="29"/>
        <v>274.1116751</v>
      </c>
      <c r="BK41" s="57">
        <f t="shared" si="29"/>
        <v>274.1116751</v>
      </c>
      <c r="BL41" s="57">
        <f t="shared" si="29"/>
        <v>274.1116751</v>
      </c>
      <c r="BM41" s="57">
        <f t="shared" si="29"/>
        <v>274.1116751</v>
      </c>
      <c r="BN41" s="57">
        <f t="shared" si="29"/>
        <v>274.1116751</v>
      </c>
    </row>
    <row r="42" outlineLevel="1">
      <c r="A42" s="47"/>
      <c r="B42" s="39" t="s">
        <v>33</v>
      </c>
      <c r="C42" s="47"/>
      <c r="D42" s="87">
        <v>0.3</v>
      </c>
      <c r="E42" s="47"/>
      <c r="F42" s="47"/>
      <c r="G42" s="88">
        <f t="shared" ref="G42:G43" si="31">D42</f>
        <v>0.3</v>
      </c>
      <c r="H42" s="88">
        <f t="shared" ref="H42:BN42" si="30">G42</f>
        <v>0.3</v>
      </c>
      <c r="I42" s="88">
        <f t="shared" si="30"/>
        <v>0.3</v>
      </c>
      <c r="J42" s="88">
        <f t="shared" si="30"/>
        <v>0.3</v>
      </c>
      <c r="K42" s="88">
        <f t="shared" si="30"/>
        <v>0.3</v>
      </c>
      <c r="L42" s="88">
        <f t="shared" si="30"/>
        <v>0.3</v>
      </c>
      <c r="M42" s="88">
        <f t="shared" si="30"/>
        <v>0.3</v>
      </c>
      <c r="N42" s="88">
        <f t="shared" si="30"/>
        <v>0.3</v>
      </c>
      <c r="O42" s="88">
        <f t="shared" si="30"/>
        <v>0.3</v>
      </c>
      <c r="P42" s="88">
        <f t="shared" si="30"/>
        <v>0.3</v>
      </c>
      <c r="Q42" s="88">
        <f t="shared" si="30"/>
        <v>0.3</v>
      </c>
      <c r="R42" s="88">
        <f t="shared" si="30"/>
        <v>0.3</v>
      </c>
      <c r="S42" s="88">
        <f t="shared" si="30"/>
        <v>0.3</v>
      </c>
      <c r="T42" s="88">
        <f t="shared" si="30"/>
        <v>0.3</v>
      </c>
      <c r="U42" s="88">
        <f t="shared" si="30"/>
        <v>0.3</v>
      </c>
      <c r="V42" s="88">
        <f t="shared" si="30"/>
        <v>0.3</v>
      </c>
      <c r="W42" s="88">
        <f t="shared" si="30"/>
        <v>0.3</v>
      </c>
      <c r="X42" s="88">
        <f t="shared" si="30"/>
        <v>0.3</v>
      </c>
      <c r="Y42" s="88">
        <f t="shared" si="30"/>
        <v>0.3</v>
      </c>
      <c r="Z42" s="88">
        <f t="shared" si="30"/>
        <v>0.3</v>
      </c>
      <c r="AA42" s="88">
        <f t="shared" si="30"/>
        <v>0.3</v>
      </c>
      <c r="AB42" s="88">
        <f t="shared" si="30"/>
        <v>0.3</v>
      </c>
      <c r="AC42" s="88">
        <f t="shared" si="30"/>
        <v>0.3</v>
      </c>
      <c r="AD42" s="88">
        <f t="shared" si="30"/>
        <v>0.3</v>
      </c>
      <c r="AE42" s="88">
        <f t="shared" si="30"/>
        <v>0.3</v>
      </c>
      <c r="AF42" s="88">
        <f t="shared" si="30"/>
        <v>0.3</v>
      </c>
      <c r="AG42" s="88">
        <f t="shared" si="30"/>
        <v>0.3</v>
      </c>
      <c r="AH42" s="88">
        <f t="shared" si="30"/>
        <v>0.3</v>
      </c>
      <c r="AI42" s="88">
        <f t="shared" si="30"/>
        <v>0.3</v>
      </c>
      <c r="AJ42" s="88">
        <f t="shared" si="30"/>
        <v>0.3</v>
      </c>
      <c r="AK42" s="88">
        <f t="shared" si="30"/>
        <v>0.3</v>
      </c>
      <c r="AL42" s="88">
        <f t="shared" si="30"/>
        <v>0.3</v>
      </c>
      <c r="AM42" s="88">
        <f t="shared" si="30"/>
        <v>0.3</v>
      </c>
      <c r="AN42" s="88">
        <f t="shared" si="30"/>
        <v>0.3</v>
      </c>
      <c r="AO42" s="88">
        <f t="shared" si="30"/>
        <v>0.3</v>
      </c>
      <c r="AP42" s="88">
        <f t="shared" si="30"/>
        <v>0.3</v>
      </c>
      <c r="AQ42" s="88">
        <f t="shared" si="30"/>
        <v>0.3</v>
      </c>
      <c r="AR42" s="88">
        <f t="shared" si="30"/>
        <v>0.3</v>
      </c>
      <c r="AS42" s="88">
        <f t="shared" si="30"/>
        <v>0.3</v>
      </c>
      <c r="AT42" s="88">
        <f t="shared" si="30"/>
        <v>0.3</v>
      </c>
      <c r="AU42" s="88">
        <f t="shared" si="30"/>
        <v>0.3</v>
      </c>
      <c r="AV42" s="88">
        <f t="shared" si="30"/>
        <v>0.3</v>
      </c>
      <c r="AW42" s="88">
        <f t="shared" si="30"/>
        <v>0.3</v>
      </c>
      <c r="AX42" s="88">
        <f t="shared" si="30"/>
        <v>0.3</v>
      </c>
      <c r="AY42" s="88">
        <f t="shared" si="30"/>
        <v>0.3</v>
      </c>
      <c r="AZ42" s="88">
        <f t="shared" si="30"/>
        <v>0.3</v>
      </c>
      <c r="BA42" s="88">
        <f t="shared" si="30"/>
        <v>0.3</v>
      </c>
      <c r="BB42" s="88">
        <f t="shared" si="30"/>
        <v>0.3</v>
      </c>
      <c r="BC42" s="88">
        <f t="shared" si="30"/>
        <v>0.3</v>
      </c>
      <c r="BD42" s="88">
        <f t="shared" si="30"/>
        <v>0.3</v>
      </c>
      <c r="BE42" s="88">
        <f t="shared" si="30"/>
        <v>0.3</v>
      </c>
      <c r="BF42" s="88">
        <f t="shared" si="30"/>
        <v>0.3</v>
      </c>
      <c r="BG42" s="88">
        <f t="shared" si="30"/>
        <v>0.3</v>
      </c>
      <c r="BH42" s="88">
        <f t="shared" si="30"/>
        <v>0.3</v>
      </c>
      <c r="BI42" s="88">
        <f t="shared" si="30"/>
        <v>0.3</v>
      </c>
      <c r="BJ42" s="88">
        <f t="shared" si="30"/>
        <v>0.3</v>
      </c>
      <c r="BK42" s="88">
        <f t="shared" si="30"/>
        <v>0.3</v>
      </c>
      <c r="BL42" s="88">
        <f t="shared" si="30"/>
        <v>0.3</v>
      </c>
      <c r="BM42" s="88">
        <f t="shared" si="30"/>
        <v>0.3</v>
      </c>
      <c r="BN42" s="88">
        <f t="shared" si="30"/>
        <v>0.3</v>
      </c>
    </row>
    <row r="43" outlineLevel="1">
      <c r="A43" s="47"/>
      <c r="B43" s="71" t="s">
        <v>16</v>
      </c>
      <c r="C43" s="59"/>
      <c r="D43" s="72">
        <v>0.05</v>
      </c>
      <c r="E43" s="61"/>
      <c r="F43" s="61"/>
      <c r="G43" s="62">
        <f t="shared" si="31"/>
        <v>0.05</v>
      </c>
      <c r="H43" s="62">
        <f t="shared" ref="H43:BN43" si="32">G43</f>
        <v>0.05</v>
      </c>
      <c r="I43" s="62">
        <f t="shared" si="32"/>
        <v>0.05</v>
      </c>
      <c r="J43" s="62">
        <f t="shared" si="32"/>
        <v>0.05</v>
      </c>
      <c r="K43" s="62">
        <f t="shared" si="32"/>
        <v>0.05</v>
      </c>
      <c r="L43" s="62">
        <f t="shared" si="32"/>
        <v>0.05</v>
      </c>
      <c r="M43" s="62">
        <f t="shared" si="32"/>
        <v>0.05</v>
      </c>
      <c r="N43" s="62">
        <f t="shared" si="32"/>
        <v>0.05</v>
      </c>
      <c r="O43" s="62">
        <f t="shared" si="32"/>
        <v>0.05</v>
      </c>
      <c r="P43" s="62">
        <f t="shared" si="32"/>
        <v>0.05</v>
      </c>
      <c r="Q43" s="62">
        <f t="shared" si="32"/>
        <v>0.05</v>
      </c>
      <c r="R43" s="62">
        <f t="shared" si="32"/>
        <v>0.05</v>
      </c>
      <c r="S43" s="62">
        <f t="shared" si="32"/>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row>
    <row r="44" outlineLevel="1">
      <c r="A44" s="47"/>
      <c r="B44" s="73" t="s">
        <v>17</v>
      </c>
      <c r="C44" s="47"/>
      <c r="D44" s="63"/>
      <c r="E44" s="64"/>
      <c r="F44" s="64"/>
      <c r="G44" s="63">
        <f t="shared" ref="G44:BN44" si="33">G41*G42*G43</f>
        <v>0</v>
      </c>
      <c r="H44" s="63">
        <f t="shared" si="33"/>
        <v>4.0125</v>
      </c>
      <c r="I44" s="63">
        <f t="shared" si="33"/>
        <v>4.1101875</v>
      </c>
      <c r="J44" s="63">
        <f t="shared" si="33"/>
        <v>4.111652813</v>
      </c>
      <c r="K44" s="63">
        <f t="shared" si="33"/>
        <v>4.111674792</v>
      </c>
      <c r="L44" s="63">
        <f t="shared" si="33"/>
        <v>4.111675122</v>
      </c>
      <c r="M44" s="63">
        <f t="shared" si="33"/>
        <v>4.111675127</v>
      </c>
      <c r="N44" s="63">
        <f t="shared" si="33"/>
        <v>4.111675127</v>
      </c>
      <c r="O44" s="63">
        <f t="shared" si="33"/>
        <v>4.111675127</v>
      </c>
      <c r="P44" s="63">
        <f t="shared" si="33"/>
        <v>4.111675127</v>
      </c>
      <c r="Q44" s="63">
        <f t="shared" si="33"/>
        <v>4.111675127</v>
      </c>
      <c r="R44" s="63">
        <f t="shared" si="33"/>
        <v>4.111675127</v>
      </c>
      <c r="S44" s="63">
        <f t="shared" si="33"/>
        <v>4.111675127</v>
      </c>
      <c r="T44" s="63">
        <f t="shared" si="33"/>
        <v>4.111675127</v>
      </c>
      <c r="U44" s="63">
        <f t="shared" si="33"/>
        <v>4.111675127</v>
      </c>
      <c r="V44" s="63">
        <f t="shared" si="33"/>
        <v>4.111675127</v>
      </c>
      <c r="W44" s="63">
        <f t="shared" si="33"/>
        <v>4.111675127</v>
      </c>
      <c r="X44" s="63">
        <f t="shared" si="33"/>
        <v>4.111675127</v>
      </c>
      <c r="Y44" s="63">
        <f t="shared" si="33"/>
        <v>4.111675127</v>
      </c>
      <c r="Z44" s="63">
        <f t="shared" si="33"/>
        <v>4.111675127</v>
      </c>
      <c r="AA44" s="63">
        <f t="shared" si="33"/>
        <v>4.111675127</v>
      </c>
      <c r="AB44" s="63">
        <f t="shared" si="33"/>
        <v>4.111675127</v>
      </c>
      <c r="AC44" s="63">
        <f t="shared" si="33"/>
        <v>4.111675127</v>
      </c>
      <c r="AD44" s="63">
        <f t="shared" si="33"/>
        <v>4.111675127</v>
      </c>
      <c r="AE44" s="63">
        <f t="shared" si="33"/>
        <v>4.111675127</v>
      </c>
      <c r="AF44" s="63">
        <f t="shared" si="33"/>
        <v>4.111675127</v>
      </c>
      <c r="AG44" s="63">
        <f t="shared" si="33"/>
        <v>4.111675127</v>
      </c>
      <c r="AH44" s="63">
        <f t="shared" si="33"/>
        <v>4.111675127</v>
      </c>
      <c r="AI44" s="63">
        <f t="shared" si="33"/>
        <v>4.111675127</v>
      </c>
      <c r="AJ44" s="63">
        <f t="shared" si="33"/>
        <v>4.111675127</v>
      </c>
      <c r="AK44" s="63">
        <f t="shared" si="33"/>
        <v>4.111675127</v>
      </c>
      <c r="AL44" s="63">
        <f t="shared" si="33"/>
        <v>4.111675127</v>
      </c>
      <c r="AM44" s="63">
        <f t="shared" si="33"/>
        <v>4.111675127</v>
      </c>
      <c r="AN44" s="63">
        <f t="shared" si="33"/>
        <v>4.111675127</v>
      </c>
      <c r="AO44" s="63">
        <f t="shared" si="33"/>
        <v>4.111675127</v>
      </c>
      <c r="AP44" s="63">
        <f t="shared" si="33"/>
        <v>4.111675127</v>
      </c>
      <c r="AQ44" s="63">
        <f t="shared" si="33"/>
        <v>4.111675127</v>
      </c>
      <c r="AR44" s="63">
        <f t="shared" si="33"/>
        <v>4.111675127</v>
      </c>
      <c r="AS44" s="63">
        <f t="shared" si="33"/>
        <v>4.111675127</v>
      </c>
      <c r="AT44" s="63">
        <f t="shared" si="33"/>
        <v>4.111675127</v>
      </c>
      <c r="AU44" s="63">
        <f t="shared" si="33"/>
        <v>4.111675127</v>
      </c>
      <c r="AV44" s="63">
        <f t="shared" si="33"/>
        <v>4.111675127</v>
      </c>
      <c r="AW44" s="63">
        <f t="shared" si="33"/>
        <v>4.111675127</v>
      </c>
      <c r="AX44" s="63">
        <f t="shared" si="33"/>
        <v>4.111675127</v>
      </c>
      <c r="AY44" s="63">
        <f t="shared" si="33"/>
        <v>4.111675127</v>
      </c>
      <c r="AZ44" s="63">
        <f t="shared" si="33"/>
        <v>4.111675127</v>
      </c>
      <c r="BA44" s="63">
        <f t="shared" si="33"/>
        <v>4.111675127</v>
      </c>
      <c r="BB44" s="63">
        <f t="shared" si="33"/>
        <v>4.111675127</v>
      </c>
      <c r="BC44" s="63">
        <f t="shared" si="33"/>
        <v>4.111675127</v>
      </c>
      <c r="BD44" s="63">
        <f t="shared" si="33"/>
        <v>4.111675127</v>
      </c>
      <c r="BE44" s="63">
        <f t="shared" si="33"/>
        <v>4.111675127</v>
      </c>
      <c r="BF44" s="63">
        <f t="shared" si="33"/>
        <v>4.111675127</v>
      </c>
      <c r="BG44" s="63">
        <f t="shared" si="33"/>
        <v>4.111675127</v>
      </c>
      <c r="BH44" s="63">
        <f t="shared" si="33"/>
        <v>4.111675127</v>
      </c>
      <c r="BI44" s="63">
        <f t="shared" si="33"/>
        <v>4.111675127</v>
      </c>
      <c r="BJ44" s="63">
        <f t="shared" si="33"/>
        <v>4.111675127</v>
      </c>
      <c r="BK44" s="63">
        <f t="shared" si="33"/>
        <v>4.111675127</v>
      </c>
      <c r="BL44" s="63">
        <f t="shared" si="33"/>
        <v>4.111675127</v>
      </c>
      <c r="BM44" s="63">
        <f t="shared" si="33"/>
        <v>4.111675127</v>
      </c>
      <c r="BN44" s="63">
        <f t="shared" si="33"/>
        <v>4.111675127</v>
      </c>
    </row>
    <row r="45" outlineLevel="1">
      <c r="A45" s="47"/>
      <c r="B45" s="65"/>
      <c r="C45" s="47"/>
      <c r="D45" s="43"/>
      <c r="E45" s="47"/>
      <c r="F45" s="47"/>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outlineLevel="1">
      <c r="A46" s="47"/>
      <c r="B46" s="65" t="s">
        <v>34</v>
      </c>
      <c r="C46" s="47"/>
      <c r="D46" s="43"/>
      <c r="E46" s="47"/>
      <c r="F46" s="47"/>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outlineLevel="1">
      <c r="A47" s="47"/>
      <c r="B47" s="39" t="s">
        <v>35</v>
      </c>
      <c r="C47" s="47"/>
      <c r="D47" s="76">
        <v>2.0</v>
      </c>
      <c r="E47" s="47"/>
      <c r="F47" s="47"/>
      <c r="G47" s="57">
        <f t="shared" ref="G47:G49" si="35">D47</f>
        <v>2</v>
      </c>
      <c r="H47" s="57">
        <f t="shared" ref="H47:BN47" si="34">G47</f>
        <v>2</v>
      </c>
      <c r="I47" s="57">
        <f t="shared" si="34"/>
        <v>2</v>
      </c>
      <c r="J47" s="57">
        <f t="shared" si="34"/>
        <v>2</v>
      </c>
      <c r="K47" s="57">
        <f t="shared" si="34"/>
        <v>2</v>
      </c>
      <c r="L47" s="57">
        <f t="shared" si="34"/>
        <v>2</v>
      </c>
      <c r="M47" s="57">
        <f t="shared" si="34"/>
        <v>2</v>
      </c>
      <c r="N47" s="57">
        <f t="shared" si="34"/>
        <v>2</v>
      </c>
      <c r="O47" s="57">
        <f t="shared" si="34"/>
        <v>2</v>
      </c>
      <c r="P47" s="57">
        <f t="shared" si="34"/>
        <v>2</v>
      </c>
      <c r="Q47" s="57">
        <f t="shared" si="34"/>
        <v>2</v>
      </c>
      <c r="R47" s="57">
        <f t="shared" si="34"/>
        <v>2</v>
      </c>
      <c r="S47" s="57">
        <f t="shared" si="34"/>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row>
    <row r="48" outlineLevel="1">
      <c r="A48" s="47"/>
      <c r="B48" s="39" t="s">
        <v>36</v>
      </c>
      <c r="C48" s="47"/>
      <c r="D48" s="76">
        <v>100.0</v>
      </c>
      <c r="E48" s="47"/>
      <c r="F48" s="47"/>
      <c r="G48" s="78">
        <f t="shared" si="35"/>
        <v>100</v>
      </c>
      <c r="H48" s="78">
        <f t="shared" ref="H48:BN48" si="36">G48</f>
        <v>100</v>
      </c>
      <c r="I48" s="78">
        <f t="shared" si="36"/>
        <v>100</v>
      </c>
      <c r="J48" s="78">
        <f t="shared" si="36"/>
        <v>100</v>
      </c>
      <c r="K48" s="78">
        <f t="shared" si="36"/>
        <v>100</v>
      </c>
      <c r="L48" s="78">
        <f t="shared" si="36"/>
        <v>100</v>
      </c>
      <c r="M48" s="78">
        <f t="shared" si="36"/>
        <v>100</v>
      </c>
      <c r="N48" s="78">
        <f t="shared" si="36"/>
        <v>100</v>
      </c>
      <c r="O48" s="78">
        <f t="shared" si="36"/>
        <v>100</v>
      </c>
      <c r="P48" s="78">
        <f t="shared" si="36"/>
        <v>100</v>
      </c>
      <c r="Q48" s="78">
        <f t="shared" si="36"/>
        <v>100</v>
      </c>
      <c r="R48" s="78">
        <f t="shared" si="36"/>
        <v>100</v>
      </c>
      <c r="S48" s="78">
        <f t="shared" si="36"/>
        <v>100</v>
      </c>
      <c r="T48" s="78">
        <f t="shared" si="36"/>
        <v>100</v>
      </c>
      <c r="U48" s="78">
        <f t="shared" si="36"/>
        <v>100</v>
      </c>
      <c r="V48" s="78">
        <f t="shared" si="36"/>
        <v>100</v>
      </c>
      <c r="W48" s="78">
        <f t="shared" si="36"/>
        <v>100</v>
      </c>
      <c r="X48" s="78">
        <f t="shared" si="36"/>
        <v>100</v>
      </c>
      <c r="Y48" s="78">
        <f t="shared" si="36"/>
        <v>100</v>
      </c>
      <c r="Z48" s="78">
        <f t="shared" si="36"/>
        <v>100</v>
      </c>
      <c r="AA48" s="78">
        <f t="shared" si="36"/>
        <v>100</v>
      </c>
      <c r="AB48" s="78">
        <f t="shared" si="36"/>
        <v>100</v>
      </c>
      <c r="AC48" s="78">
        <f t="shared" si="36"/>
        <v>100</v>
      </c>
      <c r="AD48" s="78">
        <f t="shared" si="36"/>
        <v>100</v>
      </c>
      <c r="AE48" s="78">
        <f t="shared" si="36"/>
        <v>100</v>
      </c>
      <c r="AF48" s="78">
        <f t="shared" si="36"/>
        <v>100</v>
      </c>
      <c r="AG48" s="78">
        <f t="shared" si="36"/>
        <v>100</v>
      </c>
      <c r="AH48" s="78">
        <f t="shared" si="36"/>
        <v>100</v>
      </c>
      <c r="AI48" s="78">
        <f t="shared" si="36"/>
        <v>100</v>
      </c>
      <c r="AJ48" s="78">
        <f t="shared" si="36"/>
        <v>100</v>
      </c>
      <c r="AK48" s="78">
        <f t="shared" si="36"/>
        <v>100</v>
      </c>
      <c r="AL48" s="78">
        <f t="shared" si="36"/>
        <v>100</v>
      </c>
      <c r="AM48" s="78">
        <f t="shared" si="36"/>
        <v>100</v>
      </c>
      <c r="AN48" s="78">
        <f t="shared" si="36"/>
        <v>100</v>
      </c>
      <c r="AO48" s="78">
        <f t="shared" si="36"/>
        <v>100</v>
      </c>
      <c r="AP48" s="78">
        <f t="shared" si="36"/>
        <v>100</v>
      </c>
      <c r="AQ48" s="78">
        <f t="shared" si="36"/>
        <v>100</v>
      </c>
      <c r="AR48" s="78">
        <f t="shared" si="36"/>
        <v>100</v>
      </c>
      <c r="AS48" s="78">
        <f t="shared" si="36"/>
        <v>100</v>
      </c>
      <c r="AT48" s="78">
        <f t="shared" si="36"/>
        <v>100</v>
      </c>
      <c r="AU48" s="78">
        <f t="shared" si="36"/>
        <v>100</v>
      </c>
      <c r="AV48" s="78">
        <f t="shared" si="36"/>
        <v>100</v>
      </c>
      <c r="AW48" s="78">
        <f t="shared" si="36"/>
        <v>100</v>
      </c>
      <c r="AX48" s="78">
        <f t="shared" si="36"/>
        <v>100</v>
      </c>
      <c r="AY48" s="78">
        <f t="shared" si="36"/>
        <v>100</v>
      </c>
      <c r="AZ48" s="78">
        <f t="shared" si="36"/>
        <v>100</v>
      </c>
      <c r="BA48" s="78">
        <f t="shared" si="36"/>
        <v>100</v>
      </c>
      <c r="BB48" s="78">
        <f t="shared" si="36"/>
        <v>100</v>
      </c>
      <c r="BC48" s="78">
        <f t="shared" si="36"/>
        <v>100</v>
      </c>
      <c r="BD48" s="78">
        <f t="shared" si="36"/>
        <v>100</v>
      </c>
      <c r="BE48" s="78">
        <f t="shared" si="36"/>
        <v>100</v>
      </c>
      <c r="BF48" s="78">
        <f t="shared" si="36"/>
        <v>100</v>
      </c>
      <c r="BG48" s="78">
        <f t="shared" si="36"/>
        <v>100</v>
      </c>
      <c r="BH48" s="78">
        <f t="shared" si="36"/>
        <v>100</v>
      </c>
      <c r="BI48" s="78">
        <f t="shared" si="36"/>
        <v>100</v>
      </c>
      <c r="BJ48" s="78">
        <f t="shared" si="36"/>
        <v>100</v>
      </c>
      <c r="BK48" s="78">
        <f t="shared" si="36"/>
        <v>100</v>
      </c>
      <c r="BL48" s="78">
        <f t="shared" si="36"/>
        <v>100</v>
      </c>
      <c r="BM48" s="78">
        <f t="shared" si="36"/>
        <v>100</v>
      </c>
      <c r="BN48" s="78">
        <f t="shared" si="36"/>
        <v>100</v>
      </c>
    </row>
    <row r="49" outlineLevel="1">
      <c r="A49" s="47"/>
      <c r="B49" s="71" t="s">
        <v>16</v>
      </c>
      <c r="C49" s="59"/>
      <c r="D49" s="72">
        <v>0.05</v>
      </c>
      <c r="E49" s="61"/>
      <c r="F49" s="61"/>
      <c r="G49" s="62">
        <f t="shared" si="35"/>
        <v>0.05</v>
      </c>
      <c r="H49" s="62">
        <f t="shared" ref="H49:BN49" si="37">G49</f>
        <v>0.05</v>
      </c>
      <c r="I49" s="62">
        <f t="shared" si="37"/>
        <v>0.05</v>
      </c>
      <c r="J49" s="62">
        <f t="shared" si="37"/>
        <v>0.05</v>
      </c>
      <c r="K49" s="62">
        <f t="shared" si="37"/>
        <v>0.05</v>
      </c>
      <c r="L49" s="62">
        <f t="shared" si="37"/>
        <v>0.05</v>
      </c>
      <c r="M49" s="62">
        <f t="shared" si="37"/>
        <v>0.05</v>
      </c>
      <c r="N49" s="62">
        <f t="shared" si="37"/>
        <v>0.05</v>
      </c>
      <c r="O49" s="62">
        <f t="shared" si="37"/>
        <v>0.05</v>
      </c>
      <c r="P49" s="62">
        <f t="shared" si="37"/>
        <v>0.05</v>
      </c>
      <c r="Q49" s="62">
        <f t="shared" si="37"/>
        <v>0.05</v>
      </c>
      <c r="R49" s="62">
        <f t="shared" si="37"/>
        <v>0.05</v>
      </c>
      <c r="S49" s="62">
        <f t="shared" si="37"/>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row>
    <row r="50" outlineLevel="1">
      <c r="A50" s="47"/>
      <c r="B50" s="73" t="s">
        <v>17</v>
      </c>
      <c r="C50" s="47"/>
      <c r="D50" s="63"/>
      <c r="E50" s="64"/>
      <c r="F50" s="64"/>
      <c r="G50" s="63">
        <f t="shared" ref="G50:BN50" si="38">G47*G48*G49</f>
        <v>10</v>
      </c>
      <c r="H50" s="63">
        <f t="shared" si="38"/>
        <v>10</v>
      </c>
      <c r="I50" s="63">
        <f t="shared" si="38"/>
        <v>10</v>
      </c>
      <c r="J50" s="63">
        <f t="shared" si="38"/>
        <v>10</v>
      </c>
      <c r="K50" s="63">
        <f t="shared" si="38"/>
        <v>10</v>
      </c>
      <c r="L50" s="63">
        <f t="shared" si="38"/>
        <v>10</v>
      </c>
      <c r="M50" s="63">
        <f t="shared" si="38"/>
        <v>10</v>
      </c>
      <c r="N50" s="63">
        <f t="shared" si="38"/>
        <v>10</v>
      </c>
      <c r="O50" s="63">
        <f t="shared" si="38"/>
        <v>10</v>
      </c>
      <c r="P50" s="63">
        <f t="shared" si="38"/>
        <v>10</v>
      </c>
      <c r="Q50" s="63">
        <f t="shared" si="38"/>
        <v>10</v>
      </c>
      <c r="R50" s="63">
        <f t="shared" si="38"/>
        <v>10</v>
      </c>
      <c r="S50" s="63">
        <f t="shared" si="38"/>
        <v>10</v>
      </c>
      <c r="T50" s="63">
        <f t="shared" si="38"/>
        <v>10</v>
      </c>
      <c r="U50" s="63">
        <f t="shared" si="38"/>
        <v>10</v>
      </c>
      <c r="V50" s="63">
        <f t="shared" si="38"/>
        <v>10</v>
      </c>
      <c r="W50" s="63">
        <f t="shared" si="38"/>
        <v>10</v>
      </c>
      <c r="X50" s="63">
        <f t="shared" si="38"/>
        <v>10</v>
      </c>
      <c r="Y50" s="63">
        <f t="shared" si="38"/>
        <v>10</v>
      </c>
      <c r="Z50" s="63">
        <f t="shared" si="38"/>
        <v>10</v>
      </c>
      <c r="AA50" s="63">
        <f t="shared" si="38"/>
        <v>10</v>
      </c>
      <c r="AB50" s="63">
        <f t="shared" si="38"/>
        <v>10</v>
      </c>
      <c r="AC50" s="63">
        <f t="shared" si="38"/>
        <v>10</v>
      </c>
      <c r="AD50" s="63">
        <f t="shared" si="38"/>
        <v>10</v>
      </c>
      <c r="AE50" s="63">
        <f t="shared" si="38"/>
        <v>10</v>
      </c>
      <c r="AF50" s="63">
        <f t="shared" si="38"/>
        <v>10</v>
      </c>
      <c r="AG50" s="63">
        <f t="shared" si="38"/>
        <v>10</v>
      </c>
      <c r="AH50" s="63">
        <f t="shared" si="38"/>
        <v>10</v>
      </c>
      <c r="AI50" s="63">
        <f t="shared" si="38"/>
        <v>10</v>
      </c>
      <c r="AJ50" s="63">
        <f t="shared" si="38"/>
        <v>10</v>
      </c>
      <c r="AK50" s="63">
        <f t="shared" si="38"/>
        <v>10</v>
      </c>
      <c r="AL50" s="63">
        <f t="shared" si="38"/>
        <v>10</v>
      </c>
      <c r="AM50" s="63">
        <f t="shared" si="38"/>
        <v>10</v>
      </c>
      <c r="AN50" s="63">
        <f t="shared" si="38"/>
        <v>10</v>
      </c>
      <c r="AO50" s="63">
        <f t="shared" si="38"/>
        <v>10</v>
      </c>
      <c r="AP50" s="63">
        <f t="shared" si="38"/>
        <v>10</v>
      </c>
      <c r="AQ50" s="63">
        <f t="shared" si="38"/>
        <v>10</v>
      </c>
      <c r="AR50" s="63">
        <f t="shared" si="38"/>
        <v>10</v>
      </c>
      <c r="AS50" s="63">
        <f t="shared" si="38"/>
        <v>10</v>
      </c>
      <c r="AT50" s="63">
        <f t="shared" si="38"/>
        <v>10</v>
      </c>
      <c r="AU50" s="63">
        <f t="shared" si="38"/>
        <v>10</v>
      </c>
      <c r="AV50" s="63">
        <f t="shared" si="38"/>
        <v>10</v>
      </c>
      <c r="AW50" s="63">
        <f t="shared" si="38"/>
        <v>10</v>
      </c>
      <c r="AX50" s="63">
        <f t="shared" si="38"/>
        <v>10</v>
      </c>
      <c r="AY50" s="63">
        <f t="shared" si="38"/>
        <v>10</v>
      </c>
      <c r="AZ50" s="63">
        <f t="shared" si="38"/>
        <v>10</v>
      </c>
      <c r="BA50" s="63">
        <f t="shared" si="38"/>
        <v>10</v>
      </c>
      <c r="BB50" s="63">
        <f t="shared" si="38"/>
        <v>10</v>
      </c>
      <c r="BC50" s="63">
        <f t="shared" si="38"/>
        <v>10</v>
      </c>
      <c r="BD50" s="63">
        <f t="shared" si="38"/>
        <v>10</v>
      </c>
      <c r="BE50" s="63">
        <f t="shared" si="38"/>
        <v>10</v>
      </c>
      <c r="BF50" s="63">
        <f t="shared" si="38"/>
        <v>10</v>
      </c>
      <c r="BG50" s="63">
        <f t="shared" si="38"/>
        <v>10</v>
      </c>
      <c r="BH50" s="63">
        <f t="shared" si="38"/>
        <v>10</v>
      </c>
      <c r="BI50" s="63">
        <f t="shared" si="38"/>
        <v>10</v>
      </c>
      <c r="BJ50" s="63">
        <f t="shared" si="38"/>
        <v>10</v>
      </c>
      <c r="BK50" s="63">
        <f t="shared" si="38"/>
        <v>10</v>
      </c>
      <c r="BL50" s="63">
        <f t="shared" si="38"/>
        <v>10</v>
      </c>
      <c r="BM50" s="63">
        <f t="shared" si="38"/>
        <v>10</v>
      </c>
      <c r="BN50" s="63">
        <f t="shared" si="38"/>
        <v>10</v>
      </c>
    </row>
    <row r="51" outlineLevel="1">
      <c r="A51" s="47"/>
      <c r="B51" s="73"/>
      <c r="C51" s="47"/>
      <c r="D51" s="74"/>
      <c r="E51" s="47"/>
      <c r="F51" s="47"/>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outlineLevel="1">
      <c r="A52" s="80"/>
      <c r="B52" s="65" t="s">
        <v>37</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row>
    <row r="53" outlineLevel="1">
      <c r="A53" s="80"/>
      <c r="B53" s="39" t="s">
        <v>38</v>
      </c>
      <c r="C53" s="80"/>
      <c r="D53" s="76">
        <v>2000.0</v>
      </c>
      <c r="E53" s="80"/>
      <c r="F53" s="80"/>
      <c r="G53" s="57">
        <f t="shared" ref="G53:G56" si="40">D53</f>
        <v>2000</v>
      </c>
      <c r="H53" s="57">
        <f t="shared" ref="H53:BN53" si="39">G53</f>
        <v>2000</v>
      </c>
      <c r="I53" s="57">
        <f t="shared" si="39"/>
        <v>2000</v>
      </c>
      <c r="J53" s="57">
        <f t="shared" si="39"/>
        <v>2000</v>
      </c>
      <c r="K53" s="57">
        <f t="shared" si="39"/>
        <v>2000</v>
      </c>
      <c r="L53" s="57">
        <f t="shared" si="39"/>
        <v>2000</v>
      </c>
      <c r="M53" s="57">
        <f t="shared" si="39"/>
        <v>2000</v>
      </c>
      <c r="N53" s="57">
        <f t="shared" si="39"/>
        <v>2000</v>
      </c>
      <c r="O53" s="57">
        <f t="shared" si="39"/>
        <v>2000</v>
      </c>
      <c r="P53" s="57">
        <f t="shared" si="39"/>
        <v>2000</v>
      </c>
      <c r="Q53" s="57">
        <f t="shared" si="39"/>
        <v>2000</v>
      </c>
      <c r="R53" s="57">
        <f t="shared" si="39"/>
        <v>2000</v>
      </c>
      <c r="S53" s="57">
        <f t="shared" si="39"/>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row>
    <row r="54" outlineLevel="1">
      <c r="A54" s="47"/>
      <c r="B54" s="39" t="s">
        <v>39</v>
      </c>
      <c r="C54" s="47"/>
      <c r="D54" s="76">
        <v>2.0</v>
      </c>
      <c r="E54" s="47"/>
      <c r="F54" s="47"/>
      <c r="G54" s="78">
        <f t="shared" si="40"/>
        <v>2</v>
      </c>
      <c r="H54" s="78">
        <f t="shared" ref="H54:BN54" si="41">G54</f>
        <v>2</v>
      </c>
      <c r="I54" s="78">
        <f t="shared" si="41"/>
        <v>2</v>
      </c>
      <c r="J54" s="78">
        <f t="shared" si="41"/>
        <v>2</v>
      </c>
      <c r="K54" s="78">
        <f t="shared" si="41"/>
        <v>2</v>
      </c>
      <c r="L54" s="78">
        <f t="shared" si="41"/>
        <v>2</v>
      </c>
      <c r="M54" s="78">
        <f t="shared" si="41"/>
        <v>2</v>
      </c>
      <c r="N54" s="78">
        <f t="shared" si="41"/>
        <v>2</v>
      </c>
      <c r="O54" s="78">
        <f t="shared" si="41"/>
        <v>2</v>
      </c>
      <c r="P54" s="78">
        <f t="shared" si="41"/>
        <v>2</v>
      </c>
      <c r="Q54" s="78">
        <f t="shared" si="41"/>
        <v>2</v>
      </c>
      <c r="R54" s="78">
        <f t="shared" si="41"/>
        <v>2</v>
      </c>
      <c r="S54" s="78">
        <f t="shared" si="41"/>
        <v>2</v>
      </c>
      <c r="T54" s="78">
        <f t="shared" si="41"/>
        <v>2</v>
      </c>
      <c r="U54" s="78">
        <f t="shared" si="41"/>
        <v>2</v>
      </c>
      <c r="V54" s="78">
        <f t="shared" si="41"/>
        <v>2</v>
      </c>
      <c r="W54" s="78">
        <f t="shared" si="41"/>
        <v>2</v>
      </c>
      <c r="X54" s="78">
        <f t="shared" si="41"/>
        <v>2</v>
      </c>
      <c r="Y54" s="78">
        <f t="shared" si="41"/>
        <v>2</v>
      </c>
      <c r="Z54" s="78">
        <f t="shared" si="41"/>
        <v>2</v>
      </c>
      <c r="AA54" s="78">
        <f t="shared" si="41"/>
        <v>2</v>
      </c>
      <c r="AB54" s="78">
        <f t="shared" si="41"/>
        <v>2</v>
      </c>
      <c r="AC54" s="78">
        <f t="shared" si="41"/>
        <v>2</v>
      </c>
      <c r="AD54" s="78">
        <f t="shared" si="41"/>
        <v>2</v>
      </c>
      <c r="AE54" s="78">
        <f t="shared" si="41"/>
        <v>2</v>
      </c>
      <c r="AF54" s="78">
        <f t="shared" si="41"/>
        <v>2</v>
      </c>
      <c r="AG54" s="78">
        <f t="shared" si="41"/>
        <v>2</v>
      </c>
      <c r="AH54" s="78">
        <f t="shared" si="41"/>
        <v>2</v>
      </c>
      <c r="AI54" s="78">
        <f t="shared" si="41"/>
        <v>2</v>
      </c>
      <c r="AJ54" s="78">
        <f t="shared" si="41"/>
        <v>2</v>
      </c>
      <c r="AK54" s="78">
        <f t="shared" si="41"/>
        <v>2</v>
      </c>
      <c r="AL54" s="78">
        <f t="shared" si="41"/>
        <v>2</v>
      </c>
      <c r="AM54" s="78">
        <f t="shared" si="41"/>
        <v>2</v>
      </c>
      <c r="AN54" s="78">
        <f t="shared" si="41"/>
        <v>2</v>
      </c>
      <c r="AO54" s="78">
        <f t="shared" si="41"/>
        <v>2</v>
      </c>
      <c r="AP54" s="78">
        <f t="shared" si="41"/>
        <v>2</v>
      </c>
      <c r="AQ54" s="78">
        <f t="shared" si="41"/>
        <v>2</v>
      </c>
      <c r="AR54" s="78">
        <f t="shared" si="41"/>
        <v>2</v>
      </c>
      <c r="AS54" s="78">
        <f t="shared" si="41"/>
        <v>2</v>
      </c>
      <c r="AT54" s="78">
        <f t="shared" si="41"/>
        <v>2</v>
      </c>
      <c r="AU54" s="78">
        <f t="shared" si="41"/>
        <v>2</v>
      </c>
      <c r="AV54" s="78">
        <f t="shared" si="41"/>
        <v>2</v>
      </c>
      <c r="AW54" s="78">
        <f t="shared" si="41"/>
        <v>2</v>
      </c>
      <c r="AX54" s="78">
        <f t="shared" si="41"/>
        <v>2</v>
      </c>
      <c r="AY54" s="78">
        <f t="shared" si="41"/>
        <v>2</v>
      </c>
      <c r="AZ54" s="78">
        <f t="shared" si="41"/>
        <v>2</v>
      </c>
      <c r="BA54" s="78">
        <f t="shared" si="41"/>
        <v>2</v>
      </c>
      <c r="BB54" s="78">
        <f t="shared" si="41"/>
        <v>2</v>
      </c>
      <c r="BC54" s="78">
        <f t="shared" si="41"/>
        <v>2</v>
      </c>
      <c r="BD54" s="78">
        <f t="shared" si="41"/>
        <v>2</v>
      </c>
      <c r="BE54" s="78">
        <f t="shared" si="41"/>
        <v>2</v>
      </c>
      <c r="BF54" s="78">
        <f t="shared" si="41"/>
        <v>2</v>
      </c>
      <c r="BG54" s="78">
        <f t="shared" si="41"/>
        <v>2</v>
      </c>
      <c r="BH54" s="78">
        <f t="shared" si="41"/>
        <v>2</v>
      </c>
      <c r="BI54" s="78">
        <f t="shared" si="41"/>
        <v>2</v>
      </c>
      <c r="BJ54" s="78">
        <f t="shared" si="41"/>
        <v>2</v>
      </c>
      <c r="BK54" s="78">
        <f t="shared" si="41"/>
        <v>2</v>
      </c>
      <c r="BL54" s="78">
        <f t="shared" si="41"/>
        <v>2</v>
      </c>
      <c r="BM54" s="78">
        <f t="shared" si="41"/>
        <v>2</v>
      </c>
      <c r="BN54" s="78">
        <f t="shared" si="41"/>
        <v>2</v>
      </c>
    </row>
    <row r="55" outlineLevel="1">
      <c r="A55" s="47"/>
      <c r="B55" s="39" t="s">
        <v>40</v>
      </c>
      <c r="C55" s="47"/>
      <c r="D55" s="87">
        <v>0.05</v>
      </c>
      <c r="E55" s="47"/>
      <c r="F55" s="47"/>
      <c r="G55" s="88">
        <f t="shared" si="40"/>
        <v>0.05</v>
      </c>
      <c r="H55" s="88">
        <f t="shared" ref="H55:BN55" si="42">G55</f>
        <v>0.05</v>
      </c>
      <c r="I55" s="88">
        <f t="shared" si="42"/>
        <v>0.05</v>
      </c>
      <c r="J55" s="88">
        <f t="shared" si="42"/>
        <v>0.05</v>
      </c>
      <c r="K55" s="88">
        <f t="shared" si="42"/>
        <v>0.05</v>
      </c>
      <c r="L55" s="88">
        <f t="shared" si="42"/>
        <v>0.05</v>
      </c>
      <c r="M55" s="88">
        <f t="shared" si="42"/>
        <v>0.05</v>
      </c>
      <c r="N55" s="88">
        <f t="shared" si="42"/>
        <v>0.05</v>
      </c>
      <c r="O55" s="88">
        <f t="shared" si="42"/>
        <v>0.05</v>
      </c>
      <c r="P55" s="88">
        <f t="shared" si="42"/>
        <v>0.05</v>
      </c>
      <c r="Q55" s="88">
        <f t="shared" si="42"/>
        <v>0.05</v>
      </c>
      <c r="R55" s="88">
        <f t="shared" si="42"/>
        <v>0.05</v>
      </c>
      <c r="S55" s="88">
        <f t="shared" si="42"/>
        <v>0.05</v>
      </c>
      <c r="T55" s="88">
        <f t="shared" si="42"/>
        <v>0.05</v>
      </c>
      <c r="U55" s="88">
        <f t="shared" si="42"/>
        <v>0.05</v>
      </c>
      <c r="V55" s="88">
        <f t="shared" si="42"/>
        <v>0.05</v>
      </c>
      <c r="W55" s="88">
        <f t="shared" si="42"/>
        <v>0.05</v>
      </c>
      <c r="X55" s="88">
        <f t="shared" si="42"/>
        <v>0.05</v>
      </c>
      <c r="Y55" s="88">
        <f t="shared" si="42"/>
        <v>0.05</v>
      </c>
      <c r="Z55" s="88">
        <f t="shared" si="42"/>
        <v>0.05</v>
      </c>
      <c r="AA55" s="88">
        <f t="shared" si="42"/>
        <v>0.05</v>
      </c>
      <c r="AB55" s="88">
        <f t="shared" si="42"/>
        <v>0.05</v>
      </c>
      <c r="AC55" s="88">
        <f t="shared" si="42"/>
        <v>0.05</v>
      </c>
      <c r="AD55" s="88">
        <f t="shared" si="42"/>
        <v>0.05</v>
      </c>
      <c r="AE55" s="88">
        <f t="shared" si="42"/>
        <v>0.05</v>
      </c>
      <c r="AF55" s="88">
        <f t="shared" si="42"/>
        <v>0.05</v>
      </c>
      <c r="AG55" s="88">
        <f t="shared" si="42"/>
        <v>0.05</v>
      </c>
      <c r="AH55" s="88">
        <f t="shared" si="42"/>
        <v>0.05</v>
      </c>
      <c r="AI55" s="88">
        <f t="shared" si="42"/>
        <v>0.05</v>
      </c>
      <c r="AJ55" s="88">
        <f t="shared" si="42"/>
        <v>0.05</v>
      </c>
      <c r="AK55" s="88">
        <f t="shared" si="42"/>
        <v>0.05</v>
      </c>
      <c r="AL55" s="88">
        <f t="shared" si="42"/>
        <v>0.05</v>
      </c>
      <c r="AM55" s="88">
        <f t="shared" si="42"/>
        <v>0.05</v>
      </c>
      <c r="AN55" s="88">
        <f t="shared" si="42"/>
        <v>0.05</v>
      </c>
      <c r="AO55" s="88">
        <f t="shared" si="42"/>
        <v>0.05</v>
      </c>
      <c r="AP55" s="88">
        <f t="shared" si="42"/>
        <v>0.05</v>
      </c>
      <c r="AQ55" s="88">
        <f t="shared" si="42"/>
        <v>0.05</v>
      </c>
      <c r="AR55" s="88">
        <f t="shared" si="42"/>
        <v>0.05</v>
      </c>
      <c r="AS55" s="88">
        <f t="shared" si="42"/>
        <v>0.05</v>
      </c>
      <c r="AT55" s="88">
        <f t="shared" si="42"/>
        <v>0.05</v>
      </c>
      <c r="AU55" s="88">
        <f t="shared" si="42"/>
        <v>0.05</v>
      </c>
      <c r="AV55" s="88">
        <f t="shared" si="42"/>
        <v>0.05</v>
      </c>
      <c r="AW55" s="88">
        <f t="shared" si="42"/>
        <v>0.05</v>
      </c>
      <c r="AX55" s="88">
        <f t="shared" si="42"/>
        <v>0.05</v>
      </c>
      <c r="AY55" s="88">
        <f t="shared" si="42"/>
        <v>0.05</v>
      </c>
      <c r="AZ55" s="88">
        <f t="shared" si="42"/>
        <v>0.05</v>
      </c>
      <c r="BA55" s="88">
        <f t="shared" si="42"/>
        <v>0.05</v>
      </c>
      <c r="BB55" s="88">
        <f t="shared" si="42"/>
        <v>0.05</v>
      </c>
      <c r="BC55" s="88">
        <f t="shared" si="42"/>
        <v>0.05</v>
      </c>
      <c r="BD55" s="88">
        <f t="shared" si="42"/>
        <v>0.05</v>
      </c>
      <c r="BE55" s="88">
        <f t="shared" si="42"/>
        <v>0.05</v>
      </c>
      <c r="BF55" s="88">
        <f t="shared" si="42"/>
        <v>0.05</v>
      </c>
      <c r="BG55" s="88">
        <f t="shared" si="42"/>
        <v>0.05</v>
      </c>
      <c r="BH55" s="88">
        <f t="shared" si="42"/>
        <v>0.05</v>
      </c>
      <c r="BI55" s="88">
        <f t="shared" si="42"/>
        <v>0.05</v>
      </c>
      <c r="BJ55" s="88">
        <f t="shared" si="42"/>
        <v>0.05</v>
      </c>
      <c r="BK55" s="88">
        <f t="shared" si="42"/>
        <v>0.05</v>
      </c>
      <c r="BL55" s="88">
        <f t="shared" si="42"/>
        <v>0.05</v>
      </c>
      <c r="BM55" s="88">
        <f t="shared" si="42"/>
        <v>0.05</v>
      </c>
      <c r="BN55" s="88">
        <f t="shared" si="42"/>
        <v>0.05</v>
      </c>
    </row>
    <row r="56" outlineLevel="1">
      <c r="A56" s="80"/>
      <c r="B56" s="59" t="s">
        <v>16</v>
      </c>
      <c r="C56" s="82"/>
      <c r="D56" s="83">
        <v>0.05</v>
      </c>
      <c r="E56" s="84"/>
      <c r="F56" s="84"/>
      <c r="G56" s="62">
        <f t="shared" si="40"/>
        <v>0.05</v>
      </c>
      <c r="H56" s="62">
        <f t="shared" ref="H56:BN56" si="43">G56</f>
        <v>0.05</v>
      </c>
      <c r="I56" s="62">
        <f t="shared" si="43"/>
        <v>0.05</v>
      </c>
      <c r="J56" s="62">
        <f t="shared" si="43"/>
        <v>0.05</v>
      </c>
      <c r="K56" s="62">
        <f t="shared" si="43"/>
        <v>0.05</v>
      </c>
      <c r="L56" s="62">
        <f t="shared" si="43"/>
        <v>0.05</v>
      </c>
      <c r="M56" s="62">
        <f t="shared" si="43"/>
        <v>0.05</v>
      </c>
      <c r="N56" s="62">
        <f t="shared" si="43"/>
        <v>0.05</v>
      </c>
      <c r="O56" s="62">
        <f t="shared" si="43"/>
        <v>0.05</v>
      </c>
      <c r="P56" s="62">
        <f t="shared" si="43"/>
        <v>0.05</v>
      </c>
      <c r="Q56" s="62">
        <f t="shared" si="43"/>
        <v>0.05</v>
      </c>
      <c r="R56" s="62">
        <f t="shared" si="43"/>
        <v>0.05</v>
      </c>
      <c r="S56" s="62">
        <f t="shared" si="43"/>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row>
    <row r="57" outlineLevel="1">
      <c r="A57" s="80"/>
      <c r="B57" s="85" t="s">
        <v>17</v>
      </c>
      <c r="C57" s="80"/>
      <c r="D57" s="74"/>
      <c r="E57" s="86"/>
      <c r="F57" s="86"/>
      <c r="G57" s="74">
        <f t="shared" ref="G57:BN57" si="44">G53*G54*G55*G56</f>
        <v>10</v>
      </c>
      <c r="H57" s="74">
        <f t="shared" si="44"/>
        <v>10</v>
      </c>
      <c r="I57" s="74">
        <f t="shared" si="44"/>
        <v>10</v>
      </c>
      <c r="J57" s="74">
        <f t="shared" si="44"/>
        <v>10</v>
      </c>
      <c r="K57" s="74">
        <f t="shared" si="44"/>
        <v>10</v>
      </c>
      <c r="L57" s="74">
        <f t="shared" si="44"/>
        <v>10</v>
      </c>
      <c r="M57" s="74">
        <f t="shared" si="44"/>
        <v>10</v>
      </c>
      <c r="N57" s="74">
        <f t="shared" si="44"/>
        <v>10</v>
      </c>
      <c r="O57" s="74">
        <f t="shared" si="44"/>
        <v>10</v>
      </c>
      <c r="P57" s="74">
        <f t="shared" si="44"/>
        <v>10</v>
      </c>
      <c r="Q57" s="74">
        <f t="shared" si="44"/>
        <v>10</v>
      </c>
      <c r="R57" s="74">
        <f t="shared" si="44"/>
        <v>10</v>
      </c>
      <c r="S57" s="74">
        <f t="shared" si="44"/>
        <v>10</v>
      </c>
      <c r="T57" s="74">
        <f t="shared" si="44"/>
        <v>10</v>
      </c>
      <c r="U57" s="74">
        <f t="shared" si="44"/>
        <v>10</v>
      </c>
      <c r="V57" s="74">
        <f t="shared" si="44"/>
        <v>10</v>
      </c>
      <c r="W57" s="74">
        <f t="shared" si="44"/>
        <v>10</v>
      </c>
      <c r="X57" s="74">
        <f t="shared" si="44"/>
        <v>10</v>
      </c>
      <c r="Y57" s="74">
        <f t="shared" si="44"/>
        <v>10</v>
      </c>
      <c r="Z57" s="74">
        <f t="shared" si="44"/>
        <v>10</v>
      </c>
      <c r="AA57" s="74">
        <f t="shared" si="44"/>
        <v>10</v>
      </c>
      <c r="AB57" s="74">
        <f t="shared" si="44"/>
        <v>10</v>
      </c>
      <c r="AC57" s="74">
        <f t="shared" si="44"/>
        <v>10</v>
      </c>
      <c r="AD57" s="74">
        <f t="shared" si="44"/>
        <v>10</v>
      </c>
      <c r="AE57" s="74">
        <f t="shared" si="44"/>
        <v>10</v>
      </c>
      <c r="AF57" s="74">
        <f t="shared" si="44"/>
        <v>10</v>
      </c>
      <c r="AG57" s="74">
        <f t="shared" si="44"/>
        <v>10</v>
      </c>
      <c r="AH57" s="74">
        <f t="shared" si="44"/>
        <v>10</v>
      </c>
      <c r="AI57" s="74">
        <f t="shared" si="44"/>
        <v>10</v>
      </c>
      <c r="AJ57" s="74">
        <f t="shared" si="44"/>
        <v>10</v>
      </c>
      <c r="AK57" s="74">
        <f t="shared" si="44"/>
        <v>10</v>
      </c>
      <c r="AL57" s="74">
        <f t="shared" si="44"/>
        <v>10</v>
      </c>
      <c r="AM57" s="74">
        <f t="shared" si="44"/>
        <v>10</v>
      </c>
      <c r="AN57" s="74">
        <f t="shared" si="44"/>
        <v>10</v>
      </c>
      <c r="AO57" s="74">
        <f t="shared" si="44"/>
        <v>10</v>
      </c>
      <c r="AP57" s="74">
        <f t="shared" si="44"/>
        <v>10</v>
      </c>
      <c r="AQ57" s="74">
        <f t="shared" si="44"/>
        <v>10</v>
      </c>
      <c r="AR57" s="74">
        <f t="shared" si="44"/>
        <v>10</v>
      </c>
      <c r="AS57" s="74">
        <f t="shared" si="44"/>
        <v>10</v>
      </c>
      <c r="AT57" s="74">
        <f t="shared" si="44"/>
        <v>10</v>
      </c>
      <c r="AU57" s="74">
        <f t="shared" si="44"/>
        <v>10</v>
      </c>
      <c r="AV57" s="74">
        <f t="shared" si="44"/>
        <v>10</v>
      </c>
      <c r="AW57" s="74">
        <f t="shared" si="44"/>
        <v>10</v>
      </c>
      <c r="AX57" s="74">
        <f t="shared" si="44"/>
        <v>10</v>
      </c>
      <c r="AY57" s="74">
        <f t="shared" si="44"/>
        <v>10</v>
      </c>
      <c r="AZ57" s="74">
        <f t="shared" si="44"/>
        <v>10</v>
      </c>
      <c r="BA57" s="74">
        <f t="shared" si="44"/>
        <v>10</v>
      </c>
      <c r="BB57" s="74">
        <f t="shared" si="44"/>
        <v>10</v>
      </c>
      <c r="BC57" s="74">
        <f t="shared" si="44"/>
        <v>10</v>
      </c>
      <c r="BD57" s="74">
        <f t="shared" si="44"/>
        <v>10</v>
      </c>
      <c r="BE57" s="74">
        <f t="shared" si="44"/>
        <v>10</v>
      </c>
      <c r="BF57" s="74">
        <f t="shared" si="44"/>
        <v>10</v>
      </c>
      <c r="BG57" s="74">
        <f t="shared" si="44"/>
        <v>10</v>
      </c>
      <c r="BH57" s="74">
        <f t="shared" si="44"/>
        <v>10</v>
      </c>
      <c r="BI57" s="74">
        <f t="shared" si="44"/>
        <v>10</v>
      </c>
      <c r="BJ57" s="74">
        <f t="shared" si="44"/>
        <v>10</v>
      </c>
      <c r="BK57" s="74">
        <f t="shared" si="44"/>
        <v>10</v>
      </c>
      <c r="BL57" s="74">
        <f t="shared" si="44"/>
        <v>10</v>
      </c>
      <c r="BM57" s="74">
        <f t="shared" si="44"/>
        <v>10</v>
      </c>
      <c r="BN57" s="74">
        <f t="shared" si="44"/>
        <v>10</v>
      </c>
    </row>
    <row r="58" outlineLevel="1">
      <c r="A58" s="47"/>
      <c r="B58" s="65"/>
      <c r="C58" s="47"/>
      <c r="D58" s="43"/>
      <c r="E58" s="47"/>
      <c r="F58" s="47"/>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outlineLevel="1">
      <c r="A59" s="47"/>
      <c r="B59" s="65" t="s">
        <v>41</v>
      </c>
      <c r="C59" s="47"/>
      <c r="D59" s="43"/>
      <c r="E59" s="47"/>
      <c r="F59" s="47"/>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outlineLevel="1">
      <c r="A60" s="47"/>
      <c r="B60" s="39" t="s">
        <v>42</v>
      </c>
      <c r="C60" s="47"/>
      <c r="D60" s="76">
        <v>3.0</v>
      </c>
      <c r="E60" s="47"/>
      <c r="F60" s="47"/>
      <c r="G60" s="79">
        <f t="shared" ref="G60:G62" si="46">D60</f>
        <v>3</v>
      </c>
      <c r="H60" s="79">
        <f t="shared" ref="H60:BN60" si="45">G60</f>
        <v>3</v>
      </c>
      <c r="I60" s="79">
        <f t="shared" si="45"/>
        <v>3</v>
      </c>
      <c r="J60" s="79">
        <f t="shared" si="45"/>
        <v>3</v>
      </c>
      <c r="K60" s="79">
        <f t="shared" si="45"/>
        <v>3</v>
      </c>
      <c r="L60" s="79">
        <f t="shared" si="45"/>
        <v>3</v>
      </c>
      <c r="M60" s="79">
        <f t="shared" si="45"/>
        <v>3</v>
      </c>
      <c r="N60" s="79">
        <f t="shared" si="45"/>
        <v>3</v>
      </c>
      <c r="O60" s="79">
        <f t="shared" si="45"/>
        <v>3</v>
      </c>
      <c r="P60" s="79">
        <f t="shared" si="45"/>
        <v>3</v>
      </c>
      <c r="Q60" s="79">
        <f t="shared" si="45"/>
        <v>3</v>
      </c>
      <c r="R60" s="79">
        <f t="shared" si="45"/>
        <v>3</v>
      </c>
      <c r="S60" s="79">
        <f t="shared" si="45"/>
        <v>3</v>
      </c>
      <c r="T60" s="79">
        <f t="shared" si="45"/>
        <v>3</v>
      </c>
      <c r="U60" s="79">
        <f t="shared" si="45"/>
        <v>3</v>
      </c>
      <c r="V60" s="79">
        <f t="shared" si="45"/>
        <v>3</v>
      </c>
      <c r="W60" s="79">
        <f t="shared" si="45"/>
        <v>3</v>
      </c>
      <c r="X60" s="79">
        <f t="shared" si="45"/>
        <v>3</v>
      </c>
      <c r="Y60" s="79">
        <f t="shared" si="45"/>
        <v>3</v>
      </c>
      <c r="Z60" s="79">
        <f t="shared" si="45"/>
        <v>3</v>
      </c>
      <c r="AA60" s="79">
        <f t="shared" si="45"/>
        <v>3</v>
      </c>
      <c r="AB60" s="79">
        <f t="shared" si="45"/>
        <v>3</v>
      </c>
      <c r="AC60" s="79">
        <f t="shared" si="45"/>
        <v>3</v>
      </c>
      <c r="AD60" s="79">
        <f t="shared" si="45"/>
        <v>3</v>
      </c>
      <c r="AE60" s="79">
        <f t="shared" si="45"/>
        <v>3</v>
      </c>
      <c r="AF60" s="79">
        <f t="shared" si="45"/>
        <v>3</v>
      </c>
      <c r="AG60" s="79">
        <f t="shared" si="45"/>
        <v>3</v>
      </c>
      <c r="AH60" s="79">
        <f t="shared" si="45"/>
        <v>3</v>
      </c>
      <c r="AI60" s="79">
        <f t="shared" si="45"/>
        <v>3</v>
      </c>
      <c r="AJ60" s="79">
        <f t="shared" si="45"/>
        <v>3</v>
      </c>
      <c r="AK60" s="79">
        <f t="shared" si="45"/>
        <v>3</v>
      </c>
      <c r="AL60" s="79">
        <f t="shared" si="45"/>
        <v>3</v>
      </c>
      <c r="AM60" s="79">
        <f t="shared" si="45"/>
        <v>3</v>
      </c>
      <c r="AN60" s="79">
        <f t="shared" si="45"/>
        <v>3</v>
      </c>
      <c r="AO60" s="79">
        <f t="shared" si="45"/>
        <v>3</v>
      </c>
      <c r="AP60" s="79">
        <f t="shared" si="45"/>
        <v>3</v>
      </c>
      <c r="AQ60" s="79">
        <f t="shared" si="45"/>
        <v>3</v>
      </c>
      <c r="AR60" s="79">
        <f t="shared" si="45"/>
        <v>3</v>
      </c>
      <c r="AS60" s="79">
        <f t="shared" si="45"/>
        <v>3</v>
      </c>
      <c r="AT60" s="79">
        <f t="shared" si="45"/>
        <v>3</v>
      </c>
      <c r="AU60" s="79">
        <f t="shared" si="45"/>
        <v>3</v>
      </c>
      <c r="AV60" s="79">
        <f t="shared" si="45"/>
        <v>3</v>
      </c>
      <c r="AW60" s="79">
        <f t="shared" si="45"/>
        <v>3</v>
      </c>
      <c r="AX60" s="79">
        <f t="shared" si="45"/>
        <v>3</v>
      </c>
      <c r="AY60" s="79">
        <f t="shared" si="45"/>
        <v>3</v>
      </c>
      <c r="AZ60" s="79">
        <f t="shared" si="45"/>
        <v>3</v>
      </c>
      <c r="BA60" s="79">
        <f t="shared" si="45"/>
        <v>3</v>
      </c>
      <c r="BB60" s="79">
        <f t="shared" si="45"/>
        <v>3</v>
      </c>
      <c r="BC60" s="79">
        <f t="shared" si="45"/>
        <v>3</v>
      </c>
      <c r="BD60" s="79">
        <f t="shared" si="45"/>
        <v>3</v>
      </c>
      <c r="BE60" s="79">
        <f t="shared" si="45"/>
        <v>3</v>
      </c>
      <c r="BF60" s="79">
        <f t="shared" si="45"/>
        <v>3</v>
      </c>
      <c r="BG60" s="79">
        <f t="shared" si="45"/>
        <v>3</v>
      </c>
      <c r="BH60" s="79">
        <f t="shared" si="45"/>
        <v>3</v>
      </c>
      <c r="BI60" s="79">
        <f t="shared" si="45"/>
        <v>3</v>
      </c>
      <c r="BJ60" s="79">
        <f t="shared" si="45"/>
        <v>3</v>
      </c>
      <c r="BK60" s="79">
        <f t="shared" si="45"/>
        <v>3</v>
      </c>
      <c r="BL60" s="79">
        <f t="shared" si="45"/>
        <v>3</v>
      </c>
      <c r="BM60" s="79">
        <f t="shared" si="45"/>
        <v>3</v>
      </c>
      <c r="BN60" s="79">
        <f t="shared" si="45"/>
        <v>3</v>
      </c>
    </row>
    <row r="61" outlineLevel="1">
      <c r="A61" s="47"/>
      <c r="B61" s="39" t="s">
        <v>43</v>
      </c>
      <c r="C61" s="47"/>
      <c r="D61" s="76">
        <v>50.0</v>
      </c>
      <c r="E61" s="47"/>
      <c r="F61" s="47"/>
      <c r="G61" s="79">
        <f t="shared" si="46"/>
        <v>50</v>
      </c>
      <c r="H61" s="79">
        <f t="shared" ref="H61:BN61" si="47">G61</f>
        <v>50</v>
      </c>
      <c r="I61" s="79">
        <f t="shared" si="47"/>
        <v>50</v>
      </c>
      <c r="J61" s="79">
        <f t="shared" si="47"/>
        <v>50</v>
      </c>
      <c r="K61" s="79">
        <f t="shared" si="47"/>
        <v>50</v>
      </c>
      <c r="L61" s="79">
        <f t="shared" si="47"/>
        <v>50</v>
      </c>
      <c r="M61" s="79">
        <f t="shared" si="47"/>
        <v>50</v>
      </c>
      <c r="N61" s="79">
        <f t="shared" si="47"/>
        <v>50</v>
      </c>
      <c r="O61" s="79">
        <f t="shared" si="47"/>
        <v>50</v>
      </c>
      <c r="P61" s="79">
        <f t="shared" si="47"/>
        <v>50</v>
      </c>
      <c r="Q61" s="79">
        <f t="shared" si="47"/>
        <v>50</v>
      </c>
      <c r="R61" s="79">
        <f t="shared" si="47"/>
        <v>50</v>
      </c>
      <c r="S61" s="79">
        <f t="shared" si="47"/>
        <v>50</v>
      </c>
      <c r="T61" s="79">
        <f t="shared" si="47"/>
        <v>50</v>
      </c>
      <c r="U61" s="79">
        <f t="shared" si="47"/>
        <v>50</v>
      </c>
      <c r="V61" s="79">
        <f t="shared" si="47"/>
        <v>50</v>
      </c>
      <c r="W61" s="79">
        <f t="shared" si="47"/>
        <v>50</v>
      </c>
      <c r="X61" s="79">
        <f t="shared" si="47"/>
        <v>50</v>
      </c>
      <c r="Y61" s="79">
        <f t="shared" si="47"/>
        <v>50</v>
      </c>
      <c r="Z61" s="79">
        <f t="shared" si="47"/>
        <v>50</v>
      </c>
      <c r="AA61" s="79">
        <f t="shared" si="47"/>
        <v>50</v>
      </c>
      <c r="AB61" s="79">
        <f t="shared" si="47"/>
        <v>50</v>
      </c>
      <c r="AC61" s="79">
        <f t="shared" si="47"/>
        <v>50</v>
      </c>
      <c r="AD61" s="79">
        <f t="shared" si="47"/>
        <v>50</v>
      </c>
      <c r="AE61" s="79">
        <f t="shared" si="47"/>
        <v>50</v>
      </c>
      <c r="AF61" s="79">
        <f t="shared" si="47"/>
        <v>50</v>
      </c>
      <c r="AG61" s="79">
        <f t="shared" si="47"/>
        <v>50</v>
      </c>
      <c r="AH61" s="79">
        <f t="shared" si="47"/>
        <v>50</v>
      </c>
      <c r="AI61" s="79">
        <f t="shared" si="47"/>
        <v>50</v>
      </c>
      <c r="AJ61" s="79">
        <f t="shared" si="47"/>
        <v>50</v>
      </c>
      <c r="AK61" s="79">
        <f t="shared" si="47"/>
        <v>50</v>
      </c>
      <c r="AL61" s="79">
        <f t="shared" si="47"/>
        <v>50</v>
      </c>
      <c r="AM61" s="79">
        <f t="shared" si="47"/>
        <v>50</v>
      </c>
      <c r="AN61" s="79">
        <f t="shared" si="47"/>
        <v>50</v>
      </c>
      <c r="AO61" s="79">
        <f t="shared" si="47"/>
        <v>50</v>
      </c>
      <c r="AP61" s="79">
        <f t="shared" si="47"/>
        <v>50</v>
      </c>
      <c r="AQ61" s="79">
        <f t="shared" si="47"/>
        <v>50</v>
      </c>
      <c r="AR61" s="79">
        <f t="shared" si="47"/>
        <v>50</v>
      </c>
      <c r="AS61" s="79">
        <f t="shared" si="47"/>
        <v>50</v>
      </c>
      <c r="AT61" s="79">
        <f t="shared" si="47"/>
        <v>50</v>
      </c>
      <c r="AU61" s="79">
        <f t="shared" si="47"/>
        <v>50</v>
      </c>
      <c r="AV61" s="79">
        <f t="shared" si="47"/>
        <v>50</v>
      </c>
      <c r="AW61" s="79">
        <f t="shared" si="47"/>
        <v>50</v>
      </c>
      <c r="AX61" s="79">
        <f t="shared" si="47"/>
        <v>50</v>
      </c>
      <c r="AY61" s="79">
        <f t="shared" si="47"/>
        <v>50</v>
      </c>
      <c r="AZ61" s="79">
        <f t="shared" si="47"/>
        <v>50</v>
      </c>
      <c r="BA61" s="79">
        <f t="shared" si="47"/>
        <v>50</v>
      </c>
      <c r="BB61" s="79">
        <f t="shared" si="47"/>
        <v>50</v>
      </c>
      <c r="BC61" s="79">
        <f t="shared" si="47"/>
        <v>50</v>
      </c>
      <c r="BD61" s="79">
        <f t="shared" si="47"/>
        <v>50</v>
      </c>
      <c r="BE61" s="79">
        <f t="shared" si="47"/>
        <v>50</v>
      </c>
      <c r="BF61" s="79">
        <f t="shared" si="47"/>
        <v>50</v>
      </c>
      <c r="BG61" s="79">
        <f t="shared" si="47"/>
        <v>50</v>
      </c>
      <c r="BH61" s="79">
        <f t="shared" si="47"/>
        <v>50</v>
      </c>
      <c r="BI61" s="79">
        <f t="shared" si="47"/>
        <v>50</v>
      </c>
      <c r="BJ61" s="79">
        <f t="shared" si="47"/>
        <v>50</v>
      </c>
      <c r="BK61" s="79">
        <f t="shared" si="47"/>
        <v>50</v>
      </c>
      <c r="BL61" s="79">
        <f t="shared" si="47"/>
        <v>50</v>
      </c>
      <c r="BM61" s="79">
        <f t="shared" si="47"/>
        <v>50</v>
      </c>
      <c r="BN61" s="79">
        <f t="shared" si="47"/>
        <v>50</v>
      </c>
    </row>
    <row r="62" outlineLevel="1">
      <c r="A62" s="47"/>
      <c r="B62" s="71" t="s">
        <v>16</v>
      </c>
      <c r="C62" s="59"/>
      <c r="D62" s="72">
        <v>0.05</v>
      </c>
      <c r="E62" s="61"/>
      <c r="F62" s="61"/>
      <c r="G62" s="62">
        <f t="shared" si="46"/>
        <v>0.05</v>
      </c>
      <c r="H62" s="62">
        <f t="shared" ref="H62:BN62" si="48">G62</f>
        <v>0.05</v>
      </c>
      <c r="I62" s="62">
        <f t="shared" si="48"/>
        <v>0.05</v>
      </c>
      <c r="J62" s="62">
        <f t="shared" si="48"/>
        <v>0.05</v>
      </c>
      <c r="K62" s="62">
        <f t="shared" si="48"/>
        <v>0.05</v>
      </c>
      <c r="L62" s="62">
        <f t="shared" si="48"/>
        <v>0.05</v>
      </c>
      <c r="M62" s="62">
        <f t="shared" si="48"/>
        <v>0.05</v>
      </c>
      <c r="N62" s="62">
        <f t="shared" si="48"/>
        <v>0.05</v>
      </c>
      <c r="O62" s="62">
        <f t="shared" si="48"/>
        <v>0.05</v>
      </c>
      <c r="P62" s="62">
        <f t="shared" si="48"/>
        <v>0.05</v>
      </c>
      <c r="Q62" s="62">
        <f t="shared" si="48"/>
        <v>0.05</v>
      </c>
      <c r="R62" s="62">
        <f t="shared" si="48"/>
        <v>0.05</v>
      </c>
      <c r="S62" s="62">
        <f t="shared" si="48"/>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row>
    <row r="63" outlineLevel="1">
      <c r="A63" s="47"/>
      <c r="B63" s="73" t="s">
        <v>17</v>
      </c>
      <c r="C63" s="47"/>
      <c r="D63" s="63"/>
      <c r="E63" s="64"/>
      <c r="F63" s="64"/>
      <c r="G63" s="63">
        <f t="shared" ref="G63:BN63" si="49">G60*G61*G62</f>
        <v>7.5</v>
      </c>
      <c r="H63" s="63">
        <f t="shared" si="49"/>
        <v>7.5</v>
      </c>
      <c r="I63" s="63">
        <f t="shared" si="49"/>
        <v>7.5</v>
      </c>
      <c r="J63" s="63">
        <f t="shared" si="49"/>
        <v>7.5</v>
      </c>
      <c r="K63" s="63">
        <f t="shared" si="49"/>
        <v>7.5</v>
      </c>
      <c r="L63" s="63">
        <f t="shared" si="49"/>
        <v>7.5</v>
      </c>
      <c r="M63" s="63">
        <f t="shared" si="49"/>
        <v>7.5</v>
      </c>
      <c r="N63" s="63">
        <f t="shared" si="49"/>
        <v>7.5</v>
      </c>
      <c r="O63" s="63">
        <f t="shared" si="49"/>
        <v>7.5</v>
      </c>
      <c r="P63" s="63">
        <f t="shared" si="49"/>
        <v>7.5</v>
      </c>
      <c r="Q63" s="63">
        <f t="shared" si="49"/>
        <v>7.5</v>
      </c>
      <c r="R63" s="63">
        <f t="shared" si="49"/>
        <v>7.5</v>
      </c>
      <c r="S63" s="63">
        <f t="shared" si="49"/>
        <v>7.5</v>
      </c>
      <c r="T63" s="63">
        <f t="shared" si="49"/>
        <v>7.5</v>
      </c>
      <c r="U63" s="63">
        <f t="shared" si="49"/>
        <v>7.5</v>
      </c>
      <c r="V63" s="63">
        <f t="shared" si="49"/>
        <v>7.5</v>
      </c>
      <c r="W63" s="63">
        <f t="shared" si="49"/>
        <v>7.5</v>
      </c>
      <c r="X63" s="63">
        <f t="shared" si="49"/>
        <v>7.5</v>
      </c>
      <c r="Y63" s="63">
        <f t="shared" si="49"/>
        <v>7.5</v>
      </c>
      <c r="Z63" s="63">
        <f t="shared" si="49"/>
        <v>7.5</v>
      </c>
      <c r="AA63" s="63">
        <f t="shared" si="49"/>
        <v>7.5</v>
      </c>
      <c r="AB63" s="63">
        <f t="shared" si="49"/>
        <v>7.5</v>
      </c>
      <c r="AC63" s="63">
        <f t="shared" si="49"/>
        <v>7.5</v>
      </c>
      <c r="AD63" s="63">
        <f t="shared" si="49"/>
        <v>7.5</v>
      </c>
      <c r="AE63" s="63">
        <f t="shared" si="49"/>
        <v>7.5</v>
      </c>
      <c r="AF63" s="63">
        <f t="shared" si="49"/>
        <v>7.5</v>
      </c>
      <c r="AG63" s="63">
        <f t="shared" si="49"/>
        <v>7.5</v>
      </c>
      <c r="AH63" s="63">
        <f t="shared" si="49"/>
        <v>7.5</v>
      </c>
      <c r="AI63" s="63">
        <f t="shared" si="49"/>
        <v>7.5</v>
      </c>
      <c r="AJ63" s="63">
        <f t="shared" si="49"/>
        <v>7.5</v>
      </c>
      <c r="AK63" s="63">
        <f t="shared" si="49"/>
        <v>7.5</v>
      </c>
      <c r="AL63" s="63">
        <f t="shared" si="49"/>
        <v>7.5</v>
      </c>
      <c r="AM63" s="63">
        <f t="shared" si="49"/>
        <v>7.5</v>
      </c>
      <c r="AN63" s="63">
        <f t="shared" si="49"/>
        <v>7.5</v>
      </c>
      <c r="AO63" s="63">
        <f t="shared" si="49"/>
        <v>7.5</v>
      </c>
      <c r="AP63" s="63">
        <f t="shared" si="49"/>
        <v>7.5</v>
      </c>
      <c r="AQ63" s="63">
        <f t="shared" si="49"/>
        <v>7.5</v>
      </c>
      <c r="AR63" s="63">
        <f t="shared" si="49"/>
        <v>7.5</v>
      </c>
      <c r="AS63" s="63">
        <f t="shared" si="49"/>
        <v>7.5</v>
      </c>
      <c r="AT63" s="63">
        <f t="shared" si="49"/>
        <v>7.5</v>
      </c>
      <c r="AU63" s="63">
        <f t="shared" si="49"/>
        <v>7.5</v>
      </c>
      <c r="AV63" s="63">
        <f t="shared" si="49"/>
        <v>7.5</v>
      </c>
      <c r="AW63" s="63">
        <f t="shared" si="49"/>
        <v>7.5</v>
      </c>
      <c r="AX63" s="63">
        <f t="shared" si="49"/>
        <v>7.5</v>
      </c>
      <c r="AY63" s="63">
        <f t="shared" si="49"/>
        <v>7.5</v>
      </c>
      <c r="AZ63" s="63">
        <f t="shared" si="49"/>
        <v>7.5</v>
      </c>
      <c r="BA63" s="63">
        <f t="shared" si="49"/>
        <v>7.5</v>
      </c>
      <c r="BB63" s="63">
        <f t="shared" si="49"/>
        <v>7.5</v>
      </c>
      <c r="BC63" s="63">
        <f t="shared" si="49"/>
        <v>7.5</v>
      </c>
      <c r="BD63" s="63">
        <f t="shared" si="49"/>
        <v>7.5</v>
      </c>
      <c r="BE63" s="63">
        <f t="shared" si="49"/>
        <v>7.5</v>
      </c>
      <c r="BF63" s="63">
        <f t="shared" si="49"/>
        <v>7.5</v>
      </c>
      <c r="BG63" s="63">
        <f t="shared" si="49"/>
        <v>7.5</v>
      </c>
      <c r="BH63" s="63">
        <f t="shared" si="49"/>
        <v>7.5</v>
      </c>
      <c r="BI63" s="63">
        <f t="shared" si="49"/>
        <v>7.5</v>
      </c>
      <c r="BJ63" s="63">
        <f t="shared" si="49"/>
        <v>7.5</v>
      </c>
      <c r="BK63" s="63">
        <f t="shared" si="49"/>
        <v>7.5</v>
      </c>
      <c r="BL63" s="63">
        <f t="shared" si="49"/>
        <v>7.5</v>
      </c>
      <c r="BM63" s="63">
        <f t="shared" si="49"/>
        <v>7.5</v>
      </c>
      <c r="BN63" s="63">
        <f t="shared" si="49"/>
        <v>7.5</v>
      </c>
    </row>
    <row r="64" outlineLevel="1">
      <c r="A64" s="47"/>
      <c r="B64" s="65"/>
      <c r="C64" s="47"/>
      <c r="D64" s="43"/>
      <c r="E64" s="47"/>
      <c r="F64" s="47"/>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outlineLevel="1">
      <c r="A65" s="47"/>
      <c r="B65" s="65" t="s">
        <v>44</v>
      </c>
      <c r="C65" s="47"/>
      <c r="D65" s="43"/>
      <c r="E65" s="47"/>
      <c r="F65" s="47"/>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outlineLevel="1">
      <c r="A66" s="47"/>
      <c r="B66" s="39" t="s">
        <v>45</v>
      </c>
      <c r="C66" s="47"/>
      <c r="D66" s="76">
        <v>25.0</v>
      </c>
      <c r="E66" s="47"/>
      <c r="F66" s="47"/>
      <c r="G66" s="79">
        <f t="shared" ref="G66:G68" si="51">D66</f>
        <v>25</v>
      </c>
      <c r="H66" s="79">
        <f t="shared" ref="H66:BN66" si="50">G66</f>
        <v>25</v>
      </c>
      <c r="I66" s="79">
        <f t="shared" si="50"/>
        <v>25</v>
      </c>
      <c r="J66" s="79">
        <f t="shared" si="50"/>
        <v>25</v>
      </c>
      <c r="K66" s="79">
        <f t="shared" si="50"/>
        <v>25</v>
      </c>
      <c r="L66" s="79">
        <f t="shared" si="50"/>
        <v>25</v>
      </c>
      <c r="M66" s="79">
        <f t="shared" si="50"/>
        <v>25</v>
      </c>
      <c r="N66" s="79">
        <f t="shared" si="50"/>
        <v>25</v>
      </c>
      <c r="O66" s="79">
        <f t="shared" si="50"/>
        <v>25</v>
      </c>
      <c r="P66" s="79">
        <f t="shared" si="50"/>
        <v>25</v>
      </c>
      <c r="Q66" s="79">
        <f t="shared" si="50"/>
        <v>25</v>
      </c>
      <c r="R66" s="79">
        <f t="shared" si="50"/>
        <v>25</v>
      </c>
      <c r="S66" s="79">
        <f t="shared" si="50"/>
        <v>25</v>
      </c>
      <c r="T66" s="79">
        <f t="shared" si="50"/>
        <v>25</v>
      </c>
      <c r="U66" s="79">
        <f t="shared" si="50"/>
        <v>25</v>
      </c>
      <c r="V66" s="79">
        <f t="shared" si="50"/>
        <v>25</v>
      </c>
      <c r="W66" s="79">
        <f t="shared" si="50"/>
        <v>25</v>
      </c>
      <c r="X66" s="79">
        <f t="shared" si="50"/>
        <v>25</v>
      </c>
      <c r="Y66" s="79">
        <f t="shared" si="50"/>
        <v>25</v>
      </c>
      <c r="Z66" s="79">
        <f t="shared" si="50"/>
        <v>25</v>
      </c>
      <c r="AA66" s="79">
        <f t="shared" si="50"/>
        <v>25</v>
      </c>
      <c r="AB66" s="79">
        <f t="shared" si="50"/>
        <v>25</v>
      </c>
      <c r="AC66" s="79">
        <f t="shared" si="50"/>
        <v>25</v>
      </c>
      <c r="AD66" s="79">
        <f t="shared" si="50"/>
        <v>25</v>
      </c>
      <c r="AE66" s="79">
        <f t="shared" si="50"/>
        <v>25</v>
      </c>
      <c r="AF66" s="79">
        <f t="shared" si="50"/>
        <v>25</v>
      </c>
      <c r="AG66" s="79">
        <f t="shared" si="50"/>
        <v>25</v>
      </c>
      <c r="AH66" s="79">
        <f t="shared" si="50"/>
        <v>25</v>
      </c>
      <c r="AI66" s="79">
        <f t="shared" si="50"/>
        <v>25</v>
      </c>
      <c r="AJ66" s="79">
        <f t="shared" si="50"/>
        <v>25</v>
      </c>
      <c r="AK66" s="79">
        <f t="shared" si="50"/>
        <v>25</v>
      </c>
      <c r="AL66" s="79">
        <f t="shared" si="50"/>
        <v>25</v>
      </c>
      <c r="AM66" s="79">
        <f t="shared" si="50"/>
        <v>25</v>
      </c>
      <c r="AN66" s="79">
        <f t="shared" si="50"/>
        <v>25</v>
      </c>
      <c r="AO66" s="79">
        <f t="shared" si="50"/>
        <v>25</v>
      </c>
      <c r="AP66" s="79">
        <f t="shared" si="50"/>
        <v>25</v>
      </c>
      <c r="AQ66" s="79">
        <f t="shared" si="50"/>
        <v>25</v>
      </c>
      <c r="AR66" s="79">
        <f t="shared" si="50"/>
        <v>25</v>
      </c>
      <c r="AS66" s="79">
        <f t="shared" si="50"/>
        <v>25</v>
      </c>
      <c r="AT66" s="79">
        <f t="shared" si="50"/>
        <v>25</v>
      </c>
      <c r="AU66" s="79">
        <f t="shared" si="50"/>
        <v>25</v>
      </c>
      <c r="AV66" s="79">
        <f t="shared" si="50"/>
        <v>25</v>
      </c>
      <c r="AW66" s="79">
        <f t="shared" si="50"/>
        <v>25</v>
      </c>
      <c r="AX66" s="79">
        <f t="shared" si="50"/>
        <v>25</v>
      </c>
      <c r="AY66" s="79">
        <f t="shared" si="50"/>
        <v>25</v>
      </c>
      <c r="AZ66" s="79">
        <f t="shared" si="50"/>
        <v>25</v>
      </c>
      <c r="BA66" s="79">
        <f t="shared" si="50"/>
        <v>25</v>
      </c>
      <c r="BB66" s="79">
        <f t="shared" si="50"/>
        <v>25</v>
      </c>
      <c r="BC66" s="79">
        <f t="shared" si="50"/>
        <v>25</v>
      </c>
      <c r="BD66" s="79">
        <f t="shared" si="50"/>
        <v>25</v>
      </c>
      <c r="BE66" s="79">
        <f t="shared" si="50"/>
        <v>25</v>
      </c>
      <c r="BF66" s="79">
        <f t="shared" si="50"/>
        <v>25</v>
      </c>
      <c r="BG66" s="79">
        <f t="shared" si="50"/>
        <v>25</v>
      </c>
      <c r="BH66" s="79">
        <f t="shared" si="50"/>
        <v>25</v>
      </c>
      <c r="BI66" s="79">
        <f t="shared" si="50"/>
        <v>25</v>
      </c>
      <c r="BJ66" s="79">
        <f t="shared" si="50"/>
        <v>25</v>
      </c>
      <c r="BK66" s="79">
        <f t="shared" si="50"/>
        <v>25</v>
      </c>
      <c r="BL66" s="79">
        <f t="shared" si="50"/>
        <v>25</v>
      </c>
      <c r="BM66" s="79">
        <f t="shared" si="50"/>
        <v>25</v>
      </c>
      <c r="BN66" s="79">
        <f t="shared" si="50"/>
        <v>25</v>
      </c>
    </row>
    <row r="67" outlineLevel="1">
      <c r="A67" s="47"/>
      <c r="B67" s="39" t="s">
        <v>46</v>
      </c>
      <c r="C67" s="47"/>
      <c r="D67" s="89">
        <v>2.0</v>
      </c>
      <c r="E67" s="47"/>
      <c r="F67" s="47"/>
      <c r="G67" s="90">
        <f t="shared" si="51"/>
        <v>2</v>
      </c>
      <c r="H67" s="90">
        <f t="shared" ref="H67:BN67" si="52">G67</f>
        <v>2</v>
      </c>
      <c r="I67" s="90">
        <f t="shared" si="52"/>
        <v>2</v>
      </c>
      <c r="J67" s="90">
        <f t="shared" si="52"/>
        <v>2</v>
      </c>
      <c r="K67" s="90">
        <f t="shared" si="52"/>
        <v>2</v>
      </c>
      <c r="L67" s="90">
        <f t="shared" si="52"/>
        <v>2</v>
      </c>
      <c r="M67" s="90">
        <f t="shared" si="52"/>
        <v>2</v>
      </c>
      <c r="N67" s="90">
        <f t="shared" si="52"/>
        <v>2</v>
      </c>
      <c r="O67" s="90">
        <f t="shared" si="52"/>
        <v>2</v>
      </c>
      <c r="P67" s="90">
        <f t="shared" si="52"/>
        <v>2</v>
      </c>
      <c r="Q67" s="90">
        <f t="shared" si="52"/>
        <v>2</v>
      </c>
      <c r="R67" s="90">
        <f t="shared" si="52"/>
        <v>2</v>
      </c>
      <c r="S67" s="90">
        <f t="shared" si="52"/>
        <v>2</v>
      </c>
      <c r="T67" s="90">
        <f t="shared" si="52"/>
        <v>2</v>
      </c>
      <c r="U67" s="90">
        <f t="shared" si="52"/>
        <v>2</v>
      </c>
      <c r="V67" s="90">
        <f t="shared" si="52"/>
        <v>2</v>
      </c>
      <c r="W67" s="90">
        <f t="shared" si="52"/>
        <v>2</v>
      </c>
      <c r="X67" s="90">
        <f t="shared" si="52"/>
        <v>2</v>
      </c>
      <c r="Y67" s="90">
        <f t="shared" si="52"/>
        <v>2</v>
      </c>
      <c r="Z67" s="90">
        <f t="shared" si="52"/>
        <v>2</v>
      </c>
      <c r="AA67" s="90">
        <f t="shared" si="52"/>
        <v>2</v>
      </c>
      <c r="AB67" s="90">
        <f t="shared" si="52"/>
        <v>2</v>
      </c>
      <c r="AC67" s="90">
        <f t="shared" si="52"/>
        <v>2</v>
      </c>
      <c r="AD67" s="90">
        <f t="shared" si="52"/>
        <v>2</v>
      </c>
      <c r="AE67" s="90">
        <f t="shared" si="52"/>
        <v>2</v>
      </c>
      <c r="AF67" s="90">
        <f t="shared" si="52"/>
        <v>2</v>
      </c>
      <c r="AG67" s="90">
        <f t="shared" si="52"/>
        <v>2</v>
      </c>
      <c r="AH67" s="90">
        <f t="shared" si="52"/>
        <v>2</v>
      </c>
      <c r="AI67" s="90">
        <f t="shared" si="52"/>
        <v>2</v>
      </c>
      <c r="AJ67" s="90">
        <f t="shared" si="52"/>
        <v>2</v>
      </c>
      <c r="AK67" s="90">
        <f t="shared" si="52"/>
        <v>2</v>
      </c>
      <c r="AL67" s="90">
        <f t="shared" si="52"/>
        <v>2</v>
      </c>
      <c r="AM67" s="90">
        <f t="shared" si="52"/>
        <v>2</v>
      </c>
      <c r="AN67" s="90">
        <f t="shared" si="52"/>
        <v>2</v>
      </c>
      <c r="AO67" s="90">
        <f t="shared" si="52"/>
        <v>2</v>
      </c>
      <c r="AP67" s="90">
        <f t="shared" si="52"/>
        <v>2</v>
      </c>
      <c r="AQ67" s="90">
        <f t="shared" si="52"/>
        <v>2</v>
      </c>
      <c r="AR67" s="90">
        <f t="shared" si="52"/>
        <v>2</v>
      </c>
      <c r="AS67" s="90">
        <f t="shared" si="52"/>
        <v>2</v>
      </c>
      <c r="AT67" s="90">
        <f t="shared" si="52"/>
        <v>2</v>
      </c>
      <c r="AU67" s="90">
        <f t="shared" si="52"/>
        <v>2</v>
      </c>
      <c r="AV67" s="90">
        <f t="shared" si="52"/>
        <v>2</v>
      </c>
      <c r="AW67" s="90">
        <f t="shared" si="52"/>
        <v>2</v>
      </c>
      <c r="AX67" s="90">
        <f t="shared" si="52"/>
        <v>2</v>
      </c>
      <c r="AY67" s="90">
        <f t="shared" si="52"/>
        <v>2</v>
      </c>
      <c r="AZ67" s="90">
        <f t="shared" si="52"/>
        <v>2</v>
      </c>
      <c r="BA67" s="90">
        <f t="shared" si="52"/>
        <v>2</v>
      </c>
      <c r="BB67" s="90">
        <f t="shared" si="52"/>
        <v>2</v>
      </c>
      <c r="BC67" s="90">
        <f t="shared" si="52"/>
        <v>2</v>
      </c>
      <c r="BD67" s="90">
        <f t="shared" si="52"/>
        <v>2</v>
      </c>
      <c r="BE67" s="90">
        <f t="shared" si="52"/>
        <v>2</v>
      </c>
      <c r="BF67" s="90">
        <f t="shared" si="52"/>
        <v>2</v>
      </c>
      <c r="BG67" s="90">
        <f t="shared" si="52"/>
        <v>2</v>
      </c>
      <c r="BH67" s="90">
        <f t="shared" si="52"/>
        <v>2</v>
      </c>
      <c r="BI67" s="90">
        <f t="shared" si="52"/>
        <v>2</v>
      </c>
      <c r="BJ67" s="90">
        <f t="shared" si="52"/>
        <v>2</v>
      </c>
      <c r="BK67" s="90">
        <f t="shared" si="52"/>
        <v>2</v>
      </c>
      <c r="BL67" s="90">
        <f t="shared" si="52"/>
        <v>2</v>
      </c>
      <c r="BM67" s="90">
        <f t="shared" si="52"/>
        <v>2</v>
      </c>
      <c r="BN67" s="90">
        <f t="shared" si="52"/>
        <v>2</v>
      </c>
    </row>
    <row r="68" outlineLevel="1">
      <c r="A68" s="47"/>
      <c r="B68" s="71" t="s">
        <v>16</v>
      </c>
      <c r="C68" s="59"/>
      <c r="D68" s="83">
        <v>0.2</v>
      </c>
      <c r="E68" s="61"/>
      <c r="F68" s="61"/>
      <c r="G68" s="62">
        <f t="shared" si="51"/>
        <v>0.2</v>
      </c>
      <c r="H68" s="62">
        <f t="shared" ref="H68:BN68" si="53">G68</f>
        <v>0.2</v>
      </c>
      <c r="I68" s="62">
        <f t="shared" si="53"/>
        <v>0.2</v>
      </c>
      <c r="J68" s="62">
        <f t="shared" si="53"/>
        <v>0.2</v>
      </c>
      <c r="K68" s="62">
        <f t="shared" si="53"/>
        <v>0.2</v>
      </c>
      <c r="L68" s="62">
        <f t="shared" si="53"/>
        <v>0.2</v>
      </c>
      <c r="M68" s="62">
        <f t="shared" si="53"/>
        <v>0.2</v>
      </c>
      <c r="N68" s="62">
        <f t="shared" si="53"/>
        <v>0.2</v>
      </c>
      <c r="O68" s="62">
        <f t="shared" si="53"/>
        <v>0.2</v>
      </c>
      <c r="P68" s="62">
        <f t="shared" si="53"/>
        <v>0.2</v>
      </c>
      <c r="Q68" s="62">
        <f t="shared" si="53"/>
        <v>0.2</v>
      </c>
      <c r="R68" s="62">
        <f t="shared" si="53"/>
        <v>0.2</v>
      </c>
      <c r="S68" s="62">
        <f t="shared" si="53"/>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row>
    <row r="69" outlineLevel="1">
      <c r="A69" s="47"/>
      <c r="B69" s="73" t="s">
        <v>17</v>
      </c>
      <c r="C69" s="47"/>
      <c r="D69" s="64"/>
      <c r="E69" s="64"/>
      <c r="F69" s="64"/>
      <c r="G69" s="91">
        <f t="shared" ref="G69:BN69" si="54">IFERROR(offset(G66,,-G67+1)*G68,0)</f>
        <v>0</v>
      </c>
      <c r="H69" s="91">
        <f t="shared" si="54"/>
        <v>5</v>
      </c>
      <c r="I69" s="91">
        <f t="shared" si="54"/>
        <v>5</v>
      </c>
      <c r="J69" s="91">
        <f t="shared" si="54"/>
        <v>5</v>
      </c>
      <c r="K69" s="91">
        <f t="shared" si="54"/>
        <v>5</v>
      </c>
      <c r="L69" s="91">
        <f t="shared" si="54"/>
        <v>5</v>
      </c>
      <c r="M69" s="91">
        <f t="shared" si="54"/>
        <v>5</v>
      </c>
      <c r="N69" s="91">
        <f t="shared" si="54"/>
        <v>5</v>
      </c>
      <c r="O69" s="91">
        <f t="shared" si="54"/>
        <v>5</v>
      </c>
      <c r="P69" s="91">
        <f t="shared" si="54"/>
        <v>5</v>
      </c>
      <c r="Q69" s="91">
        <f t="shared" si="54"/>
        <v>5</v>
      </c>
      <c r="R69" s="91">
        <f t="shared" si="54"/>
        <v>5</v>
      </c>
      <c r="S69" s="91">
        <f t="shared" si="54"/>
        <v>5</v>
      </c>
      <c r="T69" s="91">
        <f t="shared" si="54"/>
        <v>5</v>
      </c>
      <c r="U69" s="91">
        <f t="shared" si="54"/>
        <v>5</v>
      </c>
      <c r="V69" s="91">
        <f t="shared" si="54"/>
        <v>5</v>
      </c>
      <c r="W69" s="91">
        <f t="shared" si="54"/>
        <v>5</v>
      </c>
      <c r="X69" s="91">
        <f t="shared" si="54"/>
        <v>5</v>
      </c>
      <c r="Y69" s="91">
        <f t="shared" si="54"/>
        <v>5</v>
      </c>
      <c r="Z69" s="91">
        <f t="shared" si="54"/>
        <v>5</v>
      </c>
      <c r="AA69" s="91">
        <f t="shared" si="54"/>
        <v>5</v>
      </c>
      <c r="AB69" s="91">
        <f t="shared" si="54"/>
        <v>5</v>
      </c>
      <c r="AC69" s="91">
        <f t="shared" si="54"/>
        <v>5</v>
      </c>
      <c r="AD69" s="91">
        <f t="shared" si="54"/>
        <v>5</v>
      </c>
      <c r="AE69" s="91">
        <f t="shared" si="54"/>
        <v>5</v>
      </c>
      <c r="AF69" s="91">
        <f t="shared" si="54"/>
        <v>5</v>
      </c>
      <c r="AG69" s="91">
        <f t="shared" si="54"/>
        <v>5</v>
      </c>
      <c r="AH69" s="91">
        <f t="shared" si="54"/>
        <v>5</v>
      </c>
      <c r="AI69" s="91">
        <f t="shared" si="54"/>
        <v>5</v>
      </c>
      <c r="AJ69" s="91">
        <f t="shared" si="54"/>
        <v>5</v>
      </c>
      <c r="AK69" s="91">
        <f t="shared" si="54"/>
        <v>5</v>
      </c>
      <c r="AL69" s="91">
        <f t="shared" si="54"/>
        <v>5</v>
      </c>
      <c r="AM69" s="91">
        <f t="shared" si="54"/>
        <v>5</v>
      </c>
      <c r="AN69" s="91">
        <f t="shared" si="54"/>
        <v>5</v>
      </c>
      <c r="AO69" s="91">
        <f t="shared" si="54"/>
        <v>5</v>
      </c>
      <c r="AP69" s="91">
        <f t="shared" si="54"/>
        <v>5</v>
      </c>
      <c r="AQ69" s="91">
        <f t="shared" si="54"/>
        <v>5</v>
      </c>
      <c r="AR69" s="91">
        <f t="shared" si="54"/>
        <v>5</v>
      </c>
      <c r="AS69" s="91">
        <f t="shared" si="54"/>
        <v>5</v>
      </c>
      <c r="AT69" s="91">
        <f t="shared" si="54"/>
        <v>5</v>
      </c>
      <c r="AU69" s="91">
        <f t="shared" si="54"/>
        <v>5</v>
      </c>
      <c r="AV69" s="91">
        <f t="shared" si="54"/>
        <v>5</v>
      </c>
      <c r="AW69" s="91">
        <f t="shared" si="54"/>
        <v>5</v>
      </c>
      <c r="AX69" s="91">
        <f t="shared" si="54"/>
        <v>5</v>
      </c>
      <c r="AY69" s="91">
        <f t="shared" si="54"/>
        <v>5</v>
      </c>
      <c r="AZ69" s="91">
        <f t="shared" si="54"/>
        <v>5</v>
      </c>
      <c r="BA69" s="91">
        <f t="shared" si="54"/>
        <v>5</v>
      </c>
      <c r="BB69" s="91">
        <f t="shared" si="54"/>
        <v>5</v>
      </c>
      <c r="BC69" s="91">
        <f t="shared" si="54"/>
        <v>5</v>
      </c>
      <c r="BD69" s="91">
        <f t="shared" si="54"/>
        <v>5</v>
      </c>
      <c r="BE69" s="91">
        <f t="shared" si="54"/>
        <v>5</v>
      </c>
      <c r="BF69" s="91">
        <f t="shared" si="54"/>
        <v>5</v>
      </c>
      <c r="BG69" s="91">
        <f t="shared" si="54"/>
        <v>5</v>
      </c>
      <c r="BH69" s="91">
        <f t="shared" si="54"/>
        <v>5</v>
      </c>
      <c r="BI69" s="91">
        <f t="shared" si="54"/>
        <v>5</v>
      </c>
      <c r="BJ69" s="91">
        <f t="shared" si="54"/>
        <v>5</v>
      </c>
      <c r="BK69" s="91">
        <f t="shared" si="54"/>
        <v>5</v>
      </c>
      <c r="BL69" s="91">
        <f t="shared" si="54"/>
        <v>5</v>
      </c>
      <c r="BM69" s="91">
        <f t="shared" si="54"/>
        <v>5</v>
      </c>
      <c r="BN69" s="91">
        <f t="shared" si="54"/>
        <v>5</v>
      </c>
    </row>
    <row r="70" outlineLevel="1">
      <c r="A70" s="47"/>
      <c r="B70" s="92"/>
      <c r="C70" s="61"/>
      <c r="D70" s="61"/>
      <c r="E70" s="61"/>
      <c r="F70" s="61"/>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row>
    <row r="71" outlineLevel="1">
      <c r="A71" s="94"/>
      <c r="B71" s="95" t="s">
        <v>47</v>
      </c>
      <c r="C71" s="94"/>
      <c r="D71" s="96"/>
      <c r="E71" s="96"/>
      <c r="F71" s="96"/>
      <c r="G71" s="97">
        <f t="shared" ref="G71:BN71" si="55">G13+G19+G25+G31+G38+G44+G50+G57+G63+G69</f>
        <v>267.5</v>
      </c>
      <c r="H71" s="97">
        <f t="shared" si="55"/>
        <v>274.0125</v>
      </c>
      <c r="I71" s="97">
        <f t="shared" si="55"/>
        <v>274.1101875</v>
      </c>
      <c r="J71" s="97">
        <f t="shared" si="55"/>
        <v>274.1116528</v>
      </c>
      <c r="K71" s="97">
        <f t="shared" si="55"/>
        <v>274.1116748</v>
      </c>
      <c r="L71" s="97">
        <f t="shared" si="55"/>
        <v>274.1116751</v>
      </c>
      <c r="M71" s="97">
        <f t="shared" si="55"/>
        <v>274.1116751</v>
      </c>
      <c r="N71" s="97">
        <f t="shared" si="55"/>
        <v>274.1116751</v>
      </c>
      <c r="O71" s="97">
        <f t="shared" si="55"/>
        <v>274.1116751</v>
      </c>
      <c r="P71" s="97">
        <f t="shared" si="55"/>
        <v>274.1116751</v>
      </c>
      <c r="Q71" s="97">
        <f t="shared" si="55"/>
        <v>274.1116751</v>
      </c>
      <c r="R71" s="97">
        <f t="shared" si="55"/>
        <v>274.1116751</v>
      </c>
      <c r="S71" s="97">
        <f t="shared" si="55"/>
        <v>274.1116751</v>
      </c>
      <c r="T71" s="97">
        <f t="shared" si="55"/>
        <v>274.1116751</v>
      </c>
      <c r="U71" s="97">
        <f t="shared" si="55"/>
        <v>274.1116751</v>
      </c>
      <c r="V71" s="97">
        <f t="shared" si="55"/>
        <v>274.1116751</v>
      </c>
      <c r="W71" s="97">
        <f t="shared" si="55"/>
        <v>274.1116751</v>
      </c>
      <c r="X71" s="97">
        <f t="shared" si="55"/>
        <v>274.1116751</v>
      </c>
      <c r="Y71" s="97">
        <f t="shared" si="55"/>
        <v>274.1116751</v>
      </c>
      <c r="Z71" s="97">
        <f t="shared" si="55"/>
        <v>274.1116751</v>
      </c>
      <c r="AA71" s="97">
        <f t="shared" si="55"/>
        <v>274.1116751</v>
      </c>
      <c r="AB71" s="97">
        <f t="shared" si="55"/>
        <v>274.1116751</v>
      </c>
      <c r="AC71" s="97">
        <f t="shared" si="55"/>
        <v>274.1116751</v>
      </c>
      <c r="AD71" s="97">
        <f t="shared" si="55"/>
        <v>274.1116751</v>
      </c>
      <c r="AE71" s="97">
        <f t="shared" si="55"/>
        <v>274.1116751</v>
      </c>
      <c r="AF71" s="97">
        <f t="shared" si="55"/>
        <v>274.1116751</v>
      </c>
      <c r="AG71" s="97">
        <f t="shared" si="55"/>
        <v>274.1116751</v>
      </c>
      <c r="AH71" s="97">
        <f t="shared" si="55"/>
        <v>274.1116751</v>
      </c>
      <c r="AI71" s="97">
        <f t="shared" si="55"/>
        <v>274.1116751</v>
      </c>
      <c r="AJ71" s="97">
        <f t="shared" si="55"/>
        <v>274.1116751</v>
      </c>
      <c r="AK71" s="97">
        <f t="shared" si="55"/>
        <v>274.1116751</v>
      </c>
      <c r="AL71" s="97">
        <f t="shared" si="55"/>
        <v>274.1116751</v>
      </c>
      <c r="AM71" s="97">
        <f t="shared" si="55"/>
        <v>274.1116751</v>
      </c>
      <c r="AN71" s="97">
        <f t="shared" si="55"/>
        <v>274.1116751</v>
      </c>
      <c r="AO71" s="97">
        <f t="shared" si="55"/>
        <v>274.1116751</v>
      </c>
      <c r="AP71" s="97">
        <f t="shared" si="55"/>
        <v>274.1116751</v>
      </c>
      <c r="AQ71" s="97">
        <f t="shared" si="55"/>
        <v>274.1116751</v>
      </c>
      <c r="AR71" s="97">
        <f t="shared" si="55"/>
        <v>274.1116751</v>
      </c>
      <c r="AS71" s="97">
        <f t="shared" si="55"/>
        <v>274.1116751</v>
      </c>
      <c r="AT71" s="97">
        <f t="shared" si="55"/>
        <v>274.1116751</v>
      </c>
      <c r="AU71" s="97">
        <f t="shared" si="55"/>
        <v>274.1116751</v>
      </c>
      <c r="AV71" s="97">
        <f t="shared" si="55"/>
        <v>274.1116751</v>
      </c>
      <c r="AW71" s="97">
        <f t="shared" si="55"/>
        <v>274.1116751</v>
      </c>
      <c r="AX71" s="97">
        <f t="shared" si="55"/>
        <v>274.1116751</v>
      </c>
      <c r="AY71" s="97">
        <f t="shared" si="55"/>
        <v>274.1116751</v>
      </c>
      <c r="AZ71" s="97">
        <f t="shared" si="55"/>
        <v>274.1116751</v>
      </c>
      <c r="BA71" s="97">
        <f t="shared" si="55"/>
        <v>274.1116751</v>
      </c>
      <c r="BB71" s="97">
        <f t="shared" si="55"/>
        <v>274.1116751</v>
      </c>
      <c r="BC71" s="97">
        <f t="shared" si="55"/>
        <v>274.1116751</v>
      </c>
      <c r="BD71" s="97">
        <f t="shared" si="55"/>
        <v>274.1116751</v>
      </c>
      <c r="BE71" s="97">
        <f t="shared" si="55"/>
        <v>274.1116751</v>
      </c>
      <c r="BF71" s="97">
        <f t="shared" si="55"/>
        <v>274.1116751</v>
      </c>
      <c r="BG71" s="97">
        <f t="shared" si="55"/>
        <v>274.1116751</v>
      </c>
      <c r="BH71" s="97">
        <f t="shared" si="55"/>
        <v>274.1116751</v>
      </c>
      <c r="BI71" s="97">
        <f t="shared" si="55"/>
        <v>274.1116751</v>
      </c>
      <c r="BJ71" s="97">
        <f t="shared" si="55"/>
        <v>274.1116751</v>
      </c>
      <c r="BK71" s="97">
        <f t="shared" si="55"/>
        <v>274.1116751</v>
      </c>
      <c r="BL71" s="97">
        <f t="shared" si="55"/>
        <v>274.1116751</v>
      </c>
      <c r="BM71" s="97">
        <f t="shared" si="55"/>
        <v>274.1116751</v>
      </c>
      <c r="BN71" s="97">
        <f t="shared" si="55"/>
        <v>274.1116751</v>
      </c>
    </row>
    <row r="72">
      <c r="A72" s="47"/>
      <c r="B72" s="98"/>
      <c r="C72" s="47"/>
      <c r="D72" s="47"/>
      <c r="E72" s="47"/>
      <c r="F72" s="47"/>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c r="BC72" s="99"/>
      <c r="BD72" s="99"/>
      <c r="BE72" s="99"/>
      <c r="BF72" s="99"/>
      <c r="BG72" s="99"/>
      <c r="BH72" s="99"/>
      <c r="BI72" s="99"/>
      <c r="BJ72" s="99"/>
      <c r="BK72" s="99"/>
      <c r="BL72" s="99"/>
      <c r="BM72" s="99"/>
      <c r="BN72" s="99"/>
    </row>
    <row r="73">
      <c r="A73" s="47"/>
      <c r="B73" s="48" t="s">
        <v>48</v>
      </c>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47"/>
      <c r="B75" s="100" t="s">
        <v>49</v>
      </c>
      <c r="C75" s="101"/>
      <c r="D75" s="47"/>
      <c r="E75" s="47"/>
      <c r="F75" s="102"/>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row>
    <row r="76" outlineLevel="1">
      <c r="A76" s="47"/>
      <c r="B76" s="39" t="s">
        <v>50</v>
      </c>
      <c r="C76" s="101"/>
      <c r="D76" s="103">
        <v>1.0</v>
      </c>
      <c r="E76" s="47"/>
      <c r="F76" s="102"/>
      <c r="G76" s="88">
        <f>D76</f>
        <v>1</v>
      </c>
      <c r="H76" s="88">
        <f t="shared" ref="H76:BN76" si="56">G76</f>
        <v>1</v>
      </c>
      <c r="I76" s="88">
        <f t="shared" si="56"/>
        <v>1</v>
      </c>
      <c r="J76" s="88">
        <f t="shared" si="56"/>
        <v>1</v>
      </c>
      <c r="K76" s="88">
        <f t="shared" si="56"/>
        <v>1</v>
      </c>
      <c r="L76" s="88">
        <f t="shared" si="56"/>
        <v>1</v>
      </c>
      <c r="M76" s="88">
        <f t="shared" si="56"/>
        <v>1</v>
      </c>
      <c r="N76" s="88">
        <f t="shared" si="56"/>
        <v>1</v>
      </c>
      <c r="O76" s="88">
        <f t="shared" si="56"/>
        <v>1</v>
      </c>
      <c r="P76" s="88">
        <f t="shared" si="56"/>
        <v>1</v>
      </c>
      <c r="Q76" s="88">
        <f t="shared" si="56"/>
        <v>1</v>
      </c>
      <c r="R76" s="88">
        <f t="shared" si="56"/>
        <v>1</v>
      </c>
      <c r="S76" s="88">
        <f t="shared" si="56"/>
        <v>1</v>
      </c>
      <c r="T76" s="88">
        <f t="shared" si="56"/>
        <v>1</v>
      </c>
      <c r="U76" s="88">
        <f t="shared" si="56"/>
        <v>1</v>
      </c>
      <c r="V76" s="88">
        <f t="shared" si="56"/>
        <v>1</v>
      </c>
      <c r="W76" s="88">
        <f t="shared" si="56"/>
        <v>1</v>
      </c>
      <c r="X76" s="88">
        <f t="shared" si="56"/>
        <v>1</v>
      </c>
      <c r="Y76" s="88">
        <f t="shared" si="56"/>
        <v>1</v>
      </c>
      <c r="Z76" s="88">
        <f t="shared" si="56"/>
        <v>1</v>
      </c>
      <c r="AA76" s="88">
        <f t="shared" si="56"/>
        <v>1</v>
      </c>
      <c r="AB76" s="88">
        <f t="shared" si="56"/>
        <v>1</v>
      </c>
      <c r="AC76" s="88">
        <f t="shared" si="56"/>
        <v>1</v>
      </c>
      <c r="AD76" s="88">
        <f t="shared" si="56"/>
        <v>1</v>
      </c>
      <c r="AE76" s="88">
        <f t="shared" si="56"/>
        <v>1</v>
      </c>
      <c r="AF76" s="88">
        <f t="shared" si="56"/>
        <v>1</v>
      </c>
      <c r="AG76" s="88">
        <f t="shared" si="56"/>
        <v>1</v>
      </c>
      <c r="AH76" s="88">
        <f t="shared" si="56"/>
        <v>1</v>
      </c>
      <c r="AI76" s="88">
        <f t="shared" si="56"/>
        <v>1</v>
      </c>
      <c r="AJ76" s="88">
        <f t="shared" si="56"/>
        <v>1</v>
      </c>
      <c r="AK76" s="88">
        <f t="shared" si="56"/>
        <v>1</v>
      </c>
      <c r="AL76" s="88">
        <f t="shared" si="56"/>
        <v>1</v>
      </c>
      <c r="AM76" s="88">
        <f t="shared" si="56"/>
        <v>1</v>
      </c>
      <c r="AN76" s="88">
        <f t="shared" si="56"/>
        <v>1</v>
      </c>
      <c r="AO76" s="88">
        <f t="shared" si="56"/>
        <v>1</v>
      </c>
      <c r="AP76" s="88">
        <f t="shared" si="56"/>
        <v>1</v>
      </c>
      <c r="AQ76" s="88">
        <f t="shared" si="56"/>
        <v>1</v>
      </c>
      <c r="AR76" s="88">
        <f t="shared" si="56"/>
        <v>1</v>
      </c>
      <c r="AS76" s="88">
        <f t="shared" si="56"/>
        <v>1</v>
      </c>
      <c r="AT76" s="88">
        <f t="shared" si="56"/>
        <v>1</v>
      </c>
      <c r="AU76" s="88">
        <f t="shared" si="56"/>
        <v>1</v>
      </c>
      <c r="AV76" s="88">
        <f t="shared" si="56"/>
        <v>1</v>
      </c>
      <c r="AW76" s="88">
        <f t="shared" si="56"/>
        <v>1</v>
      </c>
      <c r="AX76" s="88">
        <f t="shared" si="56"/>
        <v>1</v>
      </c>
      <c r="AY76" s="88">
        <f t="shared" si="56"/>
        <v>1</v>
      </c>
      <c r="AZ76" s="88">
        <f t="shared" si="56"/>
        <v>1</v>
      </c>
      <c r="BA76" s="88">
        <f t="shared" si="56"/>
        <v>1</v>
      </c>
      <c r="BB76" s="88">
        <f t="shared" si="56"/>
        <v>1</v>
      </c>
      <c r="BC76" s="88">
        <f t="shared" si="56"/>
        <v>1</v>
      </c>
      <c r="BD76" s="88">
        <f t="shared" si="56"/>
        <v>1</v>
      </c>
      <c r="BE76" s="88">
        <f t="shared" si="56"/>
        <v>1</v>
      </c>
      <c r="BF76" s="88">
        <f t="shared" si="56"/>
        <v>1</v>
      </c>
      <c r="BG76" s="88">
        <f t="shared" si="56"/>
        <v>1</v>
      </c>
      <c r="BH76" s="88">
        <f t="shared" si="56"/>
        <v>1</v>
      </c>
      <c r="BI76" s="88">
        <f t="shared" si="56"/>
        <v>1</v>
      </c>
      <c r="BJ76" s="88">
        <f t="shared" si="56"/>
        <v>1</v>
      </c>
      <c r="BK76" s="88">
        <f t="shared" si="56"/>
        <v>1</v>
      </c>
      <c r="BL76" s="88">
        <f t="shared" si="56"/>
        <v>1</v>
      </c>
      <c r="BM76" s="88">
        <f t="shared" si="56"/>
        <v>1</v>
      </c>
      <c r="BN76" s="88">
        <f t="shared" si="56"/>
        <v>1</v>
      </c>
    </row>
    <row r="77" outlineLevel="1">
      <c r="A77" s="47"/>
      <c r="B77" s="39" t="s">
        <v>51</v>
      </c>
      <c r="C77" s="101"/>
      <c r="D77" s="104"/>
      <c r="E77" s="47"/>
      <c r="F77" s="104"/>
      <c r="G77" s="104">
        <f t="shared" ref="G77:BN77" si="57">G76*G71</f>
        <v>267.5</v>
      </c>
      <c r="H77" s="104">
        <f t="shared" si="57"/>
        <v>274.0125</v>
      </c>
      <c r="I77" s="104">
        <f t="shared" si="57"/>
        <v>274.1101875</v>
      </c>
      <c r="J77" s="104">
        <f t="shared" si="57"/>
        <v>274.1116528</v>
      </c>
      <c r="K77" s="104">
        <f t="shared" si="57"/>
        <v>274.1116748</v>
      </c>
      <c r="L77" s="104">
        <f t="shared" si="57"/>
        <v>274.1116751</v>
      </c>
      <c r="M77" s="104">
        <f t="shared" si="57"/>
        <v>274.1116751</v>
      </c>
      <c r="N77" s="104">
        <f t="shared" si="57"/>
        <v>274.1116751</v>
      </c>
      <c r="O77" s="104">
        <f t="shared" si="57"/>
        <v>274.1116751</v>
      </c>
      <c r="P77" s="104">
        <f t="shared" si="57"/>
        <v>274.1116751</v>
      </c>
      <c r="Q77" s="104">
        <f t="shared" si="57"/>
        <v>274.1116751</v>
      </c>
      <c r="R77" s="104">
        <f t="shared" si="57"/>
        <v>274.1116751</v>
      </c>
      <c r="S77" s="104">
        <f t="shared" si="57"/>
        <v>274.1116751</v>
      </c>
      <c r="T77" s="104">
        <f t="shared" si="57"/>
        <v>274.1116751</v>
      </c>
      <c r="U77" s="104">
        <f t="shared" si="57"/>
        <v>274.1116751</v>
      </c>
      <c r="V77" s="104">
        <f t="shared" si="57"/>
        <v>274.1116751</v>
      </c>
      <c r="W77" s="104">
        <f t="shared" si="57"/>
        <v>274.1116751</v>
      </c>
      <c r="X77" s="104">
        <f t="shared" si="57"/>
        <v>274.1116751</v>
      </c>
      <c r="Y77" s="104">
        <f t="shared" si="57"/>
        <v>274.1116751</v>
      </c>
      <c r="Z77" s="104">
        <f t="shared" si="57"/>
        <v>274.1116751</v>
      </c>
      <c r="AA77" s="104">
        <f t="shared" si="57"/>
        <v>274.1116751</v>
      </c>
      <c r="AB77" s="104">
        <f t="shared" si="57"/>
        <v>274.1116751</v>
      </c>
      <c r="AC77" s="104">
        <f t="shared" si="57"/>
        <v>274.1116751</v>
      </c>
      <c r="AD77" s="104">
        <f t="shared" si="57"/>
        <v>274.1116751</v>
      </c>
      <c r="AE77" s="104">
        <f t="shared" si="57"/>
        <v>274.1116751</v>
      </c>
      <c r="AF77" s="104">
        <f t="shared" si="57"/>
        <v>274.1116751</v>
      </c>
      <c r="AG77" s="104">
        <f t="shared" si="57"/>
        <v>274.1116751</v>
      </c>
      <c r="AH77" s="104">
        <f t="shared" si="57"/>
        <v>274.1116751</v>
      </c>
      <c r="AI77" s="104">
        <f t="shared" si="57"/>
        <v>274.1116751</v>
      </c>
      <c r="AJ77" s="104">
        <f t="shared" si="57"/>
        <v>274.1116751</v>
      </c>
      <c r="AK77" s="104">
        <f t="shared" si="57"/>
        <v>274.1116751</v>
      </c>
      <c r="AL77" s="104">
        <f t="shared" si="57"/>
        <v>274.1116751</v>
      </c>
      <c r="AM77" s="104">
        <f t="shared" si="57"/>
        <v>274.1116751</v>
      </c>
      <c r="AN77" s="104">
        <f t="shared" si="57"/>
        <v>274.1116751</v>
      </c>
      <c r="AO77" s="104">
        <f t="shared" si="57"/>
        <v>274.1116751</v>
      </c>
      <c r="AP77" s="104">
        <f t="shared" si="57"/>
        <v>274.1116751</v>
      </c>
      <c r="AQ77" s="104">
        <f t="shared" si="57"/>
        <v>274.1116751</v>
      </c>
      <c r="AR77" s="104">
        <f t="shared" si="57"/>
        <v>274.1116751</v>
      </c>
      <c r="AS77" s="104">
        <f t="shared" si="57"/>
        <v>274.1116751</v>
      </c>
      <c r="AT77" s="104">
        <f t="shared" si="57"/>
        <v>274.1116751</v>
      </c>
      <c r="AU77" s="104">
        <f t="shared" si="57"/>
        <v>274.1116751</v>
      </c>
      <c r="AV77" s="104">
        <f t="shared" si="57"/>
        <v>274.1116751</v>
      </c>
      <c r="AW77" s="104">
        <f t="shared" si="57"/>
        <v>274.1116751</v>
      </c>
      <c r="AX77" s="104">
        <f t="shared" si="57"/>
        <v>274.1116751</v>
      </c>
      <c r="AY77" s="104">
        <f t="shared" si="57"/>
        <v>274.1116751</v>
      </c>
      <c r="AZ77" s="104">
        <f t="shared" si="57"/>
        <v>274.1116751</v>
      </c>
      <c r="BA77" s="104">
        <f t="shared" si="57"/>
        <v>274.1116751</v>
      </c>
      <c r="BB77" s="104">
        <f t="shared" si="57"/>
        <v>274.1116751</v>
      </c>
      <c r="BC77" s="104">
        <f t="shared" si="57"/>
        <v>274.1116751</v>
      </c>
      <c r="BD77" s="104">
        <f t="shared" si="57"/>
        <v>274.1116751</v>
      </c>
      <c r="BE77" s="104">
        <f t="shared" si="57"/>
        <v>274.1116751</v>
      </c>
      <c r="BF77" s="104">
        <f t="shared" si="57"/>
        <v>274.1116751</v>
      </c>
      <c r="BG77" s="104">
        <f t="shared" si="57"/>
        <v>274.1116751</v>
      </c>
      <c r="BH77" s="104">
        <f t="shared" si="57"/>
        <v>274.1116751</v>
      </c>
      <c r="BI77" s="104">
        <f t="shared" si="57"/>
        <v>274.1116751</v>
      </c>
      <c r="BJ77" s="104">
        <f t="shared" si="57"/>
        <v>274.1116751</v>
      </c>
      <c r="BK77" s="104">
        <f t="shared" si="57"/>
        <v>274.1116751</v>
      </c>
      <c r="BL77" s="104">
        <f t="shared" si="57"/>
        <v>274.1116751</v>
      </c>
      <c r="BM77" s="104">
        <f t="shared" si="57"/>
        <v>274.1116751</v>
      </c>
      <c r="BN77" s="104">
        <f t="shared" si="57"/>
        <v>274.1116751</v>
      </c>
    </row>
    <row r="78" outlineLevel="1">
      <c r="A78" s="47"/>
      <c r="B78" s="39" t="s">
        <v>52</v>
      </c>
      <c r="C78" s="101"/>
      <c r="D78" s="103">
        <v>0.05</v>
      </c>
      <c r="E78" s="47"/>
      <c r="F78" s="102"/>
      <c r="G78" s="88">
        <f>D78</f>
        <v>0.05</v>
      </c>
      <c r="H78" s="88">
        <f t="shared" ref="H78:BN78" si="58">G78</f>
        <v>0.05</v>
      </c>
      <c r="I78" s="88">
        <f t="shared" si="58"/>
        <v>0.05</v>
      </c>
      <c r="J78" s="88">
        <f t="shared" si="58"/>
        <v>0.05</v>
      </c>
      <c r="K78" s="88">
        <f t="shared" si="58"/>
        <v>0.05</v>
      </c>
      <c r="L78" s="88">
        <f t="shared" si="58"/>
        <v>0.05</v>
      </c>
      <c r="M78" s="88">
        <f t="shared" si="58"/>
        <v>0.05</v>
      </c>
      <c r="N78" s="88">
        <f t="shared" si="58"/>
        <v>0.05</v>
      </c>
      <c r="O78" s="88">
        <f t="shared" si="58"/>
        <v>0.05</v>
      </c>
      <c r="P78" s="88">
        <f t="shared" si="58"/>
        <v>0.05</v>
      </c>
      <c r="Q78" s="88">
        <f t="shared" si="58"/>
        <v>0.05</v>
      </c>
      <c r="R78" s="88">
        <f t="shared" si="58"/>
        <v>0.05</v>
      </c>
      <c r="S78" s="88">
        <f t="shared" si="58"/>
        <v>0.05</v>
      </c>
      <c r="T78" s="88">
        <f t="shared" si="58"/>
        <v>0.05</v>
      </c>
      <c r="U78" s="88">
        <f t="shared" si="58"/>
        <v>0.05</v>
      </c>
      <c r="V78" s="88">
        <f t="shared" si="58"/>
        <v>0.05</v>
      </c>
      <c r="W78" s="88">
        <f t="shared" si="58"/>
        <v>0.05</v>
      </c>
      <c r="X78" s="88">
        <f t="shared" si="58"/>
        <v>0.05</v>
      </c>
      <c r="Y78" s="88">
        <f t="shared" si="58"/>
        <v>0.05</v>
      </c>
      <c r="Z78" s="88">
        <f t="shared" si="58"/>
        <v>0.05</v>
      </c>
      <c r="AA78" s="88">
        <f t="shared" si="58"/>
        <v>0.05</v>
      </c>
      <c r="AB78" s="88">
        <f t="shared" si="58"/>
        <v>0.05</v>
      </c>
      <c r="AC78" s="88">
        <f t="shared" si="58"/>
        <v>0.05</v>
      </c>
      <c r="AD78" s="88">
        <f t="shared" si="58"/>
        <v>0.05</v>
      </c>
      <c r="AE78" s="88">
        <f t="shared" si="58"/>
        <v>0.05</v>
      </c>
      <c r="AF78" s="88">
        <f t="shared" si="58"/>
        <v>0.05</v>
      </c>
      <c r="AG78" s="88">
        <f t="shared" si="58"/>
        <v>0.05</v>
      </c>
      <c r="AH78" s="88">
        <f t="shared" si="58"/>
        <v>0.05</v>
      </c>
      <c r="AI78" s="88">
        <f t="shared" si="58"/>
        <v>0.05</v>
      </c>
      <c r="AJ78" s="88">
        <f t="shared" si="58"/>
        <v>0.05</v>
      </c>
      <c r="AK78" s="88">
        <f t="shared" si="58"/>
        <v>0.05</v>
      </c>
      <c r="AL78" s="88">
        <f t="shared" si="58"/>
        <v>0.05</v>
      </c>
      <c r="AM78" s="88">
        <f t="shared" si="58"/>
        <v>0.05</v>
      </c>
      <c r="AN78" s="88">
        <f t="shared" si="58"/>
        <v>0.05</v>
      </c>
      <c r="AO78" s="88">
        <f t="shared" si="58"/>
        <v>0.05</v>
      </c>
      <c r="AP78" s="88">
        <f t="shared" si="58"/>
        <v>0.05</v>
      </c>
      <c r="AQ78" s="88">
        <f t="shared" si="58"/>
        <v>0.05</v>
      </c>
      <c r="AR78" s="88">
        <f t="shared" si="58"/>
        <v>0.05</v>
      </c>
      <c r="AS78" s="88">
        <f t="shared" si="58"/>
        <v>0.05</v>
      </c>
      <c r="AT78" s="88">
        <f t="shared" si="58"/>
        <v>0.05</v>
      </c>
      <c r="AU78" s="88">
        <f t="shared" si="58"/>
        <v>0.05</v>
      </c>
      <c r="AV78" s="88">
        <f t="shared" si="58"/>
        <v>0.05</v>
      </c>
      <c r="AW78" s="88">
        <f t="shared" si="58"/>
        <v>0.05</v>
      </c>
      <c r="AX78" s="88">
        <f t="shared" si="58"/>
        <v>0.05</v>
      </c>
      <c r="AY78" s="88">
        <f t="shared" si="58"/>
        <v>0.05</v>
      </c>
      <c r="AZ78" s="88">
        <f t="shared" si="58"/>
        <v>0.05</v>
      </c>
      <c r="BA78" s="88">
        <f t="shared" si="58"/>
        <v>0.05</v>
      </c>
      <c r="BB78" s="88">
        <f t="shared" si="58"/>
        <v>0.05</v>
      </c>
      <c r="BC78" s="88">
        <f t="shared" si="58"/>
        <v>0.05</v>
      </c>
      <c r="BD78" s="88">
        <f t="shared" si="58"/>
        <v>0.05</v>
      </c>
      <c r="BE78" s="88">
        <f t="shared" si="58"/>
        <v>0.05</v>
      </c>
      <c r="BF78" s="88">
        <f t="shared" si="58"/>
        <v>0.05</v>
      </c>
      <c r="BG78" s="88">
        <f t="shared" si="58"/>
        <v>0.05</v>
      </c>
      <c r="BH78" s="88">
        <f t="shared" si="58"/>
        <v>0.05</v>
      </c>
      <c r="BI78" s="88">
        <f t="shared" si="58"/>
        <v>0.05</v>
      </c>
      <c r="BJ78" s="88">
        <f t="shared" si="58"/>
        <v>0.05</v>
      </c>
      <c r="BK78" s="88">
        <f t="shared" si="58"/>
        <v>0.05</v>
      </c>
      <c r="BL78" s="88">
        <f t="shared" si="58"/>
        <v>0.05</v>
      </c>
      <c r="BM78" s="88">
        <f t="shared" si="58"/>
        <v>0.05</v>
      </c>
      <c r="BN78" s="88">
        <f t="shared" si="58"/>
        <v>0.05</v>
      </c>
    </row>
    <row r="79" outlineLevel="1">
      <c r="A79" s="47"/>
      <c r="B79" s="39" t="s">
        <v>53</v>
      </c>
      <c r="C79" s="101"/>
      <c r="D79" s="104"/>
      <c r="E79" s="47"/>
      <c r="F79" s="104"/>
      <c r="G79" s="104">
        <f t="shared" ref="G79:BN79" si="59">G82*G78</f>
        <v>0</v>
      </c>
      <c r="H79" s="104">
        <f t="shared" si="59"/>
        <v>13.375</v>
      </c>
      <c r="I79" s="104">
        <f t="shared" si="59"/>
        <v>26.406875</v>
      </c>
      <c r="J79" s="104">
        <f t="shared" si="59"/>
        <v>38.79204063</v>
      </c>
      <c r="K79" s="104">
        <f t="shared" si="59"/>
        <v>50.55802123</v>
      </c>
      <c r="L79" s="104">
        <f t="shared" si="59"/>
        <v>61.73570391</v>
      </c>
      <c r="M79" s="104">
        <f t="shared" si="59"/>
        <v>72.35450247</v>
      </c>
      <c r="N79" s="104">
        <f t="shared" si="59"/>
        <v>82.44236111</v>
      </c>
      <c r="O79" s="104">
        <f t="shared" si="59"/>
        <v>92.02582681</v>
      </c>
      <c r="P79" s="104">
        <f t="shared" si="59"/>
        <v>101.1301192</v>
      </c>
      <c r="Q79" s="104">
        <f t="shared" si="59"/>
        <v>109.779197</v>
      </c>
      <c r="R79" s="104">
        <f t="shared" si="59"/>
        <v>117.9958209</v>
      </c>
      <c r="S79" s="104">
        <f t="shared" si="59"/>
        <v>125.8016136</v>
      </c>
      <c r="T79" s="104">
        <f t="shared" si="59"/>
        <v>133.2171167</v>
      </c>
      <c r="U79" s="104">
        <f t="shared" si="59"/>
        <v>140.2618446</v>
      </c>
      <c r="V79" s="104">
        <f t="shared" si="59"/>
        <v>146.9543362</v>
      </c>
      <c r="W79" s="104">
        <f t="shared" si="59"/>
        <v>153.3122031</v>
      </c>
      <c r="X79" s="104">
        <f t="shared" si="59"/>
        <v>159.3521767</v>
      </c>
      <c r="Y79" s="104">
        <f t="shared" si="59"/>
        <v>165.0901516</v>
      </c>
      <c r="Z79" s="104">
        <f t="shared" si="59"/>
        <v>170.5412278</v>
      </c>
      <c r="AA79" s="104">
        <f t="shared" si="59"/>
        <v>175.7197502</v>
      </c>
      <c r="AB79" s="104">
        <f t="shared" si="59"/>
        <v>180.6393464</v>
      </c>
      <c r="AC79" s="104">
        <f t="shared" si="59"/>
        <v>185.3129629</v>
      </c>
      <c r="AD79" s="104">
        <f t="shared" si="59"/>
        <v>189.7528985</v>
      </c>
      <c r="AE79" s="104">
        <f t="shared" si="59"/>
        <v>193.9708373</v>
      </c>
      <c r="AF79" s="104">
        <f t="shared" si="59"/>
        <v>197.9778792</v>
      </c>
      <c r="AG79" s="104">
        <f t="shared" si="59"/>
        <v>201.784569</v>
      </c>
      <c r="AH79" s="104">
        <f t="shared" si="59"/>
        <v>205.4009243</v>
      </c>
      <c r="AI79" s="104">
        <f t="shared" si="59"/>
        <v>208.8364618</v>
      </c>
      <c r="AJ79" s="104">
        <f t="shared" si="59"/>
        <v>212.1002225</v>
      </c>
      <c r="AK79" s="104">
        <f t="shared" si="59"/>
        <v>215.2007951</v>
      </c>
      <c r="AL79" s="104">
        <f t="shared" si="59"/>
        <v>218.1463391</v>
      </c>
      <c r="AM79" s="104">
        <f t="shared" si="59"/>
        <v>220.9446059</v>
      </c>
      <c r="AN79" s="104">
        <f t="shared" si="59"/>
        <v>223.6029594</v>
      </c>
      <c r="AO79" s="104">
        <f t="shared" si="59"/>
        <v>226.1283952</v>
      </c>
      <c r="AP79" s="104">
        <f t="shared" si="59"/>
        <v>228.5275592</v>
      </c>
      <c r="AQ79" s="104">
        <f t="shared" si="59"/>
        <v>230.806765</v>
      </c>
      <c r="AR79" s="104">
        <f t="shared" si="59"/>
        <v>232.9720105</v>
      </c>
      <c r="AS79" s="104">
        <f t="shared" si="59"/>
        <v>235.0289937</v>
      </c>
      <c r="AT79" s="104">
        <f t="shared" si="59"/>
        <v>236.9831278</v>
      </c>
      <c r="AU79" s="104">
        <f t="shared" si="59"/>
        <v>238.8395551</v>
      </c>
      <c r="AV79" s="104">
        <f t="shared" si="59"/>
        <v>240.6031611</v>
      </c>
      <c r="AW79" s="104">
        <f t="shared" si="59"/>
        <v>242.2785868</v>
      </c>
      <c r="AX79" s="104">
        <f t="shared" si="59"/>
        <v>243.8702413</v>
      </c>
      <c r="AY79" s="104">
        <f t="shared" si="59"/>
        <v>245.382313</v>
      </c>
      <c r="AZ79" s="104">
        <f t="shared" si="59"/>
        <v>246.8187811</v>
      </c>
      <c r="BA79" s="104">
        <f t="shared" si="59"/>
        <v>248.1834258</v>
      </c>
      <c r="BB79" s="104">
        <f t="shared" si="59"/>
        <v>249.4798382</v>
      </c>
      <c r="BC79" s="104">
        <f t="shared" si="59"/>
        <v>250.7114301</v>
      </c>
      <c r="BD79" s="104">
        <f t="shared" si="59"/>
        <v>251.8814423</v>
      </c>
      <c r="BE79" s="104">
        <f t="shared" si="59"/>
        <v>252.992954</v>
      </c>
      <c r="BF79" s="104">
        <f t="shared" si="59"/>
        <v>254.04889</v>
      </c>
      <c r="BG79" s="104">
        <f t="shared" si="59"/>
        <v>255.0520293</v>
      </c>
      <c r="BH79" s="104">
        <f t="shared" si="59"/>
        <v>256.0050116</v>
      </c>
      <c r="BI79" s="104">
        <f t="shared" si="59"/>
        <v>256.9103448</v>
      </c>
      <c r="BJ79" s="104">
        <f t="shared" si="59"/>
        <v>257.7704113</v>
      </c>
      <c r="BK79" s="104">
        <f t="shared" si="59"/>
        <v>258.5874745</v>
      </c>
      <c r="BL79" s="104">
        <f t="shared" si="59"/>
        <v>259.3636845</v>
      </c>
      <c r="BM79" s="104">
        <f t="shared" si="59"/>
        <v>260.101084</v>
      </c>
      <c r="BN79" s="104">
        <f t="shared" si="59"/>
        <v>260.8016136</v>
      </c>
    </row>
    <row r="80" outlineLevel="1">
      <c r="A80" s="47"/>
      <c r="B80" s="39" t="s">
        <v>54</v>
      </c>
      <c r="C80" s="101"/>
      <c r="D80" s="47"/>
      <c r="E80" s="47"/>
      <c r="F80" s="47"/>
      <c r="G80" s="104">
        <f t="shared" ref="G80:BN80" si="60">G82-G79</f>
        <v>0</v>
      </c>
      <c r="H80" s="104">
        <f t="shared" si="60"/>
        <v>254.125</v>
      </c>
      <c r="I80" s="104">
        <f t="shared" si="60"/>
        <v>501.730625</v>
      </c>
      <c r="J80" s="104">
        <f t="shared" si="60"/>
        <v>737.0487719</v>
      </c>
      <c r="K80" s="104">
        <f t="shared" si="60"/>
        <v>960.6024035</v>
      </c>
      <c r="L80" s="104">
        <f t="shared" si="60"/>
        <v>1172.978374</v>
      </c>
      <c r="M80" s="104">
        <f t="shared" si="60"/>
        <v>1374.735547</v>
      </c>
      <c r="N80" s="104">
        <f t="shared" si="60"/>
        <v>1566.404861</v>
      </c>
      <c r="O80" s="104">
        <f t="shared" si="60"/>
        <v>1748.490709</v>
      </c>
      <c r="P80" s="104">
        <f t="shared" si="60"/>
        <v>1921.472265</v>
      </c>
      <c r="Q80" s="104">
        <f t="shared" si="60"/>
        <v>2085.804743</v>
      </c>
      <c r="R80" s="104">
        <f t="shared" si="60"/>
        <v>2241.920598</v>
      </c>
      <c r="S80" s="104">
        <f t="shared" si="60"/>
        <v>2390.230659</v>
      </c>
      <c r="T80" s="104">
        <f t="shared" si="60"/>
        <v>2531.125217</v>
      </c>
      <c r="U80" s="104">
        <f t="shared" si="60"/>
        <v>2664.975048</v>
      </c>
      <c r="V80" s="104">
        <f t="shared" si="60"/>
        <v>2792.132387</v>
      </c>
      <c r="W80" s="104">
        <f t="shared" si="60"/>
        <v>2912.931859</v>
      </c>
      <c r="X80" s="104">
        <f t="shared" si="60"/>
        <v>3027.691357</v>
      </c>
      <c r="Y80" s="104">
        <f t="shared" si="60"/>
        <v>3136.712881</v>
      </c>
      <c r="Z80" s="104">
        <f t="shared" si="60"/>
        <v>3240.283328</v>
      </c>
      <c r="AA80" s="104">
        <f t="shared" si="60"/>
        <v>3338.675253</v>
      </c>
      <c r="AB80" s="104">
        <f t="shared" si="60"/>
        <v>3432.147582</v>
      </c>
      <c r="AC80" s="104">
        <f t="shared" si="60"/>
        <v>3520.946294</v>
      </c>
      <c r="AD80" s="104">
        <f t="shared" si="60"/>
        <v>3605.305071</v>
      </c>
      <c r="AE80" s="104">
        <f t="shared" si="60"/>
        <v>3685.445909</v>
      </c>
      <c r="AF80" s="104">
        <f t="shared" si="60"/>
        <v>3761.579705</v>
      </c>
      <c r="AG80" s="104">
        <f t="shared" si="60"/>
        <v>3833.906811</v>
      </c>
      <c r="AH80" s="104">
        <f t="shared" si="60"/>
        <v>3902.617562</v>
      </c>
      <c r="AI80" s="104">
        <f t="shared" si="60"/>
        <v>3967.892775</v>
      </c>
      <c r="AJ80" s="104">
        <f t="shared" si="60"/>
        <v>4029.904227</v>
      </c>
      <c r="AK80" s="104">
        <f t="shared" si="60"/>
        <v>4088.815107</v>
      </c>
      <c r="AL80" s="104">
        <f t="shared" si="60"/>
        <v>4144.780443</v>
      </c>
      <c r="AM80" s="104">
        <f t="shared" si="60"/>
        <v>4197.947513</v>
      </c>
      <c r="AN80" s="104">
        <f t="shared" si="60"/>
        <v>4248.456228</v>
      </c>
      <c r="AO80" s="104">
        <f t="shared" si="60"/>
        <v>4296.439508</v>
      </c>
      <c r="AP80" s="104">
        <f t="shared" si="60"/>
        <v>4342.023624</v>
      </c>
      <c r="AQ80" s="104">
        <f t="shared" si="60"/>
        <v>4385.328534</v>
      </c>
      <c r="AR80" s="104">
        <f t="shared" si="60"/>
        <v>4426.468199</v>
      </c>
      <c r="AS80" s="104">
        <f t="shared" si="60"/>
        <v>4465.550881</v>
      </c>
      <c r="AT80" s="104">
        <f t="shared" si="60"/>
        <v>4502.679428</v>
      </c>
      <c r="AU80" s="104">
        <f t="shared" si="60"/>
        <v>4537.951548</v>
      </c>
      <c r="AV80" s="104">
        <f t="shared" si="60"/>
        <v>4571.460062</v>
      </c>
      <c r="AW80" s="104">
        <f t="shared" si="60"/>
        <v>4603.29315</v>
      </c>
      <c r="AX80" s="104">
        <f t="shared" si="60"/>
        <v>4633.534584</v>
      </c>
      <c r="AY80" s="104">
        <f t="shared" si="60"/>
        <v>4662.263946</v>
      </c>
      <c r="AZ80" s="104">
        <f t="shared" si="60"/>
        <v>4689.55684</v>
      </c>
      <c r="BA80" s="104">
        <f t="shared" si="60"/>
        <v>4715.48509</v>
      </c>
      <c r="BB80" s="104">
        <f t="shared" si="60"/>
        <v>4740.116926</v>
      </c>
      <c r="BC80" s="104">
        <f t="shared" si="60"/>
        <v>4763.517172</v>
      </c>
      <c r="BD80" s="104">
        <f t="shared" si="60"/>
        <v>4785.747404</v>
      </c>
      <c r="BE80" s="104">
        <f t="shared" si="60"/>
        <v>4806.866125</v>
      </c>
      <c r="BF80" s="104">
        <f t="shared" si="60"/>
        <v>4826.928911</v>
      </c>
      <c r="BG80" s="104">
        <f t="shared" si="60"/>
        <v>4845.988556</v>
      </c>
      <c r="BH80" s="104">
        <f t="shared" si="60"/>
        <v>4864.09522</v>
      </c>
      <c r="BI80" s="104">
        <f t="shared" si="60"/>
        <v>4881.29655</v>
      </c>
      <c r="BJ80" s="104">
        <f t="shared" si="60"/>
        <v>4897.637814</v>
      </c>
      <c r="BK80" s="104">
        <f t="shared" si="60"/>
        <v>4913.162015</v>
      </c>
      <c r="BL80" s="104">
        <f t="shared" si="60"/>
        <v>4927.910005</v>
      </c>
      <c r="BM80" s="104">
        <f t="shared" si="60"/>
        <v>4941.920597</v>
      </c>
      <c r="BN80" s="104">
        <f t="shared" si="60"/>
        <v>4955.230658</v>
      </c>
    </row>
    <row r="81" outlineLevel="1">
      <c r="A81" s="47"/>
      <c r="B81" s="39" t="s">
        <v>55</v>
      </c>
      <c r="C81" s="101"/>
      <c r="D81" s="47"/>
      <c r="E81" s="47"/>
      <c r="F81" s="47"/>
      <c r="G81" s="104">
        <f t="shared" ref="G81:BN81" si="61">G77+G80</f>
        <v>267.5</v>
      </c>
      <c r="H81" s="104">
        <f t="shared" si="61"/>
        <v>528.1375</v>
      </c>
      <c r="I81" s="104">
        <f t="shared" si="61"/>
        <v>775.8408125</v>
      </c>
      <c r="J81" s="104">
        <f t="shared" si="61"/>
        <v>1011.160425</v>
      </c>
      <c r="K81" s="104">
        <f t="shared" si="61"/>
        <v>1234.714078</v>
      </c>
      <c r="L81" s="104">
        <f t="shared" si="61"/>
        <v>1447.090049</v>
      </c>
      <c r="M81" s="104">
        <f t="shared" si="61"/>
        <v>1648.847222</v>
      </c>
      <c r="N81" s="104">
        <f t="shared" si="61"/>
        <v>1840.516536</v>
      </c>
      <c r="O81" s="104">
        <f t="shared" si="61"/>
        <v>2022.602384</v>
      </c>
      <c r="P81" s="104">
        <f t="shared" si="61"/>
        <v>2195.58394</v>
      </c>
      <c r="Q81" s="104">
        <f t="shared" si="61"/>
        <v>2359.916418</v>
      </c>
      <c r="R81" s="104">
        <f t="shared" si="61"/>
        <v>2516.032273</v>
      </c>
      <c r="S81" s="104">
        <f t="shared" si="61"/>
        <v>2664.342334</v>
      </c>
      <c r="T81" s="104">
        <f t="shared" si="61"/>
        <v>2805.236893</v>
      </c>
      <c r="U81" s="104">
        <f t="shared" si="61"/>
        <v>2939.086723</v>
      </c>
      <c r="V81" s="104">
        <f t="shared" si="61"/>
        <v>3066.244062</v>
      </c>
      <c r="W81" s="104">
        <f t="shared" si="61"/>
        <v>3187.043534</v>
      </c>
      <c r="X81" s="104">
        <f t="shared" si="61"/>
        <v>3301.803032</v>
      </c>
      <c r="Y81" s="104">
        <f t="shared" si="61"/>
        <v>3410.824556</v>
      </c>
      <c r="Z81" s="104">
        <f t="shared" si="61"/>
        <v>3514.395003</v>
      </c>
      <c r="AA81" s="104">
        <f t="shared" si="61"/>
        <v>3612.786928</v>
      </c>
      <c r="AB81" s="104">
        <f t="shared" si="61"/>
        <v>3706.259257</v>
      </c>
      <c r="AC81" s="104">
        <f t="shared" si="61"/>
        <v>3795.057969</v>
      </c>
      <c r="AD81" s="104">
        <f t="shared" si="61"/>
        <v>3879.416746</v>
      </c>
      <c r="AE81" s="104">
        <f t="shared" si="61"/>
        <v>3959.557584</v>
      </c>
      <c r="AF81" s="104">
        <f t="shared" si="61"/>
        <v>4035.69138</v>
      </c>
      <c r="AG81" s="104">
        <f t="shared" si="61"/>
        <v>4108.018486</v>
      </c>
      <c r="AH81" s="104">
        <f t="shared" si="61"/>
        <v>4176.729237</v>
      </c>
      <c r="AI81" s="104">
        <f t="shared" si="61"/>
        <v>4242.00445</v>
      </c>
      <c r="AJ81" s="104">
        <f t="shared" si="61"/>
        <v>4304.015903</v>
      </c>
      <c r="AK81" s="104">
        <f t="shared" si="61"/>
        <v>4362.926783</v>
      </c>
      <c r="AL81" s="104">
        <f t="shared" si="61"/>
        <v>4418.892119</v>
      </c>
      <c r="AM81" s="104">
        <f t="shared" si="61"/>
        <v>4472.059188</v>
      </c>
      <c r="AN81" s="104">
        <f t="shared" si="61"/>
        <v>4522.567904</v>
      </c>
      <c r="AO81" s="104">
        <f t="shared" si="61"/>
        <v>4570.551183</v>
      </c>
      <c r="AP81" s="104">
        <f t="shared" si="61"/>
        <v>4616.135299</v>
      </c>
      <c r="AQ81" s="104">
        <f t="shared" si="61"/>
        <v>4659.44021</v>
      </c>
      <c r="AR81" s="104">
        <f t="shared" si="61"/>
        <v>4700.579874</v>
      </c>
      <c r="AS81" s="104">
        <f t="shared" si="61"/>
        <v>4739.662556</v>
      </c>
      <c r="AT81" s="104">
        <f t="shared" si="61"/>
        <v>4776.791103</v>
      </c>
      <c r="AU81" s="104">
        <f t="shared" si="61"/>
        <v>4812.063223</v>
      </c>
      <c r="AV81" s="104">
        <f t="shared" si="61"/>
        <v>4845.571737</v>
      </c>
      <c r="AW81" s="104">
        <f t="shared" si="61"/>
        <v>4877.404825</v>
      </c>
      <c r="AX81" s="104">
        <f t="shared" si="61"/>
        <v>4907.646259</v>
      </c>
      <c r="AY81" s="104">
        <f t="shared" si="61"/>
        <v>4936.375621</v>
      </c>
      <c r="AZ81" s="104">
        <f t="shared" si="61"/>
        <v>4963.668515</v>
      </c>
      <c r="BA81" s="104">
        <f t="shared" si="61"/>
        <v>4989.596765</v>
      </c>
      <c r="BB81" s="104">
        <f t="shared" si="61"/>
        <v>5014.228602</v>
      </c>
      <c r="BC81" s="104">
        <f t="shared" si="61"/>
        <v>5037.628847</v>
      </c>
      <c r="BD81" s="104">
        <f t="shared" si="61"/>
        <v>5059.859079</v>
      </c>
      <c r="BE81" s="104">
        <f t="shared" si="61"/>
        <v>5080.977801</v>
      </c>
      <c r="BF81" s="104">
        <f t="shared" si="61"/>
        <v>5101.040586</v>
      </c>
      <c r="BG81" s="104">
        <f t="shared" si="61"/>
        <v>5120.100232</v>
      </c>
      <c r="BH81" s="104">
        <f t="shared" si="61"/>
        <v>5138.206895</v>
      </c>
      <c r="BI81" s="104">
        <f t="shared" si="61"/>
        <v>5155.408225</v>
      </c>
      <c r="BJ81" s="104">
        <f t="shared" si="61"/>
        <v>5171.749489</v>
      </c>
      <c r="BK81" s="104">
        <f t="shared" si="61"/>
        <v>5187.27369</v>
      </c>
      <c r="BL81" s="104">
        <f t="shared" si="61"/>
        <v>5202.021681</v>
      </c>
      <c r="BM81" s="104">
        <f t="shared" si="61"/>
        <v>5216.032272</v>
      </c>
      <c r="BN81" s="104">
        <f t="shared" si="61"/>
        <v>5229.342333</v>
      </c>
    </row>
    <row r="82" outlineLevel="1">
      <c r="A82" s="47"/>
      <c r="B82" s="39" t="s">
        <v>56</v>
      </c>
      <c r="C82" s="47"/>
      <c r="D82" s="105"/>
      <c r="E82" s="47"/>
      <c r="F82" s="106"/>
      <c r="G82" s="105" t="str">
        <f t="shared" ref="G82:BN82" si="62">F81</f>
        <v/>
      </c>
      <c r="H82" s="105">
        <f t="shared" si="62"/>
        <v>267.5</v>
      </c>
      <c r="I82" s="105">
        <f t="shared" si="62"/>
        <v>528.1375</v>
      </c>
      <c r="J82" s="105">
        <f t="shared" si="62"/>
        <v>775.8408125</v>
      </c>
      <c r="K82" s="105">
        <f t="shared" si="62"/>
        <v>1011.160425</v>
      </c>
      <c r="L82" s="105">
        <f t="shared" si="62"/>
        <v>1234.714078</v>
      </c>
      <c r="M82" s="105">
        <f t="shared" si="62"/>
        <v>1447.090049</v>
      </c>
      <c r="N82" s="105">
        <f t="shared" si="62"/>
        <v>1648.847222</v>
      </c>
      <c r="O82" s="105">
        <f t="shared" si="62"/>
        <v>1840.516536</v>
      </c>
      <c r="P82" s="105">
        <f t="shared" si="62"/>
        <v>2022.602384</v>
      </c>
      <c r="Q82" s="105">
        <f t="shared" si="62"/>
        <v>2195.58394</v>
      </c>
      <c r="R82" s="105">
        <f t="shared" si="62"/>
        <v>2359.916418</v>
      </c>
      <c r="S82" s="105">
        <f t="shared" si="62"/>
        <v>2516.032273</v>
      </c>
      <c r="T82" s="105">
        <f t="shared" si="62"/>
        <v>2664.342334</v>
      </c>
      <c r="U82" s="105">
        <f t="shared" si="62"/>
        <v>2805.236893</v>
      </c>
      <c r="V82" s="105">
        <f t="shared" si="62"/>
        <v>2939.086723</v>
      </c>
      <c r="W82" s="105">
        <f t="shared" si="62"/>
        <v>3066.244062</v>
      </c>
      <c r="X82" s="105">
        <f t="shared" si="62"/>
        <v>3187.043534</v>
      </c>
      <c r="Y82" s="105">
        <f t="shared" si="62"/>
        <v>3301.803032</v>
      </c>
      <c r="Z82" s="105">
        <f t="shared" si="62"/>
        <v>3410.824556</v>
      </c>
      <c r="AA82" s="105">
        <f t="shared" si="62"/>
        <v>3514.395003</v>
      </c>
      <c r="AB82" s="105">
        <f t="shared" si="62"/>
        <v>3612.786928</v>
      </c>
      <c r="AC82" s="105">
        <f t="shared" si="62"/>
        <v>3706.259257</v>
      </c>
      <c r="AD82" s="105">
        <f t="shared" si="62"/>
        <v>3795.057969</v>
      </c>
      <c r="AE82" s="105">
        <f t="shared" si="62"/>
        <v>3879.416746</v>
      </c>
      <c r="AF82" s="105">
        <f t="shared" si="62"/>
        <v>3959.557584</v>
      </c>
      <c r="AG82" s="105">
        <f t="shared" si="62"/>
        <v>4035.69138</v>
      </c>
      <c r="AH82" s="105">
        <f t="shared" si="62"/>
        <v>4108.018486</v>
      </c>
      <c r="AI82" s="105">
        <f t="shared" si="62"/>
        <v>4176.729237</v>
      </c>
      <c r="AJ82" s="105">
        <f t="shared" si="62"/>
        <v>4242.00445</v>
      </c>
      <c r="AK82" s="105">
        <f t="shared" si="62"/>
        <v>4304.015903</v>
      </c>
      <c r="AL82" s="105">
        <f t="shared" si="62"/>
        <v>4362.926783</v>
      </c>
      <c r="AM82" s="105">
        <f t="shared" si="62"/>
        <v>4418.892119</v>
      </c>
      <c r="AN82" s="105">
        <f t="shared" si="62"/>
        <v>4472.059188</v>
      </c>
      <c r="AO82" s="105">
        <f t="shared" si="62"/>
        <v>4522.567904</v>
      </c>
      <c r="AP82" s="105">
        <f t="shared" si="62"/>
        <v>4570.551183</v>
      </c>
      <c r="AQ82" s="105">
        <f t="shared" si="62"/>
        <v>4616.135299</v>
      </c>
      <c r="AR82" s="105">
        <f t="shared" si="62"/>
        <v>4659.44021</v>
      </c>
      <c r="AS82" s="105">
        <f t="shared" si="62"/>
        <v>4700.579874</v>
      </c>
      <c r="AT82" s="105">
        <f t="shared" si="62"/>
        <v>4739.662556</v>
      </c>
      <c r="AU82" s="105">
        <f t="shared" si="62"/>
        <v>4776.791103</v>
      </c>
      <c r="AV82" s="105">
        <f t="shared" si="62"/>
        <v>4812.063223</v>
      </c>
      <c r="AW82" s="105">
        <f t="shared" si="62"/>
        <v>4845.571737</v>
      </c>
      <c r="AX82" s="105">
        <f t="shared" si="62"/>
        <v>4877.404825</v>
      </c>
      <c r="AY82" s="105">
        <f t="shared" si="62"/>
        <v>4907.646259</v>
      </c>
      <c r="AZ82" s="105">
        <f t="shared" si="62"/>
        <v>4936.375621</v>
      </c>
      <c r="BA82" s="105">
        <f t="shared" si="62"/>
        <v>4963.668515</v>
      </c>
      <c r="BB82" s="105">
        <f t="shared" si="62"/>
        <v>4989.596765</v>
      </c>
      <c r="BC82" s="105">
        <f t="shared" si="62"/>
        <v>5014.228602</v>
      </c>
      <c r="BD82" s="105">
        <f t="shared" si="62"/>
        <v>5037.628847</v>
      </c>
      <c r="BE82" s="105">
        <f t="shared" si="62"/>
        <v>5059.859079</v>
      </c>
      <c r="BF82" s="105">
        <f t="shared" si="62"/>
        <v>5080.977801</v>
      </c>
      <c r="BG82" s="105">
        <f t="shared" si="62"/>
        <v>5101.040586</v>
      </c>
      <c r="BH82" s="105">
        <f t="shared" si="62"/>
        <v>5120.100232</v>
      </c>
      <c r="BI82" s="105">
        <f t="shared" si="62"/>
        <v>5138.206895</v>
      </c>
      <c r="BJ82" s="105">
        <f t="shared" si="62"/>
        <v>5155.408225</v>
      </c>
      <c r="BK82" s="105">
        <f t="shared" si="62"/>
        <v>5171.749489</v>
      </c>
      <c r="BL82" s="105">
        <f t="shared" si="62"/>
        <v>5187.27369</v>
      </c>
      <c r="BM82" s="105">
        <f t="shared" si="62"/>
        <v>5202.021681</v>
      </c>
      <c r="BN82" s="105">
        <f t="shared" si="62"/>
        <v>5216.032272</v>
      </c>
    </row>
    <row r="83" outlineLevel="1">
      <c r="A83" s="47"/>
      <c r="B83" s="39" t="s">
        <v>57</v>
      </c>
      <c r="C83" s="47"/>
      <c r="D83" s="103">
        <v>0.5</v>
      </c>
      <c r="E83" s="47"/>
      <c r="F83" s="43"/>
      <c r="G83" s="88">
        <f>D83</f>
        <v>0.5</v>
      </c>
      <c r="H83" s="88">
        <f t="shared" ref="H83:BN83" si="63">G83</f>
        <v>0.5</v>
      </c>
      <c r="I83" s="88">
        <f t="shared" si="63"/>
        <v>0.5</v>
      </c>
      <c r="J83" s="88">
        <f t="shared" si="63"/>
        <v>0.5</v>
      </c>
      <c r="K83" s="88">
        <f t="shared" si="63"/>
        <v>0.5</v>
      </c>
      <c r="L83" s="88">
        <f t="shared" si="63"/>
        <v>0.5</v>
      </c>
      <c r="M83" s="88">
        <f t="shared" si="63"/>
        <v>0.5</v>
      </c>
      <c r="N83" s="88">
        <f t="shared" si="63"/>
        <v>0.5</v>
      </c>
      <c r="O83" s="88">
        <f t="shared" si="63"/>
        <v>0.5</v>
      </c>
      <c r="P83" s="88">
        <f t="shared" si="63"/>
        <v>0.5</v>
      </c>
      <c r="Q83" s="88">
        <f t="shared" si="63"/>
        <v>0.5</v>
      </c>
      <c r="R83" s="88">
        <f t="shared" si="63"/>
        <v>0.5</v>
      </c>
      <c r="S83" s="88">
        <f t="shared" si="63"/>
        <v>0.5</v>
      </c>
      <c r="T83" s="88">
        <f t="shared" si="63"/>
        <v>0.5</v>
      </c>
      <c r="U83" s="88">
        <f t="shared" si="63"/>
        <v>0.5</v>
      </c>
      <c r="V83" s="88">
        <f t="shared" si="63"/>
        <v>0.5</v>
      </c>
      <c r="W83" s="88">
        <f t="shared" si="63"/>
        <v>0.5</v>
      </c>
      <c r="X83" s="88">
        <f t="shared" si="63"/>
        <v>0.5</v>
      </c>
      <c r="Y83" s="88">
        <f t="shared" si="63"/>
        <v>0.5</v>
      </c>
      <c r="Z83" s="88">
        <f t="shared" si="63"/>
        <v>0.5</v>
      </c>
      <c r="AA83" s="88">
        <f t="shared" si="63"/>
        <v>0.5</v>
      </c>
      <c r="AB83" s="88">
        <f t="shared" si="63"/>
        <v>0.5</v>
      </c>
      <c r="AC83" s="88">
        <f t="shared" si="63"/>
        <v>0.5</v>
      </c>
      <c r="AD83" s="88">
        <f t="shared" si="63"/>
        <v>0.5</v>
      </c>
      <c r="AE83" s="88">
        <f t="shared" si="63"/>
        <v>0.5</v>
      </c>
      <c r="AF83" s="88">
        <f t="shared" si="63"/>
        <v>0.5</v>
      </c>
      <c r="AG83" s="88">
        <f t="shared" si="63"/>
        <v>0.5</v>
      </c>
      <c r="AH83" s="88">
        <f t="shared" si="63"/>
        <v>0.5</v>
      </c>
      <c r="AI83" s="88">
        <f t="shared" si="63"/>
        <v>0.5</v>
      </c>
      <c r="AJ83" s="88">
        <f t="shared" si="63"/>
        <v>0.5</v>
      </c>
      <c r="AK83" s="88">
        <f t="shared" si="63"/>
        <v>0.5</v>
      </c>
      <c r="AL83" s="88">
        <f t="shared" si="63"/>
        <v>0.5</v>
      </c>
      <c r="AM83" s="88">
        <f t="shared" si="63"/>
        <v>0.5</v>
      </c>
      <c r="AN83" s="88">
        <f t="shared" si="63"/>
        <v>0.5</v>
      </c>
      <c r="AO83" s="88">
        <f t="shared" si="63"/>
        <v>0.5</v>
      </c>
      <c r="AP83" s="88">
        <f t="shared" si="63"/>
        <v>0.5</v>
      </c>
      <c r="AQ83" s="88">
        <f t="shared" si="63"/>
        <v>0.5</v>
      </c>
      <c r="AR83" s="88">
        <f t="shared" si="63"/>
        <v>0.5</v>
      </c>
      <c r="AS83" s="88">
        <f t="shared" si="63"/>
        <v>0.5</v>
      </c>
      <c r="AT83" s="88">
        <f t="shared" si="63"/>
        <v>0.5</v>
      </c>
      <c r="AU83" s="88">
        <f t="shared" si="63"/>
        <v>0.5</v>
      </c>
      <c r="AV83" s="88">
        <f t="shared" si="63"/>
        <v>0.5</v>
      </c>
      <c r="AW83" s="88">
        <f t="shared" si="63"/>
        <v>0.5</v>
      </c>
      <c r="AX83" s="88">
        <f t="shared" si="63"/>
        <v>0.5</v>
      </c>
      <c r="AY83" s="88">
        <f t="shared" si="63"/>
        <v>0.5</v>
      </c>
      <c r="AZ83" s="88">
        <f t="shared" si="63"/>
        <v>0.5</v>
      </c>
      <c r="BA83" s="88">
        <f t="shared" si="63"/>
        <v>0.5</v>
      </c>
      <c r="BB83" s="88">
        <f t="shared" si="63"/>
        <v>0.5</v>
      </c>
      <c r="BC83" s="88">
        <f t="shared" si="63"/>
        <v>0.5</v>
      </c>
      <c r="BD83" s="88">
        <f t="shared" si="63"/>
        <v>0.5</v>
      </c>
      <c r="BE83" s="88">
        <f t="shared" si="63"/>
        <v>0.5</v>
      </c>
      <c r="BF83" s="88">
        <f t="shared" si="63"/>
        <v>0.5</v>
      </c>
      <c r="BG83" s="88">
        <f t="shared" si="63"/>
        <v>0.5</v>
      </c>
      <c r="BH83" s="88">
        <f t="shared" si="63"/>
        <v>0.5</v>
      </c>
      <c r="BI83" s="88">
        <f t="shared" si="63"/>
        <v>0.5</v>
      </c>
      <c r="BJ83" s="88">
        <f t="shared" si="63"/>
        <v>0.5</v>
      </c>
      <c r="BK83" s="88">
        <f t="shared" si="63"/>
        <v>0.5</v>
      </c>
      <c r="BL83" s="88">
        <f t="shared" si="63"/>
        <v>0.5</v>
      </c>
      <c r="BM83" s="88">
        <f t="shared" si="63"/>
        <v>0.5</v>
      </c>
      <c r="BN83" s="88">
        <f t="shared" si="63"/>
        <v>0.5</v>
      </c>
    </row>
    <row r="84" outlineLevel="1">
      <c r="A84" s="47"/>
      <c r="B84" s="39" t="s">
        <v>58</v>
      </c>
      <c r="C84" s="47"/>
      <c r="D84" s="105"/>
      <c r="E84" s="47"/>
      <c r="F84" s="43"/>
      <c r="G84" s="105">
        <f t="shared" ref="G84:BN84" si="64">G81*G83</f>
        <v>133.75</v>
      </c>
      <c r="H84" s="105">
        <f t="shared" si="64"/>
        <v>264.06875</v>
      </c>
      <c r="I84" s="105">
        <f t="shared" si="64"/>
        <v>387.9204063</v>
      </c>
      <c r="J84" s="105">
        <f t="shared" si="64"/>
        <v>505.5802123</v>
      </c>
      <c r="K84" s="105">
        <f t="shared" si="64"/>
        <v>617.3570391</v>
      </c>
      <c r="L84" s="105">
        <f t="shared" si="64"/>
        <v>723.5450247</v>
      </c>
      <c r="M84" s="105">
        <f t="shared" si="64"/>
        <v>824.4236111</v>
      </c>
      <c r="N84" s="105">
        <f t="shared" si="64"/>
        <v>920.2582681</v>
      </c>
      <c r="O84" s="105">
        <f t="shared" si="64"/>
        <v>1011.301192</v>
      </c>
      <c r="P84" s="105">
        <f t="shared" si="64"/>
        <v>1097.79197</v>
      </c>
      <c r="Q84" s="105">
        <f t="shared" si="64"/>
        <v>1179.958209</v>
      </c>
      <c r="R84" s="105">
        <f t="shared" si="64"/>
        <v>1258.016136</v>
      </c>
      <c r="S84" s="105">
        <f t="shared" si="64"/>
        <v>1332.171167</v>
      </c>
      <c r="T84" s="105">
        <f t="shared" si="64"/>
        <v>1402.618446</v>
      </c>
      <c r="U84" s="105">
        <f t="shared" si="64"/>
        <v>1469.543362</v>
      </c>
      <c r="V84" s="105">
        <f t="shared" si="64"/>
        <v>1533.122031</v>
      </c>
      <c r="W84" s="105">
        <f t="shared" si="64"/>
        <v>1593.521767</v>
      </c>
      <c r="X84" s="105">
        <f t="shared" si="64"/>
        <v>1650.901516</v>
      </c>
      <c r="Y84" s="105">
        <f t="shared" si="64"/>
        <v>1705.412278</v>
      </c>
      <c r="Z84" s="105">
        <f t="shared" si="64"/>
        <v>1757.197502</v>
      </c>
      <c r="AA84" s="105">
        <f t="shared" si="64"/>
        <v>1806.393464</v>
      </c>
      <c r="AB84" s="105">
        <f t="shared" si="64"/>
        <v>1853.129629</v>
      </c>
      <c r="AC84" s="105">
        <f t="shared" si="64"/>
        <v>1897.528985</v>
      </c>
      <c r="AD84" s="105">
        <f t="shared" si="64"/>
        <v>1939.708373</v>
      </c>
      <c r="AE84" s="105">
        <f t="shared" si="64"/>
        <v>1979.778792</v>
      </c>
      <c r="AF84" s="105">
        <f t="shared" si="64"/>
        <v>2017.84569</v>
      </c>
      <c r="AG84" s="105">
        <f t="shared" si="64"/>
        <v>2054.009243</v>
      </c>
      <c r="AH84" s="105">
        <f t="shared" si="64"/>
        <v>2088.364618</v>
      </c>
      <c r="AI84" s="105">
        <f t="shared" si="64"/>
        <v>2121.002225</v>
      </c>
      <c r="AJ84" s="105">
        <f t="shared" si="64"/>
        <v>2152.007951</v>
      </c>
      <c r="AK84" s="105">
        <f t="shared" si="64"/>
        <v>2181.463391</v>
      </c>
      <c r="AL84" s="105">
        <f t="shared" si="64"/>
        <v>2209.446059</v>
      </c>
      <c r="AM84" s="105">
        <f t="shared" si="64"/>
        <v>2236.029594</v>
      </c>
      <c r="AN84" s="105">
        <f t="shared" si="64"/>
        <v>2261.283952</v>
      </c>
      <c r="AO84" s="105">
        <f t="shared" si="64"/>
        <v>2285.275592</v>
      </c>
      <c r="AP84" s="105">
        <f t="shared" si="64"/>
        <v>2308.06765</v>
      </c>
      <c r="AQ84" s="105">
        <f t="shared" si="64"/>
        <v>2329.720105</v>
      </c>
      <c r="AR84" s="105">
        <f t="shared" si="64"/>
        <v>2350.289937</v>
      </c>
      <c r="AS84" s="105">
        <f t="shared" si="64"/>
        <v>2369.831278</v>
      </c>
      <c r="AT84" s="105">
        <f t="shared" si="64"/>
        <v>2388.395551</v>
      </c>
      <c r="AU84" s="105">
        <f t="shared" si="64"/>
        <v>2406.031611</v>
      </c>
      <c r="AV84" s="105">
        <f t="shared" si="64"/>
        <v>2422.785868</v>
      </c>
      <c r="AW84" s="105">
        <f t="shared" si="64"/>
        <v>2438.702413</v>
      </c>
      <c r="AX84" s="105">
        <f t="shared" si="64"/>
        <v>2453.82313</v>
      </c>
      <c r="AY84" s="105">
        <f t="shared" si="64"/>
        <v>2468.187811</v>
      </c>
      <c r="AZ84" s="105">
        <f t="shared" si="64"/>
        <v>2481.834258</v>
      </c>
      <c r="BA84" s="105">
        <f t="shared" si="64"/>
        <v>2494.798382</v>
      </c>
      <c r="BB84" s="105">
        <f t="shared" si="64"/>
        <v>2507.114301</v>
      </c>
      <c r="BC84" s="105">
        <f t="shared" si="64"/>
        <v>2518.814423</v>
      </c>
      <c r="BD84" s="105">
        <f t="shared" si="64"/>
        <v>2529.92954</v>
      </c>
      <c r="BE84" s="105">
        <f t="shared" si="64"/>
        <v>2540.4889</v>
      </c>
      <c r="BF84" s="105">
        <f t="shared" si="64"/>
        <v>2550.520293</v>
      </c>
      <c r="BG84" s="105">
        <f t="shared" si="64"/>
        <v>2560.050116</v>
      </c>
      <c r="BH84" s="105">
        <f t="shared" si="64"/>
        <v>2569.103448</v>
      </c>
      <c r="BI84" s="105">
        <f t="shared" si="64"/>
        <v>2577.704113</v>
      </c>
      <c r="BJ84" s="105">
        <f t="shared" si="64"/>
        <v>2585.874745</v>
      </c>
      <c r="BK84" s="105">
        <f t="shared" si="64"/>
        <v>2593.636845</v>
      </c>
      <c r="BL84" s="105">
        <f t="shared" si="64"/>
        <v>2601.01084</v>
      </c>
      <c r="BM84" s="105">
        <f t="shared" si="64"/>
        <v>2608.016136</v>
      </c>
      <c r="BN84" s="105">
        <f t="shared" si="64"/>
        <v>2614.671167</v>
      </c>
    </row>
    <row r="85" outlineLevel="1">
      <c r="A85" s="47"/>
      <c r="B85" s="39" t="s">
        <v>59</v>
      </c>
      <c r="C85" s="47"/>
      <c r="D85" s="107">
        <v>1.0</v>
      </c>
      <c r="E85" s="47"/>
      <c r="F85" s="43"/>
      <c r="G85" s="108">
        <f>D85</f>
        <v>1</v>
      </c>
      <c r="H85" s="108">
        <f t="shared" ref="H85:BN85" si="65">G85</f>
        <v>1</v>
      </c>
      <c r="I85" s="108">
        <f t="shared" si="65"/>
        <v>1</v>
      </c>
      <c r="J85" s="108">
        <f t="shared" si="65"/>
        <v>1</v>
      </c>
      <c r="K85" s="108">
        <f t="shared" si="65"/>
        <v>1</v>
      </c>
      <c r="L85" s="108">
        <f t="shared" si="65"/>
        <v>1</v>
      </c>
      <c r="M85" s="108">
        <f t="shared" si="65"/>
        <v>1</v>
      </c>
      <c r="N85" s="108">
        <f t="shared" si="65"/>
        <v>1</v>
      </c>
      <c r="O85" s="108">
        <f t="shared" si="65"/>
        <v>1</v>
      </c>
      <c r="P85" s="108">
        <f t="shared" si="65"/>
        <v>1</v>
      </c>
      <c r="Q85" s="108">
        <f t="shared" si="65"/>
        <v>1</v>
      </c>
      <c r="R85" s="108">
        <f t="shared" si="65"/>
        <v>1</v>
      </c>
      <c r="S85" s="108">
        <f t="shared" si="65"/>
        <v>1</v>
      </c>
      <c r="T85" s="108">
        <f t="shared" si="65"/>
        <v>1</v>
      </c>
      <c r="U85" s="108">
        <f t="shared" si="65"/>
        <v>1</v>
      </c>
      <c r="V85" s="108">
        <f t="shared" si="65"/>
        <v>1</v>
      </c>
      <c r="W85" s="108">
        <f t="shared" si="65"/>
        <v>1</v>
      </c>
      <c r="X85" s="108">
        <f t="shared" si="65"/>
        <v>1</v>
      </c>
      <c r="Y85" s="108">
        <f t="shared" si="65"/>
        <v>1</v>
      </c>
      <c r="Z85" s="108">
        <f t="shared" si="65"/>
        <v>1</v>
      </c>
      <c r="AA85" s="108">
        <f t="shared" si="65"/>
        <v>1</v>
      </c>
      <c r="AB85" s="108">
        <f t="shared" si="65"/>
        <v>1</v>
      </c>
      <c r="AC85" s="108">
        <f t="shared" si="65"/>
        <v>1</v>
      </c>
      <c r="AD85" s="108">
        <f t="shared" si="65"/>
        <v>1</v>
      </c>
      <c r="AE85" s="108">
        <f t="shared" si="65"/>
        <v>1</v>
      </c>
      <c r="AF85" s="108">
        <f t="shared" si="65"/>
        <v>1</v>
      </c>
      <c r="AG85" s="108">
        <f t="shared" si="65"/>
        <v>1</v>
      </c>
      <c r="AH85" s="108">
        <f t="shared" si="65"/>
        <v>1</v>
      </c>
      <c r="AI85" s="108">
        <f t="shared" si="65"/>
        <v>1</v>
      </c>
      <c r="AJ85" s="108">
        <f t="shared" si="65"/>
        <v>1</v>
      </c>
      <c r="AK85" s="108">
        <f t="shared" si="65"/>
        <v>1</v>
      </c>
      <c r="AL85" s="108">
        <f t="shared" si="65"/>
        <v>1</v>
      </c>
      <c r="AM85" s="108">
        <f t="shared" si="65"/>
        <v>1</v>
      </c>
      <c r="AN85" s="108">
        <f t="shared" si="65"/>
        <v>1</v>
      </c>
      <c r="AO85" s="108">
        <f t="shared" si="65"/>
        <v>1</v>
      </c>
      <c r="AP85" s="108">
        <f t="shared" si="65"/>
        <v>1</v>
      </c>
      <c r="AQ85" s="108">
        <f t="shared" si="65"/>
        <v>1</v>
      </c>
      <c r="AR85" s="108">
        <f t="shared" si="65"/>
        <v>1</v>
      </c>
      <c r="AS85" s="108">
        <f t="shared" si="65"/>
        <v>1</v>
      </c>
      <c r="AT85" s="108">
        <f t="shared" si="65"/>
        <v>1</v>
      </c>
      <c r="AU85" s="108">
        <f t="shared" si="65"/>
        <v>1</v>
      </c>
      <c r="AV85" s="108">
        <f t="shared" si="65"/>
        <v>1</v>
      </c>
      <c r="AW85" s="108">
        <f t="shared" si="65"/>
        <v>1</v>
      </c>
      <c r="AX85" s="108">
        <f t="shared" si="65"/>
        <v>1</v>
      </c>
      <c r="AY85" s="108">
        <f t="shared" si="65"/>
        <v>1</v>
      </c>
      <c r="AZ85" s="108">
        <f t="shared" si="65"/>
        <v>1</v>
      </c>
      <c r="BA85" s="108">
        <f t="shared" si="65"/>
        <v>1</v>
      </c>
      <c r="BB85" s="108">
        <f t="shared" si="65"/>
        <v>1</v>
      </c>
      <c r="BC85" s="108">
        <f t="shared" si="65"/>
        <v>1</v>
      </c>
      <c r="BD85" s="108">
        <f t="shared" si="65"/>
        <v>1</v>
      </c>
      <c r="BE85" s="108">
        <f t="shared" si="65"/>
        <v>1</v>
      </c>
      <c r="BF85" s="108">
        <f t="shared" si="65"/>
        <v>1</v>
      </c>
      <c r="BG85" s="108">
        <f t="shared" si="65"/>
        <v>1</v>
      </c>
      <c r="BH85" s="108">
        <f t="shared" si="65"/>
        <v>1</v>
      </c>
      <c r="BI85" s="108">
        <f t="shared" si="65"/>
        <v>1</v>
      </c>
      <c r="BJ85" s="108">
        <f t="shared" si="65"/>
        <v>1</v>
      </c>
      <c r="BK85" s="108">
        <f t="shared" si="65"/>
        <v>1</v>
      </c>
      <c r="BL85" s="108">
        <f t="shared" si="65"/>
        <v>1</v>
      </c>
      <c r="BM85" s="108">
        <f t="shared" si="65"/>
        <v>1</v>
      </c>
      <c r="BN85" s="108">
        <f t="shared" si="65"/>
        <v>1</v>
      </c>
    </row>
    <row r="86" outlineLevel="1">
      <c r="A86" s="80"/>
      <c r="B86" s="109" t="s">
        <v>60</v>
      </c>
      <c r="C86" s="80"/>
      <c r="D86" s="110"/>
      <c r="E86" s="80"/>
      <c r="F86" s="99"/>
      <c r="G86" s="110">
        <f t="shared" ref="G86:BN86" si="66">G84*G85</f>
        <v>133.75</v>
      </c>
      <c r="H86" s="110">
        <f t="shared" si="66"/>
        <v>264.06875</v>
      </c>
      <c r="I86" s="110">
        <f t="shared" si="66"/>
        <v>387.9204063</v>
      </c>
      <c r="J86" s="110">
        <f t="shared" si="66"/>
        <v>505.5802123</v>
      </c>
      <c r="K86" s="110">
        <f t="shared" si="66"/>
        <v>617.3570391</v>
      </c>
      <c r="L86" s="110">
        <f t="shared" si="66"/>
        <v>723.5450247</v>
      </c>
      <c r="M86" s="110">
        <f t="shared" si="66"/>
        <v>824.4236111</v>
      </c>
      <c r="N86" s="110">
        <f t="shared" si="66"/>
        <v>920.2582681</v>
      </c>
      <c r="O86" s="110">
        <f t="shared" si="66"/>
        <v>1011.301192</v>
      </c>
      <c r="P86" s="110">
        <f t="shared" si="66"/>
        <v>1097.79197</v>
      </c>
      <c r="Q86" s="110">
        <f t="shared" si="66"/>
        <v>1179.958209</v>
      </c>
      <c r="R86" s="110">
        <f t="shared" si="66"/>
        <v>1258.016136</v>
      </c>
      <c r="S86" s="110">
        <f t="shared" si="66"/>
        <v>1332.171167</v>
      </c>
      <c r="T86" s="110">
        <f t="shared" si="66"/>
        <v>1402.618446</v>
      </c>
      <c r="U86" s="110">
        <f t="shared" si="66"/>
        <v>1469.543362</v>
      </c>
      <c r="V86" s="110">
        <f t="shared" si="66"/>
        <v>1533.122031</v>
      </c>
      <c r="W86" s="110">
        <f t="shared" si="66"/>
        <v>1593.521767</v>
      </c>
      <c r="X86" s="110">
        <f t="shared" si="66"/>
        <v>1650.901516</v>
      </c>
      <c r="Y86" s="110">
        <f t="shared" si="66"/>
        <v>1705.412278</v>
      </c>
      <c r="Z86" s="110">
        <f t="shared" si="66"/>
        <v>1757.197502</v>
      </c>
      <c r="AA86" s="110">
        <f t="shared" si="66"/>
        <v>1806.393464</v>
      </c>
      <c r="AB86" s="110">
        <f t="shared" si="66"/>
        <v>1853.129629</v>
      </c>
      <c r="AC86" s="110">
        <f t="shared" si="66"/>
        <v>1897.528985</v>
      </c>
      <c r="AD86" s="110">
        <f t="shared" si="66"/>
        <v>1939.708373</v>
      </c>
      <c r="AE86" s="110">
        <f t="shared" si="66"/>
        <v>1979.778792</v>
      </c>
      <c r="AF86" s="110">
        <f t="shared" si="66"/>
        <v>2017.84569</v>
      </c>
      <c r="AG86" s="110">
        <f t="shared" si="66"/>
        <v>2054.009243</v>
      </c>
      <c r="AH86" s="110">
        <f t="shared" si="66"/>
        <v>2088.364618</v>
      </c>
      <c r="AI86" s="110">
        <f t="shared" si="66"/>
        <v>2121.002225</v>
      </c>
      <c r="AJ86" s="110">
        <f t="shared" si="66"/>
        <v>2152.007951</v>
      </c>
      <c r="AK86" s="110">
        <f t="shared" si="66"/>
        <v>2181.463391</v>
      </c>
      <c r="AL86" s="110">
        <f t="shared" si="66"/>
        <v>2209.446059</v>
      </c>
      <c r="AM86" s="110">
        <f t="shared" si="66"/>
        <v>2236.029594</v>
      </c>
      <c r="AN86" s="110">
        <f t="shared" si="66"/>
        <v>2261.283952</v>
      </c>
      <c r="AO86" s="110">
        <f t="shared" si="66"/>
        <v>2285.275592</v>
      </c>
      <c r="AP86" s="110">
        <f t="shared" si="66"/>
        <v>2308.06765</v>
      </c>
      <c r="AQ86" s="110">
        <f t="shared" si="66"/>
        <v>2329.720105</v>
      </c>
      <c r="AR86" s="110">
        <f t="shared" si="66"/>
        <v>2350.289937</v>
      </c>
      <c r="AS86" s="110">
        <f t="shared" si="66"/>
        <v>2369.831278</v>
      </c>
      <c r="AT86" s="110">
        <f t="shared" si="66"/>
        <v>2388.395551</v>
      </c>
      <c r="AU86" s="110">
        <f t="shared" si="66"/>
        <v>2406.031611</v>
      </c>
      <c r="AV86" s="110">
        <f t="shared" si="66"/>
        <v>2422.785868</v>
      </c>
      <c r="AW86" s="110">
        <f t="shared" si="66"/>
        <v>2438.702413</v>
      </c>
      <c r="AX86" s="110">
        <f t="shared" si="66"/>
        <v>2453.82313</v>
      </c>
      <c r="AY86" s="110">
        <f t="shared" si="66"/>
        <v>2468.187811</v>
      </c>
      <c r="AZ86" s="110">
        <f t="shared" si="66"/>
        <v>2481.834258</v>
      </c>
      <c r="BA86" s="110">
        <f t="shared" si="66"/>
        <v>2494.798382</v>
      </c>
      <c r="BB86" s="110">
        <f t="shared" si="66"/>
        <v>2507.114301</v>
      </c>
      <c r="BC86" s="110">
        <f t="shared" si="66"/>
        <v>2518.814423</v>
      </c>
      <c r="BD86" s="110">
        <f t="shared" si="66"/>
        <v>2529.92954</v>
      </c>
      <c r="BE86" s="110">
        <f t="shared" si="66"/>
        <v>2540.4889</v>
      </c>
      <c r="BF86" s="110">
        <f t="shared" si="66"/>
        <v>2550.520293</v>
      </c>
      <c r="BG86" s="110">
        <f t="shared" si="66"/>
        <v>2560.050116</v>
      </c>
      <c r="BH86" s="110">
        <f t="shared" si="66"/>
        <v>2569.103448</v>
      </c>
      <c r="BI86" s="110">
        <f t="shared" si="66"/>
        <v>2577.704113</v>
      </c>
      <c r="BJ86" s="110">
        <f t="shared" si="66"/>
        <v>2585.874745</v>
      </c>
      <c r="BK86" s="110">
        <f t="shared" si="66"/>
        <v>2593.636845</v>
      </c>
      <c r="BL86" s="110">
        <f t="shared" si="66"/>
        <v>2601.01084</v>
      </c>
      <c r="BM86" s="110">
        <f t="shared" si="66"/>
        <v>2608.016136</v>
      </c>
      <c r="BN86" s="110">
        <f t="shared" si="66"/>
        <v>2614.671167</v>
      </c>
    </row>
    <row r="87" outlineLevel="1">
      <c r="A87" s="80"/>
      <c r="B87" s="109" t="s">
        <v>61</v>
      </c>
      <c r="C87" s="80"/>
      <c r="D87" s="111">
        <v>5.0</v>
      </c>
      <c r="E87" s="80"/>
      <c r="F87" s="112"/>
      <c r="G87" s="113">
        <f t="shared" ref="G87:G88" si="68">D87</f>
        <v>5</v>
      </c>
      <c r="H87" s="113">
        <f t="shared" ref="H87:BN87" si="67">G87</f>
        <v>5</v>
      </c>
      <c r="I87" s="113">
        <f t="shared" si="67"/>
        <v>5</v>
      </c>
      <c r="J87" s="113">
        <f t="shared" si="67"/>
        <v>5</v>
      </c>
      <c r="K87" s="113">
        <f t="shared" si="67"/>
        <v>5</v>
      </c>
      <c r="L87" s="113">
        <f t="shared" si="67"/>
        <v>5</v>
      </c>
      <c r="M87" s="113">
        <f t="shared" si="67"/>
        <v>5</v>
      </c>
      <c r="N87" s="113">
        <f t="shared" si="67"/>
        <v>5</v>
      </c>
      <c r="O87" s="113">
        <f t="shared" si="67"/>
        <v>5</v>
      </c>
      <c r="P87" s="113">
        <f t="shared" si="67"/>
        <v>5</v>
      </c>
      <c r="Q87" s="113">
        <f t="shared" si="67"/>
        <v>5</v>
      </c>
      <c r="R87" s="113">
        <f t="shared" si="67"/>
        <v>5</v>
      </c>
      <c r="S87" s="113">
        <f t="shared" si="67"/>
        <v>5</v>
      </c>
      <c r="T87" s="113">
        <f t="shared" si="67"/>
        <v>5</v>
      </c>
      <c r="U87" s="113">
        <f t="shared" si="67"/>
        <v>5</v>
      </c>
      <c r="V87" s="113">
        <f t="shared" si="67"/>
        <v>5</v>
      </c>
      <c r="W87" s="113">
        <f t="shared" si="67"/>
        <v>5</v>
      </c>
      <c r="X87" s="113">
        <f t="shared" si="67"/>
        <v>5</v>
      </c>
      <c r="Y87" s="113">
        <f t="shared" si="67"/>
        <v>5</v>
      </c>
      <c r="Z87" s="113">
        <f t="shared" si="67"/>
        <v>5</v>
      </c>
      <c r="AA87" s="113">
        <f t="shared" si="67"/>
        <v>5</v>
      </c>
      <c r="AB87" s="113">
        <f t="shared" si="67"/>
        <v>5</v>
      </c>
      <c r="AC87" s="113">
        <f t="shared" si="67"/>
        <v>5</v>
      </c>
      <c r="AD87" s="113">
        <f t="shared" si="67"/>
        <v>5</v>
      </c>
      <c r="AE87" s="113">
        <f t="shared" si="67"/>
        <v>5</v>
      </c>
      <c r="AF87" s="113">
        <f t="shared" si="67"/>
        <v>5</v>
      </c>
      <c r="AG87" s="113">
        <f t="shared" si="67"/>
        <v>5</v>
      </c>
      <c r="AH87" s="113">
        <f t="shared" si="67"/>
        <v>5</v>
      </c>
      <c r="AI87" s="113">
        <f t="shared" si="67"/>
        <v>5</v>
      </c>
      <c r="AJ87" s="113">
        <f t="shared" si="67"/>
        <v>5</v>
      </c>
      <c r="AK87" s="113">
        <f t="shared" si="67"/>
        <v>5</v>
      </c>
      <c r="AL87" s="113">
        <f t="shared" si="67"/>
        <v>5</v>
      </c>
      <c r="AM87" s="113">
        <f t="shared" si="67"/>
        <v>5</v>
      </c>
      <c r="AN87" s="113">
        <f t="shared" si="67"/>
        <v>5</v>
      </c>
      <c r="AO87" s="113">
        <f t="shared" si="67"/>
        <v>5</v>
      </c>
      <c r="AP87" s="113">
        <f t="shared" si="67"/>
        <v>5</v>
      </c>
      <c r="AQ87" s="113">
        <f t="shared" si="67"/>
        <v>5</v>
      </c>
      <c r="AR87" s="113">
        <f t="shared" si="67"/>
        <v>5</v>
      </c>
      <c r="AS87" s="113">
        <f t="shared" si="67"/>
        <v>5</v>
      </c>
      <c r="AT87" s="113">
        <f t="shared" si="67"/>
        <v>5</v>
      </c>
      <c r="AU87" s="113">
        <f t="shared" si="67"/>
        <v>5</v>
      </c>
      <c r="AV87" s="113">
        <f t="shared" si="67"/>
        <v>5</v>
      </c>
      <c r="AW87" s="113">
        <f t="shared" si="67"/>
        <v>5</v>
      </c>
      <c r="AX87" s="113">
        <f t="shared" si="67"/>
        <v>5</v>
      </c>
      <c r="AY87" s="113">
        <f t="shared" si="67"/>
        <v>5</v>
      </c>
      <c r="AZ87" s="113">
        <f t="shared" si="67"/>
        <v>5</v>
      </c>
      <c r="BA87" s="113">
        <f t="shared" si="67"/>
        <v>5</v>
      </c>
      <c r="BB87" s="113">
        <f t="shared" si="67"/>
        <v>5</v>
      </c>
      <c r="BC87" s="113">
        <f t="shared" si="67"/>
        <v>5</v>
      </c>
      <c r="BD87" s="113">
        <f t="shared" si="67"/>
        <v>5</v>
      </c>
      <c r="BE87" s="113">
        <f t="shared" si="67"/>
        <v>5</v>
      </c>
      <c r="BF87" s="113">
        <f t="shared" si="67"/>
        <v>5</v>
      </c>
      <c r="BG87" s="113">
        <f t="shared" si="67"/>
        <v>5</v>
      </c>
      <c r="BH87" s="113">
        <f t="shared" si="67"/>
        <v>5</v>
      </c>
      <c r="BI87" s="113">
        <f t="shared" si="67"/>
        <v>5</v>
      </c>
      <c r="BJ87" s="113">
        <f t="shared" si="67"/>
        <v>5</v>
      </c>
      <c r="BK87" s="113">
        <f t="shared" si="67"/>
        <v>5</v>
      </c>
      <c r="BL87" s="113">
        <f t="shared" si="67"/>
        <v>5</v>
      </c>
      <c r="BM87" s="113">
        <f t="shared" si="67"/>
        <v>5</v>
      </c>
      <c r="BN87" s="113">
        <f t="shared" si="67"/>
        <v>5</v>
      </c>
    </row>
    <row r="88" outlineLevel="1">
      <c r="A88" s="80"/>
      <c r="B88" s="71" t="s">
        <v>62</v>
      </c>
      <c r="C88" s="59"/>
      <c r="D88" s="114">
        <v>0.6</v>
      </c>
      <c r="E88" s="61"/>
      <c r="F88" s="61"/>
      <c r="G88" s="115">
        <f t="shared" si="68"/>
        <v>0.6</v>
      </c>
      <c r="H88" s="115">
        <f t="shared" ref="H88:P88" si="69">G88</f>
        <v>0.6</v>
      </c>
      <c r="I88" s="115">
        <f t="shared" si="69"/>
        <v>0.6</v>
      </c>
      <c r="J88" s="115">
        <f t="shared" si="69"/>
        <v>0.6</v>
      </c>
      <c r="K88" s="115">
        <f t="shared" si="69"/>
        <v>0.6</v>
      </c>
      <c r="L88" s="115">
        <f t="shared" si="69"/>
        <v>0.6</v>
      </c>
      <c r="M88" s="115">
        <f t="shared" si="69"/>
        <v>0.6</v>
      </c>
      <c r="N88" s="115">
        <f t="shared" si="69"/>
        <v>0.6</v>
      </c>
      <c r="O88" s="115">
        <f t="shared" si="69"/>
        <v>0.6</v>
      </c>
      <c r="P88" s="115">
        <f t="shared" si="69"/>
        <v>0.6</v>
      </c>
      <c r="Q88" s="115">
        <v>0.5</v>
      </c>
      <c r="R88" s="115">
        <v>0.5</v>
      </c>
      <c r="S88" s="115">
        <v>0.5</v>
      </c>
      <c r="T88" s="115">
        <v>0.5</v>
      </c>
      <c r="U88" s="115">
        <v>0.5</v>
      </c>
      <c r="V88" s="115">
        <v>0.5</v>
      </c>
      <c r="W88" s="115">
        <v>0.5</v>
      </c>
      <c r="X88" s="115">
        <v>0.5</v>
      </c>
      <c r="Y88" s="115">
        <v>0.5</v>
      </c>
      <c r="Z88" s="115">
        <v>0.5</v>
      </c>
      <c r="AA88" s="115">
        <v>0.5</v>
      </c>
      <c r="AB88" s="115">
        <v>0.5</v>
      </c>
      <c r="AC88" s="115">
        <v>0.5</v>
      </c>
      <c r="AD88" s="115">
        <v>0.5</v>
      </c>
      <c r="AE88" s="115">
        <v>0.5</v>
      </c>
      <c r="AF88" s="115">
        <v>0.5</v>
      </c>
      <c r="AG88" s="115">
        <v>0.5</v>
      </c>
      <c r="AH88" s="115">
        <v>0.5</v>
      </c>
      <c r="AI88" s="115">
        <v>0.5</v>
      </c>
      <c r="AJ88" s="115">
        <v>0.5</v>
      </c>
      <c r="AK88" s="115">
        <v>0.5</v>
      </c>
      <c r="AL88" s="115">
        <v>0.5</v>
      </c>
      <c r="AM88" s="115">
        <v>0.5</v>
      </c>
      <c r="AN88" s="115">
        <v>0.5</v>
      </c>
      <c r="AO88" s="115">
        <v>0.5</v>
      </c>
      <c r="AP88" s="115">
        <v>0.5</v>
      </c>
      <c r="AQ88" s="115">
        <v>0.5</v>
      </c>
      <c r="AR88" s="115">
        <v>0.5</v>
      </c>
      <c r="AS88" s="115">
        <v>0.5</v>
      </c>
      <c r="AT88" s="115">
        <v>0.5</v>
      </c>
      <c r="AU88" s="115">
        <v>0.5</v>
      </c>
      <c r="AV88" s="115">
        <v>0.5</v>
      </c>
      <c r="AW88" s="115">
        <v>0.5</v>
      </c>
      <c r="AX88" s="115">
        <v>0.5</v>
      </c>
      <c r="AY88" s="115">
        <v>0.5</v>
      </c>
      <c r="AZ88" s="115">
        <v>0.5</v>
      </c>
      <c r="BA88" s="115">
        <v>0.5</v>
      </c>
      <c r="BB88" s="115">
        <v>0.5</v>
      </c>
      <c r="BC88" s="115">
        <v>0.5</v>
      </c>
      <c r="BD88" s="115">
        <v>0.5</v>
      </c>
      <c r="BE88" s="115">
        <v>0.5</v>
      </c>
      <c r="BF88" s="115">
        <v>0.5</v>
      </c>
      <c r="BG88" s="115">
        <v>0.5</v>
      </c>
      <c r="BH88" s="115">
        <v>0.5</v>
      </c>
      <c r="BI88" s="115">
        <v>0.5</v>
      </c>
      <c r="BJ88" s="115">
        <v>0.5</v>
      </c>
      <c r="BK88" s="115">
        <v>0.5</v>
      </c>
      <c r="BL88" s="115">
        <v>0.5</v>
      </c>
      <c r="BM88" s="115">
        <v>0.5</v>
      </c>
      <c r="BN88" s="115">
        <v>0.5</v>
      </c>
    </row>
    <row r="89" outlineLevel="1">
      <c r="A89" s="47"/>
      <c r="B89" s="116" t="s">
        <v>63</v>
      </c>
      <c r="C89" s="47"/>
      <c r="D89" s="47"/>
      <c r="E89" s="47"/>
      <c r="F89" s="43"/>
      <c r="G89" s="117">
        <f t="shared" ref="G89:BN89" si="70">G86*G87*G88</f>
        <v>401.25</v>
      </c>
      <c r="H89" s="117">
        <f t="shared" si="70"/>
        <v>792.20625</v>
      </c>
      <c r="I89" s="117">
        <f t="shared" si="70"/>
        <v>1163.761219</v>
      </c>
      <c r="J89" s="117">
        <f t="shared" si="70"/>
        <v>1516.740637</v>
      </c>
      <c r="K89" s="117">
        <f t="shared" si="70"/>
        <v>1852.071117</v>
      </c>
      <c r="L89" s="117">
        <f t="shared" si="70"/>
        <v>2170.635074</v>
      </c>
      <c r="M89" s="117">
        <f t="shared" si="70"/>
        <v>2473.270833</v>
      </c>
      <c r="N89" s="117">
        <f t="shared" si="70"/>
        <v>2760.774804</v>
      </c>
      <c r="O89" s="117">
        <f t="shared" si="70"/>
        <v>3033.903577</v>
      </c>
      <c r="P89" s="117">
        <f t="shared" si="70"/>
        <v>3293.375911</v>
      </c>
      <c r="Q89" s="117">
        <f t="shared" si="70"/>
        <v>2949.895523</v>
      </c>
      <c r="R89" s="117">
        <f t="shared" si="70"/>
        <v>3145.040341</v>
      </c>
      <c r="S89" s="117">
        <f t="shared" si="70"/>
        <v>3330.427918</v>
      </c>
      <c r="T89" s="117">
        <f t="shared" si="70"/>
        <v>3506.546116</v>
      </c>
      <c r="U89" s="117">
        <f t="shared" si="70"/>
        <v>3673.858404</v>
      </c>
      <c r="V89" s="117">
        <f t="shared" si="70"/>
        <v>3832.805078</v>
      </c>
      <c r="W89" s="117">
        <f t="shared" si="70"/>
        <v>3983.804418</v>
      </c>
      <c r="X89" s="117">
        <f t="shared" si="70"/>
        <v>4127.253791</v>
      </c>
      <c r="Y89" s="117">
        <f t="shared" si="70"/>
        <v>4263.530695</v>
      </c>
      <c r="Z89" s="117">
        <f t="shared" si="70"/>
        <v>4392.993754</v>
      </c>
      <c r="AA89" s="117">
        <f t="shared" si="70"/>
        <v>4515.98366</v>
      </c>
      <c r="AB89" s="117">
        <f t="shared" si="70"/>
        <v>4632.824071</v>
      </c>
      <c r="AC89" s="117">
        <f t="shared" si="70"/>
        <v>4743.822462</v>
      </c>
      <c r="AD89" s="117">
        <f t="shared" si="70"/>
        <v>4849.270932</v>
      </c>
      <c r="AE89" s="117">
        <f t="shared" si="70"/>
        <v>4949.44698</v>
      </c>
      <c r="AF89" s="117">
        <f t="shared" si="70"/>
        <v>5044.614225</v>
      </c>
      <c r="AG89" s="117">
        <f t="shared" si="70"/>
        <v>5135.023107</v>
      </c>
      <c r="AH89" s="117">
        <f t="shared" si="70"/>
        <v>5220.911546</v>
      </c>
      <c r="AI89" s="117">
        <f t="shared" si="70"/>
        <v>5302.505562</v>
      </c>
      <c r="AJ89" s="117">
        <f t="shared" si="70"/>
        <v>5380.019878</v>
      </c>
      <c r="AK89" s="117">
        <f t="shared" si="70"/>
        <v>5453.658478</v>
      </c>
      <c r="AL89" s="117">
        <f t="shared" si="70"/>
        <v>5523.615148</v>
      </c>
      <c r="AM89" s="117">
        <f t="shared" si="70"/>
        <v>5590.073985</v>
      </c>
      <c r="AN89" s="117">
        <f t="shared" si="70"/>
        <v>5653.209879</v>
      </c>
      <c r="AO89" s="117">
        <f t="shared" si="70"/>
        <v>5713.188979</v>
      </c>
      <c r="AP89" s="117">
        <f t="shared" si="70"/>
        <v>5770.169124</v>
      </c>
      <c r="AQ89" s="117">
        <f t="shared" si="70"/>
        <v>5824.300262</v>
      </c>
      <c r="AR89" s="117">
        <f t="shared" si="70"/>
        <v>5875.724843</v>
      </c>
      <c r="AS89" s="117">
        <f t="shared" si="70"/>
        <v>5924.578195</v>
      </c>
      <c r="AT89" s="117">
        <f t="shared" si="70"/>
        <v>5970.988879</v>
      </c>
      <c r="AU89" s="117">
        <f t="shared" si="70"/>
        <v>6015.079029</v>
      </c>
      <c r="AV89" s="117">
        <f t="shared" si="70"/>
        <v>6056.964671</v>
      </c>
      <c r="AW89" s="117">
        <f t="shared" si="70"/>
        <v>6096.756032</v>
      </c>
      <c r="AX89" s="117">
        <f t="shared" si="70"/>
        <v>6134.557824</v>
      </c>
      <c r="AY89" s="117">
        <f t="shared" si="70"/>
        <v>6170.469527</v>
      </c>
      <c r="AZ89" s="117">
        <f t="shared" si="70"/>
        <v>6204.585644</v>
      </c>
      <c r="BA89" s="117">
        <f t="shared" si="70"/>
        <v>6236.995956</v>
      </c>
      <c r="BB89" s="117">
        <f t="shared" si="70"/>
        <v>6267.785752</v>
      </c>
      <c r="BC89" s="117">
        <f t="shared" si="70"/>
        <v>6297.036058</v>
      </c>
      <c r="BD89" s="117">
        <f t="shared" si="70"/>
        <v>6324.823849</v>
      </c>
      <c r="BE89" s="117">
        <f t="shared" si="70"/>
        <v>6351.222251</v>
      </c>
      <c r="BF89" s="117">
        <f t="shared" si="70"/>
        <v>6376.300732</v>
      </c>
      <c r="BG89" s="117">
        <f t="shared" si="70"/>
        <v>6400.125289</v>
      </c>
      <c r="BH89" s="117">
        <f t="shared" si="70"/>
        <v>6422.758619</v>
      </c>
      <c r="BI89" s="117">
        <f t="shared" si="70"/>
        <v>6444.260282</v>
      </c>
      <c r="BJ89" s="117">
        <f t="shared" si="70"/>
        <v>6464.686862</v>
      </c>
      <c r="BK89" s="117">
        <f t="shared" si="70"/>
        <v>6484.092112</v>
      </c>
      <c r="BL89" s="117">
        <f t="shared" si="70"/>
        <v>6502.527101</v>
      </c>
      <c r="BM89" s="117">
        <f t="shared" si="70"/>
        <v>6520.04034</v>
      </c>
      <c r="BN89" s="117">
        <f t="shared" si="70"/>
        <v>6536.677917</v>
      </c>
    </row>
    <row r="90" outlineLevel="1">
      <c r="A90" s="47"/>
      <c r="B90" s="116"/>
      <c r="C90" s="47"/>
      <c r="D90" s="47"/>
      <c r="E90" s="47"/>
      <c r="F90" s="43"/>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7"/>
    </row>
    <row r="91" outlineLevel="1">
      <c r="A91" s="47"/>
      <c r="B91" s="118" t="s">
        <v>64</v>
      </c>
      <c r="C91" s="47"/>
      <c r="D91" s="47"/>
      <c r="E91" s="47"/>
      <c r="F91" s="43"/>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7"/>
    </row>
    <row r="92" outlineLevel="1">
      <c r="A92" s="47"/>
      <c r="B92" s="47"/>
      <c r="C92" s="47"/>
      <c r="D92" s="47"/>
      <c r="E92" s="47"/>
      <c r="F92" s="43"/>
    </row>
    <row r="93">
      <c r="A93" s="47"/>
      <c r="B93" s="47"/>
      <c r="C93" s="47"/>
      <c r="D93" s="47"/>
      <c r="E93" s="47"/>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row>
    <row r="94" collapsed="1">
      <c r="A94" s="47"/>
      <c r="B94" s="48" t="s">
        <v>65</v>
      </c>
      <c r="C94" s="49"/>
      <c r="D94" s="49"/>
      <c r="E94" s="49"/>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row>
    <row r="95" hidden="1" outlineLevel="1">
      <c r="A95" s="47"/>
      <c r="B95" s="47"/>
      <c r="C95" s="47"/>
      <c r="D95" s="47"/>
      <c r="E95" s="47"/>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row>
    <row r="96" hidden="1" outlineLevel="1">
      <c r="A96" s="47"/>
      <c r="B96" s="119" t="s">
        <v>66</v>
      </c>
      <c r="C96" s="120" t="s">
        <v>67</v>
      </c>
      <c r="D96" s="120" t="s">
        <v>68</v>
      </c>
      <c r="E96" s="120" t="s">
        <v>69</v>
      </c>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c r="AU96" s="99"/>
      <c r="AV96" s="99"/>
      <c r="AW96" s="99"/>
      <c r="AX96" s="99"/>
      <c r="AY96" s="99"/>
      <c r="AZ96" s="99"/>
      <c r="BA96" s="99"/>
      <c r="BB96" s="99"/>
      <c r="BC96" s="99"/>
      <c r="BD96" s="99"/>
      <c r="BE96" s="99"/>
      <c r="BF96" s="99"/>
      <c r="BG96" s="99"/>
      <c r="BH96" s="99"/>
      <c r="BI96" s="99"/>
      <c r="BJ96" s="99"/>
      <c r="BK96" s="99"/>
      <c r="BL96" s="99"/>
      <c r="BM96" s="99"/>
      <c r="BN96" s="99"/>
    </row>
    <row r="97" hidden="1" outlineLevel="1">
      <c r="A97" s="47"/>
      <c r="B97" s="121" t="s">
        <v>70</v>
      </c>
      <c r="C97" s="122">
        <v>100000.0</v>
      </c>
      <c r="D97" s="123">
        <v>0.2</v>
      </c>
      <c r="E97" s="124">
        <v>43831.0</v>
      </c>
      <c r="F97" s="99"/>
      <c r="G97" s="99">
        <f t="shared" ref="G97:BN97" si="71">IF(G$4&gt;=$E97,($C97/12)*(1+$D97),0)</f>
        <v>10000</v>
      </c>
      <c r="H97" s="99">
        <f t="shared" si="71"/>
        <v>10000</v>
      </c>
      <c r="I97" s="99">
        <f t="shared" si="71"/>
        <v>10000</v>
      </c>
      <c r="J97" s="99">
        <f t="shared" si="71"/>
        <v>10000</v>
      </c>
      <c r="K97" s="99">
        <f t="shared" si="71"/>
        <v>10000</v>
      </c>
      <c r="L97" s="99">
        <f t="shared" si="71"/>
        <v>10000</v>
      </c>
      <c r="M97" s="99">
        <f t="shared" si="71"/>
        <v>10000</v>
      </c>
      <c r="N97" s="99">
        <f t="shared" si="71"/>
        <v>10000</v>
      </c>
      <c r="O97" s="99">
        <f t="shared" si="71"/>
        <v>10000</v>
      </c>
      <c r="P97" s="99">
        <f t="shared" si="71"/>
        <v>10000</v>
      </c>
      <c r="Q97" s="99">
        <f t="shared" si="71"/>
        <v>10000</v>
      </c>
      <c r="R97" s="99">
        <f t="shared" si="71"/>
        <v>10000</v>
      </c>
      <c r="S97" s="99">
        <f t="shared" si="71"/>
        <v>10000</v>
      </c>
      <c r="T97" s="99">
        <f t="shared" si="71"/>
        <v>10000</v>
      </c>
      <c r="U97" s="99">
        <f t="shared" si="71"/>
        <v>10000</v>
      </c>
      <c r="V97" s="99">
        <f t="shared" si="71"/>
        <v>10000</v>
      </c>
      <c r="W97" s="99">
        <f t="shared" si="71"/>
        <v>10000</v>
      </c>
      <c r="X97" s="99">
        <f t="shared" si="71"/>
        <v>10000</v>
      </c>
      <c r="Y97" s="99">
        <f t="shared" si="71"/>
        <v>10000</v>
      </c>
      <c r="Z97" s="99">
        <f t="shared" si="71"/>
        <v>10000</v>
      </c>
      <c r="AA97" s="99">
        <f t="shared" si="71"/>
        <v>10000</v>
      </c>
      <c r="AB97" s="99">
        <f t="shared" si="71"/>
        <v>10000</v>
      </c>
      <c r="AC97" s="99">
        <f t="shared" si="71"/>
        <v>10000</v>
      </c>
      <c r="AD97" s="99">
        <f t="shared" si="71"/>
        <v>10000</v>
      </c>
      <c r="AE97" s="99">
        <f t="shared" si="71"/>
        <v>10000</v>
      </c>
      <c r="AF97" s="99">
        <f t="shared" si="71"/>
        <v>10000</v>
      </c>
      <c r="AG97" s="99">
        <f t="shared" si="71"/>
        <v>10000</v>
      </c>
      <c r="AH97" s="99">
        <f t="shared" si="71"/>
        <v>10000</v>
      </c>
      <c r="AI97" s="99">
        <f t="shared" si="71"/>
        <v>10000</v>
      </c>
      <c r="AJ97" s="99">
        <f t="shared" si="71"/>
        <v>10000</v>
      </c>
      <c r="AK97" s="99">
        <f t="shared" si="71"/>
        <v>10000</v>
      </c>
      <c r="AL97" s="99">
        <f t="shared" si="71"/>
        <v>10000</v>
      </c>
      <c r="AM97" s="99">
        <f t="shared" si="71"/>
        <v>10000</v>
      </c>
      <c r="AN97" s="99">
        <f t="shared" si="71"/>
        <v>10000</v>
      </c>
      <c r="AO97" s="99">
        <f t="shared" si="71"/>
        <v>10000</v>
      </c>
      <c r="AP97" s="99">
        <f t="shared" si="71"/>
        <v>10000</v>
      </c>
      <c r="AQ97" s="99">
        <f t="shared" si="71"/>
        <v>10000</v>
      </c>
      <c r="AR97" s="99">
        <f t="shared" si="71"/>
        <v>10000</v>
      </c>
      <c r="AS97" s="99">
        <f t="shared" si="71"/>
        <v>10000</v>
      </c>
      <c r="AT97" s="99">
        <f t="shared" si="71"/>
        <v>10000</v>
      </c>
      <c r="AU97" s="99">
        <f t="shared" si="71"/>
        <v>10000</v>
      </c>
      <c r="AV97" s="99">
        <f t="shared" si="71"/>
        <v>10000</v>
      </c>
      <c r="AW97" s="99">
        <f t="shared" si="71"/>
        <v>10000</v>
      </c>
      <c r="AX97" s="99">
        <f t="shared" si="71"/>
        <v>10000</v>
      </c>
      <c r="AY97" s="99">
        <f t="shared" si="71"/>
        <v>10000</v>
      </c>
      <c r="AZ97" s="99">
        <f t="shared" si="71"/>
        <v>10000</v>
      </c>
      <c r="BA97" s="99">
        <f t="shared" si="71"/>
        <v>10000</v>
      </c>
      <c r="BB97" s="99">
        <f t="shared" si="71"/>
        <v>10000</v>
      </c>
      <c r="BC97" s="99">
        <f t="shared" si="71"/>
        <v>10000</v>
      </c>
      <c r="BD97" s="99">
        <f t="shared" si="71"/>
        <v>10000</v>
      </c>
      <c r="BE97" s="99">
        <f t="shared" si="71"/>
        <v>10000</v>
      </c>
      <c r="BF97" s="99">
        <f t="shared" si="71"/>
        <v>10000</v>
      </c>
      <c r="BG97" s="99">
        <f t="shared" si="71"/>
        <v>10000</v>
      </c>
      <c r="BH97" s="99">
        <f t="shared" si="71"/>
        <v>10000</v>
      </c>
      <c r="BI97" s="99">
        <f t="shared" si="71"/>
        <v>10000</v>
      </c>
      <c r="BJ97" s="99">
        <f t="shared" si="71"/>
        <v>10000</v>
      </c>
      <c r="BK97" s="99">
        <f t="shared" si="71"/>
        <v>10000</v>
      </c>
      <c r="BL97" s="99">
        <f t="shared" si="71"/>
        <v>10000</v>
      </c>
      <c r="BM97" s="99">
        <f t="shared" si="71"/>
        <v>10000</v>
      </c>
      <c r="BN97" s="99">
        <f t="shared" si="71"/>
        <v>10000</v>
      </c>
    </row>
    <row r="98" hidden="1" outlineLevel="1">
      <c r="A98" s="47"/>
      <c r="B98" s="121" t="s">
        <v>71</v>
      </c>
      <c r="C98" s="122">
        <v>100000.0</v>
      </c>
      <c r="D98" s="123">
        <v>0.2</v>
      </c>
      <c r="E98" s="124">
        <v>43831.0</v>
      </c>
      <c r="F98" s="99"/>
      <c r="G98" s="99">
        <f t="shared" ref="G98:BN98" si="72">IF(G$4&gt;=$E98,($C98/12)*(1+$D98),0)</f>
        <v>10000</v>
      </c>
      <c r="H98" s="99">
        <f t="shared" si="72"/>
        <v>10000</v>
      </c>
      <c r="I98" s="99">
        <f t="shared" si="72"/>
        <v>10000</v>
      </c>
      <c r="J98" s="99">
        <f t="shared" si="72"/>
        <v>10000</v>
      </c>
      <c r="K98" s="99">
        <f t="shared" si="72"/>
        <v>10000</v>
      </c>
      <c r="L98" s="99">
        <f t="shared" si="72"/>
        <v>10000</v>
      </c>
      <c r="M98" s="99">
        <f t="shared" si="72"/>
        <v>10000</v>
      </c>
      <c r="N98" s="99">
        <f t="shared" si="72"/>
        <v>10000</v>
      </c>
      <c r="O98" s="99">
        <f t="shared" si="72"/>
        <v>10000</v>
      </c>
      <c r="P98" s="99">
        <f t="shared" si="72"/>
        <v>10000</v>
      </c>
      <c r="Q98" s="99">
        <f t="shared" si="72"/>
        <v>10000</v>
      </c>
      <c r="R98" s="99">
        <f t="shared" si="72"/>
        <v>10000</v>
      </c>
      <c r="S98" s="99">
        <f t="shared" si="72"/>
        <v>10000</v>
      </c>
      <c r="T98" s="99">
        <f t="shared" si="72"/>
        <v>10000</v>
      </c>
      <c r="U98" s="99">
        <f t="shared" si="72"/>
        <v>10000</v>
      </c>
      <c r="V98" s="99">
        <f t="shared" si="72"/>
        <v>10000</v>
      </c>
      <c r="W98" s="99">
        <f t="shared" si="72"/>
        <v>10000</v>
      </c>
      <c r="X98" s="99">
        <f t="shared" si="72"/>
        <v>10000</v>
      </c>
      <c r="Y98" s="99">
        <f t="shared" si="72"/>
        <v>10000</v>
      </c>
      <c r="Z98" s="99">
        <f t="shared" si="72"/>
        <v>10000</v>
      </c>
      <c r="AA98" s="99">
        <f t="shared" si="72"/>
        <v>10000</v>
      </c>
      <c r="AB98" s="99">
        <f t="shared" si="72"/>
        <v>10000</v>
      </c>
      <c r="AC98" s="99">
        <f t="shared" si="72"/>
        <v>10000</v>
      </c>
      <c r="AD98" s="99">
        <f t="shared" si="72"/>
        <v>10000</v>
      </c>
      <c r="AE98" s="99">
        <f t="shared" si="72"/>
        <v>10000</v>
      </c>
      <c r="AF98" s="99">
        <f t="shared" si="72"/>
        <v>10000</v>
      </c>
      <c r="AG98" s="99">
        <f t="shared" si="72"/>
        <v>10000</v>
      </c>
      <c r="AH98" s="99">
        <f t="shared" si="72"/>
        <v>10000</v>
      </c>
      <c r="AI98" s="99">
        <f t="shared" si="72"/>
        <v>10000</v>
      </c>
      <c r="AJ98" s="99">
        <f t="shared" si="72"/>
        <v>10000</v>
      </c>
      <c r="AK98" s="99">
        <f t="shared" si="72"/>
        <v>10000</v>
      </c>
      <c r="AL98" s="99">
        <f t="shared" si="72"/>
        <v>10000</v>
      </c>
      <c r="AM98" s="99">
        <f t="shared" si="72"/>
        <v>10000</v>
      </c>
      <c r="AN98" s="99">
        <f t="shared" si="72"/>
        <v>10000</v>
      </c>
      <c r="AO98" s="99">
        <f t="shared" si="72"/>
        <v>10000</v>
      </c>
      <c r="AP98" s="99">
        <f t="shared" si="72"/>
        <v>10000</v>
      </c>
      <c r="AQ98" s="99">
        <f t="shared" si="72"/>
        <v>10000</v>
      </c>
      <c r="AR98" s="99">
        <f t="shared" si="72"/>
        <v>10000</v>
      </c>
      <c r="AS98" s="99">
        <f t="shared" si="72"/>
        <v>10000</v>
      </c>
      <c r="AT98" s="99">
        <f t="shared" si="72"/>
        <v>10000</v>
      </c>
      <c r="AU98" s="99">
        <f t="shared" si="72"/>
        <v>10000</v>
      </c>
      <c r="AV98" s="99">
        <f t="shared" si="72"/>
        <v>10000</v>
      </c>
      <c r="AW98" s="99">
        <f t="shared" si="72"/>
        <v>10000</v>
      </c>
      <c r="AX98" s="99">
        <f t="shared" si="72"/>
        <v>10000</v>
      </c>
      <c r="AY98" s="99">
        <f t="shared" si="72"/>
        <v>10000</v>
      </c>
      <c r="AZ98" s="99">
        <f t="shared" si="72"/>
        <v>10000</v>
      </c>
      <c r="BA98" s="99">
        <f t="shared" si="72"/>
        <v>10000</v>
      </c>
      <c r="BB98" s="99">
        <f t="shared" si="72"/>
        <v>10000</v>
      </c>
      <c r="BC98" s="99">
        <f t="shared" si="72"/>
        <v>10000</v>
      </c>
      <c r="BD98" s="99">
        <f t="shared" si="72"/>
        <v>10000</v>
      </c>
      <c r="BE98" s="99">
        <f t="shared" si="72"/>
        <v>10000</v>
      </c>
      <c r="BF98" s="99">
        <f t="shared" si="72"/>
        <v>10000</v>
      </c>
      <c r="BG98" s="99">
        <f t="shared" si="72"/>
        <v>10000</v>
      </c>
      <c r="BH98" s="99">
        <f t="shared" si="72"/>
        <v>10000</v>
      </c>
      <c r="BI98" s="99">
        <f t="shared" si="72"/>
        <v>10000</v>
      </c>
      <c r="BJ98" s="99">
        <f t="shared" si="72"/>
        <v>10000</v>
      </c>
      <c r="BK98" s="99">
        <f t="shared" si="72"/>
        <v>10000</v>
      </c>
      <c r="BL98" s="99">
        <f t="shared" si="72"/>
        <v>10000</v>
      </c>
      <c r="BM98" s="99">
        <f t="shared" si="72"/>
        <v>10000</v>
      </c>
      <c r="BN98" s="99">
        <f t="shared" si="72"/>
        <v>10000</v>
      </c>
    </row>
    <row r="99" hidden="1" outlineLevel="1">
      <c r="A99" s="47"/>
      <c r="B99" s="121" t="s">
        <v>72</v>
      </c>
      <c r="C99" s="122">
        <v>100000.0</v>
      </c>
      <c r="D99" s="123">
        <v>0.2</v>
      </c>
      <c r="E99" s="124">
        <v>44075.0</v>
      </c>
      <c r="F99" s="99"/>
      <c r="G99" s="99">
        <f t="shared" ref="G99:BN99" si="73">IF(G$4&gt;=$E99,($C99/12)*(1+$D99),0)</f>
        <v>10000</v>
      </c>
      <c r="H99" s="99">
        <f t="shared" si="73"/>
        <v>10000</v>
      </c>
      <c r="I99" s="99">
        <f t="shared" si="73"/>
        <v>10000</v>
      </c>
      <c r="J99" s="99">
        <f t="shared" si="73"/>
        <v>10000</v>
      </c>
      <c r="K99" s="99">
        <f t="shared" si="73"/>
        <v>10000</v>
      </c>
      <c r="L99" s="99">
        <f t="shared" si="73"/>
        <v>10000</v>
      </c>
      <c r="M99" s="99">
        <f t="shared" si="73"/>
        <v>10000</v>
      </c>
      <c r="N99" s="99">
        <f t="shared" si="73"/>
        <v>10000</v>
      </c>
      <c r="O99" s="99">
        <f t="shared" si="73"/>
        <v>10000</v>
      </c>
      <c r="P99" s="99">
        <f t="shared" si="73"/>
        <v>10000</v>
      </c>
      <c r="Q99" s="99">
        <f t="shared" si="73"/>
        <v>10000</v>
      </c>
      <c r="R99" s="99">
        <f t="shared" si="73"/>
        <v>10000</v>
      </c>
      <c r="S99" s="99">
        <f t="shared" si="73"/>
        <v>10000</v>
      </c>
      <c r="T99" s="99">
        <f t="shared" si="73"/>
        <v>10000</v>
      </c>
      <c r="U99" s="99">
        <f t="shared" si="73"/>
        <v>10000</v>
      </c>
      <c r="V99" s="99">
        <f t="shared" si="73"/>
        <v>10000</v>
      </c>
      <c r="W99" s="99">
        <f t="shared" si="73"/>
        <v>10000</v>
      </c>
      <c r="X99" s="99">
        <f t="shared" si="73"/>
        <v>10000</v>
      </c>
      <c r="Y99" s="99">
        <f t="shared" si="73"/>
        <v>10000</v>
      </c>
      <c r="Z99" s="99">
        <f t="shared" si="73"/>
        <v>10000</v>
      </c>
      <c r="AA99" s="99">
        <f t="shared" si="73"/>
        <v>10000</v>
      </c>
      <c r="AB99" s="99">
        <f t="shared" si="73"/>
        <v>10000</v>
      </c>
      <c r="AC99" s="99">
        <f t="shared" si="73"/>
        <v>10000</v>
      </c>
      <c r="AD99" s="99">
        <f t="shared" si="73"/>
        <v>10000</v>
      </c>
      <c r="AE99" s="99">
        <f t="shared" si="73"/>
        <v>10000</v>
      </c>
      <c r="AF99" s="99">
        <f t="shared" si="73"/>
        <v>10000</v>
      </c>
      <c r="AG99" s="99">
        <f t="shared" si="73"/>
        <v>10000</v>
      </c>
      <c r="AH99" s="99">
        <f t="shared" si="73"/>
        <v>10000</v>
      </c>
      <c r="AI99" s="99">
        <f t="shared" si="73"/>
        <v>10000</v>
      </c>
      <c r="AJ99" s="99">
        <f t="shared" si="73"/>
        <v>10000</v>
      </c>
      <c r="AK99" s="99">
        <f t="shared" si="73"/>
        <v>10000</v>
      </c>
      <c r="AL99" s="99">
        <f t="shared" si="73"/>
        <v>10000</v>
      </c>
      <c r="AM99" s="99">
        <f t="shared" si="73"/>
        <v>10000</v>
      </c>
      <c r="AN99" s="99">
        <f t="shared" si="73"/>
        <v>10000</v>
      </c>
      <c r="AO99" s="99">
        <f t="shared" si="73"/>
        <v>10000</v>
      </c>
      <c r="AP99" s="99">
        <f t="shared" si="73"/>
        <v>10000</v>
      </c>
      <c r="AQ99" s="99">
        <f t="shared" si="73"/>
        <v>10000</v>
      </c>
      <c r="AR99" s="99">
        <f t="shared" si="73"/>
        <v>10000</v>
      </c>
      <c r="AS99" s="99">
        <f t="shared" si="73"/>
        <v>10000</v>
      </c>
      <c r="AT99" s="99">
        <f t="shared" si="73"/>
        <v>10000</v>
      </c>
      <c r="AU99" s="99">
        <f t="shared" si="73"/>
        <v>10000</v>
      </c>
      <c r="AV99" s="99">
        <f t="shared" si="73"/>
        <v>10000</v>
      </c>
      <c r="AW99" s="99">
        <f t="shared" si="73"/>
        <v>10000</v>
      </c>
      <c r="AX99" s="99">
        <f t="shared" si="73"/>
        <v>10000</v>
      </c>
      <c r="AY99" s="99">
        <f t="shared" si="73"/>
        <v>10000</v>
      </c>
      <c r="AZ99" s="99">
        <f t="shared" si="73"/>
        <v>10000</v>
      </c>
      <c r="BA99" s="99">
        <f t="shared" si="73"/>
        <v>10000</v>
      </c>
      <c r="BB99" s="99">
        <f t="shared" si="73"/>
        <v>10000</v>
      </c>
      <c r="BC99" s="99">
        <f t="shared" si="73"/>
        <v>10000</v>
      </c>
      <c r="BD99" s="99">
        <f t="shared" si="73"/>
        <v>10000</v>
      </c>
      <c r="BE99" s="99">
        <f t="shared" si="73"/>
        <v>10000</v>
      </c>
      <c r="BF99" s="99">
        <f t="shared" si="73"/>
        <v>10000</v>
      </c>
      <c r="BG99" s="99">
        <f t="shared" si="73"/>
        <v>10000</v>
      </c>
      <c r="BH99" s="99">
        <f t="shared" si="73"/>
        <v>10000</v>
      </c>
      <c r="BI99" s="99">
        <f t="shared" si="73"/>
        <v>10000</v>
      </c>
      <c r="BJ99" s="99">
        <f t="shared" si="73"/>
        <v>10000</v>
      </c>
      <c r="BK99" s="99">
        <f t="shared" si="73"/>
        <v>10000</v>
      </c>
      <c r="BL99" s="99">
        <f t="shared" si="73"/>
        <v>10000</v>
      </c>
      <c r="BM99" s="99">
        <f t="shared" si="73"/>
        <v>10000</v>
      </c>
      <c r="BN99" s="99">
        <f t="shared" si="73"/>
        <v>10000</v>
      </c>
    </row>
    <row r="100" hidden="1" outlineLevel="1">
      <c r="A100" s="47"/>
      <c r="B100" s="121" t="s">
        <v>73</v>
      </c>
      <c r="C100" s="122">
        <v>100000.0</v>
      </c>
      <c r="D100" s="123">
        <v>0.2</v>
      </c>
      <c r="E100" s="124">
        <v>43831.0</v>
      </c>
      <c r="F100" s="99"/>
      <c r="G100" s="99">
        <f t="shared" ref="G100:BN100" si="74">IF(G$4&gt;=$E100,($C100/12)*(1+$D100),0)</f>
        <v>10000</v>
      </c>
      <c r="H100" s="99">
        <f t="shared" si="74"/>
        <v>10000</v>
      </c>
      <c r="I100" s="99">
        <f t="shared" si="74"/>
        <v>10000</v>
      </c>
      <c r="J100" s="99">
        <f t="shared" si="74"/>
        <v>10000</v>
      </c>
      <c r="K100" s="99">
        <f t="shared" si="74"/>
        <v>10000</v>
      </c>
      <c r="L100" s="99">
        <f t="shared" si="74"/>
        <v>10000</v>
      </c>
      <c r="M100" s="99">
        <f t="shared" si="74"/>
        <v>10000</v>
      </c>
      <c r="N100" s="99">
        <f t="shared" si="74"/>
        <v>10000</v>
      </c>
      <c r="O100" s="99">
        <f t="shared" si="74"/>
        <v>10000</v>
      </c>
      <c r="P100" s="99">
        <f t="shared" si="74"/>
        <v>10000</v>
      </c>
      <c r="Q100" s="99">
        <f t="shared" si="74"/>
        <v>10000</v>
      </c>
      <c r="R100" s="99">
        <f t="shared" si="74"/>
        <v>10000</v>
      </c>
      <c r="S100" s="99">
        <f t="shared" si="74"/>
        <v>10000</v>
      </c>
      <c r="T100" s="99">
        <f t="shared" si="74"/>
        <v>10000</v>
      </c>
      <c r="U100" s="99">
        <f t="shared" si="74"/>
        <v>10000</v>
      </c>
      <c r="V100" s="99">
        <f t="shared" si="74"/>
        <v>10000</v>
      </c>
      <c r="W100" s="99">
        <f t="shared" si="74"/>
        <v>10000</v>
      </c>
      <c r="X100" s="99">
        <f t="shared" si="74"/>
        <v>10000</v>
      </c>
      <c r="Y100" s="99">
        <f t="shared" si="74"/>
        <v>10000</v>
      </c>
      <c r="Z100" s="99">
        <f t="shared" si="74"/>
        <v>10000</v>
      </c>
      <c r="AA100" s="99">
        <f t="shared" si="74"/>
        <v>10000</v>
      </c>
      <c r="AB100" s="99">
        <f t="shared" si="74"/>
        <v>10000</v>
      </c>
      <c r="AC100" s="99">
        <f t="shared" si="74"/>
        <v>10000</v>
      </c>
      <c r="AD100" s="99">
        <f t="shared" si="74"/>
        <v>10000</v>
      </c>
      <c r="AE100" s="99">
        <f t="shared" si="74"/>
        <v>10000</v>
      </c>
      <c r="AF100" s="99">
        <f t="shared" si="74"/>
        <v>10000</v>
      </c>
      <c r="AG100" s="99">
        <f t="shared" si="74"/>
        <v>10000</v>
      </c>
      <c r="AH100" s="99">
        <f t="shared" si="74"/>
        <v>10000</v>
      </c>
      <c r="AI100" s="99">
        <f t="shared" si="74"/>
        <v>10000</v>
      </c>
      <c r="AJ100" s="99">
        <f t="shared" si="74"/>
        <v>10000</v>
      </c>
      <c r="AK100" s="99">
        <f t="shared" si="74"/>
        <v>10000</v>
      </c>
      <c r="AL100" s="99">
        <f t="shared" si="74"/>
        <v>10000</v>
      </c>
      <c r="AM100" s="99">
        <f t="shared" si="74"/>
        <v>10000</v>
      </c>
      <c r="AN100" s="99">
        <f t="shared" si="74"/>
        <v>10000</v>
      </c>
      <c r="AO100" s="99">
        <f t="shared" si="74"/>
        <v>10000</v>
      </c>
      <c r="AP100" s="99">
        <f t="shared" si="74"/>
        <v>10000</v>
      </c>
      <c r="AQ100" s="99">
        <f t="shared" si="74"/>
        <v>10000</v>
      </c>
      <c r="AR100" s="99">
        <f t="shared" si="74"/>
        <v>10000</v>
      </c>
      <c r="AS100" s="99">
        <f t="shared" si="74"/>
        <v>10000</v>
      </c>
      <c r="AT100" s="99">
        <f t="shared" si="74"/>
        <v>10000</v>
      </c>
      <c r="AU100" s="99">
        <f t="shared" si="74"/>
        <v>10000</v>
      </c>
      <c r="AV100" s="99">
        <f t="shared" si="74"/>
        <v>10000</v>
      </c>
      <c r="AW100" s="99">
        <f t="shared" si="74"/>
        <v>10000</v>
      </c>
      <c r="AX100" s="99">
        <f t="shared" si="74"/>
        <v>10000</v>
      </c>
      <c r="AY100" s="99">
        <f t="shared" si="74"/>
        <v>10000</v>
      </c>
      <c r="AZ100" s="99">
        <f t="shared" si="74"/>
        <v>10000</v>
      </c>
      <c r="BA100" s="99">
        <f t="shared" si="74"/>
        <v>10000</v>
      </c>
      <c r="BB100" s="99">
        <f t="shared" si="74"/>
        <v>10000</v>
      </c>
      <c r="BC100" s="99">
        <f t="shared" si="74"/>
        <v>10000</v>
      </c>
      <c r="BD100" s="99">
        <f t="shared" si="74"/>
        <v>10000</v>
      </c>
      <c r="BE100" s="99">
        <f t="shared" si="74"/>
        <v>10000</v>
      </c>
      <c r="BF100" s="99">
        <f t="shared" si="74"/>
        <v>10000</v>
      </c>
      <c r="BG100" s="99">
        <f t="shared" si="74"/>
        <v>10000</v>
      </c>
      <c r="BH100" s="99">
        <f t="shared" si="74"/>
        <v>10000</v>
      </c>
      <c r="BI100" s="99">
        <f t="shared" si="74"/>
        <v>10000</v>
      </c>
      <c r="BJ100" s="99">
        <f t="shared" si="74"/>
        <v>10000</v>
      </c>
      <c r="BK100" s="99">
        <f t="shared" si="74"/>
        <v>10000</v>
      </c>
      <c r="BL100" s="99">
        <f t="shared" si="74"/>
        <v>10000</v>
      </c>
      <c r="BM100" s="99">
        <f t="shared" si="74"/>
        <v>10000</v>
      </c>
      <c r="BN100" s="99">
        <f t="shared" si="74"/>
        <v>10000</v>
      </c>
    </row>
    <row r="101" hidden="1" outlineLevel="1">
      <c r="A101" s="47"/>
      <c r="B101" s="121" t="s">
        <v>74</v>
      </c>
      <c r="C101" s="122">
        <v>100000.0</v>
      </c>
      <c r="D101" s="123">
        <v>0.2</v>
      </c>
      <c r="E101" s="124">
        <v>43891.0</v>
      </c>
      <c r="F101" s="99"/>
      <c r="G101" s="99">
        <f t="shared" ref="G101:BN101" si="75">IF(G$4&gt;=$E101,($C101/12)*(1+$D101),0)</f>
        <v>10000</v>
      </c>
      <c r="H101" s="99">
        <f t="shared" si="75"/>
        <v>10000</v>
      </c>
      <c r="I101" s="99">
        <f t="shared" si="75"/>
        <v>10000</v>
      </c>
      <c r="J101" s="99">
        <f t="shared" si="75"/>
        <v>10000</v>
      </c>
      <c r="K101" s="99">
        <f t="shared" si="75"/>
        <v>10000</v>
      </c>
      <c r="L101" s="99">
        <f t="shared" si="75"/>
        <v>10000</v>
      </c>
      <c r="M101" s="99">
        <f t="shared" si="75"/>
        <v>10000</v>
      </c>
      <c r="N101" s="99">
        <f t="shared" si="75"/>
        <v>10000</v>
      </c>
      <c r="O101" s="99">
        <f t="shared" si="75"/>
        <v>10000</v>
      </c>
      <c r="P101" s="99">
        <f t="shared" si="75"/>
        <v>10000</v>
      </c>
      <c r="Q101" s="99">
        <f t="shared" si="75"/>
        <v>10000</v>
      </c>
      <c r="R101" s="99">
        <f t="shared" si="75"/>
        <v>10000</v>
      </c>
      <c r="S101" s="99">
        <f t="shared" si="75"/>
        <v>10000</v>
      </c>
      <c r="T101" s="99">
        <f t="shared" si="75"/>
        <v>10000</v>
      </c>
      <c r="U101" s="99">
        <f t="shared" si="75"/>
        <v>10000</v>
      </c>
      <c r="V101" s="99">
        <f t="shared" si="75"/>
        <v>10000</v>
      </c>
      <c r="W101" s="99">
        <f t="shared" si="75"/>
        <v>10000</v>
      </c>
      <c r="X101" s="99">
        <f t="shared" si="75"/>
        <v>10000</v>
      </c>
      <c r="Y101" s="99">
        <f t="shared" si="75"/>
        <v>10000</v>
      </c>
      <c r="Z101" s="99">
        <f t="shared" si="75"/>
        <v>10000</v>
      </c>
      <c r="AA101" s="99">
        <f t="shared" si="75"/>
        <v>10000</v>
      </c>
      <c r="AB101" s="99">
        <f t="shared" si="75"/>
        <v>10000</v>
      </c>
      <c r="AC101" s="99">
        <f t="shared" si="75"/>
        <v>10000</v>
      </c>
      <c r="AD101" s="99">
        <f t="shared" si="75"/>
        <v>10000</v>
      </c>
      <c r="AE101" s="99">
        <f t="shared" si="75"/>
        <v>10000</v>
      </c>
      <c r="AF101" s="99">
        <f t="shared" si="75"/>
        <v>10000</v>
      </c>
      <c r="AG101" s="99">
        <f t="shared" si="75"/>
        <v>10000</v>
      </c>
      <c r="AH101" s="99">
        <f t="shared" si="75"/>
        <v>10000</v>
      </c>
      <c r="AI101" s="99">
        <f t="shared" si="75"/>
        <v>10000</v>
      </c>
      <c r="AJ101" s="99">
        <f t="shared" si="75"/>
        <v>10000</v>
      </c>
      <c r="AK101" s="99">
        <f t="shared" si="75"/>
        <v>10000</v>
      </c>
      <c r="AL101" s="99">
        <f t="shared" si="75"/>
        <v>10000</v>
      </c>
      <c r="AM101" s="99">
        <f t="shared" si="75"/>
        <v>10000</v>
      </c>
      <c r="AN101" s="99">
        <f t="shared" si="75"/>
        <v>10000</v>
      </c>
      <c r="AO101" s="99">
        <f t="shared" si="75"/>
        <v>10000</v>
      </c>
      <c r="AP101" s="99">
        <f t="shared" si="75"/>
        <v>10000</v>
      </c>
      <c r="AQ101" s="99">
        <f t="shared" si="75"/>
        <v>10000</v>
      </c>
      <c r="AR101" s="99">
        <f t="shared" si="75"/>
        <v>10000</v>
      </c>
      <c r="AS101" s="99">
        <f t="shared" si="75"/>
        <v>10000</v>
      </c>
      <c r="AT101" s="99">
        <f t="shared" si="75"/>
        <v>10000</v>
      </c>
      <c r="AU101" s="99">
        <f t="shared" si="75"/>
        <v>10000</v>
      </c>
      <c r="AV101" s="99">
        <f t="shared" si="75"/>
        <v>10000</v>
      </c>
      <c r="AW101" s="99">
        <f t="shared" si="75"/>
        <v>10000</v>
      </c>
      <c r="AX101" s="99">
        <f t="shared" si="75"/>
        <v>10000</v>
      </c>
      <c r="AY101" s="99">
        <f t="shared" si="75"/>
        <v>10000</v>
      </c>
      <c r="AZ101" s="99">
        <f t="shared" si="75"/>
        <v>10000</v>
      </c>
      <c r="BA101" s="99">
        <f t="shared" si="75"/>
        <v>10000</v>
      </c>
      <c r="BB101" s="99">
        <f t="shared" si="75"/>
        <v>10000</v>
      </c>
      <c r="BC101" s="99">
        <f t="shared" si="75"/>
        <v>10000</v>
      </c>
      <c r="BD101" s="99">
        <f t="shared" si="75"/>
        <v>10000</v>
      </c>
      <c r="BE101" s="99">
        <f t="shared" si="75"/>
        <v>10000</v>
      </c>
      <c r="BF101" s="99">
        <f t="shared" si="75"/>
        <v>10000</v>
      </c>
      <c r="BG101" s="99">
        <f t="shared" si="75"/>
        <v>10000</v>
      </c>
      <c r="BH101" s="99">
        <f t="shared" si="75"/>
        <v>10000</v>
      </c>
      <c r="BI101" s="99">
        <f t="shared" si="75"/>
        <v>10000</v>
      </c>
      <c r="BJ101" s="99">
        <f t="shared" si="75"/>
        <v>10000</v>
      </c>
      <c r="BK101" s="99">
        <f t="shared" si="75"/>
        <v>10000</v>
      </c>
      <c r="BL101" s="99">
        <f t="shared" si="75"/>
        <v>10000</v>
      </c>
      <c r="BM101" s="99">
        <f t="shared" si="75"/>
        <v>10000</v>
      </c>
      <c r="BN101" s="99">
        <f t="shared" si="75"/>
        <v>10000</v>
      </c>
    </row>
    <row r="102" hidden="1" outlineLevel="1">
      <c r="A102" s="47"/>
      <c r="B102" s="121" t="s">
        <v>75</v>
      </c>
      <c r="C102" s="122">
        <v>75000.0</v>
      </c>
      <c r="D102" s="123">
        <v>0.2</v>
      </c>
      <c r="E102" s="124">
        <v>43983.0</v>
      </c>
      <c r="F102" s="99"/>
      <c r="G102" s="99">
        <f t="shared" ref="G102:BN102" si="76">IF(G$4&gt;=$E102,($C102/12)*(1+$D102),0)</f>
        <v>7500</v>
      </c>
      <c r="H102" s="99">
        <f t="shared" si="76"/>
        <v>7500</v>
      </c>
      <c r="I102" s="99">
        <f t="shared" si="76"/>
        <v>7500</v>
      </c>
      <c r="J102" s="99">
        <f t="shared" si="76"/>
        <v>7500</v>
      </c>
      <c r="K102" s="99">
        <f t="shared" si="76"/>
        <v>7500</v>
      </c>
      <c r="L102" s="99">
        <f t="shared" si="76"/>
        <v>7500</v>
      </c>
      <c r="M102" s="99">
        <f t="shared" si="76"/>
        <v>7500</v>
      </c>
      <c r="N102" s="99">
        <f t="shared" si="76"/>
        <v>7500</v>
      </c>
      <c r="O102" s="99">
        <f t="shared" si="76"/>
        <v>7500</v>
      </c>
      <c r="P102" s="99">
        <f t="shared" si="76"/>
        <v>7500</v>
      </c>
      <c r="Q102" s="99">
        <f t="shared" si="76"/>
        <v>7500</v>
      </c>
      <c r="R102" s="99">
        <f t="shared" si="76"/>
        <v>7500</v>
      </c>
      <c r="S102" s="99">
        <f t="shared" si="76"/>
        <v>7500</v>
      </c>
      <c r="T102" s="99">
        <f t="shared" si="76"/>
        <v>7500</v>
      </c>
      <c r="U102" s="99">
        <f t="shared" si="76"/>
        <v>7500</v>
      </c>
      <c r="V102" s="99">
        <f t="shared" si="76"/>
        <v>7500</v>
      </c>
      <c r="W102" s="99">
        <f t="shared" si="76"/>
        <v>7500</v>
      </c>
      <c r="X102" s="99">
        <f t="shared" si="76"/>
        <v>7500</v>
      </c>
      <c r="Y102" s="99">
        <f t="shared" si="76"/>
        <v>7500</v>
      </c>
      <c r="Z102" s="99">
        <f t="shared" si="76"/>
        <v>7500</v>
      </c>
      <c r="AA102" s="99">
        <f t="shared" si="76"/>
        <v>7500</v>
      </c>
      <c r="AB102" s="99">
        <f t="shared" si="76"/>
        <v>7500</v>
      </c>
      <c r="AC102" s="99">
        <f t="shared" si="76"/>
        <v>7500</v>
      </c>
      <c r="AD102" s="99">
        <f t="shared" si="76"/>
        <v>7500</v>
      </c>
      <c r="AE102" s="99">
        <f t="shared" si="76"/>
        <v>7500</v>
      </c>
      <c r="AF102" s="99">
        <f t="shared" si="76"/>
        <v>7500</v>
      </c>
      <c r="AG102" s="99">
        <f t="shared" si="76"/>
        <v>7500</v>
      </c>
      <c r="AH102" s="99">
        <f t="shared" si="76"/>
        <v>7500</v>
      </c>
      <c r="AI102" s="99">
        <f t="shared" si="76"/>
        <v>7500</v>
      </c>
      <c r="AJ102" s="99">
        <f t="shared" si="76"/>
        <v>7500</v>
      </c>
      <c r="AK102" s="99">
        <f t="shared" si="76"/>
        <v>7500</v>
      </c>
      <c r="AL102" s="99">
        <f t="shared" si="76"/>
        <v>7500</v>
      </c>
      <c r="AM102" s="99">
        <f t="shared" si="76"/>
        <v>7500</v>
      </c>
      <c r="AN102" s="99">
        <f t="shared" si="76"/>
        <v>7500</v>
      </c>
      <c r="AO102" s="99">
        <f t="shared" si="76"/>
        <v>7500</v>
      </c>
      <c r="AP102" s="99">
        <f t="shared" si="76"/>
        <v>7500</v>
      </c>
      <c r="AQ102" s="99">
        <f t="shared" si="76"/>
        <v>7500</v>
      </c>
      <c r="AR102" s="99">
        <f t="shared" si="76"/>
        <v>7500</v>
      </c>
      <c r="AS102" s="99">
        <f t="shared" si="76"/>
        <v>7500</v>
      </c>
      <c r="AT102" s="99">
        <f t="shared" si="76"/>
        <v>7500</v>
      </c>
      <c r="AU102" s="99">
        <f t="shared" si="76"/>
        <v>7500</v>
      </c>
      <c r="AV102" s="99">
        <f t="shared" si="76"/>
        <v>7500</v>
      </c>
      <c r="AW102" s="99">
        <f t="shared" si="76"/>
        <v>7500</v>
      </c>
      <c r="AX102" s="99">
        <f t="shared" si="76"/>
        <v>7500</v>
      </c>
      <c r="AY102" s="99">
        <f t="shared" si="76"/>
        <v>7500</v>
      </c>
      <c r="AZ102" s="99">
        <f t="shared" si="76"/>
        <v>7500</v>
      </c>
      <c r="BA102" s="99">
        <f t="shared" si="76"/>
        <v>7500</v>
      </c>
      <c r="BB102" s="99">
        <f t="shared" si="76"/>
        <v>7500</v>
      </c>
      <c r="BC102" s="99">
        <f t="shared" si="76"/>
        <v>7500</v>
      </c>
      <c r="BD102" s="99">
        <f t="shared" si="76"/>
        <v>7500</v>
      </c>
      <c r="BE102" s="99">
        <f t="shared" si="76"/>
        <v>7500</v>
      </c>
      <c r="BF102" s="99">
        <f t="shared" si="76"/>
        <v>7500</v>
      </c>
      <c r="BG102" s="99">
        <f t="shared" si="76"/>
        <v>7500</v>
      </c>
      <c r="BH102" s="99">
        <f t="shared" si="76"/>
        <v>7500</v>
      </c>
      <c r="BI102" s="99">
        <f t="shared" si="76"/>
        <v>7500</v>
      </c>
      <c r="BJ102" s="99">
        <f t="shared" si="76"/>
        <v>7500</v>
      </c>
      <c r="BK102" s="99">
        <f t="shared" si="76"/>
        <v>7500</v>
      </c>
      <c r="BL102" s="99">
        <f t="shared" si="76"/>
        <v>7500</v>
      </c>
      <c r="BM102" s="99">
        <f t="shared" si="76"/>
        <v>7500</v>
      </c>
      <c r="BN102" s="99">
        <f t="shared" si="76"/>
        <v>7500</v>
      </c>
    </row>
    <row r="103" hidden="1" outlineLevel="1">
      <c r="A103" s="47"/>
      <c r="B103" s="121" t="s">
        <v>76</v>
      </c>
      <c r="C103" s="122">
        <v>50000.0</v>
      </c>
      <c r="D103" s="123">
        <v>0.2</v>
      </c>
      <c r="E103" s="124">
        <v>44075.0</v>
      </c>
      <c r="F103" s="99"/>
      <c r="G103" s="99">
        <f t="shared" ref="G103:BN103" si="77">IF(G$4&gt;=$E103,($C103/12)*(1+$D103),0)</f>
        <v>5000</v>
      </c>
      <c r="H103" s="99">
        <f t="shared" si="77"/>
        <v>5000</v>
      </c>
      <c r="I103" s="99">
        <f t="shared" si="77"/>
        <v>5000</v>
      </c>
      <c r="J103" s="99">
        <f t="shared" si="77"/>
        <v>5000</v>
      </c>
      <c r="K103" s="99">
        <f t="shared" si="77"/>
        <v>5000</v>
      </c>
      <c r="L103" s="99">
        <f t="shared" si="77"/>
        <v>5000</v>
      </c>
      <c r="M103" s="99">
        <f t="shared" si="77"/>
        <v>5000</v>
      </c>
      <c r="N103" s="99">
        <f t="shared" si="77"/>
        <v>5000</v>
      </c>
      <c r="O103" s="99">
        <f t="shared" si="77"/>
        <v>5000</v>
      </c>
      <c r="P103" s="99">
        <f t="shared" si="77"/>
        <v>5000</v>
      </c>
      <c r="Q103" s="99">
        <f t="shared" si="77"/>
        <v>5000</v>
      </c>
      <c r="R103" s="99">
        <f t="shared" si="77"/>
        <v>5000</v>
      </c>
      <c r="S103" s="99">
        <f t="shared" si="77"/>
        <v>5000</v>
      </c>
      <c r="T103" s="99">
        <f t="shared" si="77"/>
        <v>5000</v>
      </c>
      <c r="U103" s="99">
        <f t="shared" si="77"/>
        <v>5000</v>
      </c>
      <c r="V103" s="99">
        <f t="shared" si="77"/>
        <v>5000</v>
      </c>
      <c r="W103" s="99">
        <f t="shared" si="77"/>
        <v>5000</v>
      </c>
      <c r="X103" s="99">
        <f t="shared" si="77"/>
        <v>5000</v>
      </c>
      <c r="Y103" s="99">
        <f t="shared" si="77"/>
        <v>5000</v>
      </c>
      <c r="Z103" s="99">
        <f t="shared" si="77"/>
        <v>5000</v>
      </c>
      <c r="AA103" s="99">
        <f t="shared" si="77"/>
        <v>5000</v>
      </c>
      <c r="AB103" s="99">
        <f t="shared" si="77"/>
        <v>5000</v>
      </c>
      <c r="AC103" s="99">
        <f t="shared" si="77"/>
        <v>5000</v>
      </c>
      <c r="AD103" s="99">
        <f t="shared" si="77"/>
        <v>5000</v>
      </c>
      <c r="AE103" s="99">
        <f t="shared" si="77"/>
        <v>5000</v>
      </c>
      <c r="AF103" s="99">
        <f t="shared" si="77"/>
        <v>5000</v>
      </c>
      <c r="AG103" s="99">
        <f t="shared" si="77"/>
        <v>5000</v>
      </c>
      <c r="AH103" s="99">
        <f t="shared" si="77"/>
        <v>5000</v>
      </c>
      <c r="AI103" s="99">
        <f t="shared" si="77"/>
        <v>5000</v>
      </c>
      <c r="AJ103" s="99">
        <f t="shared" si="77"/>
        <v>5000</v>
      </c>
      <c r="AK103" s="99">
        <f t="shared" si="77"/>
        <v>5000</v>
      </c>
      <c r="AL103" s="99">
        <f t="shared" si="77"/>
        <v>5000</v>
      </c>
      <c r="AM103" s="99">
        <f t="shared" si="77"/>
        <v>5000</v>
      </c>
      <c r="AN103" s="99">
        <f t="shared" si="77"/>
        <v>5000</v>
      </c>
      <c r="AO103" s="99">
        <f t="shared" si="77"/>
        <v>5000</v>
      </c>
      <c r="AP103" s="99">
        <f t="shared" si="77"/>
        <v>5000</v>
      </c>
      <c r="AQ103" s="99">
        <f t="shared" si="77"/>
        <v>5000</v>
      </c>
      <c r="AR103" s="99">
        <f t="shared" si="77"/>
        <v>5000</v>
      </c>
      <c r="AS103" s="99">
        <f t="shared" si="77"/>
        <v>5000</v>
      </c>
      <c r="AT103" s="99">
        <f t="shared" si="77"/>
        <v>5000</v>
      </c>
      <c r="AU103" s="99">
        <f t="shared" si="77"/>
        <v>5000</v>
      </c>
      <c r="AV103" s="99">
        <f t="shared" si="77"/>
        <v>5000</v>
      </c>
      <c r="AW103" s="99">
        <f t="shared" si="77"/>
        <v>5000</v>
      </c>
      <c r="AX103" s="99">
        <f t="shared" si="77"/>
        <v>5000</v>
      </c>
      <c r="AY103" s="99">
        <f t="shared" si="77"/>
        <v>5000</v>
      </c>
      <c r="AZ103" s="99">
        <f t="shared" si="77"/>
        <v>5000</v>
      </c>
      <c r="BA103" s="99">
        <f t="shared" si="77"/>
        <v>5000</v>
      </c>
      <c r="BB103" s="99">
        <f t="shared" si="77"/>
        <v>5000</v>
      </c>
      <c r="BC103" s="99">
        <f t="shared" si="77"/>
        <v>5000</v>
      </c>
      <c r="BD103" s="99">
        <f t="shared" si="77"/>
        <v>5000</v>
      </c>
      <c r="BE103" s="99">
        <f t="shared" si="77"/>
        <v>5000</v>
      </c>
      <c r="BF103" s="99">
        <f t="shared" si="77"/>
        <v>5000</v>
      </c>
      <c r="BG103" s="99">
        <f t="shared" si="77"/>
        <v>5000</v>
      </c>
      <c r="BH103" s="99">
        <f t="shared" si="77"/>
        <v>5000</v>
      </c>
      <c r="BI103" s="99">
        <f t="shared" si="77"/>
        <v>5000</v>
      </c>
      <c r="BJ103" s="99">
        <f t="shared" si="77"/>
        <v>5000</v>
      </c>
      <c r="BK103" s="99">
        <f t="shared" si="77"/>
        <v>5000</v>
      </c>
      <c r="BL103" s="99">
        <f t="shared" si="77"/>
        <v>5000</v>
      </c>
      <c r="BM103" s="99">
        <f t="shared" si="77"/>
        <v>5000</v>
      </c>
      <c r="BN103" s="99">
        <f t="shared" si="77"/>
        <v>5000</v>
      </c>
    </row>
    <row r="104" hidden="1" outlineLevel="1">
      <c r="A104" s="47"/>
      <c r="B104" s="121" t="s">
        <v>77</v>
      </c>
      <c r="C104" s="122">
        <v>80000.0</v>
      </c>
      <c r="D104" s="123">
        <v>0.2</v>
      </c>
      <c r="E104" s="124">
        <v>44166.0</v>
      </c>
      <c r="F104" s="99"/>
      <c r="G104" s="99">
        <f t="shared" ref="G104:BN104" si="78">IF(G$4&gt;=$E104,($C104/12)*(1+$D104),0)</f>
        <v>8000</v>
      </c>
      <c r="H104" s="99">
        <f t="shared" si="78"/>
        <v>8000</v>
      </c>
      <c r="I104" s="99">
        <f t="shared" si="78"/>
        <v>8000</v>
      </c>
      <c r="J104" s="99">
        <f t="shared" si="78"/>
        <v>8000</v>
      </c>
      <c r="K104" s="99">
        <f t="shared" si="78"/>
        <v>8000</v>
      </c>
      <c r="L104" s="99">
        <f t="shared" si="78"/>
        <v>8000</v>
      </c>
      <c r="M104" s="99">
        <f t="shared" si="78"/>
        <v>8000</v>
      </c>
      <c r="N104" s="99">
        <f t="shared" si="78"/>
        <v>8000</v>
      </c>
      <c r="O104" s="99">
        <f t="shared" si="78"/>
        <v>8000</v>
      </c>
      <c r="P104" s="99">
        <f t="shared" si="78"/>
        <v>8000</v>
      </c>
      <c r="Q104" s="99">
        <f t="shared" si="78"/>
        <v>8000</v>
      </c>
      <c r="R104" s="99">
        <f t="shared" si="78"/>
        <v>8000</v>
      </c>
      <c r="S104" s="99">
        <f t="shared" si="78"/>
        <v>8000</v>
      </c>
      <c r="T104" s="99">
        <f t="shared" si="78"/>
        <v>8000</v>
      </c>
      <c r="U104" s="99">
        <f t="shared" si="78"/>
        <v>8000</v>
      </c>
      <c r="V104" s="99">
        <f t="shared" si="78"/>
        <v>8000</v>
      </c>
      <c r="W104" s="99">
        <f t="shared" si="78"/>
        <v>8000</v>
      </c>
      <c r="X104" s="99">
        <f t="shared" si="78"/>
        <v>8000</v>
      </c>
      <c r="Y104" s="99">
        <f t="shared" si="78"/>
        <v>8000</v>
      </c>
      <c r="Z104" s="99">
        <f t="shared" si="78"/>
        <v>8000</v>
      </c>
      <c r="AA104" s="99">
        <f t="shared" si="78"/>
        <v>8000</v>
      </c>
      <c r="AB104" s="99">
        <f t="shared" si="78"/>
        <v>8000</v>
      </c>
      <c r="AC104" s="99">
        <f t="shared" si="78"/>
        <v>8000</v>
      </c>
      <c r="AD104" s="99">
        <f t="shared" si="78"/>
        <v>8000</v>
      </c>
      <c r="AE104" s="99">
        <f t="shared" si="78"/>
        <v>8000</v>
      </c>
      <c r="AF104" s="99">
        <f t="shared" si="78"/>
        <v>8000</v>
      </c>
      <c r="AG104" s="99">
        <f t="shared" si="78"/>
        <v>8000</v>
      </c>
      <c r="AH104" s="99">
        <f t="shared" si="78"/>
        <v>8000</v>
      </c>
      <c r="AI104" s="99">
        <f t="shared" si="78"/>
        <v>8000</v>
      </c>
      <c r="AJ104" s="99">
        <f t="shared" si="78"/>
        <v>8000</v>
      </c>
      <c r="AK104" s="99">
        <f t="shared" si="78"/>
        <v>8000</v>
      </c>
      <c r="AL104" s="99">
        <f t="shared" si="78"/>
        <v>8000</v>
      </c>
      <c r="AM104" s="99">
        <f t="shared" si="78"/>
        <v>8000</v>
      </c>
      <c r="AN104" s="99">
        <f t="shared" si="78"/>
        <v>8000</v>
      </c>
      <c r="AO104" s="99">
        <f t="shared" si="78"/>
        <v>8000</v>
      </c>
      <c r="AP104" s="99">
        <f t="shared" si="78"/>
        <v>8000</v>
      </c>
      <c r="AQ104" s="99">
        <f t="shared" si="78"/>
        <v>8000</v>
      </c>
      <c r="AR104" s="99">
        <f t="shared" si="78"/>
        <v>8000</v>
      </c>
      <c r="AS104" s="99">
        <f t="shared" si="78"/>
        <v>8000</v>
      </c>
      <c r="AT104" s="99">
        <f t="shared" si="78"/>
        <v>8000</v>
      </c>
      <c r="AU104" s="99">
        <f t="shared" si="78"/>
        <v>8000</v>
      </c>
      <c r="AV104" s="99">
        <f t="shared" si="78"/>
        <v>8000</v>
      </c>
      <c r="AW104" s="99">
        <f t="shared" si="78"/>
        <v>8000</v>
      </c>
      <c r="AX104" s="99">
        <f t="shared" si="78"/>
        <v>8000</v>
      </c>
      <c r="AY104" s="99">
        <f t="shared" si="78"/>
        <v>8000</v>
      </c>
      <c r="AZ104" s="99">
        <f t="shared" si="78"/>
        <v>8000</v>
      </c>
      <c r="BA104" s="99">
        <f t="shared" si="78"/>
        <v>8000</v>
      </c>
      <c r="BB104" s="99">
        <f t="shared" si="78"/>
        <v>8000</v>
      </c>
      <c r="BC104" s="99">
        <f t="shared" si="78"/>
        <v>8000</v>
      </c>
      <c r="BD104" s="99">
        <f t="shared" si="78"/>
        <v>8000</v>
      </c>
      <c r="BE104" s="99">
        <f t="shared" si="78"/>
        <v>8000</v>
      </c>
      <c r="BF104" s="99">
        <f t="shared" si="78"/>
        <v>8000</v>
      </c>
      <c r="BG104" s="99">
        <f t="shared" si="78"/>
        <v>8000</v>
      </c>
      <c r="BH104" s="99">
        <f t="shared" si="78"/>
        <v>8000</v>
      </c>
      <c r="BI104" s="99">
        <f t="shared" si="78"/>
        <v>8000</v>
      </c>
      <c r="BJ104" s="99">
        <f t="shared" si="78"/>
        <v>8000</v>
      </c>
      <c r="BK104" s="99">
        <f t="shared" si="78"/>
        <v>8000</v>
      </c>
      <c r="BL104" s="99">
        <f t="shared" si="78"/>
        <v>8000</v>
      </c>
      <c r="BM104" s="99">
        <f t="shared" si="78"/>
        <v>8000</v>
      </c>
      <c r="BN104" s="99">
        <f t="shared" si="78"/>
        <v>8000</v>
      </c>
    </row>
    <row r="105" hidden="1" outlineLevel="1">
      <c r="A105" s="47"/>
      <c r="B105" s="121" t="s">
        <v>78</v>
      </c>
      <c r="C105" s="122">
        <v>90000.0</v>
      </c>
      <c r="D105" s="123">
        <v>0.2</v>
      </c>
      <c r="E105" s="124">
        <v>44256.0</v>
      </c>
      <c r="F105" s="99"/>
      <c r="G105" s="99">
        <f t="shared" ref="G105:BN105" si="79">IF(G$4&gt;=$E105,($C105/12)*(1+$D105),0)</f>
        <v>9000</v>
      </c>
      <c r="H105" s="99">
        <f t="shared" si="79"/>
        <v>9000</v>
      </c>
      <c r="I105" s="99">
        <f t="shared" si="79"/>
        <v>9000</v>
      </c>
      <c r="J105" s="99">
        <f t="shared" si="79"/>
        <v>9000</v>
      </c>
      <c r="K105" s="99">
        <f t="shared" si="79"/>
        <v>9000</v>
      </c>
      <c r="L105" s="99">
        <f t="shared" si="79"/>
        <v>9000</v>
      </c>
      <c r="M105" s="99">
        <f t="shared" si="79"/>
        <v>9000</v>
      </c>
      <c r="N105" s="99">
        <f t="shared" si="79"/>
        <v>9000</v>
      </c>
      <c r="O105" s="99">
        <f t="shared" si="79"/>
        <v>9000</v>
      </c>
      <c r="P105" s="99">
        <f t="shared" si="79"/>
        <v>9000</v>
      </c>
      <c r="Q105" s="99">
        <f t="shared" si="79"/>
        <v>9000</v>
      </c>
      <c r="R105" s="99">
        <f t="shared" si="79"/>
        <v>9000</v>
      </c>
      <c r="S105" s="99">
        <f t="shared" si="79"/>
        <v>9000</v>
      </c>
      <c r="T105" s="99">
        <f t="shared" si="79"/>
        <v>9000</v>
      </c>
      <c r="U105" s="99">
        <f t="shared" si="79"/>
        <v>9000</v>
      </c>
      <c r="V105" s="99">
        <f t="shared" si="79"/>
        <v>9000</v>
      </c>
      <c r="W105" s="99">
        <f t="shared" si="79"/>
        <v>9000</v>
      </c>
      <c r="X105" s="99">
        <f t="shared" si="79"/>
        <v>9000</v>
      </c>
      <c r="Y105" s="99">
        <f t="shared" si="79"/>
        <v>9000</v>
      </c>
      <c r="Z105" s="99">
        <f t="shared" si="79"/>
        <v>9000</v>
      </c>
      <c r="AA105" s="99">
        <f t="shared" si="79"/>
        <v>9000</v>
      </c>
      <c r="AB105" s="99">
        <f t="shared" si="79"/>
        <v>9000</v>
      </c>
      <c r="AC105" s="99">
        <f t="shared" si="79"/>
        <v>9000</v>
      </c>
      <c r="AD105" s="99">
        <f t="shared" si="79"/>
        <v>9000</v>
      </c>
      <c r="AE105" s="99">
        <f t="shared" si="79"/>
        <v>9000</v>
      </c>
      <c r="AF105" s="99">
        <f t="shared" si="79"/>
        <v>9000</v>
      </c>
      <c r="AG105" s="99">
        <f t="shared" si="79"/>
        <v>9000</v>
      </c>
      <c r="AH105" s="99">
        <f t="shared" si="79"/>
        <v>9000</v>
      </c>
      <c r="AI105" s="99">
        <f t="shared" si="79"/>
        <v>9000</v>
      </c>
      <c r="AJ105" s="99">
        <f t="shared" si="79"/>
        <v>9000</v>
      </c>
      <c r="AK105" s="99">
        <f t="shared" si="79"/>
        <v>9000</v>
      </c>
      <c r="AL105" s="99">
        <f t="shared" si="79"/>
        <v>9000</v>
      </c>
      <c r="AM105" s="99">
        <f t="shared" si="79"/>
        <v>9000</v>
      </c>
      <c r="AN105" s="99">
        <f t="shared" si="79"/>
        <v>9000</v>
      </c>
      <c r="AO105" s="99">
        <f t="shared" si="79"/>
        <v>9000</v>
      </c>
      <c r="AP105" s="99">
        <f t="shared" si="79"/>
        <v>9000</v>
      </c>
      <c r="AQ105" s="99">
        <f t="shared" si="79"/>
        <v>9000</v>
      </c>
      <c r="AR105" s="99">
        <f t="shared" si="79"/>
        <v>9000</v>
      </c>
      <c r="AS105" s="99">
        <f t="shared" si="79"/>
        <v>9000</v>
      </c>
      <c r="AT105" s="99">
        <f t="shared" si="79"/>
        <v>9000</v>
      </c>
      <c r="AU105" s="99">
        <f t="shared" si="79"/>
        <v>9000</v>
      </c>
      <c r="AV105" s="99">
        <f t="shared" si="79"/>
        <v>9000</v>
      </c>
      <c r="AW105" s="99">
        <f t="shared" si="79"/>
        <v>9000</v>
      </c>
      <c r="AX105" s="99">
        <f t="shared" si="79"/>
        <v>9000</v>
      </c>
      <c r="AY105" s="99">
        <f t="shared" si="79"/>
        <v>9000</v>
      </c>
      <c r="AZ105" s="99">
        <f t="shared" si="79"/>
        <v>9000</v>
      </c>
      <c r="BA105" s="99">
        <f t="shared" si="79"/>
        <v>9000</v>
      </c>
      <c r="BB105" s="99">
        <f t="shared" si="79"/>
        <v>9000</v>
      </c>
      <c r="BC105" s="99">
        <f t="shared" si="79"/>
        <v>9000</v>
      </c>
      <c r="BD105" s="99">
        <f t="shared" si="79"/>
        <v>9000</v>
      </c>
      <c r="BE105" s="99">
        <f t="shared" si="79"/>
        <v>9000</v>
      </c>
      <c r="BF105" s="99">
        <f t="shared" si="79"/>
        <v>9000</v>
      </c>
      <c r="BG105" s="99">
        <f t="shared" si="79"/>
        <v>9000</v>
      </c>
      <c r="BH105" s="99">
        <f t="shared" si="79"/>
        <v>9000</v>
      </c>
      <c r="BI105" s="99">
        <f t="shared" si="79"/>
        <v>9000</v>
      </c>
      <c r="BJ105" s="99">
        <f t="shared" si="79"/>
        <v>9000</v>
      </c>
      <c r="BK105" s="99">
        <f t="shared" si="79"/>
        <v>9000</v>
      </c>
      <c r="BL105" s="99">
        <f t="shared" si="79"/>
        <v>9000</v>
      </c>
      <c r="BM105" s="99">
        <f t="shared" si="79"/>
        <v>9000</v>
      </c>
      <c r="BN105" s="99">
        <f t="shared" si="79"/>
        <v>9000</v>
      </c>
    </row>
    <row r="106" hidden="1" outlineLevel="1">
      <c r="A106" s="47"/>
      <c r="B106" s="121" t="s">
        <v>79</v>
      </c>
      <c r="C106" s="122">
        <v>45000.0</v>
      </c>
      <c r="D106" s="123">
        <v>0.2</v>
      </c>
      <c r="E106" s="124">
        <v>44348.0</v>
      </c>
      <c r="F106" s="99"/>
      <c r="G106" s="99">
        <f t="shared" ref="G106:BN106" si="80">IF(G$4&gt;=$E106,($C106/12)*(1+$D106),0)</f>
        <v>4500</v>
      </c>
      <c r="H106" s="99">
        <f t="shared" si="80"/>
        <v>4500</v>
      </c>
      <c r="I106" s="99">
        <f t="shared" si="80"/>
        <v>4500</v>
      </c>
      <c r="J106" s="99">
        <f t="shared" si="80"/>
        <v>4500</v>
      </c>
      <c r="K106" s="99">
        <f t="shared" si="80"/>
        <v>4500</v>
      </c>
      <c r="L106" s="99">
        <f t="shared" si="80"/>
        <v>4500</v>
      </c>
      <c r="M106" s="99">
        <f t="shared" si="80"/>
        <v>4500</v>
      </c>
      <c r="N106" s="99">
        <f t="shared" si="80"/>
        <v>4500</v>
      </c>
      <c r="O106" s="99">
        <f t="shared" si="80"/>
        <v>4500</v>
      </c>
      <c r="P106" s="99">
        <f t="shared" si="80"/>
        <v>4500</v>
      </c>
      <c r="Q106" s="99">
        <f t="shared" si="80"/>
        <v>4500</v>
      </c>
      <c r="R106" s="99">
        <f t="shared" si="80"/>
        <v>4500</v>
      </c>
      <c r="S106" s="99">
        <f t="shared" si="80"/>
        <v>4500</v>
      </c>
      <c r="T106" s="99">
        <f t="shared" si="80"/>
        <v>4500</v>
      </c>
      <c r="U106" s="99">
        <f t="shared" si="80"/>
        <v>4500</v>
      </c>
      <c r="V106" s="99">
        <f t="shared" si="80"/>
        <v>4500</v>
      </c>
      <c r="W106" s="99">
        <f t="shared" si="80"/>
        <v>4500</v>
      </c>
      <c r="X106" s="99">
        <f t="shared" si="80"/>
        <v>4500</v>
      </c>
      <c r="Y106" s="99">
        <f t="shared" si="80"/>
        <v>4500</v>
      </c>
      <c r="Z106" s="99">
        <f t="shared" si="80"/>
        <v>4500</v>
      </c>
      <c r="AA106" s="99">
        <f t="shared" si="80"/>
        <v>4500</v>
      </c>
      <c r="AB106" s="99">
        <f t="shared" si="80"/>
        <v>4500</v>
      </c>
      <c r="AC106" s="99">
        <f t="shared" si="80"/>
        <v>4500</v>
      </c>
      <c r="AD106" s="99">
        <f t="shared" si="80"/>
        <v>4500</v>
      </c>
      <c r="AE106" s="99">
        <f t="shared" si="80"/>
        <v>4500</v>
      </c>
      <c r="AF106" s="99">
        <f t="shared" si="80"/>
        <v>4500</v>
      </c>
      <c r="AG106" s="99">
        <f t="shared" si="80"/>
        <v>4500</v>
      </c>
      <c r="AH106" s="99">
        <f t="shared" si="80"/>
        <v>4500</v>
      </c>
      <c r="AI106" s="99">
        <f t="shared" si="80"/>
        <v>4500</v>
      </c>
      <c r="AJ106" s="99">
        <f t="shared" si="80"/>
        <v>4500</v>
      </c>
      <c r="AK106" s="99">
        <f t="shared" si="80"/>
        <v>4500</v>
      </c>
      <c r="AL106" s="99">
        <f t="shared" si="80"/>
        <v>4500</v>
      </c>
      <c r="AM106" s="99">
        <f t="shared" si="80"/>
        <v>4500</v>
      </c>
      <c r="AN106" s="99">
        <f t="shared" si="80"/>
        <v>4500</v>
      </c>
      <c r="AO106" s="99">
        <f t="shared" si="80"/>
        <v>4500</v>
      </c>
      <c r="AP106" s="99">
        <f t="shared" si="80"/>
        <v>4500</v>
      </c>
      <c r="AQ106" s="99">
        <f t="shared" si="80"/>
        <v>4500</v>
      </c>
      <c r="AR106" s="99">
        <f t="shared" si="80"/>
        <v>4500</v>
      </c>
      <c r="AS106" s="99">
        <f t="shared" si="80"/>
        <v>4500</v>
      </c>
      <c r="AT106" s="99">
        <f t="shared" si="80"/>
        <v>4500</v>
      </c>
      <c r="AU106" s="99">
        <f t="shared" si="80"/>
        <v>4500</v>
      </c>
      <c r="AV106" s="99">
        <f t="shared" si="80"/>
        <v>4500</v>
      </c>
      <c r="AW106" s="99">
        <f t="shared" si="80"/>
        <v>4500</v>
      </c>
      <c r="AX106" s="99">
        <f t="shared" si="80"/>
        <v>4500</v>
      </c>
      <c r="AY106" s="99">
        <f t="shared" si="80"/>
        <v>4500</v>
      </c>
      <c r="AZ106" s="99">
        <f t="shared" si="80"/>
        <v>4500</v>
      </c>
      <c r="BA106" s="99">
        <f t="shared" si="80"/>
        <v>4500</v>
      </c>
      <c r="BB106" s="99">
        <f t="shared" si="80"/>
        <v>4500</v>
      </c>
      <c r="BC106" s="99">
        <f t="shared" si="80"/>
        <v>4500</v>
      </c>
      <c r="BD106" s="99">
        <f t="shared" si="80"/>
        <v>4500</v>
      </c>
      <c r="BE106" s="99">
        <f t="shared" si="80"/>
        <v>4500</v>
      </c>
      <c r="BF106" s="99">
        <f t="shared" si="80"/>
        <v>4500</v>
      </c>
      <c r="BG106" s="99">
        <f t="shared" si="80"/>
        <v>4500</v>
      </c>
      <c r="BH106" s="99">
        <f t="shared" si="80"/>
        <v>4500</v>
      </c>
      <c r="BI106" s="99">
        <f t="shared" si="80"/>
        <v>4500</v>
      </c>
      <c r="BJ106" s="99">
        <f t="shared" si="80"/>
        <v>4500</v>
      </c>
      <c r="BK106" s="99">
        <f t="shared" si="80"/>
        <v>4500</v>
      </c>
      <c r="BL106" s="99">
        <f t="shared" si="80"/>
        <v>4500</v>
      </c>
      <c r="BM106" s="99">
        <f t="shared" si="80"/>
        <v>4500</v>
      </c>
      <c r="BN106" s="99">
        <f t="shared" si="80"/>
        <v>4500</v>
      </c>
    </row>
    <row r="107" hidden="1" outlineLevel="1">
      <c r="A107" s="47"/>
      <c r="B107" s="121" t="s">
        <v>80</v>
      </c>
      <c r="C107" s="122">
        <v>100000.0</v>
      </c>
      <c r="D107" s="123">
        <v>0.2</v>
      </c>
      <c r="E107" s="124">
        <v>43831.0</v>
      </c>
      <c r="F107" s="99"/>
      <c r="G107" s="99">
        <f t="shared" ref="G107:BN107" si="81">IF(G$4&gt;=$E107,($C107/12)*(1+$D107),0)</f>
        <v>10000</v>
      </c>
      <c r="H107" s="99">
        <f t="shared" si="81"/>
        <v>10000</v>
      </c>
      <c r="I107" s="99">
        <f t="shared" si="81"/>
        <v>10000</v>
      </c>
      <c r="J107" s="99">
        <f t="shared" si="81"/>
        <v>10000</v>
      </c>
      <c r="K107" s="99">
        <f t="shared" si="81"/>
        <v>10000</v>
      </c>
      <c r="L107" s="99">
        <f t="shared" si="81"/>
        <v>10000</v>
      </c>
      <c r="M107" s="99">
        <f t="shared" si="81"/>
        <v>10000</v>
      </c>
      <c r="N107" s="99">
        <f t="shared" si="81"/>
        <v>10000</v>
      </c>
      <c r="O107" s="99">
        <f t="shared" si="81"/>
        <v>10000</v>
      </c>
      <c r="P107" s="99">
        <f t="shared" si="81"/>
        <v>10000</v>
      </c>
      <c r="Q107" s="99">
        <f t="shared" si="81"/>
        <v>10000</v>
      </c>
      <c r="R107" s="99">
        <f t="shared" si="81"/>
        <v>10000</v>
      </c>
      <c r="S107" s="99">
        <f t="shared" si="81"/>
        <v>10000</v>
      </c>
      <c r="T107" s="99">
        <f t="shared" si="81"/>
        <v>10000</v>
      </c>
      <c r="U107" s="99">
        <f t="shared" si="81"/>
        <v>10000</v>
      </c>
      <c r="V107" s="99">
        <f t="shared" si="81"/>
        <v>10000</v>
      </c>
      <c r="W107" s="99">
        <f t="shared" si="81"/>
        <v>10000</v>
      </c>
      <c r="X107" s="99">
        <f t="shared" si="81"/>
        <v>10000</v>
      </c>
      <c r="Y107" s="99">
        <f t="shared" si="81"/>
        <v>10000</v>
      </c>
      <c r="Z107" s="99">
        <f t="shared" si="81"/>
        <v>10000</v>
      </c>
      <c r="AA107" s="99">
        <f t="shared" si="81"/>
        <v>10000</v>
      </c>
      <c r="AB107" s="99">
        <f t="shared" si="81"/>
        <v>10000</v>
      </c>
      <c r="AC107" s="99">
        <f t="shared" si="81"/>
        <v>10000</v>
      </c>
      <c r="AD107" s="99">
        <f t="shared" si="81"/>
        <v>10000</v>
      </c>
      <c r="AE107" s="99">
        <f t="shared" si="81"/>
        <v>10000</v>
      </c>
      <c r="AF107" s="99">
        <f t="shared" si="81"/>
        <v>10000</v>
      </c>
      <c r="AG107" s="99">
        <f t="shared" si="81"/>
        <v>10000</v>
      </c>
      <c r="AH107" s="99">
        <f t="shared" si="81"/>
        <v>10000</v>
      </c>
      <c r="AI107" s="99">
        <f t="shared" si="81"/>
        <v>10000</v>
      </c>
      <c r="AJ107" s="99">
        <f t="shared" si="81"/>
        <v>10000</v>
      </c>
      <c r="AK107" s="99">
        <f t="shared" si="81"/>
        <v>10000</v>
      </c>
      <c r="AL107" s="99">
        <f t="shared" si="81"/>
        <v>10000</v>
      </c>
      <c r="AM107" s="99">
        <f t="shared" si="81"/>
        <v>10000</v>
      </c>
      <c r="AN107" s="99">
        <f t="shared" si="81"/>
        <v>10000</v>
      </c>
      <c r="AO107" s="99">
        <f t="shared" si="81"/>
        <v>10000</v>
      </c>
      <c r="AP107" s="99">
        <f t="shared" si="81"/>
        <v>10000</v>
      </c>
      <c r="AQ107" s="99">
        <f t="shared" si="81"/>
        <v>10000</v>
      </c>
      <c r="AR107" s="99">
        <f t="shared" si="81"/>
        <v>10000</v>
      </c>
      <c r="AS107" s="99">
        <f t="shared" si="81"/>
        <v>10000</v>
      </c>
      <c r="AT107" s="99">
        <f t="shared" si="81"/>
        <v>10000</v>
      </c>
      <c r="AU107" s="99">
        <f t="shared" si="81"/>
        <v>10000</v>
      </c>
      <c r="AV107" s="99">
        <f t="shared" si="81"/>
        <v>10000</v>
      </c>
      <c r="AW107" s="99">
        <f t="shared" si="81"/>
        <v>10000</v>
      </c>
      <c r="AX107" s="99">
        <f t="shared" si="81"/>
        <v>10000</v>
      </c>
      <c r="AY107" s="99">
        <f t="shared" si="81"/>
        <v>10000</v>
      </c>
      <c r="AZ107" s="99">
        <f t="shared" si="81"/>
        <v>10000</v>
      </c>
      <c r="BA107" s="99">
        <f t="shared" si="81"/>
        <v>10000</v>
      </c>
      <c r="BB107" s="99">
        <f t="shared" si="81"/>
        <v>10000</v>
      </c>
      <c r="BC107" s="99">
        <f t="shared" si="81"/>
        <v>10000</v>
      </c>
      <c r="BD107" s="99">
        <f t="shared" si="81"/>
        <v>10000</v>
      </c>
      <c r="BE107" s="99">
        <f t="shared" si="81"/>
        <v>10000</v>
      </c>
      <c r="BF107" s="99">
        <f t="shared" si="81"/>
        <v>10000</v>
      </c>
      <c r="BG107" s="99">
        <f t="shared" si="81"/>
        <v>10000</v>
      </c>
      <c r="BH107" s="99">
        <f t="shared" si="81"/>
        <v>10000</v>
      </c>
      <c r="BI107" s="99">
        <f t="shared" si="81"/>
        <v>10000</v>
      </c>
      <c r="BJ107" s="99">
        <f t="shared" si="81"/>
        <v>10000</v>
      </c>
      <c r="BK107" s="99">
        <f t="shared" si="81"/>
        <v>10000</v>
      </c>
      <c r="BL107" s="99">
        <f t="shared" si="81"/>
        <v>10000</v>
      </c>
      <c r="BM107" s="99">
        <f t="shared" si="81"/>
        <v>10000</v>
      </c>
      <c r="BN107" s="99">
        <f t="shared" si="81"/>
        <v>10000</v>
      </c>
    </row>
    <row r="108" hidden="1" outlineLevel="1">
      <c r="A108" s="47"/>
      <c r="B108" s="121" t="s">
        <v>81</v>
      </c>
      <c r="C108" s="122">
        <v>100000.0</v>
      </c>
      <c r="D108" s="123">
        <v>0.2</v>
      </c>
      <c r="E108" s="124">
        <v>43831.0</v>
      </c>
      <c r="F108" s="99"/>
      <c r="G108" s="99">
        <f t="shared" ref="G108:BN108" si="82">IF(G$4&gt;=$E108,($C108/12)*(1+$D108),0)</f>
        <v>10000</v>
      </c>
      <c r="H108" s="99">
        <f t="shared" si="82"/>
        <v>10000</v>
      </c>
      <c r="I108" s="99">
        <f t="shared" si="82"/>
        <v>10000</v>
      </c>
      <c r="J108" s="99">
        <f t="shared" si="82"/>
        <v>10000</v>
      </c>
      <c r="K108" s="99">
        <f t="shared" si="82"/>
        <v>10000</v>
      </c>
      <c r="L108" s="99">
        <f t="shared" si="82"/>
        <v>10000</v>
      </c>
      <c r="M108" s="99">
        <f t="shared" si="82"/>
        <v>10000</v>
      </c>
      <c r="N108" s="99">
        <f t="shared" si="82"/>
        <v>10000</v>
      </c>
      <c r="O108" s="99">
        <f t="shared" si="82"/>
        <v>10000</v>
      </c>
      <c r="P108" s="99">
        <f t="shared" si="82"/>
        <v>10000</v>
      </c>
      <c r="Q108" s="99">
        <f t="shared" si="82"/>
        <v>10000</v>
      </c>
      <c r="R108" s="99">
        <f t="shared" si="82"/>
        <v>10000</v>
      </c>
      <c r="S108" s="99">
        <f t="shared" si="82"/>
        <v>10000</v>
      </c>
      <c r="T108" s="99">
        <f t="shared" si="82"/>
        <v>10000</v>
      </c>
      <c r="U108" s="99">
        <f t="shared" si="82"/>
        <v>10000</v>
      </c>
      <c r="V108" s="99">
        <f t="shared" si="82"/>
        <v>10000</v>
      </c>
      <c r="W108" s="99">
        <f t="shared" si="82"/>
        <v>10000</v>
      </c>
      <c r="X108" s="99">
        <f t="shared" si="82"/>
        <v>10000</v>
      </c>
      <c r="Y108" s="99">
        <f t="shared" si="82"/>
        <v>10000</v>
      </c>
      <c r="Z108" s="99">
        <f t="shared" si="82"/>
        <v>10000</v>
      </c>
      <c r="AA108" s="99">
        <f t="shared" si="82"/>
        <v>10000</v>
      </c>
      <c r="AB108" s="99">
        <f t="shared" si="82"/>
        <v>10000</v>
      </c>
      <c r="AC108" s="99">
        <f t="shared" si="82"/>
        <v>10000</v>
      </c>
      <c r="AD108" s="99">
        <f t="shared" si="82"/>
        <v>10000</v>
      </c>
      <c r="AE108" s="99">
        <f t="shared" si="82"/>
        <v>10000</v>
      </c>
      <c r="AF108" s="99">
        <f t="shared" si="82"/>
        <v>10000</v>
      </c>
      <c r="AG108" s="99">
        <f t="shared" si="82"/>
        <v>10000</v>
      </c>
      <c r="AH108" s="99">
        <f t="shared" si="82"/>
        <v>10000</v>
      </c>
      <c r="AI108" s="99">
        <f t="shared" si="82"/>
        <v>10000</v>
      </c>
      <c r="AJ108" s="99">
        <f t="shared" si="82"/>
        <v>10000</v>
      </c>
      <c r="AK108" s="99">
        <f t="shared" si="82"/>
        <v>10000</v>
      </c>
      <c r="AL108" s="99">
        <f t="shared" si="82"/>
        <v>10000</v>
      </c>
      <c r="AM108" s="99">
        <f t="shared" si="82"/>
        <v>10000</v>
      </c>
      <c r="AN108" s="99">
        <f t="shared" si="82"/>
        <v>10000</v>
      </c>
      <c r="AO108" s="99">
        <f t="shared" si="82"/>
        <v>10000</v>
      </c>
      <c r="AP108" s="99">
        <f t="shared" si="82"/>
        <v>10000</v>
      </c>
      <c r="AQ108" s="99">
        <f t="shared" si="82"/>
        <v>10000</v>
      </c>
      <c r="AR108" s="99">
        <f t="shared" si="82"/>
        <v>10000</v>
      </c>
      <c r="AS108" s="99">
        <f t="shared" si="82"/>
        <v>10000</v>
      </c>
      <c r="AT108" s="99">
        <f t="shared" si="82"/>
        <v>10000</v>
      </c>
      <c r="AU108" s="99">
        <f t="shared" si="82"/>
        <v>10000</v>
      </c>
      <c r="AV108" s="99">
        <f t="shared" si="82"/>
        <v>10000</v>
      </c>
      <c r="AW108" s="99">
        <f t="shared" si="82"/>
        <v>10000</v>
      </c>
      <c r="AX108" s="99">
        <f t="shared" si="82"/>
        <v>10000</v>
      </c>
      <c r="AY108" s="99">
        <f t="shared" si="82"/>
        <v>10000</v>
      </c>
      <c r="AZ108" s="99">
        <f t="shared" si="82"/>
        <v>10000</v>
      </c>
      <c r="BA108" s="99">
        <f t="shared" si="82"/>
        <v>10000</v>
      </c>
      <c r="BB108" s="99">
        <f t="shared" si="82"/>
        <v>10000</v>
      </c>
      <c r="BC108" s="99">
        <f t="shared" si="82"/>
        <v>10000</v>
      </c>
      <c r="BD108" s="99">
        <f t="shared" si="82"/>
        <v>10000</v>
      </c>
      <c r="BE108" s="99">
        <f t="shared" si="82"/>
        <v>10000</v>
      </c>
      <c r="BF108" s="99">
        <f t="shared" si="82"/>
        <v>10000</v>
      </c>
      <c r="BG108" s="99">
        <f t="shared" si="82"/>
        <v>10000</v>
      </c>
      <c r="BH108" s="99">
        <f t="shared" si="82"/>
        <v>10000</v>
      </c>
      <c r="BI108" s="99">
        <f t="shared" si="82"/>
        <v>10000</v>
      </c>
      <c r="BJ108" s="99">
        <f t="shared" si="82"/>
        <v>10000</v>
      </c>
      <c r="BK108" s="99">
        <f t="shared" si="82"/>
        <v>10000</v>
      </c>
      <c r="BL108" s="99">
        <f t="shared" si="82"/>
        <v>10000</v>
      </c>
      <c r="BM108" s="99">
        <f t="shared" si="82"/>
        <v>10000</v>
      </c>
      <c r="BN108" s="99">
        <f t="shared" si="82"/>
        <v>10000</v>
      </c>
    </row>
    <row r="109" hidden="1" outlineLevel="1">
      <c r="A109" s="47"/>
      <c r="B109" s="121" t="s">
        <v>82</v>
      </c>
      <c r="C109" s="122">
        <v>100000.0</v>
      </c>
      <c r="D109" s="123">
        <v>0.2</v>
      </c>
      <c r="E109" s="124">
        <v>44075.0</v>
      </c>
      <c r="F109" s="99"/>
      <c r="G109" s="99">
        <f t="shared" ref="G109:BN109" si="83">IF(G$4&gt;=$E109,($C109/12)*(1+$D109),0)</f>
        <v>10000</v>
      </c>
      <c r="H109" s="99">
        <f t="shared" si="83"/>
        <v>10000</v>
      </c>
      <c r="I109" s="99">
        <f t="shared" si="83"/>
        <v>10000</v>
      </c>
      <c r="J109" s="99">
        <f t="shared" si="83"/>
        <v>10000</v>
      </c>
      <c r="K109" s="99">
        <f t="shared" si="83"/>
        <v>10000</v>
      </c>
      <c r="L109" s="99">
        <f t="shared" si="83"/>
        <v>10000</v>
      </c>
      <c r="M109" s="99">
        <f t="shared" si="83"/>
        <v>10000</v>
      </c>
      <c r="N109" s="99">
        <f t="shared" si="83"/>
        <v>10000</v>
      </c>
      <c r="O109" s="99">
        <f t="shared" si="83"/>
        <v>10000</v>
      </c>
      <c r="P109" s="99">
        <f t="shared" si="83"/>
        <v>10000</v>
      </c>
      <c r="Q109" s="99">
        <f t="shared" si="83"/>
        <v>10000</v>
      </c>
      <c r="R109" s="99">
        <f t="shared" si="83"/>
        <v>10000</v>
      </c>
      <c r="S109" s="99">
        <f t="shared" si="83"/>
        <v>10000</v>
      </c>
      <c r="T109" s="99">
        <f t="shared" si="83"/>
        <v>10000</v>
      </c>
      <c r="U109" s="99">
        <f t="shared" si="83"/>
        <v>10000</v>
      </c>
      <c r="V109" s="99">
        <f t="shared" si="83"/>
        <v>10000</v>
      </c>
      <c r="W109" s="99">
        <f t="shared" si="83"/>
        <v>10000</v>
      </c>
      <c r="X109" s="99">
        <f t="shared" si="83"/>
        <v>10000</v>
      </c>
      <c r="Y109" s="99">
        <f t="shared" si="83"/>
        <v>10000</v>
      </c>
      <c r="Z109" s="99">
        <f t="shared" si="83"/>
        <v>10000</v>
      </c>
      <c r="AA109" s="99">
        <f t="shared" si="83"/>
        <v>10000</v>
      </c>
      <c r="AB109" s="99">
        <f t="shared" si="83"/>
        <v>10000</v>
      </c>
      <c r="AC109" s="99">
        <f t="shared" si="83"/>
        <v>10000</v>
      </c>
      <c r="AD109" s="99">
        <f t="shared" si="83"/>
        <v>10000</v>
      </c>
      <c r="AE109" s="99">
        <f t="shared" si="83"/>
        <v>10000</v>
      </c>
      <c r="AF109" s="99">
        <f t="shared" si="83"/>
        <v>10000</v>
      </c>
      <c r="AG109" s="99">
        <f t="shared" si="83"/>
        <v>10000</v>
      </c>
      <c r="AH109" s="99">
        <f t="shared" si="83"/>
        <v>10000</v>
      </c>
      <c r="AI109" s="99">
        <f t="shared" si="83"/>
        <v>10000</v>
      </c>
      <c r="AJ109" s="99">
        <f t="shared" si="83"/>
        <v>10000</v>
      </c>
      <c r="AK109" s="99">
        <f t="shared" si="83"/>
        <v>10000</v>
      </c>
      <c r="AL109" s="99">
        <f t="shared" si="83"/>
        <v>10000</v>
      </c>
      <c r="AM109" s="99">
        <f t="shared" si="83"/>
        <v>10000</v>
      </c>
      <c r="AN109" s="99">
        <f t="shared" si="83"/>
        <v>10000</v>
      </c>
      <c r="AO109" s="99">
        <f t="shared" si="83"/>
        <v>10000</v>
      </c>
      <c r="AP109" s="99">
        <f t="shared" si="83"/>
        <v>10000</v>
      </c>
      <c r="AQ109" s="99">
        <f t="shared" si="83"/>
        <v>10000</v>
      </c>
      <c r="AR109" s="99">
        <f t="shared" si="83"/>
        <v>10000</v>
      </c>
      <c r="AS109" s="99">
        <f t="shared" si="83"/>
        <v>10000</v>
      </c>
      <c r="AT109" s="99">
        <f t="shared" si="83"/>
        <v>10000</v>
      </c>
      <c r="AU109" s="99">
        <f t="shared" si="83"/>
        <v>10000</v>
      </c>
      <c r="AV109" s="99">
        <f t="shared" si="83"/>
        <v>10000</v>
      </c>
      <c r="AW109" s="99">
        <f t="shared" si="83"/>
        <v>10000</v>
      </c>
      <c r="AX109" s="99">
        <f t="shared" si="83"/>
        <v>10000</v>
      </c>
      <c r="AY109" s="99">
        <f t="shared" si="83"/>
        <v>10000</v>
      </c>
      <c r="AZ109" s="99">
        <f t="shared" si="83"/>
        <v>10000</v>
      </c>
      <c r="BA109" s="99">
        <f t="shared" si="83"/>
        <v>10000</v>
      </c>
      <c r="BB109" s="99">
        <f t="shared" si="83"/>
        <v>10000</v>
      </c>
      <c r="BC109" s="99">
        <f t="shared" si="83"/>
        <v>10000</v>
      </c>
      <c r="BD109" s="99">
        <f t="shared" si="83"/>
        <v>10000</v>
      </c>
      <c r="BE109" s="99">
        <f t="shared" si="83"/>
        <v>10000</v>
      </c>
      <c r="BF109" s="99">
        <f t="shared" si="83"/>
        <v>10000</v>
      </c>
      <c r="BG109" s="99">
        <f t="shared" si="83"/>
        <v>10000</v>
      </c>
      <c r="BH109" s="99">
        <f t="shared" si="83"/>
        <v>10000</v>
      </c>
      <c r="BI109" s="99">
        <f t="shared" si="83"/>
        <v>10000</v>
      </c>
      <c r="BJ109" s="99">
        <f t="shared" si="83"/>
        <v>10000</v>
      </c>
      <c r="BK109" s="99">
        <f t="shared" si="83"/>
        <v>10000</v>
      </c>
      <c r="BL109" s="99">
        <f t="shared" si="83"/>
        <v>10000</v>
      </c>
      <c r="BM109" s="99">
        <f t="shared" si="83"/>
        <v>10000</v>
      </c>
      <c r="BN109" s="99">
        <f t="shared" si="83"/>
        <v>10000</v>
      </c>
    </row>
    <row r="110" hidden="1" outlineLevel="1">
      <c r="A110" s="47"/>
      <c r="B110" s="121" t="s">
        <v>83</v>
      </c>
      <c r="C110" s="122">
        <v>100000.0</v>
      </c>
      <c r="D110" s="123">
        <v>0.2</v>
      </c>
      <c r="E110" s="124">
        <v>43831.0</v>
      </c>
      <c r="F110" s="99"/>
      <c r="G110" s="99">
        <f t="shared" ref="G110:BN110" si="84">IF(G$4&gt;=$E110,($C110/12)*(1+$D110),0)</f>
        <v>10000</v>
      </c>
      <c r="H110" s="99">
        <f t="shared" si="84"/>
        <v>10000</v>
      </c>
      <c r="I110" s="99">
        <f t="shared" si="84"/>
        <v>10000</v>
      </c>
      <c r="J110" s="99">
        <f t="shared" si="84"/>
        <v>10000</v>
      </c>
      <c r="K110" s="99">
        <f t="shared" si="84"/>
        <v>10000</v>
      </c>
      <c r="L110" s="99">
        <f t="shared" si="84"/>
        <v>10000</v>
      </c>
      <c r="M110" s="99">
        <f t="shared" si="84"/>
        <v>10000</v>
      </c>
      <c r="N110" s="99">
        <f t="shared" si="84"/>
        <v>10000</v>
      </c>
      <c r="O110" s="99">
        <f t="shared" si="84"/>
        <v>10000</v>
      </c>
      <c r="P110" s="99">
        <f t="shared" si="84"/>
        <v>10000</v>
      </c>
      <c r="Q110" s="99">
        <f t="shared" si="84"/>
        <v>10000</v>
      </c>
      <c r="R110" s="99">
        <f t="shared" si="84"/>
        <v>10000</v>
      </c>
      <c r="S110" s="99">
        <f t="shared" si="84"/>
        <v>10000</v>
      </c>
      <c r="T110" s="99">
        <f t="shared" si="84"/>
        <v>10000</v>
      </c>
      <c r="U110" s="99">
        <f t="shared" si="84"/>
        <v>10000</v>
      </c>
      <c r="V110" s="99">
        <f t="shared" si="84"/>
        <v>10000</v>
      </c>
      <c r="W110" s="99">
        <f t="shared" si="84"/>
        <v>10000</v>
      </c>
      <c r="X110" s="99">
        <f t="shared" si="84"/>
        <v>10000</v>
      </c>
      <c r="Y110" s="99">
        <f t="shared" si="84"/>
        <v>10000</v>
      </c>
      <c r="Z110" s="99">
        <f t="shared" si="84"/>
        <v>10000</v>
      </c>
      <c r="AA110" s="99">
        <f t="shared" si="84"/>
        <v>10000</v>
      </c>
      <c r="AB110" s="99">
        <f t="shared" si="84"/>
        <v>10000</v>
      </c>
      <c r="AC110" s="99">
        <f t="shared" si="84"/>
        <v>10000</v>
      </c>
      <c r="AD110" s="99">
        <f t="shared" si="84"/>
        <v>10000</v>
      </c>
      <c r="AE110" s="99">
        <f t="shared" si="84"/>
        <v>10000</v>
      </c>
      <c r="AF110" s="99">
        <f t="shared" si="84"/>
        <v>10000</v>
      </c>
      <c r="AG110" s="99">
        <f t="shared" si="84"/>
        <v>10000</v>
      </c>
      <c r="AH110" s="99">
        <f t="shared" si="84"/>
        <v>10000</v>
      </c>
      <c r="AI110" s="99">
        <f t="shared" si="84"/>
        <v>10000</v>
      </c>
      <c r="AJ110" s="99">
        <f t="shared" si="84"/>
        <v>10000</v>
      </c>
      <c r="AK110" s="99">
        <f t="shared" si="84"/>
        <v>10000</v>
      </c>
      <c r="AL110" s="99">
        <f t="shared" si="84"/>
        <v>10000</v>
      </c>
      <c r="AM110" s="99">
        <f t="shared" si="84"/>
        <v>10000</v>
      </c>
      <c r="AN110" s="99">
        <f t="shared" si="84"/>
        <v>10000</v>
      </c>
      <c r="AO110" s="99">
        <f t="shared" si="84"/>
        <v>10000</v>
      </c>
      <c r="AP110" s="99">
        <f t="shared" si="84"/>
        <v>10000</v>
      </c>
      <c r="AQ110" s="99">
        <f t="shared" si="84"/>
        <v>10000</v>
      </c>
      <c r="AR110" s="99">
        <f t="shared" si="84"/>
        <v>10000</v>
      </c>
      <c r="AS110" s="99">
        <f t="shared" si="84"/>
        <v>10000</v>
      </c>
      <c r="AT110" s="99">
        <f t="shared" si="84"/>
        <v>10000</v>
      </c>
      <c r="AU110" s="99">
        <f t="shared" si="84"/>
        <v>10000</v>
      </c>
      <c r="AV110" s="99">
        <f t="shared" si="84"/>
        <v>10000</v>
      </c>
      <c r="AW110" s="99">
        <f t="shared" si="84"/>
        <v>10000</v>
      </c>
      <c r="AX110" s="99">
        <f t="shared" si="84"/>
        <v>10000</v>
      </c>
      <c r="AY110" s="99">
        <f t="shared" si="84"/>
        <v>10000</v>
      </c>
      <c r="AZ110" s="99">
        <f t="shared" si="84"/>
        <v>10000</v>
      </c>
      <c r="BA110" s="99">
        <f t="shared" si="84"/>
        <v>10000</v>
      </c>
      <c r="BB110" s="99">
        <f t="shared" si="84"/>
        <v>10000</v>
      </c>
      <c r="BC110" s="99">
        <f t="shared" si="84"/>
        <v>10000</v>
      </c>
      <c r="BD110" s="99">
        <f t="shared" si="84"/>
        <v>10000</v>
      </c>
      <c r="BE110" s="99">
        <f t="shared" si="84"/>
        <v>10000</v>
      </c>
      <c r="BF110" s="99">
        <f t="shared" si="84"/>
        <v>10000</v>
      </c>
      <c r="BG110" s="99">
        <f t="shared" si="84"/>
        <v>10000</v>
      </c>
      <c r="BH110" s="99">
        <f t="shared" si="84"/>
        <v>10000</v>
      </c>
      <c r="BI110" s="99">
        <f t="shared" si="84"/>
        <v>10000</v>
      </c>
      <c r="BJ110" s="99">
        <f t="shared" si="84"/>
        <v>10000</v>
      </c>
      <c r="BK110" s="99">
        <f t="shared" si="84"/>
        <v>10000</v>
      </c>
      <c r="BL110" s="99">
        <f t="shared" si="84"/>
        <v>10000</v>
      </c>
      <c r="BM110" s="99">
        <f t="shared" si="84"/>
        <v>10000</v>
      </c>
      <c r="BN110" s="99">
        <f t="shared" si="84"/>
        <v>10000</v>
      </c>
    </row>
    <row r="111" hidden="1" outlineLevel="1">
      <c r="A111" s="47"/>
      <c r="B111" s="121" t="s">
        <v>84</v>
      </c>
      <c r="C111" s="122">
        <v>100000.0</v>
      </c>
      <c r="D111" s="123">
        <v>0.2</v>
      </c>
      <c r="E111" s="124">
        <v>43891.0</v>
      </c>
      <c r="F111" s="99"/>
      <c r="G111" s="99">
        <f t="shared" ref="G111:BN111" si="85">IF(G$4&gt;=$E111,($C111/12)*(1+$D111),0)</f>
        <v>10000</v>
      </c>
      <c r="H111" s="99">
        <f t="shared" si="85"/>
        <v>10000</v>
      </c>
      <c r="I111" s="99">
        <f t="shared" si="85"/>
        <v>10000</v>
      </c>
      <c r="J111" s="99">
        <f t="shared" si="85"/>
        <v>10000</v>
      </c>
      <c r="K111" s="99">
        <f t="shared" si="85"/>
        <v>10000</v>
      </c>
      <c r="L111" s="99">
        <f t="shared" si="85"/>
        <v>10000</v>
      </c>
      <c r="M111" s="99">
        <f t="shared" si="85"/>
        <v>10000</v>
      </c>
      <c r="N111" s="99">
        <f t="shared" si="85"/>
        <v>10000</v>
      </c>
      <c r="O111" s="99">
        <f t="shared" si="85"/>
        <v>10000</v>
      </c>
      <c r="P111" s="99">
        <f t="shared" si="85"/>
        <v>10000</v>
      </c>
      <c r="Q111" s="99">
        <f t="shared" si="85"/>
        <v>10000</v>
      </c>
      <c r="R111" s="99">
        <f t="shared" si="85"/>
        <v>10000</v>
      </c>
      <c r="S111" s="99">
        <f t="shared" si="85"/>
        <v>10000</v>
      </c>
      <c r="T111" s="99">
        <f t="shared" si="85"/>
        <v>10000</v>
      </c>
      <c r="U111" s="99">
        <f t="shared" si="85"/>
        <v>10000</v>
      </c>
      <c r="V111" s="99">
        <f t="shared" si="85"/>
        <v>10000</v>
      </c>
      <c r="W111" s="99">
        <f t="shared" si="85"/>
        <v>10000</v>
      </c>
      <c r="X111" s="99">
        <f t="shared" si="85"/>
        <v>10000</v>
      </c>
      <c r="Y111" s="99">
        <f t="shared" si="85"/>
        <v>10000</v>
      </c>
      <c r="Z111" s="99">
        <f t="shared" si="85"/>
        <v>10000</v>
      </c>
      <c r="AA111" s="99">
        <f t="shared" si="85"/>
        <v>10000</v>
      </c>
      <c r="AB111" s="99">
        <f t="shared" si="85"/>
        <v>10000</v>
      </c>
      <c r="AC111" s="99">
        <f t="shared" si="85"/>
        <v>10000</v>
      </c>
      <c r="AD111" s="99">
        <f t="shared" si="85"/>
        <v>10000</v>
      </c>
      <c r="AE111" s="99">
        <f t="shared" si="85"/>
        <v>10000</v>
      </c>
      <c r="AF111" s="99">
        <f t="shared" si="85"/>
        <v>10000</v>
      </c>
      <c r="AG111" s="99">
        <f t="shared" si="85"/>
        <v>10000</v>
      </c>
      <c r="AH111" s="99">
        <f t="shared" si="85"/>
        <v>10000</v>
      </c>
      <c r="AI111" s="99">
        <f t="shared" si="85"/>
        <v>10000</v>
      </c>
      <c r="AJ111" s="99">
        <f t="shared" si="85"/>
        <v>10000</v>
      </c>
      <c r="AK111" s="99">
        <f t="shared" si="85"/>
        <v>10000</v>
      </c>
      <c r="AL111" s="99">
        <f t="shared" si="85"/>
        <v>10000</v>
      </c>
      <c r="AM111" s="99">
        <f t="shared" si="85"/>
        <v>10000</v>
      </c>
      <c r="AN111" s="99">
        <f t="shared" si="85"/>
        <v>10000</v>
      </c>
      <c r="AO111" s="99">
        <f t="shared" si="85"/>
        <v>10000</v>
      </c>
      <c r="AP111" s="99">
        <f t="shared" si="85"/>
        <v>10000</v>
      </c>
      <c r="AQ111" s="99">
        <f t="shared" si="85"/>
        <v>10000</v>
      </c>
      <c r="AR111" s="99">
        <f t="shared" si="85"/>
        <v>10000</v>
      </c>
      <c r="AS111" s="99">
        <f t="shared" si="85"/>
        <v>10000</v>
      </c>
      <c r="AT111" s="99">
        <f t="shared" si="85"/>
        <v>10000</v>
      </c>
      <c r="AU111" s="99">
        <f t="shared" si="85"/>
        <v>10000</v>
      </c>
      <c r="AV111" s="99">
        <f t="shared" si="85"/>
        <v>10000</v>
      </c>
      <c r="AW111" s="99">
        <f t="shared" si="85"/>
        <v>10000</v>
      </c>
      <c r="AX111" s="99">
        <f t="shared" si="85"/>
        <v>10000</v>
      </c>
      <c r="AY111" s="99">
        <f t="shared" si="85"/>
        <v>10000</v>
      </c>
      <c r="AZ111" s="99">
        <f t="shared" si="85"/>
        <v>10000</v>
      </c>
      <c r="BA111" s="99">
        <f t="shared" si="85"/>
        <v>10000</v>
      </c>
      <c r="BB111" s="99">
        <f t="shared" si="85"/>
        <v>10000</v>
      </c>
      <c r="BC111" s="99">
        <f t="shared" si="85"/>
        <v>10000</v>
      </c>
      <c r="BD111" s="99">
        <f t="shared" si="85"/>
        <v>10000</v>
      </c>
      <c r="BE111" s="99">
        <f t="shared" si="85"/>
        <v>10000</v>
      </c>
      <c r="BF111" s="99">
        <f t="shared" si="85"/>
        <v>10000</v>
      </c>
      <c r="BG111" s="99">
        <f t="shared" si="85"/>
        <v>10000</v>
      </c>
      <c r="BH111" s="99">
        <f t="shared" si="85"/>
        <v>10000</v>
      </c>
      <c r="BI111" s="99">
        <f t="shared" si="85"/>
        <v>10000</v>
      </c>
      <c r="BJ111" s="99">
        <f t="shared" si="85"/>
        <v>10000</v>
      </c>
      <c r="BK111" s="99">
        <f t="shared" si="85"/>
        <v>10000</v>
      </c>
      <c r="BL111" s="99">
        <f t="shared" si="85"/>
        <v>10000</v>
      </c>
      <c r="BM111" s="99">
        <f t="shared" si="85"/>
        <v>10000</v>
      </c>
      <c r="BN111" s="99">
        <f t="shared" si="85"/>
        <v>10000</v>
      </c>
    </row>
    <row r="112" hidden="1" outlineLevel="1">
      <c r="A112" s="47"/>
      <c r="B112" s="121" t="s">
        <v>85</v>
      </c>
      <c r="C112" s="122">
        <v>75000.0</v>
      </c>
      <c r="D112" s="123">
        <v>0.2</v>
      </c>
      <c r="E112" s="124">
        <v>43983.0</v>
      </c>
      <c r="F112" s="99"/>
      <c r="G112" s="99">
        <f t="shared" ref="G112:BN112" si="86">IF(G$4&gt;=$E112,($C112/12)*(1+$D112),0)</f>
        <v>7500</v>
      </c>
      <c r="H112" s="99">
        <f t="shared" si="86"/>
        <v>7500</v>
      </c>
      <c r="I112" s="99">
        <f t="shared" si="86"/>
        <v>7500</v>
      </c>
      <c r="J112" s="99">
        <f t="shared" si="86"/>
        <v>7500</v>
      </c>
      <c r="K112" s="99">
        <f t="shared" si="86"/>
        <v>7500</v>
      </c>
      <c r="L112" s="99">
        <f t="shared" si="86"/>
        <v>7500</v>
      </c>
      <c r="M112" s="99">
        <f t="shared" si="86"/>
        <v>7500</v>
      </c>
      <c r="N112" s="99">
        <f t="shared" si="86"/>
        <v>7500</v>
      </c>
      <c r="O112" s="99">
        <f t="shared" si="86"/>
        <v>7500</v>
      </c>
      <c r="P112" s="99">
        <f t="shared" si="86"/>
        <v>7500</v>
      </c>
      <c r="Q112" s="99">
        <f t="shared" si="86"/>
        <v>7500</v>
      </c>
      <c r="R112" s="99">
        <f t="shared" si="86"/>
        <v>7500</v>
      </c>
      <c r="S112" s="99">
        <f t="shared" si="86"/>
        <v>7500</v>
      </c>
      <c r="T112" s="99">
        <f t="shared" si="86"/>
        <v>7500</v>
      </c>
      <c r="U112" s="99">
        <f t="shared" si="86"/>
        <v>7500</v>
      </c>
      <c r="V112" s="99">
        <f t="shared" si="86"/>
        <v>7500</v>
      </c>
      <c r="W112" s="99">
        <f t="shared" si="86"/>
        <v>7500</v>
      </c>
      <c r="X112" s="99">
        <f t="shared" si="86"/>
        <v>7500</v>
      </c>
      <c r="Y112" s="99">
        <f t="shared" si="86"/>
        <v>7500</v>
      </c>
      <c r="Z112" s="99">
        <f t="shared" si="86"/>
        <v>7500</v>
      </c>
      <c r="AA112" s="99">
        <f t="shared" si="86"/>
        <v>7500</v>
      </c>
      <c r="AB112" s="99">
        <f t="shared" si="86"/>
        <v>7500</v>
      </c>
      <c r="AC112" s="99">
        <f t="shared" si="86"/>
        <v>7500</v>
      </c>
      <c r="AD112" s="99">
        <f t="shared" si="86"/>
        <v>7500</v>
      </c>
      <c r="AE112" s="99">
        <f t="shared" si="86"/>
        <v>7500</v>
      </c>
      <c r="AF112" s="99">
        <f t="shared" si="86"/>
        <v>7500</v>
      </c>
      <c r="AG112" s="99">
        <f t="shared" si="86"/>
        <v>7500</v>
      </c>
      <c r="AH112" s="99">
        <f t="shared" si="86"/>
        <v>7500</v>
      </c>
      <c r="AI112" s="99">
        <f t="shared" si="86"/>
        <v>7500</v>
      </c>
      <c r="AJ112" s="99">
        <f t="shared" si="86"/>
        <v>7500</v>
      </c>
      <c r="AK112" s="99">
        <f t="shared" si="86"/>
        <v>7500</v>
      </c>
      <c r="AL112" s="99">
        <f t="shared" si="86"/>
        <v>7500</v>
      </c>
      <c r="AM112" s="99">
        <f t="shared" si="86"/>
        <v>7500</v>
      </c>
      <c r="AN112" s="99">
        <f t="shared" si="86"/>
        <v>7500</v>
      </c>
      <c r="AO112" s="99">
        <f t="shared" si="86"/>
        <v>7500</v>
      </c>
      <c r="AP112" s="99">
        <f t="shared" si="86"/>
        <v>7500</v>
      </c>
      <c r="AQ112" s="99">
        <f t="shared" si="86"/>
        <v>7500</v>
      </c>
      <c r="AR112" s="99">
        <f t="shared" si="86"/>
        <v>7500</v>
      </c>
      <c r="AS112" s="99">
        <f t="shared" si="86"/>
        <v>7500</v>
      </c>
      <c r="AT112" s="99">
        <f t="shared" si="86"/>
        <v>7500</v>
      </c>
      <c r="AU112" s="99">
        <f t="shared" si="86"/>
        <v>7500</v>
      </c>
      <c r="AV112" s="99">
        <f t="shared" si="86"/>
        <v>7500</v>
      </c>
      <c r="AW112" s="99">
        <f t="shared" si="86"/>
        <v>7500</v>
      </c>
      <c r="AX112" s="99">
        <f t="shared" si="86"/>
        <v>7500</v>
      </c>
      <c r="AY112" s="99">
        <f t="shared" si="86"/>
        <v>7500</v>
      </c>
      <c r="AZ112" s="99">
        <f t="shared" si="86"/>
        <v>7500</v>
      </c>
      <c r="BA112" s="99">
        <f t="shared" si="86"/>
        <v>7500</v>
      </c>
      <c r="BB112" s="99">
        <f t="shared" si="86"/>
        <v>7500</v>
      </c>
      <c r="BC112" s="99">
        <f t="shared" si="86"/>
        <v>7500</v>
      </c>
      <c r="BD112" s="99">
        <f t="shared" si="86"/>
        <v>7500</v>
      </c>
      <c r="BE112" s="99">
        <f t="shared" si="86"/>
        <v>7500</v>
      </c>
      <c r="BF112" s="99">
        <f t="shared" si="86"/>
        <v>7500</v>
      </c>
      <c r="BG112" s="99">
        <f t="shared" si="86"/>
        <v>7500</v>
      </c>
      <c r="BH112" s="99">
        <f t="shared" si="86"/>
        <v>7500</v>
      </c>
      <c r="BI112" s="99">
        <f t="shared" si="86"/>
        <v>7500</v>
      </c>
      <c r="BJ112" s="99">
        <f t="shared" si="86"/>
        <v>7500</v>
      </c>
      <c r="BK112" s="99">
        <f t="shared" si="86"/>
        <v>7500</v>
      </c>
      <c r="BL112" s="99">
        <f t="shared" si="86"/>
        <v>7500</v>
      </c>
      <c r="BM112" s="99">
        <f t="shared" si="86"/>
        <v>7500</v>
      </c>
      <c r="BN112" s="99">
        <f t="shared" si="86"/>
        <v>7500</v>
      </c>
    </row>
    <row r="113" hidden="1" outlineLevel="1">
      <c r="A113" s="47"/>
      <c r="B113" s="121" t="s">
        <v>86</v>
      </c>
      <c r="C113" s="122">
        <v>50000.0</v>
      </c>
      <c r="D113" s="123">
        <v>0.2</v>
      </c>
      <c r="E113" s="124">
        <v>44075.0</v>
      </c>
      <c r="F113" s="99"/>
      <c r="G113" s="99">
        <f t="shared" ref="G113:BN113" si="87">IF(G$4&gt;=$E113,($C113/12)*(1+$D113),0)</f>
        <v>5000</v>
      </c>
      <c r="H113" s="99">
        <f t="shared" si="87"/>
        <v>5000</v>
      </c>
      <c r="I113" s="99">
        <f t="shared" si="87"/>
        <v>5000</v>
      </c>
      <c r="J113" s="99">
        <f t="shared" si="87"/>
        <v>5000</v>
      </c>
      <c r="K113" s="99">
        <f t="shared" si="87"/>
        <v>5000</v>
      </c>
      <c r="L113" s="99">
        <f t="shared" si="87"/>
        <v>5000</v>
      </c>
      <c r="M113" s="99">
        <f t="shared" si="87"/>
        <v>5000</v>
      </c>
      <c r="N113" s="99">
        <f t="shared" si="87"/>
        <v>5000</v>
      </c>
      <c r="O113" s="99">
        <f t="shared" si="87"/>
        <v>5000</v>
      </c>
      <c r="P113" s="99">
        <f t="shared" si="87"/>
        <v>5000</v>
      </c>
      <c r="Q113" s="99">
        <f t="shared" si="87"/>
        <v>5000</v>
      </c>
      <c r="R113" s="99">
        <f t="shared" si="87"/>
        <v>5000</v>
      </c>
      <c r="S113" s="99">
        <f t="shared" si="87"/>
        <v>5000</v>
      </c>
      <c r="T113" s="99">
        <f t="shared" si="87"/>
        <v>5000</v>
      </c>
      <c r="U113" s="99">
        <f t="shared" si="87"/>
        <v>5000</v>
      </c>
      <c r="V113" s="99">
        <f t="shared" si="87"/>
        <v>5000</v>
      </c>
      <c r="W113" s="99">
        <f t="shared" si="87"/>
        <v>5000</v>
      </c>
      <c r="X113" s="99">
        <f t="shared" si="87"/>
        <v>5000</v>
      </c>
      <c r="Y113" s="99">
        <f t="shared" si="87"/>
        <v>5000</v>
      </c>
      <c r="Z113" s="99">
        <f t="shared" si="87"/>
        <v>5000</v>
      </c>
      <c r="AA113" s="99">
        <f t="shared" si="87"/>
        <v>5000</v>
      </c>
      <c r="AB113" s="99">
        <f t="shared" si="87"/>
        <v>5000</v>
      </c>
      <c r="AC113" s="99">
        <f t="shared" si="87"/>
        <v>5000</v>
      </c>
      <c r="AD113" s="99">
        <f t="shared" si="87"/>
        <v>5000</v>
      </c>
      <c r="AE113" s="99">
        <f t="shared" si="87"/>
        <v>5000</v>
      </c>
      <c r="AF113" s="99">
        <f t="shared" si="87"/>
        <v>5000</v>
      </c>
      <c r="AG113" s="99">
        <f t="shared" si="87"/>
        <v>5000</v>
      </c>
      <c r="AH113" s="99">
        <f t="shared" si="87"/>
        <v>5000</v>
      </c>
      <c r="AI113" s="99">
        <f t="shared" si="87"/>
        <v>5000</v>
      </c>
      <c r="AJ113" s="99">
        <f t="shared" si="87"/>
        <v>5000</v>
      </c>
      <c r="AK113" s="99">
        <f t="shared" si="87"/>
        <v>5000</v>
      </c>
      <c r="AL113" s="99">
        <f t="shared" si="87"/>
        <v>5000</v>
      </c>
      <c r="AM113" s="99">
        <f t="shared" si="87"/>
        <v>5000</v>
      </c>
      <c r="AN113" s="99">
        <f t="shared" si="87"/>
        <v>5000</v>
      </c>
      <c r="AO113" s="99">
        <f t="shared" si="87"/>
        <v>5000</v>
      </c>
      <c r="AP113" s="99">
        <f t="shared" si="87"/>
        <v>5000</v>
      </c>
      <c r="AQ113" s="99">
        <f t="shared" si="87"/>
        <v>5000</v>
      </c>
      <c r="AR113" s="99">
        <f t="shared" si="87"/>
        <v>5000</v>
      </c>
      <c r="AS113" s="99">
        <f t="shared" si="87"/>
        <v>5000</v>
      </c>
      <c r="AT113" s="99">
        <f t="shared" si="87"/>
        <v>5000</v>
      </c>
      <c r="AU113" s="99">
        <f t="shared" si="87"/>
        <v>5000</v>
      </c>
      <c r="AV113" s="99">
        <f t="shared" si="87"/>
        <v>5000</v>
      </c>
      <c r="AW113" s="99">
        <f t="shared" si="87"/>
        <v>5000</v>
      </c>
      <c r="AX113" s="99">
        <f t="shared" si="87"/>
        <v>5000</v>
      </c>
      <c r="AY113" s="99">
        <f t="shared" si="87"/>
        <v>5000</v>
      </c>
      <c r="AZ113" s="99">
        <f t="shared" si="87"/>
        <v>5000</v>
      </c>
      <c r="BA113" s="99">
        <f t="shared" si="87"/>
        <v>5000</v>
      </c>
      <c r="BB113" s="99">
        <f t="shared" si="87"/>
        <v>5000</v>
      </c>
      <c r="BC113" s="99">
        <f t="shared" si="87"/>
        <v>5000</v>
      </c>
      <c r="BD113" s="99">
        <f t="shared" si="87"/>
        <v>5000</v>
      </c>
      <c r="BE113" s="99">
        <f t="shared" si="87"/>
        <v>5000</v>
      </c>
      <c r="BF113" s="99">
        <f t="shared" si="87"/>
        <v>5000</v>
      </c>
      <c r="BG113" s="99">
        <f t="shared" si="87"/>
        <v>5000</v>
      </c>
      <c r="BH113" s="99">
        <f t="shared" si="87"/>
        <v>5000</v>
      </c>
      <c r="BI113" s="99">
        <f t="shared" si="87"/>
        <v>5000</v>
      </c>
      <c r="BJ113" s="99">
        <f t="shared" si="87"/>
        <v>5000</v>
      </c>
      <c r="BK113" s="99">
        <f t="shared" si="87"/>
        <v>5000</v>
      </c>
      <c r="BL113" s="99">
        <f t="shared" si="87"/>
        <v>5000</v>
      </c>
      <c r="BM113" s="99">
        <f t="shared" si="87"/>
        <v>5000</v>
      </c>
      <c r="BN113" s="99">
        <f t="shared" si="87"/>
        <v>5000</v>
      </c>
    </row>
    <row r="114" hidden="1" outlineLevel="1">
      <c r="A114" s="47"/>
      <c r="B114" s="121" t="s">
        <v>87</v>
      </c>
      <c r="C114" s="122">
        <v>80000.0</v>
      </c>
      <c r="D114" s="123">
        <v>0.2</v>
      </c>
      <c r="E114" s="124">
        <v>44166.0</v>
      </c>
      <c r="F114" s="99"/>
      <c r="G114" s="99">
        <f t="shared" ref="G114:BN114" si="88">IF(G$4&gt;=$E114,($C114/12)*(1+$D114),0)</f>
        <v>8000</v>
      </c>
      <c r="H114" s="99">
        <f t="shared" si="88"/>
        <v>8000</v>
      </c>
      <c r="I114" s="99">
        <f t="shared" si="88"/>
        <v>8000</v>
      </c>
      <c r="J114" s="99">
        <f t="shared" si="88"/>
        <v>8000</v>
      </c>
      <c r="K114" s="99">
        <f t="shared" si="88"/>
        <v>8000</v>
      </c>
      <c r="L114" s="99">
        <f t="shared" si="88"/>
        <v>8000</v>
      </c>
      <c r="M114" s="99">
        <f t="shared" si="88"/>
        <v>8000</v>
      </c>
      <c r="N114" s="99">
        <f t="shared" si="88"/>
        <v>8000</v>
      </c>
      <c r="O114" s="99">
        <f t="shared" si="88"/>
        <v>8000</v>
      </c>
      <c r="P114" s="99">
        <f t="shared" si="88"/>
        <v>8000</v>
      </c>
      <c r="Q114" s="99">
        <f t="shared" si="88"/>
        <v>8000</v>
      </c>
      <c r="R114" s="99">
        <f t="shared" si="88"/>
        <v>8000</v>
      </c>
      <c r="S114" s="99">
        <f t="shared" si="88"/>
        <v>8000</v>
      </c>
      <c r="T114" s="99">
        <f t="shared" si="88"/>
        <v>8000</v>
      </c>
      <c r="U114" s="99">
        <f t="shared" si="88"/>
        <v>8000</v>
      </c>
      <c r="V114" s="99">
        <f t="shared" si="88"/>
        <v>8000</v>
      </c>
      <c r="W114" s="99">
        <f t="shared" si="88"/>
        <v>8000</v>
      </c>
      <c r="X114" s="99">
        <f t="shared" si="88"/>
        <v>8000</v>
      </c>
      <c r="Y114" s="99">
        <f t="shared" si="88"/>
        <v>8000</v>
      </c>
      <c r="Z114" s="99">
        <f t="shared" si="88"/>
        <v>8000</v>
      </c>
      <c r="AA114" s="99">
        <f t="shared" si="88"/>
        <v>8000</v>
      </c>
      <c r="AB114" s="99">
        <f t="shared" si="88"/>
        <v>8000</v>
      </c>
      <c r="AC114" s="99">
        <f t="shared" si="88"/>
        <v>8000</v>
      </c>
      <c r="AD114" s="99">
        <f t="shared" si="88"/>
        <v>8000</v>
      </c>
      <c r="AE114" s="99">
        <f t="shared" si="88"/>
        <v>8000</v>
      </c>
      <c r="AF114" s="99">
        <f t="shared" si="88"/>
        <v>8000</v>
      </c>
      <c r="AG114" s="99">
        <f t="shared" si="88"/>
        <v>8000</v>
      </c>
      <c r="AH114" s="99">
        <f t="shared" si="88"/>
        <v>8000</v>
      </c>
      <c r="AI114" s="99">
        <f t="shared" si="88"/>
        <v>8000</v>
      </c>
      <c r="AJ114" s="99">
        <f t="shared" si="88"/>
        <v>8000</v>
      </c>
      <c r="AK114" s="99">
        <f t="shared" si="88"/>
        <v>8000</v>
      </c>
      <c r="AL114" s="99">
        <f t="shared" si="88"/>
        <v>8000</v>
      </c>
      <c r="AM114" s="99">
        <f t="shared" si="88"/>
        <v>8000</v>
      </c>
      <c r="AN114" s="99">
        <f t="shared" si="88"/>
        <v>8000</v>
      </c>
      <c r="AO114" s="99">
        <f t="shared" si="88"/>
        <v>8000</v>
      </c>
      <c r="AP114" s="99">
        <f t="shared" si="88"/>
        <v>8000</v>
      </c>
      <c r="AQ114" s="99">
        <f t="shared" si="88"/>
        <v>8000</v>
      </c>
      <c r="AR114" s="99">
        <f t="shared" si="88"/>
        <v>8000</v>
      </c>
      <c r="AS114" s="99">
        <f t="shared" si="88"/>
        <v>8000</v>
      </c>
      <c r="AT114" s="99">
        <f t="shared" si="88"/>
        <v>8000</v>
      </c>
      <c r="AU114" s="99">
        <f t="shared" si="88"/>
        <v>8000</v>
      </c>
      <c r="AV114" s="99">
        <f t="shared" si="88"/>
        <v>8000</v>
      </c>
      <c r="AW114" s="99">
        <f t="shared" si="88"/>
        <v>8000</v>
      </c>
      <c r="AX114" s="99">
        <f t="shared" si="88"/>
        <v>8000</v>
      </c>
      <c r="AY114" s="99">
        <f t="shared" si="88"/>
        <v>8000</v>
      </c>
      <c r="AZ114" s="99">
        <f t="shared" si="88"/>
        <v>8000</v>
      </c>
      <c r="BA114" s="99">
        <f t="shared" si="88"/>
        <v>8000</v>
      </c>
      <c r="BB114" s="99">
        <f t="shared" si="88"/>
        <v>8000</v>
      </c>
      <c r="BC114" s="99">
        <f t="shared" si="88"/>
        <v>8000</v>
      </c>
      <c r="BD114" s="99">
        <f t="shared" si="88"/>
        <v>8000</v>
      </c>
      <c r="BE114" s="99">
        <f t="shared" si="88"/>
        <v>8000</v>
      </c>
      <c r="BF114" s="99">
        <f t="shared" si="88"/>
        <v>8000</v>
      </c>
      <c r="BG114" s="99">
        <f t="shared" si="88"/>
        <v>8000</v>
      </c>
      <c r="BH114" s="99">
        <f t="shared" si="88"/>
        <v>8000</v>
      </c>
      <c r="BI114" s="99">
        <f t="shared" si="88"/>
        <v>8000</v>
      </c>
      <c r="BJ114" s="99">
        <f t="shared" si="88"/>
        <v>8000</v>
      </c>
      <c r="BK114" s="99">
        <f t="shared" si="88"/>
        <v>8000</v>
      </c>
      <c r="BL114" s="99">
        <f t="shared" si="88"/>
        <v>8000</v>
      </c>
      <c r="BM114" s="99">
        <f t="shared" si="88"/>
        <v>8000</v>
      </c>
      <c r="BN114" s="99">
        <f t="shared" si="88"/>
        <v>8000</v>
      </c>
    </row>
    <row r="115" hidden="1" outlineLevel="1">
      <c r="A115" s="47"/>
      <c r="B115" s="121" t="s">
        <v>88</v>
      </c>
      <c r="C115" s="122">
        <v>90000.0</v>
      </c>
      <c r="D115" s="123">
        <v>0.2</v>
      </c>
      <c r="E115" s="124">
        <v>44256.0</v>
      </c>
      <c r="F115" s="99"/>
      <c r="G115" s="99">
        <f t="shared" ref="G115:BN115" si="89">IF(G$4&gt;=$E115,($C115/12)*(1+$D115),0)</f>
        <v>9000</v>
      </c>
      <c r="H115" s="99">
        <f t="shared" si="89"/>
        <v>9000</v>
      </c>
      <c r="I115" s="99">
        <f t="shared" si="89"/>
        <v>9000</v>
      </c>
      <c r="J115" s="99">
        <f t="shared" si="89"/>
        <v>9000</v>
      </c>
      <c r="K115" s="99">
        <f t="shared" si="89"/>
        <v>9000</v>
      </c>
      <c r="L115" s="99">
        <f t="shared" si="89"/>
        <v>9000</v>
      </c>
      <c r="M115" s="99">
        <f t="shared" si="89"/>
        <v>9000</v>
      </c>
      <c r="N115" s="99">
        <f t="shared" si="89"/>
        <v>9000</v>
      </c>
      <c r="O115" s="99">
        <f t="shared" si="89"/>
        <v>9000</v>
      </c>
      <c r="P115" s="99">
        <f t="shared" si="89"/>
        <v>9000</v>
      </c>
      <c r="Q115" s="99">
        <f t="shared" si="89"/>
        <v>9000</v>
      </c>
      <c r="R115" s="99">
        <f t="shared" si="89"/>
        <v>9000</v>
      </c>
      <c r="S115" s="99">
        <f t="shared" si="89"/>
        <v>9000</v>
      </c>
      <c r="T115" s="99">
        <f t="shared" si="89"/>
        <v>9000</v>
      </c>
      <c r="U115" s="99">
        <f t="shared" si="89"/>
        <v>9000</v>
      </c>
      <c r="V115" s="99">
        <f t="shared" si="89"/>
        <v>9000</v>
      </c>
      <c r="W115" s="99">
        <f t="shared" si="89"/>
        <v>9000</v>
      </c>
      <c r="X115" s="99">
        <f t="shared" si="89"/>
        <v>9000</v>
      </c>
      <c r="Y115" s="99">
        <f t="shared" si="89"/>
        <v>9000</v>
      </c>
      <c r="Z115" s="99">
        <f t="shared" si="89"/>
        <v>9000</v>
      </c>
      <c r="AA115" s="99">
        <f t="shared" si="89"/>
        <v>9000</v>
      </c>
      <c r="AB115" s="99">
        <f t="shared" si="89"/>
        <v>9000</v>
      </c>
      <c r="AC115" s="99">
        <f t="shared" si="89"/>
        <v>9000</v>
      </c>
      <c r="AD115" s="99">
        <f t="shared" si="89"/>
        <v>9000</v>
      </c>
      <c r="AE115" s="99">
        <f t="shared" si="89"/>
        <v>9000</v>
      </c>
      <c r="AF115" s="99">
        <f t="shared" si="89"/>
        <v>9000</v>
      </c>
      <c r="AG115" s="99">
        <f t="shared" si="89"/>
        <v>9000</v>
      </c>
      <c r="AH115" s="99">
        <f t="shared" si="89"/>
        <v>9000</v>
      </c>
      <c r="AI115" s="99">
        <f t="shared" si="89"/>
        <v>9000</v>
      </c>
      <c r="AJ115" s="99">
        <f t="shared" si="89"/>
        <v>9000</v>
      </c>
      <c r="AK115" s="99">
        <f t="shared" si="89"/>
        <v>9000</v>
      </c>
      <c r="AL115" s="99">
        <f t="shared" si="89"/>
        <v>9000</v>
      </c>
      <c r="AM115" s="99">
        <f t="shared" si="89"/>
        <v>9000</v>
      </c>
      <c r="AN115" s="99">
        <f t="shared" si="89"/>
        <v>9000</v>
      </c>
      <c r="AO115" s="99">
        <f t="shared" si="89"/>
        <v>9000</v>
      </c>
      <c r="AP115" s="99">
        <f t="shared" si="89"/>
        <v>9000</v>
      </c>
      <c r="AQ115" s="99">
        <f t="shared" si="89"/>
        <v>9000</v>
      </c>
      <c r="AR115" s="99">
        <f t="shared" si="89"/>
        <v>9000</v>
      </c>
      <c r="AS115" s="99">
        <f t="shared" si="89"/>
        <v>9000</v>
      </c>
      <c r="AT115" s="99">
        <f t="shared" si="89"/>
        <v>9000</v>
      </c>
      <c r="AU115" s="99">
        <f t="shared" si="89"/>
        <v>9000</v>
      </c>
      <c r="AV115" s="99">
        <f t="shared" si="89"/>
        <v>9000</v>
      </c>
      <c r="AW115" s="99">
        <f t="shared" si="89"/>
        <v>9000</v>
      </c>
      <c r="AX115" s="99">
        <f t="shared" si="89"/>
        <v>9000</v>
      </c>
      <c r="AY115" s="99">
        <f t="shared" si="89"/>
        <v>9000</v>
      </c>
      <c r="AZ115" s="99">
        <f t="shared" si="89"/>
        <v>9000</v>
      </c>
      <c r="BA115" s="99">
        <f t="shared" si="89"/>
        <v>9000</v>
      </c>
      <c r="BB115" s="99">
        <f t="shared" si="89"/>
        <v>9000</v>
      </c>
      <c r="BC115" s="99">
        <f t="shared" si="89"/>
        <v>9000</v>
      </c>
      <c r="BD115" s="99">
        <f t="shared" si="89"/>
        <v>9000</v>
      </c>
      <c r="BE115" s="99">
        <f t="shared" si="89"/>
        <v>9000</v>
      </c>
      <c r="BF115" s="99">
        <f t="shared" si="89"/>
        <v>9000</v>
      </c>
      <c r="BG115" s="99">
        <f t="shared" si="89"/>
        <v>9000</v>
      </c>
      <c r="BH115" s="99">
        <f t="shared" si="89"/>
        <v>9000</v>
      </c>
      <c r="BI115" s="99">
        <f t="shared" si="89"/>
        <v>9000</v>
      </c>
      <c r="BJ115" s="99">
        <f t="shared" si="89"/>
        <v>9000</v>
      </c>
      <c r="BK115" s="99">
        <f t="shared" si="89"/>
        <v>9000</v>
      </c>
      <c r="BL115" s="99">
        <f t="shared" si="89"/>
        <v>9000</v>
      </c>
      <c r="BM115" s="99">
        <f t="shared" si="89"/>
        <v>9000</v>
      </c>
      <c r="BN115" s="99">
        <f t="shared" si="89"/>
        <v>9000</v>
      </c>
    </row>
    <row r="116" hidden="1" outlineLevel="1">
      <c r="A116" s="47"/>
      <c r="B116" s="121" t="s">
        <v>89</v>
      </c>
      <c r="C116" s="122">
        <v>45000.0</v>
      </c>
      <c r="D116" s="123">
        <v>0.2</v>
      </c>
      <c r="E116" s="124">
        <v>44348.0</v>
      </c>
      <c r="F116" s="99"/>
      <c r="G116" s="99">
        <f t="shared" ref="G116:BN116" si="90">IF(G$4&gt;=$E116,($C116/12)*(1+$D116),0)</f>
        <v>4500</v>
      </c>
      <c r="H116" s="99">
        <f t="shared" si="90"/>
        <v>4500</v>
      </c>
      <c r="I116" s="99">
        <f t="shared" si="90"/>
        <v>4500</v>
      </c>
      <c r="J116" s="99">
        <f t="shared" si="90"/>
        <v>4500</v>
      </c>
      <c r="K116" s="99">
        <f t="shared" si="90"/>
        <v>4500</v>
      </c>
      <c r="L116" s="99">
        <f t="shared" si="90"/>
        <v>4500</v>
      </c>
      <c r="M116" s="99">
        <f t="shared" si="90"/>
        <v>4500</v>
      </c>
      <c r="N116" s="99">
        <f t="shared" si="90"/>
        <v>4500</v>
      </c>
      <c r="O116" s="99">
        <f t="shared" si="90"/>
        <v>4500</v>
      </c>
      <c r="P116" s="99">
        <f t="shared" si="90"/>
        <v>4500</v>
      </c>
      <c r="Q116" s="99">
        <f t="shared" si="90"/>
        <v>4500</v>
      </c>
      <c r="R116" s="99">
        <f t="shared" si="90"/>
        <v>4500</v>
      </c>
      <c r="S116" s="99">
        <f t="shared" si="90"/>
        <v>4500</v>
      </c>
      <c r="T116" s="99">
        <f t="shared" si="90"/>
        <v>4500</v>
      </c>
      <c r="U116" s="99">
        <f t="shared" si="90"/>
        <v>4500</v>
      </c>
      <c r="V116" s="99">
        <f t="shared" si="90"/>
        <v>4500</v>
      </c>
      <c r="W116" s="99">
        <f t="shared" si="90"/>
        <v>4500</v>
      </c>
      <c r="X116" s="99">
        <f t="shared" si="90"/>
        <v>4500</v>
      </c>
      <c r="Y116" s="99">
        <f t="shared" si="90"/>
        <v>4500</v>
      </c>
      <c r="Z116" s="99">
        <f t="shared" si="90"/>
        <v>4500</v>
      </c>
      <c r="AA116" s="99">
        <f t="shared" si="90"/>
        <v>4500</v>
      </c>
      <c r="AB116" s="99">
        <f t="shared" si="90"/>
        <v>4500</v>
      </c>
      <c r="AC116" s="99">
        <f t="shared" si="90"/>
        <v>4500</v>
      </c>
      <c r="AD116" s="99">
        <f t="shared" si="90"/>
        <v>4500</v>
      </c>
      <c r="AE116" s="99">
        <f t="shared" si="90"/>
        <v>4500</v>
      </c>
      <c r="AF116" s="99">
        <f t="shared" si="90"/>
        <v>4500</v>
      </c>
      <c r="AG116" s="99">
        <f t="shared" si="90"/>
        <v>4500</v>
      </c>
      <c r="AH116" s="99">
        <f t="shared" si="90"/>
        <v>4500</v>
      </c>
      <c r="AI116" s="99">
        <f t="shared" si="90"/>
        <v>4500</v>
      </c>
      <c r="AJ116" s="99">
        <f t="shared" si="90"/>
        <v>4500</v>
      </c>
      <c r="AK116" s="99">
        <f t="shared" si="90"/>
        <v>4500</v>
      </c>
      <c r="AL116" s="99">
        <f t="shared" si="90"/>
        <v>4500</v>
      </c>
      <c r="AM116" s="99">
        <f t="shared" si="90"/>
        <v>4500</v>
      </c>
      <c r="AN116" s="99">
        <f t="shared" si="90"/>
        <v>4500</v>
      </c>
      <c r="AO116" s="99">
        <f t="shared" si="90"/>
        <v>4500</v>
      </c>
      <c r="AP116" s="99">
        <f t="shared" si="90"/>
        <v>4500</v>
      </c>
      <c r="AQ116" s="99">
        <f t="shared" si="90"/>
        <v>4500</v>
      </c>
      <c r="AR116" s="99">
        <f t="shared" si="90"/>
        <v>4500</v>
      </c>
      <c r="AS116" s="99">
        <f t="shared" si="90"/>
        <v>4500</v>
      </c>
      <c r="AT116" s="99">
        <f t="shared" si="90"/>
        <v>4500</v>
      </c>
      <c r="AU116" s="99">
        <f t="shared" si="90"/>
        <v>4500</v>
      </c>
      <c r="AV116" s="99">
        <f t="shared" si="90"/>
        <v>4500</v>
      </c>
      <c r="AW116" s="99">
        <f t="shared" si="90"/>
        <v>4500</v>
      </c>
      <c r="AX116" s="99">
        <f t="shared" si="90"/>
        <v>4500</v>
      </c>
      <c r="AY116" s="99">
        <f t="shared" si="90"/>
        <v>4500</v>
      </c>
      <c r="AZ116" s="99">
        <f t="shared" si="90"/>
        <v>4500</v>
      </c>
      <c r="BA116" s="99">
        <f t="shared" si="90"/>
        <v>4500</v>
      </c>
      <c r="BB116" s="99">
        <f t="shared" si="90"/>
        <v>4500</v>
      </c>
      <c r="BC116" s="99">
        <f t="shared" si="90"/>
        <v>4500</v>
      </c>
      <c r="BD116" s="99">
        <f t="shared" si="90"/>
        <v>4500</v>
      </c>
      <c r="BE116" s="99">
        <f t="shared" si="90"/>
        <v>4500</v>
      </c>
      <c r="BF116" s="99">
        <f t="shared" si="90"/>
        <v>4500</v>
      </c>
      <c r="BG116" s="99">
        <f t="shared" si="90"/>
        <v>4500</v>
      </c>
      <c r="BH116" s="99">
        <f t="shared" si="90"/>
        <v>4500</v>
      </c>
      <c r="BI116" s="99">
        <f t="shared" si="90"/>
        <v>4500</v>
      </c>
      <c r="BJ116" s="99">
        <f t="shared" si="90"/>
        <v>4500</v>
      </c>
      <c r="BK116" s="99">
        <f t="shared" si="90"/>
        <v>4500</v>
      </c>
      <c r="BL116" s="99">
        <f t="shared" si="90"/>
        <v>4500</v>
      </c>
      <c r="BM116" s="99">
        <f t="shared" si="90"/>
        <v>4500</v>
      </c>
      <c r="BN116" s="99">
        <f t="shared" si="90"/>
        <v>4500</v>
      </c>
    </row>
    <row r="117" hidden="1" outlineLevel="1">
      <c r="A117" s="47"/>
      <c r="B117" s="121" t="s">
        <v>90</v>
      </c>
      <c r="C117" s="122">
        <v>75000.0</v>
      </c>
      <c r="D117" s="123">
        <v>0.2</v>
      </c>
      <c r="E117" s="124">
        <v>43983.0</v>
      </c>
      <c r="F117" s="99"/>
      <c r="G117" s="99">
        <f t="shared" ref="G117:BN117" si="91">IF(G$4&gt;=$E117,($C117/12)*(1+$D117),0)</f>
        <v>7500</v>
      </c>
      <c r="H117" s="99">
        <f t="shared" si="91"/>
        <v>7500</v>
      </c>
      <c r="I117" s="99">
        <f t="shared" si="91"/>
        <v>7500</v>
      </c>
      <c r="J117" s="99">
        <f t="shared" si="91"/>
        <v>7500</v>
      </c>
      <c r="K117" s="99">
        <f t="shared" si="91"/>
        <v>7500</v>
      </c>
      <c r="L117" s="99">
        <f t="shared" si="91"/>
        <v>7500</v>
      </c>
      <c r="M117" s="99">
        <f t="shared" si="91"/>
        <v>7500</v>
      </c>
      <c r="N117" s="99">
        <f t="shared" si="91"/>
        <v>7500</v>
      </c>
      <c r="O117" s="99">
        <f t="shared" si="91"/>
        <v>7500</v>
      </c>
      <c r="P117" s="99">
        <f t="shared" si="91"/>
        <v>7500</v>
      </c>
      <c r="Q117" s="99">
        <f t="shared" si="91"/>
        <v>7500</v>
      </c>
      <c r="R117" s="99">
        <f t="shared" si="91"/>
        <v>7500</v>
      </c>
      <c r="S117" s="99">
        <f t="shared" si="91"/>
        <v>7500</v>
      </c>
      <c r="T117" s="99">
        <f t="shared" si="91"/>
        <v>7500</v>
      </c>
      <c r="U117" s="99">
        <f t="shared" si="91"/>
        <v>7500</v>
      </c>
      <c r="V117" s="99">
        <f t="shared" si="91"/>
        <v>7500</v>
      </c>
      <c r="W117" s="99">
        <f t="shared" si="91"/>
        <v>7500</v>
      </c>
      <c r="X117" s="99">
        <f t="shared" si="91"/>
        <v>7500</v>
      </c>
      <c r="Y117" s="99">
        <f t="shared" si="91"/>
        <v>7500</v>
      </c>
      <c r="Z117" s="99">
        <f t="shared" si="91"/>
        <v>7500</v>
      </c>
      <c r="AA117" s="99">
        <f t="shared" si="91"/>
        <v>7500</v>
      </c>
      <c r="AB117" s="99">
        <f t="shared" si="91"/>
        <v>7500</v>
      </c>
      <c r="AC117" s="99">
        <f t="shared" si="91"/>
        <v>7500</v>
      </c>
      <c r="AD117" s="99">
        <f t="shared" si="91"/>
        <v>7500</v>
      </c>
      <c r="AE117" s="99">
        <f t="shared" si="91"/>
        <v>7500</v>
      </c>
      <c r="AF117" s="99">
        <f t="shared" si="91"/>
        <v>7500</v>
      </c>
      <c r="AG117" s="99">
        <f t="shared" si="91"/>
        <v>7500</v>
      </c>
      <c r="AH117" s="99">
        <f t="shared" si="91"/>
        <v>7500</v>
      </c>
      <c r="AI117" s="99">
        <f t="shared" si="91"/>
        <v>7500</v>
      </c>
      <c r="AJ117" s="99">
        <f t="shared" si="91"/>
        <v>7500</v>
      </c>
      <c r="AK117" s="99">
        <f t="shared" si="91"/>
        <v>7500</v>
      </c>
      <c r="AL117" s="99">
        <f t="shared" si="91"/>
        <v>7500</v>
      </c>
      <c r="AM117" s="99">
        <f t="shared" si="91"/>
        <v>7500</v>
      </c>
      <c r="AN117" s="99">
        <f t="shared" si="91"/>
        <v>7500</v>
      </c>
      <c r="AO117" s="99">
        <f t="shared" si="91"/>
        <v>7500</v>
      </c>
      <c r="AP117" s="99">
        <f t="shared" si="91"/>
        <v>7500</v>
      </c>
      <c r="AQ117" s="99">
        <f t="shared" si="91"/>
        <v>7500</v>
      </c>
      <c r="AR117" s="99">
        <f t="shared" si="91"/>
        <v>7500</v>
      </c>
      <c r="AS117" s="99">
        <f t="shared" si="91"/>
        <v>7500</v>
      </c>
      <c r="AT117" s="99">
        <f t="shared" si="91"/>
        <v>7500</v>
      </c>
      <c r="AU117" s="99">
        <f t="shared" si="91"/>
        <v>7500</v>
      </c>
      <c r="AV117" s="99">
        <f t="shared" si="91"/>
        <v>7500</v>
      </c>
      <c r="AW117" s="99">
        <f t="shared" si="91"/>
        <v>7500</v>
      </c>
      <c r="AX117" s="99">
        <f t="shared" si="91"/>
        <v>7500</v>
      </c>
      <c r="AY117" s="99">
        <f t="shared" si="91"/>
        <v>7500</v>
      </c>
      <c r="AZ117" s="99">
        <f t="shared" si="91"/>
        <v>7500</v>
      </c>
      <c r="BA117" s="99">
        <f t="shared" si="91"/>
        <v>7500</v>
      </c>
      <c r="BB117" s="99">
        <f t="shared" si="91"/>
        <v>7500</v>
      </c>
      <c r="BC117" s="99">
        <f t="shared" si="91"/>
        <v>7500</v>
      </c>
      <c r="BD117" s="99">
        <f t="shared" si="91"/>
        <v>7500</v>
      </c>
      <c r="BE117" s="99">
        <f t="shared" si="91"/>
        <v>7500</v>
      </c>
      <c r="BF117" s="99">
        <f t="shared" si="91"/>
        <v>7500</v>
      </c>
      <c r="BG117" s="99">
        <f t="shared" si="91"/>
        <v>7500</v>
      </c>
      <c r="BH117" s="99">
        <f t="shared" si="91"/>
        <v>7500</v>
      </c>
      <c r="BI117" s="99">
        <f t="shared" si="91"/>
        <v>7500</v>
      </c>
      <c r="BJ117" s="99">
        <f t="shared" si="91"/>
        <v>7500</v>
      </c>
      <c r="BK117" s="99">
        <f t="shared" si="91"/>
        <v>7500</v>
      </c>
      <c r="BL117" s="99">
        <f t="shared" si="91"/>
        <v>7500</v>
      </c>
      <c r="BM117" s="99">
        <f t="shared" si="91"/>
        <v>7500</v>
      </c>
      <c r="BN117" s="99">
        <f t="shared" si="91"/>
        <v>7500</v>
      </c>
    </row>
    <row r="118" hidden="1" outlineLevel="1">
      <c r="A118" s="47"/>
      <c r="B118" s="121" t="s">
        <v>91</v>
      </c>
      <c r="C118" s="122">
        <v>50000.0</v>
      </c>
      <c r="D118" s="123">
        <v>0.2</v>
      </c>
      <c r="E118" s="124">
        <v>44075.0</v>
      </c>
      <c r="F118" s="99"/>
      <c r="G118" s="99">
        <f t="shared" ref="G118:BN118" si="92">IF(G$4&gt;=$E118,($C118/12)*(1+$D118),0)</f>
        <v>5000</v>
      </c>
      <c r="H118" s="99">
        <f t="shared" si="92"/>
        <v>5000</v>
      </c>
      <c r="I118" s="99">
        <f t="shared" si="92"/>
        <v>5000</v>
      </c>
      <c r="J118" s="99">
        <f t="shared" si="92"/>
        <v>5000</v>
      </c>
      <c r="K118" s="99">
        <f t="shared" si="92"/>
        <v>5000</v>
      </c>
      <c r="L118" s="99">
        <f t="shared" si="92"/>
        <v>5000</v>
      </c>
      <c r="M118" s="99">
        <f t="shared" si="92"/>
        <v>5000</v>
      </c>
      <c r="N118" s="99">
        <f t="shared" si="92"/>
        <v>5000</v>
      </c>
      <c r="O118" s="99">
        <f t="shared" si="92"/>
        <v>5000</v>
      </c>
      <c r="P118" s="99">
        <f t="shared" si="92"/>
        <v>5000</v>
      </c>
      <c r="Q118" s="99">
        <f t="shared" si="92"/>
        <v>5000</v>
      </c>
      <c r="R118" s="99">
        <f t="shared" si="92"/>
        <v>5000</v>
      </c>
      <c r="S118" s="99">
        <f t="shared" si="92"/>
        <v>5000</v>
      </c>
      <c r="T118" s="99">
        <f t="shared" si="92"/>
        <v>5000</v>
      </c>
      <c r="U118" s="99">
        <f t="shared" si="92"/>
        <v>5000</v>
      </c>
      <c r="V118" s="99">
        <f t="shared" si="92"/>
        <v>5000</v>
      </c>
      <c r="W118" s="99">
        <f t="shared" si="92"/>
        <v>5000</v>
      </c>
      <c r="X118" s="99">
        <f t="shared" si="92"/>
        <v>5000</v>
      </c>
      <c r="Y118" s="99">
        <f t="shared" si="92"/>
        <v>5000</v>
      </c>
      <c r="Z118" s="99">
        <f t="shared" si="92"/>
        <v>5000</v>
      </c>
      <c r="AA118" s="99">
        <f t="shared" si="92"/>
        <v>5000</v>
      </c>
      <c r="AB118" s="99">
        <f t="shared" si="92"/>
        <v>5000</v>
      </c>
      <c r="AC118" s="99">
        <f t="shared" si="92"/>
        <v>5000</v>
      </c>
      <c r="AD118" s="99">
        <f t="shared" si="92"/>
        <v>5000</v>
      </c>
      <c r="AE118" s="99">
        <f t="shared" si="92"/>
        <v>5000</v>
      </c>
      <c r="AF118" s="99">
        <f t="shared" si="92"/>
        <v>5000</v>
      </c>
      <c r="AG118" s="99">
        <f t="shared" si="92"/>
        <v>5000</v>
      </c>
      <c r="AH118" s="99">
        <f t="shared" si="92"/>
        <v>5000</v>
      </c>
      <c r="AI118" s="99">
        <f t="shared" si="92"/>
        <v>5000</v>
      </c>
      <c r="AJ118" s="99">
        <f t="shared" si="92"/>
        <v>5000</v>
      </c>
      <c r="AK118" s="99">
        <f t="shared" si="92"/>
        <v>5000</v>
      </c>
      <c r="AL118" s="99">
        <f t="shared" si="92"/>
        <v>5000</v>
      </c>
      <c r="AM118" s="99">
        <f t="shared" si="92"/>
        <v>5000</v>
      </c>
      <c r="AN118" s="99">
        <f t="shared" si="92"/>
        <v>5000</v>
      </c>
      <c r="AO118" s="99">
        <f t="shared" si="92"/>
        <v>5000</v>
      </c>
      <c r="AP118" s="99">
        <f t="shared" si="92"/>
        <v>5000</v>
      </c>
      <c r="AQ118" s="99">
        <f t="shared" si="92"/>
        <v>5000</v>
      </c>
      <c r="AR118" s="99">
        <f t="shared" si="92"/>
        <v>5000</v>
      </c>
      <c r="AS118" s="99">
        <f t="shared" si="92"/>
        <v>5000</v>
      </c>
      <c r="AT118" s="99">
        <f t="shared" si="92"/>
        <v>5000</v>
      </c>
      <c r="AU118" s="99">
        <f t="shared" si="92"/>
        <v>5000</v>
      </c>
      <c r="AV118" s="99">
        <f t="shared" si="92"/>
        <v>5000</v>
      </c>
      <c r="AW118" s="99">
        <f t="shared" si="92"/>
        <v>5000</v>
      </c>
      <c r="AX118" s="99">
        <f t="shared" si="92"/>
        <v>5000</v>
      </c>
      <c r="AY118" s="99">
        <f t="shared" si="92"/>
        <v>5000</v>
      </c>
      <c r="AZ118" s="99">
        <f t="shared" si="92"/>
        <v>5000</v>
      </c>
      <c r="BA118" s="99">
        <f t="shared" si="92"/>
        <v>5000</v>
      </c>
      <c r="BB118" s="99">
        <f t="shared" si="92"/>
        <v>5000</v>
      </c>
      <c r="BC118" s="99">
        <f t="shared" si="92"/>
        <v>5000</v>
      </c>
      <c r="BD118" s="99">
        <f t="shared" si="92"/>
        <v>5000</v>
      </c>
      <c r="BE118" s="99">
        <f t="shared" si="92"/>
        <v>5000</v>
      </c>
      <c r="BF118" s="99">
        <f t="shared" si="92"/>
        <v>5000</v>
      </c>
      <c r="BG118" s="99">
        <f t="shared" si="92"/>
        <v>5000</v>
      </c>
      <c r="BH118" s="99">
        <f t="shared" si="92"/>
        <v>5000</v>
      </c>
      <c r="BI118" s="99">
        <f t="shared" si="92"/>
        <v>5000</v>
      </c>
      <c r="BJ118" s="99">
        <f t="shared" si="92"/>
        <v>5000</v>
      </c>
      <c r="BK118" s="99">
        <f t="shared" si="92"/>
        <v>5000</v>
      </c>
      <c r="BL118" s="99">
        <f t="shared" si="92"/>
        <v>5000</v>
      </c>
      <c r="BM118" s="99">
        <f t="shared" si="92"/>
        <v>5000</v>
      </c>
      <c r="BN118" s="99">
        <f t="shared" si="92"/>
        <v>5000</v>
      </c>
    </row>
    <row r="119" hidden="1" outlineLevel="1">
      <c r="A119" s="47"/>
      <c r="B119" s="121" t="s">
        <v>92</v>
      </c>
      <c r="C119" s="122">
        <v>80000.0</v>
      </c>
      <c r="D119" s="123">
        <v>0.2</v>
      </c>
      <c r="E119" s="124">
        <v>44166.0</v>
      </c>
      <c r="F119" s="99"/>
      <c r="G119" s="99">
        <f t="shared" ref="G119:BN119" si="93">IF(G$4&gt;=$E119,($C119/12)*(1+$D119),0)</f>
        <v>8000</v>
      </c>
      <c r="H119" s="99">
        <f t="shared" si="93"/>
        <v>8000</v>
      </c>
      <c r="I119" s="99">
        <f t="shared" si="93"/>
        <v>8000</v>
      </c>
      <c r="J119" s="99">
        <f t="shared" si="93"/>
        <v>8000</v>
      </c>
      <c r="K119" s="99">
        <f t="shared" si="93"/>
        <v>8000</v>
      </c>
      <c r="L119" s="99">
        <f t="shared" si="93"/>
        <v>8000</v>
      </c>
      <c r="M119" s="99">
        <f t="shared" si="93"/>
        <v>8000</v>
      </c>
      <c r="N119" s="99">
        <f t="shared" si="93"/>
        <v>8000</v>
      </c>
      <c r="O119" s="99">
        <f t="shared" si="93"/>
        <v>8000</v>
      </c>
      <c r="P119" s="99">
        <f t="shared" si="93"/>
        <v>8000</v>
      </c>
      <c r="Q119" s="99">
        <f t="shared" si="93"/>
        <v>8000</v>
      </c>
      <c r="R119" s="99">
        <f t="shared" si="93"/>
        <v>8000</v>
      </c>
      <c r="S119" s="99">
        <f t="shared" si="93"/>
        <v>8000</v>
      </c>
      <c r="T119" s="99">
        <f t="shared" si="93"/>
        <v>8000</v>
      </c>
      <c r="U119" s="99">
        <f t="shared" si="93"/>
        <v>8000</v>
      </c>
      <c r="V119" s="99">
        <f t="shared" si="93"/>
        <v>8000</v>
      </c>
      <c r="W119" s="99">
        <f t="shared" si="93"/>
        <v>8000</v>
      </c>
      <c r="X119" s="99">
        <f t="shared" si="93"/>
        <v>8000</v>
      </c>
      <c r="Y119" s="99">
        <f t="shared" si="93"/>
        <v>8000</v>
      </c>
      <c r="Z119" s="99">
        <f t="shared" si="93"/>
        <v>8000</v>
      </c>
      <c r="AA119" s="99">
        <f t="shared" si="93"/>
        <v>8000</v>
      </c>
      <c r="AB119" s="99">
        <f t="shared" si="93"/>
        <v>8000</v>
      </c>
      <c r="AC119" s="99">
        <f t="shared" si="93"/>
        <v>8000</v>
      </c>
      <c r="AD119" s="99">
        <f t="shared" si="93"/>
        <v>8000</v>
      </c>
      <c r="AE119" s="99">
        <f t="shared" si="93"/>
        <v>8000</v>
      </c>
      <c r="AF119" s="99">
        <f t="shared" si="93"/>
        <v>8000</v>
      </c>
      <c r="AG119" s="99">
        <f t="shared" si="93"/>
        <v>8000</v>
      </c>
      <c r="AH119" s="99">
        <f t="shared" si="93"/>
        <v>8000</v>
      </c>
      <c r="AI119" s="99">
        <f t="shared" si="93"/>
        <v>8000</v>
      </c>
      <c r="AJ119" s="99">
        <f t="shared" si="93"/>
        <v>8000</v>
      </c>
      <c r="AK119" s="99">
        <f t="shared" si="93"/>
        <v>8000</v>
      </c>
      <c r="AL119" s="99">
        <f t="shared" si="93"/>
        <v>8000</v>
      </c>
      <c r="AM119" s="99">
        <f t="shared" si="93"/>
        <v>8000</v>
      </c>
      <c r="AN119" s="99">
        <f t="shared" si="93"/>
        <v>8000</v>
      </c>
      <c r="AO119" s="99">
        <f t="shared" si="93"/>
        <v>8000</v>
      </c>
      <c r="AP119" s="99">
        <f t="shared" si="93"/>
        <v>8000</v>
      </c>
      <c r="AQ119" s="99">
        <f t="shared" si="93"/>
        <v>8000</v>
      </c>
      <c r="AR119" s="99">
        <f t="shared" si="93"/>
        <v>8000</v>
      </c>
      <c r="AS119" s="99">
        <f t="shared" si="93"/>
        <v>8000</v>
      </c>
      <c r="AT119" s="99">
        <f t="shared" si="93"/>
        <v>8000</v>
      </c>
      <c r="AU119" s="99">
        <f t="shared" si="93"/>
        <v>8000</v>
      </c>
      <c r="AV119" s="99">
        <f t="shared" si="93"/>
        <v>8000</v>
      </c>
      <c r="AW119" s="99">
        <f t="shared" si="93"/>
        <v>8000</v>
      </c>
      <c r="AX119" s="99">
        <f t="shared" si="93"/>
        <v>8000</v>
      </c>
      <c r="AY119" s="99">
        <f t="shared" si="93"/>
        <v>8000</v>
      </c>
      <c r="AZ119" s="99">
        <f t="shared" si="93"/>
        <v>8000</v>
      </c>
      <c r="BA119" s="99">
        <f t="shared" si="93"/>
        <v>8000</v>
      </c>
      <c r="BB119" s="99">
        <f t="shared" si="93"/>
        <v>8000</v>
      </c>
      <c r="BC119" s="99">
        <f t="shared" si="93"/>
        <v>8000</v>
      </c>
      <c r="BD119" s="99">
        <f t="shared" si="93"/>
        <v>8000</v>
      </c>
      <c r="BE119" s="99">
        <f t="shared" si="93"/>
        <v>8000</v>
      </c>
      <c r="BF119" s="99">
        <f t="shared" si="93"/>
        <v>8000</v>
      </c>
      <c r="BG119" s="99">
        <f t="shared" si="93"/>
        <v>8000</v>
      </c>
      <c r="BH119" s="99">
        <f t="shared" si="93"/>
        <v>8000</v>
      </c>
      <c r="BI119" s="99">
        <f t="shared" si="93"/>
        <v>8000</v>
      </c>
      <c r="BJ119" s="99">
        <f t="shared" si="93"/>
        <v>8000</v>
      </c>
      <c r="BK119" s="99">
        <f t="shared" si="93"/>
        <v>8000</v>
      </c>
      <c r="BL119" s="99">
        <f t="shared" si="93"/>
        <v>8000</v>
      </c>
      <c r="BM119" s="99">
        <f t="shared" si="93"/>
        <v>8000</v>
      </c>
      <c r="BN119" s="99">
        <f t="shared" si="93"/>
        <v>8000</v>
      </c>
    </row>
    <row r="120" hidden="1" outlineLevel="1">
      <c r="A120" s="47"/>
      <c r="B120" s="121" t="s">
        <v>93</v>
      </c>
      <c r="C120" s="122">
        <v>90000.0</v>
      </c>
      <c r="D120" s="123">
        <v>0.2</v>
      </c>
      <c r="E120" s="124">
        <v>44256.0</v>
      </c>
      <c r="F120" s="99"/>
      <c r="G120" s="99">
        <f t="shared" ref="G120:BN120" si="94">IF(G$4&gt;=$E120,($C120/12)*(1+$D120),0)</f>
        <v>9000</v>
      </c>
      <c r="H120" s="99">
        <f t="shared" si="94"/>
        <v>9000</v>
      </c>
      <c r="I120" s="99">
        <f t="shared" si="94"/>
        <v>9000</v>
      </c>
      <c r="J120" s="99">
        <f t="shared" si="94"/>
        <v>9000</v>
      </c>
      <c r="K120" s="99">
        <f t="shared" si="94"/>
        <v>9000</v>
      </c>
      <c r="L120" s="99">
        <f t="shared" si="94"/>
        <v>9000</v>
      </c>
      <c r="M120" s="99">
        <f t="shared" si="94"/>
        <v>9000</v>
      </c>
      <c r="N120" s="99">
        <f t="shared" si="94"/>
        <v>9000</v>
      </c>
      <c r="O120" s="99">
        <f t="shared" si="94"/>
        <v>9000</v>
      </c>
      <c r="P120" s="99">
        <f t="shared" si="94"/>
        <v>9000</v>
      </c>
      <c r="Q120" s="99">
        <f t="shared" si="94"/>
        <v>9000</v>
      </c>
      <c r="R120" s="99">
        <f t="shared" si="94"/>
        <v>9000</v>
      </c>
      <c r="S120" s="99">
        <f t="shared" si="94"/>
        <v>9000</v>
      </c>
      <c r="T120" s="99">
        <f t="shared" si="94"/>
        <v>9000</v>
      </c>
      <c r="U120" s="99">
        <f t="shared" si="94"/>
        <v>9000</v>
      </c>
      <c r="V120" s="99">
        <f t="shared" si="94"/>
        <v>9000</v>
      </c>
      <c r="W120" s="99">
        <f t="shared" si="94"/>
        <v>9000</v>
      </c>
      <c r="X120" s="99">
        <f t="shared" si="94"/>
        <v>9000</v>
      </c>
      <c r="Y120" s="99">
        <f t="shared" si="94"/>
        <v>9000</v>
      </c>
      <c r="Z120" s="99">
        <f t="shared" si="94"/>
        <v>9000</v>
      </c>
      <c r="AA120" s="99">
        <f t="shared" si="94"/>
        <v>9000</v>
      </c>
      <c r="AB120" s="99">
        <f t="shared" si="94"/>
        <v>9000</v>
      </c>
      <c r="AC120" s="99">
        <f t="shared" si="94"/>
        <v>9000</v>
      </c>
      <c r="AD120" s="99">
        <f t="shared" si="94"/>
        <v>9000</v>
      </c>
      <c r="AE120" s="99">
        <f t="shared" si="94"/>
        <v>9000</v>
      </c>
      <c r="AF120" s="99">
        <f t="shared" si="94"/>
        <v>9000</v>
      </c>
      <c r="AG120" s="99">
        <f t="shared" si="94"/>
        <v>9000</v>
      </c>
      <c r="AH120" s="99">
        <f t="shared" si="94"/>
        <v>9000</v>
      </c>
      <c r="AI120" s="99">
        <f t="shared" si="94"/>
        <v>9000</v>
      </c>
      <c r="AJ120" s="99">
        <f t="shared" si="94"/>
        <v>9000</v>
      </c>
      <c r="AK120" s="99">
        <f t="shared" si="94"/>
        <v>9000</v>
      </c>
      <c r="AL120" s="99">
        <f t="shared" si="94"/>
        <v>9000</v>
      </c>
      <c r="AM120" s="99">
        <f t="shared" si="94"/>
        <v>9000</v>
      </c>
      <c r="AN120" s="99">
        <f t="shared" si="94"/>
        <v>9000</v>
      </c>
      <c r="AO120" s="99">
        <f t="shared" si="94"/>
        <v>9000</v>
      </c>
      <c r="AP120" s="99">
        <f t="shared" si="94"/>
        <v>9000</v>
      </c>
      <c r="AQ120" s="99">
        <f t="shared" si="94"/>
        <v>9000</v>
      </c>
      <c r="AR120" s="99">
        <f t="shared" si="94"/>
        <v>9000</v>
      </c>
      <c r="AS120" s="99">
        <f t="shared" si="94"/>
        <v>9000</v>
      </c>
      <c r="AT120" s="99">
        <f t="shared" si="94"/>
        <v>9000</v>
      </c>
      <c r="AU120" s="99">
        <f t="shared" si="94"/>
        <v>9000</v>
      </c>
      <c r="AV120" s="99">
        <f t="shared" si="94"/>
        <v>9000</v>
      </c>
      <c r="AW120" s="99">
        <f t="shared" si="94"/>
        <v>9000</v>
      </c>
      <c r="AX120" s="99">
        <f t="shared" si="94"/>
        <v>9000</v>
      </c>
      <c r="AY120" s="99">
        <f t="shared" si="94"/>
        <v>9000</v>
      </c>
      <c r="AZ120" s="99">
        <f t="shared" si="94"/>
        <v>9000</v>
      </c>
      <c r="BA120" s="99">
        <f t="shared" si="94"/>
        <v>9000</v>
      </c>
      <c r="BB120" s="99">
        <f t="shared" si="94"/>
        <v>9000</v>
      </c>
      <c r="BC120" s="99">
        <f t="shared" si="94"/>
        <v>9000</v>
      </c>
      <c r="BD120" s="99">
        <f t="shared" si="94"/>
        <v>9000</v>
      </c>
      <c r="BE120" s="99">
        <f t="shared" si="94"/>
        <v>9000</v>
      </c>
      <c r="BF120" s="99">
        <f t="shared" si="94"/>
        <v>9000</v>
      </c>
      <c r="BG120" s="99">
        <f t="shared" si="94"/>
        <v>9000</v>
      </c>
      <c r="BH120" s="99">
        <f t="shared" si="94"/>
        <v>9000</v>
      </c>
      <c r="BI120" s="99">
        <f t="shared" si="94"/>
        <v>9000</v>
      </c>
      <c r="BJ120" s="99">
        <f t="shared" si="94"/>
        <v>9000</v>
      </c>
      <c r="BK120" s="99">
        <f t="shared" si="94"/>
        <v>9000</v>
      </c>
      <c r="BL120" s="99">
        <f t="shared" si="94"/>
        <v>9000</v>
      </c>
      <c r="BM120" s="99">
        <f t="shared" si="94"/>
        <v>9000</v>
      </c>
      <c r="BN120" s="99">
        <f t="shared" si="94"/>
        <v>9000</v>
      </c>
    </row>
    <row r="121" hidden="1" outlineLevel="1">
      <c r="A121" s="47"/>
      <c r="B121" s="121" t="s">
        <v>94</v>
      </c>
      <c r="C121" s="122">
        <v>45000.0</v>
      </c>
      <c r="D121" s="123">
        <v>0.2</v>
      </c>
      <c r="E121" s="124">
        <v>44348.0</v>
      </c>
      <c r="F121" s="99"/>
      <c r="G121" s="99">
        <f t="shared" ref="G121:BN121" si="95">IF(G$4&gt;=$E121,($C121/12)*(1+$D121),0)</f>
        <v>4500</v>
      </c>
      <c r="H121" s="99">
        <f t="shared" si="95"/>
        <v>4500</v>
      </c>
      <c r="I121" s="99">
        <f t="shared" si="95"/>
        <v>4500</v>
      </c>
      <c r="J121" s="99">
        <f t="shared" si="95"/>
        <v>4500</v>
      </c>
      <c r="K121" s="99">
        <f t="shared" si="95"/>
        <v>4500</v>
      </c>
      <c r="L121" s="99">
        <f t="shared" si="95"/>
        <v>4500</v>
      </c>
      <c r="M121" s="99">
        <f t="shared" si="95"/>
        <v>4500</v>
      </c>
      <c r="N121" s="99">
        <f t="shared" si="95"/>
        <v>4500</v>
      </c>
      <c r="O121" s="99">
        <f t="shared" si="95"/>
        <v>4500</v>
      </c>
      <c r="P121" s="99">
        <f t="shared" si="95"/>
        <v>4500</v>
      </c>
      <c r="Q121" s="99">
        <f t="shared" si="95"/>
        <v>4500</v>
      </c>
      <c r="R121" s="99">
        <f t="shared" si="95"/>
        <v>4500</v>
      </c>
      <c r="S121" s="99">
        <f t="shared" si="95"/>
        <v>4500</v>
      </c>
      <c r="T121" s="99">
        <f t="shared" si="95"/>
        <v>4500</v>
      </c>
      <c r="U121" s="99">
        <f t="shared" si="95"/>
        <v>4500</v>
      </c>
      <c r="V121" s="99">
        <f t="shared" si="95"/>
        <v>4500</v>
      </c>
      <c r="W121" s="99">
        <f t="shared" si="95"/>
        <v>4500</v>
      </c>
      <c r="X121" s="99">
        <f t="shared" si="95"/>
        <v>4500</v>
      </c>
      <c r="Y121" s="99">
        <f t="shared" si="95"/>
        <v>4500</v>
      </c>
      <c r="Z121" s="99">
        <f t="shared" si="95"/>
        <v>4500</v>
      </c>
      <c r="AA121" s="99">
        <f t="shared" si="95"/>
        <v>4500</v>
      </c>
      <c r="AB121" s="99">
        <f t="shared" si="95"/>
        <v>4500</v>
      </c>
      <c r="AC121" s="99">
        <f t="shared" si="95"/>
        <v>4500</v>
      </c>
      <c r="AD121" s="99">
        <f t="shared" si="95"/>
        <v>4500</v>
      </c>
      <c r="AE121" s="99">
        <f t="shared" si="95"/>
        <v>4500</v>
      </c>
      <c r="AF121" s="99">
        <f t="shared" si="95"/>
        <v>4500</v>
      </c>
      <c r="AG121" s="99">
        <f t="shared" si="95"/>
        <v>4500</v>
      </c>
      <c r="AH121" s="99">
        <f t="shared" si="95"/>
        <v>4500</v>
      </c>
      <c r="AI121" s="99">
        <f t="shared" si="95"/>
        <v>4500</v>
      </c>
      <c r="AJ121" s="99">
        <f t="shared" si="95"/>
        <v>4500</v>
      </c>
      <c r="AK121" s="99">
        <f t="shared" si="95"/>
        <v>4500</v>
      </c>
      <c r="AL121" s="99">
        <f t="shared" si="95"/>
        <v>4500</v>
      </c>
      <c r="AM121" s="99">
        <f t="shared" si="95"/>
        <v>4500</v>
      </c>
      <c r="AN121" s="99">
        <f t="shared" si="95"/>
        <v>4500</v>
      </c>
      <c r="AO121" s="99">
        <f t="shared" si="95"/>
        <v>4500</v>
      </c>
      <c r="AP121" s="99">
        <f t="shared" si="95"/>
        <v>4500</v>
      </c>
      <c r="AQ121" s="99">
        <f t="shared" si="95"/>
        <v>4500</v>
      </c>
      <c r="AR121" s="99">
        <f t="shared" si="95"/>
        <v>4500</v>
      </c>
      <c r="AS121" s="99">
        <f t="shared" si="95"/>
        <v>4500</v>
      </c>
      <c r="AT121" s="99">
        <f t="shared" si="95"/>
        <v>4500</v>
      </c>
      <c r="AU121" s="99">
        <f t="shared" si="95"/>
        <v>4500</v>
      </c>
      <c r="AV121" s="99">
        <f t="shared" si="95"/>
        <v>4500</v>
      </c>
      <c r="AW121" s="99">
        <f t="shared" si="95"/>
        <v>4500</v>
      </c>
      <c r="AX121" s="99">
        <f t="shared" si="95"/>
        <v>4500</v>
      </c>
      <c r="AY121" s="99">
        <f t="shared" si="95"/>
        <v>4500</v>
      </c>
      <c r="AZ121" s="99">
        <f t="shared" si="95"/>
        <v>4500</v>
      </c>
      <c r="BA121" s="99">
        <f t="shared" si="95"/>
        <v>4500</v>
      </c>
      <c r="BB121" s="99">
        <f t="shared" si="95"/>
        <v>4500</v>
      </c>
      <c r="BC121" s="99">
        <f t="shared" si="95"/>
        <v>4500</v>
      </c>
      <c r="BD121" s="99">
        <f t="shared" si="95"/>
        <v>4500</v>
      </c>
      <c r="BE121" s="99">
        <f t="shared" si="95"/>
        <v>4500</v>
      </c>
      <c r="BF121" s="99">
        <f t="shared" si="95"/>
        <v>4500</v>
      </c>
      <c r="BG121" s="99">
        <f t="shared" si="95"/>
        <v>4500</v>
      </c>
      <c r="BH121" s="99">
        <f t="shared" si="95"/>
        <v>4500</v>
      </c>
      <c r="BI121" s="99">
        <f t="shared" si="95"/>
        <v>4500</v>
      </c>
      <c r="BJ121" s="99">
        <f t="shared" si="95"/>
        <v>4500</v>
      </c>
      <c r="BK121" s="99">
        <f t="shared" si="95"/>
        <v>4500</v>
      </c>
      <c r="BL121" s="99">
        <f t="shared" si="95"/>
        <v>4500</v>
      </c>
      <c r="BM121" s="99">
        <f t="shared" si="95"/>
        <v>4500</v>
      </c>
      <c r="BN121" s="99">
        <f t="shared" si="95"/>
        <v>4500</v>
      </c>
    </row>
    <row r="122">
      <c r="A122" s="47"/>
      <c r="B122" s="47"/>
      <c r="C122" s="47"/>
      <c r="D122" s="47"/>
      <c r="E122" s="47"/>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c r="AU122" s="99"/>
      <c r="AV122" s="99"/>
      <c r="AW122" s="99"/>
      <c r="AX122" s="99"/>
      <c r="AY122" s="99"/>
      <c r="AZ122" s="99"/>
      <c r="BA122" s="99"/>
      <c r="BB122" s="99"/>
      <c r="BC122" s="99"/>
      <c r="BD122" s="99"/>
      <c r="BE122" s="99"/>
      <c r="BF122" s="99"/>
      <c r="BG122" s="99"/>
      <c r="BH122" s="99"/>
      <c r="BI122" s="99"/>
      <c r="BJ122" s="99"/>
      <c r="BK122" s="99"/>
      <c r="BL122" s="99"/>
      <c r="BM122" s="99"/>
      <c r="BN122" s="99"/>
    </row>
    <row r="123">
      <c r="A123" s="47"/>
      <c r="B123" s="48" t="s">
        <v>95</v>
      </c>
      <c r="C123" s="49"/>
      <c r="D123" s="49"/>
      <c r="E123" s="49"/>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row>
    <row r="124" outlineLevel="1">
      <c r="A124" s="47"/>
      <c r="B124" s="47"/>
      <c r="C124" s="47"/>
      <c r="D124" s="47"/>
      <c r="E124" s="47"/>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row>
    <row r="125" outlineLevel="1">
      <c r="A125" s="47"/>
      <c r="B125" s="65" t="s">
        <v>96</v>
      </c>
      <c r="C125" s="120" t="s">
        <v>97</v>
      </c>
      <c r="D125" s="47"/>
      <c r="E125" s="47"/>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row>
    <row r="126" outlineLevel="1">
      <c r="A126" s="47"/>
      <c r="B126" s="125" t="s">
        <v>98</v>
      </c>
      <c r="C126" s="126">
        <v>0.02</v>
      </c>
      <c r="D126" s="47"/>
      <c r="E126" s="47"/>
      <c r="F126" s="99"/>
      <c r="G126" s="99">
        <f>Financials!F$8*$C126</f>
        <v>8.025</v>
      </c>
      <c r="H126" s="99">
        <f>Financials!G$8*$C126</f>
        <v>15.844125</v>
      </c>
      <c r="I126" s="99">
        <f>Financials!H$8*$C126</f>
        <v>23.27522438</v>
      </c>
      <c r="J126" s="99">
        <f>Financials!I$8*$C126</f>
        <v>30.33481274</v>
      </c>
      <c r="K126" s="99">
        <f>Financials!J$8*$C126</f>
        <v>37.04142235</v>
      </c>
      <c r="L126" s="99">
        <f>Financials!K$8*$C126</f>
        <v>43.41270148</v>
      </c>
      <c r="M126" s="99">
        <f>Financials!L$8*$C126</f>
        <v>49.46541666</v>
      </c>
      <c r="N126" s="99">
        <f>Financials!M$8*$C126</f>
        <v>55.21549608</v>
      </c>
      <c r="O126" s="99">
        <f>Financials!N$8*$C126</f>
        <v>60.67807153</v>
      </c>
      <c r="P126" s="99">
        <f>Financials!O$8*$C126</f>
        <v>65.86751821</v>
      </c>
      <c r="Q126" s="99">
        <f>Financials!P$8*$C126</f>
        <v>58.99791046</v>
      </c>
      <c r="R126" s="99">
        <f>Financials!Q$8*$C126</f>
        <v>62.90080682</v>
      </c>
      <c r="S126" s="99">
        <f>Financials!R$8*$C126</f>
        <v>66.60855835</v>
      </c>
      <c r="T126" s="99">
        <f>Financials!S$8*$C126</f>
        <v>70.13092231</v>
      </c>
      <c r="U126" s="99">
        <f>Financials!T$8*$C126</f>
        <v>73.47716808</v>
      </c>
      <c r="V126" s="99">
        <f>Financials!U$8*$C126</f>
        <v>76.65610155</v>
      </c>
      <c r="W126" s="99">
        <f>Financials!V$8*$C126</f>
        <v>79.67608835</v>
      </c>
      <c r="X126" s="99">
        <f>Financials!W$8*$C126</f>
        <v>82.54507581</v>
      </c>
      <c r="Y126" s="99">
        <f>Financials!X$8*$C126</f>
        <v>85.2706139</v>
      </c>
      <c r="Z126" s="99">
        <f>Financials!Y$8*$C126</f>
        <v>87.85987508</v>
      </c>
      <c r="AA126" s="99">
        <f>Financials!Z$8*$C126</f>
        <v>90.31967321</v>
      </c>
      <c r="AB126" s="99">
        <f>Financials!AA$8*$C126</f>
        <v>92.65648143</v>
      </c>
      <c r="AC126" s="99">
        <f>Financials!AB$8*$C126</f>
        <v>94.87644923</v>
      </c>
      <c r="AD126" s="99">
        <f>Financials!AC$8*$C126</f>
        <v>96.98541865</v>
      </c>
      <c r="AE126" s="99">
        <f>Financials!AD$8*$C126</f>
        <v>98.98893959</v>
      </c>
      <c r="AF126" s="99">
        <f>Financials!AE$8*$C126</f>
        <v>100.8922845</v>
      </c>
      <c r="AG126" s="99">
        <f>Financials!AF$8*$C126</f>
        <v>102.7004621</v>
      </c>
      <c r="AH126" s="99">
        <f>Financials!AG$8*$C126</f>
        <v>104.4182309</v>
      </c>
      <c r="AI126" s="99">
        <f>Financials!AH$8*$C126</f>
        <v>106.0501112</v>
      </c>
      <c r="AJ126" s="99">
        <f>Financials!AI$8*$C126</f>
        <v>107.6003976</v>
      </c>
      <c r="AK126" s="99">
        <f>Financials!AJ$8*$C126</f>
        <v>109.0731696</v>
      </c>
      <c r="AL126" s="99">
        <f>Financials!AK$8*$C126</f>
        <v>110.472303</v>
      </c>
      <c r="AM126" s="99">
        <f>Financials!AL$8*$C126</f>
        <v>111.8014797</v>
      </c>
      <c r="AN126" s="99">
        <f>Financials!AM$8*$C126</f>
        <v>113.0641976</v>
      </c>
      <c r="AO126" s="99">
        <f>Financials!AN$8*$C126</f>
        <v>114.2637796</v>
      </c>
      <c r="AP126" s="99">
        <f>Financials!AO$8*$C126</f>
        <v>115.4033825</v>
      </c>
      <c r="AQ126" s="99">
        <f>Financials!AP$8*$C126</f>
        <v>116.4860052</v>
      </c>
      <c r="AR126" s="99">
        <f>Financials!AQ$8*$C126</f>
        <v>117.5144969</v>
      </c>
      <c r="AS126" s="99">
        <f>Financials!AR$8*$C126</f>
        <v>118.4915639</v>
      </c>
      <c r="AT126" s="99">
        <f>Financials!AS$8*$C126</f>
        <v>119.4197776</v>
      </c>
      <c r="AU126" s="99">
        <f>Financials!AT$8*$C126</f>
        <v>120.3015806</v>
      </c>
      <c r="AV126" s="99">
        <f>Financials!AU$8*$C126</f>
        <v>121.1392934</v>
      </c>
      <c r="AW126" s="99">
        <f>Financials!AV$8*$C126</f>
        <v>121.9351206</v>
      </c>
      <c r="AX126" s="99">
        <f>Financials!AW$8*$C126</f>
        <v>122.6911565</v>
      </c>
      <c r="AY126" s="99">
        <f>Financials!AX$8*$C126</f>
        <v>123.4093905</v>
      </c>
      <c r="AZ126" s="99">
        <f>Financials!AY$8*$C126</f>
        <v>124.0917129</v>
      </c>
      <c r="BA126" s="99">
        <f>Financials!AZ$8*$C126</f>
        <v>124.7399191</v>
      </c>
      <c r="BB126" s="99">
        <f>Financials!BA$8*$C126</f>
        <v>125.355715</v>
      </c>
      <c r="BC126" s="99">
        <f>Financials!BB$8*$C126</f>
        <v>125.9407212</v>
      </c>
      <c r="BD126" s="99">
        <f>Financials!BC$8*$C126</f>
        <v>126.496477</v>
      </c>
      <c r="BE126" s="99">
        <f>Financials!BD$8*$C126</f>
        <v>127.024445</v>
      </c>
      <c r="BF126" s="99">
        <f>Financials!BE$8*$C126</f>
        <v>127.5260146</v>
      </c>
      <c r="BG126" s="99">
        <f>Financials!BF$8*$C126</f>
        <v>128.0025058</v>
      </c>
      <c r="BH126" s="99">
        <f>Financials!BG$8*$C126</f>
        <v>128.4551724</v>
      </c>
      <c r="BI126" s="99">
        <f>Financials!BH$8*$C126</f>
        <v>128.8852056</v>
      </c>
      <c r="BJ126" s="99">
        <f>Financials!BI$8*$C126</f>
        <v>129.2937372</v>
      </c>
      <c r="BK126" s="99">
        <f>Financials!BJ$8*$C126</f>
        <v>129.6818422</v>
      </c>
      <c r="BL126" s="99">
        <f>Financials!BK$8*$C126</f>
        <v>130.050542</v>
      </c>
      <c r="BM126" s="99">
        <f>Financials!BL$8*$C126</f>
        <v>130.4008068</v>
      </c>
      <c r="BN126" s="99">
        <f>Financials!BM$8*$C126</f>
        <v>130.7335583</v>
      </c>
    </row>
    <row r="127" outlineLevel="1">
      <c r="A127" s="47"/>
      <c r="B127" s="125" t="s">
        <v>99</v>
      </c>
      <c r="C127" s="126">
        <v>0.03</v>
      </c>
      <c r="D127" s="47"/>
      <c r="E127" s="47"/>
      <c r="F127" s="99"/>
      <c r="G127" s="99">
        <f>Financials!F$8*$C127</f>
        <v>12.0375</v>
      </c>
      <c r="H127" s="99">
        <f>Financials!G$8*$C127</f>
        <v>23.7661875</v>
      </c>
      <c r="I127" s="99">
        <f>Financials!H$8*$C127</f>
        <v>34.91283656</v>
      </c>
      <c r="J127" s="99">
        <f>Financials!I$8*$C127</f>
        <v>45.50221911</v>
      </c>
      <c r="K127" s="99">
        <f>Financials!J$8*$C127</f>
        <v>55.56213352</v>
      </c>
      <c r="L127" s="99">
        <f>Financials!K$8*$C127</f>
        <v>65.11905223</v>
      </c>
      <c r="M127" s="99">
        <f>Financials!L$8*$C127</f>
        <v>74.19812499</v>
      </c>
      <c r="N127" s="99">
        <f>Financials!M$8*$C127</f>
        <v>82.82324413</v>
      </c>
      <c r="O127" s="99">
        <f>Financials!N$8*$C127</f>
        <v>91.0171073</v>
      </c>
      <c r="P127" s="99">
        <f>Financials!O$8*$C127</f>
        <v>98.80127732</v>
      </c>
      <c r="Q127" s="99">
        <f>Financials!P$8*$C127</f>
        <v>88.49686569</v>
      </c>
      <c r="R127" s="99">
        <f>Financials!Q$8*$C127</f>
        <v>94.35121023</v>
      </c>
      <c r="S127" s="99">
        <f>Financials!R$8*$C127</f>
        <v>99.91283753</v>
      </c>
      <c r="T127" s="99">
        <f>Financials!S$8*$C127</f>
        <v>105.1963835</v>
      </c>
      <c r="U127" s="99">
        <f>Financials!T$8*$C127</f>
        <v>110.2157521</v>
      </c>
      <c r="V127" s="99">
        <f>Financials!U$8*$C127</f>
        <v>114.9841523</v>
      </c>
      <c r="W127" s="99">
        <f>Financials!V$8*$C127</f>
        <v>119.5141325</v>
      </c>
      <c r="X127" s="99">
        <f>Financials!W$8*$C127</f>
        <v>123.8176137</v>
      </c>
      <c r="Y127" s="99">
        <f>Financials!X$8*$C127</f>
        <v>127.9059209</v>
      </c>
      <c r="Z127" s="99">
        <f>Financials!Y$8*$C127</f>
        <v>131.7898126</v>
      </c>
      <c r="AA127" s="99">
        <f>Financials!Z$8*$C127</f>
        <v>135.4795098</v>
      </c>
      <c r="AB127" s="99">
        <f>Financials!AA$8*$C127</f>
        <v>138.9847221</v>
      </c>
      <c r="AC127" s="99">
        <f>Financials!AB$8*$C127</f>
        <v>142.3146738</v>
      </c>
      <c r="AD127" s="99">
        <f>Financials!AC$8*$C127</f>
        <v>145.478128</v>
      </c>
      <c r="AE127" s="99">
        <f>Financials!AD$8*$C127</f>
        <v>148.4834094</v>
      </c>
      <c r="AF127" s="99">
        <f>Financials!AE$8*$C127</f>
        <v>151.3384267</v>
      </c>
      <c r="AG127" s="99">
        <f>Financials!AF$8*$C127</f>
        <v>154.0506932</v>
      </c>
      <c r="AH127" s="99">
        <f>Financials!AG$8*$C127</f>
        <v>156.6273464</v>
      </c>
      <c r="AI127" s="99">
        <f>Financials!AH$8*$C127</f>
        <v>159.0751669</v>
      </c>
      <c r="AJ127" s="99">
        <f>Financials!AI$8*$C127</f>
        <v>161.4005963</v>
      </c>
      <c r="AK127" s="99">
        <f>Financials!AJ$8*$C127</f>
        <v>163.6097543</v>
      </c>
      <c r="AL127" s="99">
        <f>Financials!AK$8*$C127</f>
        <v>165.7084544</v>
      </c>
      <c r="AM127" s="99">
        <f>Financials!AL$8*$C127</f>
        <v>167.7022195</v>
      </c>
      <c r="AN127" s="99">
        <f>Financials!AM$8*$C127</f>
        <v>169.5962964</v>
      </c>
      <c r="AO127" s="99">
        <f>Financials!AN$8*$C127</f>
        <v>171.3956694</v>
      </c>
      <c r="AP127" s="99">
        <f>Financials!AO$8*$C127</f>
        <v>173.1050737</v>
      </c>
      <c r="AQ127" s="99">
        <f>Financials!AP$8*$C127</f>
        <v>174.7290079</v>
      </c>
      <c r="AR127" s="99">
        <f>Financials!AQ$8*$C127</f>
        <v>176.2717453</v>
      </c>
      <c r="AS127" s="99">
        <f>Financials!AR$8*$C127</f>
        <v>177.7373458</v>
      </c>
      <c r="AT127" s="99">
        <f>Financials!AS$8*$C127</f>
        <v>179.1296664</v>
      </c>
      <c r="AU127" s="99">
        <f>Financials!AT$8*$C127</f>
        <v>180.4523709</v>
      </c>
      <c r="AV127" s="99">
        <f>Financials!AU$8*$C127</f>
        <v>181.7089401</v>
      </c>
      <c r="AW127" s="99">
        <f>Financials!AV$8*$C127</f>
        <v>182.9026809</v>
      </c>
      <c r="AX127" s="99">
        <f>Financials!AW$8*$C127</f>
        <v>184.0367347</v>
      </c>
      <c r="AY127" s="99">
        <f>Financials!AX$8*$C127</f>
        <v>185.1140858</v>
      </c>
      <c r="AZ127" s="99">
        <f>Financials!AY$8*$C127</f>
        <v>186.1375693</v>
      </c>
      <c r="BA127" s="99">
        <f>Financials!AZ$8*$C127</f>
        <v>187.1098787</v>
      </c>
      <c r="BB127" s="99">
        <f>Financials!BA$8*$C127</f>
        <v>188.0335726</v>
      </c>
      <c r="BC127" s="99">
        <f>Financials!BB$8*$C127</f>
        <v>188.9110817</v>
      </c>
      <c r="BD127" s="99">
        <f>Financials!BC$8*$C127</f>
        <v>189.7447155</v>
      </c>
      <c r="BE127" s="99">
        <f>Financials!BD$8*$C127</f>
        <v>190.5366675</v>
      </c>
      <c r="BF127" s="99">
        <f>Financials!BE$8*$C127</f>
        <v>191.289022</v>
      </c>
      <c r="BG127" s="99">
        <f>Financials!BF$8*$C127</f>
        <v>192.0037587</v>
      </c>
      <c r="BH127" s="99">
        <f>Financials!BG$8*$C127</f>
        <v>192.6827586</v>
      </c>
      <c r="BI127" s="99">
        <f>Financials!BH$8*$C127</f>
        <v>193.3278085</v>
      </c>
      <c r="BJ127" s="99">
        <f>Financials!BI$8*$C127</f>
        <v>193.9406058</v>
      </c>
      <c r="BK127" s="99">
        <f>Financials!BJ$8*$C127</f>
        <v>194.5227634</v>
      </c>
      <c r="BL127" s="99">
        <f>Financials!BK$8*$C127</f>
        <v>195.075813</v>
      </c>
      <c r="BM127" s="99">
        <f>Financials!BL$8*$C127</f>
        <v>195.6012102</v>
      </c>
      <c r="BN127" s="99">
        <f>Financials!BM$8*$C127</f>
        <v>196.1003375</v>
      </c>
    </row>
    <row r="128" outlineLevel="1">
      <c r="A128" s="47"/>
      <c r="B128" s="125" t="s">
        <v>100</v>
      </c>
      <c r="C128" s="126">
        <v>0.05</v>
      </c>
      <c r="D128" s="47"/>
      <c r="E128" s="47"/>
      <c r="F128" s="99"/>
      <c r="G128" s="99">
        <f>Financials!F$8*$C128</f>
        <v>20.0625</v>
      </c>
      <c r="H128" s="99">
        <f>Financials!G$8*$C128</f>
        <v>39.6103125</v>
      </c>
      <c r="I128" s="99">
        <f>Financials!H$8*$C128</f>
        <v>58.18806094</v>
      </c>
      <c r="J128" s="99">
        <f>Financials!I$8*$C128</f>
        <v>75.83703185</v>
      </c>
      <c r="K128" s="99">
        <f>Financials!J$8*$C128</f>
        <v>92.60355587</v>
      </c>
      <c r="L128" s="99">
        <f>Financials!K$8*$C128</f>
        <v>108.5317537</v>
      </c>
      <c r="M128" s="99">
        <f>Financials!L$8*$C128</f>
        <v>123.6635417</v>
      </c>
      <c r="N128" s="99">
        <f>Financials!M$8*$C128</f>
        <v>138.0387402</v>
      </c>
      <c r="O128" s="99">
        <f>Financials!N$8*$C128</f>
        <v>151.6951788</v>
      </c>
      <c r="P128" s="99">
        <f>Financials!O$8*$C128</f>
        <v>164.6687955</v>
      </c>
      <c r="Q128" s="99">
        <f>Financials!P$8*$C128</f>
        <v>147.4947762</v>
      </c>
      <c r="R128" s="99">
        <f>Financials!Q$8*$C128</f>
        <v>157.252017</v>
      </c>
      <c r="S128" s="99">
        <f>Financials!R$8*$C128</f>
        <v>166.5213959</v>
      </c>
      <c r="T128" s="99">
        <f>Financials!S$8*$C128</f>
        <v>175.3273058</v>
      </c>
      <c r="U128" s="99">
        <f>Financials!T$8*$C128</f>
        <v>183.6929202</v>
      </c>
      <c r="V128" s="99">
        <f>Financials!U$8*$C128</f>
        <v>191.6402539</v>
      </c>
      <c r="W128" s="99">
        <f>Financials!V$8*$C128</f>
        <v>199.1902209</v>
      </c>
      <c r="X128" s="99">
        <f>Financials!W$8*$C128</f>
        <v>206.3626895</v>
      </c>
      <c r="Y128" s="99">
        <f>Financials!X$8*$C128</f>
        <v>213.1765348</v>
      </c>
      <c r="Z128" s="99">
        <f>Financials!Y$8*$C128</f>
        <v>219.6496877</v>
      </c>
      <c r="AA128" s="99">
        <f>Financials!Z$8*$C128</f>
        <v>225.799183</v>
      </c>
      <c r="AB128" s="99">
        <f>Financials!AA$8*$C128</f>
        <v>231.6412036</v>
      </c>
      <c r="AC128" s="99">
        <f>Financials!AB$8*$C128</f>
        <v>237.1911231</v>
      </c>
      <c r="AD128" s="99">
        <f>Financials!AC$8*$C128</f>
        <v>242.4635466</v>
      </c>
      <c r="AE128" s="99">
        <f>Financials!AD$8*$C128</f>
        <v>247.472349</v>
      </c>
      <c r="AF128" s="99">
        <f>Financials!AE$8*$C128</f>
        <v>252.2307112</v>
      </c>
      <c r="AG128" s="99">
        <f>Financials!AF$8*$C128</f>
        <v>256.7511554</v>
      </c>
      <c r="AH128" s="99">
        <f>Financials!AG$8*$C128</f>
        <v>261.0455773</v>
      </c>
      <c r="AI128" s="99">
        <f>Financials!AH$8*$C128</f>
        <v>265.1252781</v>
      </c>
      <c r="AJ128" s="99">
        <f>Financials!AI$8*$C128</f>
        <v>269.0009939</v>
      </c>
      <c r="AK128" s="99">
        <f>Financials!AJ$8*$C128</f>
        <v>272.6829239</v>
      </c>
      <c r="AL128" s="99">
        <f>Financials!AK$8*$C128</f>
        <v>276.1807574</v>
      </c>
      <c r="AM128" s="99">
        <f>Financials!AL$8*$C128</f>
        <v>279.5036992</v>
      </c>
      <c r="AN128" s="99">
        <f>Financials!AM$8*$C128</f>
        <v>282.660494</v>
      </c>
      <c r="AO128" s="99">
        <f>Financials!AN$8*$C128</f>
        <v>285.659449</v>
      </c>
      <c r="AP128" s="99">
        <f>Financials!AO$8*$C128</f>
        <v>288.5084562</v>
      </c>
      <c r="AQ128" s="99">
        <f>Financials!AP$8*$C128</f>
        <v>291.2150131</v>
      </c>
      <c r="AR128" s="99">
        <f>Financials!AQ$8*$C128</f>
        <v>293.7862421</v>
      </c>
      <c r="AS128" s="99">
        <f>Financials!AR$8*$C128</f>
        <v>296.2289097</v>
      </c>
      <c r="AT128" s="99">
        <f>Financials!AS$8*$C128</f>
        <v>298.5494439</v>
      </c>
      <c r="AU128" s="99">
        <f>Financials!AT$8*$C128</f>
        <v>300.7539514</v>
      </c>
      <c r="AV128" s="99">
        <f>Financials!AU$8*$C128</f>
        <v>302.8482336</v>
      </c>
      <c r="AW128" s="99">
        <f>Financials!AV$8*$C128</f>
        <v>304.8378016</v>
      </c>
      <c r="AX128" s="99">
        <f>Financials!AW$8*$C128</f>
        <v>306.7278912</v>
      </c>
      <c r="AY128" s="99">
        <f>Financials!AX$8*$C128</f>
        <v>308.5234763</v>
      </c>
      <c r="AZ128" s="99">
        <f>Financials!AY$8*$C128</f>
        <v>310.2292822</v>
      </c>
      <c r="BA128" s="99">
        <f>Financials!AZ$8*$C128</f>
        <v>311.8497978</v>
      </c>
      <c r="BB128" s="99">
        <f>Financials!BA$8*$C128</f>
        <v>313.3892876</v>
      </c>
      <c r="BC128" s="99">
        <f>Financials!BB$8*$C128</f>
        <v>314.8518029</v>
      </c>
      <c r="BD128" s="99">
        <f>Financials!BC$8*$C128</f>
        <v>316.2411925</v>
      </c>
      <c r="BE128" s="99">
        <f>Financials!BD$8*$C128</f>
        <v>317.5611125</v>
      </c>
      <c r="BF128" s="99">
        <f>Financials!BE$8*$C128</f>
        <v>318.8150366</v>
      </c>
      <c r="BG128" s="99">
        <f>Financials!BF$8*$C128</f>
        <v>320.0062645</v>
      </c>
      <c r="BH128" s="99">
        <f>Financials!BG$8*$C128</f>
        <v>321.1379309</v>
      </c>
      <c r="BI128" s="99">
        <f>Financials!BH$8*$C128</f>
        <v>322.2130141</v>
      </c>
      <c r="BJ128" s="99">
        <f>Financials!BI$8*$C128</f>
        <v>323.2343431</v>
      </c>
      <c r="BK128" s="99">
        <f>Financials!BJ$8*$C128</f>
        <v>324.2046056</v>
      </c>
      <c r="BL128" s="99">
        <f>Financials!BK$8*$C128</f>
        <v>325.126355</v>
      </c>
      <c r="BM128" s="99">
        <f>Financials!BL$8*$C128</f>
        <v>326.002017</v>
      </c>
      <c r="BN128" s="99">
        <f>Financials!BM$8*$C128</f>
        <v>326.8338958</v>
      </c>
    </row>
    <row r="129" outlineLevel="1">
      <c r="A129" s="47"/>
      <c r="B129" s="127" t="s">
        <v>101</v>
      </c>
      <c r="C129" s="126">
        <v>0.05</v>
      </c>
      <c r="D129" s="47"/>
      <c r="E129" s="47"/>
      <c r="F129" s="99"/>
      <c r="G129" s="99">
        <f>Financials!F$8*$C129</f>
        <v>20.0625</v>
      </c>
      <c r="H129" s="99">
        <f>Financials!G$8*$C129</f>
        <v>39.6103125</v>
      </c>
      <c r="I129" s="99">
        <f>Financials!H$8*$C129</f>
        <v>58.18806094</v>
      </c>
      <c r="J129" s="99">
        <f>Financials!I$8*$C129</f>
        <v>75.83703185</v>
      </c>
      <c r="K129" s="99">
        <f>Financials!J$8*$C129</f>
        <v>92.60355587</v>
      </c>
      <c r="L129" s="99">
        <f>Financials!K$8*$C129</f>
        <v>108.5317537</v>
      </c>
      <c r="M129" s="99">
        <f>Financials!L$8*$C129</f>
        <v>123.6635417</v>
      </c>
      <c r="N129" s="99">
        <f>Financials!M$8*$C129</f>
        <v>138.0387402</v>
      </c>
      <c r="O129" s="99">
        <f>Financials!N$8*$C129</f>
        <v>151.6951788</v>
      </c>
      <c r="P129" s="99">
        <f>Financials!O$8*$C129</f>
        <v>164.6687955</v>
      </c>
      <c r="Q129" s="99">
        <f>Financials!P$8*$C129</f>
        <v>147.4947762</v>
      </c>
      <c r="R129" s="99">
        <f>Financials!Q$8*$C129</f>
        <v>157.252017</v>
      </c>
      <c r="S129" s="99">
        <f>Financials!R$8*$C129</f>
        <v>166.5213959</v>
      </c>
      <c r="T129" s="99">
        <f>Financials!S$8*$C129</f>
        <v>175.3273058</v>
      </c>
      <c r="U129" s="99">
        <f>Financials!T$8*$C129</f>
        <v>183.6929202</v>
      </c>
      <c r="V129" s="99">
        <f>Financials!U$8*$C129</f>
        <v>191.6402539</v>
      </c>
      <c r="W129" s="99">
        <f>Financials!V$8*$C129</f>
        <v>199.1902209</v>
      </c>
      <c r="X129" s="99">
        <f>Financials!W$8*$C129</f>
        <v>206.3626895</v>
      </c>
      <c r="Y129" s="99">
        <f>Financials!X$8*$C129</f>
        <v>213.1765348</v>
      </c>
      <c r="Z129" s="99">
        <f>Financials!Y$8*$C129</f>
        <v>219.6496877</v>
      </c>
      <c r="AA129" s="99">
        <f>Financials!Z$8*$C129</f>
        <v>225.799183</v>
      </c>
      <c r="AB129" s="99">
        <f>Financials!AA$8*$C129</f>
        <v>231.6412036</v>
      </c>
      <c r="AC129" s="99">
        <f>Financials!AB$8*$C129</f>
        <v>237.1911231</v>
      </c>
      <c r="AD129" s="99">
        <f>Financials!AC$8*$C129</f>
        <v>242.4635466</v>
      </c>
      <c r="AE129" s="99">
        <f>Financials!AD$8*$C129</f>
        <v>247.472349</v>
      </c>
      <c r="AF129" s="99">
        <f>Financials!AE$8*$C129</f>
        <v>252.2307112</v>
      </c>
      <c r="AG129" s="99">
        <f>Financials!AF$8*$C129</f>
        <v>256.7511554</v>
      </c>
      <c r="AH129" s="99">
        <f>Financials!AG$8*$C129</f>
        <v>261.0455773</v>
      </c>
      <c r="AI129" s="99">
        <f>Financials!AH$8*$C129</f>
        <v>265.1252781</v>
      </c>
      <c r="AJ129" s="99">
        <f>Financials!AI$8*$C129</f>
        <v>269.0009939</v>
      </c>
      <c r="AK129" s="99">
        <f>Financials!AJ$8*$C129</f>
        <v>272.6829239</v>
      </c>
      <c r="AL129" s="99">
        <f>Financials!AK$8*$C129</f>
        <v>276.1807574</v>
      </c>
      <c r="AM129" s="99">
        <f>Financials!AL$8*$C129</f>
        <v>279.5036992</v>
      </c>
      <c r="AN129" s="99">
        <f>Financials!AM$8*$C129</f>
        <v>282.660494</v>
      </c>
      <c r="AO129" s="99">
        <f>Financials!AN$8*$C129</f>
        <v>285.659449</v>
      </c>
      <c r="AP129" s="99">
        <f>Financials!AO$8*$C129</f>
        <v>288.5084562</v>
      </c>
      <c r="AQ129" s="99">
        <f>Financials!AP$8*$C129</f>
        <v>291.2150131</v>
      </c>
      <c r="AR129" s="99">
        <f>Financials!AQ$8*$C129</f>
        <v>293.7862421</v>
      </c>
      <c r="AS129" s="99">
        <f>Financials!AR$8*$C129</f>
        <v>296.2289097</v>
      </c>
      <c r="AT129" s="99">
        <f>Financials!AS$8*$C129</f>
        <v>298.5494439</v>
      </c>
      <c r="AU129" s="99">
        <f>Financials!AT$8*$C129</f>
        <v>300.7539514</v>
      </c>
      <c r="AV129" s="99">
        <f>Financials!AU$8*$C129</f>
        <v>302.8482336</v>
      </c>
      <c r="AW129" s="99">
        <f>Financials!AV$8*$C129</f>
        <v>304.8378016</v>
      </c>
      <c r="AX129" s="99">
        <f>Financials!AW$8*$C129</f>
        <v>306.7278912</v>
      </c>
      <c r="AY129" s="99">
        <f>Financials!AX$8*$C129</f>
        <v>308.5234763</v>
      </c>
      <c r="AZ129" s="99">
        <f>Financials!AY$8*$C129</f>
        <v>310.2292822</v>
      </c>
      <c r="BA129" s="99">
        <f>Financials!AZ$8*$C129</f>
        <v>311.8497978</v>
      </c>
      <c r="BB129" s="99">
        <f>Financials!BA$8*$C129</f>
        <v>313.3892876</v>
      </c>
      <c r="BC129" s="99">
        <f>Financials!BB$8*$C129</f>
        <v>314.8518029</v>
      </c>
      <c r="BD129" s="99">
        <f>Financials!BC$8*$C129</f>
        <v>316.2411925</v>
      </c>
      <c r="BE129" s="99">
        <f>Financials!BD$8*$C129</f>
        <v>317.5611125</v>
      </c>
      <c r="BF129" s="99">
        <f>Financials!BE$8*$C129</f>
        <v>318.8150366</v>
      </c>
      <c r="BG129" s="99">
        <f>Financials!BF$8*$C129</f>
        <v>320.0062645</v>
      </c>
      <c r="BH129" s="99">
        <f>Financials!BG$8*$C129</f>
        <v>321.1379309</v>
      </c>
      <c r="BI129" s="99">
        <f>Financials!BH$8*$C129</f>
        <v>322.2130141</v>
      </c>
      <c r="BJ129" s="99">
        <f>Financials!BI$8*$C129</f>
        <v>323.2343431</v>
      </c>
      <c r="BK129" s="99">
        <f>Financials!BJ$8*$C129</f>
        <v>324.2046056</v>
      </c>
      <c r="BL129" s="99">
        <f>Financials!BK$8*$C129</f>
        <v>325.126355</v>
      </c>
      <c r="BM129" s="99">
        <f>Financials!BL$8*$C129</f>
        <v>326.002017</v>
      </c>
      <c r="BN129" s="99">
        <f>Financials!BM$8*$C129</f>
        <v>326.8338958</v>
      </c>
    </row>
    <row r="130" outlineLevel="1">
      <c r="A130" s="47"/>
      <c r="B130" s="127" t="s">
        <v>102</v>
      </c>
      <c r="C130" s="126">
        <v>0.05</v>
      </c>
      <c r="D130" s="47"/>
      <c r="E130" s="47"/>
      <c r="F130" s="99"/>
      <c r="G130" s="99">
        <f>Financials!F$8*$C130</f>
        <v>20.0625</v>
      </c>
      <c r="H130" s="99">
        <f>Financials!G$8*$C130</f>
        <v>39.6103125</v>
      </c>
      <c r="I130" s="99">
        <f>Financials!H$8*$C130</f>
        <v>58.18806094</v>
      </c>
      <c r="J130" s="99">
        <f>Financials!I$8*$C130</f>
        <v>75.83703185</v>
      </c>
      <c r="K130" s="99">
        <f>Financials!J$8*$C130</f>
        <v>92.60355587</v>
      </c>
      <c r="L130" s="99">
        <f>Financials!K$8*$C130</f>
        <v>108.5317537</v>
      </c>
      <c r="M130" s="99">
        <f>Financials!L$8*$C130</f>
        <v>123.6635417</v>
      </c>
      <c r="N130" s="99">
        <f>Financials!M$8*$C130</f>
        <v>138.0387402</v>
      </c>
      <c r="O130" s="99">
        <f>Financials!N$8*$C130</f>
        <v>151.6951788</v>
      </c>
      <c r="P130" s="99">
        <f>Financials!O$8*$C130</f>
        <v>164.6687955</v>
      </c>
      <c r="Q130" s="99">
        <f>Financials!P$8*$C130</f>
        <v>147.4947762</v>
      </c>
      <c r="R130" s="99">
        <f>Financials!Q$8*$C130</f>
        <v>157.252017</v>
      </c>
      <c r="S130" s="99">
        <f>Financials!R$8*$C130</f>
        <v>166.5213959</v>
      </c>
      <c r="T130" s="99">
        <f>Financials!S$8*$C130</f>
        <v>175.3273058</v>
      </c>
      <c r="U130" s="99">
        <f>Financials!T$8*$C130</f>
        <v>183.6929202</v>
      </c>
      <c r="V130" s="99">
        <f>Financials!U$8*$C130</f>
        <v>191.6402539</v>
      </c>
      <c r="W130" s="99">
        <f>Financials!V$8*$C130</f>
        <v>199.1902209</v>
      </c>
      <c r="X130" s="99">
        <f>Financials!W$8*$C130</f>
        <v>206.3626895</v>
      </c>
      <c r="Y130" s="99">
        <f>Financials!X$8*$C130</f>
        <v>213.1765348</v>
      </c>
      <c r="Z130" s="99">
        <f>Financials!Y$8*$C130</f>
        <v>219.6496877</v>
      </c>
      <c r="AA130" s="99">
        <f>Financials!Z$8*$C130</f>
        <v>225.799183</v>
      </c>
      <c r="AB130" s="99">
        <f>Financials!AA$8*$C130</f>
        <v>231.6412036</v>
      </c>
      <c r="AC130" s="99">
        <f>Financials!AB$8*$C130</f>
        <v>237.1911231</v>
      </c>
      <c r="AD130" s="99">
        <f>Financials!AC$8*$C130</f>
        <v>242.4635466</v>
      </c>
      <c r="AE130" s="99">
        <f>Financials!AD$8*$C130</f>
        <v>247.472349</v>
      </c>
      <c r="AF130" s="99">
        <f>Financials!AE$8*$C130</f>
        <v>252.2307112</v>
      </c>
      <c r="AG130" s="99">
        <f>Financials!AF$8*$C130</f>
        <v>256.7511554</v>
      </c>
      <c r="AH130" s="99">
        <f>Financials!AG$8*$C130</f>
        <v>261.0455773</v>
      </c>
      <c r="AI130" s="99">
        <f>Financials!AH$8*$C130</f>
        <v>265.1252781</v>
      </c>
      <c r="AJ130" s="99">
        <f>Financials!AI$8*$C130</f>
        <v>269.0009939</v>
      </c>
      <c r="AK130" s="99">
        <f>Financials!AJ$8*$C130</f>
        <v>272.6829239</v>
      </c>
      <c r="AL130" s="99">
        <f>Financials!AK$8*$C130</f>
        <v>276.1807574</v>
      </c>
      <c r="AM130" s="99">
        <f>Financials!AL$8*$C130</f>
        <v>279.5036992</v>
      </c>
      <c r="AN130" s="99">
        <f>Financials!AM$8*$C130</f>
        <v>282.660494</v>
      </c>
      <c r="AO130" s="99">
        <f>Financials!AN$8*$C130</f>
        <v>285.659449</v>
      </c>
      <c r="AP130" s="99">
        <f>Financials!AO$8*$C130</f>
        <v>288.5084562</v>
      </c>
      <c r="AQ130" s="99">
        <f>Financials!AP$8*$C130</f>
        <v>291.2150131</v>
      </c>
      <c r="AR130" s="99">
        <f>Financials!AQ$8*$C130</f>
        <v>293.7862421</v>
      </c>
      <c r="AS130" s="99">
        <f>Financials!AR$8*$C130</f>
        <v>296.2289097</v>
      </c>
      <c r="AT130" s="99">
        <f>Financials!AS$8*$C130</f>
        <v>298.5494439</v>
      </c>
      <c r="AU130" s="99">
        <f>Financials!AT$8*$C130</f>
        <v>300.7539514</v>
      </c>
      <c r="AV130" s="99">
        <f>Financials!AU$8*$C130</f>
        <v>302.8482336</v>
      </c>
      <c r="AW130" s="99">
        <f>Financials!AV$8*$C130</f>
        <v>304.8378016</v>
      </c>
      <c r="AX130" s="99">
        <f>Financials!AW$8*$C130</f>
        <v>306.7278912</v>
      </c>
      <c r="AY130" s="99">
        <f>Financials!AX$8*$C130</f>
        <v>308.5234763</v>
      </c>
      <c r="AZ130" s="99">
        <f>Financials!AY$8*$C130</f>
        <v>310.2292822</v>
      </c>
      <c r="BA130" s="99">
        <f>Financials!AZ$8*$C130</f>
        <v>311.8497978</v>
      </c>
      <c r="BB130" s="99">
        <f>Financials!BA$8*$C130</f>
        <v>313.3892876</v>
      </c>
      <c r="BC130" s="99">
        <f>Financials!BB$8*$C130</f>
        <v>314.8518029</v>
      </c>
      <c r="BD130" s="99">
        <f>Financials!BC$8*$C130</f>
        <v>316.2411925</v>
      </c>
      <c r="BE130" s="99">
        <f>Financials!BD$8*$C130</f>
        <v>317.5611125</v>
      </c>
      <c r="BF130" s="99">
        <f>Financials!BE$8*$C130</f>
        <v>318.8150366</v>
      </c>
      <c r="BG130" s="99">
        <f>Financials!BF$8*$C130</f>
        <v>320.0062645</v>
      </c>
      <c r="BH130" s="99">
        <f>Financials!BG$8*$C130</f>
        <v>321.1379309</v>
      </c>
      <c r="BI130" s="99">
        <f>Financials!BH$8*$C130</f>
        <v>322.2130141</v>
      </c>
      <c r="BJ130" s="99">
        <f>Financials!BI$8*$C130</f>
        <v>323.2343431</v>
      </c>
      <c r="BK130" s="99">
        <f>Financials!BJ$8*$C130</f>
        <v>324.2046056</v>
      </c>
      <c r="BL130" s="99">
        <f>Financials!BK$8*$C130</f>
        <v>325.126355</v>
      </c>
      <c r="BM130" s="99">
        <f>Financials!BL$8*$C130</f>
        <v>326.002017</v>
      </c>
      <c r="BN130" s="99">
        <f>Financials!BM$8*$C130</f>
        <v>326.8338958</v>
      </c>
    </row>
    <row r="131" outlineLevel="1">
      <c r="A131" s="47"/>
      <c r="B131" s="127" t="s">
        <v>103</v>
      </c>
      <c r="C131" s="126">
        <v>0.05</v>
      </c>
      <c r="D131" s="47"/>
      <c r="E131" s="47"/>
      <c r="F131" s="99"/>
      <c r="G131" s="99">
        <f>Financials!F$8*$C131</f>
        <v>20.0625</v>
      </c>
      <c r="H131" s="99">
        <f>Financials!G$8*$C131</f>
        <v>39.6103125</v>
      </c>
      <c r="I131" s="99">
        <f>Financials!H$8*$C131</f>
        <v>58.18806094</v>
      </c>
      <c r="J131" s="99">
        <f>Financials!I$8*$C131</f>
        <v>75.83703185</v>
      </c>
      <c r="K131" s="99">
        <f>Financials!J$8*$C131</f>
        <v>92.60355587</v>
      </c>
      <c r="L131" s="99">
        <f>Financials!K$8*$C131</f>
        <v>108.5317537</v>
      </c>
      <c r="M131" s="99">
        <f>Financials!L$8*$C131</f>
        <v>123.6635417</v>
      </c>
      <c r="N131" s="99">
        <f>Financials!M$8*$C131</f>
        <v>138.0387402</v>
      </c>
      <c r="O131" s="99">
        <f>Financials!N$8*$C131</f>
        <v>151.6951788</v>
      </c>
      <c r="P131" s="99">
        <f>Financials!O$8*$C131</f>
        <v>164.6687955</v>
      </c>
      <c r="Q131" s="99">
        <f>Financials!P$8*$C131</f>
        <v>147.4947762</v>
      </c>
      <c r="R131" s="99">
        <f>Financials!Q$8*$C131</f>
        <v>157.252017</v>
      </c>
      <c r="S131" s="99">
        <f>Financials!R$8*$C131</f>
        <v>166.5213959</v>
      </c>
      <c r="T131" s="99">
        <f>Financials!S$8*$C131</f>
        <v>175.3273058</v>
      </c>
      <c r="U131" s="99">
        <f>Financials!T$8*$C131</f>
        <v>183.6929202</v>
      </c>
      <c r="V131" s="99">
        <f>Financials!U$8*$C131</f>
        <v>191.6402539</v>
      </c>
      <c r="W131" s="99">
        <f>Financials!V$8*$C131</f>
        <v>199.1902209</v>
      </c>
      <c r="X131" s="99">
        <f>Financials!W$8*$C131</f>
        <v>206.3626895</v>
      </c>
      <c r="Y131" s="99">
        <f>Financials!X$8*$C131</f>
        <v>213.1765348</v>
      </c>
      <c r="Z131" s="99">
        <f>Financials!Y$8*$C131</f>
        <v>219.6496877</v>
      </c>
      <c r="AA131" s="99">
        <f>Financials!Z$8*$C131</f>
        <v>225.799183</v>
      </c>
      <c r="AB131" s="99">
        <f>Financials!AA$8*$C131</f>
        <v>231.6412036</v>
      </c>
      <c r="AC131" s="99">
        <f>Financials!AB$8*$C131</f>
        <v>237.1911231</v>
      </c>
      <c r="AD131" s="99">
        <f>Financials!AC$8*$C131</f>
        <v>242.4635466</v>
      </c>
      <c r="AE131" s="99">
        <f>Financials!AD$8*$C131</f>
        <v>247.472349</v>
      </c>
      <c r="AF131" s="99">
        <f>Financials!AE$8*$C131</f>
        <v>252.2307112</v>
      </c>
      <c r="AG131" s="99">
        <f>Financials!AF$8*$C131</f>
        <v>256.7511554</v>
      </c>
      <c r="AH131" s="99">
        <f>Financials!AG$8*$C131</f>
        <v>261.0455773</v>
      </c>
      <c r="AI131" s="99">
        <f>Financials!AH$8*$C131</f>
        <v>265.1252781</v>
      </c>
      <c r="AJ131" s="99">
        <f>Financials!AI$8*$C131</f>
        <v>269.0009939</v>
      </c>
      <c r="AK131" s="99">
        <f>Financials!AJ$8*$C131</f>
        <v>272.6829239</v>
      </c>
      <c r="AL131" s="99">
        <f>Financials!AK$8*$C131</f>
        <v>276.1807574</v>
      </c>
      <c r="AM131" s="99">
        <f>Financials!AL$8*$C131</f>
        <v>279.5036992</v>
      </c>
      <c r="AN131" s="99">
        <f>Financials!AM$8*$C131</f>
        <v>282.660494</v>
      </c>
      <c r="AO131" s="99">
        <f>Financials!AN$8*$C131</f>
        <v>285.659449</v>
      </c>
      <c r="AP131" s="99">
        <f>Financials!AO$8*$C131</f>
        <v>288.5084562</v>
      </c>
      <c r="AQ131" s="99">
        <f>Financials!AP$8*$C131</f>
        <v>291.2150131</v>
      </c>
      <c r="AR131" s="99">
        <f>Financials!AQ$8*$C131</f>
        <v>293.7862421</v>
      </c>
      <c r="AS131" s="99">
        <f>Financials!AR$8*$C131</f>
        <v>296.2289097</v>
      </c>
      <c r="AT131" s="99">
        <f>Financials!AS$8*$C131</f>
        <v>298.5494439</v>
      </c>
      <c r="AU131" s="99">
        <f>Financials!AT$8*$C131</f>
        <v>300.7539514</v>
      </c>
      <c r="AV131" s="99">
        <f>Financials!AU$8*$C131</f>
        <v>302.8482336</v>
      </c>
      <c r="AW131" s="99">
        <f>Financials!AV$8*$C131</f>
        <v>304.8378016</v>
      </c>
      <c r="AX131" s="99">
        <f>Financials!AW$8*$C131</f>
        <v>306.7278912</v>
      </c>
      <c r="AY131" s="99">
        <f>Financials!AX$8*$C131</f>
        <v>308.5234763</v>
      </c>
      <c r="AZ131" s="99">
        <f>Financials!AY$8*$C131</f>
        <v>310.2292822</v>
      </c>
      <c r="BA131" s="99">
        <f>Financials!AZ$8*$C131</f>
        <v>311.8497978</v>
      </c>
      <c r="BB131" s="99">
        <f>Financials!BA$8*$C131</f>
        <v>313.3892876</v>
      </c>
      <c r="BC131" s="99">
        <f>Financials!BB$8*$C131</f>
        <v>314.8518029</v>
      </c>
      <c r="BD131" s="99">
        <f>Financials!BC$8*$C131</f>
        <v>316.2411925</v>
      </c>
      <c r="BE131" s="99">
        <f>Financials!BD$8*$C131</f>
        <v>317.5611125</v>
      </c>
      <c r="BF131" s="99">
        <f>Financials!BE$8*$C131</f>
        <v>318.8150366</v>
      </c>
      <c r="BG131" s="99">
        <f>Financials!BF$8*$C131</f>
        <v>320.0062645</v>
      </c>
      <c r="BH131" s="99">
        <f>Financials!BG$8*$C131</f>
        <v>321.1379309</v>
      </c>
      <c r="BI131" s="99">
        <f>Financials!BH$8*$C131</f>
        <v>322.2130141</v>
      </c>
      <c r="BJ131" s="99">
        <f>Financials!BI$8*$C131</f>
        <v>323.2343431</v>
      </c>
      <c r="BK131" s="99">
        <f>Financials!BJ$8*$C131</f>
        <v>324.2046056</v>
      </c>
      <c r="BL131" s="99">
        <f>Financials!BK$8*$C131</f>
        <v>325.126355</v>
      </c>
      <c r="BM131" s="99">
        <f>Financials!BL$8*$C131</f>
        <v>326.002017</v>
      </c>
      <c r="BN131" s="99">
        <f>Financials!BM$8*$C131</f>
        <v>326.8338958</v>
      </c>
    </row>
    <row r="132" outlineLevel="1">
      <c r="A132" s="47"/>
      <c r="B132" s="127" t="s">
        <v>104</v>
      </c>
      <c r="C132" s="126">
        <v>0.05</v>
      </c>
      <c r="D132" s="47"/>
      <c r="E132" s="47"/>
      <c r="F132" s="99"/>
      <c r="G132" s="99">
        <f>Financials!F$8*$C132</f>
        <v>20.0625</v>
      </c>
      <c r="H132" s="99">
        <f>Financials!G$8*$C132</f>
        <v>39.6103125</v>
      </c>
      <c r="I132" s="99">
        <f>Financials!H$8*$C132</f>
        <v>58.18806094</v>
      </c>
      <c r="J132" s="99">
        <f>Financials!I$8*$C132</f>
        <v>75.83703185</v>
      </c>
      <c r="K132" s="99">
        <f>Financials!J$8*$C132</f>
        <v>92.60355587</v>
      </c>
      <c r="L132" s="99">
        <f>Financials!K$8*$C132</f>
        <v>108.5317537</v>
      </c>
      <c r="M132" s="99">
        <f>Financials!L$8*$C132</f>
        <v>123.6635417</v>
      </c>
      <c r="N132" s="99">
        <f>Financials!M$8*$C132</f>
        <v>138.0387402</v>
      </c>
      <c r="O132" s="99">
        <f>Financials!N$8*$C132</f>
        <v>151.6951788</v>
      </c>
      <c r="P132" s="99">
        <f>Financials!O$8*$C132</f>
        <v>164.6687955</v>
      </c>
      <c r="Q132" s="99">
        <f>Financials!P$8*$C132</f>
        <v>147.4947762</v>
      </c>
      <c r="R132" s="99">
        <f>Financials!Q$8*$C132</f>
        <v>157.252017</v>
      </c>
      <c r="S132" s="99">
        <f>Financials!R$8*$C132</f>
        <v>166.5213959</v>
      </c>
      <c r="T132" s="99">
        <f>Financials!S$8*$C132</f>
        <v>175.3273058</v>
      </c>
      <c r="U132" s="99">
        <f>Financials!T$8*$C132</f>
        <v>183.6929202</v>
      </c>
      <c r="V132" s="99">
        <f>Financials!U$8*$C132</f>
        <v>191.6402539</v>
      </c>
      <c r="W132" s="99">
        <f>Financials!V$8*$C132</f>
        <v>199.1902209</v>
      </c>
      <c r="X132" s="99">
        <f>Financials!W$8*$C132</f>
        <v>206.3626895</v>
      </c>
      <c r="Y132" s="99">
        <f>Financials!X$8*$C132</f>
        <v>213.1765348</v>
      </c>
      <c r="Z132" s="99">
        <f>Financials!Y$8*$C132</f>
        <v>219.6496877</v>
      </c>
      <c r="AA132" s="99">
        <f>Financials!Z$8*$C132</f>
        <v>225.799183</v>
      </c>
      <c r="AB132" s="99">
        <f>Financials!AA$8*$C132</f>
        <v>231.6412036</v>
      </c>
      <c r="AC132" s="99">
        <f>Financials!AB$8*$C132</f>
        <v>237.1911231</v>
      </c>
      <c r="AD132" s="99">
        <f>Financials!AC$8*$C132</f>
        <v>242.4635466</v>
      </c>
      <c r="AE132" s="99">
        <f>Financials!AD$8*$C132</f>
        <v>247.472349</v>
      </c>
      <c r="AF132" s="99">
        <f>Financials!AE$8*$C132</f>
        <v>252.2307112</v>
      </c>
      <c r="AG132" s="99">
        <f>Financials!AF$8*$C132</f>
        <v>256.7511554</v>
      </c>
      <c r="AH132" s="99">
        <f>Financials!AG$8*$C132</f>
        <v>261.0455773</v>
      </c>
      <c r="AI132" s="99">
        <f>Financials!AH$8*$C132</f>
        <v>265.1252781</v>
      </c>
      <c r="AJ132" s="99">
        <f>Financials!AI$8*$C132</f>
        <v>269.0009939</v>
      </c>
      <c r="AK132" s="99">
        <f>Financials!AJ$8*$C132</f>
        <v>272.6829239</v>
      </c>
      <c r="AL132" s="99">
        <f>Financials!AK$8*$C132</f>
        <v>276.1807574</v>
      </c>
      <c r="AM132" s="99">
        <f>Financials!AL$8*$C132</f>
        <v>279.5036992</v>
      </c>
      <c r="AN132" s="99">
        <f>Financials!AM$8*$C132</f>
        <v>282.660494</v>
      </c>
      <c r="AO132" s="99">
        <f>Financials!AN$8*$C132</f>
        <v>285.659449</v>
      </c>
      <c r="AP132" s="99">
        <f>Financials!AO$8*$C132</f>
        <v>288.5084562</v>
      </c>
      <c r="AQ132" s="99">
        <f>Financials!AP$8*$C132</f>
        <v>291.2150131</v>
      </c>
      <c r="AR132" s="99">
        <f>Financials!AQ$8*$C132</f>
        <v>293.7862421</v>
      </c>
      <c r="AS132" s="99">
        <f>Financials!AR$8*$C132</f>
        <v>296.2289097</v>
      </c>
      <c r="AT132" s="99">
        <f>Financials!AS$8*$C132</f>
        <v>298.5494439</v>
      </c>
      <c r="AU132" s="99">
        <f>Financials!AT$8*$C132</f>
        <v>300.7539514</v>
      </c>
      <c r="AV132" s="99">
        <f>Financials!AU$8*$C132</f>
        <v>302.8482336</v>
      </c>
      <c r="AW132" s="99">
        <f>Financials!AV$8*$C132</f>
        <v>304.8378016</v>
      </c>
      <c r="AX132" s="99">
        <f>Financials!AW$8*$C132</f>
        <v>306.7278912</v>
      </c>
      <c r="AY132" s="99">
        <f>Financials!AX$8*$C132</f>
        <v>308.5234763</v>
      </c>
      <c r="AZ132" s="99">
        <f>Financials!AY$8*$C132</f>
        <v>310.2292822</v>
      </c>
      <c r="BA132" s="99">
        <f>Financials!AZ$8*$C132</f>
        <v>311.8497978</v>
      </c>
      <c r="BB132" s="99">
        <f>Financials!BA$8*$C132</f>
        <v>313.3892876</v>
      </c>
      <c r="BC132" s="99">
        <f>Financials!BB$8*$C132</f>
        <v>314.8518029</v>
      </c>
      <c r="BD132" s="99">
        <f>Financials!BC$8*$C132</f>
        <v>316.2411925</v>
      </c>
      <c r="BE132" s="99">
        <f>Financials!BD$8*$C132</f>
        <v>317.5611125</v>
      </c>
      <c r="BF132" s="99">
        <f>Financials!BE$8*$C132</f>
        <v>318.8150366</v>
      </c>
      <c r="BG132" s="99">
        <f>Financials!BF$8*$C132</f>
        <v>320.0062645</v>
      </c>
      <c r="BH132" s="99">
        <f>Financials!BG$8*$C132</f>
        <v>321.1379309</v>
      </c>
      <c r="BI132" s="99">
        <f>Financials!BH$8*$C132</f>
        <v>322.2130141</v>
      </c>
      <c r="BJ132" s="99">
        <f>Financials!BI$8*$C132</f>
        <v>323.2343431</v>
      </c>
      <c r="BK132" s="99">
        <f>Financials!BJ$8*$C132</f>
        <v>324.2046056</v>
      </c>
      <c r="BL132" s="99">
        <f>Financials!BK$8*$C132</f>
        <v>325.126355</v>
      </c>
      <c r="BM132" s="99">
        <f>Financials!BL$8*$C132</f>
        <v>326.002017</v>
      </c>
      <c r="BN132" s="99">
        <f>Financials!BM$8*$C132</f>
        <v>326.8338958</v>
      </c>
    </row>
    <row r="133" outlineLevel="1">
      <c r="A133" s="47"/>
      <c r="B133" s="128" t="s">
        <v>105</v>
      </c>
      <c r="C133" s="129">
        <v>0.05</v>
      </c>
      <c r="D133" s="61"/>
      <c r="E133" s="61"/>
      <c r="F133" s="130"/>
      <c r="G133" s="130">
        <f>Financials!F$8*$C133</f>
        <v>20.0625</v>
      </c>
      <c r="H133" s="130">
        <f>Financials!G$8*$C133</f>
        <v>39.6103125</v>
      </c>
      <c r="I133" s="130">
        <f>Financials!H$8*$C133</f>
        <v>58.18806094</v>
      </c>
      <c r="J133" s="130">
        <f>Financials!I$8*$C133</f>
        <v>75.83703185</v>
      </c>
      <c r="K133" s="130">
        <f>Financials!J$8*$C133</f>
        <v>92.60355587</v>
      </c>
      <c r="L133" s="130">
        <f>Financials!K$8*$C133</f>
        <v>108.5317537</v>
      </c>
      <c r="M133" s="130">
        <f>Financials!L$8*$C133</f>
        <v>123.6635417</v>
      </c>
      <c r="N133" s="130">
        <f>Financials!M$8*$C133</f>
        <v>138.0387402</v>
      </c>
      <c r="O133" s="130">
        <f>Financials!N$8*$C133</f>
        <v>151.6951788</v>
      </c>
      <c r="P133" s="130">
        <f>Financials!O$8*$C133</f>
        <v>164.6687955</v>
      </c>
      <c r="Q133" s="130">
        <f>Financials!P$8*$C133</f>
        <v>147.4947762</v>
      </c>
      <c r="R133" s="130">
        <f>Financials!Q$8*$C133</f>
        <v>157.252017</v>
      </c>
      <c r="S133" s="130">
        <f>Financials!R$8*$C133</f>
        <v>166.5213959</v>
      </c>
      <c r="T133" s="130">
        <f>Financials!S$8*$C133</f>
        <v>175.3273058</v>
      </c>
      <c r="U133" s="130">
        <f>Financials!T$8*$C133</f>
        <v>183.6929202</v>
      </c>
      <c r="V133" s="130">
        <f>Financials!U$8*$C133</f>
        <v>191.6402539</v>
      </c>
      <c r="W133" s="130">
        <f>Financials!V$8*$C133</f>
        <v>199.1902209</v>
      </c>
      <c r="X133" s="130">
        <f>Financials!W$8*$C133</f>
        <v>206.3626895</v>
      </c>
      <c r="Y133" s="130">
        <f>Financials!X$8*$C133</f>
        <v>213.1765348</v>
      </c>
      <c r="Z133" s="130">
        <f>Financials!Y$8*$C133</f>
        <v>219.6496877</v>
      </c>
      <c r="AA133" s="130">
        <f>Financials!Z$8*$C133</f>
        <v>225.799183</v>
      </c>
      <c r="AB133" s="130">
        <f>Financials!AA$8*$C133</f>
        <v>231.6412036</v>
      </c>
      <c r="AC133" s="130">
        <f>Financials!AB$8*$C133</f>
        <v>237.1911231</v>
      </c>
      <c r="AD133" s="130">
        <f>Financials!AC$8*$C133</f>
        <v>242.4635466</v>
      </c>
      <c r="AE133" s="130">
        <f>Financials!AD$8*$C133</f>
        <v>247.472349</v>
      </c>
      <c r="AF133" s="130">
        <f>Financials!AE$8*$C133</f>
        <v>252.2307112</v>
      </c>
      <c r="AG133" s="130">
        <f>Financials!AF$8*$C133</f>
        <v>256.7511554</v>
      </c>
      <c r="AH133" s="130">
        <f>Financials!AG$8*$C133</f>
        <v>261.0455773</v>
      </c>
      <c r="AI133" s="130">
        <f>Financials!AH$8*$C133</f>
        <v>265.1252781</v>
      </c>
      <c r="AJ133" s="130">
        <f>Financials!AI$8*$C133</f>
        <v>269.0009939</v>
      </c>
      <c r="AK133" s="130">
        <f>Financials!AJ$8*$C133</f>
        <v>272.6829239</v>
      </c>
      <c r="AL133" s="130">
        <f>Financials!AK$8*$C133</f>
        <v>276.1807574</v>
      </c>
      <c r="AM133" s="130">
        <f>Financials!AL$8*$C133</f>
        <v>279.5036992</v>
      </c>
      <c r="AN133" s="130">
        <f>Financials!AM$8*$C133</f>
        <v>282.660494</v>
      </c>
      <c r="AO133" s="130">
        <f>Financials!AN$8*$C133</f>
        <v>285.659449</v>
      </c>
      <c r="AP133" s="130">
        <f>Financials!AO$8*$C133</f>
        <v>288.5084562</v>
      </c>
      <c r="AQ133" s="130">
        <f>Financials!AP$8*$C133</f>
        <v>291.2150131</v>
      </c>
      <c r="AR133" s="130">
        <f>Financials!AQ$8*$C133</f>
        <v>293.7862421</v>
      </c>
      <c r="AS133" s="130">
        <f>Financials!AR$8*$C133</f>
        <v>296.2289097</v>
      </c>
      <c r="AT133" s="130">
        <f>Financials!AS$8*$C133</f>
        <v>298.5494439</v>
      </c>
      <c r="AU133" s="130">
        <f>Financials!AT$8*$C133</f>
        <v>300.7539514</v>
      </c>
      <c r="AV133" s="130">
        <f>Financials!AU$8*$C133</f>
        <v>302.8482336</v>
      </c>
      <c r="AW133" s="130">
        <f>Financials!AV$8*$C133</f>
        <v>304.8378016</v>
      </c>
      <c r="AX133" s="130">
        <f>Financials!AW$8*$C133</f>
        <v>306.7278912</v>
      </c>
      <c r="AY133" s="130">
        <f>Financials!AX$8*$C133</f>
        <v>308.5234763</v>
      </c>
      <c r="AZ133" s="130">
        <f>Financials!AY$8*$C133</f>
        <v>310.2292822</v>
      </c>
      <c r="BA133" s="130">
        <f>Financials!AZ$8*$C133</f>
        <v>311.8497978</v>
      </c>
      <c r="BB133" s="130">
        <f>Financials!BA$8*$C133</f>
        <v>313.3892876</v>
      </c>
      <c r="BC133" s="130">
        <f>Financials!BB$8*$C133</f>
        <v>314.8518029</v>
      </c>
      <c r="BD133" s="130">
        <f>Financials!BC$8*$C133</f>
        <v>316.2411925</v>
      </c>
      <c r="BE133" s="130">
        <f>Financials!BD$8*$C133</f>
        <v>317.5611125</v>
      </c>
      <c r="BF133" s="130">
        <f>Financials!BE$8*$C133</f>
        <v>318.8150366</v>
      </c>
      <c r="BG133" s="130">
        <f>Financials!BF$8*$C133</f>
        <v>320.0062645</v>
      </c>
      <c r="BH133" s="130">
        <f>Financials!BG$8*$C133</f>
        <v>321.1379309</v>
      </c>
      <c r="BI133" s="130">
        <f>Financials!BH$8*$C133</f>
        <v>322.2130141</v>
      </c>
      <c r="BJ133" s="130">
        <f>Financials!BI$8*$C133</f>
        <v>323.2343431</v>
      </c>
      <c r="BK133" s="130">
        <f>Financials!BJ$8*$C133</f>
        <v>324.2046056</v>
      </c>
      <c r="BL133" s="130">
        <f>Financials!BK$8*$C133</f>
        <v>325.126355</v>
      </c>
      <c r="BM133" s="130">
        <f>Financials!BL$8*$C133</f>
        <v>326.002017</v>
      </c>
      <c r="BN133" s="130">
        <f>Financials!BM$8*$C133</f>
        <v>326.8338958</v>
      </c>
    </row>
    <row r="134" outlineLevel="1">
      <c r="A134" s="131"/>
      <c r="B134" s="132" t="s">
        <v>106</v>
      </c>
      <c r="C134" s="131"/>
      <c r="D134" s="131"/>
      <c r="E134" s="131"/>
      <c r="F134" s="131"/>
      <c r="G134" s="133">
        <f t="shared" ref="G134:BN134" si="96">sum(G126:G133)</f>
        <v>140.4375</v>
      </c>
      <c r="H134" s="133">
        <f t="shared" si="96"/>
        <v>277.2721875</v>
      </c>
      <c r="I134" s="133">
        <f t="shared" si="96"/>
        <v>407.3164266</v>
      </c>
      <c r="J134" s="133">
        <f t="shared" si="96"/>
        <v>530.859223</v>
      </c>
      <c r="K134" s="133">
        <f t="shared" si="96"/>
        <v>648.2248911</v>
      </c>
      <c r="L134" s="133">
        <f t="shared" si="96"/>
        <v>759.722276</v>
      </c>
      <c r="M134" s="133">
        <f t="shared" si="96"/>
        <v>865.6447916</v>
      </c>
      <c r="N134" s="133">
        <f t="shared" si="96"/>
        <v>966.2711815</v>
      </c>
      <c r="O134" s="133">
        <f t="shared" si="96"/>
        <v>1061.866252</v>
      </c>
      <c r="P134" s="133">
        <f t="shared" si="96"/>
        <v>1152.681569</v>
      </c>
      <c r="Q134" s="133">
        <f t="shared" si="96"/>
        <v>1032.463433</v>
      </c>
      <c r="R134" s="133">
        <f t="shared" si="96"/>
        <v>1100.764119</v>
      </c>
      <c r="S134" s="133">
        <f t="shared" si="96"/>
        <v>1165.649771</v>
      </c>
      <c r="T134" s="133">
        <f t="shared" si="96"/>
        <v>1227.291141</v>
      </c>
      <c r="U134" s="133">
        <f t="shared" si="96"/>
        <v>1285.850441</v>
      </c>
      <c r="V134" s="133">
        <f t="shared" si="96"/>
        <v>1341.481777</v>
      </c>
      <c r="W134" s="133">
        <f t="shared" si="96"/>
        <v>1394.331546</v>
      </c>
      <c r="X134" s="133">
        <f t="shared" si="96"/>
        <v>1444.538827</v>
      </c>
      <c r="Y134" s="133">
        <f t="shared" si="96"/>
        <v>1492.235743</v>
      </c>
      <c r="Z134" s="133">
        <f t="shared" si="96"/>
        <v>1537.547814</v>
      </c>
      <c r="AA134" s="133">
        <f t="shared" si="96"/>
        <v>1580.594281</v>
      </c>
      <c r="AB134" s="133">
        <f t="shared" si="96"/>
        <v>1621.488425</v>
      </c>
      <c r="AC134" s="133">
        <f t="shared" si="96"/>
        <v>1660.337862</v>
      </c>
      <c r="AD134" s="133">
        <f t="shared" si="96"/>
        <v>1697.244826</v>
      </c>
      <c r="AE134" s="133">
        <f t="shared" si="96"/>
        <v>1732.306443</v>
      </c>
      <c r="AF134" s="133">
        <f t="shared" si="96"/>
        <v>1765.614979</v>
      </c>
      <c r="AG134" s="133">
        <f t="shared" si="96"/>
        <v>1797.258088</v>
      </c>
      <c r="AH134" s="133">
        <f t="shared" si="96"/>
        <v>1827.319041</v>
      </c>
      <c r="AI134" s="133">
        <f t="shared" si="96"/>
        <v>1855.876947</v>
      </c>
      <c r="AJ134" s="133">
        <f t="shared" si="96"/>
        <v>1883.006957</v>
      </c>
      <c r="AK134" s="133">
        <f t="shared" si="96"/>
        <v>1908.780467</v>
      </c>
      <c r="AL134" s="133">
        <f t="shared" si="96"/>
        <v>1933.265302</v>
      </c>
      <c r="AM134" s="133">
        <f t="shared" si="96"/>
        <v>1956.525895</v>
      </c>
      <c r="AN134" s="133">
        <f t="shared" si="96"/>
        <v>1978.623458</v>
      </c>
      <c r="AO134" s="133">
        <f t="shared" si="96"/>
        <v>1999.616143</v>
      </c>
      <c r="AP134" s="133">
        <f t="shared" si="96"/>
        <v>2019.559194</v>
      </c>
      <c r="AQ134" s="133">
        <f t="shared" si="96"/>
        <v>2038.505092</v>
      </c>
      <c r="AR134" s="133">
        <f t="shared" si="96"/>
        <v>2056.503695</v>
      </c>
      <c r="AS134" s="133">
        <f t="shared" si="96"/>
        <v>2073.602368</v>
      </c>
      <c r="AT134" s="133">
        <f t="shared" si="96"/>
        <v>2089.846108</v>
      </c>
      <c r="AU134" s="133">
        <f t="shared" si="96"/>
        <v>2105.27766</v>
      </c>
      <c r="AV134" s="133">
        <f t="shared" si="96"/>
        <v>2119.937635</v>
      </c>
      <c r="AW134" s="133">
        <f t="shared" si="96"/>
        <v>2133.864611</v>
      </c>
      <c r="AX134" s="133">
        <f t="shared" si="96"/>
        <v>2147.095238</v>
      </c>
      <c r="AY134" s="133">
        <f t="shared" si="96"/>
        <v>2159.664334</v>
      </c>
      <c r="AZ134" s="133">
        <f t="shared" si="96"/>
        <v>2171.604975</v>
      </c>
      <c r="BA134" s="133">
        <f t="shared" si="96"/>
        <v>2182.948585</v>
      </c>
      <c r="BB134" s="133">
        <f t="shared" si="96"/>
        <v>2193.725013</v>
      </c>
      <c r="BC134" s="133">
        <f t="shared" si="96"/>
        <v>2203.96262</v>
      </c>
      <c r="BD134" s="133">
        <f t="shared" si="96"/>
        <v>2213.688347</v>
      </c>
      <c r="BE134" s="133">
        <f t="shared" si="96"/>
        <v>2222.927788</v>
      </c>
      <c r="BF134" s="133">
        <f t="shared" si="96"/>
        <v>2231.705256</v>
      </c>
      <c r="BG134" s="133">
        <f t="shared" si="96"/>
        <v>2240.043851</v>
      </c>
      <c r="BH134" s="133">
        <f t="shared" si="96"/>
        <v>2247.965517</v>
      </c>
      <c r="BI134" s="133">
        <f t="shared" si="96"/>
        <v>2255.491099</v>
      </c>
      <c r="BJ134" s="133">
        <f t="shared" si="96"/>
        <v>2262.640402</v>
      </c>
      <c r="BK134" s="133">
        <f t="shared" si="96"/>
        <v>2269.432239</v>
      </c>
      <c r="BL134" s="133">
        <f t="shared" si="96"/>
        <v>2275.884485</v>
      </c>
      <c r="BM134" s="133">
        <f t="shared" si="96"/>
        <v>2282.014119</v>
      </c>
      <c r="BN134" s="133">
        <f t="shared" si="96"/>
        <v>2287.837271</v>
      </c>
    </row>
    <row r="135" outlineLevel="1">
      <c r="A135" s="47"/>
      <c r="B135" s="65"/>
      <c r="C135" s="47"/>
      <c r="D135" s="47"/>
      <c r="E135" s="47"/>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99"/>
      <c r="BG135" s="99"/>
      <c r="BH135" s="99"/>
      <c r="BI135" s="99"/>
      <c r="BJ135" s="99"/>
      <c r="BK135" s="99"/>
      <c r="BL135" s="99"/>
      <c r="BM135" s="99"/>
      <c r="BN135" s="99"/>
    </row>
    <row r="136" outlineLevel="1">
      <c r="A136" s="47"/>
      <c r="B136" s="65" t="s">
        <v>107</v>
      </c>
      <c r="C136" s="65"/>
      <c r="D136" s="120"/>
      <c r="E136" s="47"/>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c r="AZ136" s="99"/>
      <c r="BA136" s="99"/>
      <c r="BB136" s="99"/>
      <c r="BC136" s="99"/>
      <c r="BD136" s="99"/>
      <c r="BE136" s="99"/>
      <c r="BF136" s="99"/>
      <c r="BG136" s="99"/>
      <c r="BH136" s="99"/>
      <c r="BI136" s="99"/>
      <c r="BJ136" s="99"/>
      <c r="BK136" s="99"/>
      <c r="BL136" s="99"/>
      <c r="BM136" s="99"/>
      <c r="BN136" s="99"/>
    </row>
    <row r="137" outlineLevel="1">
      <c r="A137" s="66"/>
      <c r="B137" s="121" t="s">
        <v>108</v>
      </c>
      <c r="C137" s="134">
        <v>2500.0</v>
      </c>
      <c r="D137" s="135"/>
      <c r="E137" s="66"/>
      <c r="F137" s="99"/>
      <c r="G137" s="99">
        <f t="shared" ref="G137:G144" si="98">C137</f>
        <v>2500</v>
      </c>
      <c r="H137" s="99">
        <f t="shared" ref="H137:BN137" si="97">G137</f>
        <v>2500</v>
      </c>
      <c r="I137" s="99">
        <f t="shared" si="97"/>
        <v>2500</v>
      </c>
      <c r="J137" s="99">
        <f t="shared" si="97"/>
        <v>2500</v>
      </c>
      <c r="K137" s="99">
        <f t="shared" si="97"/>
        <v>2500</v>
      </c>
      <c r="L137" s="99">
        <f t="shared" si="97"/>
        <v>2500</v>
      </c>
      <c r="M137" s="99">
        <f t="shared" si="97"/>
        <v>2500</v>
      </c>
      <c r="N137" s="99">
        <f t="shared" si="97"/>
        <v>2500</v>
      </c>
      <c r="O137" s="99">
        <f t="shared" si="97"/>
        <v>2500</v>
      </c>
      <c r="P137" s="99">
        <f t="shared" si="97"/>
        <v>2500</v>
      </c>
      <c r="Q137" s="99">
        <f t="shared" si="97"/>
        <v>2500</v>
      </c>
      <c r="R137" s="99">
        <f t="shared" si="97"/>
        <v>2500</v>
      </c>
      <c r="S137" s="99">
        <f t="shared" si="97"/>
        <v>2500</v>
      </c>
      <c r="T137" s="99">
        <f t="shared" si="97"/>
        <v>2500</v>
      </c>
      <c r="U137" s="99">
        <f t="shared" si="97"/>
        <v>2500</v>
      </c>
      <c r="V137" s="99">
        <f t="shared" si="97"/>
        <v>2500</v>
      </c>
      <c r="W137" s="99">
        <f t="shared" si="97"/>
        <v>2500</v>
      </c>
      <c r="X137" s="99">
        <f t="shared" si="97"/>
        <v>2500</v>
      </c>
      <c r="Y137" s="99">
        <f t="shared" si="97"/>
        <v>2500</v>
      </c>
      <c r="Z137" s="99">
        <f t="shared" si="97"/>
        <v>2500</v>
      </c>
      <c r="AA137" s="99">
        <f t="shared" si="97"/>
        <v>2500</v>
      </c>
      <c r="AB137" s="99">
        <f t="shared" si="97"/>
        <v>2500</v>
      </c>
      <c r="AC137" s="99">
        <f t="shared" si="97"/>
        <v>2500</v>
      </c>
      <c r="AD137" s="99">
        <f t="shared" si="97"/>
        <v>2500</v>
      </c>
      <c r="AE137" s="99">
        <f t="shared" si="97"/>
        <v>2500</v>
      </c>
      <c r="AF137" s="99">
        <f t="shared" si="97"/>
        <v>2500</v>
      </c>
      <c r="AG137" s="99">
        <f t="shared" si="97"/>
        <v>2500</v>
      </c>
      <c r="AH137" s="99">
        <f t="shared" si="97"/>
        <v>2500</v>
      </c>
      <c r="AI137" s="99">
        <f t="shared" si="97"/>
        <v>2500</v>
      </c>
      <c r="AJ137" s="99">
        <f t="shared" si="97"/>
        <v>2500</v>
      </c>
      <c r="AK137" s="99">
        <f t="shared" si="97"/>
        <v>2500</v>
      </c>
      <c r="AL137" s="99">
        <f t="shared" si="97"/>
        <v>2500</v>
      </c>
      <c r="AM137" s="99">
        <f t="shared" si="97"/>
        <v>2500</v>
      </c>
      <c r="AN137" s="99">
        <f t="shared" si="97"/>
        <v>2500</v>
      </c>
      <c r="AO137" s="99">
        <f t="shared" si="97"/>
        <v>2500</v>
      </c>
      <c r="AP137" s="99">
        <f t="shared" si="97"/>
        <v>2500</v>
      </c>
      <c r="AQ137" s="99">
        <f t="shared" si="97"/>
        <v>2500</v>
      </c>
      <c r="AR137" s="99">
        <f t="shared" si="97"/>
        <v>2500</v>
      </c>
      <c r="AS137" s="99">
        <f t="shared" si="97"/>
        <v>2500</v>
      </c>
      <c r="AT137" s="99">
        <f t="shared" si="97"/>
        <v>2500</v>
      </c>
      <c r="AU137" s="99">
        <f t="shared" si="97"/>
        <v>2500</v>
      </c>
      <c r="AV137" s="99">
        <f t="shared" si="97"/>
        <v>2500</v>
      </c>
      <c r="AW137" s="99">
        <f t="shared" si="97"/>
        <v>2500</v>
      </c>
      <c r="AX137" s="99">
        <f t="shared" si="97"/>
        <v>2500</v>
      </c>
      <c r="AY137" s="99">
        <f t="shared" si="97"/>
        <v>2500</v>
      </c>
      <c r="AZ137" s="99">
        <f t="shared" si="97"/>
        <v>2500</v>
      </c>
      <c r="BA137" s="99">
        <f t="shared" si="97"/>
        <v>2500</v>
      </c>
      <c r="BB137" s="99">
        <f t="shared" si="97"/>
        <v>2500</v>
      </c>
      <c r="BC137" s="99">
        <f t="shared" si="97"/>
        <v>2500</v>
      </c>
      <c r="BD137" s="99">
        <f t="shared" si="97"/>
        <v>2500</v>
      </c>
      <c r="BE137" s="99">
        <f t="shared" si="97"/>
        <v>2500</v>
      </c>
      <c r="BF137" s="99">
        <f t="shared" si="97"/>
        <v>2500</v>
      </c>
      <c r="BG137" s="99">
        <f t="shared" si="97"/>
        <v>2500</v>
      </c>
      <c r="BH137" s="99">
        <f t="shared" si="97"/>
        <v>2500</v>
      </c>
      <c r="BI137" s="99">
        <f t="shared" si="97"/>
        <v>2500</v>
      </c>
      <c r="BJ137" s="99">
        <f t="shared" si="97"/>
        <v>2500</v>
      </c>
      <c r="BK137" s="99">
        <f t="shared" si="97"/>
        <v>2500</v>
      </c>
      <c r="BL137" s="99">
        <f t="shared" si="97"/>
        <v>2500</v>
      </c>
      <c r="BM137" s="99">
        <f t="shared" si="97"/>
        <v>2500</v>
      </c>
      <c r="BN137" s="99">
        <f t="shared" si="97"/>
        <v>2500</v>
      </c>
    </row>
    <row r="138" outlineLevel="1">
      <c r="A138" s="66"/>
      <c r="B138" s="121" t="s">
        <v>109</v>
      </c>
      <c r="C138" s="134">
        <v>2500.0</v>
      </c>
      <c r="D138" s="135"/>
      <c r="E138" s="66"/>
      <c r="F138" s="99"/>
      <c r="G138" s="99">
        <f t="shared" si="98"/>
        <v>2500</v>
      </c>
      <c r="H138" s="99">
        <f t="shared" ref="H138:BN138" si="99">G138</f>
        <v>2500</v>
      </c>
      <c r="I138" s="99">
        <f t="shared" si="99"/>
        <v>2500</v>
      </c>
      <c r="J138" s="99">
        <f t="shared" si="99"/>
        <v>2500</v>
      </c>
      <c r="K138" s="99">
        <f t="shared" si="99"/>
        <v>2500</v>
      </c>
      <c r="L138" s="99">
        <f t="shared" si="99"/>
        <v>2500</v>
      </c>
      <c r="M138" s="99">
        <f t="shared" si="99"/>
        <v>2500</v>
      </c>
      <c r="N138" s="99">
        <f t="shared" si="99"/>
        <v>2500</v>
      </c>
      <c r="O138" s="99">
        <f t="shared" si="99"/>
        <v>2500</v>
      </c>
      <c r="P138" s="99">
        <f t="shared" si="99"/>
        <v>2500</v>
      </c>
      <c r="Q138" s="99">
        <f t="shared" si="99"/>
        <v>2500</v>
      </c>
      <c r="R138" s="99">
        <f t="shared" si="99"/>
        <v>2500</v>
      </c>
      <c r="S138" s="99">
        <f t="shared" si="99"/>
        <v>2500</v>
      </c>
      <c r="T138" s="99">
        <f t="shared" si="99"/>
        <v>2500</v>
      </c>
      <c r="U138" s="99">
        <f t="shared" si="99"/>
        <v>2500</v>
      </c>
      <c r="V138" s="99">
        <f t="shared" si="99"/>
        <v>2500</v>
      </c>
      <c r="W138" s="99">
        <f t="shared" si="99"/>
        <v>2500</v>
      </c>
      <c r="X138" s="99">
        <f t="shared" si="99"/>
        <v>2500</v>
      </c>
      <c r="Y138" s="99">
        <f t="shared" si="99"/>
        <v>2500</v>
      </c>
      <c r="Z138" s="99">
        <f t="shared" si="99"/>
        <v>2500</v>
      </c>
      <c r="AA138" s="99">
        <f t="shared" si="99"/>
        <v>2500</v>
      </c>
      <c r="AB138" s="99">
        <f t="shared" si="99"/>
        <v>2500</v>
      </c>
      <c r="AC138" s="99">
        <f t="shared" si="99"/>
        <v>2500</v>
      </c>
      <c r="AD138" s="99">
        <f t="shared" si="99"/>
        <v>2500</v>
      </c>
      <c r="AE138" s="99">
        <f t="shared" si="99"/>
        <v>2500</v>
      </c>
      <c r="AF138" s="99">
        <f t="shared" si="99"/>
        <v>2500</v>
      </c>
      <c r="AG138" s="99">
        <f t="shared" si="99"/>
        <v>2500</v>
      </c>
      <c r="AH138" s="99">
        <f t="shared" si="99"/>
        <v>2500</v>
      </c>
      <c r="AI138" s="99">
        <f t="shared" si="99"/>
        <v>2500</v>
      </c>
      <c r="AJ138" s="99">
        <f t="shared" si="99"/>
        <v>2500</v>
      </c>
      <c r="AK138" s="99">
        <f t="shared" si="99"/>
        <v>2500</v>
      </c>
      <c r="AL138" s="99">
        <f t="shared" si="99"/>
        <v>2500</v>
      </c>
      <c r="AM138" s="99">
        <f t="shared" si="99"/>
        <v>2500</v>
      </c>
      <c r="AN138" s="99">
        <f t="shared" si="99"/>
        <v>2500</v>
      </c>
      <c r="AO138" s="99">
        <f t="shared" si="99"/>
        <v>2500</v>
      </c>
      <c r="AP138" s="99">
        <f t="shared" si="99"/>
        <v>2500</v>
      </c>
      <c r="AQ138" s="99">
        <f t="shared" si="99"/>
        <v>2500</v>
      </c>
      <c r="AR138" s="99">
        <f t="shared" si="99"/>
        <v>2500</v>
      </c>
      <c r="AS138" s="99">
        <f t="shared" si="99"/>
        <v>2500</v>
      </c>
      <c r="AT138" s="99">
        <f t="shared" si="99"/>
        <v>2500</v>
      </c>
      <c r="AU138" s="99">
        <f t="shared" si="99"/>
        <v>2500</v>
      </c>
      <c r="AV138" s="99">
        <f t="shared" si="99"/>
        <v>2500</v>
      </c>
      <c r="AW138" s="99">
        <f t="shared" si="99"/>
        <v>2500</v>
      </c>
      <c r="AX138" s="99">
        <f t="shared" si="99"/>
        <v>2500</v>
      </c>
      <c r="AY138" s="99">
        <f t="shared" si="99"/>
        <v>2500</v>
      </c>
      <c r="AZ138" s="99">
        <f t="shared" si="99"/>
        <v>2500</v>
      </c>
      <c r="BA138" s="99">
        <f t="shared" si="99"/>
        <v>2500</v>
      </c>
      <c r="BB138" s="99">
        <f t="shared" si="99"/>
        <v>2500</v>
      </c>
      <c r="BC138" s="99">
        <f t="shared" si="99"/>
        <v>2500</v>
      </c>
      <c r="BD138" s="99">
        <f t="shared" si="99"/>
        <v>2500</v>
      </c>
      <c r="BE138" s="99">
        <f t="shared" si="99"/>
        <v>2500</v>
      </c>
      <c r="BF138" s="99">
        <f t="shared" si="99"/>
        <v>2500</v>
      </c>
      <c r="BG138" s="99">
        <f t="shared" si="99"/>
        <v>2500</v>
      </c>
      <c r="BH138" s="99">
        <f t="shared" si="99"/>
        <v>2500</v>
      </c>
      <c r="BI138" s="99">
        <f t="shared" si="99"/>
        <v>2500</v>
      </c>
      <c r="BJ138" s="99">
        <f t="shared" si="99"/>
        <v>2500</v>
      </c>
      <c r="BK138" s="99">
        <f t="shared" si="99"/>
        <v>2500</v>
      </c>
      <c r="BL138" s="99">
        <f t="shared" si="99"/>
        <v>2500</v>
      </c>
      <c r="BM138" s="99">
        <f t="shared" si="99"/>
        <v>2500</v>
      </c>
      <c r="BN138" s="99">
        <f t="shared" si="99"/>
        <v>2500</v>
      </c>
    </row>
    <row r="139" outlineLevel="1">
      <c r="A139" s="66"/>
      <c r="B139" s="121" t="s">
        <v>110</v>
      </c>
      <c r="C139" s="134">
        <v>2500.0</v>
      </c>
      <c r="D139" s="66"/>
      <c r="E139" s="66"/>
      <c r="F139" s="99"/>
      <c r="G139" s="99">
        <f t="shared" si="98"/>
        <v>2500</v>
      </c>
      <c r="H139" s="99">
        <f t="shared" ref="H139:BN139" si="100">G139</f>
        <v>2500</v>
      </c>
      <c r="I139" s="99">
        <f t="shared" si="100"/>
        <v>2500</v>
      </c>
      <c r="J139" s="99">
        <f t="shared" si="100"/>
        <v>2500</v>
      </c>
      <c r="K139" s="99">
        <f t="shared" si="100"/>
        <v>2500</v>
      </c>
      <c r="L139" s="99">
        <f t="shared" si="100"/>
        <v>2500</v>
      </c>
      <c r="M139" s="99">
        <f t="shared" si="100"/>
        <v>2500</v>
      </c>
      <c r="N139" s="99">
        <f t="shared" si="100"/>
        <v>2500</v>
      </c>
      <c r="O139" s="99">
        <f t="shared" si="100"/>
        <v>2500</v>
      </c>
      <c r="P139" s="99">
        <f t="shared" si="100"/>
        <v>2500</v>
      </c>
      <c r="Q139" s="99">
        <f t="shared" si="100"/>
        <v>2500</v>
      </c>
      <c r="R139" s="99">
        <f t="shared" si="100"/>
        <v>2500</v>
      </c>
      <c r="S139" s="99">
        <f t="shared" si="100"/>
        <v>2500</v>
      </c>
      <c r="T139" s="99">
        <f t="shared" si="100"/>
        <v>2500</v>
      </c>
      <c r="U139" s="99">
        <f t="shared" si="100"/>
        <v>2500</v>
      </c>
      <c r="V139" s="99">
        <f t="shared" si="100"/>
        <v>2500</v>
      </c>
      <c r="W139" s="99">
        <f t="shared" si="100"/>
        <v>2500</v>
      </c>
      <c r="X139" s="99">
        <f t="shared" si="100"/>
        <v>2500</v>
      </c>
      <c r="Y139" s="99">
        <f t="shared" si="100"/>
        <v>2500</v>
      </c>
      <c r="Z139" s="99">
        <f t="shared" si="100"/>
        <v>2500</v>
      </c>
      <c r="AA139" s="99">
        <f t="shared" si="100"/>
        <v>2500</v>
      </c>
      <c r="AB139" s="99">
        <f t="shared" si="100"/>
        <v>2500</v>
      </c>
      <c r="AC139" s="99">
        <f t="shared" si="100"/>
        <v>2500</v>
      </c>
      <c r="AD139" s="99">
        <f t="shared" si="100"/>
        <v>2500</v>
      </c>
      <c r="AE139" s="99">
        <f t="shared" si="100"/>
        <v>2500</v>
      </c>
      <c r="AF139" s="99">
        <f t="shared" si="100"/>
        <v>2500</v>
      </c>
      <c r="AG139" s="99">
        <f t="shared" si="100"/>
        <v>2500</v>
      </c>
      <c r="AH139" s="99">
        <f t="shared" si="100"/>
        <v>2500</v>
      </c>
      <c r="AI139" s="99">
        <f t="shared" si="100"/>
        <v>2500</v>
      </c>
      <c r="AJ139" s="99">
        <f t="shared" si="100"/>
        <v>2500</v>
      </c>
      <c r="AK139" s="99">
        <f t="shared" si="100"/>
        <v>2500</v>
      </c>
      <c r="AL139" s="99">
        <f t="shared" si="100"/>
        <v>2500</v>
      </c>
      <c r="AM139" s="99">
        <f t="shared" si="100"/>
        <v>2500</v>
      </c>
      <c r="AN139" s="99">
        <f t="shared" si="100"/>
        <v>2500</v>
      </c>
      <c r="AO139" s="99">
        <f t="shared" si="100"/>
        <v>2500</v>
      </c>
      <c r="AP139" s="99">
        <f t="shared" si="100"/>
        <v>2500</v>
      </c>
      <c r="AQ139" s="99">
        <f t="shared" si="100"/>
        <v>2500</v>
      </c>
      <c r="AR139" s="99">
        <f t="shared" si="100"/>
        <v>2500</v>
      </c>
      <c r="AS139" s="99">
        <f t="shared" si="100"/>
        <v>2500</v>
      </c>
      <c r="AT139" s="99">
        <f t="shared" si="100"/>
        <v>2500</v>
      </c>
      <c r="AU139" s="99">
        <f t="shared" si="100"/>
        <v>2500</v>
      </c>
      <c r="AV139" s="99">
        <f t="shared" si="100"/>
        <v>2500</v>
      </c>
      <c r="AW139" s="99">
        <f t="shared" si="100"/>
        <v>2500</v>
      </c>
      <c r="AX139" s="99">
        <f t="shared" si="100"/>
        <v>2500</v>
      </c>
      <c r="AY139" s="99">
        <f t="shared" si="100"/>
        <v>2500</v>
      </c>
      <c r="AZ139" s="99">
        <f t="shared" si="100"/>
        <v>2500</v>
      </c>
      <c r="BA139" s="99">
        <f t="shared" si="100"/>
        <v>2500</v>
      </c>
      <c r="BB139" s="99">
        <f t="shared" si="100"/>
        <v>2500</v>
      </c>
      <c r="BC139" s="99">
        <f t="shared" si="100"/>
        <v>2500</v>
      </c>
      <c r="BD139" s="99">
        <f t="shared" si="100"/>
        <v>2500</v>
      </c>
      <c r="BE139" s="99">
        <f t="shared" si="100"/>
        <v>2500</v>
      </c>
      <c r="BF139" s="99">
        <f t="shared" si="100"/>
        <v>2500</v>
      </c>
      <c r="BG139" s="99">
        <f t="shared" si="100"/>
        <v>2500</v>
      </c>
      <c r="BH139" s="99">
        <f t="shared" si="100"/>
        <v>2500</v>
      </c>
      <c r="BI139" s="99">
        <f t="shared" si="100"/>
        <v>2500</v>
      </c>
      <c r="BJ139" s="99">
        <f t="shared" si="100"/>
        <v>2500</v>
      </c>
      <c r="BK139" s="99">
        <f t="shared" si="100"/>
        <v>2500</v>
      </c>
      <c r="BL139" s="99">
        <f t="shared" si="100"/>
        <v>2500</v>
      </c>
      <c r="BM139" s="99">
        <f t="shared" si="100"/>
        <v>2500</v>
      </c>
      <c r="BN139" s="99">
        <f t="shared" si="100"/>
        <v>2500</v>
      </c>
    </row>
    <row r="140" outlineLevel="1">
      <c r="A140" s="66"/>
      <c r="B140" s="121" t="s">
        <v>111</v>
      </c>
      <c r="C140" s="134">
        <v>2500.0</v>
      </c>
      <c r="D140" s="66"/>
      <c r="E140" s="66"/>
      <c r="F140" s="99"/>
      <c r="G140" s="99">
        <f t="shared" si="98"/>
        <v>2500</v>
      </c>
      <c r="H140" s="99">
        <f t="shared" ref="H140:BN140" si="101">G140</f>
        <v>2500</v>
      </c>
      <c r="I140" s="99">
        <f t="shared" si="101"/>
        <v>2500</v>
      </c>
      <c r="J140" s="99">
        <f t="shared" si="101"/>
        <v>2500</v>
      </c>
      <c r="K140" s="99">
        <f t="shared" si="101"/>
        <v>2500</v>
      </c>
      <c r="L140" s="99">
        <f t="shared" si="101"/>
        <v>2500</v>
      </c>
      <c r="M140" s="99">
        <f t="shared" si="101"/>
        <v>2500</v>
      </c>
      <c r="N140" s="99">
        <f t="shared" si="101"/>
        <v>2500</v>
      </c>
      <c r="O140" s="99">
        <f t="shared" si="101"/>
        <v>2500</v>
      </c>
      <c r="P140" s="99">
        <f t="shared" si="101"/>
        <v>2500</v>
      </c>
      <c r="Q140" s="99">
        <f t="shared" si="101"/>
        <v>2500</v>
      </c>
      <c r="R140" s="99">
        <f t="shared" si="101"/>
        <v>2500</v>
      </c>
      <c r="S140" s="99">
        <f t="shared" si="101"/>
        <v>2500</v>
      </c>
      <c r="T140" s="99">
        <f t="shared" si="101"/>
        <v>2500</v>
      </c>
      <c r="U140" s="99">
        <f t="shared" si="101"/>
        <v>2500</v>
      </c>
      <c r="V140" s="99">
        <f t="shared" si="101"/>
        <v>2500</v>
      </c>
      <c r="W140" s="99">
        <f t="shared" si="101"/>
        <v>2500</v>
      </c>
      <c r="X140" s="99">
        <f t="shared" si="101"/>
        <v>2500</v>
      </c>
      <c r="Y140" s="99">
        <f t="shared" si="101"/>
        <v>2500</v>
      </c>
      <c r="Z140" s="99">
        <f t="shared" si="101"/>
        <v>2500</v>
      </c>
      <c r="AA140" s="99">
        <f t="shared" si="101"/>
        <v>2500</v>
      </c>
      <c r="AB140" s="99">
        <f t="shared" si="101"/>
        <v>2500</v>
      </c>
      <c r="AC140" s="99">
        <f t="shared" si="101"/>
        <v>2500</v>
      </c>
      <c r="AD140" s="99">
        <f t="shared" si="101"/>
        <v>2500</v>
      </c>
      <c r="AE140" s="99">
        <f t="shared" si="101"/>
        <v>2500</v>
      </c>
      <c r="AF140" s="99">
        <f t="shared" si="101"/>
        <v>2500</v>
      </c>
      <c r="AG140" s="99">
        <f t="shared" si="101"/>
        <v>2500</v>
      </c>
      <c r="AH140" s="99">
        <f t="shared" si="101"/>
        <v>2500</v>
      </c>
      <c r="AI140" s="99">
        <f t="shared" si="101"/>
        <v>2500</v>
      </c>
      <c r="AJ140" s="99">
        <f t="shared" si="101"/>
        <v>2500</v>
      </c>
      <c r="AK140" s="99">
        <f t="shared" si="101"/>
        <v>2500</v>
      </c>
      <c r="AL140" s="99">
        <f t="shared" si="101"/>
        <v>2500</v>
      </c>
      <c r="AM140" s="99">
        <f t="shared" si="101"/>
        <v>2500</v>
      </c>
      <c r="AN140" s="99">
        <f t="shared" si="101"/>
        <v>2500</v>
      </c>
      <c r="AO140" s="99">
        <f t="shared" si="101"/>
        <v>2500</v>
      </c>
      <c r="AP140" s="99">
        <f t="shared" si="101"/>
        <v>2500</v>
      </c>
      <c r="AQ140" s="99">
        <f t="shared" si="101"/>
        <v>2500</v>
      </c>
      <c r="AR140" s="99">
        <f t="shared" si="101"/>
        <v>2500</v>
      </c>
      <c r="AS140" s="99">
        <f t="shared" si="101"/>
        <v>2500</v>
      </c>
      <c r="AT140" s="99">
        <f t="shared" si="101"/>
        <v>2500</v>
      </c>
      <c r="AU140" s="99">
        <f t="shared" si="101"/>
        <v>2500</v>
      </c>
      <c r="AV140" s="99">
        <f t="shared" si="101"/>
        <v>2500</v>
      </c>
      <c r="AW140" s="99">
        <f t="shared" si="101"/>
        <v>2500</v>
      </c>
      <c r="AX140" s="99">
        <f t="shared" si="101"/>
        <v>2500</v>
      </c>
      <c r="AY140" s="99">
        <f t="shared" si="101"/>
        <v>2500</v>
      </c>
      <c r="AZ140" s="99">
        <f t="shared" si="101"/>
        <v>2500</v>
      </c>
      <c r="BA140" s="99">
        <f t="shared" si="101"/>
        <v>2500</v>
      </c>
      <c r="BB140" s="99">
        <f t="shared" si="101"/>
        <v>2500</v>
      </c>
      <c r="BC140" s="99">
        <f t="shared" si="101"/>
        <v>2500</v>
      </c>
      <c r="BD140" s="99">
        <f t="shared" si="101"/>
        <v>2500</v>
      </c>
      <c r="BE140" s="99">
        <f t="shared" si="101"/>
        <v>2500</v>
      </c>
      <c r="BF140" s="99">
        <f t="shared" si="101"/>
        <v>2500</v>
      </c>
      <c r="BG140" s="99">
        <f t="shared" si="101"/>
        <v>2500</v>
      </c>
      <c r="BH140" s="99">
        <f t="shared" si="101"/>
        <v>2500</v>
      </c>
      <c r="BI140" s="99">
        <f t="shared" si="101"/>
        <v>2500</v>
      </c>
      <c r="BJ140" s="99">
        <f t="shared" si="101"/>
        <v>2500</v>
      </c>
      <c r="BK140" s="99">
        <f t="shared" si="101"/>
        <v>2500</v>
      </c>
      <c r="BL140" s="99">
        <f t="shared" si="101"/>
        <v>2500</v>
      </c>
      <c r="BM140" s="99">
        <f t="shared" si="101"/>
        <v>2500</v>
      </c>
      <c r="BN140" s="99">
        <f t="shared" si="101"/>
        <v>2500</v>
      </c>
    </row>
    <row r="141" outlineLevel="1">
      <c r="A141" s="66"/>
      <c r="B141" s="121" t="s">
        <v>112</v>
      </c>
      <c r="C141" s="134">
        <v>2500.0</v>
      </c>
      <c r="D141" s="66"/>
      <c r="E141" s="66"/>
      <c r="F141" s="99"/>
      <c r="G141" s="99">
        <f t="shared" si="98"/>
        <v>2500</v>
      </c>
      <c r="H141" s="99">
        <f t="shared" ref="H141:BN141" si="102">G141</f>
        <v>2500</v>
      </c>
      <c r="I141" s="99">
        <f t="shared" si="102"/>
        <v>2500</v>
      </c>
      <c r="J141" s="99">
        <f t="shared" si="102"/>
        <v>2500</v>
      </c>
      <c r="K141" s="99">
        <f t="shared" si="102"/>
        <v>2500</v>
      </c>
      <c r="L141" s="99">
        <f t="shared" si="102"/>
        <v>2500</v>
      </c>
      <c r="M141" s="99">
        <f t="shared" si="102"/>
        <v>2500</v>
      </c>
      <c r="N141" s="99">
        <f t="shared" si="102"/>
        <v>2500</v>
      </c>
      <c r="O141" s="99">
        <f t="shared" si="102"/>
        <v>2500</v>
      </c>
      <c r="P141" s="99">
        <f t="shared" si="102"/>
        <v>2500</v>
      </c>
      <c r="Q141" s="99">
        <f t="shared" si="102"/>
        <v>2500</v>
      </c>
      <c r="R141" s="99">
        <f t="shared" si="102"/>
        <v>2500</v>
      </c>
      <c r="S141" s="99">
        <f t="shared" si="102"/>
        <v>2500</v>
      </c>
      <c r="T141" s="99">
        <f t="shared" si="102"/>
        <v>2500</v>
      </c>
      <c r="U141" s="99">
        <f t="shared" si="102"/>
        <v>2500</v>
      </c>
      <c r="V141" s="99">
        <f t="shared" si="102"/>
        <v>2500</v>
      </c>
      <c r="W141" s="99">
        <f t="shared" si="102"/>
        <v>2500</v>
      </c>
      <c r="X141" s="99">
        <f t="shared" si="102"/>
        <v>2500</v>
      </c>
      <c r="Y141" s="99">
        <f t="shared" si="102"/>
        <v>2500</v>
      </c>
      <c r="Z141" s="99">
        <f t="shared" si="102"/>
        <v>2500</v>
      </c>
      <c r="AA141" s="99">
        <f t="shared" si="102"/>
        <v>2500</v>
      </c>
      <c r="AB141" s="99">
        <f t="shared" si="102"/>
        <v>2500</v>
      </c>
      <c r="AC141" s="99">
        <f t="shared" si="102"/>
        <v>2500</v>
      </c>
      <c r="AD141" s="99">
        <f t="shared" si="102"/>
        <v>2500</v>
      </c>
      <c r="AE141" s="99">
        <f t="shared" si="102"/>
        <v>2500</v>
      </c>
      <c r="AF141" s="99">
        <f t="shared" si="102"/>
        <v>2500</v>
      </c>
      <c r="AG141" s="99">
        <f t="shared" si="102"/>
        <v>2500</v>
      </c>
      <c r="AH141" s="99">
        <f t="shared" si="102"/>
        <v>2500</v>
      </c>
      <c r="AI141" s="99">
        <f t="shared" si="102"/>
        <v>2500</v>
      </c>
      <c r="AJ141" s="99">
        <f t="shared" si="102"/>
        <v>2500</v>
      </c>
      <c r="AK141" s="99">
        <f t="shared" si="102"/>
        <v>2500</v>
      </c>
      <c r="AL141" s="99">
        <f t="shared" si="102"/>
        <v>2500</v>
      </c>
      <c r="AM141" s="99">
        <f t="shared" si="102"/>
        <v>2500</v>
      </c>
      <c r="AN141" s="99">
        <f t="shared" si="102"/>
        <v>2500</v>
      </c>
      <c r="AO141" s="99">
        <f t="shared" si="102"/>
        <v>2500</v>
      </c>
      <c r="AP141" s="99">
        <f t="shared" si="102"/>
        <v>2500</v>
      </c>
      <c r="AQ141" s="99">
        <f t="shared" si="102"/>
        <v>2500</v>
      </c>
      <c r="AR141" s="99">
        <f t="shared" si="102"/>
        <v>2500</v>
      </c>
      <c r="AS141" s="99">
        <f t="shared" si="102"/>
        <v>2500</v>
      </c>
      <c r="AT141" s="99">
        <f t="shared" si="102"/>
        <v>2500</v>
      </c>
      <c r="AU141" s="99">
        <f t="shared" si="102"/>
        <v>2500</v>
      </c>
      <c r="AV141" s="99">
        <f t="shared" si="102"/>
        <v>2500</v>
      </c>
      <c r="AW141" s="99">
        <f t="shared" si="102"/>
        <v>2500</v>
      </c>
      <c r="AX141" s="99">
        <f t="shared" si="102"/>
        <v>2500</v>
      </c>
      <c r="AY141" s="99">
        <f t="shared" si="102"/>
        <v>2500</v>
      </c>
      <c r="AZ141" s="99">
        <f t="shared" si="102"/>
        <v>2500</v>
      </c>
      <c r="BA141" s="99">
        <f t="shared" si="102"/>
        <v>2500</v>
      </c>
      <c r="BB141" s="99">
        <f t="shared" si="102"/>
        <v>2500</v>
      </c>
      <c r="BC141" s="99">
        <f t="shared" si="102"/>
        <v>2500</v>
      </c>
      <c r="BD141" s="99">
        <f t="shared" si="102"/>
        <v>2500</v>
      </c>
      <c r="BE141" s="99">
        <f t="shared" si="102"/>
        <v>2500</v>
      </c>
      <c r="BF141" s="99">
        <f t="shared" si="102"/>
        <v>2500</v>
      </c>
      <c r="BG141" s="99">
        <f t="shared" si="102"/>
        <v>2500</v>
      </c>
      <c r="BH141" s="99">
        <f t="shared" si="102"/>
        <v>2500</v>
      </c>
      <c r="BI141" s="99">
        <f t="shared" si="102"/>
        <v>2500</v>
      </c>
      <c r="BJ141" s="99">
        <f t="shared" si="102"/>
        <v>2500</v>
      </c>
      <c r="BK141" s="99">
        <f t="shared" si="102"/>
        <v>2500</v>
      </c>
      <c r="BL141" s="99">
        <f t="shared" si="102"/>
        <v>2500</v>
      </c>
      <c r="BM141" s="99">
        <f t="shared" si="102"/>
        <v>2500</v>
      </c>
      <c r="BN141" s="99">
        <f t="shared" si="102"/>
        <v>2500</v>
      </c>
    </row>
    <row r="142" outlineLevel="1">
      <c r="A142" s="66"/>
      <c r="B142" s="121" t="s">
        <v>113</v>
      </c>
      <c r="C142" s="134">
        <v>2500.0</v>
      </c>
      <c r="D142" s="66"/>
      <c r="E142" s="66"/>
      <c r="F142" s="99"/>
      <c r="G142" s="99">
        <f t="shared" si="98"/>
        <v>2500</v>
      </c>
      <c r="H142" s="99">
        <f t="shared" ref="H142:BN142" si="103">G142</f>
        <v>2500</v>
      </c>
      <c r="I142" s="99">
        <f t="shared" si="103"/>
        <v>2500</v>
      </c>
      <c r="J142" s="99">
        <f t="shared" si="103"/>
        <v>2500</v>
      </c>
      <c r="K142" s="99">
        <f t="shared" si="103"/>
        <v>2500</v>
      </c>
      <c r="L142" s="99">
        <f t="shared" si="103"/>
        <v>2500</v>
      </c>
      <c r="M142" s="99">
        <f t="shared" si="103"/>
        <v>2500</v>
      </c>
      <c r="N142" s="99">
        <f t="shared" si="103"/>
        <v>2500</v>
      </c>
      <c r="O142" s="99">
        <f t="shared" si="103"/>
        <v>2500</v>
      </c>
      <c r="P142" s="99">
        <f t="shared" si="103"/>
        <v>2500</v>
      </c>
      <c r="Q142" s="99">
        <f t="shared" si="103"/>
        <v>2500</v>
      </c>
      <c r="R142" s="99">
        <f t="shared" si="103"/>
        <v>2500</v>
      </c>
      <c r="S142" s="99">
        <f t="shared" si="103"/>
        <v>2500</v>
      </c>
      <c r="T142" s="99">
        <f t="shared" si="103"/>
        <v>2500</v>
      </c>
      <c r="U142" s="99">
        <f t="shared" si="103"/>
        <v>2500</v>
      </c>
      <c r="V142" s="99">
        <f t="shared" si="103"/>
        <v>2500</v>
      </c>
      <c r="W142" s="99">
        <f t="shared" si="103"/>
        <v>2500</v>
      </c>
      <c r="X142" s="99">
        <f t="shared" si="103"/>
        <v>2500</v>
      </c>
      <c r="Y142" s="99">
        <f t="shared" si="103"/>
        <v>2500</v>
      </c>
      <c r="Z142" s="99">
        <f t="shared" si="103"/>
        <v>2500</v>
      </c>
      <c r="AA142" s="99">
        <f t="shared" si="103"/>
        <v>2500</v>
      </c>
      <c r="AB142" s="99">
        <f t="shared" si="103"/>
        <v>2500</v>
      </c>
      <c r="AC142" s="99">
        <f t="shared" si="103"/>
        <v>2500</v>
      </c>
      <c r="AD142" s="99">
        <f t="shared" si="103"/>
        <v>2500</v>
      </c>
      <c r="AE142" s="99">
        <f t="shared" si="103"/>
        <v>2500</v>
      </c>
      <c r="AF142" s="99">
        <f t="shared" si="103"/>
        <v>2500</v>
      </c>
      <c r="AG142" s="99">
        <f t="shared" si="103"/>
        <v>2500</v>
      </c>
      <c r="AH142" s="99">
        <f t="shared" si="103"/>
        <v>2500</v>
      </c>
      <c r="AI142" s="99">
        <f t="shared" si="103"/>
        <v>2500</v>
      </c>
      <c r="AJ142" s="99">
        <f t="shared" si="103"/>
        <v>2500</v>
      </c>
      <c r="AK142" s="99">
        <f t="shared" si="103"/>
        <v>2500</v>
      </c>
      <c r="AL142" s="99">
        <f t="shared" si="103"/>
        <v>2500</v>
      </c>
      <c r="AM142" s="99">
        <f t="shared" si="103"/>
        <v>2500</v>
      </c>
      <c r="AN142" s="99">
        <f t="shared" si="103"/>
        <v>2500</v>
      </c>
      <c r="AO142" s="99">
        <f t="shared" si="103"/>
        <v>2500</v>
      </c>
      <c r="AP142" s="99">
        <f t="shared" si="103"/>
        <v>2500</v>
      </c>
      <c r="AQ142" s="99">
        <f t="shared" si="103"/>
        <v>2500</v>
      </c>
      <c r="AR142" s="99">
        <f t="shared" si="103"/>
        <v>2500</v>
      </c>
      <c r="AS142" s="99">
        <f t="shared" si="103"/>
        <v>2500</v>
      </c>
      <c r="AT142" s="99">
        <f t="shared" si="103"/>
        <v>2500</v>
      </c>
      <c r="AU142" s="99">
        <f t="shared" si="103"/>
        <v>2500</v>
      </c>
      <c r="AV142" s="99">
        <f t="shared" si="103"/>
        <v>2500</v>
      </c>
      <c r="AW142" s="99">
        <f t="shared" si="103"/>
        <v>2500</v>
      </c>
      <c r="AX142" s="99">
        <f t="shared" si="103"/>
        <v>2500</v>
      </c>
      <c r="AY142" s="99">
        <f t="shared" si="103"/>
        <v>2500</v>
      </c>
      <c r="AZ142" s="99">
        <f t="shared" si="103"/>
        <v>2500</v>
      </c>
      <c r="BA142" s="99">
        <f t="shared" si="103"/>
        <v>2500</v>
      </c>
      <c r="BB142" s="99">
        <f t="shared" si="103"/>
        <v>2500</v>
      </c>
      <c r="BC142" s="99">
        <f t="shared" si="103"/>
        <v>2500</v>
      </c>
      <c r="BD142" s="99">
        <f t="shared" si="103"/>
        <v>2500</v>
      </c>
      <c r="BE142" s="99">
        <f t="shared" si="103"/>
        <v>2500</v>
      </c>
      <c r="BF142" s="99">
        <f t="shared" si="103"/>
        <v>2500</v>
      </c>
      <c r="BG142" s="99">
        <f t="shared" si="103"/>
        <v>2500</v>
      </c>
      <c r="BH142" s="99">
        <f t="shared" si="103"/>
        <v>2500</v>
      </c>
      <c r="BI142" s="99">
        <f t="shared" si="103"/>
        <v>2500</v>
      </c>
      <c r="BJ142" s="99">
        <f t="shared" si="103"/>
        <v>2500</v>
      </c>
      <c r="BK142" s="99">
        <f t="shared" si="103"/>
        <v>2500</v>
      </c>
      <c r="BL142" s="99">
        <f t="shared" si="103"/>
        <v>2500</v>
      </c>
      <c r="BM142" s="99">
        <f t="shared" si="103"/>
        <v>2500</v>
      </c>
      <c r="BN142" s="99">
        <f t="shared" si="103"/>
        <v>2500</v>
      </c>
    </row>
    <row r="143" outlineLevel="1">
      <c r="A143" s="66"/>
      <c r="B143" s="121" t="s">
        <v>114</v>
      </c>
      <c r="C143" s="134">
        <v>2500.0</v>
      </c>
      <c r="D143" s="66"/>
      <c r="E143" s="66"/>
      <c r="F143" s="99"/>
      <c r="G143" s="99">
        <f t="shared" si="98"/>
        <v>2500</v>
      </c>
      <c r="H143" s="99">
        <f t="shared" ref="H143:BN143" si="104">G143</f>
        <v>2500</v>
      </c>
      <c r="I143" s="99">
        <f t="shared" si="104"/>
        <v>2500</v>
      </c>
      <c r="J143" s="99">
        <f t="shared" si="104"/>
        <v>2500</v>
      </c>
      <c r="K143" s="99">
        <f t="shared" si="104"/>
        <v>2500</v>
      </c>
      <c r="L143" s="99">
        <f t="shared" si="104"/>
        <v>2500</v>
      </c>
      <c r="M143" s="99">
        <f t="shared" si="104"/>
        <v>2500</v>
      </c>
      <c r="N143" s="99">
        <f t="shared" si="104"/>
        <v>2500</v>
      </c>
      <c r="O143" s="99">
        <f t="shared" si="104"/>
        <v>2500</v>
      </c>
      <c r="P143" s="99">
        <f t="shared" si="104"/>
        <v>2500</v>
      </c>
      <c r="Q143" s="99">
        <f t="shared" si="104"/>
        <v>2500</v>
      </c>
      <c r="R143" s="99">
        <f t="shared" si="104"/>
        <v>2500</v>
      </c>
      <c r="S143" s="99">
        <f t="shared" si="104"/>
        <v>2500</v>
      </c>
      <c r="T143" s="99">
        <f t="shared" si="104"/>
        <v>2500</v>
      </c>
      <c r="U143" s="99">
        <f t="shared" si="104"/>
        <v>2500</v>
      </c>
      <c r="V143" s="99">
        <f t="shared" si="104"/>
        <v>2500</v>
      </c>
      <c r="W143" s="99">
        <f t="shared" si="104"/>
        <v>2500</v>
      </c>
      <c r="X143" s="99">
        <f t="shared" si="104"/>
        <v>2500</v>
      </c>
      <c r="Y143" s="99">
        <f t="shared" si="104"/>
        <v>2500</v>
      </c>
      <c r="Z143" s="99">
        <f t="shared" si="104"/>
        <v>2500</v>
      </c>
      <c r="AA143" s="99">
        <f t="shared" si="104"/>
        <v>2500</v>
      </c>
      <c r="AB143" s="99">
        <f t="shared" si="104"/>
        <v>2500</v>
      </c>
      <c r="AC143" s="99">
        <f t="shared" si="104"/>
        <v>2500</v>
      </c>
      <c r="AD143" s="99">
        <f t="shared" si="104"/>
        <v>2500</v>
      </c>
      <c r="AE143" s="99">
        <f t="shared" si="104"/>
        <v>2500</v>
      </c>
      <c r="AF143" s="99">
        <f t="shared" si="104"/>
        <v>2500</v>
      </c>
      <c r="AG143" s="99">
        <f t="shared" si="104"/>
        <v>2500</v>
      </c>
      <c r="AH143" s="99">
        <f t="shared" si="104"/>
        <v>2500</v>
      </c>
      <c r="AI143" s="99">
        <f t="shared" si="104"/>
        <v>2500</v>
      </c>
      <c r="AJ143" s="99">
        <f t="shared" si="104"/>
        <v>2500</v>
      </c>
      <c r="AK143" s="99">
        <f t="shared" si="104"/>
        <v>2500</v>
      </c>
      <c r="AL143" s="99">
        <f t="shared" si="104"/>
        <v>2500</v>
      </c>
      <c r="AM143" s="99">
        <f t="shared" si="104"/>
        <v>2500</v>
      </c>
      <c r="AN143" s="99">
        <f t="shared" si="104"/>
        <v>2500</v>
      </c>
      <c r="AO143" s="99">
        <f t="shared" si="104"/>
        <v>2500</v>
      </c>
      <c r="AP143" s="99">
        <f t="shared" si="104"/>
        <v>2500</v>
      </c>
      <c r="AQ143" s="99">
        <f t="shared" si="104"/>
        <v>2500</v>
      </c>
      <c r="AR143" s="99">
        <f t="shared" si="104"/>
        <v>2500</v>
      </c>
      <c r="AS143" s="99">
        <f t="shared" si="104"/>
        <v>2500</v>
      </c>
      <c r="AT143" s="99">
        <f t="shared" si="104"/>
        <v>2500</v>
      </c>
      <c r="AU143" s="99">
        <f t="shared" si="104"/>
        <v>2500</v>
      </c>
      <c r="AV143" s="99">
        <f t="shared" si="104"/>
        <v>2500</v>
      </c>
      <c r="AW143" s="99">
        <f t="shared" si="104"/>
        <v>2500</v>
      </c>
      <c r="AX143" s="99">
        <f t="shared" si="104"/>
        <v>2500</v>
      </c>
      <c r="AY143" s="99">
        <f t="shared" si="104"/>
        <v>2500</v>
      </c>
      <c r="AZ143" s="99">
        <f t="shared" si="104"/>
        <v>2500</v>
      </c>
      <c r="BA143" s="99">
        <f t="shared" si="104"/>
        <v>2500</v>
      </c>
      <c r="BB143" s="99">
        <f t="shared" si="104"/>
        <v>2500</v>
      </c>
      <c r="BC143" s="99">
        <f t="shared" si="104"/>
        <v>2500</v>
      </c>
      <c r="BD143" s="99">
        <f t="shared" si="104"/>
        <v>2500</v>
      </c>
      <c r="BE143" s="99">
        <f t="shared" si="104"/>
        <v>2500</v>
      </c>
      <c r="BF143" s="99">
        <f t="shared" si="104"/>
        <v>2500</v>
      </c>
      <c r="BG143" s="99">
        <f t="shared" si="104"/>
        <v>2500</v>
      </c>
      <c r="BH143" s="99">
        <f t="shared" si="104"/>
        <v>2500</v>
      </c>
      <c r="BI143" s="99">
        <f t="shared" si="104"/>
        <v>2500</v>
      </c>
      <c r="BJ143" s="99">
        <f t="shared" si="104"/>
        <v>2500</v>
      </c>
      <c r="BK143" s="99">
        <f t="shared" si="104"/>
        <v>2500</v>
      </c>
      <c r="BL143" s="99">
        <f t="shared" si="104"/>
        <v>2500</v>
      </c>
      <c r="BM143" s="99">
        <f t="shared" si="104"/>
        <v>2500</v>
      </c>
      <c r="BN143" s="99">
        <f t="shared" si="104"/>
        <v>2500</v>
      </c>
    </row>
    <row r="144" outlineLevel="1">
      <c r="A144" s="66"/>
      <c r="B144" s="136" t="s">
        <v>115</v>
      </c>
      <c r="C144" s="137">
        <v>2500.0</v>
      </c>
      <c r="D144" s="138"/>
      <c r="E144" s="138"/>
      <c r="F144" s="130"/>
      <c r="G144" s="130">
        <f t="shared" si="98"/>
        <v>2500</v>
      </c>
      <c r="H144" s="130">
        <f t="shared" ref="H144:BN144" si="105">G144</f>
        <v>2500</v>
      </c>
      <c r="I144" s="130">
        <f t="shared" si="105"/>
        <v>2500</v>
      </c>
      <c r="J144" s="130">
        <f t="shared" si="105"/>
        <v>2500</v>
      </c>
      <c r="K144" s="130">
        <f t="shared" si="105"/>
        <v>2500</v>
      </c>
      <c r="L144" s="130">
        <f t="shared" si="105"/>
        <v>2500</v>
      </c>
      <c r="M144" s="130">
        <f t="shared" si="105"/>
        <v>2500</v>
      </c>
      <c r="N144" s="130">
        <f t="shared" si="105"/>
        <v>2500</v>
      </c>
      <c r="O144" s="130">
        <f t="shared" si="105"/>
        <v>2500</v>
      </c>
      <c r="P144" s="130">
        <f t="shared" si="105"/>
        <v>2500</v>
      </c>
      <c r="Q144" s="130">
        <f t="shared" si="105"/>
        <v>2500</v>
      </c>
      <c r="R144" s="130">
        <f t="shared" si="105"/>
        <v>2500</v>
      </c>
      <c r="S144" s="130">
        <f t="shared" si="105"/>
        <v>2500</v>
      </c>
      <c r="T144" s="130">
        <f t="shared" si="105"/>
        <v>2500</v>
      </c>
      <c r="U144" s="130">
        <f t="shared" si="105"/>
        <v>2500</v>
      </c>
      <c r="V144" s="130">
        <f t="shared" si="105"/>
        <v>2500</v>
      </c>
      <c r="W144" s="130">
        <f t="shared" si="105"/>
        <v>2500</v>
      </c>
      <c r="X144" s="130">
        <f t="shared" si="105"/>
        <v>2500</v>
      </c>
      <c r="Y144" s="130">
        <f t="shared" si="105"/>
        <v>2500</v>
      </c>
      <c r="Z144" s="130">
        <f t="shared" si="105"/>
        <v>2500</v>
      </c>
      <c r="AA144" s="130">
        <f t="shared" si="105"/>
        <v>2500</v>
      </c>
      <c r="AB144" s="130">
        <f t="shared" si="105"/>
        <v>2500</v>
      </c>
      <c r="AC144" s="130">
        <f t="shared" si="105"/>
        <v>2500</v>
      </c>
      <c r="AD144" s="130">
        <f t="shared" si="105"/>
        <v>2500</v>
      </c>
      <c r="AE144" s="130">
        <f t="shared" si="105"/>
        <v>2500</v>
      </c>
      <c r="AF144" s="130">
        <f t="shared" si="105"/>
        <v>2500</v>
      </c>
      <c r="AG144" s="130">
        <f t="shared" si="105"/>
        <v>2500</v>
      </c>
      <c r="AH144" s="130">
        <f t="shared" si="105"/>
        <v>2500</v>
      </c>
      <c r="AI144" s="130">
        <f t="shared" si="105"/>
        <v>2500</v>
      </c>
      <c r="AJ144" s="130">
        <f t="shared" si="105"/>
        <v>2500</v>
      </c>
      <c r="AK144" s="130">
        <f t="shared" si="105"/>
        <v>2500</v>
      </c>
      <c r="AL144" s="130">
        <f t="shared" si="105"/>
        <v>2500</v>
      </c>
      <c r="AM144" s="130">
        <f t="shared" si="105"/>
        <v>2500</v>
      </c>
      <c r="AN144" s="130">
        <f t="shared" si="105"/>
        <v>2500</v>
      </c>
      <c r="AO144" s="130">
        <f t="shared" si="105"/>
        <v>2500</v>
      </c>
      <c r="AP144" s="130">
        <f t="shared" si="105"/>
        <v>2500</v>
      </c>
      <c r="AQ144" s="130">
        <f t="shared" si="105"/>
        <v>2500</v>
      </c>
      <c r="AR144" s="130">
        <f t="shared" si="105"/>
        <v>2500</v>
      </c>
      <c r="AS144" s="130">
        <f t="shared" si="105"/>
        <v>2500</v>
      </c>
      <c r="AT144" s="130">
        <f t="shared" si="105"/>
        <v>2500</v>
      </c>
      <c r="AU144" s="130">
        <f t="shared" si="105"/>
        <v>2500</v>
      </c>
      <c r="AV144" s="130">
        <f t="shared" si="105"/>
        <v>2500</v>
      </c>
      <c r="AW144" s="130">
        <f t="shared" si="105"/>
        <v>2500</v>
      </c>
      <c r="AX144" s="130">
        <f t="shared" si="105"/>
        <v>2500</v>
      </c>
      <c r="AY144" s="130">
        <f t="shared" si="105"/>
        <v>2500</v>
      </c>
      <c r="AZ144" s="130">
        <f t="shared" si="105"/>
        <v>2500</v>
      </c>
      <c r="BA144" s="130">
        <f t="shared" si="105"/>
        <v>2500</v>
      </c>
      <c r="BB144" s="130">
        <f t="shared" si="105"/>
        <v>2500</v>
      </c>
      <c r="BC144" s="130">
        <f t="shared" si="105"/>
        <v>2500</v>
      </c>
      <c r="BD144" s="130">
        <f t="shared" si="105"/>
        <v>2500</v>
      </c>
      <c r="BE144" s="130">
        <f t="shared" si="105"/>
        <v>2500</v>
      </c>
      <c r="BF144" s="130">
        <f t="shared" si="105"/>
        <v>2500</v>
      </c>
      <c r="BG144" s="130">
        <f t="shared" si="105"/>
        <v>2500</v>
      </c>
      <c r="BH144" s="130">
        <f t="shared" si="105"/>
        <v>2500</v>
      </c>
      <c r="BI144" s="130">
        <f t="shared" si="105"/>
        <v>2500</v>
      </c>
      <c r="BJ144" s="130">
        <f t="shared" si="105"/>
        <v>2500</v>
      </c>
      <c r="BK144" s="130">
        <f t="shared" si="105"/>
        <v>2500</v>
      </c>
      <c r="BL144" s="130">
        <f t="shared" si="105"/>
        <v>2500</v>
      </c>
      <c r="BM144" s="130">
        <f t="shared" si="105"/>
        <v>2500</v>
      </c>
      <c r="BN144" s="130">
        <f t="shared" si="105"/>
        <v>2500</v>
      </c>
    </row>
    <row r="145" outlineLevel="1">
      <c r="A145" s="139"/>
      <c r="B145" s="140" t="s">
        <v>106</v>
      </c>
      <c r="C145" s="139"/>
      <c r="D145" s="139"/>
      <c r="E145" s="139"/>
      <c r="F145" s="139"/>
      <c r="G145" s="141">
        <f t="shared" ref="G145:BN145" si="106">sum(G137:G144)</f>
        <v>20000</v>
      </c>
      <c r="H145" s="141">
        <f t="shared" si="106"/>
        <v>20000</v>
      </c>
      <c r="I145" s="141">
        <f t="shared" si="106"/>
        <v>20000</v>
      </c>
      <c r="J145" s="141">
        <f t="shared" si="106"/>
        <v>20000</v>
      </c>
      <c r="K145" s="141">
        <f t="shared" si="106"/>
        <v>20000</v>
      </c>
      <c r="L145" s="141">
        <f t="shared" si="106"/>
        <v>20000</v>
      </c>
      <c r="M145" s="141">
        <f t="shared" si="106"/>
        <v>20000</v>
      </c>
      <c r="N145" s="141">
        <f t="shared" si="106"/>
        <v>20000</v>
      </c>
      <c r="O145" s="141">
        <f t="shared" si="106"/>
        <v>20000</v>
      </c>
      <c r="P145" s="141">
        <f t="shared" si="106"/>
        <v>20000</v>
      </c>
      <c r="Q145" s="141">
        <f t="shared" si="106"/>
        <v>20000</v>
      </c>
      <c r="R145" s="141">
        <f t="shared" si="106"/>
        <v>20000</v>
      </c>
      <c r="S145" s="141">
        <f t="shared" si="106"/>
        <v>20000</v>
      </c>
      <c r="T145" s="141">
        <f t="shared" si="106"/>
        <v>20000</v>
      </c>
      <c r="U145" s="141">
        <f t="shared" si="106"/>
        <v>20000</v>
      </c>
      <c r="V145" s="141">
        <f t="shared" si="106"/>
        <v>20000</v>
      </c>
      <c r="W145" s="141">
        <f t="shared" si="106"/>
        <v>20000</v>
      </c>
      <c r="X145" s="141">
        <f t="shared" si="106"/>
        <v>20000</v>
      </c>
      <c r="Y145" s="141">
        <f t="shared" si="106"/>
        <v>20000</v>
      </c>
      <c r="Z145" s="141">
        <f t="shared" si="106"/>
        <v>20000</v>
      </c>
      <c r="AA145" s="141">
        <f t="shared" si="106"/>
        <v>20000</v>
      </c>
      <c r="AB145" s="141">
        <f t="shared" si="106"/>
        <v>20000</v>
      </c>
      <c r="AC145" s="141">
        <f t="shared" si="106"/>
        <v>20000</v>
      </c>
      <c r="AD145" s="141">
        <f t="shared" si="106"/>
        <v>20000</v>
      </c>
      <c r="AE145" s="141">
        <f t="shared" si="106"/>
        <v>20000</v>
      </c>
      <c r="AF145" s="141">
        <f t="shared" si="106"/>
        <v>20000</v>
      </c>
      <c r="AG145" s="141">
        <f t="shared" si="106"/>
        <v>20000</v>
      </c>
      <c r="AH145" s="141">
        <f t="shared" si="106"/>
        <v>20000</v>
      </c>
      <c r="AI145" s="141">
        <f t="shared" si="106"/>
        <v>20000</v>
      </c>
      <c r="AJ145" s="141">
        <f t="shared" si="106"/>
        <v>20000</v>
      </c>
      <c r="AK145" s="141">
        <f t="shared" si="106"/>
        <v>20000</v>
      </c>
      <c r="AL145" s="141">
        <f t="shared" si="106"/>
        <v>20000</v>
      </c>
      <c r="AM145" s="141">
        <f t="shared" si="106"/>
        <v>20000</v>
      </c>
      <c r="AN145" s="141">
        <f t="shared" si="106"/>
        <v>20000</v>
      </c>
      <c r="AO145" s="141">
        <f t="shared" si="106"/>
        <v>20000</v>
      </c>
      <c r="AP145" s="141">
        <f t="shared" si="106"/>
        <v>20000</v>
      </c>
      <c r="AQ145" s="141">
        <f t="shared" si="106"/>
        <v>20000</v>
      </c>
      <c r="AR145" s="141">
        <f t="shared" si="106"/>
        <v>20000</v>
      </c>
      <c r="AS145" s="141">
        <f t="shared" si="106"/>
        <v>20000</v>
      </c>
      <c r="AT145" s="141">
        <f t="shared" si="106"/>
        <v>20000</v>
      </c>
      <c r="AU145" s="141">
        <f t="shared" si="106"/>
        <v>20000</v>
      </c>
      <c r="AV145" s="141">
        <f t="shared" si="106"/>
        <v>20000</v>
      </c>
      <c r="AW145" s="141">
        <f t="shared" si="106"/>
        <v>20000</v>
      </c>
      <c r="AX145" s="141">
        <f t="shared" si="106"/>
        <v>20000</v>
      </c>
      <c r="AY145" s="141">
        <f t="shared" si="106"/>
        <v>20000</v>
      </c>
      <c r="AZ145" s="141">
        <f t="shared" si="106"/>
        <v>20000</v>
      </c>
      <c r="BA145" s="141">
        <f t="shared" si="106"/>
        <v>20000</v>
      </c>
      <c r="BB145" s="141">
        <f t="shared" si="106"/>
        <v>20000</v>
      </c>
      <c r="BC145" s="141">
        <f t="shared" si="106"/>
        <v>20000</v>
      </c>
      <c r="BD145" s="141">
        <f t="shared" si="106"/>
        <v>20000</v>
      </c>
      <c r="BE145" s="141">
        <f t="shared" si="106"/>
        <v>20000</v>
      </c>
      <c r="BF145" s="141">
        <f t="shared" si="106"/>
        <v>20000</v>
      </c>
      <c r="BG145" s="141">
        <f t="shared" si="106"/>
        <v>20000</v>
      </c>
      <c r="BH145" s="141">
        <f t="shared" si="106"/>
        <v>20000</v>
      </c>
      <c r="BI145" s="141">
        <f t="shared" si="106"/>
        <v>20000</v>
      </c>
      <c r="BJ145" s="141">
        <f t="shared" si="106"/>
        <v>20000</v>
      </c>
      <c r="BK145" s="141">
        <f t="shared" si="106"/>
        <v>20000</v>
      </c>
      <c r="BL145" s="141">
        <f t="shared" si="106"/>
        <v>20000</v>
      </c>
      <c r="BM145" s="141">
        <f t="shared" si="106"/>
        <v>20000</v>
      </c>
      <c r="BN145" s="141">
        <f t="shared" si="106"/>
        <v>20000</v>
      </c>
    </row>
    <row r="146" outlineLevel="1">
      <c r="A146" s="47"/>
      <c r="B146" s="47"/>
      <c r="C146" s="47"/>
      <c r="D146" s="66"/>
      <c r="E146" s="66"/>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c r="AZ146" s="99"/>
      <c r="BA146" s="99"/>
      <c r="BB146" s="99"/>
      <c r="BC146" s="99"/>
      <c r="BD146" s="99"/>
      <c r="BE146" s="99"/>
      <c r="BF146" s="99"/>
      <c r="BG146" s="99"/>
      <c r="BH146" s="99"/>
      <c r="BI146" s="99"/>
      <c r="BJ146" s="99"/>
      <c r="BK146" s="99"/>
      <c r="BL146" s="99"/>
      <c r="BM146" s="99"/>
      <c r="BN146" s="99"/>
    </row>
    <row r="147" outlineLevel="1">
      <c r="A147" s="47"/>
      <c r="B147" s="142" t="s">
        <v>116</v>
      </c>
      <c r="C147" s="120" t="s">
        <v>97</v>
      </c>
      <c r="D147" s="143"/>
      <c r="E147" s="66"/>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c r="AZ147" s="99"/>
      <c r="BA147" s="99"/>
      <c r="BB147" s="99"/>
      <c r="BC147" s="99"/>
      <c r="BD147" s="99"/>
      <c r="BE147" s="99"/>
      <c r="BF147" s="99"/>
      <c r="BG147" s="99"/>
      <c r="BH147" s="99"/>
      <c r="BI147" s="99"/>
      <c r="BJ147" s="99"/>
      <c r="BK147" s="99"/>
      <c r="BL147" s="99"/>
      <c r="BM147" s="99"/>
      <c r="BN147" s="99"/>
    </row>
    <row r="148" outlineLevel="1">
      <c r="A148" s="47"/>
      <c r="B148" s="125" t="s">
        <v>117</v>
      </c>
      <c r="C148" s="126">
        <v>0.08</v>
      </c>
      <c r="D148" s="66"/>
      <c r="E148" s="66"/>
      <c r="F148" s="99"/>
      <c r="G148" s="99">
        <f>Financials!F$8*$C148</f>
        <v>32.1</v>
      </c>
      <c r="H148" s="99">
        <f>Financials!G$8*$C148</f>
        <v>63.3765</v>
      </c>
      <c r="I148" s="99">
        <f>Financials!H$8*$C148</f>
        <v>93.1008975</v>
      </c>
      <c r="J148" s="99">
        <f>Financials!I$8*$C148</f>
        <v>121.339251</v>
      </c>
      <c r="K148" s="99">
        <f>Financials!J$8*$C148</f>
        <v>148.1656894</v>
      </c>
      <c r="L148" s="99">
        <f>Financials!K$8*$C148</f>
        <v>173.6508059</v>
      </c>
      <c r="M148" s="99">
        <f>Financials!L$8*$C148</f>
        <v>197.8616667</v>
      </c>
      <c r="N148" s="99">
        <f>Financials!M$8*$C148</f>
        <v>220.8619843</v>
      </c>
      <c r="O148" s="99">
        <f>Financials!N$8*$C148</f>
        <v>242.7122861</v>
      </c>
      <c r="P148" s="99">
        <f>Financials!O$8*$C148</f>
        <v>263.4700728</v>
      </c>
      <c r="Q148" s="99">
        <f>Financials!P$8*$C148</f>
        <v>235.9916418</v>
      </c>
      <c r="R148" s="99">
        <f>Financials!Q$8*$C148</f>
        <v>251.6032273</v>
      </c>
      <c r="S148" s="99">
        <f>Financials!R$8*$C148</f>
        <v>266.4342334</v>
      </c>
      <c r="T148" s="99">
        <f>Financials!S$8*$C148</f>
        <v>280.5236893</v>
      </c>
      <c r="U148" s="99">
        <f>Financials!T$8*$C148</f>
        <v>293.9086723</v>
      </c>
      <c r="V148" s="99">
        <f>Financials!U$8*$C148</f>
        <v>306.6244062</v>
      </c>
      <c r="W148" s="99">
        <f>Financials!V$8*$C148</f>
        <v>318.7043534</v>
      </c>
      <c r="X148" s="99">
        <f>Financials!W$8*$C148</f>
        <v>330.1803032</v>
      </c>
      <c r="Y148" s="99">
        <f>Financials!X$8*$C148</f>
        <v>341.0824556</v>
      </c>
      <c r="Z148" s="99">
        <f>Financials!Y$8*$C148</f>
        <v>351.4395003</v>
      </c>
      <c r="AA148" s="99">
        <f>Financials!Z$8*$C148</f>
        <v>361.2786928</v>
      </c>
      <c r="AB148" s="99">
        <f>Financials!AA$8*$C148</f>
        <v>370.6259257</v>
      </c>
      <c r="AC148" s="99">
        <f>Financials!AB$8*$C148</f>
        <v>379.5057969</v>
      </c>
      <c r="AD148" s="99">
        <f>Financials!AC$8*$C148</f>
        <v>387.9416746</v>
      </c>
      <c r="AE148" s="99">
        <f>Financials!AD$8*$C148</f>
        <v>395.9557584</v>
      </c>
      <c r="AF148" s="99">
        <f>Financials!AE$8*$C148</f>
        <v>403.569138</v>
      </c>
      <c r="AG148" s="99">
        <f>Financials!AF$8*$C148</f>
        <v>410.8018486</v>
      </c>
      <c r="AH148" s="99">
        <f>Financials!AG$8*$C148</f>
        <v>417.6729237</v>
      </c>
      <c r="AI148" s="99">
        <f>Financials!AH$8*$C148</f>
        <v>424.200445</v>
      </c>
      <c r="AJ148" s="99">
        <f>Financials!AI$8*$C148</f>
        <v>430.4015903</v>
      </c>
      <c r="AK148" s="99">
        <f>Financials!AJ$8*$C148</f>
        <v>436.2926783</v>
      </c>
      <c r="AL148" s="99">
        <f>Financials!AK$8*$C148</f>
        <v>441.8892119</v>
      </c>
      <c r="AM148" s="99">
        <f>Financials!AL$8*$C148</f>
        <v>447.2059188</v>
      </c>
      <c r="AN148" s="99">
        <f>Financials!AM$8*$C148</f>
        <v>452.2567904</v>
      </c>
      <c r="AO148" s="99">
        <f>Financials!AN$8*$C148</f>
        <v>457.0551183</v>
      </c>
      <c r="AP148" s="99">
        <f>Financials!AO$8*$C148</f>
        <v>461.6135299</v>
      </c>
      <c r="AQ148" s="99">
        <f>Financials!AP$8*$C148</f>
        <v>465.944021</v>
      </c>
      <c r="AR148" s="99">
        <f>Financials!AQ$8*$C148</f>
        <v>470.0579874</v>
      </c>
      <c r="AS148" s="99">
        <f>Financials!AR$8*$C148</f>
        <v>473.9662556</v>
      </c>
      <c r="AT148" s="99">
        <f>Financials!AS$8*$C148</f>
        <v>477.6791103</v>
      </c>
      <c r="AU148" s="99">
        <f>Financials!AT$8*$C148</f>
        <v>481.2063223</v>
      </c>
      <c r="AV148" s="99">
        <f>Financials!AU$8*$C148</f>
        <v>484.5571737</v>
      </c>
      <c r="AW148" s="99">
        <f>Financials!AV$8*$C148</f>
        <v>487.7404825</v>
      </c>
      <c r="AX148" s="99">
        <f>Financials!AW$8*$C148</f>
        <v>490.7646259</v>
      </c>
      <c r="AY148" s="99">
        <f>Financials!AX$8*$C148</f>
        <v>493.6375621</v>
      </c>
      <c r="AZ148" s="99">
        <f>Financials!AY$8*$C148</f>
        <v>496.3668515</v>
      </c>
      <c r="BA148" s="99">
        <f>Financials!AZ$8*$C148</f>
        <v>498.9596765</v>
      </c>
      <c r="BB148" s="99">
        <f>Financials!BA$8*$C148</f>
        <v>501.4228602</v>
      </c>
      <c r="BC148" s="99">
        <f>Financials!BB$8*$C148</f>
        <v>503.7628847</v>
      </c>
      <c r="BD148" s="99">
        <f>Financials!BC$8*$C148</f>
        <v>505.9859079</v>
      </c>
      <c r="BE148" s="99">
        <f>Financials!BD$8*$C148</f>
        <v>508.0977801</v>
      </c>
      <c r="BF148" s="99">
        <f>Financials!BE$8*$C148</f>
        <v>510.1040586</v>
      </c>
      <c r="BG148" s="99">
        <f>Financials!BF$8*$C148</f>
        <v>512.0100232</v>
      </c>
      <c r="BH148" s="99">
        <f>Financials!BG$8*$C148</f>
        <v>513.8206895</v>
      </c>
      <c r="BI148" s="99">
        <f>Financials!BH$8*$C148</f>
        <v>515.5408225</v>
      </c>
      <c r="BJ148" s="99">
        <f>Financials!BI$8*$C148</f>
        <v>517.1749489</v>
      </c>
      <c r="BK148" s="99">
        <f>Financials!BJ$8*$C148</f>
        <v>518.727369</v>
      </c>
      <c r="BL148" s="99">
        <f>Financials!BK$8*$C148</f>
        <v>520.2021681</v>
      </c>
      <c r="BM148" s="99">
        <f>Financials!BL$8*$C148</f>
        <v>521.6032272</v>
      </c>
      <c r="BN148" s="99">
        <f>Financials!BM$8*$C148</f>
        <v>522.9342333</v>
      </c>
    </row>
    <row r="149" outlineLevel="1">
      <c r="A149" s="47"/>
      <c r="B149" s="128" t="s">
        <v>118</v>
      </c>
      <c r="C149" s="137">
        <v>10000.0</v>
      </c>
      <c r="D149" s="138"/>
      <c r="E149" s="138"/>
      <c r="F149" s="130"/>
      <c r="G149" s="130">
        <f>C149</f>
        <v>10000</v>
      </c>
      <c r="H149" s="130">
        <f t="shared" ref="H149:BN149" si="107">G149</f>
        <v>10000</v>
      </c>
      <c r="I149" s="130">
        <f t="shared" si="107"/>
        <v>10000</v>
      </c>
      <c r="J149" s="130">
        <f t="shared" si="107"/>
        <v>10000</v>
      </c>
      <c r="K149" s="130">
        <f t="shared" si="107"/>
        <v>10000</v>
      </c>
      <c r="L149" s="130">
        <f t="shared" si="107"/>
        <v>10000</v>
      </c>
      <c r="M149" s="130">
        <f t="shared" si="107"/>
        <v>10000</v>
      </c>
      <c r="N149" s="130">
        <f t="shared" si="107"/>
        <v>10000</v>
      </c>
      <c r="O149" s="130">
        <f t="shared" si="107"/>
        <v>10000</v>
      </c>
      <c r="P149" s="130">
        <f t="shared" si="107"/>
        <v>10000</v>
      </c>
      <c r="Q149" s="130">
        <f t="shared" si="107"/>
        <v>10000</v>
      </c>
      <c r="R149" s="130">
        <f t="shared" si="107"/>
        <v>10000</v>
      </c>
      <c r="S149" s="130">
        <f t="shared" si="107"/>
        <v>10000</v>
      </c>
      <c r="T149" s="130">
        <f t="shared" si="107"/>
        <v>10000</v>
      </c>
      <c r="U149" s="130">
        <f t="shared" si="107"/>
        <v>10000</v>
      </c>
      <c r="V149" s="130">
        <f t="shared" si="107"/>
        <v>10000</v>
      </c>
      <c r="W149" s="130">
        <f t="shared" si="107"/>
        <v>10000</v>
      </c>
      <c r="X149" s="130">
        <f t="shared" si="107"/>
        <v>10000</v>
      </c>
      <c r="Y149" s="130">
        <f t="shared" si="107"/>
        <v>10000</v>
      </c>
      <c r="Z149" s="130">
        <f t="shared" si="107"/>
        <v>10000</v>
      </c>
      <c r="AA149" s="130">
        <f t="shared" si="107"/>
        <v>10000</v>
      </c>
      <c r="AB149" s="130">
        <f t="shared" si="107"/>
        <v>10000</v>
      </c>
      <c r="AC149" s="130">
        <f t="shared" si="107"/>
        <v>10000</v>
      </c>
      <c r="AD149" s="130">
        <f t="shared" si="107"/>
        <v>10000</v>
      </c>
      <c r="AE149" s="130">
        <f t="shared" si="107"/>
        <v>10000</v>
      </c>
      <c r="AF149" s="130">
        <f t="shared" si="107"/>
        <v>10000</v>
      </c>
      <c r="AG149" s="130">
        <f t="shared" si="107"/>
        <v>10000</v>
      </c>
      <c r="AH149" s="130">
        <f t="shared" si="107"/>
        <v>10000</v>
      </c>
      <c r="AI149" s="130">
        <f t="shared" si="107"/>
        <v>10000</v>
      </c>
      <c r="AJ149" s="130">
        <f t="shared" si="107"/>
        <v>10000</v>
      </c>
      <c r="AK149" s="130">
        <f t="shared" si="107"/>
        <v>10000</v>
      </c>
      <c r="AL149" s="130">
        <f t="shared" si="107"/>
        <v>10000</v>
      </c>
      <c r="AM149" s="130">
        <f t="shared" si="107"/>
        <v>10000</v>
      </c>
      <c r="AN149" s="130">
        <f t="shared" si="107"/>
        <v>10000</v>
      </c>
      <c r="AO149" s="130">
        <f t="shared" si="107"/>
        <v>10000</v>
      </c>
      <c r="AP149" s="130">
        <f t="shared" si="107"/>
        <v>10000</v>
      </c>
      <c r="AQ149" s="130">
        <f t="shared" si="107"/>
        <v>10000</v>
      </c>
      <c r="AR149" s="130">
        <f t="shared" si="107"/>
        <v>10000</v>
      </c>
      <c r="AS149" s="130">
        <f t="shared" si="107"/>
        <v>10000</v>
      </c>
      <c r="AT149" s="130">
        <f t="shared" si="107"/>
        <v>10000</v>
      </c>
      <c r="AU149" s="130">
        <f t="shared" si="107"/>
        <v>10000</v>
      </c>
      <c r="AV149" s="130">
        <f t="shared" si="107"/>
        <v>10000</v>
      </c>
      <c r="AW149" s="130">
        <f t="shared" si="107"/>
        <v>10000</v>
      </c>
      <c r="AX149" s="130">
        <f t="shared" si="107"/>
        <v>10000</v>
      </c>
      <c r="AY149" s="130">
        <f t="shared" si="107"/>
        <v>10000</v>
      </c>
      <c r="AZ149" s="130">
        <f t="shared" si="107"/>
        <v>10000</v>
      </c>
      <c r="BA149" s="130">
        <f t="shared" si="107"/>
        <v>10000</v>
      </c>
      <c r="BB149" s="130">
        <f t="shared" si="107"/>
        <v>10000</v>
      </c>
      <c r="BC149" s="130">
        <f t="shared" si="107"/>
        <v>10000</v>
      </c>
      <c r="BD149" s="130">
        <f t="shared" si="107"/>
        <v>10000</v>
      </c>
      <c r="BE149" s="130">
        <f t="shared" si="107"/>
        <v>10000</v>
      </c>
      <c r="BF149" s="130">
        <f t="shared" si="107"/>
        <v>10000</v>
      </c>
      <c r="BG149" s="130">
        <f t="shared" si="107"/>
        <v>10000</v>
      </c>
      <c r="BH149" s="130">
        <f t="shared" si="107"/>
        <v>10000</v>
      </c>
      <c r="BI149" s="130">
        <f t="shared" si="107"/>
        <v>10000</v>
      </c>
      <c r="BJ149" s="130">
        <f t="shared" si="107"/>
        <v>10000</v>
      </c>
      <c r="BK149" s="130">
        <f t="shared" si="107"/>
        <v>10000</v>
      </c>
      <c r="BL149" s="130">
        <f t="shared" si="107"/>
        <v>10000</v>
      </c>
      <c r="BM149" s="130">
        <f t="shared" si="107"/>
        <v>10000</v>
      </c>
      <c r="BN149" s="130">
        <f t="shared" si="107"/>
        <v>10000</v>
      </c>
    </row>
    <row r="150" outlineLevel="1">
      <c r="A150" s="139"/>
      <c r="B150" s="144" t="s">
        <v>106</v>
      </c>
      <c r="C150" s="139"/>
      <c r="D150" s="139"/>
      <c r="E150" s="139"/>
      <c r="F150" s="139"/>
      <c r="G150" s="141">
        <f t="shared" ref="G150:BN150" si="108">sum(G148:G149)</f>
        <v>10032.1</v>
      </c>
      <c r="H150" s="141">
        <f t="shared" si="108"/>
        <v>10063.3765</v>
      </c>
      <c r="I150" s="141">
        <f t="shared" si="108"/>
        <v>10093.1009</v>
      </c>
      <c r="J150" s="141">
        <f t="shared" si="108"/>
        <v>10121.33925</v>
      </c>
      <c r="K150" s="141">
        <f t="shared" si="108"/>
        <v>10148.16569</v>
      </c>
      <c r="L150" s="141">
        <f t="shared" si="108"/>
        <v>10173.65081</v>
      </c>
      <c r="M150" s="141">
        <f t="shared" si="108"/>
        <v>10197.86167</v>
      </c>
      <c r="N150" s="141">
        <f t="shared" si="108"/>
        <v>10220.86198</v>
      </c>
      <c r="O150" s="141">
        <f t="shared" si="108"/>
        <v>10242.71229</v>
      </c>
      <c r="P150" s="141">
        <f t="shared" si="108"/>
        <v>10263.47007</v>
      </c>
      <c r="Q150" s="141">
        <f t="shared" si="108"/>
        <v>10235.99164</v>
      </c>
      <c r="R150" s="141">
        <f t="shared" si="108"/>
        <v>10251.60323</v>
      </c>
      <c r="S150" s="141">
        <f t="shared" si="108"/>
        <v>10266.43423</v>
      </c>
      <c r="T150" s="141">
        <f t="shared" si="108"/>
        <v>10280.52369</v>
      </c>
      <c r="U150" s="141">
        <f t="shared" si="108"/>
        <v>10293.90867</v>
      </c>
      <c r="V150" s="141">
        <f t="shared" si="108"/>
        <v>10306.62441</v>
      </c>
      <c r="W150" s="141">
        <f t="shared" si="108"/>
        <v>10318.70435</v>
      </c>
      <c r="X150" s="141">
        <f t="shared" si="108"/>
        <v>10330.1803</v>
      </c>
      <c r="Y150" s="141">
        <f t="shared" si="108"/>
        <v>10341.08246</v>
      </c>
      <c r="Z150" s="141">
        <f t="shared" si="108"/>
        <v>10351.4395</v>
      </c>
      <c r="AA150" s="141">
        <f t="shared" si="108"/>
        <v>10361.27869</v>
      </c>
      <c r="AB150" s="141">
        <f t="shared" si="108"/>
        <v>10370.62593</v>
      </c>
      <c r="AC150" s="141">
        <f t="shared" si="108"/>
        <v>10379.5058</v>
      </c>
      <c r="AD150" s="141">
        <f t="shared" si="108"/>
        <v>10387.94167</v>
      </c>
      <c r="AE150" s="141">
        <f t="shared" si="108"/>
        <v>10395.95576</v>
      </c>
      <c r="AF150" s="141">
        <f t="shared" si="108"/>
        <v>10403.56914</v>
      </c>
      <c r="AG150" s="141">
        <f t="shared" si="108"/>
        <v>10410.80185</v>
      </c>
      <c r="AH150" s="141">
        <f t="shared" si="108"/>
        <v>10417.67292</v>
      </c>
      <c r="AI150" s="141">
        <f t="shared" si="108"/>
        <v>10424.20044</v>
      </c>
      <c r="AJ150" s="141">
        <f t="shared" si="108"/>
        <v>10430.40159</v>
      </c>
      <c r="AK150" s="141">
        <f t="shared" si="108"/>
        <v>10436.29268</v>
      </c>
      <c r="AL150" s="141">
        <f t="shared" si="108"/>
        <v>10441.88921</v>
      </c>
      <c r="AM150" s="141">
        <f t="shared" si="108"/>
        <v>10447.20592</v>
      </c>
      <c r="AN150" s="141">
        <f t="shared" si="108"/>
        <v>10452.25679</v>
      </c>
      <c r="AO150" s="141">
        <f t="shared" si="108"/>
        <v>10457.05512</v>
      </c>
      <c r="AP150" s="141">
        <f t="shared" si="108"/>
        <v>10461.61353</v>
      </c>
      <c r="AQ150" s="141">
        <f t="shared" si="108"/>
        <v>10465.94402</v>
      </c>
      <c r="AR150" s="141">
        <f t="shared" si="108"/>
        <v>10470.05799</v>
      </c>
      <c r="AS150" s="141">
        <f t="shared" si="108"/>
        <v>10473.96626</v>
      </c>
      <c r="AT150" s="141">
        <f t="shared" si="108"/>
        <v>10477.67911</v>
      </c>
      <c r="AU150" s="141">
        <f t="shared" si="108"/>
        <v>10481.20632</v>
      </c>
      <c r="AV150" s="141">
        <f t="shared" si="108"/>
        <v>10484.55717</v>
      </c>
      <c r="AW150" s="141">
        <f t="shared" si="108"/>
        <v>10487.74048</v>
      </c>
      <c r="AX150" s="141">
        <f t="shared" si="108"/>
        <v>10490.76463</v>
      </c>
      <c r="AY150" s="141">
        <f t="shared" si="108"/>
        <v>10493.63756</v>
      </c>
      <c r="AZ150" s="141">
        <f t="shared" si="108"/>
        <v>10496.36685</v>
      </c>
      <c r="BA150" s="141">
        <f t="shared" si="108"/>
        <v>10498.95968</v>
      </c>
      <c r="BB150" s="141">
        <f t="shared" si="108"/>
        <v>10501.42286</v>
      </c>
      <c r="BC150" s="141">
        <f t="shared" si="108"/>
        <v>10503.76288</v>
      </c>
      <c r="BD150" s="141">
        <f t="shared" si="108"/>
        <v>10505.98591</v>
      </c>
      <c r="BE150" s="141">
        <f t="shared" si="108"/>
        <v>10508.09778</v>
      </c>
      <c r="BF150" s="141">
        <f t="shared" si="108"/>
        <v>10510.10406</v>
      </c>
      <c r="BG150" s="141">
        <f t="shared" si="108"/>
        <v>10512.01002</v>
      </c>
      <c r="BH150" s="141">
        <f t="shared" si="108"/>
        <v>10513.82069</v>
      </c>
      <c r="BI150" s="141">
        <f t="shared" si="108"/>
        <v>10515.54082</v>
      </c>
      <c r="BJ150" s="141">
        <f t="shared" si="108"/>
        <v>10517.17495</v>
      </c>
      <c r="BK150" s="141">
        <f t="shared" si="108"/>
        <v>10518.72737</v>
      </c>
      <c r="BL150" s="141">
        <f t="shared" si="108"/>
        <v>10520.20217</v>
      </c>
      <c r="BM150" s="141">
        <f t="shared" si="108"/>
        <v>10521.60323</v>
      </c>
      <c r="BN150" s="141">
        <f t="shared" si="108"/>
        <v>10522.93423</v>
      </c>
    </row>
    <row r="151" outlineLevel="1">
      <c r="A151" s="47"/>
      <c r="B151" s="145"/>
      <c r="C151" s="47"/>
      <c r="D151" s="66"/>
      <c r="E151" s="66"/>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c r="AZ151" s="99"/>
      <c r="BA151" s="99"/>
      <c r="BB151" s="99"/>
      <c r="BC151" s="99"/>
      <c r="BD151" s="99"/>
      <c r="BE151" s="99"/>
      <c r="BF151" s="99"/>
      <c r="BG151" s="99"/>
      <c r="BH151" s="99"/>
      <c r="BI151" s="99"/>
      <c r="BJ151" s="99"/>
      <c r="BK151" s="99"/>
      <c r="BL151" s="99"/>
      <c r="BM151" s="99"/>
      <c r="BN151" s="99"/>
    </row>
    <row r="152" outlineLevel="1">
      <c r="A152" s="47"/>
      <c r="B152" s="142" t="s">
        <v>119</v>
      </c>
      <c r="C152" s="65"/>
      <c r="D152" s="143"/>
      <c r="E152" s="66"/>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c r="BC152" s="99"/>
      <c r="BD152" s="99"/>
      <c r="BE152" s="99"/>
      <c r="BF152" s="99"/>
      <c r="BG152" s="99"/>
      <c r="BH152" s="99"/>
      <c r="BI152" s="99"/>
      <c r="BJ152" s="99"/>
      <c r="BK152" s="99"/>
      <c r="BL152" s="99"/>
      <c r="BM152" s="99"/>
      <c r="BN152" s="99"/>
    </row>
    <row r="153" outlineLevel="1">
      <c r="A153" s="47"/>
      <c r="B153" s="125" t="s">
        <v>120</v>
      </c>
      <c r="C153" s="134">
        <v>2000.0</v>
      </c>
      <c r="D153" s="135"/>
      <c r="E153" s="66"/>
      <c r="F153" s="99"/>
      <c r="G153" s="99">
        <f t="shared" ref="G153:G155" si="110">C153</f>
        <v>2000</v>
      </c>
      <c r="H153" s="99">
        <f t="shared" ref="H153:BN153" si="109">G153</f>
        <v>2000</v>
      </c>
      <c r="I153" s="99">
        <f t="shared" si="109"/>
        <v>2000</v>
      </c>
      <c r="J153" s="99">
        <f t="shared" si="109"/>
        <v>2000</v>
      </c>
      <c r="K153" s="99">
        <f t="shared" si="109"/>
        <v>2000</v>
      </c>
      <c r="L153" s="99">
        <f t="shared" si="109"/>
        <v>2000</v>
      </c>
      <c r="M153" s="99">
        <f t="shared" si="109"/>
        <v>2000</v>
      </c>
      <c r="N153" s="99">
        <f t="shared" si="109"/>
        <v>2000</v>
      </c>
      <c r="O153" s="99">
        <f t="shared" si="109"/>
        <v>2000</v>
      </c>
      <c r="P153" s="99">
        <f t="shared" si="109"/>
        <v>2000</v>
      </c>
      <c r="Q153" s="99">
        <f t="shared" si="109"/>
        <v>2000</v>
      </c>
      <c r="R153" s="99">
        <f t="shared" si="109"/>
        <v>2000</v>
      </c>
      <c r="S153" s="99">
        <f t="shared" si="109"/>
        <v>2000</v>
      </c>
      <c r="T153" s="99">
        <f t="shared" si="109"/>
        <v>2000</v>
      </c>
      <c r="U153" s="99">
        <f t="shared" si="109"/>
        <v>2000</v>
      </c>
      <c r="V153" s="99">
        <f t="shared" si="109"/>
        <v>2000</v>
      </c>
      <c r="W153" s="99">
        <f t="shared" si="109"/>
        <v>2000</v>
      </c>
      <c r="X153" s="99">
        <f t="shared" si="109"/>
        <v>2000</v>
      </c>
      <c r="Y153" s="99">
        <f t="shared" si="109"/>
        <v>2000</v>
      </c>
      <c r="Z153" s="99">
        <f t="shared" si="109"/>
        <v>2000</v>
      </c>
      <c r="AA153" s="99">
        <f t="shared" si="109"/>
        <v>2000</v>
      </c>
      <c r="AB153" s="99">
        <f t="shared" si="109"/>
        <v>2000</v>
      </c>
      <c r="AC153" s="99">
        <f t="shared" si="109"/>
        <v>2000</v>
      </c>
      <c r="AD153" s="99">
        <f t="shared" si="109"/>
        <v>2000</v>
      </c>
      <c r="AE153" s="99">
        <f t="shared" si="109"/>
        <v>2000</v>
      </c>
      <c r="AF153" s="99">
        <f t="shared" si="109"/>
        <v>2000</v>
      </c>
      <c r="AG153" s="99">
        <f t="shared" si="109"/>
        <v>2000</v>
      </c>
      <c r="AH153" s="99">
        <f t="shared" si="109"/>
        <v>2000</v>
      </c>
      <c r="AI153" s="99">
        <f t="shared" si="109"/>
        <v>2000</v>
      </c>
      <c r="AJ153" s="99">
        <f t="shared" si="109"/>
        <v>2000</v>
      </c>
      <c r="AK153" s="99">
        <f t="shared" si="109"/>
        <v>2000</v>
      </c>
      <c r="AL153" s="99">
        <f t="shared" si="109"/>
        <v>2000</v>
      </c>
      <c r="AM153" s="99">
        <f t="shared" si="109"/>
        <v>2000</v>
      </c>
      <c r="AN153" s="99">
        <f t="shared" si="109"/>
        <v>2000</v>
      </c>
      <c r="AO153" s="99">
        <f t="shared" si="109"/>
        <v>2000</v>
      </c>
      <c r="AP153" s="99">
        <f t="shared" si="109"/>
        <v>2000</v>
      </c>
      <c r="AQ153" s="99">
        <f t="shared" si="109"/>
        <v>2000</v>
      </c>
      <c r="AR153" s="99">
        <f t="shared" si="109"/>
        <v>2000</v>
      </c>
      <c r="AS153" s="99">
        <f t="shared" si="109"/>
        <v>2000</v>
      </c>
      <c r="AT153" s="99">
        <f t="shared" si="109"/>
        <v>2000</v>
      </c>
      <c r="AU153" s="99">
        <f t="shared" si="109"/>
        <v>2000</v>
      </c>
      <c r="AV153" s="99">
        <f t="shared" si="109"/>
        <v>2000</v>
      </c>
      <c r="AW153" s="99">
        <f t="shared" si="109"/>
        <v>2000</v>
      </c>
      <c r="AX153" s="99">
        <f t="shared" si="109"/>
        <v>2000</v>
      </c>
      <c r="AY153" s="99">
        <f t="shared" si="109"/>
        <v>2000</v>
      </c>
      <c r="AZ153" s="99">
        <f t="shared" si="109"/>
        <v>2000</v>
      </c>
      <c r="BA153" s="99">
        <f t="shared" si="109"/>
        <v>2000</v>
      </c>
      <c r="BB153" s="99">
        <f t="shared" si="109"/>
        <v>2000</v>
      </c>
      <c r="BC153" s="99">
        <f t="shared" si="109"/>
        <v>2000</v>
      </c>
      <c r="BD153" s="99">
        <f t="shared" si="109"/>
        <v>2000</v>
      </c>
      <c r="BE153" s="99">
        <f t="shared" si="109"/>
        <v>2000</v>
      </c>
      <c r="BF153" s="99">
        <f t="shared" si="109"/>
        <v>2000</v>
      </c>
      <c r="BG153" s="99">
        <f t="shared" si="109"/>
        <v>2000</v>
      </c>
      <c r="BH153" s="99">
        <f t="shared" si="109"/>
        <v>2000</v>
      </c>
      <c r="BI153" s="99">
        <f t="shared" si="109"/>
        <v>2000</v>
      </c>
      <c r="BJ153" s="99">
        <f t="shared" si="109"/>
        <v>2000</v>
      </c>
      <c r="BK153" s="99">
        <f t="shared" si="109"/>
        <v>2000</v>
      </c>
      <c r="BL153" s="99">
        <f t="shared" si="109"/>
        <v>2000</v>
      </c>
      <c r="BM153" s="99">
        <f t="shared" si="109"/>
        <v>2000</v>
      </c>
      <c r="BN153" s="99">
        <f t="shared" si="109"/>
        <v>2000</v>
      </c>
    </row>
    <row r="154" outlineLevel="1">
      <c r="A154" s="47"/>
      <c r="B154" s="125" t="s">
        <v>121</v>
      </c>
      <c r="C154" s="134">
        <v>1000.0</v>
      </c>
      <c r="D154" s="135"/>
      <c r="E154" s="66"/>
      <c r="F154" s="99"/>
      <c r="G154" s="99">
        <f t="shared" si="110"/>
        <v>1000</v>
      </c>
      <c r="H154" s="99">
        <f t="shared" ref="H154:BN154" si="111">G154</f>
        <v>1000</v>
      </c>
      <c r="I154" s="99">
        <f t="shared" si="111"/>
        <v>1000</v>
      </c>
      <c r="J154" s="99">
        <f t="shared" si="111"/>
        <v>1000</v>
      </c>
      <c r="K154" s="99">
        <f t="shared" si="111"/>
        <v>1000</v>
      </c>
      <c r="L154" s="99">
        <f t="shared" si="111"/>
        <v>1000</v>
      </c>
      <c r="M154" s="99">
        <f t="shared" si="111"/>
        <v>1000</v>
      </c>
      <c r="N154" s="99">
        <f t="shared" si="111"/>
        <v>1000</v>
      </c>
      <c r="O154" s="99">
        <f t="shared" si="111"/>
        <v>1000</v>
      </c>
      <c r="P154" s="99">
        <f t="shared" si="111"/>
        <v>1000</v>
      </c>
      <c r="Q154" s="99">
        <f t="shared" si="111"/>
        <v>1000</v>
      </c>
      <c r="R154" s="99">
        <f t="shared" si="111"/>
        <v>1000</v>
      </c>
      <c r="S154" s="99">
        <f t="shared" si="111"/>
        <v>1000</v>
      </c>
      <c r="T154" s="99">
        <f t="shared" si="111"/>
        <v>1000</v>
      </c>
      <c r="U154" s="99">
        <f t="shared" si="111"/>
        <v>1000</v>
      </c>
      <c r="V154" s="99">
        <f t="shared" si="111"/>
        <v>1000</v>
      </c>
      <c r="W154" s="99">
        <f t="shared" si="111"/>
        <v>1000</v>
      </c>
      <c r="X154" s="99">
        <f t="shared" si="111"/>
        <v>1000</v>
      </c>
      <c r="Y154" s="99">
        <f t="shared" si="111"/>
        <v>1000</v>
      </c>
      <c r="Z154" s="99">
        <f t="shared" si="111"/>
        <v>1000</v>
      </c>
      <c r="AA154" s="99">
        <f t="shared" si="111"/>
        <v>1000</v>
      </c>
      <c r="AB154" s="99">
        <f t="shared" si="111"/>
        <v>1000</v>
      </c>
      <c r="AC154" s="99">
        <f t="shared" si="111"/>
        <v>1000</v>
      </c>
      <c r="AD154" s="99">
        <f t="shared" si="111"/>
        <v>1000</v>
      </c>
      <c r="AE154" s="99">
        <f t="shared" si="111"/>
        <v>1000</v>
      </c>
      <c r="AF154" s="99">
        <f t="shared" si="111"/>
        <v>1000</v>
      </c>
      <c r="AG154" s="99">
        <f t="shared" si="111"/>
        <v>1000</v>
      </c>
      <c r="AH154" s="99">
        <f t="shared" si="111"/>
        <v>1000</v>
      </c>
      <c r="AI154" s="99">
        <f t="shared" si="111"/>
        <v>1000</v>
      </c>
      <c r="AJ154" s="99">
        <f t="shared" si="111"/>
        <v>1000</v>
      </c>
      <c r="AK154" s="99">
        <f t="shared" si="111"/>
        <v>1000</v>
      </c>
      <c r="AL154" s="99">
        <f t="shared" si="111"/>
        <v>1000</v>
      </c>
      <c r="AM154" s="99">
        <f t="shared" si="111"/>
        <v>1000</v>
      </c>
      <c r="AN154" s="99">
        <f t="shared" si="111"/>
        <v>1000</v>
      </c>
      <c r="AO154" s="99">
        <f t="shared" si="111"/>
        <v>1000</v>
      </c>
      <c r="AP154" s="99">
        <f t="shared" si="111"/>
        <v>1000</v>
      </c>
      <c r="AQ154" s="99">
        <f t="shared" si="111"/>
        <v>1000</v>
      </c>
      <c r="AR154" s="99">
        <f t="shared" si="111"/>
        <v>1000</v>
      </c>
      <c r="AS154" s="99">
        <f t="shared" si="111"/>
        <v>1000</v>
      </c>
      <c r="AT154" s="99">
        <f t="shared" si="111"/>
        <v>1000</v>
      </c>
      <c r="AU154" s="99">
        <f t="shared" si="111"/>
        <v>1000</v>
      </c>
      <c r="AV154" s="99">
        <f t="shared" si="111"/>
        <v>1000</v>
      </c>
      <c r="AW154" s="99">
        <f t="shared" si="111"/>
        <v>1000</v>
      </c>
      <c r="AX154" s="99">
        <f t="shared" si="111"/>
        <v>1000</v>
      </c>
      <c r="AY154" s="99">
        <f t="shared" si="111"/>
        <v>1000</v>
      </c>
      <c r="AZ154" s="99">
        <f t="shared" si="111"/>
        <v>1000</v>
      </c>
      <c r="BA154" s="99">
        <f t="shared" si="111"/>
        <v>1000</v>
      </c>
      <c r="BB154" s="99">
        <f t="shared" si="111"/>
        <v>1000</v>
      </c>
      <c r="BC154" s="99">
        <f t="shared" si="111"/>
        <v>1000</v>
      </c>
      <c r="BD154" s="99">
        <f t="shared" si="111"/>
        <v>1000</v>
      </c>
      <c r="BE154" s="99">
        <f t="shared" si="111"/>
        <v>1000</v>
      </c>
      <c r="BF154" s="99">
        <f t="shared" si="111"/>
        <v>1000</v>
      </c>
      <c r="BG154" s="99">
        <f t="shared" si="111"/>
        <v>1000</v>
      </c>
      <c r="BH154" s="99">
        <f t="shared" si="111"/>
        <v>1000</v>
      </c>
      <c r="BI154" s="99">
        <f t="shared" si="111"/>
        <v>1000</v>
      </c>
      <c r="BJ154" s="99">
        <f t="shared" si="111"/>
        <v>1000</v>
      </c>
      <c r="BK154" s="99">
        <f t="shared" si="111"/>
        <v>1000</v>
      </c>
      <c r="BL154" s="99">
        <f t="shared" si="111"/>
        <v>1000</v>
      </c>
      <c r="BM154" s="99">
        <f t="shared" si="111"/>
        <v>1000</v>
      </c>
      <c r="BN154" s="99">
        <f t="shared" si="111"/>
        <v>1000</v>
      </c>
    </row>
    <row r="155" outlineLevel="1">
      <c r="A155" s="47"/>
      <c r="B155" s="128" t="s">
        <v>100</v>
      </c>
      <c r="C155" s="137">
        <v>2000.0</v>
      </c>
      <c r="D155" s="138"/>
      <c r="E155" s="138"/>
      <c r="F155" s="130"/>
      <c r="G155" s="130">
        <f t="shared" si="110"/>
        <v>2000</v>
      </c>
      <c r="H155" s="130">
        <f t="shared" ref="H155:BN155" si="112">G155</f>
        <v>2000</v>
      </c>
      <c r="I155" s="130">
        <f t="shared" si="112"/>
        <v>2000</v>
      </c>
      <c r="J155" s="130">
        <f t="shared" si="112"/>
        <v>2000</v>
      </c>
      <c r="K155" s="130">
        <f t="shared" si="112"/>
        <v>2000</v>
      </c>
      <c r="L155" s="130">
        <f t="shared" si="112"/>
        <v>2000</v>
      </c>
      <c r="M155" s="130">
        <f t="shared" si="112"/>
        <v>2000</v>
      </c>
      <c r="N155" s="130">
        <f t="shared" si="112"/>
        <v>2000</v>
      </c>
      <c r="O155" s="130">
        <f t="shared" si="112"/>
        <v>2000</v>
      </c>
      <c r="P155" s="130">
        <f t="shared" si="112"/>
        <v>2000</v>
      </c>
      <c r="Q155" s="130">
        <f t="shared" si="112"/>
        <v>2000</v>
      </c>
      <c r="R155" s="130">
        <f t="shared" si="112"/>
        <v>2000</v>
      </c>
      <c r="S155" s="130">
        <f t="shared" si="112"/>
        <v>2000</v>
      </c>
      <c r="T155" s="130">
        <f t="shared" si="112"/>
        <v>2000</v>
      </c>
      <c r="U155" s="130">
        <f t="shared" si="112"/>
        <v>2000</v>
      </c>
      <c r="V155" s="130">
        <f t="shared" si="112"/>
        <v>2000</v>
      </c>
      <c r="W155" s="130">
        <f t="shared" si="112"/>
        <v>2000</v>
      </c>
      <c r="X155" s="130">
        <f t="shared" si="112"/>
        <v>2000</v>
      </c>
      <c r="Y155" s="130">
        <f t="shared" si="112"/>
        <v>2000</v>
      </c>
      <c r="Z155" s="130">
        <f t="shared" si="112"/>
        <v>2000</v>
      </c>
      <c r="AA155" s="130">
        <f t="shared" si="112"/>
        <v>2000</v>
      </c>
      <c r="AB155" s="130">
        <f t="shared" si="112"/>
        <v>2000</v>
      </c>
      <c r="AC155" s="130">
        <f t="shared" si="112"/>
        <v>2000</v>
      </c>
      <c r="AD155" s="130">
        <f t="shared" si="112"/>
        <v>2000</v>
      </c>
      <c r="AE155" s="130">
        <f t="shared" si="112"/>
        <v>2000</v>
      </c>
      <c r="AF155" s="130">
        <f t="shared" si="112"/>
        <v>2000</v>
      </c>
      <c r="AG155" s="130">
        <f t="shared" si="112"/>
        <v>2000</v>
      </c>
      <c r="AH155" s="130">
        <f t="shared" si="112"/>
        <v>2000</v>
      </c>
      <c r="AI155" s="130">
        <f t="shared" si="112"/>
        <v>2000</v>
      </c>
      <c r="AJ155" s="130">
        <f t="shared" si="112"/>
        <v>2000</v>
      </c>
      <c r="AK155" s="130">
        <f t="shared" si="112"/>
        <v>2000</v>
      </c>
      <c r="AL155" s="130">
        <f t="shared" si="112"/>
        <v>2000</v>
      </c>
      <c r="AM155" s="130">
        <f t="shared" si="112"/>
        <v>2000</v>
      </c>
      <c r="AN155" s="130">
        <f t="shared" si="112"/>
        <v>2000</v>
      </c>
      <c r="AO155" s="130">
        <f t="shared" si="112"/>
        <v>2000</v>
      </c>
      <c r="AP155" s="130">
        <f t="shared" si="112"/>
        <v>2000</v>
      </c>
      <c r="AQ155" s="130">
        <f t="shared" si="112"/>
        <v>2000</v>
      </c>
      <c r="AR155" s="130">
        <f t="shared" si="112"/>
        <v>2000</v>
      </c>
      <c r="AS155" s="130">
        <f t="shared" si="112"/>
        <v>2000</v>
      </c>
      <c r="AT155" s="130">
        <f t="shared" si="112"/>
        <v>2000</v>
      </c>
      <c r="AU155" s="130">
        <f t="shared" si="112"/>
        <v>2000</v>
      </c>
      <c r="AV155" s="130">
        <f t="shared" si="112"/>
        <v>2000</v>
      </c>
      <c r="AW155" s="130">
        <f t="shared" si="112"/>
        <v>2000</v>
      </c>
      <c r="AX155" s="130">
        <f t="shared" si="112"/>
        <v>2000</v>
      </c>
      <c r="AY155" s="130">
        <f t="shared" si="112"/>
        <v>2000</v>
      </c>
      <c r="AZ155" s="130">
        <f t="shared" si="112"/>
        <v>2000</v>
      </c>
      <c r="BA155" s="130">
        <f t="shared" si="112"/>
        <v>2000</v>
      </c>
      <c r="BB155" s="130">
        <f t="shared" si="112"/>
        <v>2000</v>
      </c>
      <c r="BC155" s="130">
        <f t="shared" si="112"/>
        <v>2000</v>
      </c>
      <c r="BD155" s="130">
        <f t="shared" si="112"/>
        <v>2000</v>
      </c>
      <c r="BE155" s="130">
        <f t="shared" si="112"/>
        <v>2000</v>
      </c>
      <c r="BF155" s="130">
        <f t="shared" si="112"/>
        <v>2000</v>
      </c>
      <c r="BG155" s="130">
        <f t="shared" si="112"/>
        <v>2000</v>
      </c>
      <c r="BH155" s="130">
        <f t="shared" si="112"/>
        <v>2000</v>
      </c>
      <c r="BI155" s="130">
        <f t="shared" si="112"/>
        <v>2000</v>
      </c>
      <c r="BJ155" s="130">
        <f t="shared" si="112"/>
        <v>2000</v>
      </c>
      <c r="BK155" s="130">
        <f t="shared" si="112"/>
        <v>2000</v>
      </c>
      <c r="BL155" s="130">
        <f t="shared" si="112"/>
        <v>2000</v>
      </c>
      <c r="BM155" s="130">
        <f t="shared" si="112"/>
        <v>2000</v>
      </c>
      <c r="BN155" s="130">
        <f t="shared" si="112"/>
        <v>2000</v>
      </c>
    </row>
    <row r="156" outlineLevel="1">
      <c r="A156" s="139"/>
      <c r="B156" s="144" t="s">
        <v>106</v>
      </c>
      <c r="C156" s="139"/>
      <c r="D156" s="139"/>
      <c r="E156" s="139"/>
      <c r="F156" s="139"/>
      <c r="G156" s="141">
        <f t="shared" ref="G156:BN156" si="113">sum(G153:G155)</f>
        <v>5000</v>
      </c>
      <c r="H156" s="141">
        <f t="shared" si="113"/>
        <v>5000</v>
      </c>
      <c r="I156" s="141">
        <f t="shared" si="113"/>
        <v>5000</v>
      </c>
      <c r="J156" s="141">
        <f t="shared" si="113"/>
        <v>5000</v>
      </c>
      <c r="K156" s="141">
        <f t="shared" si="113"/>
        <v>5000</v>
      </c>
      <c r="L156" s="141">
        <f t="shared" si="113"/>
        <v>5000</v>
      </c>
      <c r="M156" s="141">
        <f t="shared" si="113"/>
        <v>5000</v>
      </c>
      <c r="N156" s="141">
        <f t="shared" si="113"/>
        <v>5000</v>
      </c>
      <c r="O156" s="141">
        <f t="shared" si="113"/>
        <v>5000</v>
      </c>
      <c r="P156" s="141">
        <f t="shared" si="113"/>
        <v>5000</v>
      </c>
      <c r="Q156" s="141">
        <f t="shared" si="113"/>
        <v>5000</v>
      </c>
      <c r="R156" s="141">
        <f t="shared" si="113"/>
        <v>5000</v>
      </c>
      <c r="S156" s="141">
        <f t="shared" si="113"/>
        <v>5000</v>
      </c>
      <c r="T156" s="141">
        <f t="shared" si="113"/>
        <v>5000</v>
      </c>
      <c r="U156" s="141">
        <f t="shared" si="113"/>
        <v>5000</v>
      </c>
      <c r="V156" s="141">
        <f t="shared" si="113"/>
        <v>5000</v>
      </c>
      <c r="W156" s="141">
        <f t="shared" si="113"/>
        <v>5000</v>
      </c>
      <c r="X156" s="141">
        <f t="shared" si="113"/>
        <v>5000</v>
      </c>
      <c r="Y156" s="141">
        <f t="shared" si="113"/>
        <v>5000</v>
      </c>
      <c r="Z156" s="141">
        <f t="shared" si="113"/>
        <v>5000</v>
      </c>
      <c r="AA156" s="141">
        <f t="shared" si="113"/>
        <v>5000</v>
      </c>
      <c r="AB156" s="141">
        <f t="shared" si="113"/>
        <v>5000</v>
      </c>
      <c r="AC156" s="141">
        <f t="shared" si="113"/>
        <v>5000</v>
      </c>
      <c r="AD156" s="141">
        <f t="shared" si="113"/>
        <v>5000</v>
      </c>
      <c r="AE156" s="141">
        <f t="shared" si="113"/>
        <v>5000</v>
      </c>
      <c r="AF156" s="141">
        <f t="shared" si="113"/>
        <v>5000</v>
      </c>
      <c r="AG156" s="141">
        <f t="shared" si="113"/>
        <v>5000</v>
      </c>
      <c r="AH156" s="141">
        <f t="shared" si="113"/>
        <v>5000</v>
      </c>
      <c r="AI156" s="141">
        <f t="shared" si="113"/>
        <v>5000</v>
      </c>
      <c r="AJ156" s="141">
        <f t="shared" si="113"/>
        <v>5000</v>
      </c>
      <c r="AK156" s="141">
        <f t="shared" si="113"/>
        <v>5000</v>
      </c>
      <c r="AL156" s="141">
        <f t="shared" si="113"/>
        <v>5000</v>
      </c>
      <c r="AM156" s="141">
        <f t="shared" si="113"/>
        <v>5000</v>
      </c>
      <c r="AN156" s="141">
        <f t="shared" si="113"/>
        <v>5000</v>
      </c>
      <c r="AO156" s="141">
        <f t="shared" si="113"/>
        <v>5000</v>
      </c>
      <c r="AP156" s="141">
        <f t="shared" si="113"/>
        <v>5000</v>
      </c>
      <c r="AQ156" s="141">
        <f t="shared" si="113"/>
        <v>5000</v>
      </c>
      <c r="AR156" s="141">
        <f t="shared" si="113"/>
        <v>5000</v>
      </c>
      <c r="AS156" s="141">
        <f t="shared" si="113"/>
        <v>5000</v>
      </c>
      <c r="AT156" s="141">
        <f t="shared" si="113"/>
        <v>5000</v>
      </c>
      <c r="AU156" s="141">
        <f t="shared" si="113"/>
        <v>5000</v>
      </c>
      <c r="AV156" s="141">
        <f t="shared" si="113"/>
        <v>5000</v>
      </c>
      <c r="AW156" s="141">
        <f t="shared" si="113"/>
        <v>5000</v>
      </c>
      <c r="AX156" s="141">
        <f t="shared" si="113"/>
        <v>5000</v>
      </c>
      <c r="AY156" s="141">
        <f t="shared" si="113"/>
        <v>5000</v>
      </c>
      <c r="AZ156" s="141">
        <f t="shared" si="113"/>
        <v>5000</v>
      </c>
      <c r="BA156" s="141">
        <f t="shared" si="113"/>
        <v>5000</v>
      </c>
      <c r="BB156" s="141">
        <f t="shared" si="113"/>
        <v>5000</v>
      </c>
      <c r="BC156" s="141">
        <f t="shared" si="113"/>
        <v>5000</v>
      </c>
      <c r="BD156" s="141">
        <f t="shared" si="113"/>
        <v>5000</v>
      </c>
      <c r="BE156" s="141">
        <f t="shared" si="113"/>
        <v>5000</v>
      </c>
      <c r="BF156" s="141">
        <f t="shared" si="113"/>
        <v>5000</v>
      </c>
      <c r="BG156" s="141">
        <f t="shared" si="113"/>
        <v>5000</v>
      </c>
      <c r="BH156" s="141">
        <f t="shared" si="113"/>
        <v>5000</v>
      </c>
      <c r="BI156" s="141">
        <f t="shared" si="113"/>
        <v>5000</v>
      </c>
      <c r="BJ156" s="141">
        <f t="shared" si="113"/>
        <v>5000</v>
      </c>
      <c r="BK156" s="141">
        <f t="shared" si="113"/>
        <v>5000</v>
      </c>
      <c r="BL156" s="141">
        <f t="shared" si="113"/>
        <v>5000</v>
      </c>
      <c r="BM156" s="141">
        <f t="shared" si="113"/>
        <v>5000</v>
      </c>
      <c r="BN156" s="141">
        <f t="shared" si="113"/>
        <v>5000</v>
      </c>
    </row>
    <row r="157" outlineLevel="1">
      <c r="A157" s="47"/>
      <c r="B157" s="145"/>
      <c r="C157" s="47"/>
      <c r="D157" s="66"/>
      <c r="E157" s="66"/>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c r="BC157" s="99"/>
      <c r="BD157" s="99"/>
      <c r="BE157" s="99"/>
      <c r="BF157" s="99"/>
      <c r="BG157" s="99"/>
      <c r="BH157" s="99"/>
      <c r="BI157" s="99"/>
      <c r="BJ157" s="99"/>
      <c r="BK157" s="99"/>
      <c r="BL157" s="99"/>
      <c r="BM157" s="99"/>
      <c r="BN157" s="99"/>
    </row>
    <row r="158" outlineLevel="1">
      <c r="A158" s="47"/>
      <c r="B158" s="142" t="s">
        <v>100</v>
      </c>
      <c r="C158" s="120" t="s">
        <v>97</v>
      </c>
      <c r="D158" s="66"/>
      <c r="E158" s="66"/>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c r="AZ158" s="99"/>
      <c r="BA158" s="99"/>
      <c r="BB158" s="99"/>
      <c r="BC158" s="99"/>
      <c r="BD158" s="99"/>
      <c r="BE158" s="99"/>
      <c r="BF158" s="99"/>
      <c r="BG158" s="99"/>
      <c r="BH158" s="99"/>
      <c r="BI158" s="99"/>
      <c r="BJ158" s="99"/>
      <c r="BK158" s="99"/>
      <c r="BL158" s="99"/>
      <c r="BM158" s="99"/>
      <c r="BN158" s="99"/>
    </row>
    <row r="159" outlineLevel="1">
      <c r="A159" s="47"/>
      <c r="B159" s="125" t="s">
        <v>122</v>
      </c>
      <c r="C159" s="123">
        <v>0.1</v>
      </c>
      <c r="D159" s="66"/>
      <c r="E159" s="66"/>
      <c r="F159" s="99"/>
      <c r="G159" s="99">
        <f>Financials!F$8*$C159</f>
        <v>40.125</v>
      </c>
      <c r="H159" s="99">
        <f>Financials!G$8*$C159</f>
        <v>79.220625</v>
      </c>
      <c r="I159" s="99">
        <f>Financials!H$8*$C159</f>
        <v>116.3761219</v>
      </c>
      <c r="J159" s="99">
        <f>Financials!I$8*$C159</f>
        <v>151.6740637</v>
      </c>
      <c r="K159" s="99">
        <f>Financials!J$8*$C159</f>
        <v>185.2071117</v>
      </c>
      <c r="L159" s="99">
        <f>Financials!K$8*$C159</f>
        <v>217.0635074</v>
      </c>
      <c r="M159" s="99">
        <f>Financials!L$8*$C159</f>
        <v>247.3270833</v>
      </c>
      <c r="N159" s="99">
        <f>Financials!M$8*$C159</f>
        <v>276.0774804</v>
      </c>
      <c r="O159" s="99">
        <f>Financials!N$8*$C159</f>
        <v>303.3903577</v>
      </c>
      <c r="P159" s="99">
        <f>Financials!O$8*$C159</f>
        <v>329.3375911</v>
      </c>
      <c r="Q159" s="99">
        <f>Financials!P$8*$C159</f>
        <v>294.9895523</v>
      </c>
      <c r="R159" s="99">
        <f>Financials!Q$8*$C159</f>
        <v>314.5040341</v>
      </c>
      <c r="S159" s="99">
        <f>Financials!R$8*$C159</f>
        <v>333.0427918</v>
      </c>
      <c r="T159" s="99">
        <f>Financials!S$8*$C159</f>
        <v>350.6546116</v>
      </c>
      <c r="U159" s="99">
        <f>Financials!T$8*$C159</f>
        <v>367.3858404</v>
      </c>
      <c r="V159" s="99">
        <f>Financials!U$8*$C159</f>
        <v>383.2805078</v>
      </c>
      <c r="W159" s="99">
        <f>Financials!V$8*$C159</f>
        <v>398.3804418</v>
      </c>
      <c r="X159" s="99">
        <f>Financials!W$8*$C159</f>
        <v>412.7253791</v>
      </c>
      <c r="Y159" s="99">
        <f>Financials!X$8*$C159</f>
        <v>426.3530695</v>
      </c>
      <c r="Z159" s="99">
        <f>Financials!Y$8*$C159</f>
        <v>439.2993754</v>
      </c>
      <c r="AA159" s="99">
        <f>Financials!Z$8*$C159</f>
        <v>451.598366</v>
      </c>
      <c r="AB159" s="99">
        <f>Financials!AA$8*$C159</f>
        <v>463.2824071</v>
      </c>
      <c r="AC159" s="99">
        <f>Financials!AB$8*$C159</f>
        <v>474.3822462</v>
      </c>
      <c r="AD159" s="99">
        <f>Financials!AC$8*$C159</f>
        <v>484.9270932</v>
      </c>
      <c r="AE159" s="99">
        <f>Financials!AD$8*$C159</f>
        <v>494.944698</v>
      </c>
      <c r="AF159" s="99">
        <f>Financials!AE$8*$C159</f>
        <v>504.4614225</v>
      </c>
      <c r="AG159" s="99">
        <f>Financials!AF$8*$C159</f>
        <v>513.5023107</v>
      </c>
      <c r="AH159" s="99">
        <f>Financials!AG$8*$C159</f>
        <v>522.0911546</v>
      </c>
      <c r="AI159" s="99">
        <f>Financials!AH$8*$C159</f>
        <v>530.2505562</v>
      </c>
      <c r="AJ159" s="99">
        <f>Financials!AI$8*$C159</f>
        <v>538.0019878</v>
      </c>
      <c r="AK159" s="99">
        <f>Financials!AJ$8*$C159</f>
        <v>545.3658478</v>
      </c>
      <c r="AL159" s="99">
        <f>Financials!AK$8*$C159</f>
        <v>552.3615148</v>
      </c>
      <c r="AM159" s="99">
        <f>Financials!AL$8*$C159</f>
        <v>559.0073985</v>
      </c>
      <c r="AN159" s="99">
        <f>Financials!AM$8*$C159</f>
        <v>565.3209879</v>
      </c>
      <c r="AO159" s="99">
        <f>Financials!AN$8*$C159</f>
        <v>571.3188979</v>
      </c>
      <c r="AP159" s="99">
        <f>Financials!AO$8*$C159</f>
        <v>577.0169124</v>
      </c>
      <c r="AQ159" s="99">
        <f>Financials!AP$8*$C159</f>
        <v>582.4300262</v>
      </c>
      <c r="AR159" s="99">
        <f>Financials!AQ$8*$C159</f>
        <v>587.5724843</v>
      </c>
      <c r="AS159" s="99">
        <f>Financials!AR$8*$C159</f>
        <v>592.4578195</v>
      </c>
      <c r="AT159" s="99">
        <f>Financials!AS$8*$C159</f>
        <v>597.0988879</v>
      </c>
      <c r="AU159" s="99">
        <f>Financials!AT$8*$C159</f>
        <v>601.5079029</v>
      </c>
      <c r="AV159" s="99">
        <f>Financials!AU$8*$C159</f>
        <v>605.6964671</v>
      </c>
      <c r="AW159" s="99">
        <f>Financials!AV$8*$C159</f>
        <v>609.6756032</v>
      </c>
      <c r="AX159" s="99">
        <f>Financials!AW$8*$C159</f>
        <v>613.4557824</v>
      </c>
      <c r="AY159" s="99">
        <f>Financials!AX$8*$C159</f>
        <v>617.0469527</v>
      </c>
      <c r="AZ159" s="99">
        <f>Financials!AY$8*$C159</f>
        <v>620.4585644</v>
      </c>
      <c r="BA159" s="99">
        <f>Financials!AZ$8*$C159</f>
        <v>623.6995956</v>
      </c>
      <c r="BB159" s="99">
        <f>Financials!BA$8*$C159</f>
        <v>626.7785752</v>
      </c>
      <c r="BC159" s="99">
        <f>Financials!BB$8*$C159</f>
        <v>629.7036058</v>
      </c>
      <c r="BD159" s="99">
        <f>Financials!BC$8*$C159</f>
        <v>632.4823849</v>
      </c>
      <c r="BE159" s="99">
        <f>Financials!BD$8*$C159</f>
        <v>635.1222251</v>
      </c>
      <c r="BF159" s="99">
        <f>Financials!BE$8*$C159</f>
        <v>637.6300732</v>
      </c>
      <c r="BG159" s="99">
        <f>Financials!BF$8*$C159</f>
        <v>640.0125289</v>
      </c>
      <c r="BH159" s="99">
        <f>Financials!BG$8*$C159</f>
        <v>642.2758619</v>
      </c>
      <c r="BI159" s="99">
        <f>Financials!BH$8*$C159</f>
        <v>644.4260282</v>
      </c>
      <c r="BJ159" s="99">
        <f>Financials!BI$8*$C159</f>
        <v>646.4686862</v>
      </c>
      <c r="BK159" s="99">
        <f>Financials!BJ$8*$C159</f>
        <v>648.4092112</v>
      </c>
      <c r="BL159" s="99">
        <f>Financials!BK$8*$C159</f>
        <v>650.2527101</v>
      </c>
      <c r="BM159" s="99">
        <f>Financials!BL$8*$C159</f>
        <v>652.004034</v>
      </c>
      <c r="BN159" s="99">
        <f>Financials!BM$8*$C159</f>
        <v>653.6677917</v>
      </c>
    </row>
    <row r="160" outlineLevel="1">
      <c r="A160" s="47"/>
      <c r="B160" s="39"/>
      <c r="C160" s="47"/>
      <c r="D160" s="47"/>
      <c r="E160" s="47"/>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c r="AZ160" s="99"/>
      <c r="BA160" s="99"/>
      <c r="BB160" s="99"/>
      <c r="BC160" s="99"/>
      <c r="BD160" s="99"/>
      <c r="BE160" s="99"/>
      <c r="BF160" s="99"/>
      <c r="BG160" s="99"/>
      <c r="BH160" s="99"/>
      <c r="BI160" s="99"/>
      <c r="BJ160" s="99"/>
      <c r="BK160" s="99"/>
      <c r="BL160" s="99"/>
      <c r="BM160" s="99"/>
      <c r="BN160" s="99"/>
    </row>
    <row r="161" outlineLevel="1">
      <c r="A161" s="47"/>
      <c r="B161" s="39" t="s">
        <v>123</v>
      </c>
      <c r="C161" s="123">
        <v>0.27</v>
      </c>
      <c r="D161" s="47"/>
      <c r="E161" s="47"/>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c r="AZ161" s="99"/>
      <c r="BA161" s="99"/>
      <c r="BB161" s="99"/>
      <c r="BC161" s="99"/>
      <c r="BD161" s="99"/>
      <c r="BE161" s="99"/>
      <c r="BF161" s="99"/>
      <c r="BG161" s="99"/>
      <c r="BH161" s="99"/>
      <c r="BI161" s="99"/>
      <c r="BJ161" s="99"/>
      <c r="BK161" s="99"/>
      <c r="BL161" s="99"/>
      <c r="BM161" s="99"/>
      <c r="BN161" s="99"/>
    </row>
    <row r="162" outlineLevel="1">
      <c r="A162" s="47"/>
      <c r="B162" s="47"/>
      <c r="C162" s="47"/>
      <c r="D162" s="47"/>
      <c r="E162" s="47"/>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row>
    <row r="163" outlineLevel="1">
      <c r="A163" s="47"/>
      <c r="B163" s="118" t="s">
        <v>64</v>
      </c>
      <c r="C163" s="47"/>
      <c r="D163" s="47"/>
      <c r="E163" s="47"/>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row>
    <row r="164">
      <c r="A164" s="47"/>
      <c r="B164" s="146"/>
      <c r="C164" s="47"/>
      <c r="D164" s="47"/>
      <c r="E164" s="47"/>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row>
    <row r="165">
      <c r="A165" s="47"/>
      <c r="B165" s="48" t="s">
        <v>124</v>
      </c>
      <c r="C165" s="49"/>
      <c r="D165" s="49"/>
      <c r="E165" s="49"/>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row>
    <row r="166" outlineLevel="1">
      <c r="A166" s="47"/>
      <c r="B166" s="47"/>
      <c r="C166" s="47"/>
      <c r="D166" s="47"/>
      <c r="E166" s="47"/>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row>
    <row r="167" outlineLevel="1">
      <c r="A167" s="47"/>
      <c r="B167" s="147" t="s">
        <v>125</v>
      </c>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c r="AU167" s="148"/>
      <c r="AV167" s="148"/>
      <c r="AW167" s="148"/>
      <c r="AX167" s="148"/>
      <c r="AY167" s="148"/>
      <c r="AZ167" s="148"/>
      <c r="BA167" s="148"/>
      <c r="BB167" s="148"/>
      <c r="BC167" s="148"/>
      <c r="BD167" s="148"/>
      <c r="BE167" s="148"/>
      <c r="BF167" s="148"/>
      <c r="BG167" s="148"/>
      <c r="BH167" s="148"/>
      <c r="BI167" s="148"/>
      <c r="BJ167" s="148"/>
      <c r="BK167" s="148"/>
      <c r="BL167" s="148"/>
      <c r="BM167" s="148"/>
      <c r="BN167" s="148"/>
    </row>
    <row r="168" outlineLevel="1">
      <c r="A168" s="47"/>
      <c r="B168" s="39"/>
      <c r="C168" s="47"/>
      <c r="D168" s="47"/>
      <c r="E168" s="47"/>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c r="AB168" s="149"/>
      <c r="AC168" s="149"/>
      <c r="AD168" s="149"/>
      <c r="AE168" s="149"/>
      <c r="AF168" s="149"/>
      <c r="AG168" s="149"/>
      <c r="AH168" s="149"/>
      <c r="AI168" s="149"/>
      <c r="AJ168" s="149"/>
      <c r="AK168" s="149"/>
      <c r="AL168" s="149"/>
      <c r="AM168" s="149"/>
      <c r="AN168" s="149"/>
      <c r="AO168" s="149"/>
      <c r="AP168" s="149"/>
      <c r="AQ168" s="149"/>
      <c r="AR168" s="149"/>
      <c r="AS168" s="149"/>
      <c r="AT168" s="149"/>
      <c r="AU168" s="149"/>
      <c r="AV168" s="149"/>
      <c r="AW168" s="149"/>
      <c r="AX168" s="149"/>
      <c r="AY168" s="149"/>
      <c r="AZ168" s="149"/>
      <c r="BA168" s="149"/>
      <c r="BB168" s="149"/>
      <c r="BC168" s="149"/>
      <c r="BD168" s="149"/>
      <c r="BE168" s="149"/>
      <c r="BF168" s="149"/>
      <c r="BG168" s="149"/>
      <c r="BH168" s="149"/>
      <c r="BI168" s="149"/>
      <c r="BJ168" s="149"/>
      <c r="BK168" s="149"/>
      <c r="BL168" s="149"/>
      <c r="BM168" s="149"/>
      <c r="BN168" s="149"/>
    </row>
    <row r="169" outlineLevel="1">
      <c r="A169" s="66"/>
      <c r="B169" s="67" t="s">
        <v>126</v>
      </c>
      <c r="C169" s="150">
        <v>500000.0</v>
      </c>
      <c r="D169" s="66"/>
      <c r="E169" s="66"/>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c r="AZ169" s="99"/>
      <c r="BA169" s="99"/>
      <c r="BB169" s="99"/>
      <c r="BC169" s="99"/>
      <c r="BD169" s="99"/>
      <c r="BE169" s="99"/>
      <c r="BF169" s="99"/>
      <c r="BG169" s="99"/>
      <c r="BH169" s="99"/>
      <c r="BI169" s="99"/>
      <c r="BJ169" s="99"/>
      <c r="BK169" s="99"/>
      <c r="BL169" s="99"/>
      <c r="BM169" s="99"/>
      <c r="BN169" s="99"/>
    </row>
    <row r="170" outlineLevel="1">
      <c r="A170" s="47"/>
      <c r="B170" s="39"/>
      <c r="C170" s="47"/>
      <c r="D170" s="47"/>
      <c r="E170" s="47"/>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c r="AE170" s="149"/>
      <c r="AF170" s="149"/>
      <c r="AG170" s="149"/>
      <c r="AH170" s="149"/>
      <c r="AI170" s="149"/>
      <c r="AJ170" s="149"/>
      <c r="AK170" s="149"/>
      <c r="AL170" s="149"/>
      <c r="AM170" s="149"/>
      <c r="AN170" s="149"/>
      <c r="AO170" s="149"/>
      <c r="AP170" s="149"/>
      <c r="AQ170" s="149"/>
      <c r="AR170" s="149"/>
      <c r="AS170" s="149"/>
      <c r="AT170" s="149"/>
      <c r="AU170" s="149"/>
      <c r="AV170" s="149"/>
      <c r="AW170" s="149"/>
      <c r="AX170" s="149"/>
      <c r="AY170" s="149"/>
      <c r="AZ170" s="149"/>
      <c r="BA170" s="149"/>
      <c r="BB170" s="149"/>
      <c r="BC170" s="149"/>
      <c r="BD170" s="149"/>
      <c r="BE170" s="149"/>
      <c r="BF170" s="149"/>
      <c r="BG170" s="149"/>
      <c r="BH170" s="149"/>
      <c r="BI170" s="149"/>
      <c r="BJ170" s="149"/>
      <c r="BK170" s="149"/>
      <c r="BL170" s="149"/>
      <c r="BM170" s="149"/>
      <c r="BN170" s="149"/>
    </row>
    <row r="171" outlineLevel="1">
      <c r="A171" s="47"/>
      <c r="B171" s="142" t="s">
        <v>127</v>
      </c>
      <c r="C171" s="151">
        <v>15.0</v>
      </c>
      <c r="D171" s="39" t="s">
        <v>128</v>
      </c>
      <c r="E171" s="47"/>
      <c r="F171" s="152"/>
      <c r="G171" s="152">
        <f>sum(Financials!F8)*($C171/30)</f>
        <v>200.625</v>
      </c>
      <c r="H171" s="152">
        <f>sum(Financials!G8)*($C171/30)</f>
        <v>396.103125</v>
      </c>
      <c r="I171" s="152">
        <f>sum(Financials!H8)*($C171/30)</f>
        <v>581.8806094</v>
      </c>
      <c r="J171" s="152">
        <f>sum(Financials!I8)*($C171/30)</f>
        <v>758.3703185</v>
      </c>
      <c r="K171" s="152">
        <f>sum(Financials!J8)*($C171/30)</f>
        <v>926.0355587</v>
      </c>
      <c r="L171" s="152">
        <f>sum(Financials!K8)*($C171/30)</f>
        <v>1085.317537</v>
      </c>
      <c r="M171" s="152">
        <f>sum(Financials!L8)*($C171/30)</f>
        <v>1236.635417</v>
      </c>
      <c r="N171" s="152">
        <f>sum(Financials!M8)*($C171/30)</f>
        <v>1380.387402</v>
      </c>
      <c r="O171" s="152">
        <f>sum(Financials!N8)*($C171/30)</f>
        <v>1516.951788</v>
      </c>
      <c r="P171" s="152">
        <f>sum(Financials!O8)*($C171/30)</f>
        <v>1646.687955</v>
      </c>
      <c r="Q171" s="152">
        <f>sum(Financials!P8)*($C171/30)</f>
        <v>1474.947762</v>
      </c>
      <c r="R171" s="152">
        <f>sum(Financials!Q8)*($C171/30)</f>
        <v>1572.52017</v>
      </c>
      <c r="S171" s="152">
        <f>sum(Financials!R8)*($C171/30)</f>
        <v>1665.213959</v>
      </c>
      <c r="T171" s="152">
        <f>sum(Financials!S8)*($C171/30)</f>
        <v>1753.273058</v>
      </c>
      <c r="U171" s="152">
        <f>sum(Financials!T8)*($C171/30)</f>
        <v>1836.929202</v>
      </c>
      <c r="V171" s="152">
        <f>sum(Financials!U8)*($C171/30)</f>
        <v>1916.402539</v>
      </c>
      <c r="W171" s="152">
        <f>sum(Financials!V8)*($C171/30)</f>
        <v>1991.902209</v>
      </c>
      <c r="X171" s="152">
        <f>sum(Financials!W8)*($C171/30)</f>
        <v>2063.626895</v>
      </c>
      <c r="Y171" s="152">
        <f>sum(Financials!X8)*($C171/30)</f>
        <v>2131.765348</v>
      </c>
      <c r="Z171" s="152">
        <f>sum(Financials!Y8)*($C171/30)</f>
        <v>2196.496877</v>
      </c>
      <c r="AA171" s="152">
        <f>sum(Financials!Z8)*($C171/30)</f>
        <v>2257.99183</v>
      </c>
      <c r="AB171" s="152">
        <f>sum(Financials!AA8)*($C171/30)</f>
        <v>2316.412036</v>
      </c>
      <c r="AC171" s="152">
        <f>sum(Financials!AB8)*($C171/30)</f>
        <v>2371.911231</v>
      </c>
      <c r="AD171" s="152">
        <f>sum(Financials!AC8)*($C171/30)</f>
        <v>2424.635466</v>
      </c>
      <c r="AE171" s="152">
        <f>sum(Financials!AD8)*($C171/30)</f>
        <v>2474.72349</v>
      </c>
      <c r="AF171" s="152">
        <f>sum(Financials!AE8)*($C171/30)</f>
        <v>2522.307112</v>
      </c>
      <c r="AG171" s="152">
        <f>sum(Financials!AF8)*($C171/30)</f>
        <v>2567.511554</v>
      </c>
      <c r="AH171" s="152">
        <f>sum(Financials!AG8)*($C171/30)</f>
        <v>2610.455773</v>
      </c>
      <c r="AI171" s="152">
        <f>sum(Financials!AH8)*($C171/30)</f>
        <v>2651.252781</v>
      </c>
      <c r="AJ171" s="152">
        <f>sum(Financials!AI8)*($C171/30)</f>
        <v>2690.009939</v>
      </c>
      <c r="AK171" s="152">
        <f>sum(Financials!AJ8)*($C171/30)</f>
        <v>2726.829239</v>
      </c>
      <c r="AL171" s="152">
        <f>sum(Financials!AK8)*($C171/30)</f>
        <v>2761.807574</v>
      </c>
      <c r="AM171" s="152">
        <f>sum(Financials!AL8)*($C171/30)</f>
        <v>2795.036992</v>
      </c>
      <c r="AN171" s="152">
        <f>sum(Financials!AM8)*($C171/30)</f>
        <v>2826.60494</v>
      </c>
      <c r="AO171" s="152">
        <f>sum(Financials!AN8)*($C171/30)</f>
        <v>2856.59449</v>
      </c>
      <c r="AP171" s="152">
        <f>sum(Financials!AO8)*($C171/30)</f>
        <v>2885.084562</v>
      </c>
      <c r="AQ171" s="152">
        <f>sum(Financials!AP8)*($C171/30)</f>
        <v>2912.150131</v>
      </c>
      <c r="AR171" s="152">
        <f>sum(Financials!AQ8)*($C171/30)</f>
        <v>2937.862421</v>
      </c>
      <c r="AS171" s="152">
        <f>sum(Financials!AR8)*($C171/30)</f>
        <v>2962.289097</v>
      </c>
      <c r="AT171" s="152">
        <f>sum(Financials!AS8)*($C171/30)</f>
        <v>2985.494439</v>
      </c>
      <c r="AU171" s="152">
        <f>sum(Financials!AT8)*($C171/30)</f>
        <v>3007.539514</v>
      </c>
      <c r="AV171" s="152">
        <f>sum(Financials!AU8)*($C171/30)</f>
        <v>3028.482336</v>
      </c>
      <c r="AW171" s="152">
        <f>sum(Financials!AV8)*($C171/30)</f>
        <v>3048.378016</v>
      </c>
      <c r="AX171" s="152">
        <f>sum(Financials!AW8)*($C171/30)</f>
        <v>3067.278912</v>
      </c>
      <c r="AY171" s="152">
        <f>sum(Financials!AX8)*($C171/30)</f>
        <v>3085.234763</v>
      </c>
      <c r="AZ171" s="152">
        <f>sum(Financials!AY8)*($C171/30)</f>
        <v>3102.292822</v>
      </c>
      <c r="BA171" s="152">
        <f>sum(Financials!AZ8)*($C171/30)</f>
        <v>3118.497978</v>
      </c>
      <c r="BB171" s="152">
        <f>sum(Financials!BA8)*($C171/30)</f>
        <v>3133.892876</v>
      </c>
      <c r="BC171" s="152">
        <f>sum(Financials!BB8)*($C171/30)</f>
        <v>3148.518029</v>
      </c>
      <c r="BD171" s="152">
        <f>sum(Financials!BC8)*($C171/30)</f>
        <v>3162.411925</v>
      </c>
      <c r="BE171" s="152">
        <f>sum(Financials!BD8)*($C171/30)</f>
        <v>3175.611125</v>
      </c>
      <c r="BF171" s="152">
        <f>sum(Financials!BE8)*($C171/30)</f>
        <v>3188.150366</v>
      </c>
      <c r="BG171" s="152">
        <f>sum(Financials!BF8)*($C171/30)</f>
        <v>3200.062645</v>
      </c>
      <c r="BH171" s="152">
        <f>sum(Financials!BG8)*($C171/30)</f>
        <v>3211.379309</v>
      </c>
      <c r="BI171" s="152">
        <f>sum(Financials!BH8)*($C171/30)</f>
        <v>3222.130141</v>
      </c>
      <c r="BJ171" s="152">
        <f>sum(Financials!BI8)*($C171/30)</f>
        <v>3232.343431</v>
      </c>
      <c r="BK171" s="152">
        <f>sum(Financials!BJ8)*($C171/30)</f>
        <v>3242.046056</v>
      </c>
      <c r="BL171" s="152">
        <f>sum(Financials!BK8)*($C171/30)</f>
        <v>3251.26355</v>
      </c>
      <c r="BM171" s="152">
        <f>sum(Financials!BL8)*($C171/30)</f>
        <v>3260.02017</v>
      </c>
      <c r="BN171" s="152">
        <f>sum(Financials!BM8)*($C171/30)</f>
        <v>3268.338958</v>
      </c>
    </row>
    <row r="172" outlineLevel="1">
      <c r="A172" s="47"/>
      <c r="B172" s="47"/>
      <c r="C172" s="47"/>
      <c r="D172" s="47"/>
      <c r="E172" s="47"/>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c r="AU172" s="99"/>
      <c r="AV172" s="99"/>
      <c r="AW172" s="99"/>
      <c r="AX172" s="99"/>
      <c r="AY172" s="99"/>
      <c r="AZ172" s="99"/>
      <c r="BA172" s="99"/>
      <c r="BB172" s="99"/>
      <c r="BC172" s="99"/>
      <c r="BD172" s="99"/>
      <c r="BE172" s="99"/>
      <c r="BF172" s="99"/>
      <c r="BG172" s="99"/>
      <c r="BH172" s="99"/>
      <c r="BI172" s="99"/>
      <c r="BJ172" s="99"/>
      <c r="BK172" s="99"/>
      <c r="BL172" s="99"/>
      <c r="BM172" s="99"/>
      <c r="BN172" s="99"/>
    </row>
    <row r="173" outlineLevel="1">
      <c r="A173" s="47"/>
      <c r="B173" s="153" t="s">
        <v>129</v>
      </c>
      <c r="C173" s="154" t="s">
        <v>130</v>
      </c>
      <c r="D173" s="154" t="s">
        <v>131</v>
      </c>
      <c r="E173" s="154" t="s">
        <v>132</v>
      </c>
      <c r="F173" s="47"/>
      <c r="G173" s="145" t="s">
        <v>133</v>
      </c>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149"/>
      <c r="AH173" s="149"/>
      <c r="AI173" s="149"/>
      <c r="AJ173" s="149"/>
      <c r="AK173" s="149"/>
      <c r="AL173" s="149"/>
      <c r="AM173" s="149"/>
      <c r="AN173" s="149"/>
      <c r="AO173" s="149"/>
      <c r="AP173" s="149"/>
      <c r="AQ173" s="149"/>
      <c r="AR173" s="149"/>
      <c r="AS173" s="149"/>
      <c r="AT173" s="149"/>
      <c r="AU173" s="149"/>
      <c r="AV173" s="149"/>
      <c r="AW173" s="149"/>
      <c r="AX173" s="149"/>
      <c r="AY173" s="149"/>
      <c r="AZ173" s="149"/>
      <c r="BA173" s="149"/>
      <c r="BB173" s="149"/>
      <c r="BC173" s="149"/>
      <c r="BD173" s="149"/>
      <c r="BE173" s="149"/>
      <c r="BF173" s="149"/>
      <c r="BG173" s="149"/>
      <c r="BH173" s="149"/>
      <c r="BI173" s="149"/>
      <c r="BJ173" s="149"/>
      <c r="BK173" s="149"/>
      <c r="BL173" s="149"/>
      <c r="BM173" s="149"/>
      <c r="BN173" s="149"/>
    </row>
    <row r="174" outlineLevel="1">
      <c r="A174" s="47"/>
      <c r="B174" s="127" t="s">
        <v>134</v>
      </c>
      <c r="C174" s="122">
        <v>0.0</v>
      </c>
      <c r="D174" s="155">
        <v>44562.0</v>
      </c>
      <c r="E174" s="156">
        <v>5.0</v>
      </c>
      <c r="F174" s="99"/>
      <c r="G174" s="149">
        <f t="shared" ref="G174:BN174" si="114">if(G$4&gt;=$D174,$C174,0)</f>
        <v>0</v>
      </c>
      <c r="H174" s="149">
        <f t="shared" si="114"/>
        <v>0</v>
      </c>
      <c r="I174" s="149">
        <f t="shared" si="114"/>
        <v>0</v>
      </c>
      <c r="J174" s="149">
        <f t="shared" si="114"/>
        <v>0</v>
      </c>
      <c r="K174" s="149">
        <f t="shared" si="114"/>
        <v>0</v>
      </c>
      <c r="L174" s="149">
        <f t="shared" si="114"/>
        <v>0</v>
      </c>
      <c r="M174" s="149">
        <f t="shared" si="114"/>
        <v>0</v>
      </c>
      <c r="N174" s="149">
        <f t="shared" si="114"/>
        <v>0</v>
      </c>
      <c r="O174" s="149">
        <f t="shared" si="114"/>
        <v>0</v>
      </c>
      <c r="P174" s="149">
        <f t="shared" si="114"/>
        <v>0</v>
      </c>
      <c r="Q174" s="149">
        <f t="shared" si="114"/>
        <v>0</v>
      </c>
      <c r="R174" s="149">
        <f t="shared" si="114"/>
        <v>0</v>
      </c>
      <c r="S174" s="149">
        <f t="shared" si="114"/>
        <v>0</v>
      </c>
      <c r="T174" s="149">
        <f t="shared" si="114"/>
        <v>0</v>
      </c>
      <c r="U174" s="149">
        <f t="shared" si="114"/>
        <v>0</v>
      </c>
      <c r="V174" s="149">
        <f t="shared" si="114"/>
        <v>0</v>
      </c>
      <c r="W174" s="149">
        <f t="shared" si="114"/>
        <v>0</v>
      </c>
      <c r="X174" s="149">
        <f t="shared" si="114"/>
        <v>0</v>
      </c>
      <c r="Y174" s="149">
        <f t="shared" si="114"/>
        <v>0</v>
      </c>
      <c r="Z174" s="149">
        <f t="shared" si="114"/>
        <v>0</v>
      </c>
      <c r="AA174" s="149">
        <f t="shared" si="114"/>
        <v>0</v>
      </c>
      <c r="AB174" s="149">
        <f t="shared" si="114"/>
        <v>0</v>
      </c>
      <c r="AC174" s="149">
        <f t="shared" si="114"/>
        <v>0</v>
      </c>
      <c r="AD174" s="149">
        <f t="shared" si="114"/>
        <v>0</v>
      </c>
      <c r="AE174" s="149">
        <f t="shared" si="114"/>
        <v>0</v>
      </c>
      <c r="AF174" s="149">
        <f t="shared" si="114"/>
        <v>0</v>
      </c>
      <c r="AG174" s="149">
        <f t="shared" si="114"/>
        <v>0</v>
      </c>
      <c r="AH174" s="149">
        <f t="shared" si="114"/>
        <v>0</v>
      </c>
      <c r="AI174" s="149">
        <f t="shared" si="114"/>
        <v>0</v>
      </c>
      <c r="AJ174" s="149">
        <f t="shared" si="114"/>
        <v>0</v>
      </c>
      <c r="AK174" s="149">
        <f t="shared" si="114"/>
        <v>0</v>
      </c>
      <c r="AL174" s="149">
        <f t="shared" si="114"/>
        <v>0</v>
      </c>
      <c r="AM174" s="149">
        <f t="shared" si="114"/>
        <v>0</v>
      </c>
      <c r="AN174" s="149">
        <f t="shared" si="114"/>
        <v>0</v>
      </c>
      <c r="AO174" s="149">
        <f t="shared" si="114"/>
        <v>0</v>
      </c>
      <c r="AP174" s="149">
        <f t="shared" si="114"/>
        <v>0</v>
      </c>
      <c r="AQ174" s="149">
        <f t="shared" si="114"/>
        <v>0</v>
      </c>
      <c r="AR174" s="149">
        <f t="shared" si="114"/>
        <v>0</v>
      </c>
      <c r="AS174" s="149">
        <f t="shared" si="114"/>
        <v>0</v>
      </c>
      <c r="AT174" s="149">
        <f t="shared" si="114"/>
        <v>0</v>
      </c>
      <c r="AU174" s="149">
        <f t="shared" si="114"/>
        <v>0</v>
      </c>
      <c r="AV174" s="149">
        <f t="shared" si="114"/>
        <v>0</v>
      </c>
      <c r="AW174" s="149">
        <f t="shared" si="114"/>
        <v>0</v>
      </c>
      <c r="AX174" s="149">
        <f t="shared" si="114"/>
        <v>0</v>
      </c>
      <c r="AY174" s="149">
        <f t="shared" si="114"/>
        <v>0</v>
      </c>
      <c r="AZ174" s="149">
        <f t="shared" si="114"/>
        <v>0</v>
      </c>
      <c r="BA174" s="149">
        <f t="shared" si="114"/>
        <v>0</v>
      </c>
      <c r="BB174" s="149">
        <f t="shared" si="114"/>
        <v>0</v>
      </c>
      <c r="BC174" s="149">
        <f t="shared" si="114"/>
        <v>0</v>
      </c>
      <c r="BD174" s="149">
        <f t="shared" si="114"/>
        <v>0</v>
      </c>
      <c r="BE174" s="149">
        <f t="shared" si="114"/>
        <v>0</v>
      </c>
      <c r="BF174" s="149">
        <f t="shared" si="114"/>
        <v>0</v>
      </c>
      <c r="BG174" s="149">
        <f t="shared" si="114"/>
        <v>0</v>
      </c>
      <c r="BH174" s="149">
        <f t="shared" si="114"/>
        <v>0</v>
      </c>
      <c r="BI174" s="149">
        <f t="shared" si="114"/>
        <v>0</v>
      </c>
      <c r="BJ174" s="149">
        <f t="shared" si="114"/>
        <v>0</v>
      </c>
      <c r="BK174" s="149">
        <f t="shared" si="114"/>
        <v>0</v>
      </c>
      <c r="BL174" s="149">
        <f t="shared" si="114"/>
        <v>0</v>
      </c>
      <c r="BM174" s="149">
        <f t="shared" si="114"/>
        <v>0</v>
      </c>
      <c r="BN174" s="149">
        <f t="shared" si="114"/>
        <v>0</v>
      </c>
    </row>
    <row r="175" outlineLevel="1">
      <c r="A175" s="47"/>
      <c r="B175" s="127" t="s">
        <v>135</v>
      </c>
      <c r="C175" s="122">
        <v>0.0</v>
      </c>
      <c r="D175" s="155">
        <v>44562.0</v>
      </c>
      <c r="E175" s="156">
        <v>5.0</v>
      </c>
      <c r="F175" s="99"/>
      <c r="G175" s="149">
        <f t="shared" ref="G175:BN175" si="115">if(G$4&gt;=$D175,$C175,0)</f>
        <v>0</v>
      </c>
      <c r="H175" s="149">
        <f t="shared" si="115"/>
        <v>0</v>
      </c>
      <c r="I175" s="149">
        <f t="shared" si="115"/>
        <v>0</v>
      </c>
      <c r="J175" s="149">
        <f t="shared" si="115"/>
        <v>0</v>
      </c>
      <c r="K175" s="149">
        <f t="shared" si="115"/>
        <v>0</v>
      </c>
      <c r="L175" s="149">
        <f t="shared" si="115"/>
        <v>0</v>
      </c>
      <c r="M175" s="149">
        <f t="shared" si="115"/>
        <v>0</v>
      </c>
      <c r="N175" s="149">
        <f t="shared" si="115"/>
        <v>0</v>
      </c>
      <c r="O175" s="149">
        <f t="shared" si="115"/>
        <v>0</v>
      </c>
      <c r="P175" s="149">
        <f t="shared" si="115"/>
        <v>0</v>
      </c>
      <c r="Q175" s="149">
        <f t="shared" si="115"/>
        <v>0</v>
      </c>
      <c r="R175" s="149">
        <f t="shared" si="115"/>
        <v>0</v>
      </c>
      <c r="S175" s="149">
        <f t="shared" si="115"/>
        <v>0</v>
      </c>
      <c r="T175" s="149">
        <f t="shared" si="115"/>
        <v>0</v>
      </c>
      <c r="U175" s="149">
        <f t="shared" si="115"/>
        <v>0</v>
      </c>
      <c r="V175" s="149">
        <f t="shared" si="115"/>
        <v>0</v>
      </c>
      <c r="W175" s="149">
        <f t="shared" si="115"/>
        <v>0</v>
      </c>
      <c r="X175" s="149">
        <f t="shared" si="115"/>
        <v>0</v>
      </c>
      <c r="Y175" s="149">
        <f t="shared" si="115"/>
        <v>0</v>
      </c>
      <c r="Z175" s="149">
        <f t="shared" si="115"/>
        <v>0</v>
      </c>
      <c r="AA175" s="149">
        <f t="shared" si="115"/>
        <v>0</v>
      </c>
      <c r="AB175" s="149">
        <f t="shared" si="115"/>
        <v>0</v>
      </c>
      <c r="AC175" s="149">
        <f t="shared" si="115"/>
        <v>0</v>
      </c>
      <c r="AD175" s="149">
        <f t="shared" si="115"/>
        <v>0</v>
      </c>
      <c r="AE175" s="149">
        <f t="shared" si="115"/>
        <v>0</v>
      </c>
      <c r="AF175" s="149">
        <f t="shared" si="115"/>
        <v>0</v>
      </c>
      <c r="AG175" s="149">
        <f t="shared" si="115"/>
        <v>0</v>
      </c>
      <c r="AH175" s="149">
        <f t="shared" si="115"/>
        <v>0</v>
      </c>
      <c r="AI175" s="149">
        <f t="shared" si="115"/>
        <v>0</v>
      </c>
      <c r="AJ175" s="149">
        <f t="shared" si="115"/>
        <v>0</v>
      </c>
      <c r="AK175" s="149">
        <f t="shared" si="115"/>
        <v>0</v>
      </c>
      <c r="AL175" s="149">
        <f t="shared" si="115"/>
        <v>0</v>
      </c>
      <c r="AM175" s="149">
        <f t="shared" si="115"/>
        <v>0</v>
      </c>
      <c r="AN175" s="149">
        <f t="shared" si="115"/>
        <v>0</v>
      </c>
      <c r="AO175" s="149">
        <f t="shared" si="115"/>
        <v>0</v>
      </c>
      <c r="AP175" s="149">
        <f t="shared" si="115"/>
        <v>0</v>
      </c>
      <c r="AQ175" s="149">
        <f t="shared" si="115"/>
        <v>0</v>
      </c>
      <c r="AR175" s="149">
        <f t="shared" si="115"/>
        <v>0</v>
      </c>
      <c r="AS175" s="149">
        <f t="shared" si="115"/>
        <v>0</v>
      </c>
      <c r="AT175" s="149">
        <f t="shared" si="115"/>
        <v>0</v>
      </c>
      <c r="AU175" s="149">
        <f t="shared" si="115"/>
        <v>0</v>
      </c>
      <c r="AV175" s="149">
        <f t="shared" si="115"/>
        <v>0</v>
      </c>
      <c r="AW175" s="149">
        <f t="shared" si="115"/>
        <v>0</v>
      </c>
      <c r="AX175" s="149">
        <f t="shared" si="115"/>
        <v>0</v>
      </c>
      <c r="AY175" s="149">
        <f t="shared" si="115"/>
        <v>0</v>
      </c>
      <c r="AZ175" s="149">
        <f t="shared" si="115"/>
        <v>0</v>
      </c>
      <c r="BA175" s="149">
        <f t="shared" si="115"/>
        <v>0</v>
      </c>
      <c r="BB175" s="149">
        <f t="shared" si="115"/>
        <v>0</v>
      </c>
      <c r="BC175" s="149">
        <f t="shared" si="115"/>
        <v>0</v>
      </c>
      <c r="BD175" s="149">
        <f t="shared" si="115"/>
        <v>0</v>
      </c>
      <c r="BE175" s="149">
        <f t="shared" si="115"/>
        <v>0</v>
      </c>
      <c r="BF175" s="149">
        <f t="shared" si="115"/>
        <v>0</v>
      </c>
      <c r="BG175" s="149">
        <f t="shared" si="115"/>
        <v>0</v>
      </c>
      <c r="BH175" s="149">
        <f t="shared" si="115"/>
        <v>0</v>
      </c>
      <c r="BI175" s="149">
        <f t="shared" si="115"/>
        <v>0</v>
      </c>
      <c r="BJ175" s="149">
        <f t="shared" si="115"/>
        <v>0</v>
      </c>
      <c r="BK175" s="149">
        <f t="shared" si="115"/>
        <v>0</v>
      </c>
      <c r="BL175" s="149">
        <f t="shared" si="115"/>
        <v>0</v>
      </c>
      <c r="BM175" s="149">
        <f t="shared" si="115"/>
        <v>0</v>
      </c>
      <c r="BN175" s="149">
        <f t="shared" si="115"/>
        <v>0</v>
      </c>
    </row>
    <row r="176" outlineLevel="1">
      <c r="A176" s="47"/>
      <c r="B176" s="127" t="s">
        <v>136</v>
      </c>
      <c r="C176" s="122">
        <v>0.0</v>
      </c>
      <c r="D176" s="155">
        <v>44562.0</v>
      </c>
      <c r="E176" s="156">
        <v>5.0</v>
      </c>
      <c r="F176" s="99"/>
      <c r="G176" s="149">
        <f t="shared" ref="G176:BN176" si="116">if(G$4&gt;=$D176,$C176,0)</f>
        <v>0</v>
      </c>
      <c r="H176" s="149">
        <f t="shared" si="116"/>
        <v>0</v>
      </c>
      <c r="I176" s="149">
        <f t="shared" si="116"/>
        <v>0</v>
      </c>
      <c r="J176" s="149">
        <f t="shared" si="116"/>
        <v>0</v>
      </c>
      <c r="K176" s="149">
        <f t="shared" si="116"/>
        <v>0</v>
      </c>
      <c r="L176" s="149">
        <f t="shared" si="116"/>
        <v>0</v>
      </c>
      <c r="M176" s="149">
        <f t="shared" si="116"/>
        <v>0</v>
      </c>
      <c r="N176" s="149">
        <f t="shared" si="116"/>
        <v>0</v>
      </c>
      <c r="O176" s="149">
        <f t="shared" si="116"/>
        <v>0</v>
      </c>
      <c r="P176" s="149">
        <f t="shared" si="116"/>
        <v>0</v>
      </c>
      <c r="Q176" s="149">
        <f t="shared" si="116"/>
        <v>0</v>
      </c>
      <c r="R176" s="149">
        <f t="shared" si="116"/>
        <v>0</v>
      </c>
      <c r="S176" s="149">
        <f t="shared" si="116"/>
        <v>0</v>
      </c>
      <c r="T176" s="149">
        <f t="shared" si="116"/>
        <v>0</v>
      </c>
      <c r="U176" s="149">
        <f t="shared" si="116"/>
        <v>0</v>
      </c>
      <c r="V176" s="149">
        <f t="shared" si="116"/>
        <v>0</v>
      </c>
      <c r="W176" s="149">
        <f t="shared" si="116"/>
        <v>0</v>
      </c>
      <c r="X176" s="149">
        <f t="shared" si="116"/>
        <v>0</v>
      </c>
      <c r="Y176" s="149">
        <f t="shared" si="116"/>
        <v>0</v>
      </c>
      <c r="Z176" s="149">
        <f t="shared" si="116"/>
        <v>0</v>
      </c>
      <c r="AA176" s="149">
        <f t="shared" si="116"/>
        <v>0</v>
      </c>
      <c r="AB176" s="149">
        <f t="shared" si="116"/>
        <v>0</v>
      </c>
      <c r="AC176" s="149">
        <f t="shared" si="116"/>
        <v>0</v>
      </c>
      <c r="AD176" s="149">
        <f t="shared" si="116"/>
        <v>0</v>
      </c>
      <c r="AE176" s="149">
        <f t="shared" si="116"/>
        <v>0</v>
      </c>
      <c r="AF176" s="149">
        <f t="shared" si="116"/>
        <v>0</v>
      </c>
      <c r="AG176" s="149">
        <f t="shared" si="116"/>
        <v>0</v>
      </c>
      <c r="AH176" s="149">
        <f t="shared" si="116"/>
        <v>0</v>
      </c>
      <c r="AI176" s="149">
        <f t="shared" si="116"/>
        <v>0</v>
      </c>
      <c r="AJ176" s="149">
        <f t="shared" si="116"/>
        <v>0</v>
      </c>
      <c r="AK176" s="149">
        <f t="shared" si="116"/>
        <v>0</v>
      </c>
      <c r="AL176" s="149">
        <f t="shared" si="116"/>
        <v>0</v>
      </c>
      <c r="AM176" s="149">
        <f t="shared" si="116"/>
        <v>0</v>
      </c>
      <c r="AN176" s="149">
        <f t="shared" si="116"/>
        <v>0</v>
      </c>
      <c r="AO176" s="149">
        <f t="shared" si="116"/>
        <v>0</v>
      </c>
      <c r="AP176" s="149">
        <f t="shared" si="116"/>
        <v>0</v>
      </c>
      <c r="AQ176" s="149">
        <f t="shared" si="116"/>
        <v>0</v>
      </c>
      <c r="AR176" s="149">
        <f t="shared" si="116"/>
        <v>0</v>
      </c>
      <c r="AS176" s="149">
        <f t="shared" si="116"/>
        <v>0</v>
      </c>
      <c r="AT176" s="149">
        <f t="shared" si="116"/>
        <v>0</v>
      </c>
      <c r="AU176" s="149">
        <f t="shared" si="116"/>
        <v>0</v>
      </c>
      <c r="AV176" s="149">
        <f t="shared" si="116"/>
        <v>0</v>
      </c>
      <c r="AW176" s="149">
        <f t="shared" si="116"/>
        <v>0</v>
      </c>
      <c r="AX176" s="149">
        <f t="shared" si="116"/>
        <v>0</v>
      </c>
      <c r="AY176" s="149">
        <f t="shared" si="116"/>
        <v>0</v>
      </c>
      <c r="AZ176" s="149">
        <f t="shared" si="116"/>
        <v>0</v>
      </c>
      <c r="BA176" s="149">
        <f t="shared" si="116"/>
        <v>0</v>
      </c>
      <c r="BB176" s="149">
        <f t="shared" si="116"/>
        <v>0</v>
      </c>
      <c r="BC176" s="149">
        <f t="shared" si="116"/>
        <v>0</v>
      </c>
      <c r="BD176" s="149">
        <f t="shared" si="116"/>
        <v>0</v>
      </c>
      <c r="BE176" s="149">
        <f t="shared" si="116"/>
        <v>0</v>
      </c>
      <c r="BF176" s="149">
        <f t="shared" si="116"/>
        <v>0</v>
      </c>
      <c r="BG176" s="149">
        <f t="shared" si="116"/>
        <v>0</v>
      </c>
      <c r="BH176" s="149">
        <f t="shared" si="116"/>
        <v>0</v>
      </c>
      <c r="BI176" s="149">
        <f t="shared" si="116"/>
        <v>0</v>
      </c>
      <c r="BJ176" s="149">
        <f t="shared" si="116"/>
        <v>0</v>
      </c>
      <c r="BK176" s="149">
        <f t="shared" si="116"/>
        <v>0</v>
      </c>
      <c r="BL176" s="149">
        <f t="shared" si="116"/>
        <v>0</v>
      </c>
      <c r="BM176" s="149">
        <f t="shared" si="116"/>
        <v>0</v>
      </c>
      <c r="BN176" s="149">
        <f t="shared" si="116"/>
        <v>0</v>
      </c>
    </row>
    <row r="177" outlineLevel="1">
      <c r="A177" s="47"/>
      <c r="B177" s="127" t="s">
        <v>137</v>
      </c>
      <c r="C177" s="122">
        <v>0.0</v>
      </c>
      <c r="D177" s="155">
        <v>44562.0</v>
      </c>
      <c r="E177" s="156">
        <v>5.0</v>
      </c>
      <c r="F177" s="99"/>
      <c r="G177" s="149">
        <f t="shared" ref="G177:BN177" si="117">if(G$4&gt;=$D177,$C177,0)</f>
        <v>0</v>
      </c>
      <c r="H177" s="149">
        <f t="shared" si="117"/>
        <v>0</v>
      </c>
      <c r="I177" s="149">
        <f t="shared" si="117"/>
        <v>0</v>
      </c>
      <c r="J177" s="149">
        <f t="shared" si="117"/>
        <v>0</v>
      </c>
      <c r="K177" s="149">
        <f t="shared" si="117"/>
        <v>0</v>
      </c>
      <c r="L177" s="149">
        <f t="shared" si="117"/>
        <v>0</v>
      </c>
      <c r="M177" s="149">
        <f t="shared" si="117"/>
        <v>0</v>
      </c>
      <c r="N177" s="149">
        <f t="shared" si="117"/>
        <v>0</v>
      </c>
      <c r="O177" s="149">
        <f t="shared" si="117"/>
        <v>0</v>
      </c>
      <c r="P177" s="149">
        <f t="shared" si="117"/>
        <v>0</v>
      </c>
      <c r="Q177" s="149">
        <f t="shared" si="117"/>
        <v>0</v>
      </c>
      <c r="R177" s="149">
        <f t="shared" si="117"/>
        <v>0</v>
      </c>
      <c r="S177" s="149">
        <f t="shared" si="117"/>
        <v>0</v>
      </c>
      <c r="T177" s="149">
        <f t="shared" si="117"/>
        <v>0</v>
      </c>
      <c r="U177" s="149">
        <f t="shared" si="117"/>
        <v>0</v>
      </c>
      <c r="V177" s="149">
        <f t="shared" si="117"/>
        <v>0</v>
      </c>
      <c r="W177" s="149">
        <f t="shared" si="117"/>
        <v>0</v>
      </c>
      <c r="X177" s="149">
        <f t="shared" si="117"/>
        <v>0</v>
      </c>
      <c r="Y177" s="149">
        <f t="shared" si="117"/>
        <v>0</v>
      </c>
      <c r="Z177" s="149">
        <f t="shared" si="117"/>
        <v>0</v>
      </c>
      <c r="AA177" s="149">
        <f t="shared" si="117"/>
        <v>0</v>
      </c>
      <c r="AB177" s="149">
        <f t="shared" si="117"/>
        <v>0</v>
      </c>
      <c r="AC177" s="149">
        <f t="shared" si="117"/>
        <v>0</v>
      </c>
      <c r="AD177" s="149">
        <f t="shared" si="117"/>
        <v>0</v>
      </c>
      <c r="AE177" s="149">
        <f t="shared" si="117"/>
        <v>0</v>
      </c>
      <c r="AF177" s="149">
        <f t="shared" si="117"/>
        <v>0</v>
      </c>
      <c r="AG177" s="149">
        <f t="shared" si="117"/>
        <v>0</v>
      </c>
      <c r="AH177" s="149">
        <f t="shared" si="117"/>
        <v>0</v>
      </c>
      <c r="AI177" s="149">
        <f t="shared" si="117"/>
        <v>0</v>
      </c>
      <c r="AJ177" s="149">
        <f t="shared" si="117"/>
        <v>0</v>
      </c>
      <c r="AK177" s="149">
        <f t="shared" si="117"/>
        <v>0</v>
      </c>
      <c r="AL177" s="149">
        <f t="shared" si="117"/>
        <v>0</v>
      </c>
      <c r="AM177" s="149">
        <f t="shared" si="117"/>
        <v>0</v>
      </c>
      <c r="AN177" s="149">
        <f t="shared" si="117"/>
        <v>0</v>
      </c>
      <c r="AO177" s="149">
        <f t="shared" si="117"/>
        <v>0</v>
      </c>
      <c r="AP177" s="149">
        <f t="shared" si="117"/>
        <v>0</v>
      </c>
      <c r="AQ177" s="149">
        <f t="shared" si="117"/>
        <v>0</v>
      </c>
      <c r="AR177" s="149">
        <f t="shared" si="117"/>
        <v>0</v>
      </c>
      <c r="AS177" s="149">
        <f t="shared" si="117"/>
        <v>0</v>
      </c>
      <c r="AT177" s="149">
        <f t="shared" si="117"/>
        <v>0</v>
      </c>
      <c r="AU177" s="149">
        <f t="shared" si="117"/>
        <v>0</v>
      </c>
      <c r="AV177" s="149">
        <f t="shared" si="117"/>
        <v>0</v>
      </c>
      <c r="AW177" s="149">
        <f t="shared" si="117"/>
        <v>0</v>
      </c>
      <c r="AX177" s="149">
        <f t="shared" si="117"/>
        <v>0</v>
      </c>
      <c r="AY177" s="149">
        <f t="shared" si="117"/>
        <v>0</v>
      </c>
      <c r="AZ177" s="149">
        <f t="shared" si="117"/>
        <v>0</v>
      </c>
      <c r="BA177" s="149">
        <f t="shared" si="117"/>
        <v>0</v>
      </c>
      <c r="BB177" s="149">
        <f t="shared" si="117"/>
        <v>0</v>
      </c>
      <c r="BC177" s="149">
        <f t="shared" si="117"/>
        <v>0</v>
      </c>
      <c r="BD177" s="149">
        <f t="shared" si="117"/>
        <v>0</v>
      </c>
      <c r="BE177" s="149">
        <f t="shared" si="117"/>
        <v>0</v>
      </c>
      <c r="BF177" s="149">
        <f t="shared" si="117"/>
        <v>0</v>
      </c>
      <c r="BG177" s="149">
        <f t="shared" si="117"/>
        <v>0</v>
      </c>
      <c r="BH177" s="149">
        <f t="shared" si="117"/>
        <v>0</v>
      </c>
      <c r="BI177" s="149">
        <f t="shared" si="117"/>
        <v>0</v>
      </c>
      <c r="BJ177" s="149">
        <f t="shared" si="117"/>
        <v>0</v>
      </c>
      <c r="BK177" s="149">
        <f t="shared" si="117"/>
        <v>0</v>
      </c>
      <c r="BL177" s="149">
        <f t="shared" si="117"/>
        <v>0</v>
      </c>
      <c r="BM177" s="149">
        <f t="shared" si="117"/>
        <v>0</v>
      </c>
      <c r="BN177" s="149">
        <f t="shared" si="117"/>
        <v>0</v>
      </c>
    </row>
    <row r="178" outlineLevel="1">
      <c r="A178" s="47"/>
      <c r="B178" s="39"/>
      <c r="C178" s="47"/>
      <c r="D178" s="47"/>
      <c r="E178" s="47"/>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c r="AZ178" s="99"/>
      <c r="BA178" s="99"/>
      <c r="BB178" s="99"/>
      <c r="BC178" s="99"/>
      <c r="BD178" s="99"/>
      <c r="BE178" s="99"/>
      <c r="BF178" s="99"/>
      <c r="BG178" s="99"/>
      <c r="BH178" s="99"/>
      <c r="BI178" s="99"/>
      <c r="BJ178" s="99"/>
      <c r="BK178" s="99"/>
      <c r="BL178" s="99"/>
      <c r="BM178" s="99"/>
      <c r="BN178" s="99"/>
    </row>
    <row r="179" outlineLevel="1">
      <c r="A179" s="47"/>
      <c r="B179" s="39"/>
      <c r="C179" s="47"/>
      <c r="D179" s="47"/>
      <c r="E179" s="47"/>
      <c r="F179" s="47"/>
      <c r="G179" s="47" t="s">
        <v>138</v>
      </c>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c r="AZ179" s="99"/>
      <c r="BA179" s="99"/>
      <c r="BB179" s="99"/>
      <c r="BC179" s="99"/>
      <c r="BD179" s="99"/>
      <c r="BE179" s="99"/>
      <c r="BF179" s="99"/>
      <c r="BG179" s="99"/>
      <c r="BH179" s="99"/>
      <c r="BI179" s="99"/>
      <c r="BJ179" s="99"/>
      <c r="BK179" s="99"/>
      <c r="BL179" s="99"/>
      <c r="BM179" s="99"/>
      <c r="BN179" s="99"/>
    </row>
    <row r="180" outlineLevel="1">
      <c r="A180" s="66"/>
      <c r="B180" s="67" t="str">
        <f t="shared" ref="B180:B183" si="119">B174</f>
        <v>Asset 1</v>
      </c>
      <c r="C180" s="66"/>
      <c r="D180" s="66"/>
      <c r="E180" s="66"/>
      <c r="F180" s="99"/>
      <c r="G180" s="99">
        <f t="shared" ref="G180:G183" si="120">MIN(E180+ IF(G$4&gt;=$D174,$C174/($E174*12),0),$C174)</f>
        <v>0</v>
      </c>
      <c r="H180" s="99">
        <f t="shared" ref="H180:BN180" si="118">MIN(G180+ IF(H$4&gt;=$D174,$C174/($E174*12),0),$C174)</f>
        <v>0</v>
      </c>
      <c r="I180" s="99">
        <f t="shared" si="118"/>
        <v>0</v>
      </c>
      <c r="J180" s="99">
        <f t="shared" si="118"/>
        <v>0</v>
      </c>
      <c r="K180" s="99">
        <f t="shared" si="118"/>
        <v>0</v>
      </c>
      <c r="L180" s="99">
        <f t="shared" si="118"/>
        <v>0</v>
      </c>
      <c r="M180" s="99">
        <f t="shared" si="118"/>
        <v>0</v>
      </c>
      <c r="N180" s="99">
        <f t="shared" si="118"/>
        <v>0</v>
      </c>
      <c r="O180" s="99">
        <f t="shared" si="118"/>
        <v>0</v>
      </c>
      <c r="P180" s="99">
        <f t="shared" si="118"/>
        <v>0</v>
      </c>
      <c r="Q180" s="99">
        <f t="shared" si="118"/>
        <v>0</v>
      </c>
      <c r="R180" s="99">
        <f t="shared" si="118"/>
        <v>0</v>
      </c>
      <c r="S180" s="99">
        <f t="shared" si="118"/>
        <v>0</v>
      </c>
      <c r="T180" s="99">
        <f t="shared" si="118"/>
        <v>0</v>
      </c>
      <c r="U180" s="99">
        <f t="shared" si="118"/>
        <v>0</v>
      </c>
      <c r="V180" s="99">
        <f t="shared" si="118"/>
        <v>0</v>
      </c>
      <c r="W180" s="99">
        <f t="shared" si="118"/>
        <v>0</v>
      </c>
      <c r="X180" s="99">
        <f t="shared" si="118"/>
        <v>0</v>
      </c>
      <c r="Y180" s="99">
        <f t="shared" si="118"/>
        <v>0</v>
      </c>
      <c r="Z180" s="99">
        <f t="shared" si="118"/>
        <v>0</v>
      </c>
      <c r="AA180" s="99">
        <f t="shared" si="118"/>
        <v>0</v>
      </c>
      <c r="AB180" s="99">
        <f t="shared" si="118"/>
        <v>0</v>
      </c>
      <c r="AC180" s="99">
        <f t="shared" si="118"/>
        <v>0</v>
      </c>
      <c r="AD180" s="99">
        <f t="shared" si="118"/>
        <v>0</v>
      </c>
      <c r="AE180" s="99">
        <f t="shared" si="118"/>
        <v>0</v>
      </c>
      <c r="AF180" s="99">
        <f t="shared" si="118"/>
        <v>0</v>
      </c>
      <c r="AG180" s="99">
        <f t="shared" si="118"/>
        <v>0</v>
      </c>
      <c r="AH180" s="99">
        <f t="shared" si="118"/>
        <v>0</v>
      </c>
      <c r="AI180" s="99">
        <f t="shared" si="118"/>
        <v>0</v>
      </c>
      <c r="AJ180" s="99">
        <f t="shared" si="118"/>
        <v>0</v>
      </c>
      <c r="AK180" s="99">
        <f t="shared" si="118"/>
        <v>0</v>
      </c>
      <c r="AL180" s="99">
        <f t="shared" si="118"/>
        <v>0</v>
      </c>
      <c r="AM180" s="99">
        <f t="shared" si="118"/>
        <v>0</v>
      </c>
      <c r="AN180" s="99">
        <f t="shared" si="118"/>
        <v>0</v>
      </c>
      <c r="AO180" s="99">
        <f t="shared" si="118"/>
        <v>0</v>
      </c>
      <c r="AP180" s="99">
        <f t="shared" si="118"/>
        <v>0</v>
      </c>
      <c r="AQ180" s="99">
        <f t="shared" si="118"/>
        <v>0</v>
      </c>
      <c r="AR180" s="99">
        <f t="shared" si="118"/>
        <v>0</v>
      </c>
      <c r="AS180" s="99">
        <f t="shared" si="118"/>
        <v>0</v>
      </c>
      <c r="AT180" s="99">
        <f t="shared" si="118"/>
        <v>0</v>
      </c>
      <c r="AU180" s="99">
        <f t="shared" si="118"/>
        <v>0</v>
      </c>
      <c r="AV180" s="99">
        <f t="shared" si="118"/>
        <v>0</v>
      </c>
      <c r="AW180" s="99">
        <f t="shared" si="118"/>
        <v>0</v>
      </c>
      <c r="AX180" s="99">
        <f t="shared" si="118"/>
        <v>0</v>
      </c>
      <c r="AY180" s="99">
        <f t="shared" si="118"/>
        <v>0</v>
      </c>
      <c r="AZ180" s="99">
        <f t="shared" si="118"/>
        <v>0</v>
      </c>
      <c r="BA180" s="99">
        <f t="shared" si="118"/>
        <v>0</v>
      </c>
      <c r="BB180" s="99">
        <f t="shared" si="118"/>
        <v>0</v>
      </c>
      <c r="BC180" s="99">
        <f t="shared" si="118"/>
        <v>0</v>
      </c>
      <c r="BD180" s="99">
        <f t="shared" si="118"/>
        <v>0</v>
      </c>
      <c r="BE180" s="99">
        <f t="shared" si="118"/>
        <v>0</v>
      </c>
      <c r="BF180" s="99">
        <f t="shared" si="118"/>
        <v>0</v>
      </c>
      <c r="BG180" s="99">
        <f t="shared" si="118"/>
        <v>0</v>
      </c>
      <c r="BH180" s="99">
        <f t="shared" si="118"/>
        <v>0</v>
      </c>
      <c r="BI180" s="99">
        <f t="shared" si="118"/>
        <v>0</v>
      </c>
      <c r="BJ180" s="99">
        <f t="shared" si="118"/>
        <v>0</v>
      </c>
      <c r="BK180" s="99">
        <f t="shared" si="118"/>
        <v>0</v>
      </c>
      <c r="BL180" s="99">
        <f t="shared" si="118"/>
        <v>0</v>
      </c>
      <c r="BM180" s="99">
        <f t="shared" si="118"/>
        <v>0</v>
      </c>
      <c r="BN180" s="99">
        <f t="shared" si="118"/>
        <v>0</v>
      </c>
    </row>
    <row r="181" outlineLevel="1">
      <c r="A181" s="66"/>
      <c r="B181" s="67" t="str">
        <f t="shared" si="119"/>
        <v>Asset 2</v>
      </c>
      <c r="C181" s="66"/>
      <c r="D181" s="66"/>
      <c r="E181" s="66"/>
      <c r="F181" s="99"/>
      <c r="G181" s="99">
        <f t="shared" si="120"/>
        <v>0</v>
      </c>
      <c r="H181" s="99">
        <f t="shared" ref="H181:BN181" si="121">MIN(G181+ IF(H$4&gt;=$D175,$C175/($E175*12),0),$C175)</f>
        <v>0</v>
      </c>
      <c r="I181" s="99">
        <f t="shared" si="121"/>
        <v>0</v>
      </c>
      <c r="J181" s="99">
        <f t="shared" si="121"/>
        <v>0</v>
      </c>
      <c r="K181" s="99">
        <f t="shared" si="121"/>
        <v>0</v>
      </c>
      <c r="L181" s="99">
        <f t="shared" si="121"/>
        <v>0</v>
      </c>
      <c r="M181" s="99">
        <f t="shared" si="121"/>
        <v>0</v>
      </c>
      <c r="N181" s="99">
        <f t="shared" si="121"/>
        <v>0</v>
      </c>
      <c r="O181" s="99">
        <f t="shared" si="121"/>
        <v>0</v>
      </c>
      <c r="P181" s="99">
        <f t="shared" si="121"/>
        <v>0</v>
      </c>
      <c r="Q181" s="99">
        <f t="shared" si="121"/>
        <v>0</v>
      </c>
      <c r="R181" s="99">
        <f t="shared" si="121"/>
        <v>0</v>
      </c>
      <c r="S181" s="99">
        <f t="shared" si="121"/>
        <v>0</v>
      </c>
      <c r="T181" s="99">
        <f t="shared" si="121"/>
        <v>0</v>
      </c>
      <c r="U181" s="99">
        <f t="shared" si="121"/>
        <v>0</v>
      </c>
      <c r="V181" s="99">
        <f t="shared" si="121"/>
        <v>0</v>
      </c>
      <c r="W181" s="99">
        <f t="shared" si="121"/>
        <v>0</v>
      </c>
      <c r="X181" s="99">
        <f t="shared" si="121"/>
        <v>0</v>
      </c>
      <c r="Y181" s="99">
        <f t="shared" si="121"/>
        <v>0</v>
      </c>
      <c r="Z181" s="99">
        <f t="shared" si="121"/>
        <v>0</v>
      </c>
      <c r="AA181" s="99">
        <f t="shared" si="121"/>
        <v>0</v>
      </c>
      <c r="AB181" s="99">
        <f t="shared" si="121"/>
        <v>0</v>
      </c>
      <c r="AC181" s="99">
        <f t="shared" si="121"/>
        <v>0</v>
      </c>
      <c r="AD181" s="99">
        <f t="shared" si="121"/>
        <v>0</v>
      </c>
      <c r="AE181" s="99">
        <f t="shared" si="121"/>
        <v>0</v>
      </c>
      <c r="AF181" s="99">
        <f t="shared" si="121"/>
        <v>0</v>
      </c>
      <c r="AG181" s="99">
        <f t="shared" si="121"/>
        <v>0</v>
      </c>
      <c r="AH181" s="99">
        <f t="shared" si="121"/>
        <v>0</v>
      </c>
      <c r="AI181" s="99">
        <f t="shared" si="121"/>
        <v>0</v>
      </c>
      <c r="AJ181" s="99">
        <f t="shared" si="121"/>
        <v>0</v>
      </c>
      <c r="AK181" s="99">
        <f t="shared" si="121"/>
        <v>0</v>
      </c>
      <c r="AL181" s="99">
        <f t="shared" si="121"/>
        <v>0</v>
      </c>
      <c r="AM181" s="99">
        <f t="shared" si="121"/>
        <v>0</v>
      </c>
      <c r="AN181" s="99">
        <f t="shared" si="121"/>
        <v>0</v>
      </c>
      <c r="AO181" s="99">
        <f t="shared" si="121"/>
        <v>0</v>
      </c>
      <c r="AP181" s="99">
        <f t="shared" si="121"/>
        <v>0</v>
      </c>
      <c r="AQ181" s="99">
        <f t="shared" si="121"/>
        <v>0</v>
      </c>
      <c r="AR181" s="99">
        <f t="shared" si="121"/>
        <v>0</v>
      </c>
      <c r="AS181" s="99">
        <f t="shared" si="121"/>
        <v>0</v>
      </c>
      <c r="AT181" s="99">
        <f t="shared" si="121"/>
        <v>0</v>
      </c>
      <c r="AU181" s="99">
        <f t="shared" si="121"/>
        <v>0</v>
      </c>
      <c r="AV181" s="99">
        <f t="shared" si="121"/>
        <v>0</v>
      </c>
      <c r="AW181" s="99">
        <f t="shared" si="121"/>
        <v>0</v>
      </c>
      <c r="AX181" s="99">
        <f t="shared" si="121"/>
        <v>0</v>
      </c>
      <c r="AY181" s="99">
        <f t="shared" si="121"/>
        <v>0</v>
      </c>
      <c r="AZ181" s="99">
        <f t="shared" si="121"/>
        <v>0</v>
      </c>
      <c r="BA181" s="99">
        <f t="shared" si="121"/>
        <v>0</v>
      </c>
      <c r="BB181" s="99">
        <f t="shared" si="121"/>
        <v>0</v>
      </c>
      <c r="BC181" s="99">
        <f t="shared" si="121"/>
        <v>0</v>
      </c>
      <c r="BD181" s="99">
        <f t="shared" si="121"/>
        <v>0</v>
      </c>
      <c r="BE181" s="99">
        <f t="shared" si="121"/>
        <v>0</v>
      </c>
      <c r="BF181" s="99">
        <f t="shared" si="121"/>
        <v>0</v>
      </c>
      <c r="BG181" s="99">
        <f t="shared" si="121"/>
        <v>0</v>
      </c>
      <c r="BH181" s="99">
        <f t="shared" si="121"/>
        <v>0</v>
      </c>
      <c r="BI181" s="99">
        <f t="shared" si="121"/>
        <v>0</v>
      </c>
      <c r="BJ181" s="99">
        <f t="shared" si="121"/>
        <v>0</v>
      </c>
      <c r="BK181" s="99">
        <f t="shared" si="121"/>
        <v>0</v>
      </c>
      <c r="BL181" s="99">
        <f t="shared" si="121"/>
        <v>0</v>
      </c>
      <c r="BM181" s="99">
        <f t="shared" si="121"/>
        <v>0</v>
      </c>
      <c r="BN181" s="99">
        <f t="shared" si="121"/>
        <v>0</v>
      </c>
    </row>
    <row r="182" outlineLevel="1">
      <c r="A182" s="66"/>
      <c r="B182" s="67" t="str">
        <f t="shared" si="119"/>
        <v>Asset 3</v>
      </c>
      <c r="C182" s="66"/>
      <c r="D182" s="66"/>
      <c r="E182" s="66"/>
      <c r="F182" s="99"/>
      <c r="G182" s="99">
        <f t="shared" si="120"/>
        <v>0</v>
      </c>
      <c r="H182" s="99">
        <f t="shared" ref="H182:BN182" si="122">MIN(G182+ IF(H$4&gt;=$D176,$C176/($E176*12),0),$C176)</f>
        <v>0</v>
      </c>
      <c r="I182" s="99">
        <f t="shared" si="122"/>
        <v>0</v>
      </c>
      <c r="J182" s="99">
        <f t="shared" si="122"/>
        <v>0</v>
      </c>
      <c r="K182" s="99">
        <f t="shared" si="122"/>
        <v>0</v>
      </c>
      <c r="L182" s="99">
        <f t="shared" si="122"/>
        <v>0</v>
      </c>
      <c r="M182" s="99">
        <f t="shared" si="122"/>
        <v>0</v>
      </c>
      <c r="N182" s="99">
        <f t="shared" si="122"/>
        <v>0</v>
      </c>
      <c r="O182" s="99">
        <f t="shared" si="122"/>
        <v>0</v>
      </c>
      <c r="P182" s="99">
        <f t="shared" si="122"/>
        <v>0</v>
      </c>
      <c r="Q182" s="99">
        <f t="shared" si="122"/>
        <v>0</v>
      </c>
      <c r="R182" s="99">
        <f t="shared" si="122"/>
        <v>0</v>
      </c>
      <c r="S182" s="99">
        <f t="shared" si="122"/>
        <v>0</v>
      </c>
      <c r="T182" s="99">
        <f t="shared" si="122"/>
        <v>0</v>
      </c>
      <c r="U182" s="99">
        <f t="shared" si="122"/>
        <v>0</v>
      </c>
      <c r="V182" s="99">
        <f t="shared" si="122"/>
        <v>0</v>
      </c>
      <c r="W182" s="99">
        <f t="shared" si="122"/>
        <v>0</v>
      </c>
      <c r="X182" s="99">
        <f t="shared" si="122"/>
        <v>0</v>
      </c>
      <c r="Y182" s="99">
        <f t="shared" si="122"/>
        <v>0</v>
      </c>
      <c r="Z182" s="99">
        <f t="shared" si="122"/>
        <v>0</v>
      </c>
      <c r="AA182" s="99">
        <f t="shared" si="122"/>
        <v>0</v>
      </c>
      <c r="AB182" s="99">
        <f t="shared" si="122"/>
        <v>0</v>
      </c>
      <c r="AC182" s="99">
        <f t="shared" si="122"/>
        <v>0</v>
      </c>
      <c r="AD182" s="99">
        <f t="shared" si="122"/>
        <v>0</v>
      </c>
      <c r="AE182" s="99">
        <f t="shared" si="122"/>
        <v>0</v>
      </c>
      <c r="AF182" s="99">
        <f t="shared" si="122"/>
        <v>0</v>
      </c>
      <c r="AG182" s="99">
        <f t="shared" si="122"/>
        <v>0</v>
      </c>
      <c r="AH182" s="99">
        <f t="shared" si="122"/>
        <v>0</v>
      </c>
      <c r="AI182" s="99">
        <f t="shared" si="122"/>
        <v>0</v>
      </c>
      <c r="AJ182" s="99">
        <f t="shared" si="122"/>
        <v>0</v>
      </c>
      <c r="AK182" s="99">
        <f t="shared" si="122"/>
        <v>0</v>
      </c>
      <c r="AL182" s="99">
        <f t="shared" si="122"/>
        <v>0</v>
      </c>
      <c r="AM182" s="99">
        <f t="shared" si="122"/>
        <v>0</v>
      </c>
      <c r="AN182" s="99">
        <f t="shared" si="122"/>
        <v>0</v>
      </c>
      <c r="AO182" s="99">
        <f t="shared" si="122"/>
        <v>0</v>
      </c>
      <c r="AP182" s="99">
        <f t="shared" si="122"/>
        <v>0</v>
      </c>
      <c r="AQ182" s="99">
        <f t="shared" si="122"/>
        <v>0</v>
      </c>
      <c r="AR182" s="99">
        <f t="shared" si="122"/>
        <v>0</v>
      </c>
      <c r="AS182" s="99">
        <f t="shared" si="122"/>
        <v>0</v>
      </c>
      <c r="AT182" s="99">
        <f t="shared" si="122"/>
        <v>0</v>
      </c>
      <c r="AU182" s="99">
        <f t="shared" si="122"/>
        <v>0</v>
      </c>
      <c r="AV182" s="99">
        <f t="shared" si="122"/>
        <v>0</v>
      </c>
      <c r="AW182" s="99">
        <f t="shared" si="122"/>
        <v>0</v>
      </c>
      <c r="AX182" s="99">
        <f t="shared" si="122"/>
        <v>0</v>
      </c>
      <c r="AY182" s="99">
        <f t="shared" si="122"/>
        <v>0</v>
      </c>
      <c r="AZ182" s="99">
        <f t="shared" si="122"/>
        <v>0</v>
      </c>
      <c r="BA182" s="99">
        <f t="shared" si="122"/>
        <v>0</v>
      </c>
      <c r="BB182" s="99">
        <f t="shared" si="122"/>
        <v>0</v>
      </c>
      <c r="BC182" s="99">
        <f t="shared" si="122"/>
        <v>0</v>
      </c>
      <c r="BD182" s="99">
        <f t="shared" si="122"/>
        <v>0</v>
      </c>
      <c r="BE182" s="99">
        <f t="shared" si="122"/>
        <v>0</v>
      </c>
      <c r="BF182" s="99">
        <f t="shared" si="122"/>
        <v>0</v>
      </c>
      <c r="BG182" s="99">
        <f t="shared" si="122"/>
        <v>0</v>
      </c>
      <c r="BH182" s="99">
        <f t="shared" si="122"/>
        <v>0</v>
      </c>
      <c r="BI182" s="99">
        <f t="shared" si="122"/>
        <v>0</v>
      </c>
      <c r="BJ182" s="99">
        <f t="shared" si="122"/>
        <v>0</v>
      </c>
      <c r="BK182" s="99">
        <f t="shared" si="122"/>
        <v>0</v>
      </c>
      <c r="BL182" s="99">
        <f t="shared" si="122"/>
        <v>0</v>
      </c>
      <c r="BM182" s="99">
        <f t="shared" si="122"/>
        <v>0</v>
      </c>
      <c r="BN182" s="99">
        <f t="shared" si="122"/>
        <v>0</v>
      </c>
    </row>
    <row r="183" outlineLevel="1">
      <c r="A183" s="66"/>
      <c r="B183" s="67" t="str">
        <f t="shared" si="119"/>
        <v>Asset 4</v>
      </c>
      <c r="C183" s="66"/>
      <c r="D183" s="66"/>
      <c r="E183" s="66"/>
      <c r="F183" s="99"/>
      <c r="G183" s="99">
        <f t="shared" si="120"/>
        <v>0</v>
      </c>
      <c r="H183" s="99">
        <f t="shared" ref="H183:BN183" si="123">MIN(G183+ IF(H$4&gt;=$D177,$C177/($E177*12),0),$C177)</f>
        <v>0</v>
      </c>
      <c r="I183" s="99">
        <f t="shared" si="123"/>
        <v>0</v>
      </c>
      <c r="J183" s="99">
        <f t="shared" si="123"/>
        <v>0</v>
      </c>
      <c r="K183" s="99">
        <f t="shared" si="123"/>
        <v>0</v>
      </c>
      <c r="L183" s="99">
        <f t="shared" si="123"/>
        <v>0</v>
      </c>
      <c r="M183" s="99">
        <f t="shared" si="123"/>
        <v>0</v>
      </c>
      <c r="N183" s="99">
        <f t="shared" si="123"/>
        <v>0</v>
      </c>
      <c r="O183" s="99">
        <f t="shared" si="123"/>
        <v>0</v>
      </c>
      <c r="P183" s="99">
        <f t="shared" si="123"/>
        <v>0</v>
      </c>
      <c r="Q183" s="99">
        <f t="shared" si="123"/>
        <v>0</v>
      </c>
      <c r="R183" s="99">
        <f t="shared" si="123"/>
        <v>0</v>
      </c>
      <c r="S183" s="99">
        <f t="shared" si="123"/>
        <v>0</v>
      </c>
      <c r="T183" s="99">
        <f t="shared" si="123"/>
        <v>0</v>
      </c>
      <c r="U183" s="99">
        <f t="shared" si="123"/>
        <v>0</v>
      </c>
      <c r="V183" s="99">
        <f t="shared" si="123"/>
        <v>0</v>
      </c>
      <c r="W183" s="99">
        <f t="shared" si="123"/>
        <v>0</v>
      </c>
      <c r="X183" s="99">
        <f t="shared" si="123"/>
        <v>0</v>
      </c>
      <c r="Y183" s="99">
        <f t="shared" si="123"/>
        <v>0</v>
      </c>
      <c r="Z183" s="99">
        <f t="shared" si="123"/>
        <v>0</v>
      </c>
      <c r="AA183" s="99">
        <f t="shared" si="123"/>
        <v>0</v>
      </c>
      <c r="AB183" s="99">
        <f t="shared" si="123"/>
        <v>0</v>
      </c>
      <c r="AC183" s="99">
        <f t="shared" si="123"/>
        <v>0</v>
      </c>
      <c r="AD183" s="99">
        <f t="shared" si="123"/>
        <v>0</v>
      </c>
      <c r="AE183" s="99">
        <f t="shared" si="123"/>
        <v>0</v>
      </c>
      <c r="AF183" s="99">
        <f t="shared" si="123"/>
        <v>0</v>
      </c>
      <c r="AG183" s="99">
        <f t="shared" si="123"/>
        <v>0</v>
      </c>
      <c r="AH183" s="99">
        <f t="shared" si="123"/>
        <v>0</v>
      </c>
      <c r="AI183" s="99">
        <f t="shared" si="123"/>
        <v>0</v>
      </c>
      <c r="AJ183" s="99">
        <f t="shared" si="123"/>
        <v>0</v>
      </c>
      <c r="AK183" s="99">
        <f t="shared" si="123"/>
        <v>0</v>
      </c>
      <c r="AL183" s="99">
        <f t="shared" si="123"/>
        <v>0</v>
      </c>
      <c r="AM183" s="99">
        <f t="shared" si="123"/>
        <v>0</v>
      </c>
      <c r="AN183" s="99">
        <f t="shared" si="123"/>
        <v>0</v>
      </c>
      <c r="AO183" s="99">
        <f t="shared" si="123"/>
        <v>0</v>
      </c>
      <c r="AP183" s="99">
        <f t="shared" si="123"/>
        <v>0</v>
      </c>
      <c r="AQ183" s="99">
        <f t="shared" si="123"/>
        <v>0</v>
      </c>
      <c r="AR183" s="99">
        <f t="shared" si="123"/>
        <v>0</v>
      </c>
      <c r="AS183" s="99">
        <f t="shared" si="123"/>
        <v>0</v>
      </c>
      <c r="AT183" s="99">
        <f t="shared" si="123"/>
        <v>0</v>
      </c>
      <c r="AU183" s="99">
        <f t="shared" si="123"/>
        <v>0</v>
      </c>
      <c r="AV183" s="99">
        <f t="shared" si="123"/>
        <v>0</v>
      </c>
      <c r="AW183" s="99">
        <f t="shared" si="123"/>
        <v>0</v>
      </c>
      <c r="AX183" s="99">
        <f t="shared" si="123"/>
        <v>0</v>
      </c>
      <c r="AY183" s="99">
        <f t="shared" si="123"/>
        <v>0</v>
      </c>
      <c r="AZ183" s="99">
        <f t="shared" si="123"/>
        <v>0</v>
      </c>
      <c r="BA183" s="99">
        <f t="shared" si="123"/>
        <v>0</v>
      </c>
      <c r="BB183" s="99">
        <f t="shared" si="123"/>
        <v>0</v>
      </c>
      <c r="BC183" s="99">
        <f t="shared" si="123"/>
        <v>0</v>
      </c>
      <c r="BD183" s="99">
        <f t="shared" si="123"/>
        <v>0</v>
      </c>
      <c r="BE183" s="99">
        <f t="shared" si="123"/>
        <v>0</v>
      </c>
      <c r="BF183" s="99">
        <f t="shared" si="123"/>
        <v>0</v>
      </c>
      <c r="BG183" s="99">
        <f t="shared" si="123"/>
        <v>0</v>
      </c>
      <c r="BH183" s="99">
        <f t="shared" si="123"/>
        <v>0</v>
      </c>
      <c r="BI183" s="99">
        <f t="shared" si="123"/>
        <v>0</v>
      </c>
      <c r="BJ183" s="99">
        <f t="shared" si="123"/>
        <v>0</v>
      </c>
      <c r="BK183" s="99">
        <f t="shared" si="123"/>
        <v>0</v>
      </c>
      <c r="BL183" s="99">
        <f t="shared" si="123"/>
        <v>0</v>
      </c>
      <c r="BM183" s="99">
        <f t="shared" si="123"/>
        <v>0</v>
      </c>
      <c r="BN183" s="99">
        <f t="shared" si="123"/>
        <v>0</v>
      </c>
    </row>
    <row r="184" outlineLevel="1">
      <c r="A184" s="47"/>
      <c r="B184" s="39"/>
      <c r="C184" s="47"/>
      <c r="D184" s="47"/>
      <c r="E184" s="47"/>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c r="BC184" s="99"/>
      <c r="BD184" s="99"/>
      <c r="BE184" s="99"/>
      <c r="BF184" s="99"/>
      <c r="BG184" s="99"/>
      <c r="BH184" s="99"/>
      <c r="BI184" s="99"/>
      <c r="BJ184" s="99"/>
      <c r="BK184" s="99"/>
      <c r="BL184" s="99"/>
      <c r="BM184" s="99"/>
      <c r="BN184" s="99"/>
    </row>
    <row r="185" outlineLevel="1">
      <c r="A185" s="47"/>
      <c r="B185" s="147" t="s">
        <v>139</v>
      </c>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48"/>
      <c r="AZ185" s="148"/>
      <c r="BA185" s="148"/>
      <c r="BB185" s="148"/>
      <c r="BC185" s="148"/>
      <c r="BD185" s="148"/>
      <c r="BE185" s="148"/>
      <c r="BF185" s="148"/>
      <c r="BG185" s="148"/>
      <c r="BH185" s="148"/>
      <c r="BI185" s="148"/>
      <c r="BJ185" s="148"/>
      <c r="BK185" s="148"/>
      <c r="BL185" s="148"/>
      <c r="BM185" s="148"/>
      <c r="BN185" s="148"/>
    </row>
    <row r="186" outlineLevel="1">
      <c r="A186" s="47"/>
      <c r="B186" s="39"/>
      <c r="C186" s="47"/>
      <c r="D186" s="47"/>
      <c r="E186" s="47"/>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c r="BB186" s="99"/>
      <c r="BC186" s="99"/>
      <c r="BD186" s="99"/>
      <c r="BE186" s="99"/>
      <c r="BF186" s="99"/>
      <c r="BG186" s="99"/>
      <c r="BH186" s="99"/>
      <c r="BI186" s="99"/>
      <c r="BJ186" s="99"/>
      <c r="BK186" s="99"/>
      <c r="BL186" s="99"/>
      <c r="BM186" s="99"/>
      <c r="BN186" s="99"/>
    </row>
    <row r="187" outlineLevel="1">
      <c r="A187" s="47"/>
      <c r="B187" s="65" t="s">
        <v>140</v>
      </c>
      <c r="C187" s="157">
        <v>15.0</v>
      </c>
      <c r="D187" s="39" t="s">
        <v>141</v>
      </c>
      <c r="E187" s="47"/>
      <c r="F187" s="152"/>
      <c r="G187" s="152">
        <f t="shared" ref="G187:BN187" si="124">SUM(G134,G145,G150,G156,G159)*$C187/30</f>
        <v>17606.33125</v>
      </c>
      <c r="H187" s="152">
        <f t="shared" si="124"/>
        <v>17709.93466</v>
      </c>
      <c r="I187" s="152">
        <f t="shared" si="124"/>
        <v>17808.39672</v>
      </c>
      <c r="J187" s="152">
        <f t="shared" si="124"/>
        <v>17901.93627</v>
      </c>
      <c r="K187" s="152">
        <f t="shared" si="124"/>
        <v>17990.79885</v>
      </c>
      <c r="L187" s="152">
        <f t="shared" si="124"/>
        <v>18075.21829</v>
      </c>
      <c r="M187" s="152">
        <f t="shared" si="124"/>
        <v>18155.41677</v>
      </c>
      <c r="N187" s="152">
        <f t="shared" si="124"/>
        <v>18231.60532</v>
      </c>
      <c r="O187" s="152">
        <f t="shared" si="124"/>
        <v>18303.98445</v>
      </c>
      <c r="P187" s="152">
        <f t="shared" si="124"/>
        <v>18372.74462</v>
      </c>
      <c r="Q187" s="152">
        <f t="shared" si="124"/>
        <v>18281.72231</v>
      </c>
      <c r="R187" s="152">
        <f t="shared" si="124"/>
        <v>18333.43569</v>
      </c>
      <c r="S187" s="152">
        <f t="shared" si="124"/>
        <v>18382.5634</v>
      </c>
      <c r="T187" s="152">
        <f t="shared" si="124"/>
        <v>18429.23472</v>
      </c>
      <c r="U187" s="152">
        <f t="shared" si="124"/>
        <v>18473.57248</v>
      </c>
      <c r="V187" s="152">
        <f t="shared" si="124"/>
        <v>18515.69335</v>
      </c>
      <c r="W187" s="152">
        <f t="shared" si="124"/>
        <v>18555.70817</v>
      </c>
      <c r="X187" s="152">
        <f t="shared" si="124"/>
        <v>18593.72225</v>
      </c>
      <c r="Y187" s="152">
        <f t="shared" si="124"/>
        <v>18629.83563</v>
      </c>
      <c r="Z187" s="152">
        <f t="shared" si="124"/>
        <v>18664.14334</v>
      </c>
      <c r="AA187" s="152">
        <f t="shared" si="124"/>
        <v>18696.73567</v>
      </c>
      <c r="AB187" s="152">
        <f t="shared" si="124"/>
        <v>18727.69838</v>
      </c>
      <c r="AC187" s="152">
        <f t="shared" si="124"/>
        <v>18757.11295</v>
      </c>
      <c r="AD187" s="152">
        <f t="shared" si="124"/>
        <v>18785.0568</v>
      </c>
      <c r="AE187" s="152">
        <f t="shared" si="124"/>
        <v>18811.60345</v>
      </c>
      <c r="AF187" s="152">
        <f t="shared" si="124"/>
        <v>18836.82277</v>
      </c>
      <c r="AG187" s="152">
        <f t="shared" si="124"/>
        <v>18860.78112</v>
      </c>
      <c r="AH187" s="152">
        <f t="shared" si="124"/>
        <v>18883.54156</v>
      </c>
      <c r="AI187" s="152">
        <f t="shared" si="124"/>
        <v>18905.16397</v>
      </c>
      <c r="AJ187" s="152">
        <f t="shared" si="124"/>
        <v>18925.70527</v>
      </c>
      <c r="AK187" s="152">
        <f t="shared" si="124"/>
        <v>18945.2195</v>
      </c>
      <c r="AL187" s="152">
        <f t="shared" si="124"/>
        <v>18963.75801</v>
      </c>
      <c r="AM187" s="152">
        <f t="shared" si="124"/>
        <v>18981.36961</v>
      </c>
      <c r="AN187" s="152">
        <f t="shared" si="124"/>
        <v>18998.10062</v>
      </c>
      <c r="AO187" s="152">
        <f t="shared" si="124"/>
        <v>19013.99508</v>
      </c>
      <c r="AP187" s="152">
        <f t="shared" si="124"/>
        <v>19029.09482</v>
      </c>
      <c r="AQ187" s="152">
        <f t="shared" si="124"/>
        <v>19043.43957</v>
      </c>
      <c r="AR187" s="152">
        <f t="shared" si="124"/>
        <v>19057.06708</v>
      </c>
      <c r="AS187" s="152">
        <f t="shared" si="124"/>
        <v>19070.01322</v>
      </c>
      <c r="AT187" s="152">
        <f t="shared" si="124"/>
        <v>19082.31205</v>
      </c>
      <c r="AU187" s="152">
        <f t="shared" si="124"/>
        <v>19093.99594</v>
      </c>
      <c r="AV187" s="152">
        <f t="shared" si="124"/>
        <v>19105.09564</v>
      </c>
      <c r="AW187" s="152">
        <f t="shared" si="124"/>
        <v>19115.64035</v>
      </c>
      <c r="AX187" s="152">
        <f t="shared" si="124"/>
        <v>19125.65782</v>
      </c>
      <c r="AY187" s="152">
        <f t="shared" si="124"/>
        <v>19135.17442</v>
      </c>
      <c r="AZ187" s="152">
        <f t="shared" si="124"/>
        <v>19144.2152</v>
      </c>
      <c r="BA187" s="152">
        <f t="shared" si="124"/>
        <v>19152.80393</v>
      </c>
      <c r="BB187" s="152">
        <f t="shared" si="124"/>
        <v>19160.96322</v>
      </c>
      <c r="BC187" s="152">
        <f t="shared" si="124"/>
        <v>19168.71456</v>
      </c>
      <c r="BD187" s="152">
        <f t="shared" si="124"/>
        <v>19176.07832</v>
      </c>
      <c r="BE187" s="152">
        <f t="shared" si="124"/>
        <v>19183.0739</v>
      </c>
      <c r="BF187" s="152">
        <f t="shared" si="124"/>
        <v>19189.71969</v>
      </c>
      <c r="BG187" s="152">
        <f t="shared" si="124"/>
        <v>19196.0332</v>
      </c>
      <c r="BH187" s="152">
        <f t="shared" si="124"/>
        <v>19202.03103</v>
      </c>
      <c r="BI187" s="152">
        <f t="shared" si="124"/>
        <v>19207.72897</v>
      </c>
      <c r="BJ187" s="152">
        <f t="shared" si="124"/>
        <v>19213.14202</v>
      </c>
      <c r="BK187" s="152">
        <f t="shared" si="124"/>
        <v>19218.28441</v>
      </c>
      <c r="BL187" s="152">
        <f t="shared" si="124"/>
        <v>19223.16968</v>
      </c>
      <c r="BM187" s="152">
        <f t="shared" si="124"/>
        <v>19227.81069</v>
      </c>
      <c r="BN187" s="152">
        <f t="shared" si="124"/>
        <v>19232.21965</v>
      </c>
    </row>
    <row r="188" outlineLevel="1">
      <c r="A188" s="47"/>
      <c r="B188" s="47"/>
      <c r="C188" s="47"/>
      <c r="D188" s="47"/>
      <c r="E188" s="47"/>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c r="BC188" s="99"/>
      <c r="BD188" s="99"/>
      <c r="BE188" s="99"/>
      <c r="BF188" s="99"/>
      <c r="BG188" s="99"/>
      <c r="BH188" s="99"/>
      <c r="BI188" s="99"/>
      <c r="BJ188" s="99"/>
      <c r="BK188" s="99"/>
      <c r="BL188" s="99"/>
      <c r="BM188" s="99"/>
      <c r="BN188" s="99"/>
    </row>
    <row r="189" outlineLevel="1">
      <c r="A189" s="47"/>
      <c r="B189" s="147" t="s">
        <v>142</v>
      </c>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8"/>
      <c r="AV189" s="148"/>
      <c r="AW189" s="148"/>
      <c r="AX189" s="148"/>
      <c r="AY189" s="148"/>
      <c r="AZ189" s="148"/>
      <c r="BA189" s="148"/>
      <c r="BB189" s="148"/>
      <c r="BC189" s="148"/>
      <c r="BD189" s="148"/>
      <c r="BE189" s="148"/>
      <c r="BF189" s="148"/>
      <c r="BG189" s="148"/>
      <c r="BH189" s="148"/>
      <c r="BI189" s="148"/>
      <c r="BJ189" s="148"/>
      <c r="BK189" s="148"/>
      <c r="BL189" s="148"/>
      <c r="BM189" s="148"/>
      <c r="BN189" s="148"/>
    </row>
    <row r="190" outlineLevel="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row>
    <row r="191" outlineLevel="1">
      <c r="A191" s="66"/>
      <c r="B191" s="67" t="s">
        <v>143</v>
      </c>
      <c r="C191" s="122">
        <v>120000.0</v>
      </c>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row>
    <row r="192" outlineLevel="1">
      <c r="A192" s="47"/>
      <c r="B192" s="39" t="s">
        <v>144</v>
      </c>
      <c r="C192" s="126">
        <v>0.09</v>
      </c>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row>
    <row r="193" outlineLevel="1">
      <c r="A193" s="47"/>
      <c r="B193" s="39"/>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row>
    <row r="194" outlineLevel="1">
      <c r="A194" s="47"/>
      <c r="B194" s="158" t="s">
        <v>145</v>
      </c>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row>
    <row r="195" outlineLevel="1">
      <c r="A195" s="47"/>
      <c r="B195" s="160" t="s">
        <v>146</v>
      </c>
      <c r="C195" s="39" t="s">
        <v>147</v>
      </c>
      <c r="D195" s="39" t="s">
        <v>148</v>
      </c>
      <c r="E195" s="161"/>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row>
    <row r="196" outlineLevel="1">
      <c r="A196" s="47"/>
      <c r="B196" s="127" t="s">
        <v>149</v>
      </c>
      <c r="C196" s="68">
        <v>0.0</v>
      </c>
      <c r="D196" s="162">
        <v>44562.0</v>
      </c>
      <c r="E196" s="163"/>
      <c r="F196" s="99"/>
      <c r="G196" s="99">
        <f t="shared" ref="G196:BN196" si="125">IF(AND(Month(G$4)=Month($D196),Year(G$4)=Year($D196)),$C196,0)</f>
        <v>0</v>
      </c>
      <c r="H196" s="99">
        <f t="shared" si="125"/>
        <v>0</v>
      </c>
      <c r="I196" s="99">
        <f t="shared" si="125"/>
        <v>0</v>
      </c>
      <c r="J196" s="99">
        <f t="shared" si="125"/>
        <v>0</v>
      </c>
      <c r="K196" s="99">
        <f t="shared" si="125"/>
        <v>0</v>
      </c>
      <c r="L196" s="99">
        <f t="shared" si="125"/>
        <v>0</v>
      </c>
      <c r="M196" s="99">
        <f t="shared" si="125"/>
        <v>0</v>
      </c>
      <c r="N196" s="99">
        <f t="shared" si="125"/>
        <v>0</v>
      </c>
      <c r="O196" s="99">
        <f t="shared" si="125"/>
        <v>0</v>
      </c>
      <c r="P196" s="99">
        <f t="shared" si="125"/>
        <v>0</v>
      </c>
      <c r="Q196" s="99">
        <f t="shared" si="125"/>
        <v>0</v>
      </c>
      <c r="R196" s="99">
        <f t="shared" si="125"/>
        <v>0</v>
      </c>
      <c r="S196" s="99">
        <f t="shared" si="125"/>
        <v>0</v>
      </c>
      <c r="T196" s="99">
        <f t="shared" si="125"/>
        <v>0</v>
      </c>
      <c r="U196" s="99">
        <f t="shared" si="125"/>
        <v>0</v>
      </c>
      <c r="V196" s="99">
        <f t="shared" si="125"/>
        <v>0</v>
      </c>
      <c r="W196" s="99">
        <f t="shared" si="125"/>
        <v>0</v>
      </c>
      <c r="X196" s="99">
        <f t="shared" si="125"/>
        <v>0</v>
      </c>
      <c r="Y196" s="99">
        <f t="shared" si="125"/>
        <v>0</v>
      </c>
      <c r="Z196" s="99">
        <f t="shared" si="125"/>
        <v>0</v>
      </c>
      <c r="AA196" s="99">
        <f t="shared" si="125"/>
        <v>0</v>
      </c>
      <c r="AB196" s="99">
        <f t="shared" si="125"/>
        <v>0</v>
      </c>
      <c r="AC196" s="99">
        <f t="shared" si="125"/>
        <v>0</v>
      </c>
      <c r="AD196" s="99">
        <f t="shared" si="125"/>
        <v>0</v>
      </c>
      <c r="AE196" s="99">
        <f t="shared" si="125"/>
        <v>0</v>
      </c>
      <c r="AF196" s="99">
        <f t="shared" si="125"/>
        <v>0</v>
      </c>
      <c r="AG196" s="99">
        <f t="shared" si="125"/>
        <v>0</v>
      </c>
      <c r="AH196" s="99">
        <f t="shared" si="125"/>
        <v>0</v>
      </c>
      <c r="AI196" s="99">
        <f t="shared" si="125"/>
        <v>0</v>
      </c>
      <c r="AJ196" s="99">
        <f t="shared" si="125"/>
        <v>0</v>
      </c>
      <c r="AK196" s="99">
        <f t="shared" si="125"/>
        <v>0</v>
      </c>
      <c r="AL196" s="99">
        <f t="shared" si="125"/>
        <v>0</v>
      </c>
      <c r="AM196" s="99">
        <f t="shared" si="125"/>
        <v>0</v>
      </c>
      <c r="AN196" s="99">
        <f t="shared" si="125"/>
        <v>0</v>
      </c>
      <c r="AO196" s="99">
        <f t="shared" si="125"/>
        <v>0</v>
      </c>
      <c r="AP196" s="99">
        <f t="shared" si="125"/>
        <v>0</v>
      </c>
      <c r="AQ196" s="99">
        <f t="shared" si="125"/>
        <v>0</v>
      </c>
      <c r="AR196" s="99">
        <f t="shared" si="125"/>
        <v>0</v>
      </c>
      <c r="AS196" s="99">
        <f t="shared" si="125"/>
        <v>0</v>
      </c>
      <c r="AT196" s="99">
        <f t="shared" si="125"/>
        <v>0</v>
      </c>
      <c r="AU196" s="99">
        <f t="shared" si="125"/>
        <v>0</v>
      </c>
      <c r="AV196" s="99">
        <f t="shared" si="125"/>
        <v>0</v>
      </c>
      <c r="AW196" s="99">
        <f t="shared" si="125"/>
        <v>0</v>
      </c>
      <c r="AX196" s="99">
        <f t="shared" si="125"/>
        <v>0</v>
      </c>
      <c r="AY196" s="99">
        <f t="shared" si="125"/>
        <v>0</v>
      </c>
      <c r="AZ196" s="99">
        <f t="shared" si="125"/>
        <v>0</v>
      </c>
      <c r="BA196" s="99">
        <f t="shared" si="125"/>
        <v>0</v>
      </c>
      <c r="BB196" s="99">
        <f t="shared" si="125"/>
        <v>0</v>
      </c>
      <c r="BC196" s="99">
        <f t="shared" si="125"/>
        <v>0</v>
      </c>
      <c r="BD196" s="99">
        <f t="shared" si="125"/>
        <v>0</v>
      </c>
      <c r="BE196" s="99">
        <f t="shared" si="125"/>
        <v>0</v>
      </c>
      <c r="BF196" s="99">
        <f t="shared" si="125"/>
        <v>0</v>
      </c>
      <c r="BG196" s="99">
        <f t="shared" si="125"/>
        <v>0</v>
      </c>
      <c r="BH196" s="99">
        <f t="shared" si="125"/>
        <v>0</v>
      </c>
      <c r="BI196" s="99">
        <f t="shared" si="125"/>
        <v>0</v>
      </c>
      <c r="BJ196" s="99">
        <f t="shared" si="125"/>
        <v>0</v>
      </c>
      <c r="BK196" s="99">
        <f t="shared" si="125"/>
        <v>0</v>
      </c>
      <c r="BL196" s="99">
        <f t="shared" si="125"/>
        <v>0</v>
      </c>
      <c r="BM196" s="99">
        <f t="shared" si="125"/>
        <v>0</v>
      </c>
      <c r="BN196" s="99">
        <f t="shared" si="125"/>
        <v>0</v>
      </c>
    </row>
    <row r="197" outlineLevel="1">
      <c r="A197" s="47"/>
      <c r="B197" s="127" t="s">
        <v>150</v>
      </c>
      <c r="C197" s="68">
        <v>0.0</v>
      </c>
      <c r="D197" s="162"/>
      <c r="E197" s="163"/>
      <c r="F197" s="99"/>
      <c r="G197" s="99">
        <f t="shared" ref="G197:BN197" si="126">IF(AND(Month(G$4)=Month($D197),Year(G$4)=Year($D197)),$C197,0)</f>
        <v>0</v>
      </c>
      <c r="H197" s="99">
        <f t="shared" si="126"/>
        <v>0</v>
      </c>
      <c r="I197" s="99">
        <f t="shared" si="126"/>
        <v>0</v>
      </c>
      <c r="J197" s="99">
        <f t="shared" si="126"/>
        <v>0</v>
      </c>
      <c r="K197" s="99">
        <f t="shared" si="126"/>
        <v>0</v>
      </c>
      <c r="L197" s="99">
        <f t="shared" si="126"/>
        <v>0</v>
      </c>
      <c r="M197" s="99">
        <f t="shared" si="126"/>
        <v>0</v>
      </c>
      <c r="N197" s="99">
        <f t="shared" si="126"/>
        <v>0</v>
      </c>
      <c r="O197" s="99">
        <f t="shared" si="126"/>
        <v>0</v>
      </c>
      <c r="P197" s="99">
        <f t="shared" si="126"/>
        <v>0</v>
      </c>
      <c r="Q197" s="99">
        <f t="shared" si="126"/>
        <v>0</v>
      </c>
      <c r="R197" s="99">
        <f t="shared" si="126"/>
        <v>0</v>
      </c>
      <c r="S197" s="99">
        <f t="shared" si="126"/>
        <v>0</v>
      </c>
      <c r="T197" s="99">
        <f t="shared" si="126"/>
        <v>0</v>
      </c>
      <c r="U197" s="99">
        <f t="shared" si="126"/>
        <v>0</v>
      </c>
      <c r="V197" s="99">
        <f t="shared" si="126"/>
        <v>0</v>
      </c>
      <c r="W197" s="99">
        <f t="shared" si="126"/>
        <v>0</v>
      </c>
      <c r="X197" s="99">
        <f t="shared" si="126"/>
        <v>0</v>
      </c>
      <c r="Y197" s="99">
        <f t="shared" si="126"/>
        <v>0</v>
      </c>
      <c r="Z197" s="99">
        <f t="shared" si="126"/>
        <v>0</v>
      </c>
      <c r="AA197" s="99">
        <f t="shared" si="126"/>
        <v>0</v>
      </c>
      <c r="AB197" s="99">
        <f t="shared" si="126"/>
        <v>0</v>
      </c>
      <c r="AC197" s="99">
        <f t="shared" si="126"/>
        <v>0</v>
      </c>
      <c r="AD197" s="99">
        <f t="shared" si="126"/>
        <v>0</v>
      </c>
      <c r="AE197" s="99">
        <f t="shared" si="126"/>
        <v>0</v>
      </c>
      <c r="AF197" s="99">
        <f t="shared" si="126"/>
        <v>0</v>
      </c>
      <c r="AG197" s="99">
        <f t="shared" si="126"/>
        <v>0</v>
      </c>
      <c r="AH197" s="99">
        <f t="shared" si="126"/>
        <v>0</v>
      </c>
      <c r="AI197" s="99">
        <f t="shared" si="126"/>
        <v>0</v>
      </c>
      <c r="AJ197" s="99">
        <f t="shared" si="126"/>
        <v>0</v>
      </c>
      <c r="AK197" s="99">
        <f t="shared" si="126"/>
        <v>0</v>
      </c>
      <c r="AL197" s="99">
        <f t="shared" si="126"/>
        <v>0</v>
      </c>
      <c r="AM197" s="99">
        <f t="shared" si="126"/>
        <v>0</v>
      </c>
      <c r="AN197" s="99">
        <f t="shared" si="126"/>
        <v>0</v>
      </c>
      <c r="AO197" s="99">
        <f t="shared" si="126"/>
        <v>0</v>
      </c>
      <c r="AP197" s="99">
        <f t="shared" si="126"/>
        <v>0</v>
      </c>
      <c r="AQ197" s="99">
        <f t="shared" si="126"/>
        <v>0</v>
      </c>
      <c r="AR197" s="99">
        <f t="shared" si="126"/>
        <v>0</v>
      </c>
      <c r="AS197" s="99">
        <f t="shared" si="126"/>
        <v>0</v>
      </c>
      <c r="AT197" s="99">
        <f t="shared" si="126"/>
        <v>0</v>
      </c>
      <c r="AU197" s="99">
        <f t="shared" si="126"/>
        <v>0</v>
      </c>
      <c r="AV197" s="99">
        <f t="shared" si="126"/>
        <v>0</v>
      </c>
      <c r="AW197" s="99">
        <f t="shared" si="126"/>
        <v>0</v>
      </c>
      <c r="AX197" s="99">
        <f t="shared" si="126"/>
        <v>0</v>
      </c>
      <c r="AY197" s="99">
        <f t="shared" si="126"/>
        <v>0</v>
      </c>
      <c r="AZ197" s="99">
        <f t="shared" si="126"/>
        <v>0</v>
      </c>
      <c r="BA197" s="99">
        <f t="shared" si="126"/>
        <v>0</v>
      </c>
      <c r="BB197" s="99">
        <f t="shared" si="126"/>
        <v>0</v>
      </c>
      <c r="BC197" s="99">
        <f t="shared" si="126"/>
        <v>0</v>
      </c>
      <c r="BD197" s="99">
        <f t="shared" si="126"/>
        <v>0</v>
      </c>
      <c r="BE197" s="99">
        <f t="shared" si="126"/>
        <v>0</v>
      </c>
      <c r="BF197" s="99">
        <f t="shared" si="126"/>
        <v>0</v>
      </c>
      <c r="BG197" s="99">
        <f t="shared" si="126"/>
        <v>0</v>
      </c>
      <c r="BH197" s="99">
        <f t="shared" si="126"/>
        <v>0</v>
      </c>
      <c r="BI197" s="99">
        <f t="shared" si="126"/>
        <v>0</v>
      </c>
      <c r="BJ197" s="99">
        <f t="shared" si="126"/>
        <v>0</v>
      </c>
      <c r="BK197" s="99">
        <f t="shared" si="126"/>
        <v>0</v>
      </c>
      <c r="BL197" s="99">
        <f t="shared" si="126"/>
        <v>0</v>
      </c>
      <c r="BM197" s="99">
        <f t="shared" si="126"/>
        <v>0</v>
      </c>
      <c r="BN197" s="99">
        <f t="shared" si="126"/>
        <v>0</v>
      </c>
    </row>
    <row r="198" outlineLevel="1">
      <c r="A198" s="47"/>
      <c r="B198" s="127" t="s">
        <v>151</v>
      </c>
      <c r="C198" s="68">
        <v>0.0</v>
      </c>
      <c r="D198" s="162"/>
      <c r="E198" s="163"/>
      <c r="F198" s="99"/>
      <c r="G198" s="99">
        <f t="shared" ref="G198:BN198" si="127">IF(AND(Month(G$4)=Month($D198),Year(G$4)=Year($D198)),$C198,0)</f>
        <v>0</v>
      </c>
      <c r="H198" s="99">
        <f t="shared" si="127"/>
        <v>0</v>
      </c>
      <c r="I198" s="99">
        <f t="shared" si="127"/>
        <v>0</v>
      </c>
      <c r="J198" s="99">
        <f t="shared" si="127"/>
        <v>0</v>
      </c>
      <c r="K198" s="99">
        <f t="shared" si="127"/>
        <v>0</v>
      </c>
      <c r="L198" s="99">
        <f t="shared" si="127"/>
        <v>0</v>
      </c>
      <c r="M198" s="99">
        <f t="shared" si="127"/>
        <v>0</v>
      </c>
      <c r="N198" s="99">
        <f t="shared" si="127"/>
        <v>0</v>
      </c>
      <c r="O198" s="99">
        <f t="shared" si="127"/>
        <v>0</v>
      </c>
      <c r="P198" s="99">
        <f t="shared" si="127"/>
        <v>0</v>
      </c>
      <c r="Q198" s="99">
        <f t="shared" si="127"/>
        <v>0</v>
      </c>
      <c r="R198" s="99">
        <f t="shared" si="127"/>
        <v>0</v>
      </c>
      <c r="S198" s="99">
        <f t="shared" si="127"/>
        <v>0</v>
      </c>
      <c r="T198" s="99">
        <f t="shared" si="127"/>
        <v>0</v>
      </c>
      <c r="U198" s="99">
        <f t="shared" si="127"/>
        <v>0</v>
      </c>
      <c r="V198" s="99">
        <f t="shared" si="127"/>
        <v>0</v>
      </c>
      <c r="W198" s="99">
        <f t="shared" si="127"/>
        <v>0</v>
      </c>
      <c r="X198" s="99">
        <f t="shared" si="127"/>
        <v>0</v>
      </c>
      <c r="Y198" s="99">
        <f t="shared" si="127"/>
        <v>0</v>
      </c>
      <c r="Z198" s="99">
        <f t="shared" si="127"/>
        <v>0</v>
      </c>
      <c r="AA198" s="99">
        <f t="shared" si="127"/>
        <v>0</v>
      </c>
      <c r="AB198" s="99">
        <f t="shared" si="127"/>
        <v>0</v>
      </c>
      <c r="AC198" s="99">
        <f t="shared" si="127"/>
        <v>0</v>
      </c>
      <c r="AD198" s="99">
        <f t="shared" si="127"/>
        <v>0</v>
      </c>
      <c r="AE198" s="99">
        <f t="shared" si="127"/>
        <v>0</v>
      </c>
      <c r="AF198" s="99">
        <f t="shared" si="127"/>
        <v>0</v>
      </c>
      <c r="AG198" s="99">
        <f t="shared" si="127"/>
        <v>0</v>
      </c>
      <c r="AH198" s="99">
        <f t="shared" si="127"/>
        <v>0</v>
      </c>
      <c r="AI198" s="99">
        <f t="shared" si="127"/>
        <v>0</v>
      </c>
      <c r="AJ198" s="99">
        <f t="shared" si="127"/>
        <v>0</v>
      </c>
      <c r="AK198" s="99">
        <f t="shared" si="127"/>
        <v>0</v>
      </c>
      <c r="AL198" s="99">
        <f t="shared" si="127"/>
        <v>0</v>
      </c>
      <c r="AM198" s="99">
        <f t="shared" si="127"/>
        <v>0</v>
      </c>
      <c r="AN198" s="99">
        <f t="shared" si="127"/>
        <v>0</v>
      </c>
      <c r="AO198" s="99">
        <f t="shared" si="127"/>
        <v>0</v>
      </c>
      <c r="AP198" s="99">
        <f t="shared" si="127"/>
        <v>0</v>
      </c>
      <c r="AQ198" s="99">
        <f t="shared" si="127"/>
        <v>0</v>
      </c>
      <c r="AR198" s="99">
        <f t="shared" si="127"/>
        <v>0</v>
      </c>
      <c r="AS198" s="99">
        <f t="shared" si="127"/>
        <v>0</v>
      </c>
      <c r="AT198" s="99">
        <f t="shared" si="127"/>
        <v>0</v>
      </c>
      <c r="AU198" s="99">
        <f t="shared" si="127"/>
        <v>0</v>
      </c>
      <c r="AV198" s="99">
        <f t="shared" si="127"/>
        <v>0</v>
      </c>
      <c r="AW198" s="99">
        <f t="shared" si="127"/>
        <v>0</v>
      </c>
      <c r="AX198" s="99">
        <f t="shared" si="127"/>
        <v>0</v>
      </c>
      <c r="AY198" s="99">
        <f t="shared" si="127"/>
        <v>0</v>
      </c>
      <c r="AZ198" s="99">
        <f t="shared" si="127"/>
        <v>0</v>
      </c>
      <c r="BA198" s="99">
        <f t="shared" si="127"/>
        <v>0</v>
      </c>
      <c r="BB198" s="99">
        <f t="shared" si="127"/>
        <v>0</v>
      </c>
      <c r="BC198" s="99">
        <f t="shared" si="127"/>
        <v>0</v>
      </c>
      <c r="BD198" s="99">
        <f t="shared" si="127"/>
        <v>0</v>
      </c>
      <c r="BE198" s="99">
        <f t="shared" si="127"/>
        <v>0</v>
      </c>
      <c r="BF198" s="99">
        <f t="shared" si="127"/>
        <v>0</v>
      </c>
      <c r="BG198" s="99">
        <f t="shared" si="127"/>
        <v>0</v>
      </c>
      <c r="BH198" s="99">
        <f t="shared" si="127"/>
        <v>0</v>
      </c>
      <c r="BI198" s="99">
        <f t="shared" si="127"/>
        <v>0</v>
      </c>
      <c r="BJ198" s="99">
        <f t="shared" si="127"/>
        <v>0</v>
      </c>
      <c r="BK198" s="99">
        <f t="shared" si="127"/>
        <v>0</v>
      </c>
      <c r="BL198" s="99">
        <f t="shared" si="127"/>
        <v>0</v>
      </c>
      <c r="BM198" s="99">
        <f t="shared" si="127"/>
        <v>0</v>
      </c>
      <c r="BN198" s="99">
        <f t="shared" si="127"/>
        <v>0</v>
      </c>
    </row>
    <row r="199" outlineLevel="1">
      <c r="A199" s="47"/>
      <c r="B199" s="127" t="s">
        <v>151</v>
      </c>
      <c r="C199" s="68">
        <v>0.0</v>
      </c>
      <c r="D199" s="162"/>
      <c r="E199" s="163"/>
      <c r="F199" s="99"/>
      <c r="G199" s="99">
        <f t="shared" ref="G199:BN199" si="128">IF(AND(Month(G$4)=Month($D199),Year(G$4)=Year($D199)),$C199,0)</f>
        <v>0</v>
      </c>
      <c r="H199" s="99">
        <f t="shared" si="128"/>
        <v>0</v>
      </c>
      <c r="I199" s="99">
        <f t="shared" si="128"/>
        <v>0</v>
      </c>
      <c r="J199" s="99">
        <f t="shared" si="128"/>
        <v>0</v>
      </c>
      <c r="K199" s="99">
        <f t="shared" si="128"/>
        <v>0</v>
      </c>
      <c r="L199" s="99">
        <f t="shared" si="128"/>
        <v>0</v>
      </c>
      <c r="M199" s="99">
        <f t="shared" si="128"/>
        <v>0</v>
      </c>
      <c r="N199" s="99">
        <f t="shared" si="128"/>
        <v>0</v>
      </c>
      <c r="O199" s="99">
        <f t="shared" si="128"/>
        <v>0</v>
      </c>
      <c r="P199" s="99">
        <f t="shared" si="128"/>
        <v>0</v>
      </c>
      <c r="Q199" s="99">
        <f t="shared" si="128"/>
        <v>0</v>
      </c>
      <c r="R199" s="99">
        <f t="shared" si="128"/>
        <v>0</v>
      </c>
      <c r="S199" s="99">
        <f t="shared" si="128"/>
        <v>0</v>
      </c>
      <c r="T199" s="99">
        <f t="shared" si="128"/>
        <v>0</v>
      </c>
      <c r="U199" s="99">
        <f t="shared" si="128"/>
        <v>0</v>
      </c>
      <c r="V199" s="99">
        <f t="shared" si="128"/>
        <v>0</v>
      </c>
      <c r="W199" s="99">
        <f t="shared" si="128"/>
        <v>0</v>
      </c>
      <c r="X199" s="99">
        <f t="shared" si="128"/>
        <v>0</v>
      </c>
      <c r="Y199" s="99">
        <f t="shared" si="128"/>
        <v>0</v>
      </c>
      <c r="Z199" s="99">
        <f t="shared" si="128"/>
        <v>0</v>
      </c>
      <c r="AA199" s="99">
        <f t="shared" si="128"/>
        <v>0</v>
      </c>
      <c r="AB199" s="99">
        <f t="shared" si="128"/>
        <v>0</v>
      </c>
      <c r="AC199" s="99">
        <f t="shared" si="128"/>
        <v>0</v>
      </c>
      <c r="AD199" s="99">
        <f t="shared" si="128"/>
        <v>0</v>
      </c>
      <c r="AE199" s="99">
        <f t="shared" si="128"/>
        <v>0</v>
      </c>
      <c r="AF199" s="99">
        <f t="shared" si="128"/>
        <v>0</v>
      </c>
      <c r="AG199" s="99">
        <f t="shared" si="128"/>
        <v>0</v>
      </c>
      <c r="AH199" s="99">
        <f t="shared" si="128"/>
        <v>0</v>
      </c>
      <c r="AI199" s="99">
        <f t="shared" si="128"/>
        <v>0</v>
      </c>
      <c r="AJ199" s="99">
        <f t="shared" si="128"/>
        <v>0</v>
      </c>
      <c r="AK199" s="99">
        <f t="shared" si="128"/>
        <v>0</v>
      </c>
      <c r="AL199" s="99">
        <f t="shared" si="128"/>
        <v>0</v>
      </c>
      <c r="AM199" s="99">
        <f t="shared" si="128"/>
        <v>0</v>
      </c>
      <c r="AN199" s="99">
        <f t="shared" si="128"/>
        <v>0</v>
      </c>
      <c r="AO199" s="99">
        <f t="shared" si="128"/>
        <v>0</v>
      </c>
      <c r="AP199" s="99">
        <f t="shared" si="128"/>
        <v>0</v>
      </c>
      <c r="AQ199" s="99">
        <f t="shared" si="128"/>
        <v>0</v>
      </c>
      <c r="AR199" s="99">
        <f t="shared" si="128"/>
        <v>0</v>
      </c>
      <c r="AS199" s="99">
        <f t="shared" si="128"/>
        <v>0</v>
      </c>
      <c r="AT199" s="99">
        <f t="shared" si="128"/>
        <v>0</v>
      </c>
      <c r="AU199" s="99">
        <f t="shared" si="128"/>
        <v>0</v>
      </c>
      <c r="AV199" s="99">
        <f t="shared" si="128"/>
        <v>0</v>
      </c>
      <c r="AW199" s="99">
        <f t="shared" si="128"/>
        <v>0</v>
      </c>
      <c r="AX199" s="99">
        <f t="shared" si="128"/>
        <v>0</v>
      </c>
      <c r="AY199" s="99">
        <f t="shared" si="128"/>
        <v>0</v>
      </c>
      <c r="AZ199" s="99">
        <f t="shared" si="128"/>
        <v>0</v>
      </c>
      <c r="BA199" s="99">
        <f t="shared" si="128"/>
        <v>0</v>
      </c>
      <c r="BB199" s="99">
        <f t="shared" si="128"/>
        <v>0</v>
      </c>
      <c r="BC199" s="99">
        <f t="shared" si="128"/>
        <v>0</v>
      </c>
      <c r="BD199" s="99">
        <f t="shared" si="128"/>
        <v>0</v>
      </c>
      <c r="BE199" s="99">
        <f t="shared" si="128"/>
        <v>0</v>
      </c>
      <c r="BF199" s="99">
        <f t="shared" si="128"/>
        <v>0</v>
      </c>
      <c r="BG199" s="99">
        <f t="shared" si="128"/>
        <v>0</v>
      </c>
      <c r="BH199" s="99">
        <f t="shared" si="128"/>
        <v>0</v>
      </c>
      <c r="BI199" s="99">
        <f t="shared" si="128"/>
        <v>0</v>
      </c>
      <c r="BJ199" s="99">
        <f t="shared" si="128"/>
        <v>0</v>
      </c>
      <c r="BK199" s="99">
        <f t="shared" si="128"/>
        <v>0</v>
      </c>
      <c r="BL199" s="99">
        <f t="shared" si="128"/>
        <v>0</v>
      </c>
      <c r="BM199" s="99">
        <f t="shared" si="128"/>
        <v>0</v>
      </c>
      <c r="BN199" s="99">
        <f t="shared" si="128"/>
        <v>0</v>
      </c>
    </row>
    <row r="200" outlineLevel="1">
      <c r="A200" s="47"/>
      <c r="B200" s="145"/>
      <c r="C200" s="47"/>
      <c r="D200" s="47"/>
      <c r="E200" s="66"/>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c r="AU200" s="99"/>
      <c r="AV200" s="99"/>
      <c r="AW200" s="99"/>
      <c r="AX200" s="99"/>
      <c r="AY200" s="99"/>
      <c r="AZ200" s="99"/>
      <c r="BA200" s="99"/>
      <c r="BB200" s="99"/>
      <c r="BC200" s="99"/>
      <c r="BD200" s="99"/>
      <c r="BE200" s="99"/>
      <c r="BF200" s="99"/>
      <c r="BG200" s="99"/>
      <c r="BH200" s="99"/>
      <c r="BI200" s="99"/>
      <c r="BJ200" s="99"/>
      <c r="BK200" s="99"/>
      <c r="BL200" s="99"/>
      <c r="BM200" s="99"/>
      <c r="BN200" s="99"/>
    </row>
    <row r="201" outlineLevel="1">
      <c r="A201" s="47"/>
      <c r="B201" s="142" t="s">
        <v>145</v>
      </c>
      <c r="C201" s="81"/>
      <c r="D201" s="81"/>
      <c r="E201" s="164"/>
      <c r="F201" s="152"/>
      <c r="G201" s="152">
        <f>SUM(G196:G199)</f>
        <v>0</v>
      </c>
      <c r="H201" s="152">
        <f t="shared" ref="H201:BN201" si="129">G201+sum(H196:H199)</f>
        <v>0</v>
      </c>
      <c r="I201" s="152">
        <f t="shared" si="129"/>
        <v>0</v>
      </c>
      <c r="J201" s="152">
        <f t="shared" si="129"/>
        <v>0</v>
      </c>
      <c r="K201" s="152">
        <f t="shared" si="129"/>
        <v>0</v>
      </c>
      <c r="L201" s="152">
        <f t="shared" si="129"/>
        <v>0</v>
      </c>
      <c r="M201" s="152">
        <f t="shared" si="129"/>
        <v>0</v>
      </c>
      <c r="N201" s="152">
        <f t="shared" si="129"/>
        <v>0</v>
      </c>
      <c r="O201" s="152">
        <f t="shared" si="129"/>
        <v>0</v>
      </c>
      <c r="P201" s="152">
        <f t="shared" si="129"/>
        <v>0</v>
      </c>
      <c r="Q201" s="152">
        <f t="shared" si="129"/>
        <v>0</v>
      </c>
      <c r="R201" s="152">
        <f t="shared" si="129"/>
        <v>0</v>
      </c>
      <c r="S201" s="152">
        <f t="shared" si="129"/>
        <v>0</v>
      </c>
      <c r="T201" s="152">
        <f t="shared" si="129"/>
        <v>0</v>
      </c>
      <c r="U201" s="152">
        <f t="shared" si="129"/>
        <v>0</v>
      </c>
      <c r="V201" s="152">
        <f t="shared" si="129"/>
        <v>0</v>
      </c>
      <c r="W201" s="152">
        <f t="shared" si="129"/>
        <v>0</v>
      </c>
      <c r="X201" s="152">
        <f t="shared" si="129"/>
        <v>0</v>
      </c>
      <c r="Y201" s="152">
        <f t="shared" si="129"/>
        <v>0</v>
      </c>
      <c r="Z201" s="152">
        <f t="shared" si="129"/>
        <v>0</v>
      </c>
      <c r="AA201" s="152">
        <f t="shared" si="129"/>
        <v>0</v>
      </c>
      <c r="AB201" s="152">
        <f t="shared" si="129"/>
        <v>0</v>
      </c>
      <c r="AC201" s="152">
        <f t="shared" si="129"/>
        <v>0</v>
      </c>
      <c r="AD201" s="152">
        <f t="shared" si="129"/>
        <v>0</v>
      </c>
      <c r="AE201" s="152">
        <f t="shared" si="129"/>
        <v>0</v>
      </c>
      <c r="AF201" s="152">
        <f t="shared" si="129"/>
        <v>0</v>
      </c>
      <c r="AG201" s="152">
        <f t="shared" si="129"/>
        <v>0</v>
      </c>
      <c r="AH201" s="152">
        <f t="shared" si="129"/>
        <v>0</v>
      </c>
      <c r="AI201" s="152">
        <f t="shared" si="129"/>
        <v>0</v>
      </c>
      <c r="AJ201" s="152">
        <f t="shared" si="129"/>
        <v>0</v>
      </c>
      <c r="AK201" s="152">
        <f t="shared" si="129"/>
        <v>0</v>
      </c>
      <c r="AL201" s="152">
        <f t="shared" si="129"/>
        <v>0</v>
      </c>
      <c r="AM201" s="152">
        <f t="shared" si="129"/>
        <v>0</v>
      </c>
      <c r="AN201" s="152">
        <f t="shared" si="129"/>
        <v>0</v>
      </c>
      <c r="AO201" s="152">
        <f t="shared" si="129"/>
        <v>0</v>
      </c>
      <c r="AP201" s="152">
        <f t="shared" si="129"/>
        <v>0</v>
      </c>
      <c r="AQ201" s="152">
        <f t="shared" si="129"/>
        <v>0</v>
      </c>
      <c r="AR201" s="152">
        <f t="shared" si="129"/>
        <v>0</v>
      </c>
      <c r="AS201" s="152">
        <f t="shared" si="129"/>
        <v>0</v>
      </c>
      <c r="AT201" s="152">
        <f t="shared" si="129"/>
        <v>0</v>
      </c>
      <c r="AU201" s="152">
        <f t="shared" si="129"/>
        <v>0</v>
      </c>
      <c r="AV201" s="152">
        <f t="shared" si="129"/>
        <v>0</v>
      </c>
      <c r="AW201" s="152">
        <f t="shared" si="129"/>
        <v>0</v>
      </c>
      <c r="AX201" s="152">
        <f t="shared" si="129"/>
        <v>0</v>
      </c>
      <c r="AY201" s="152">
        <f t="shared" si="129"/>
        <v>0</v>
      </c>
      <c r="AZ201" s="152">
        <f t="shared" si="129"/>
        <v>0</v>
      </c>
      <c r="BA201" s="152">
        <f t="shared" si="129"/>
        <v>0</v>
      </c>
      <c r="BB201" s="152">
        <f t="shared" si="129"/>
        <v>0</v>
      </c>
      <c r="BC201" s="152">
        <f t="shared" si="129"/>
        <v>0</v>
      </c>
      <c r="BD201" s="152">
        <f t="shared" si="129"/>
        <v>0</v>
      </c>
      <c r="BE201" s="152">
        <f t="shared" si="129"/>
        <v>0</v>
      </c>
      <c r="BF201" s="152">
        <f t="shared" si="129"/>
        <v>0</v>
      </c>
      <c r="BG201" s="152">
        <f t="shared" si="129"/>
        <v>0</v>
      </c>
      <c r="BH201" s="152">
        <f t="shared" si="129"/>
        <v>0</v>
      </c>
      <c r="BI201" s="152">
        <f t="shared" si="129"/>
        <v>0</v>
      </c>
      <c r="BJ201" s="152">
        <f t="shared" si="129"/>
        <v>0</v>
      </c>
      <c r="BK201" s="152">
        <f t="shared" si="129"/>
        <v>0</v>
      </c>
      <c r="BL201" s="152">
        <f t="shared" si="129"/>
        <v>0</v>
      </c>
      <c r="BM201" s="152">
        <f t="shared" si="129"/>
        <v>0</v>
      </c>
      <c r="BN201" s="152">
        <f t="shared" si="129"/>
        <v>0</v>
      </c>
    </row>
    <row r="202">
      <c r="A202" s="47"/>
      <c r="B202" s="47"/>
      <c r="C202" s="47"/>
      <c r="D202" s="47"/>
      <c r="E202" s="47"/>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row>
    <row r="203">
      <c r="A203" s="47"/>
      <c r="B203" s="47"/>
      <c r="C203" s="47"/>
      <c r="D203" s="47"/>
      <c r="E203" s="47"/>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row>
    <row r="204">
      <c r="A204" s="47"/>
      <c r="B204" s="47"/>
      <c r="C204" s="47"/>
      <c r="D204" s="47"/>
      <c r="E204" s="47"/>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row>
    <row r="205">
      <c r="A205" s="47"/>
      <c r="B205" s="47"/>
      <c r="C205" s="47"/>
      <c r="D205" s="47"/>
      <c r="E205" s="47"/>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row>
    <row r="206">
      <c r="A206" s="47"/>
      <c r="B206" s="47"/>
      <c r="C206" s="47"/>
      <c r="D206" s="47"/>
      <c r="E206" s="47"/>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row>
    <row r="207">
      <c r="A207" s="47"/>
      <c r="B207" s="47"/>
      <c r="C207" s="47"/>
      <c r="D207" s="47"/>
      <c r="E207" s="47"/>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row>
    <row r="208">
      <c r="A208" s="47"/>
      <c r="B208" s="47"/>
      <c r="C208" s="47"/>
      <c r="D208" s="47"/>
      <c r="E208" s="47"/>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row>
    <row r="209">
      <c r="A209" s="47"/>
      <c r="B209" s="47"/>
      <c r="C209" s="47"/>
      <c r="D209" s="47"/>
      <c r="E209" s="47"/>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row>
    <row r="210">
      <c r="A210" s="47"/>
      <c r="B210" s="47"/>
      <c r="C210" s="47"/>
      <c r="D210" s="47"/>
      <c r="E210" s="47"/>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row>
    <row r="211">
      <c r="A211" s="47"/>
      <c r="B211" s="47"/>
      <c r="C211" s="47"/>
      <c r="D211" s="47"/>
      <c r="E211" s="47"/>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row>
    <row r="212">
      <c r="A212" s="47"/>
      <c r="B212" s="47"/>
      <c r="C212" s="47"/>
      <c r="D212" s="47"/>
      <c r="E212" s="47"/>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row>
    <row r="213">
      <c r="A213" s="47"/>
      <c r="B213" s="47"/>
      <c r="C213" s="47"/>
      <c r="D213" s="47"/>
      <c r="E213" s="47"/>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row>
    <row r="214">
      <c r="A214" s="47"/>
      <c r="B214" s="47"/>
      <c r="C214" s="47"/>
      <c r="D214" s="47"/>
      <c r="E214" s="47"/>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row>
    <row r="215">
      <c r="A215" s="47"/>
      <c r="B215" s="47"/>
      <c r="C215" s="47"/>
      <c r="D215" s="47"/>
      <c r="E215" s="47"/>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row>
    <row r="216">
      <c r="A216" s="47"/>
      <c r="B216" s="47"/>
      <c r="C216" s="47"/>
      <c r="D216" s="47"/>
      <c r="E216" s="47"/>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row>
    <row r="217">
      <c r="A217" s="47"/>
      <c r="B217" s="47"/>
      <c r="C217" s="47"/>
      <c r="D217" s="47"/>
      <c r="E217" s="47"/>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row>
    <row r="218">
      <c r="A218" s="47"/>
      <c r="B218" s="47"/>
      <c r="C218" s="47"/>
      <c r="D218" s="47"/>
      <c r="E218" s="47"/>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row>
    <row r="219">
      <c r="A219" s="47"/>
      <c r="B219" s="47"/>
      <c r="C219" s="47"/>
      <c r="D219" s="47"/>
      <c r="E219" s="47"/>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row>
    <row r="220">
      <c r="A220" s="47"/>
      <c r="B220" s="47"/>
      <c r="C220" s="47"/>
      <c r="D220" s="47"/>
      <c r="E220" s="47"/>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row>
    <row r="221">
      <c r="A221" s="47"/>
      <c r="B221" s="47"/>
      <c r="C221" s="47"/>
      <c r="D221" s="47"/>
      <c r="E221" s="47"/>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row>
    <row r="222">
      <c r="A222" s="47"/>
      <c r="B222" s="47"/>
      <c r="C222" s="47"/>
      <c r="D222" s="47"/>
      <c r="E222" s="47"/>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row>
    <row r="223">
      <c r="A223" s="47"/>
      <c r="B223" s="47"/>
      <c r="C223" s="47"/>
      <c r="D223" s="47"/>
      <c r="E223" s="47"/>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7"/>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row>
    <row r="1089">
      <c r="A1089" s="47"/>
      <c r="B1089" s="39" t="s">
        <v>152</v>
      </c>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65"/>
      <c r="B1" s="165" t="s">
        <v>8</v>
      </c>
      <c r="C1" s="166"/>
      <c r="D1" s="166"/>
      <c r="E1" s="166"/>
      <c r="F1" s="166">
        <v>1.0</v>
      </c>
      <c r="G1" s="166">
        <v>1.0</v>
      </c>
      <c r="H1" s="166">
        <v>1.0</v>
      </c>
      <c r="I1" s="166">
        <v>1.0</v>
      </c>
      <c r="J1" s="166">
        <v>1.0</v>
      </c>
      <c r="K1" s="166">
        <v>1.0</v>
      </c>
      <c r="L1" s="166">
        <v>1.0</v>
      </c>
      <c r="M1" s="166">
        <v>1.0</v>
      </c>
      <c r="N1" s="166">
        <v>1.0</v>
      </c>
      <c r="O1" s="166">
        <v>1.0</v>
      </c>
      <c r="P1" s="166">
        <v>1.0</v>
      </c>
      <c r="Q1" s="166">
        <v>1.0</v>
      </c>
      <c r="R1" s="166">
        <f t="shared" ref="R1:BM1" si="1">F1+1</f>
        <v>2</v>
      </c>
      <c r="S1" s="166">
        <f t="shared" si="1"/>
        <v>2</v>
      </c>
      <c r="T1" s="166">
        <f t="shared" si="1"/>
        <v>2</v>
      </c>
      <c r="U1" s="166">
        <f t="shared" si="1"/>
        <v>2</v>
      </c>
      <c r="V1" s="166">
        <f t="shared" si="1"/>
        <v>2</v>
      </c>
      <c r="W1" s="166">
        <f t="shared" si="1"/>
        <v>2</v>
      </c>
      <c r="X1" s="166">
        <f t="shared" si="1"/>
        <v>2</v>
      </c>
      <c r="Y1" s="166">
        <f t="shared" si="1"/>
        <v>2</v>
      </c>
      <c r="Z1" s="166">
        <f t="shared" si="1"/>
        <v>2</v>
      </c>
      <c r="AA1" s="166">
        <f t="shared" si="1"/>
        <v>2</v>
      </c>
      <c r="AB1" s="166">
        <f t="shared" si="1"/>
        <v>2</v>
      </c>
      <c r="AC1" s="166">
        <f t="shared" si="1"/>
        <v>2</v>
      </c>
      <c r="AD1" s="166">
        <f t="shared" si="1"/>
        <v>3</v>
      </c>
      <c r="AE1" s="166">
        <f t="shared" si="1"/>
        <v>3</v>
      </c>
      <c r="AF1" s="166">
        <f t="shared" si="1"/>
        <v>3</v>
      </c>
      <c r="AG1" s="166">
        <f t="shared" si="1"/>
        <v>3</v>
      </c>
      <c r="AH1" s="166">
        <f t="shared" si="1"/>
        <v>3</v>
      </c>
      <c r="AI1" s="166">
        <f t="shared" si="1"/>
        <v>3</v>
      </c>
      <c r="AJ1" s="166">
        <f t="shared" si="1"/>
        <v>3</v>
      </c>
      <c r="AK1" s="166">
        <f t="shared" si="1"/>
        <v>3</v>
      </c>
      <c r="AL1" s="166">
        <f t="shared" si="1"/>
        <v>3</v>
      </c>
      <c r="AM1" s="166">
        <f t="shared" si="1"/>
        <v>3</v>
      </c>
      <c r="AN1" s="166">
        <f t="shared" si="1"/>
        <v>3</v>
      </c>
      <c r="AO1" s="166">
        <f t="shared" si="1"/>
        <v>3</v>
      </c>
      <c r="AP1" s="166">
        <f t="shared" si="1"/>
        <v>4</v>
      </c>
      <c r="AQ1" s="166">
        <f t="shared" si="1"/>
        <v>4</v>
      </c>
      <c r="AR1" s="166">
        <f t="shared" si="1"/>
        <v>4</v>
      </c>
      <c r="AS1" s="166">
        <f t="shared" si="1"/>
        <v>4</v>
      </c>
      <c r="AT1" s="166">
        <f t="shared" si="1"/>
        <v>4</v>
      </c>
      <c r="AU1" s="166">
        <f t="shared" si="1"/>
        <v>4</v>
      </c>
      <c r="AV1" s="166">
        <f t="shared" si="1"/>
        <v>4</v>
      </c>
      <c r="AW1" s="166">
        <f t="shared" si="1"/>
        <v>4</v>
      </c>
      <c r="AX1" s="166">
        <f t="shared" si="1"/>
        <v>4</v>
      </c>
      <c r="AY1" s="166">
        <f t="shared" si="1"/>
        <v>4</v>
      </c>
      <c r="AZ1" s="166">
        <f t="shared" si="1"/>
        <v>4</v>
      </c>
      <c r="BA1" s="166">
        <f t="shared" si="1"/>
        <v>4</v>
      </c>
      <c r="BB1" s="166">
        <f t="shared" si="1"/>
        <v>5</v>
      </c>
      <c r="BC1" s="166">
        <f t="shared" si="1"/>
        <v>5</v>
      </c>
      <c r="BD1" s="166">
        <f t="shared" si="1"/>
        <v>5</v>
      </c>
      <c r="BE1" s="166">
        <f t="shared" si="1"/>
        <v>5</v>
      </c>
      <c r="BF1" s="166">
        <f t="shared" si="1"/>
        <v>5</v>
      </c>
      <c r="BG1" s="166">
        <f t="shared" si="1"/>
        <v>5</v>
      </c>
      <c r="BH1" s="166">
        <f t="shared" si="1"/>
        <v>5</v>
      </c>
      <c r="BI1" s="166">
        <f t="shared" si="1"/>
        <v>5</v>
      </c>
      <c r="BJ1" s="166">
        <f t="shared" si="1"/>
        <v>5</v>
      </c>
      <c r="BK1" s="166">
        <f t="shared" si="1"/>
        <v>5</v>
      </c>
      <c r="BL1" s="166">
        <f t="shared" si="1"/>
        <v>5</v>
      </c>
      <c r="BM1" s="166">
        <f t="shared" si="1"/>
        <v>5</v>
      </c>
      <c r="BN1" s="166"/>
    </row>
    <row r="2">
      <c r="A2" s="165"/>
      <c r="B2" s="165" t="s">
        <v>9</v>
      </c>
      <c r="C2" s="167"/>
      <c r="D2" s="167"/>
      <c r="E2" s="167"/>
      <c r="F2" s="167">
        <f t="shared" ref="F2:BM2" si="2">YEAR(F4)</f>
        <v>2026</v>
      </c>
      <c r="G2" s="167">
        <f t="shared" si="2"/>
        <v>2026</v>
      </c>
      <c r="H2" s="167">
        <f t="shared" si="2"/>
        <v>2026</v>
      </c>
      <c r="I2" s="167">
        <f t="shared" si="2"/>
        <v>2026</v>
      </c>
      <c r="J2" s="167">
        <f t="shared" si="2"/>
        <v>2026</v>
      </c>
      <c r="K2" s="167">
        <f t="shared" si="2"/>
        <v>2026</v>
      </c>
      <c r="L2" s="167">
        <f t="shared" si="2"/>
        <v>2026</v>
      </c>
      <c r="M2" s="167">
        <f t="shared" si="2"/>
        <v>2026</v>
      </c>
      <c r="N2" s="167">
        <f t="shared" si="2"/>
        <v>2026</v>
      </c>
      <c r="O2" s="167">
        <f t="shared" si="2"/>
        <v>2026</v>
      </c>
      <c r="P2" s="167">
        <f t="shared" si="2"/>
        <v>2026</v>
      </c>
      <c r="Q2" s="167">
        <f t="shared" si="2"/>
        <v>2027</v>
      </c>
      <c r="R2" s="167">
        <f t="shared" si="2"/>
        <v>2027</v>
      </c>
      <c r="S2" s="167">
        <f t="shared" si="2"/>
        <v>2027</v>
      </c>
      <c r="T2" s="167">
        <f t="shared" si="2"/>
        <v>2027</v>
      </c>
      <c r="U2" s="167">
        <f t="shared" si="2"/>
        <v>2027</v>
      </c>
      <c r="V2" s="167">
        <f t="shared" si="2"/>
        <v>2027</v>
      </c>
      <c r="W2" s="167">
        <f t="shared" si="2"/>
        <v>2027</v>
      </c>
      <c r="X2" s="167">
        <f t="shared" si="2"/>
        <v>2027</v>
      </c>
      <c r="Y2" s="167">
        <f t="shared" si="2"/>
        <v>2027</v>
      </c>
      <c r="Z2" s="167">
        <f t="shared" si="2"/>
        <v>2027</v>
      </c>
      <c r="AA2" s="167">
        <f t="shared" si="2"/>
        <v>2027</v>
      </c>
      <c r="AB2" s="167">
        <f t="shared" si="2"/>
        <v>2027</v>
      </c>
      <c r="AC2" s="167">
        <f t="shared" si="2"/>
        <v>2028</v>
      </c>
      <c r="AD2" s="167">
        <f t="shared" si="2"/>
        <v>2028</v>
      </c>
      <c r="AE2" s="167">
        <f t="shared" si="2"/>
        <v>2028</v>
      </c>
      <c r="AF2" s="167">
        <f t="shared" si="2"/>
        <v>2028</v>
      </c>
      <c r="AG2" s="167">
        <f t="shared" si="2"/>
        <v>2028</v>
      </c>
      <c r="AH2" s="167">
        <f t="shared" si="2"/>
        <v>2028</v>
      </c>
      <c r="AI2" s="167">
        <f t="shared" si="2"/>
        <v>2028</v>
      </c>
      <c r="AJ2" s="167">
        <f t="shared" si="2"/>
        <v>2028</v>
      </c>
      <c r="AK2" s="167">
        <f t="shared" si="2"/>
        <v>2028</v>
      </c>
      <c r="AL2" s="167">
        <f t="shared" si="2"/>
        <v>2028</v>
      </c>
      <c r="AM2" s="167">
        <f t="shared" si="2"/>
        <v>2028</v>
      </c>
      <c r="AN2" s="167">
        <f t="shared" si="2"/>
        <v>2028</v>
      </c>
      <c r="AO2" s="167">
        <f t="shared" si="2"/>
        <v>2029</v>
      </c>
      <c r="AP2" s="167">
        <f t="shared" si="2"/>
        <v>2029</v>
      </c>
      <c r="AQ2" s="167">
        <f t="shared" si="2"/>
        <v>2029</v>
      </c>
      <c r="AR2" s="167">
        <f t="shared" si="2"/>
        <v>2029</v>
      </c>
      <c r="AS2" s="167">
        <f t="shared" si="2"/>
        <v>2029</v>
      </c>
      <c r="AT2" s="167">
        <f t="shared" si="2"/>
        <v>2029</v>
      </c>
      <c r="AU2" s="167">
        <f t="shared" si="2"/>
        <v>2029</v>
      </c>
      <c r="AV2" s="167">
        <f t="shared" si="2"/>
        <v>2029</v>
      </c>
      <c r="AW2" s="167">
        <f t="shared" si="2"/>
        <v>2029</v>
      </c>
      <c r="AX2" s="167">
        <f t="shared" si="2"/>
        <v>2029</v>
      </c>
      <c r="AY2" s="167">
        <f t="shared" si="2"/>
        <v>2029</v>
      </c>
      <c r="AZ2" s="167">
        <f t="shared" si="2"/>
        <v>2029</v>
      </c>
      <c r="BA2" s="167">
        <f t="shared" si="2"/>
        <v>2030</v>
      </c>
      <c r="BB2" s="167">
        <f t="shared" si="2"/>
        <v>2030</v>
      </c>
      <c r="BC2" s="167">
        <f t="shared" si="2"/>
        <v>2030</v>
      </c>
      <c r="BD2" s="167">
        <f t="shared" si="2"/>
        <v>2030</v>
      </c>
      <c r="BE2" s="167">
        <f t="shared" si="2"/>
        <v>2030</v>
      </c>
      <c r="BF2" s="167">
        <f t="shared" si="2"/>
        <v>2030</v>
      </c>
      <c r="BG2" s="167">
        <f t="shared" si="2"/>
        <v>2030</v>
      </c>
      <c r="BH2" s="167">
        <f t="shared" si="2"/>
        <v>2030</v>
      </c>
      <c r="BI2" s="167">
        <f t="shared" si="2"/>
        <v>2030</v>
      </c>
      <c r="BJ2" s="167">
        <f t="shared" si="2"/>
        <v>2030</v>
      </c>
      <c r="BK2" s="167">
        <f t="shared" si="2"/>
        <v>2030</v>
      </c>
      <c r="BL2" s="167">
        <f t="shared" si="2"/>
        <v>2030</v>
      </c>
      <c r="BM2" s="167">
        <f t="shared" si="2"/>
        <v>2031</v>
      </c>
      <c r="BN2" s="166"/>
    </row>
    <row r="3">
      <c r="A3" s="165"/>
      <c r="B3" s="165" t="s">
        <v>10</v>
      </c>
      <c r="C3" s="166"/>
      <c r="D3" s="166"/>
      <c r="E3" s="166"/>
      <c r="F3" s="166">
        <v>1.0</v>
      </c>
      <c r="G3" s="167">
        <f t="shared" ref="G3:BM3" si="3">F3+1</f>
        <v>2</v>
      </c>
      <c r="H3" s="167">
        <f t="shared" si="3"/>
        <v>3</v>
      </c>
      <c r="I3" s="167">
        <f t="shared" si="3"/>
        <v>4</v>
      </c>
      <c r="J3" s="167">
        <f t="shared" si="3"/>
        <v>5</v>
      </c>
      <c r="K3" s="167">
        <f t="shared" si="3"/>
        <v>6</v>
      </c>
      <c r="L3" s="167">
        <f t="shared" si="3"/>
        <v>7</v>
      </c>
      <c r="M3" s="167">
        <f t="shared" si="3"/>
        <v>8</v>
      </c>
      <c r="N3" s="167">
        <f t="shared" si="3"/>
        <v>9</v>
      </c>
      <c r="O3" s="167">
        <f t="shared" si="3"/>
        <v>10</v>
      </c>
      <c r="P3" s="167">
        <f t="shared" si="3"/>
        <v>11</v>
      </c>
      <c r="Q3" s="167">
        <f t="shared" si="3"/>
        <v>12</v>
      </c>
      <c r="R3" s="167">
        <f t="shared" si="3"/>
        <v>13</v>
      </c>
      <c r="S3" s="167">
        <f t="shared" si="3"/>
        <v>14</v>
      </c>
      <c r="T3" s="167">
        <f t="shared" si="3"/>
        <v>15</v>
      </c>
      <c r="U3" s="167">
        <f t="shared" si="3"/>
        <v>16</v>
      </c>
      <c r="V3" s="167">
        <f t="shared" si="3"/>
        <v>17</v>
      </c>
      <c r="W3" s="167">
        <f t="shared" si="3"/>
        <v>18</v>
      </c>
      <c r="X3" s="167">
        <f t="shared" si="3"/>
        <v>19</v>
      </c>
      <c r="Y3" s="167">
        <f t="shared" si="3"/>
        <v>20</v>
      </c>
      <c r="Z3" s="167">
        <f t="shared" si="3"/>
        <v>21</v>
      </c>
      <c r="AA3" s="167">
        <f t="shared" si="3"/>
        <v>22</v>
      </c>
      <c r="AB3" s="167">
        <f t="shared" si="3"/>
        <v>23</v>
      </c>
      <c r="AC3" s="167">
        <f t="shared" si="3"/>
        <v>24</v>
      </c>
      <c r="AD3" s="167">
        <f t="shared" si="3"/>
        <v>25</v>
      </c>
      <c r="AE3" s="167">
        <f t="shared" si="3"/>
        <v>26</v>
      </c>
      <c r="AF3" s="167">
        <f t="shared" si="3"/>
        <v>27</v>
      </c>
      <c r="AG3" s="167">
        <f t="shared" si="3"/>
        <v>28</v>
      </c>
      <c r="AH3" s="167">
        <f t="shared" si="3"/>
        <v>29</v>
      </c>
      <c r="AI3" s="167">
        <f t="shared" si="3"/>
        <v>30</v>
      </c>
      <c r="AJ3" s="167">
        <f t="shared" si="3"/>
        <v>31</v>
      </c>
      <c r="AK3" s="167">
        <f t="shared" si="3"/>
        <v>32</v>
      </c>
      <c r="AL3" s="167">
        <f t="shared" si="3"/>
        <v>33</v>
      </c>
      <c r="AM3" s="167">
        <f t="shared" si="3"/>
        <v>34</v>
      </c>
      <c r="AN3" s="167">
        <f t="shared" si="3"/>
        <v>35</v>
      </c>
      <c r="AO3" s="167">
        <f t="shared" si="3"/>
        <v>36</v>
      </c>
      <c r="AP3" s="167">
        <f t="shared" si="3"/>
        <v>37</v>
      </c>
      <c r="AQ3" s="167">
        <f t="shared" si="3"/>
        <v>38</v>
      </c>
      <c r="AR3" s="167">
        <f t="shared" si="3"/>
        <v>39</v>
      </c>
      <c r="AS3" s="167">
        <f t="shared" si="3"/>
        <v>40</v>
      </c>
      <c r="AT3" s="167">
        <f t="shared" si="3"/>
        <v>41</v>
      </c>
      <c r="AU3" s="167">
        <f t="shared" si="3"/>
        <v>42</v>
      </c>
      <c r="AV3" s="167">
        <f t="shared" si="3"/>
        <v>43</v>
      </c>
      <c r="AW3" s="167">
        <f t="shared" si="3"/>
        <v>44</v>
      </c>
      <c r="AX3" s="167">
        <f t="shared" si="3"/>
        <v>45</v>
      </c>
      <c r="AY3" s="167">
        <f t="shared" si="3"/>
        <v>46</v>
      </c>
      <c r="AZ3" s="167">
        <f t="shared" si="3"/>
        <v>47</v>
      </c>
      <c r="BA3" s="167">
        <f t="shared" si="3"/>
        <v>48</v>
      </c>
      <c r="BB3" s="167">
        <f t="shared" si="3"/>
        <v>49</v>
      </c>
      <c r="BC3" s="167">
        <f t="shared" si="3"/>
        <v>50</v>
      </c>
      <c r="BD3" s="167">
        <f t="shared" si="3"/>
        <v>51</v>
      </c>
      <c r="BE3" s="167">
        <f t="shared" si="3"/>
        <v>52</v>
      </c>
      <c r="BF3" s="167">
        <f t="shared" si="3"/>
        <v>53</v>
      </c>
      <c r="BG3" s="167">
        <f t="shared" si="3"/>
        <v>54</v>
      </c>
      <c r="BH3" s="167">
        <f t="shared" si="3"/>
        <v>55</v>
      </c>
      <c r="BI3" s="167">
        <f t="shared" si="3"/>
        <v>56</v>
      </c>
      <c r="BJ3" s="167">
        <f t="shared" si="3"/>
        <v>57</v>
      </c>
      <c r="BK3" s="167">
        <f t="shared" si="3"/>
        <v>58</v>
      </c>
      <c r="BL3" s="167">
        <f t="shared" si="3"/>
        <v>59</v>
      </c>
      <c r="BM3" s="167">
        <f t="shared" si="3"/>
        <v>60</v>
      </c>
      <c r="BN3" s="166"/>
    </row>
    <row r="4">
      <c r="A4" s="165"/>
      <c r="B4" s="165" t="s">
        <v>11</v>
      </c>
      <c r="C4" s="166"/>
      <c r="D4" s="166"/>
      <c r="E4" s="166"/>
      <c r="F4" s="168">
        <f>Assumptions!G4</f>
        <v>46081</v>
      </c>
      <c r="G4" s="168">
        <f t="shared" ref="G4:BM4" si="4">EOMONTH(F4,1)</f>
        <v>46112</v>
      </c>
      <c r="H4" s="168">
        <f t="shared" si="4"/>
        <v>46142</v>
      </c>
      <c r="I4" s="168">
        <f t="shared" si="4"/>
        <v>46173</v>
      </c>
      <c r="J4" s="168">
        <f t="shared" si="4"/>
        <v>46203</v>
      </c>
      <c r="K4" s="168">
        <f t="shared" si="4"/>
        <v>46234</v>
      </c>
      <c r="L4" s="168">
        <f t="shared" si="4"/>
        <v>46265</v>
      </c>
      <c r="M4" s="168">
        <f t="shared" si="4"/>
        <v>46295</v>
      </c>
      <c r="N4" s="168">
        <f t="shared" si="4"/>
        <v>46326</v>
      </c>
      <c r="O4" s="168">
        <f t="shared" si="4"/>
        <v>46356</v>
      </c>
      <c r="P4" s="168">
        <f t="shared" si="4"/>
        <v>46387</v>
      </c>
      <c r="Q4" s="168">
        <f t="shared" si="4"/>
        <v>46418</v>
      </c>
      <c r="R4" s="168">
        <f t="shared" si="4"/>
        <v>46446</v>
      </c>
      <c r="S4" s="168">
        <f t="shared" si="4"/>
        <v>46477</v>
      </c>
      <c r="T4" s="168">
        <f t="shared" si="4"/>
        <v>46507</v>
      </c>
      <c r="U4" s="168">
        <f t="shared" si="4"/>
        <v>46538</v>
      </c>
      <c r="V4" s="168">
        <f t="shared" si="4"/>
        <v>46568</v>
      </c>
      <c r="W4" s="168">
        <f t="shared" si="4"/>
        <v>46599</v>
      </c>
      <c r="X4" s="168">
        <f t="shared" si="4"/>
        <v>46630</v>
      </c>
      <c r="Y4" s="168">
        <f t="shared" si="4"/>
        <v>46660</v>
      </c>
      <c r="Z4" s="168">
        <f t="shared" si="4"/>
        <v>46691</v>
      </c>
      <c r="AA4" s="168">
        <f t="shared" si="4"/>
        <v>46721</v>
      </c>
      <c r="AB4" s="168">
        <f t="shared" si="4"/>
        <v>46752</v>
      </c>
      <c r="AC4" s="168">
        <f t="shared" si="4"/>
        <v>46783</v>
      </c>
      <c r="AD4" s="168">
        <f t="shared" si="4"/>
        <v>46812</v>
      </c>
      <c r="AE4" s="168">
        <f t="shared" si="4"/>
        <v>46843</v>
      </c>
      <c r="AF4" s="168">
        <f t="shared" si="4"/>
        <v>46873</v>
      </c>
      <c r="AG4" s="168">
        <f t="shared" si="4"/>
        <v>46904</v>
      </c>
      <c r="AH4" s="168">
        <f t="shared" si="4"/>
        <v>46934</v>
      </c>
      <c r="AI4" s="168">
        <f t="shared" si="4"/>
        <v>46965</v>
      </c>
      <c r="AJ4" s="168">
        <f t="shared" si="4"/>
        <v>46996</v>
      </c>
      <c r="AK4" s="168">
        <f t="shared" si="4"/>
        <v>47026</v>
      </c>
      <c r="AL4" s="168">
        <f t="shared" si="4"/>
        <v>47057</v>
      </c>
      <c r="AM4" s="168">
        <f t="shared" si="4"/>
        <v>47087</v>
      </c>
      <c r="AN4" s="168">
        <f t="shared" si="4"/>
        <v>47118</v>
      </c>
      <c r="AO4" s="168">
        <f t="shared" si="4"/>
        <v>47149</v>
      </c>
      <c r="AP4" s="168">
        <f t="shared" si="4"/>
        <v>47177</v>
      </c>
      <c r="AQ4" s="168">
        <f t="shared" si="4"/>
        <v>47208</v>
      </c>
      <c r="AR4" s="168">
        <f t="shared" si="4"/>
        <v>47238</v>
      </c>
      <c r="AS4" s="168">
        <f t="shared" si="4"/>
        <v>47269</v>
      </c>
      <c r="AT4" s="168">
        <f t="shared" si="4"/>
        <v>47299</v>
      </c>
      <c r="AU4" s="168">
        <f t="shared" si="4"/>
        <v>47330</v>
      </c>
      <c r="AV4" s="168">
        <f t="shared" si="4"/>
        <v>47361</v>
      </c>
      <c r="AW4" s="168">
        <f t="shared" si="4"/>
        <v>47391</v>
      </c>
      <c r="AX4" s="168">
        <f t="shared" si="4"/>
        <v>47422</v>
      </c>
      <c r="AY4" s="168">
        <f t="shared" si="4"/>
        <v>47452</v>
      </c>
      <c r="AZ4" s="168">
        <f t="shared" si="4"/>
        <v>47483</v>
      </c>
      <c r="BA4" s="168">
        <f t="shared" si="4"/>
        <v>47514</v>
      </c>
      <c r="BB4" s="168">
        <f t="shared" si="4"/>
        <v>47542</v>
      </c>
      <c r="BC4" s="168">
        <f t="shared" si="4"/>
        <v>47573</v>
      </c>
      <c r="BD4" s="168">
        <f t="shared" si="4"/>
        <v>47603</v>
      </c>
      <c r="BE4" s="168">
        <f t="shared" si="4"/>
        <v>47634</v>
      </c>
      <c r="BF4" s="168">
        <f t="shared" si="4"/>
        <v>47664</v>
      </c>
      <c r="BG4" s="168">
        <f t="shared" si="4"/>
        <v>47695</v>
      </c>
      <c r="BH4" s="168">
        <f t="shared" si="4"/>
        <v>47726</v>
      </c>
      <c r="BI4" s="168">
        <f t="shared" si="4"/>
        <v>47756</v>
      </c>
      <c r="BJ4" s="168">
        <f t="shared" si="4"/>
        <v>47787</v>
      </c>
      <c r="BK4" s="168">
        <f t="shared" si="4"/>
        <v>47817</v>
      </c>
      <c r="BL4" s="168">
        <f t="shared" si="4"/>
        <v>47848</v>
      </c>
      <c r="BM4" s="168">
        <f t="shared" si="4"/>
        <v>47879</v>
      </c>
      <c r="BN4" s="166"/>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6"/>
    </row>
    <row r="6">
      <c r="A6" s="30"/>
      <c r="B6" s="169" t="s">
        <v>153</v>
      </c>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66"/>
    </row>
    <row r="7" outlineLevel="1">
      <c r="A7" s="171"/>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row>
    <row r="8" outlineLevel="1">
      <c r="A8" s="171"/>
      <c r="B8" s="172" t="s">
        <v>154</v>
      </c>
      <c r="C8" s="173"/>
      <c r="D8" s="173"/>
      <c r="E8" s="173"/>
      <c r="F8" s="173">
        <f>Assumptions!G89</f>
        <v>401.25</v>
      </c>
      <c r="G8" s="173">
        <f>Assumptions!H89</f>
        <v>792.20625</v>
      </c>
      <c r="H8" s="173">
        <f>Assumptions!I89</f>
        <v>1163.761219</v>
      </c>
      <c r="I8" s="173">
        <f>Assumptions!J89</f>
        <v>1516.740637</v>
      </c>
      <c r="J8" s="173">
        <f>Assumptions!K89</f>
        <v>1852.071117</v>
      </c>
      <c r="K8" s="173">
        <f>Assumptions!L89</f>
        <v>2170.635074</v>
      </c>
      <c r="L8" s="173">
        <f>Assumptions!M89</f>
        <v>2473.270833</v>
      </c>
      <c r="M8" s="173">
        <f>Assumptions!N89</f>
        <v>2760.774804</v>
      </c>
      <c r="N8" s="173">
        <f>Assumptions!O89</f>
        <v>3033.903577</v>
      </c>
      <c r="O8" s="173">
        <f>Assumptions!P89</f>
        <v>3293.375911</v>
      </c>
      <c r="P8" s="173">
        <f>Assumptions!Q89</f>
        <v>2949.895523</v>
      </c>
      <c r="Q8" s="173">
        <f>Assumptions!R89</f>
        <v>3145.040341</v>
      </c>
      <c r="R8" s="173">
        <f>Assumptions!S89</f>
        <v>3330.427918</v>
      </c>
      <c r="S8" s="173">
        <f>Assumptions!T89</f>
        <v>3506.546116</v>
      </c>
      <c r="T8" s="173">
        <f>Assumptions!U89</f>
        <v>3673.858404</v>
      </c>
      <c r="U8" s="173">
        <f>Assumptions!V89</f>
        <v>3832.805078</v>
      </c>
      <c r="V8" s="173">
        <f>Assumptions!W89</f>
        <v>3983.804418</v>
      </c>
      <c r="W8" s="173">
        <f>Assumptions!X89</f>
        <v>4127.253791</v>
      </c>
      <c r="X8" s="173">
        <f>Assumptions!Y89</f>
        <v>4263.530695</v>
      </c>
      <c r="Y8" s="173">
        <f>Assumptions!Z89</f>
        <v>4392.993754</v>
      </c>
      <c r="Z8" s="173">
        <f>Assumptions!AA89</f>
        <v>4515.98366</v>
      </c>
      <c r="AA8" s="173">
        <f>Assumptions!AB89</f>
        <v>4632.824071</v>
      </c>
      <c r="AB8" s="173">
        <f>Assumptions!AC89</f>
        <v>4743.822462</v>
      </c>
      <c r="AC8" s="173">
        <f>Assumptions!AD89</f>
        <v>4849.270932</v>
      </c>
      <c r="AD8" s="173">
        <f>Assumptions!AE89</f>
        <v>4949.44698</v>
      </c>
      <c r="AE8" s="173">
        <f>Assumptions!AF89</f>
        <v>5044.614225</v>
      </c>
      <c r="AF8" s="173">
        <f>Assumptions!AG89</f>
        <v>5135.023107</v>
      </c>
      <c r="AG8" s="173">
        <f>Assumptions!AH89</f>
        <v>5220.911546</v>
      </c>
      <c r="AH8" s="173">
        <f>Assumptions!AI89</f>
        <v>5302.505562</v>
      </c>
      <c r="AI8" s="173">
        <f>Assumptions!AJ89</f>
        <v>5380.019878</v>
      </c>
      <c r="AJ8" s="173">
        <f>Assumptions!AK89</f>
        <v>5453.658478</v>
      </c>
      <c r="AK8" s="173">
        <f>Assumptions!AL89</f>
        <v>5523.615148</v>
      </c>
      <c r="AL8" s="173">
        <f>Assumptions!AM89</f>
        <v>5590.073985</v>
      </c>
      <c r="AM8" s="173">
        <f>Assumptions!AN89</f>
        <v>5653.209879</v>
      </c>
      <c r="AN8" s="173">
        <f>Assumptions!AO89</f>
        <v>5713.188979</v>
      </c>
      <c r="AO8" s="173">
        <f>Assumptions!AP89</f>
        <v>5770.169124</v>
      </c>
      <c r="AP8" s="173">
        <f>Assumptions!AQ89</f>
        <v>5824.300262</v>
      </c>
      <c r="AQ8" s="173">
        <f>Assumptions!AR89</f>
        <v>5875.724843</v>
      </c>
      <c r="AR8" s="173">
        <f>Assumptions!AS89</f>
        <v>5924.578195</v>
      </c>
      <c r="AS8" s="173">
        <f>Assumptions!AT89</f>
        <v>5970.988879</v>
      </c>
      <c r="AT8" s="173">
        <f>Assumptions!AU89</f>
        <v>6015.079029</v>
      </c>
      <c r="AU8" s="173">
        <f>Assumptions!AV89</f>
        <v>6056.964671</v>
      </c>
      <c r="AV8" s="173">
        <f>Assumptions!AW89</f>
        <v>6096.756032</v>
      </c>
      <c r="AW8" s="173">
        <f>Assumptions!AX89</f>
        <v>6134.557824</v>
      </c>
      <c r="AX8" s="173">
        <f>Assumptions!AY89</f>
        <v>6170.469527</v>
      </c>
      <c r="AY8" s="173">
        <f>Assumptions!AZ89</f>
        <v>6204.585644</v>
      </c>
      <c r="AZ8" s="173">
        <f>Assumptions!BA89</f>
        <v>6236.995956</v>
      </c>
      <c r="BA8" s="173">
        <f>Assumptions!BB89</f>
        <v>6267.785752</v>
      </c>
      <c r="BB8" s="173">
        <f>Assumptions!BC89</f>
        <v>6297.036058</v>
      </c>
      <c r="BC8" s="173">
        <f>Assumptions!BD89</f>
        <v>6324.823849</v>
      </c>
      <c r="BD8" s="173">
        <f>Assumptions!BE89</f>
        <v>6351.222251</v>
      </c>
      <c r="BE8" s="173">
        <f>Assumptions!BF89</f>
        <v>6376.300732</v>
      </c>
      <c r="BF8" s="173">
        <f>Assumptions!BG89</f>
        <v>6400.125289</v>
      </c>
      <c r="BG8" s="173">
        <f>Assumptions!BH89</f>
        <v>6422.758619</v>
      </c>
      <c r="BH8" s="173">
        <f>Assumptions!BI89</f>
        <v>6444.260282</v>
      </c>
      <c r="BI8" s="173">
        <f>Assumptions!BJ89</f>
        <v>6464.686862</v>
      </c>
      <c r="BJ8" s="173">
        <f>Assumptions!BK89</f>
        <v>6484.092112</v>
      </c>
      <c r="BK8" s="173">
        <f>Assumptions!BL89</f>
        <v>6502.527101</v>
      </c>
      <c r="BL8" s="173">
        <f>Assumptions!BM89</f>
        <v>6520.04034</v>
      </c>
      <c r="BM8" s="173">
        <f>Assumptions!BN89</f>
        <v>6536.677917</v>
      </c>
      <c r="BN8" s="171"/>
    </row>
    <row r="9" outlineLevel="1">
      <c r="A9" s="171"/>
      <c r="B9" s="171"/>
      <c r="C9" s="171"/>
      <c r="D9" s="171"/>
      <c r="E9" s="171"/>
      <c r="F9" s="171"/>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1"/>
      <c r="AK9" s="171"/>
      <c r="AL9" s="171"/>
      <c r="AM9" s="171"/>
      <c r="AN9" s="171"/>
      <c r="AO9" s="171"/>
      <c r="AP9" s="171"/>
      <c r="AQ9" s="171"/>
      <c r="AR9" s="171"/>
      <c r="AS9" s="171"/>
      <c r="AT9" s="171"/>
      <c r="AU9" s="171"/>
      <c r="AV9" s="171"/>
      <c r="AW9" s="171"/>
      <c r="AX9" s="171"/>
      <c r="AY9" s="171"/>
      <c r="AZ9" s="171"/>
      <c r="BA9" s="171"/>
      <c r="BB9" s="171"/>
      <c r="BC9" s="171"/>
      <c r="BD9" s="171"/>
      <c r="BE9" s="171"/>
      <c r="BF9" s="171"/>
      <c r="BG9" s="171"/>
      <c r="BH9" s="171"/>
      <c r="BI9" s="171"/>
      <c r="BJ9" s="171"/>
      <c r="BK9" s="171"/>
      <c r="BL9" s="171"/>
      <c r="BM9" s="171"/>
      <c r="BN9" s="171"/>
    </row>
    <row r="10" outlineLevel="1">
      <c r="A10" s="171"/>
      <c r="B10" s="172" t="s">
        <v>155</v>
      </c>
      <c r="C10" s="173"/>
      <c r="D10" s="173"/>
      <c r="E10" s="173"/>
      <c r="F10" s="173">
        <f>Assumptions!G134</f>
        <v>140.4375</v>
      </c>
      <c r="G10" s="173">
        <f>Assumptions!H134</f>
        <v>277.2721875</v>
      </c>
      <c r="H10" s="173">
        <f>Assumptions!I134</f>
        <v>407.3164266</v>
      </c>
      <c r="I10" s="173">
        <f>Assumptions!J134</f>
        <v>530.859223</v>
      </c>
      <c r="J10" s="173">
        <f>Assumptions!K134</f>
        <v>648.2248911</v>
      </c>
      <c r="K10" s="173">
        <f>Assumptions!L134</f>
        <v>759.722276</v>
      </c>
      <c r="L10" s="173">
        <f>Assumptions!M134</f>
        <v>865.6447916</v>
      </c>
      <c r="M10" s="173">
        <f>Assumptions!N134</f>
        <v>966.2711815</v>
      </c>
      <c r="N10" s="173">
        <f>Assumptions!O134</f>
        <v>1061.866252</v>
      </c>
      <c r="O10" s="173">
        <f>Assumptions!P134</f>
        <v>1152.681569</v>
      </c>
      <c r="P10" s="173">
        <f>Assumptions!Q134</f>
        <v>1032.463433</v>
      </c>
      <c r="Q10" s="173">
        <f>Assumptions!R134</f>
        <v>1100.764119</v>
      </c>
      <c r="R10" s="173">
        <f>Assumptions!S134</f>
        <v>1165.649771</v>
      </c>
      <c r="S10" s="173">
        <f>Assumptions!T134</f>
        <v>1227.291141</v>
      </c>
      <c r="T10" s="173">
        <f>Assumptions!U134</f>
        <v>1285.850441</v>
      </c>
      <c r="U10" s="173">
        <f>Assumptions!V134</f>
        <v>1341.481777</v>
      </c>
      <c r="V10" s="173">
        <f>Assumptions!W134</f>
        <v>1394.331546</v>
      </c>
      <c r="W10" s="173">
        <f>Assumptions!X134</f>
        <v>1444.538827</v>
      </c>
      <c r="X10" s="173">
        <f>Assumptions!Y134</f>
        <v>1492.235743</v>
      </c>
      <c r="Y10" s="173">
        <f>Assumptions!Z134</f>
        <v>1537.547814</v>
      </c>
      <c r="Z10" s="173">
        <f>Assumptions!AA134</f>
        <v>1580.594281</v>
      </c>
      <c r="AA10" s="173">
        <f>Assumptions!AB134</f>
        <v>1621.488425</v>
      </c>
      <c r="AB10" s="173">
        <f>Assumptions!AC134</f>
        <v>1660.337862</v>
      </c>
      <c r="AC10" s="173">
        <f>Assumptions!AD134</f>
        <v>1697.244826</v>
      </c>
      <c r="AD10" s="173">
        <f>Assumptions!AE134</f>
        <v>1732.306443</v>
      </c>
      <c r="AE10" s="173">
        <f>Assumptions!AF134</f>
        <v>1765.614979</v>
      </c>
      <c r="AF10" s="173">
        <f>Assumptions!AG134</f>
        <v>1797.258088</v>
      </c>
      <c r="AG10" s="173">
        <f>Assumptions!AH134</f>
        <v>1827.319041</v>
      </c>
      <c r="AH10" s="173">
        <f>Assumptions!AI134</f>
        <v>1855.876947</v>
      </c>
      <c r="AI10" s="173">
        <f>Assumptions!AJ134</f>
        <v>1883.006957</v>
      </c>
      <c r="AJ10" s="173">
        <f>Assumptions!AK134</f>
        <v>1908.780467</v>
      </c>
      <c r="AK10" s="173">
        <f>Assumptions!AL134</f>
        <v>1933.265302</v>
      </c>
      <c r="AL10" s="173">
        <f>Assumptions!AM134</f>
        <v>1956.525895</v>
      </c>
      <c r="AM10" s="173">
        <f>Assumptions!AN134</f>
        <v>1978.623458</v>
      </c>
      <c r="AN10" s="173">
        <f>Assumptions!AO134</f>
        <v>1999.616143</v>
      </c>
      <c r="AO10" s="173">
        <f>Assumptions!AP134</f>
        <v>2019.559194</v>
      </c>
      <c r="AP10" s="173">
        <f>Assumptions!AQ134</f>
        <v>2038.505092</v>
      </c>
      <c r="AQ10" s="173">
        <f>Assumptions!AR134</f>
        <v>2056.503695</v>
      </c>
      <c r="AR10" s="173">
        <f>Assumptions!AS134</f>
        <v>2073.602368</v>
      </c>
      <c r="AS10" s="173">
        <f>Assumptions!AT134</f>
        <v>2089.846108</v>
      </c>
      <c r="AT10" s="173">
        <f>Assumptions!AU134</f>
        <v>2105.27766</v>
      </c>
      <c r="AU10" s="173">
        <f>Assumptions!AV134</f>
        <v>2119.937635</v>
      </c>
      <c r="AV10" s="173">
        <f>Assumptions!AW134</f>
        <v>2133.864611</v>
      </c>
      <c r="AW10" s="173">
        <f>Assumptions!AX134</f>
        <v>2147.095238</v>
      </c>
      <c r="AX10" s="173">
        <f>Assumptions!AY134</f>
        <v>2159.664334</v>
      </c>
      <c r="AY10" s="173">
        <f>Assumptions!AZ134</f>
        <v>2171.604975</v>
      </c>
      <c r="AZ10" s="173">
        <f>Assumptions!BA134</f>
        <v>2182.948585</v>
      </c>
      <c r="BA10" s="173">
        <f>Assumptions!BB134</f>
        <v>2193.725013</v>
      </c>
      <c r="BB10" s="173">
        <f>Assumptions!BC134</f>
        <v>2203.96262</v>
      </c>
      <c r="BC10" s="173">
        <f>Assumptions!BD134</f>
        <v>2213.688347</v>
      </c>
      <c r="BD10" s="173">
        <f>Assumptions!BE134</f>
        <v>2222.927788</v>
      </c>
      <c r="BE10" s="173">
        <f>Assumptions!BF134</f>
        <v>2231.705256</v>
      </c>
      <c r="BF10" s="173">
        <f>Assumptions!BG134</f>
        <v>2240.043851</v>
      </c>
      <c r="BG10" s="173">
        <f>Assumptions!BH134</f>
        <v>2247.965517</v>
      </c>
      <c r="BH10" s="173">
        <f>Assumptions!BI134</f>
        <v>2255.491099</v>
      </c>
      <c r="BI10" s="173">
        <f>Assumptions!BJ134</f>
        <v>2262.640402</v>
      </c>
      <c r="BJ10" s="173">
        <f>Assumptions!BK134</f>
        <v>2269.432239</v>
      </c>
      <c r="BK10" s="173">
        <f>Assumptions!BL134</f>
        <v>2275.884485</v>
      </c>
      <c r="BL10" s="173">
        <f>Assumptions!BM134</f>
        <v>2282.014119</v>
      </c>
      <c r="BM10" s="173">
        <f>Assumptions!BN134</f>
        <v>2287.837271</v>
      </c>
      <c r="BN10" s="171"/>
    </row>
    <row r="11" outlineLevel="1">
      <c r="A11" s="17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1"/>
      <c r="AX11" s="171"/>
      <c r="AY11" s="171"/>
      <c r="AZ11" s="171"/>
      <c r="BA11" s="171"/>
      <c r="BB11" s="171"/>
      <c r="BC11" s="171"/>
      <c r="BD11" s="171"/>
      <c r="BE11" s="171"/>
      <c r="BF11" s="171"/>
      <c r="BG11" s="171"/>
      <c r="BH11" s="171"/>
      <c r="BI11" s="171"/>
      <c r="BJ11" s="171"/>
      <c r="BK11" s="171"/>
      <c r="BL11" s="171"/>
      <c r="BM11" s="171"/>
      <c r="BN11" s="171"/>
    </row>
    <row r="12" outlineLevel="1">
      <c r="A12" s="171"/>
      <c r="B12" s="174" t="s">
        <v>156</v>
      </c>
      <c r="C12" s="175"/>
      <c r="D12" s="175"/>
      <c r="E12" s="175"/>
      <c r="F12" s="176">
        <f t="shared" ref="F12:BM12" si="5">F8-F10</f>
        <v>260.8125</v>
      </c>
      <c r="G12" s="176">
        <f t="shared" si="5"/>
        <v>514.9340625</v>
      </c>
      <c r="H12" s="176">
        <f t="shared" si="5"/>
        <v>756.4447922</v>
      </c>
      <c r="I12" s="176">
        <f t="shared" si="5"/>
        <v>985.8814141</v>
      </c>
      <c r="J12" s="176">
        <f t="shared" si="5"/>
        <v>1203.846226</v>
      </c>
      <c r="K12" s="176">
        <f t="shared" si="5"/>
        <v>1410.912798</v>
      </c>
      <c r="L12" s="176">
        <f t="shared" si="5"/>
        <v>1607.626042</v>
      </c>
      <c r="M12" s="176">
        <f t="shared" si="5"/>
        <v>1794.503623</v>
      </c>
      <c r="N12" s="176">
        <f t="shared" si="5"/>
        <v>1972.037325</v>
      </c>
      <c r="O12" s="176">
        <f t="shared" si="5"/>
        <v>2140.694342</v>
      </c>
      <c r="P12" s="176">
        <f t="shared" si="5"/>
        <v>1917.43209</v>
      </c>
      <c r="Q12" s="176">
        <f t="shared" si="5"/>
        <v>2044.276222</v>
      </c>
      <c r="R12" s="176">
        <f t="shared" si="5"/>
        <v>2164.778147</v>
      </c>
      <c r="S12" s="176">
        <f t="shared" si="5"/>
        <v>2279.254975</v>
      </c>
      <c r="T12" s="176">
        <f t="shared" si="5"/>
        <v>2388.007963</v>
      </c>
      <c r="U12" s="176">
        <f t="shared" si="5"/>
        <v>2491.3233</v>
      </c>
      <c r="V12" s="176">
        <f t="shared" si="5"/>
        <v>2589.472871</v>
      </c>
      <c r="W12" s="176">
        <f t="shared" si="5"/>
        <v>2682.714964</v>
      </c>
      <c r="X12" s="176">
        <f t="shared" si="5"/>
        <v>2771.294952</v>
      </c>
      <c r="Y12" s="176">
        <f t="shared" si="5"/>
        <v>2855.44594</v>
      </c>
      <c r="Z12" s="176">
        <f t="shared" si="5"/>
        <v>2935.389379</v>
      </c>
      <c r="AA12" s="176">
        <f t="shared" si="5"/>
        <v>3011.335646</v>
      </c>
      <c r="AB12" s="176">
        <f t="shared" si="5"/>
        <v>3083.4846</v>
      </c>
      <c r="AC12" s="176">
        <f t="shared" si="5"/>
        <v>3152.026106</v>
      </c>
      <c r="AD12" s="176">
        <f t="shared" si="5"/>
        <v>3217.140537</v>
      </c>
      <c r="AE12" s="176">
        <f t="shared" si="5"/>
        <v>3278.999246</v>
      </c>
      <c r="AF12" s="176">
        <f t="shared" si="5"/>
        <v>3337.76502</v>
      </c>
      <c r="AG12" s="176">
        <f t="shared" si="5"/>
        <v>3393.592505</v>
      </c>
      <c r="AH12" s="176">
        <f t="shared" si="5"/>
        <v>3446.628616</v>
      </c>
      <c r="AI12" s="176">
        <f t="shared" si="5"/>
        <v>3497.012921</v>
      </c>
      <c r="AJ12" s="176">
        <f t="shared" si="5"/>
        <v>3544.878011</v>
      </c>
      <c r="AK12" s="176">
        <f t="shared" si="5"/>
        <v>3590.349846</v>
      </c>
      <c r="AL12" s="176">
        <f t="shared" si="5"/>
        <v>3633.54809</v>
      </c>
      <c r="AM12" s="176">
        <f t="shared" si="5"/>
        <v>3674.586422</v>
      </c>
      <c r="AN12" s="176">
        <f t="shared" si="5"/>
        <v>3713.572837</v>
      </c>
      <c r="AO12" s="176">
        <f t="shared" si="5"/>
        <v>3750.609931</v>
      </c>
      <c r="AP12" s="176">
        <f t="shared" si="5"/>
        <v>3785.79517</v>
      </c>
      <c r="AQ12" s="176">
        <f t="shared" si="5"/>
        <v>3819.221148</v>
      </c>
      <c r="AR12" s="176">
        <f t="shared" si="5"/>
        <v>3850.975826</v>
      </c>
      <c r="AS12" s="176">
        <f t="shared" si="5"/>
        <v>3881.142771</v>
      </c>
      <c r="AT12" s="176">
        <f t="shared" si="5"/>
        <v>3909.801369</v>
      </c>
      <c r="AU12" s="176">
        <f t="shared" si="5"/>
        <v>3937.027036</v>
      </c>
      <c r="AV12" s="176">
        <f t="shared" si="5"/>
        <v>3962.891421</v>
      </c>
      <c r="AW12" s="176">
        <f t="shared" si="5"/>
        <v>3987.462586</v>
      </c>
      <c r="AX12" s="176">
        <f t="shared" si="5"/>
        <v>4010.805192</v>
      </c>
      <c r="AY12" s="176">
        <f t="shared" si="5"/>
        <v>4032.980669</v>
      </c>
      <c r="AZ12" s="176">
        <f t="shared" si="5"/>
        <v>4054.047371</v>
      </c>
      <c r="BA12" s="176">
        <f t="shared" si="5"/>
        <v>4074.060739</v>
      </c>
      <c r="BB12" s="176">
        <f t="shared" si="5"/>
        <v>4093.073438</v>
      </c>
      <c r="BC12" s="176">
        <f t="shared" si="5"/>
        <v>4111.135502</v>
      </c>
      <c r="BD12" s="176">
        <f t="shared" si="5"/>
        <v>4128.294463</v>
      </c>
      <c r="BE12" s="176">
        <f t="shared" si="5"/>
        <v>4144.595476</v>
      </c>
      <c r="BF12" s="176">
        <f t="shared" si="5"/>
        <v>4160.081438</v>
      </c>
      <c r="BG12" s="176">
        <f t="shared" si="5"/>
        <v>4174.793102</v>
      </c>
      <c r="BH12" s="176">
        <f t="shared" si="5"/>
        <v>4188.769183</v>
      </c>
      <c r="BI12" s="176">
        <f t="shared" si="5"/>
        <v>4202.04646</v>
      </c>
      <c r="BJ12" s="176">
        <f t="shared" si="5"/>
        <v>4214.659873</v>
      </c>
      <c r="BK12" s="176">
        <f t="shared" si="5"/>
        <v>4226.642615</v>
      </c>
      <c r="BL12" s="176">
        <f t="shared" si="5"/>
        <v>4238.026221</v>
      </c>
      <c r="BM12" s="176">
        <f t="shared" si="5"/>
        <v>4248.840646</v>
      </c>
      <c r="BN12" s="171"/>
    </row>
    <row r="13" outlineLevel="1">
      <c r="A13" s="177"/>
      <c r="B13" s="178" t="s">
        <v>157</v>
      </c>
      <c r="C13" s="177"/>
      <c r="D13" s="177"/>
      <c r="E13" s="177"/>
      <c r="F13" s="179">
        <f t="shared" ref="F13:BM13" si="6">F12/F8</f>
        <v>0.65</v>
      </c>
      <c r="G13" s="179">
        <f t="shared" si="6"/>
        <v>0.65</v>
      </c>
      <c r="H13" s="179">
        <f t="shared" si="6"/>
        <v>0.65</v>
      </c>
      <c r="I13" s="179">
        <f t="shared" si="6"/>
        <v>0.65</v>
      </c>
      <c r="J13" s="179">
        <f t="shared" si="6"/>
        <v>0.65</v>
      </c>
      <c r="K13" s="179">
        <f t="shared" si="6"/>
        <v>0.65</v>
      </c>
      <c r="L13" s="179">
        <f t="shared" si="6"/>
        <v>0.65</v>
      </c>
      <c r="M13" s="179">
        <f t="shared" si="6"/>
        <v>0.65</v>
      </c>
      <c r="N13" s="179">
        <f t="shared" si="6"/>
        <v>0.65</v>
      </c>
      <c r="O13" s="179">
        <f t="shared" si="6"/>
        <v>0.65</v>
      </c>
      <c r="P13" s="179">
        <f t="shared" si="6"/>
        <v>0.65</v>
      </c>
      <c r="Q13" s="179">
        <f t="shared" si="6"/>
        <v>0.65</v>
      </c>
      <c r="R13" s="179">
        <f t="shared" si="6"/>
        <v>0.65</v>
      </c>
      <c r="S13" s="179">
        <f t="shared" si="6"/>
        <v>0.65</v>
      </c>
      <c r="T13" s="179">
        <f t="shared" si="6"/>
        <v>0.65</v>
      </c>
      <c r="U13" s="179">
        <f t="shared" si="6"/>
        <v>0.65</v>
      </c>
      <c r="V13" s="179">
        <f t="shared" si="6"/>
        <v>0.65</v>
      </c>
      <c r="W13" s="179">
        <f t="shared" si="6"/>
        <v>0.65</v>
      </c>
      <c r="X13" s="179">
        <f t="shared" si="6"/>
        <v>0.65</v>
      </c>
      <c r="Y13" s="179">
        <f t="shared" si="6"/>
        <v>0.65</v>
      </c>
      <c r="Z13" s="179">
        <f t="shared" si="6"/>
        <v>0.65</v>
      </c>
      <c r="AA13" s="179">
        <f t="shared" si="6"/>
        <v>0.65</v>
      </c>
      <c r="AB13" s="179">
        <f t="shared" si="6"/>
        <v>0.65</v>
      </c>
      <c r="AC13" s="179">
        <f t="shared" si="6"/>
        <v>0.65</v>
      </c>
      <c r="AD13" s="179">
        <f t="shared" si="6"/>
        <v>0.65</v>
      </c>
      <c r="AE13" s="179">
        <f t="shared" si="6"/>
        <v>0.65</v>
      </c>
      <c r="AF13" s="179">
        <f t="shared" si="6"/>
        <v>0.65</v>
      </c>
      <c r="AG13" s="179">
        <f t="shared" si="6"/>
        <v>0.65</v>
      </c>
      <c r="AH13" s="179">
        <f t="shared" si="6"/>
        <v>0.65</v>
      </c>
      <c r="AI13" s="179">
        <f t="shared" si="6"/>
        <v>0.65</v>
      </c>
      <c r="AJ13" s="179">
        <f t="shared" si="6"/>
        <v>0.65</v>
      </c>
      <c r="AK13" s="179">
        <f t="shared" si="6"/>
        <v>0.65</v>
      </c>
      <c r="AL13" s="179">
        <f t="shared" si="6"/>
        <v>0.65</v>
      </c>
      <c r="AM13" s="179">
        <f t="shared" si="6"/>
        <v>0.65</v>
      </c>
      <c r="AN13" s="179">
        <f t="shared" si="6"/>
        <v>0.65</v>
      </c>
      <c r="AO13" s="179">
        <f t="shared" si="6"/>
        <v>0.65</v>
      </c>
      <c r="AP13" s="179">
        <f t="shared" si="6"/>
        <v>0.65</v>
      </c>
      <c r="AQ13" s="179">
        <f t="shared" si="6"/>
        <v>0.65</v>
      </c>
      <c r="AR13" s="179">
        <f t="shared" si="6"/>
        <v>0.65</v>
      </c>
      <c r="AS13" s="179">
        <f t="shared" si="6"/>
        <v>0.65</v>
      </c>
      <c r="AT13" s="179">
        <f t="shared" si="6"/>
        <v>0.65</v>
      </c>
      <c r="AU13" s="179">
        <f t="shared" si="6"/>
        <v>0.65</v>
      </c>
      <c r="AV13" s="179">
        <f t="shared" si="6"/>
        <v>0.65</v>
      </c>
      <c r="AW13" s="179">
        <f t="shared" si="6"/>
        <v>0.65</v>
      </c>
      <c r="AX13" s="179">
        <f t="shared" si="6"/>
        <v>0.65</v>
      </c>
      <c r="AY13" s="179">
        <f t="shared" si="6"/>
        <v>0.65</v>
      </c>
      <c r="AZ13" s="179">
        <f t="shared" si="6"/>
        <v>0.65</v>
      </c>
      <c r="BA13" s="179">
        <f t="shared" si="6"/>
        <v>0.65</v>
      </c>
      <c r="BB13" s="179">
        <f t="shared" si="6"/>
        <v>0.65</v>
      </c>
      <c r="BC13" s="179">
        <f t="shared" si="6"/>
        <v>0.65</v>
      </c>
      <c r="BD13" s="179">
        <f t="shared" si="6"/>
        <v>0.65</v>
      </c>
      <c r="BE13" s="179">
        <f t="shared" si="6"/>
        <v>0.65</v>
      </c>
      <c r="BF13" s="179">
        <f t="shared" si="6"/>
        <v>0.65</v>
      </c>
      <c r="BG13" s="179">
        <f t="shared" si="6"/>
        <v>0.65</v>
      </c>
      <c r="BH13" s="179">
        <f t="shared" si="6"/>
        <v>0.65</v>
      </c>
      <c r="BI13" s="179">
        <f t="shared" si="6"/>
        <v>0.65</v>
      </c>
      <c r="BJ13" s="179">
        <f t="shared" si="6"/>
        <v>0.65</v>
      </c>
      <c r="BK13" s="179">
        <f t="shared" si="6"/>
        <v>0.65</v>
      </c>
      <c r="BL13" s="179">
        <f t="shared" si="6"/>
        <v>0.65</v>
      </c>
      <c r="BM13" s="179">
        <f t="shared" si="6"/>
        <v>0.65</v>
      </c>
      <c r="BN13" s="177"/>
    </row>
    <row r="14" outlineLevel="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row>
    <row r="15" outlineLevel="1">
      <c r="A15" s="171"/>
      <c r="B15" s="180" t="s">
        <v>158</v>
      </c>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1"/>
      <c r="BI15" s="171"/>
      <c r="BJ15" s="171"/>
      <c r="BK15" s="171"/>
      <c r="BL15" s="171"/>
      <c r="BM15" s="171"/>
      <c r="BN15" s="171"/>
    </row>
    <row r="16" outlineLevel="1">
      <c r="A16" s="171"/>
      <c r="B16" s="181" t="s">
        <v>159</v>
      </c>
      <c r="C16" s="171"/>
      <c r="D16" s="171"/>
      <c r="E16" s="171"/>
      <c r="F16" s="171">
        <f>SUM(Assumptions!G97:G121)</f>
        <v>202000</v>
      </c>
      <c r="G16" s="171">
        <f>SUM(Assumptions!H97:H121)</f>
        <v>202000</v>
      </c>
      <c r="H16" s="171">
        <f>SUM(Assumptions!I97:I121)</f>
        <v>202000</v>
      </c>
      <c r="I16" s="171">
        <f>SUM(Assumptions!J97:J121)</f>
        <v>202000</v>
      </c>
      <c r="J16" s="171">
        <f>SUM(Assumptions!K97:K121)</f>
        <v>202000</v>
      </c>
      <c r="K16" s="171">
        <f>SUM(Assumptions!L97:L121)</f>
        <v>202000</v>
      </c>
      <c r="L16" s="171">
        <f>SUM(Assumptions!M97:M121)</f>
        <v>202000</v>
      </c>
      <c r="M16" s="171">
        <f>SUM(Assumptions!N97:N121)</f>
        <v>202000</v>
      </c>
      <c r="N16" s="171">
        <f>SUM(Assumptions!O97:O121)</f>
        <v>202000</v>
      </c>
      <c r="O16" s="171">
        <f>SUM(Assumptions!P97:P121)</f>
        <v>202000</v>
      </c>
      <c r="P16" s="171">
        <f>SUM(Assumptions!Q97:Q121)</f>
        <v>202000</v>
      </c>
      <c r="Q16" s="171">
        <f>SUM(Assumptions!R97:R121)</f>
        <v>202000</v>
      </c>
      <c r="R16" s="171">
        <f>SUM(Assumptions!S97:S121)</f>
        <v>202000</v>
      </c>
      <c r="S16" s="171">
        <f>SUM(Assumptions!T97:T121)</f>
        <v>202000</v>
      </c>
      <c r="T16" s="171">
        <f>SUM(Assumptions!U97:U121)</f>
        <v>202000</v>
      </c>
      <c r="U16" s="171">
        <f>SUM(Assumptions!V97:V121)</f>
        <v>202000</v>
      </c>
      <c r="V16" s="171">
        <f>SUM(Assumptions!W97:W121)</f>
        <v>202000</v>
      </c>
      <c r="W16" s="171">
        <f>SUM(Assumptions!X97:X121)</f>
        <v>202000</v>
      </c>
      <c r="X16" s="171">
        <f>SUM(Assumptions!Y97:Y121)</f>
        <v>202000</v>
      </c>
      <c r="Y16" s="171">
        <f>SUM(Assumptions!Z97:Z121)</f>
        <v>202000</v>
      </c>
      <c r="Z16" s="171">
        <f>SUM(Assumptions!AA97:AA121)</f>
        <v>202000</v>
      </c>
      <c r="AA16" s="171">
        <f>SUM(Assumptions!AB97:AB121)</f>
        <v>202000</v>
      </c>
      <c r="AB16" s="171">
        <f>SUM(Assumptions!AC97:AC121)</f>
        <v>202000</v>
      </c>
      <c r="AC16" s="171">
        <f>SUM(Assumptions!AD97:AD121)</f>
        <v>202000</v>
      </c>
      <c r="AD16" s="171">
        <f>SUM(Assumptions!AE97:AE121)</f>
        <v>202000</v>
      </c>
      <c r="AE16" s="171">
        <f>SUM(Assumptions!AF97:AF121)</f>
        <v>202000</v>
      </c>
      <c r="AF16" s="171">
        <f>SUM(Assumptions!AG97:AG121)</f>
        <v>202000</v>
      </c>
      <c r="AG16" s="171">
        <f>SUM(Assumptions!AH97:AH121)</f>
        <v>202000</v>
      </c>
      <c r="AH16" s="171">
        <f>SUM(Assumptions!AI97:AI121)</f>
        <v>202000</v>
      </c>
      <c r="AI16" s="171">
        <f>SUM(Assumptions!AJ97:AJ121)</f>
        <v>202000</v>
      </c>
      <c r="AJ16" s="171">
        <f>SUM(Assumptions!AK97:AK121)</f>
        <v>202000</v>
      </c>
      <c r="AK16" s="171">
        <f>SUM(Assumptions!AL97:AL121)</f>
        <v>202000</v>
      </c>
      <c r="AL16" s="171">
        <f>SUM(Assumptions!AM97:AM121)</f>
        <v>202000</v>
      </c>
      <c r="AM16" s="171">
        <f>SUM(Assumptions!AN97:AN121)</f>
        <v>202000</v>
      </c>
      <c r="AN16" s="171">
        <f>SUM(Assumptions!AO97:AO121)</f>
        <v>202000</v>
      </c>
      <c r="AO16" s="171">
        <f>SUM(Assumptions!AP97:AP121)</f>
        <v>202000</v>
      </c>
      <c r="AP16" s="171">
        <f>SUM(Assumptions!AQ97:AQ121)</f>
        <v>202000</v>
      </c>
      <c r="AQ16" s="171">
        <f>SUM(Assumptions!AR97:AR121)</f>
        <v>202000</v>
      </c>
      <c r="AR16" s="171">
        <f>SUM(Assumptions!AS97:AS121)</f>
        <v>202000</v>
      </c>
      <c r="AS16" s="171">
        <f>SUM(Assumptions!AT97:AT121)</f>
        <v>202000</v>
      </c>
      <c r="AT16" s="171">
        <f>SUM(Assumptions!AU97:AU121)</f>
        <v>202000</v>
      </c>
      <c r="AU16" s="171">
        <f>SUM(Assumptions!AV97:AV121)</f>
        <v>202000</v>
      </c>
      <c r="AV16" s="171">
        <f>SUM(Assumptions!AW97:AW121)</f>
        <v>202000</v>
      </c>
      <c r="AW16" s="171">
        <f>SUM(Assumptions!AX97:AX121)</f>
        <v>202000</v>
      </c>
      <c r="AX16" s="171">
        <f>SUM(Assumptions!AY97:AY121)</f>
        <v>202000</v>
      </c>
      <c r="AY16" s="171">
        <f>SUM(Assumptions!AZ97:AZ121)</f>
        <v>202000</v>
      </c>
      <c r="AZ16" s="171">
        <f>SUM(Assumptions!BA97:BA121)</f>
        <v>202000</v>
      </c>
      <c r="BA16" s="171">
        <f>SUM(Assumptions!BB97:BB121)</f>
        <v>202000</v>
      </c>
      <c r="BB16" s="171">
        <f>SUM(Assumptions!BC97:BC121)</f>
        <v>202000</v>
      </c>
      <c r="BC16" s="171">
        <f>SUM(Assumptions!BD97:BD121)</f>
        <v>202000</v>
      </c>
      <c r="BD16" s="171">
        <f>SUM(Assumptions!BE97:BE121)</f>
        <v>202000</v>
      </c>
      <c r="BE16" s="171">
        <f>SUM(Assumptions!BF97:BF121)</f>
        <v>202000</v>
      </c>
      <c r="BF16" s="171">
        <f>SUM(Assumptions!BG97:BG121)</f>
        <v>202000</v>
      </c>
      <c r="BG16" s="171">
        <f>SUM(Assumptions!BH97:BH121)</f>
        <v>202000</v>
      </c>
      <c r="BH16" s="171">
        <f>SUM(Assumptions!BI97:BI121)</f>
        <v>202000</v>
      </c>
      <c r="BI16" s="171">
        <f>SUM(Assumptions!BJ97:BJ121)</f>
        <v>202000</v>
      </c>
      <c r="BJ16" s="171">
        <f>SUM(Assumptions!BK97:BK121)</f>
        <v>202000</v>
      </c>
      <c r="BK16" s="171">
        <f>SUM(Assumptions!BL97:BL121)</f>
        <v>202000</v>
      </c>
      <c r="BL16" s="171">
        <f>SUM(Assumptions!BM97:BM121)</f>
        <v>202000</v>
      </c>
      <c r="BM16" s="171">
        <f>SUM(Assumptions!BN97:BN121)</f>
        <v>202000</v>
      </c>
      <c r="BN16" s="171"/>
    </row>
    <row r="17" outlineLevel="1">
      <c r="A17" s="171"/>
      <c r="B17" s="171" t="str">
        <f>Assumptions!B136</f>
        <v>General &amp; Admin</v>
      </c>
      <c r="C17" s="171"/>
      <c r="D17" s="171"/>
      <c r="E17" s="171"/>
      <c r="F17" s="171">
        <f>sum(Assumptions!G137:G144)</f>
        <v>20000</v>
      </c>
      <c r="G17" s="171">
        <f>sum(Assumptions!H137:H144)</f>
        <v>20000</v>
      </c>
      <c r="H17" s="171">
        <f>sum(Assumptions!I137:I144)</f>
        <v>20000</v>
      </c>
      <c r="I17" s="171">
        <f>sum(Assumptions!J137:J144)</f>
        <v>20000</v>
      </c>
      <c r="J17" s="171">
        <f>sum(Assumptions!K137:K144)</f>
        <v>20000</v>
      </c>
      <c r="K17" s="171">
        <f>sum(Assumptions!L137:L144)</f>
        <v>20000</v>
      </c>
      <c r="L17" s="171">
        <f>sum(Assumptions!M137:M144)</f>
        <v>20000</v>
      </c>
      <c r="M17" s="171">
        <f>sum(Assumptions!N137:N144)</f>
        <v>20000</v>
      </c>
      <c r="N17" s="171">
        <f>sum(Assumptions!O137:O144)</f>
        <v>20000</v>
      </c>
      <c r="O17" s="171">
        <f>sum(Assumptions!P137:P144)</f>
        <v>20000</v>
      </c>
      <c r="P17" s="171">
        <f>sum(Assumptions!Q137:Q144)</f>
        <v>20000</v>
      </c>
      <c r="Q17" s="171">
        <f>sum(Assumptions!R137:R144)</f>
        <v>20000</v>
      </c>
      <c r="R17" s="171">
        <f>sum(Assumptions!S137:S144)</f>
        <v>20000</v>
      </c>
      <c r="S17" s="171">
        <f>sum(Assumptions!T137:T144)</f>
        <v>20000</v>
      </c>
      <c r="T17" s="171">
        <f>sum(Assumptions!U137:U144)</f>
        <v>20000</v>
      </c>
      <c r="U17" s="171">
        <f>sum(Assumptions!V137:V144)</f>
        <v>20000</v>
      </c>
      <c r="V17" s="171">
        <f>sum(Assumptions!W137:W144)</f>
        <v>20000</v>
      </c>
      <c r="W17" s="171">
        <f>sum(Assumptions!X137:X144)</f>
        <v>20000</v>
      </c>
      <c r="X17" s="171">
        <f>sum(Assumptions!Y137:Y144)</f>
        <v>20000</v>
      </c>
      <c r="Y17" s="171">
        <f>sum(Assumptions!Z137:Z144)</f>
        <v>20000</v>
      </c>
      <c r="Z17" s="171">
        <f>sum(Assumptions!AA137:AA144)</f>
        <v>20000</v>
      </c>
      <c r="AA17" s="171">
        <f>sum(Assumptions!AB137:AB144)</f>
        <v>20000</v>
      </c>
      <c r="AB17" s="171">
        <f>sum(Assumptions!AC137:AC144)</f>
        <v>20000</v>
      </c>
      <c r="AC17" s="171">
        <f>sum(Assumptions!AD137:AD144)</f>
        <v>20000</v>
      </c>
      <c r="AD17" s="171">
        <f>sum(Assumptions!AE137:AE144)</f>
        <v>20000</v>
      </c>
      <c r="AE17" s="171">
        <f>sum(Assumptions!AF137:AF144)</f>
        <v>20000</v>
      </c>
      <c r="AF17" s="171">
        <f>sum(Assumptions!AG137:AG144)</f>
        <v>20000</v>
      </c>
      <c r="AG17" s="171">
        <f>sum(Assumptions!AH137:AH144)</f>
        <v>20000</v>
      </c>
      <c r="AH17" s="171">
        <f>sum(Assumptions!AI137:AI144)</f>
        <v>20000</v>
      </c>
      <c r="AI17" s="171">
        <f>sum(Assumptions!AJ137:AJ144)</f>
        <v>20000</v>
      </c>
      <c r="AJ17" s="171">
        <f>sum(Assumptions!AK137:AK144)</f>
        <v>20000</v>
      </c>
      <c r="AK17" s="171">
        <f>sum(Assumptions!AL137:AL144)</f>
        <v>20000</v>
      </c>
      <c r="AL17" s="171">
        <f>sum(Assumptions!AM137:AM144)</f>
        <v>20000</v>
      </c>
      <c r="AM17" s="171">
        <f>sum(Assumptions!AN137:AN144)</f>
        <v>20000</v>
      </c>
      <c r="AN17" s="171">
        <f>sum(Assumptions!AO137:AO144)</f>
        <v>20000</v>
      </c>
      <c r="AO17" s="171">
        <f>sum(Assumptions!AP137:AP144)</f>
        <v>20000</v>
      </c>
      <c r="AP17" s="171">
        <f>sum(Assumptions!AQ137:AQ144)</f>
        <v>20000</v>
      </c>
      <c r="AQ17" s="171">
        <f>sum(Assumptions!AR137:AR144)</f>
        <v>20000</v>
      </c>
      <c r="AR17" s="171">
        <f>sum(Assumptions!AS137:AS144)</f>
        <v>20000</v>
      </c>
      <c r="AS17" s="171">
        <f>sum(Assumptions!AT137:AT144)</f>
        <v>20000</v>
      </c>
      <c r="AT17" s="171">
        <f>sum(Assumptions!AU137:AU144)</f>
        <v>20000</v>
      </c>
      <c r="AU17" s="171">
        <f>sum(Assumptions!AV137:AV144)</f>
        <v>20000</v>
      </c>
      <c r="AV17" s="171">
        <f>sum(Assumptions!AW137:AW144)</f>
        <v>20000</v>
      </c>
      <c r="AW17" s="171">
        <f>sum(Assumptions!AX137:AX144)</f>
        <v>20000</v>
      </c>
      <c r="AX17" s="171">
        <f>sum(Assumptions!AY137:AY144)</f>
        <v>20000</v>
      </c>
      <c r="AY17" s="171">
        <f>sum(Assumptions!AZ137:AZ144)</f>
        <v>20000</v>
      </c>
      <c r="AZ17" s="171">
        <f>sum(Assumptions!BA137:BA144)</f>
        <v>20000</v>
      </c>
      <c r="BA17" s="171">
        <f>sum(Assumptions!BB137:BB144)</f>
        <v>20000</v>
      </c>
      <c r="BB17" s="171">
        <f>sum(Assumptions!BC137:BC144)</f>
        <v>20000</v>
      </c>
      <c r="BC17" s="171">
        <f>sum(Assumptions!BD137:BD144)</f>
        <v>20000</v>
      </c>
      <c r="BD17" s="171">
        <f>sum(Assumptions!BE137:BE144)</f>
        <v>20000</v>
      </c>
      <c r="BE17" s="171">
        <f>sum(Assumptions!BF137:BF144)</f>
        <v>20000</v>
      </c>
      <c r="BF17" s="171">
        <f>sum(Assumptions!BG137:BG144)</f>
        <v>20000</v>
      </c>
      <c r="BG17" s="171">
        <f>sum(Assumptions!BH137:BH144)</f>
        <v>20000</v>
      </c>
      <c r="BH17" s="171">
        <f>sum(Assumptions!BI137:BI144)</f>
        <v>20000</v>
      </c>
      <c r="BI17" s="171">
        <f>sum(Assumptions!BJ137:BJ144)</f>
        <v>20000</v>
      </c>
      <c r="BJ17" s="171">
        <f>sum(Assumptions!BK137:BK144)</f>
        <v>20000</v>
      </c>
      <c r="BK17" s="171">
        <f>sum(Assumptions!BL137:BL144)</f>
        <v>20000</v>
      </c>
      <c r="BL17" s="171">
        <f>sum(Assumptions!BM137:BM144)</f>
        <v>20000</v>
      </c>
      <c r="BM17" s="171">
        <f>sum(Assumptions!BN137:BN144)</f>
        <v>20000</v>
      </c>
      <c r="BN17" s="171"/>
    </row>
    <row r="18" outlineLevel="1">
      <c r="A18" s="171"/>
      <c r="B18" s="181" t="str">
        <f>Assumptions!B147</f>
        <v>Sales &amp; Marketing</v>
      </c>
      <c r="C18" s="171"/>
      <c r="D18" s="171"/>
      <c r="E18" s="171"/>
      <c r="F18" s="171">
        <f>sum(Assumptions!G148:G149)</f>
        <v>10032.1</v>
      </c>
      <c r="G18" s="171">
        <f>sum(Assumptions!H148:H149)</f>
        <v>10063.3765</v>
      </c>
      <c r="H18" s="171">
        <f>sum(Assumptions!I148:I149)</f>
        <v>10093.1009</v>
      </c>
      <c r="I18" s="171">
        <f>sum(Assumptions!J148:J149)</f>
        <v>10121.33925</v>
      </c>
      <c r="J18" s="171">
        <f>sum(Assumptions!K148:K149)</f>
        <v>10148.16569</v>
      </c>
      <c r="K18" s="171">
        <f>sum(Assumptions!L148:L149)</f>
        <v>10173.65081</v>
      </c>
      <c r="L18" s="171">
        <f>sum(Assumptions!M148:M149)</f>
        <v>10197.86167</v>
      </c>
      <c r="M18" s="171">
        <f>sum(Assumptions!N148:N149)</f>
        <v>10220.86198</v>
      </c>
      <c r="N18" s="171">
        <f>sum(Assumptions!O148:O149)</f>
        <v>10242.71229</v>
      </c>
      <c r="O18" s="171">
        <f>sum(Assumptions!P148:P149)</f>
        <v>10263.47007</v>
      </c>
      <c r="P18" s="171">
        <f>sum(Assumptions!Q148:Q149)</f>
        <v>10235.99164</v>
      </c>
      <c r="Q18" s="171">
        <f>sum(Assumptions!R148:R149)</f>
        <v>10251.60323</v>
      </c>
      <c r="R18" s="171">
        <f>sum(Assumptions!S148:S149)</f>
        <v>10266.43423</v>
      </c>
      <c r="S18" s="171">
        <f>sum(Assumptions!T148:T149)</f>
        <v>10280.52369</v>
      </c>
      <c r="T18" s="171">
        <f>sum(Assumptions!U148:U149)</f>
        <v>10293.90867</v>
      </c>
      <c r="U18" s="171">
        <f>sum(Assumptions!V148:V149)</f>
        <v>10306.62441</v>
      </c>
      <c r="V18" s="171">
        <f>sum(Assumptions!W148:W149)</f>
        <v>10318.70435</v>
      </c>
      <c r="W18" s="171">
        <f>sum(Assumptions!X148:X149)</f>
        <v>10330.1803</v>
      </c>
      <c r="X18" s="171">
        <f>sum(Assumptions!Y148:Y149)</f>
        <v>10341.08246</v>
      </c>
      <c r="Y18" s="171">
        <f>sum(Assumptions!Z148:Z149)</f>
        <v>10351.4395</v>
      </c>
      <c r="Z18" s="171">
        <f>sum(Assumptions!AA148:AA149)</f>
        <v>10361.27869</v>
      </c>
      <c r="AA18" s="171">
        <f>sum(Assumptions!AB148:AB149)</f>
        <v>10370.62593</v>
      </c>
      <c r="AB18" s="171">
        <f>sum(Assumptions!AC148:AC149)</f>
        <v>10379.5058</v>
      </c>
      <c r="AC18" s="171">
        <f>sum(Assumptions!AD148:AD149)</f>
        <v>10387.94167</v>
      </c>
      <c r="AD18" s="171">
        <f>sum(Assumptions!AE148:AE149)</f>
        <v>10395.95576</v>
      </c>
      <c r="AE18" s="171">
        <f>sum(Assumptions!AF148:AF149)</f>
        <v>10403.56914</v>
      </c>
      <c r="AF18" s="171">
        <f>sum(Assumptions!AG148:AG149)</f>
        <v>10410.80185</v>
      </c>
      <c r="AG18" s="171">
        <f>sum(Assumptions!AH148:AH149)</f>
        <v>10417.67292</v>
      </c>
      <c r="AH18" s="171">
        <f>sum(Assumptions!AI148:AI149)</f>
        <v>10424.20044</v>
      </c>
      <c r="AI18" s="171">
        <f>sum(Assumptions!AJ148:AJ149)</f>
        <v>10430.40159</v>
      </c>
      <c r="AJ18" s="171">
        <f>sum(Assumptions!AK148:AK149)</f>
        <v>10436.29268</v>
      </c>
      <c r="AK18" s="171">
        <f>sum(Assumptions!AL148:AL149)</f>
        <v>10441.88921</v>
      </c>
      <c r="AL18" s="171">
        <f>sum(Assumptions!AM148:AM149)</f>
        <v>10447.20592</v>
      </c>
      <c r="AM18" s="171">
        <f>sum(Assumptions!AN148:AN149)</f>
        <v>10452.25679</v>
      </c>
      <c r="AN18" s="171">
        <f>sum(Assumptions!AO148:AO149)</f>
        <v>10457.05512</v>
      </c>
      <c r="AO18" s="171">
        <f>sum(Assumptions!AP148:AP149)</f>
        <v>10461.61353</v>
      </c>
      <c r="AP18" s="171">
        <f>sum(Assumptions!AQ148:AQ149)</f>
        <v>10465.94402</v>
      </c>
      <c r="AQ18" s="171">
        <f>sum(Assumptions!AR148:AR149)</f>
        <v>10470.05799</v>
      </c>
      <c r="AR18" s="171">
        <f>sum(Assumptions!AS148:AS149)</f>
        <v>10473.96626</v>
      </c>
      <c r="AS18" s="171">
        <f>sum(Assumptions!AT148:AT149)</f>
        <v>10477.67911</v>
      </c>
      <c r="AT18" s="171">
        <f>sum(Assumptions!AU148:AU149)</f>
        <v>10481.20632</v>
      </c>
      <c r="AU18" s="171">
        <f>sum(Assumptions!AV148:AV149)</f>
        <v>10484.55717</v>
      </c>
      <c r="AV18" s="171">
        <f>sum(Assumptions!AW148:AW149)</f>
        <v>10487.74048</v>
      </c>
      <c r="AW18" s="171">
        <f>sum(Assumptions!AX148:AX149)</f>
        <v>10490.76463</v>
      </c>
      <c r="AX18" s="171">
        <f>sum(Assumptions!AY148:AY149)</f>
        <v>10493.63756</v>
      </c>
      <c r="AY18" s="171">
        <f>sum(Assumptions!AZ148:AZ149)</f>
        <v>10496.36685</v>
      </c>
      <c r="AZ18" s="171">
        <f>sum(Assumptions!BA148:BA149)</f>
        <v>10498.95968</v>
      </c>
      <c r="BA18" s="171">
        <f>sum(Assumptions!BB148:BB149)</f>
        <v>10501.42286</v>
      </c>
      <c r="BB18" s="171">
        <f>sum(Assumptions!BC148:BC149)</f>
        <v>10503.76288</v>
      </c>
      <c r="BC18" s="171">
        <f>sum(Assumptions!BD148:BD149)</f>
        <v>10505.98591</v>
      </c>
      <c r="BD18" s="171">
        <f>sum(Assumptions!BE148:BE149)</f>
        <v>10508.09778</v>
      </c>
      <c r="BE18" s="171">
        <f>sum(Assumptions!BF148:BF149)</f>
        <v>10510.10406</v>
      </c>
      <c r="BF18" s="171">
        <f>sum(Assumptions!BG148:BG149)</f>
        <v>10512.01002</v>
      </c>
      <c r="BG18" s="171">
        <f>sum(Assumptions!BH148:BH149)</f>
        <v>10513.82069</v>
      </c>
      <c r="BH18" s="171">
        <f>sum(Assumptions!BI148:BI149)</f>
        <v>10515.54082</v>
      </c>
      <c r="BI18" s="171">
        <f>sum(Assumptions!BJ148:BJ149)</f>
        <v>10517.17495</v>
      </c>
      <c r="BJ18" s="171">
        <f>sum(Assumptions!BK148:BK149)</f>
        <v>10518.72737</v>
      </c>
      <c r="BK18" s="171">
        <f>sum(Assumptions!BL148:BL149)</f>
        <v>10520.20217</v>
      </c>
      <c r="BL18" s="171">
        <f>sum(Assumptions!BM148:BM149)</f>
        <v>10521.60323</v>
      </c>
      <c r="BM18" s="171">
        <f>sum(Assumptions!BN148:BN149)</f>
        <v>10522.93423</v>
      </c>
      <c r="BN18" s="171"/>
    </row>
    <row r="19" outlineLevel="1">
      <c r="A19" s="171"/>
      <c r="B19" s="171" t="str">
        <f>Assumptions!B152</f>
        <v>Professional Fees</v>
      </c>
      <c r="C19" s="171"/>
      <c r="D19" s="171"/>
      <c r="E19" s="171"/>
      <c r="F19" s="171">
        <f>SUM(Assumptions!G153:G155)</f>
        <v>5000</v>
      </c>
      <c r="G19" s="171">
        <f>SUM(Assumptions!H153:H155)</f>
        <v>5000</v>
      </c>
      <c r="H19" s="171">
        <f>SUM(Assumptions!I153:I155)</f>
        <v>5000</v>
      </c>
      <c r="I19" s="171">
        <f>SUM(Assumptions!J153:J155)</f>
        <v>5000</v>
      </c>
      <c r="J19" s="171">
        <f>SUM(Assumptions!K153:K155)</f>
        <v>5000</v>
      </c>
      <c r="K19" s="171">
        <f>SUM(Assumptions!L153:L155)</f>
        <v>5000</v>
      </c>
      <c r="L19" s="171">
        <f>SUM(Assumptions!M153:M155)</f>
        <v>5000</v>
      </c>
      <c r="M19" s="171">
        <f>SUM(Assumptions!N153:N155)</f>
        <v>5000</v>
      </c>
      <c r="N19" s="171">
        <f>SUM(Assumptions!O153:O155)</f>
        <v>5000</v>
      </c>
      <c r="O19" s="171">
        <f>SUM(Assumptions!P153:P155)</f>
        <v>5000</v>
      </c>
      <c r="P19" s="171">
        <f>SUM(Assumptions!Q153:Q155)</f>
        <v>5000</v>
      </c>
      <c r="Q19" s="171">
        <f>SUM(Assumptions!R153:R155)</f>
        <v>5000</v>
      </c>
      <c r="R19" s="171">
        <f>SUM(Assumptions!S153:S155)</f>
        <v>5000</v>
      </c>
      <c r="S19" s="171">
        <f>SUM(Assumptions!T153:T155)</f>
        <v>5000</v>
      </c>
      <c r="T19" s="171">
        <f>SUM(Assumptions!U153:U155)</f>
        <v>5000</v>
      </c>
      <c r="U19" s="171">
        <f>SUM(Assumptions!V153:V155)</f>
        <v>5000</v>
      </c>
      <c r="V19" s="171">
        <f>SUM(Assumptions!W153:W155)</f>
        <v>5000</v>
      </c>
      <c r="W19" s="171">
        <f>SUM(Assumptions!X153:X155)</f>
        <v>5000</v>
      </c>
      <c r="X19" s="171">
        <f>SUM(Assumptions!Y153:Y155)</f>
        <v>5000</v>
      </c>
      <c r="Y19" s="171">
        <f>SUM(Assumptions!Z153:Z155)</f>
        <v>5000</v>
      </c>
      <c r="Z19" s="171">
        <f>SUM(Assumptions!AA153:AA155)</f>
        <v>5000</v>
      </c>
      <c r="AA19" s="171">
        <f>SUM(Assumptions!AB153:AB155)</f>
        <v>5000</v>
      </c>
      <c r="AB19" s="171">
        <f>SUM(Assumptions!AC153:AC155)</f>
        <v>5000</v>
      </c>
      <c r="AC19" s="171">
        <f>SUM(Assumptions!AD153:AD155)</f>
        <v>5000</v>
      </c>
      <c r="AD19" s="171">
        <f>SUM(Assumptions!AE153:AE155)</f>
        <v>5000</v>
      </c>
      <c r="AE19" s="171">
        <f>SUM(Assumptions!AF153:AF155)</f>
        <v>5000</v>
      </c>
      <c r="AF19" s="171">
        <f>SUM(Assumptions!AG153:AG155)</f>
        <v>5000</v>
      </c>
      <c r="AG19" s="171">
        <f>SUM(Assumptions!AH153:AH155)</f>
        <v>5000</v>
      </c>
      <c r="AH19" s="171">
        <f>SUM(Assumptions!AI153:AI155)</f>
        <v>5000</v>
      </c>
      <c r="AI19" s="171">
        <f>SUM(Assumptions!AJ153:AJ155)</f>
        <v>5000</v>
      </c>
      <c r="AJ19" s="171">
        <f>SUM(Assumptions!AK153:AK155)</f>
        <v>5000</v>
      </c>
      <c r="AK19" s="171">
        <f>SUM(Assumptions!AL153:AL155)</f>
        <v>5000</v>
      </c>
      <c r="AL19" s="171">
        <f>SUM(Assumptions!AM153:AM155)</f>
        <v>5000</v>
      </c>
      <c r="AM19" s="171">
        <f>SUM(Assumptions!AN153:AN155)</f>
        <v>5000</v>
      </c>
      <c r="AN19" s="171">
        <f>SUM(Assumptions!AO153:AO155)</f>
        <v>5000</v>
      </c>
      <c r="AO19" s="171">
        <f>SUM(Assumptions!AP153:AP155)</f>
        <v>5000</v>
      </c>
      <c r="AP19" s="171">
        <f>SUM(Assumptions!AQ153:AQ155)</f>
        <v>5000</v>
      </c>
      <c r="AQ19" s="171">
        <f>SUM(Assumptions!AR153:AR155)</f>
        <v>5000</v>
      </c>
      <c r="AR19" s="171">
        <f>SUM(Assumptions!AS153:AS155)</f>
        <v>5000</v>
      </c>
      <c r="AS19" s="171">
        <f>SUM(Assumptions!AT153:AT155)</f>
        <v>5000</v>
      </c>
      <c r="AT19" s="171">
        <f>SUM(Assumptions!AU153:AU155)</f>
        <v>5000</v>
      </c>
      <c r="AU19" s="171">
        <f>SUM(Assumptions!AV153:AV155)</f>
        <v>5000</v>
      </c>
      <c r="AV19" s="171">
        <f>SUM(Assumptions!AW153:AW155)</f>
        <v>5000</v>
      </c>
      <c r="AW19" s="171">
        <f>SUM(Assumptions!AX153:AX155)</f>
        <v>5000</v>
      </c>
      <c r="AX19" s="171">
        <f>SUM(Assumptions!AY153:AY155)</f>
        <v>5000</v>
      </c>
      <c r="AY19" s="171">
        <f>SUM(Assumptions!AZ153:AZ155)</f>
        <v>5000</v>
      </c>
      <c r="AZ19" s="171">
        <f>SUM(Assumptions!BA153:BA155)</f>
        <v>5000</v>
      </c>
      <c r="BA19" s="171">
        <f>SUM(Assumptions!BB153:BB155)</f>
        <v>5000</v>
      </c>
      <c r="BB19" s="171">
        <f>SUM(Assumptions!BC153:BC155)</f>
        <v>5000</v>
      </c>
      <c r="BC19" s="171">
        <f>SUM(Assumptions!BD153:BD155)</f>
        <v>5000</v>
      </c>
      <c r="BD19" s="171">
        <f>SUM(Assumptions!BE153:BE155)</f>
        <v>5000</v>
      </c>
      <c r="BE19" s="171">
        <f>SUM(Assumptions!BF153:BF155)</f>
        <v>5000</v>
      </c>
      <c r="BF19" s="171">
        <f>SUM(Assumptions!BG153:BG155)</f>
        <v>5000</v>
      </c>
      <c r="BG19" s="171">
        <f>SUM(Assumptions!BH153:BH155)</f>
        <v>5000</v>
      </c>
      <c r="BH19" s="171">
        <f>SUM(Assumptions!BI153:BI155)</f>
        <v>5000</v>
      </c>
      <c r="BI19" s="171">
        <f>SUM(Assumptions!BJ153:BJ155)</f>
        <v>5000</v>
      </c>
      <c r="BJ19" s="171">
        <f>SUM(Assumptions!BK153:BK155)</f>
        <v>5000</v>
      </c>
      <c r="BK19" s="171">
        <f>SUM(Assumptions!BL153:BL155)</f>
        <v>5000</v>
      </c>
      <c r="BL19" s="171">
        <f>SUM(Assumptions!BM153:BM155)</f>
        <v>5000</v>
      </c>
      <c r="BM19" s="171">
        <f>SUM(Assumptions!BN153:BN155)</f>
        <v>5000</v>
      </c>
      <c r="BN19" s="171"/>
    </row>
    <row r="20" outlineLevel="1">
      <c r="A20" s="171"/>
      <c r="B20" s="182" t="str">
        <f>Assumptions!B158</f>
        <v>Other</v>
      </c>
      <c r="C20" s="182"/>
      <c r="D20" s="182"/>
      <c r="E20" s="182"/>
      <c r="F20" s="182">
        <f>Assumptions!G159</f>
        <v>40.125</v>
      </c>
      <c r="G20" s="182">
        <f>Assumptions!H159</f>
        <v>79.220625</v>
      </c>
      <c r="H20" s="182">
        <f>Assumptions!I159</f>
        <v>116.3761219</v>
      </c>
      <c r="I20" s="182">
        <f>Assumptions!J159</f>
        <v>151.6740637</v>
      </c>
      <c r="J20" s="182">
        <f>Assumptions!K159</f>
        <v>185.2071117</v>
      </c>
      <c r="K20" s="182">
        <f>Assumptions!L159</f>
        <v>217.0635074</v>
      </c>
      <c r="L20" s="182">
        <f>Assumptions!M159</f>
        <v>247.3270833</v>
      </c>
      <c r="M20" s="182">
        <f>Assumptions!N159</f>
        <v>276.0774804</v>
      </c>
      <c r="N20" s="182">
        <f>Assumptions!O159</f>
        <v>303.3903577</v>
      </c>
      <c r="O20" s="182">
        <f>Assumptions!P159</f>
        <v>329.3375911</v>
      </c>
      <c r="P20" s="182">
        <f>Assumptions!Q159</f>
        <v>294.9895523</v>
      </c>
      <c r="Q20" s="182">
        <f>Assumptions!R159</f>
        <v>314.5040341</v>
      </c>
      <c r="R20" s="182">
        <f>Assumptions!S159</f>
        <v>333.0427918</v>
      </c>
      <c r="S20" s="182">
        <f>Assumptions!T159</f>
        <v>350.6546116</v>
      </c>
      <c r="T20" s="182">
        <f>Assumptions!U159</f>
        <v>367.3858404</v>
      </c>
      <c r="U20" s="182">
        <f>Assumptions!V159</f>
        <v>383.2805078</v>
      </c>
      <c r="V20" s="182">
        <f>Assumptions!W159</f>
        <v>398.3804418</v>
      </c>
      <c r="W20" s="182">
        <f>Assumptions!X159</f>
        <v>412.7253791</v>
      </c>
      <c r="X20" s="182">
        <f>Assumptions!Y159</f>
        <v>426.3530695</v>
      </c>
      <c r="Y20" s="182">
        <f>Assumptions!Z159</f>
        <v>439.2993754</v>
      </c>
      <c r="Z20" s="182">
        <f>Assumptions!AA159</f>
        <v>451.598366</v>
      </c>
      <c r="AA20" s="182">
        <f>Assumptions!AB159</f>
        <v>463.2824071</v>
      </c>
      <c r="AB20" s="182">
        <f>Assumptions!AC159</f>
        <v>474.3822462</v>
      </c>
      <c r="AC20" s="182">
        <f>Assumptions!AD159</f>
        <v>484.9270932</v>
      </c>
      <c r="AD20" s="182">
        <f>Assumptions!AE159</f>
        <v>494.944698</v>
      </c>
      <c r="AE20" s="182">
        <f>Assumptions!AF159</f>
        <v>504.4614225</v>
      </c>
      <c r="AF20" s="182">
        <f>Assumptions!AG159</f>
        <v>513.5023107</v>
      </c>
      <c r="AG20" s="182">
        <f>Assumptions!AH159</f>
        <v>522.0911546</v>
      </c>
      <c r="AH20" s="182">
        <f>Assumptions!AI159</f>
        <v>530.2505562</v>
      </c>
      <c r="AI20" s="182">
        <f>Assumptions!AJ159</f>
        <v>538.0019878</v>
      </c>
      <c r="AJ20" s="182">
        <f>Assumptions!AK159</f>
        <v>545.3658478</v>
      </c>
      <c r="AK20" s="182">
        <f>Assumptions!AL159</f>
        <v>552.3615148</v>
      </c>
      <c r="AL20" s="182">
        <f>Assumptions!AM159</f>
        <v>559.0073985</v>
      </c>
      <c r="AM20" s="182">
        <f>Assumptions!AN159</f>
        <v>565.3209879</v>
      </c>
      <c r="AN20" s="182">
        <f>Assumptions!AO159</f>
        <v>571.3188979</v>
      </c>
      <c r="AO20" s="182">
        <f>Assumptions!AP159</f>
        <v>577.0169124</v>
      </c>
      <c r="AP20" s="182">
        <f>Assumptions!AQ159</f>
        <v>582.4300262</v>
      </c>
      <c r="AQ20" s="182">
        <f>Assumptions!AR159</f>
        <v>587.5724843</v>
      </c>
      <c r="AR20" s="182">
        <f>Assumptions!AS159</f>
        <v>592.4578195</v>
      </c>
      <c r="AS20" s="182">
        <f>Assumptions!AT159</f>
        <v>597.0988879</v>
      </c>
      <c r="AT20" s="182">
        <f>Assumptions!AU159</f>
        <v>601.5079029</v>
      </c>
      <c r="AU20" s="182">
        <f>Assumptions!AV159</f>
        <v>605.6964671</v>
      </c>
      <c r="AV20" s="182">
        <f>Assumptions!AW159</f>
        <v>609.6756032</v>
      </c>
      <c r="AW20" s="182">
        <f>Assumptions!AX159</f>
        <v>613.4557824</v>
      </c>
      <c r="AX20" s="182">
        <f>Assumptions!AY159</f>
        <v>617.0469527</v>
      </c>
      <c r="AY20" s="182">
        <f>Assumptions!AZ159</f>
        <v>620.4585644</v>
      </c>
      <c r="AZ20" s="182">
        <f>Assumptions!BA159</f>
        <v>623.6995956</v>
      </c>
      <c r="BA20" s="182">
        <f>Assumptions!BB159</f>
        <v>626.7785752</v>
      </c>
      <c r="BB20" s="182">
        <f>Assumptions!BC159</f>
        <v>629.7036058</v>
      </c>
      <c r="BC20" s="182">
        <f>Assumptions!BD159</f>
        <v>632.4823849</v>
      </c>
      <c r="BD20" s="182">
        <f>Assumptions!BE159</f>
        <v>635.1222251</v>
      </c>
      <c r="BE20" s="182">
        <f>Assumptions!BF159</f>
        <v>637.6300732</v>
      </c>
      <c r="BF20" s="182">
        <f>Assumptions!BG159</f>
        <v>640.0125289</v>
      </c>
      <c r="BG20" s="182">
        <f>Assumptions!BH159</f>
        <v>642.2758619</v>
      </c>
      <c r="BH20" s="182">
        <f>Assumptions!BI159</f>
        <v>644.4260282</v>
      </c>
      <c r="BI20" s="182">
        <f>Assumptions!BJ159</f>
        <v>646.4686862</v>
      </c>
      <c r="BJ20" s="182">
        <f>Assumptions!BK159</f>
        <v>648.4092112</v>
      </c>
      <c r="BK20" s="182">
        <f>Assumptions!BL159</f>
        <v>650.2527101</v>
      </c>
      <c r="BL20" s="182">
        <f>Assumptions!BM159</f>
        <v>652.004034</v>
      </c>
      <c r="BM20" s="182">
        <f>Assumptions!BN159</f>
        <v>653.6677917</v>
      </c>
      <c r="BN20" s="171"/>
    </row>
    <row r="21" outlineLevel="1">
      <c r="A21" s="171"/>
      <c r="B21" s="180" t="s">
        <v>160</v>
      </c>
      <c r="C21" s="171"/>
      <c r="D21" s="171"/>
      <c r="E21" s="171"/>
      <c r="F21" s="183">
        <f t="shared" ref="F21:BM21" si="7">SUM(F16:F20)</f>
        <v>237072.225</v>
      </c>
      <c r="G21" s="183">
        <f t="shared" si="7"/>
        <v>237142.5971</v>
      </c>
      <c r="H21" s="183">
        <f t="shared" si="7"/>
        <v>237209.477</v>
      </c>
      <c r="I21" s="183">
        <f t="shared" si="7"/>
        <v>237273.0133</v>
      </c>
      <c r="J21" s="183">
        <f t="shared" si="7"/>
        <v>237333.3728</v>
      </c>
      <c r="K21" s="183">
        <f t="shared" si="7"/>
        <v>237390.7143</v>
      </c>
      <c r="L21" s="183">
        <f t="shared" si="7"/>
        <v>237445.1887</v>
      </c>
      <c r="M21" s="183">
        <f t="shared" si="7"/>
        <v>237496.9395</v>
      </c>
      <c r="N21" s="183">
        <f t="shared" si="7"/>
        <v>237546.1026</v>
      </c>
      <c r="O21" s="183">
        <f t="shared" si="7"/>
        <v>237592.8077</v>
      </c>
      <c r="P21" s="183">
        <f t="shared" si="7"/>
        <v>237530.9812</v>
      </c>
      <c r="Q21" s="183">
        <f t="shared" si="7"/>
        <v>237566.1073</v>
      </c>
      <c r="R21" s="183">
        <f t="shared" si="7"/>
        <v>237599.477</v>
      </c>
      <c r="S21" s="183">
        <f t="shared" si="7"/>
        <v>237631.1783</v>
      </c>
      <c r="T21" s="183">
        <f t="shared" si="7"/>
        <v>237661.2945</v>
      </c>
      <c r="U21" s="183">
        <f t="shared" si="7"/>
        <v>237689.9049</v>
      </c>
      <c r="V21" s="183">
        <f t="shared" si="7"/>
        <v>237717.0848</v>
      </c>
      <c r="W21" s="183">
        <f t="shared" si="7"/>
        <v>237742.9057</v>
      </c>
      <c r="X21" s="183">
        <f t="shared" si="7"/>
        <v>237767.4355</v>
      </c>
      <c r="Y21" s="183">
        <f t="shared" si="7"/>
        <v>237790.7389</v>
      </c>
      <c r="Z21" s="183">
        <f t="shared" si="7"/>
        <v>237812.8771</v>
      </c>
      <c r="AA21" s="183">
        <f t="shared" si="7"/>
        <v>237833.9083</v>
      </c>
      <c r="AB21" s="183">
        <f t="shared" si="7"/>
        <v>237853.888</v>
      </c>
      <c r="AC21" s="183">
        <f t="shared" si="7"/>
        <v>237872.8688</v>
      </c>
      <c r="AD21" s="183">
        <f t="shared" si="7"/>
        <v>237890.9005</v>
      </c>
      <c r="AE21" s="183">
        <f t="shared" si="7"/>
        <v>237908.0306</v>
      </c>
      <c r="AF21" s="183">
        <f t="shared" si="7"/>
        <v>237924.3042</v>
      </c>
      <c r="AG21" s="183">
        <f t="shared" si="7"/>
        <v>237939.7641</v>
      </c>
      <c r="AH21" s="183">
        <f t="shared" si="7"/>
        <v>237954.451</v>
      </c>
      <c r="AI21" s="183">
        <f t="shared" si="7"/>
        <v>237968.4036</v>
      </c>
      <c r="AJ21" s="183">
        <f t="shared" si="7"/>
        <v>237981.6585</v>
      </c>
      <c r="AK21" s="183">
        <f t="shared" si="7"/>
        <v>237994.2507</v>
      </c>
      <c r="AL21" s="183">
        <f t="shared" si="7"/>
        <v>238006.2133</v>
      </c>
      <c r="AM21" s="183">
        <f t="shared" si="7"/>
        <v>238017.5778</v>
      </c>
      <c r="AN21" s="183">
        <f t="shared" si="7"/>
        <v>238028.374</v>
      </c>
      <c r="AO21" s="183">
        <f t="shared" si="7"/>
        <v>238038.6304</v>
      </c>
      <c r="AP21" s="183">
        <f t="shared" si="7"/>
        <v>238048.374</v>
      </c>
      <c r="AQ21" s="183">
        <f t="shared" si="7"/>
        <v>238057.6305</v>
      </c>
      <c r="AR21" s="183">
        <f t="shared" si="7"/>
        <v>238066.4241</v>
      </c>
      <c r="AS21" s="183">
        <f t="shared" si="7"/>
        <v>238074.778</v>
      </c>
      <c r="AT21" s="183">
        <f t="shared" si="7"/>
        <v>238082.7142</v>
      </c>
      <c r="AU21" s="183">
        <f t="shared" si="7"/>
        <v>238090.2536</v>
      </c>
      <c r="AV21" s="183">
        <f t="shared" si="7"/>
        <v>238097.4161</v>
      </c>
      <c r="AW21" s="183">
        <f t="shared" si="7"/>
        <v>238104.2204</v>
      </c>
      <c r="AX21" s="183">
        <f t="shared" si="7"/>
        <v>238110.6845</v>
      </c>
      <c r="AY21" s="183">
        <f t="shared" si="7"/>
        <v>238116.8254</v>
      </c>
      <c r="AZ21" s="183">
        <f t="shared" si="7"/>
        <v>238122.6593</v>
      </c>
      <c r="BA21" s="183">
        <f t="shared" si="7"/>
        <v>238128.2014</v>
      </c>
      <c r="BB21" s="183">
        <f t="shared" si="7"/>
        <v>238133.4665</v>
      </c>
      <c r="BC21" s="183">
        <f t="shared" si="7"/>
        <v>238138.4683</v>
      </c>
      <c r="BD21" s="183">
        <f t="shared" si="7"/>
        <v>238143.22</v>
      </c>
      <c r="BE21" s="183">
        <f t="shared" si="7"/>
        <v>238147.7341</v>
      </c>
      <c r="BF21" s="183">
        <f t="shared" si="7"/>
        <v>238152.0226</v>
      </c>
      <c r="BG21" s="183">
        <f t="shared" si="7"/>
        <v>238156.0966</v>
      </c>
      <c r="BH21" s="183">
        <f t="shared" si="7"/>
        <v>238159.9669</v>
      </c>
      <c r="BI21" s="183">
        <f t="shared" si="7"/>
        <v>238163.6436</v>
      </c>
      <c r="BJ21" s="183">
        <f t="shared" si="7"/>
        <v>238167.1366</v>
      </c>
      <c r="BK21" s="183">
        <f t="shared" si="7"/>
        <v>238170.4549</v>
      </c>
      <c r="BL21" s="183">
        <f t="shared" si="7"/>
        <v>238173.6073</v>
      </c>
      <c r="BM21" s="183">
        <f t="shared" si="7"/>
        <v>238176.602</v>
      </c>
      <c r="BN21" s="171"/>
    </row>
    <row r="22" outlineLevel="1">
      <c r="A22" s="171"/>
      <c r="B22" s="171"/>
      <c r="C22" s="171"/>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row>
    <row r="23" outlineLevel="1">
      <c r="A23" s="171"/>
      <c r="B23" s="174" t="s">
        <v>161</v>
      </c>
      <c r="C23" s="175"/>
      <c r="D23" s="175"/>
      <c r="E23" s="175"/>
      <c r="F23" s="176">
        <f t="shared" ref="F23:BM23" si="8">F12-F21</f>
        <v>-236811.4125</v>
      </c>
      <c r="G23" s="176">
        <f t="shared" si="8"/>
        <v>-236627.6631</v>
      </c>
      <c r="H23" s="176">
        <f t="shared" si="8"/>
        <v>-236453.0322</v>
      </c>
      <c r="I23" s="176">
        <f t="shared" si="8"/>
        <v>-236287.1319</v>
      </c>
      <c r="J23" s="176">
        <f t="shared" si="8"/>
        <v>-236129.5266</v>
      </c>
      <c r="K23" s="176">
        <f t="shared" si="8"/>
        <v>-235979.8015</v>
      </c>
      <c r="L23" s="176">
        <f t="shared" si="8"/>
        <v>-235837.5627</v>
      </c>
      <c r="M23" s="176">
        <f t="shared" si="8"/>
        <v>-235702.4358</v>
      </c>
      <c r="N23" s="176">
        <f t="shared" si="8"/>
        <v>-235574.0653</v>
      </c>
      <c r="O23" s="176">
        <f t="shared" si="8"/>
        <v>-235452.1133</v>
      </c>
      <c r="P23" s="176">
        <f t="shared" si="8"/>
        <v>-235613.5491</v>
      </c>
      <c r="Q23" s="176">
        <f t="shared" si="8"/>
        <v>-235521.831</v>
      </c>
      <c r="R23" s="176">
        <f t="shared" si="8"/>
        <v>-235434.6989</v>
      </c>
      <c r="S23" s="176">
        <f t="shared" si="8"/>
        <v>-235351.9233</v>
      </c>
      <c r="T23" s="176">
        <f t="shared" si="8"/>
        <v>-235273.2866</v>
      </c>
      <c r="U23" s="176">
        <f t="shared" si="8"/>
        <v>-235198.5816</v>
      </c>
      <c r="V23" s="176">
        <f t="shared" si="8"/>
        <v>-235127.6119</v>
      </c>
      <c r="W23" s="176">
        <f t="shared" si="8"/>
        <v>-235060.1907</v>
      </c>
      <c r="X23" s="176">
        <f t="shared" si="8"/>
        <v>-234996.1406</v>
      </c>
      <c r="Y23" s="176">
        <f t="shared" si="8"/>
        <v>-234935.2929</v>
      </c>
      <c r="Z23" s="176">
        <f t="shared" si="8"/>
        <v>-234877.4877</v>
      </c>
      <c r="AA23" s="176">
        <f t="shared" si="8"/>
        <v>-234822.5727</v>
      </c>
      <c r="AB23" s="176">
        <f t="shared" si="8"/>
        <v>-234770.4034</v>
      </c>
      <c r="AC23" s="176">
        <f t="shared" si="8"/>
        <v>-234720.8427</v>
      </c>
      <c r="AD23" s="176">
        <f t="shared" si="8"/>
        <v>-234673.7599</v>
      </c>
      <c r="AE23" s="176">
        <f t="shared" si="8"/>
        <v>-234629.0313</v>
      </c>
      <c r="AF23" s="176">
        <f t="shared" si="8"/>
        <v>-234586.5391</v>
      </c>
      <c r="AG23" s="176">
        <f t="shared" si="8"/>
        <v>-234546.1716</v>
      </c>
      <c r="AH23" s="176">
        <f t="shared" si="8"/>
        <v>-234507.8224</v>
      </c>
      <c r="AI23" s="176">
        <f t="shared" si="8"/>
        <v>-234471.3907</v>
      </c>
      <c r="AJ23" s="176">
        <f t="shared" si="8"/>
        <v>-234436.7805</v>
      </c>
      <c r="AK23" s="176">
        <f t="shared" si="8"/>
        <v>-234403.9009</v>
      </c>
      <c r="AL23" s="176">
        <f t="shared" si="8"/>
        <v>-234372.6652</v>
      </c>
      <c r="AM23" s="176">
        <f t="shared" si="8"/>
        <v>-234342.9914</v>
      </c>
      <c r="AN23" s="176">
        <f t="shared" si="8"/>
        <v>-234314.8012</v>
      </c>
      <c r="AO23" s="176">
        <f t="shared" si="8"/>
        <v>-234288.0205</v>
      </c>
      <c r="AP23" s="176">
        <f t="shared" si="8"/>
        <v>-234262.5789</v>
      </c>
      <c r="AQ23" s="176">
        <f t="shared" si="8"/>
        <v>-234238.4093</v>
      </c>
      <c r="AR23" s="176">
        <f t="shared" si="8"/>
        <v>-234215.4482</v>
      </c>
      <c r="AS23" s="176">
        <f t="shared" si="8"/>
        <v>-234193.6352</v>
      </c>
      <c r="AT23" s="176">
        <f t="shared" si="8"/>
        <v>-234172.9129</v>
      </c>
      <c r="AU23" s="176">
        <f t="shared" si="8"/>
        <v>-234153.2266</v>
      </c>
      <c r="AV23" s="176">
        <f t="shared" si="8"/>
        <v>-234134.5247</v>
      </c>
      <c r="AW23" s="176">
        <f t="shared" si="8"/>
        <v>-234116.7578</v>
      </c>
      <c r="AX23" s="176">
        <f t="shared" si="8"/>
        <v>-234099.8793</v>
      </c>
      <c r="AY23" s="176">
        <f t="shared" si="8"/>
        <v>-234083.8447</v>
      </c>
      <c r="AZ23" s="176">
        <f t="shared" si="8"/>
        <v>-234068.6119</v>
      </c>
      <c r="BA23" s="176">
        <f t="shared" si="8"/>
        <v>-234054.1407</v>
      </c>
      <c r="BB23" s="176">
        <f t="shared" si="8"/>
        <v>-234040.3931</v>
      </c>
      <c r="BC23" s="176">
        <f t="shared" si="8"/>
        <v>-234027.3328</v>
      </c>
      <c r="BD23" s="176">
        <f t="shared" si="8"/>
        <v>-234014.9255</v>
      </c>
      <c r="BE23" s="176">
        <f t="shared" si="8"/>
        <v>-234003.1387</v>
      </c>
      <c r="BF23" s="176">
        <f t="shared" si="8"/>
        <v>-233991.9411</v>
      </c>
      <c r="BG23" s="176">
        <f t="shared" si="8"/>
        <v>-233981.3034</v>
      </c>
      <c r="BH23" s="176">
        <f t="shared" si="8"/>
        <v>-233971.1977</v>
      </c>
      <c r="BI23" s="176">
        <f t="shared" si="8"/>
        <v>-233961.5972</v>
      </c>
      <c r="BJ23" s="176">
        <f t="shared" si="8"/>
        <v>-233952.4767</v>
      </c>
      <c r="BK23" s="176">
        <f t="shared" si="8"/>
        <v>-233943.8123</v>
      </c>
      <c r="BL23" s="176">
        <f t="shared" si="8"/>
        <v>-233935.581</v>
      </c>
      <c r="BM23" s="176">
        <f t="shared" si="8"/>
        <v>-233927.7614</v>
      </c>
      <c r="BN23" s="171"/>
    </row>
    <row r="24" outlineLevel="1">
      <c r="A24" s="171"/>
      <c r="B24" s="181" t="s">
        <v>162</v>
      </c>
      <c r="C24" s="171"/>
      <c r="D24" s="171"/>
      <c r="E24" s="171"/>
      <c r="F24" s="171">
        <f>SUM(Assumptions!G180:G183)-sum(Assumptions!E180:E183)</f>
        <v>0</v>
      </c>
      <c r="G24" s="171">
        <f>SUM(Assumptions!H180:H183)-sum(Assumptions!G180:G183)</f>
        <v>0</v>
      </c>
      <c r="H24" s="171">
        <f>SUM(Assumptions!I180:I183)-sum(Assumptions!H180:H183)</f>
        <v>0</v>
      </c>
      <c r="I24" s="171">
        <f>SUM(Assumptions!J180:J183)-sum(Assumptions!I180:I183)</f>
        <v>0</v>
      </c>
      <c r="J24" s="171">
        <f>SUM(Assumptions!K180:K183)-sum(Assumptions!J180:J183)</f>
        <v>0</v>
      </c>
      <c r="K24" s="171">
        <f>SUM(Assumptions!L180:L183)-sum(Assumptions!K180:K183)</f>
        <v>0</v>
      </c>
      <c r="L24" s="171">
        <f>SUM(Assumptions!M180:M183)-sum(Assumptions!L180:L183)</f>
        <v>0</v>
      </c>
      <c r="M24" s="171">
        <f>SUM(Assumptions!N180:N183)-sum(Assumptions!M180:M183)</f>
        <v>0</v>
      </c>
      <c r="N24" s="171">
        <f>SUM(Assumptions!O180:O183)-sum(Assumptions!N180:N183)</f>
        <v>0</v>
      </c>
      <c r="O24" s="171">
        <f>SUM(Assumptions!P180:P183)-sum(Assumptions!O180:O183)</f>
        <v>0</v>
      </c>
      <c r="P24" s="171">
        <f>SUM(Assumptions!Q180:Q183)-sum(Assumptions!P180:P183)</f>
        <v>0</v>
      </c>
      <c r="Q24" s="171">
        <f>SUM(Assumptions!R180:R183)-sum(Assumptions!Q180:Q183)</f>
        <v>0</v>
      </c>
      <c r="R24" s="171">
        <f>SUM(Assumptions!S180:S183)-sum(Assumptions!R180:R183)</f>
        <v>0</v>
      </c>
      <c r="S24" s="171">
        <f>SUM(Assumptions!T180:T183)-sum(Assumptions!S180:S183)</f>
        <v>0</v>
      </c>
      <c r="T24" s="171">
        <f>SUM(Assumptions!U180:U183)-sum(Assumptions!T180:T183)</f>
        <v>0</v>
      </c>
      <c r="U24" s="171">
        <f>SUM(Assumptions!V180:V183)-sum(Assumptions!U180:U183)</f>
        <v>0</v>
      </c>
      <c r="V24" s="171">
        <f>SUM(Assumptions!W180:W183)-sum(Assumptions!V180:V183)</f>
        <v>0</v>
      </c>
      <c r="W24" s="171">
        <f>SUM(Assumptions!X180:X183)-sum(Assumptions!W180:W183)</f>
        <v>0</v>
      </c>
      <c r="X24" s="171">
        <f>SUM(Assumptions!Y180:Y183)-sum(Assumptions!X180:X183)</f>
        <v>0</v>
      </c>
      <c r="Y24" s="171">
        <f>SUM(Assumptions!Z180:Z183)-sum(Assumptions!Y180:Y183)</f>
        <v>0</v>
      </c>
      <c r="Z24" s="171">
        <f>SUM(Assumptions!AA180:AA183)-sum(Assumptions!Z180:Z183)</f>
        <v>0</v>
      </c>
      <c r="AA24" s="171">
        <f>SUM(Assumptions!AB180:AB183)-sum(Assumptions!AA180:AA183)</f>
        <v>0</v>
      </c>
      <c r="AB24" s="171">
        <f>SUM(Assumptions!AC180:AC183)-sum(Assumptions!AB180:AB183)</f>
        <v>0</v>
      </c>
      <c r="AC24" s="171">
        <f>SUM(Assumptions!AD180:AD183)-sum(Assumptions!AC180:AC183)</f>
        <v>0</v>
      </c>
      <c r="AD24" s="171">
        <f>SUM(Assumptions!AE180:AE183)-sum(Assumptions!AD180:AD183)</f>
        <v>0</v>
      </c>
      <c r="AE24" s="171">
        <f>SUM(Assumptions!AF180:AF183)-sum(Assumptions!AE180:AE183)</f>
        <v>0</v>
      </c>
      <c r="AF24" s="171">
        <f>SUM(Assumptions!AG180:AG183)-sum(Assumptions!AF180:AF183)</f>
        <v>0</v>
      </c>
      <c r="AG24" s="171">
        <f>SUM(Assumptions!AH180:AH183)-sum(Assumptions!AG180:AG183)</f>
        <v>0</v>
      </c>
      <c r="AH24" s="171">
        <f>SUM(Assumptions!AI180:AI183)-sum(Assumptions!AH180:AH183)</f>
        <v>0</v>
      </c>
      <c r="AI24" s="171">
        <f>SUM(Assumptions!AJ180:AJ183)-sum(Assumptions!AI180:AI183)</f>
        <v>0</v>
      </c>
      <c r="AJ24" s="171">
        <f>SUM(Assumptions!AK180:AK183)-sum(Assumptions!AJ180:AJ183)</f>
        <v>0</v>
      </c>
      <c r="AK24" s="171">
        <f>SUM(Assumptions!AL180:AL183)-sum(Assumptions!AK180:AK183)</f>
        <v>0</v>
      </c>
      <c r="AL24" s="171">
        <f>SUM(Assumptions!AM180:AM183)-sum(Assumptions!AL180:AL183)</f>
        <v>0</v>
      </c>
      <c r="AM24" s="171">
        <f>SUM(Assumptions!AN180:AN183)-sum(Assumptions!AM180:AM183)</f>
        <v>0</v>
      </c>
      <c r="AN24" s="171">
        <f>SUM(Assumptions!AO180:AO183)-sum(Assumptions!AN180:AN183)</f>
        <v>0</v>
      </c>
      <c r="AO24" s="171">
        <f>SUM(Assumptions!AP180:AP183)-sum(Assumptions!AO180:AO183)</f>
        <v>0</v>
      </c>
      <c r="AP24" s="171">
        <f>SUM(Assumptions!AQ180:AQ183)-sum(Assumptions!AP180:AP183)</f>
        <v>0</v>
      </c>
      <c r="AQ24" s="171">
        <f>SUM(Assumptions!AR180:AR183)-sum(Assumptions!AQ180:AQ183)</f>
        <v>0</v>
      </c>
      <c r="AR24" s="171">
        <f>SUM(Assumptions!AS180:AS183)-sum(Assumptions!AR180:AR183)</f>
        <v>0</v>
      </c>
      <c r="AS24" s="171">
        <f>SUM(Assumptions!AT180:AT183)-sum(Assumptions!AS180:AS183)</f>
        <v>0</v>
      </c>
      <c r="AT24" s="171">
        <f>SUM(Assumptions!AU180:AU183)-sum(Assumptions!AT180:AT183)</f>
        <v>0</v>
      </c>
      <c r="AU24" s="171">
        <f>SUM(Assumptions!AV180:AV183)-sum(Assumptions!AU180:AU183)</f>
        <v>0</v>
      </c>
      <c r="AV24" s="171">
        <f>SUM(Assumptions!AW180:AW183)-sum(Assumptions!AV180:AV183)</f>
        <v>0</v>
      </c>
      <c r="AW24" s="171">
        <f>SUM(Assumptions!AX180:AX183)-sum(Assumptions!AW180:AW183)</f>
        <v>0</v>
      </c>
      <c r="AX24" s="171">
        <f>SUM(Assumptions!AY180:AY183)-sum(Assumptions!AX180:AX183)</f>
        <v>0</v>
      </c>
      <c r="AY24" s="171">
        <f>SUM(Assumptions!AZ180:AZ183)-sum(Assumptions!AY180:AY183)</f>
        <v>0</v>
      </c>
      <c r="AZ24" s="171">
        <f>SUM(Assumptions!BA180:BA183)-sum(Assumptions!AZ180:AZ183)</f>
        <v>0</v>
      </c>
      <c r="BA24" s="171">
        <f>SUM(Assumptions!BB180:BB183)-sum(Assumptions!BA180:BA183)</f>
        <v>0</v>
      </c>
      <c r="BB24" s="171">
        <f>SUM(Assumptions!BC180:BC183)-sum(Assumptions!BB180:BB183)</f>
        <v>0</v>
      </c>
      <c r="BC24" s="171">
        <f>SUM(Assumptions!BD180:BD183)-sum(Assumptions!BC180:BC183)</f>
        <v>0</v>
      </c>
      <c r="BD24" s="171">
        <f>SUM(Assumptions!BE180:BE183)-sum(Assumptions!BD180:BD183)</f>
        <v>0</v>
      </c>
      <c r="BE24" s="171">
        <f>SUM(Assumptions!BF180:BF183)-sum(Assumptions!BE180:BE183)</f>
        <v>0</v>
      </c>
      <c r="BF24" s="171">
        <f>SUM(Assumptions!BG180:BG183)-sum(Assumptions!BF180:BF183)</f>
        <v>0</v>
      </c>
      <c r="BG24" s="171">
        <f>SUM(Assumptions!BH180:BH183)-sum(Assumptions!BG180:BG183)</f>
        <v>0</v>
      </c>
      <c r="BH24" s="171">
        <f>SUM(Assumptions!BI180:BI183)-sum(Assumptions!BH180:BH183)</f>
        <v>0</v>
      </c>
      <c r="BI24" s="171">
        <f>SUM(Assumptions!BJ180:BJ183)-sum(Assumptions!BI180:BI183)</f>
        <v>0</v>
      </c>
      <c r="BJ24" s="171">
        <f>SUM(Assumptions!BK180:BK183)-sum(Assumptions!BJ180:BJ183)</f>
        <v>0</v>
      </c>
      <c r="BK24" s="171">
        <f>SUM(Assumptions!BL180:BL183)-sum(Assumptions!BK180:BK183)</f>
        <v>0</v>
      </c>
      <c r="BL24" s="171">
        <f>SUM(Assumptions!BM180:BM183)-sum(Assumptions!BL180:BL183)</f>
        <v>0</v>
      </c>
      <c r="BM24" s="171">
        <f>SUM(Assumptions!BN180:BN183)-sum(Assumptions!BM180:BM183)</f>
        <v>0</v>
      </c>
      <c r="BN24" s="171"/>
    </row>
    <row r="25" outlineLevel="1">
      <c r="A25" s="171"/>
      <c r="B25" s="174" t="s">
        <v>163</v>
      </c>
      <c r="C25" s="175"/>
      <c r="D25" s="175"/>
      <c r="E25" s="175"/>
      <c r="F25" s="176">
        <f t="shared" ref="F25:BM25" si="9">F23-F24</f>
        <v>-236811.4125</v>
      </c>
      <c r="G25" s="176">
        <f t="shared" si="9"/>
        <v>-236627.6631</v>
      </c>
      <c r="H25" s="176">
        <f t="shared" si="9"/>
        <v>-236453.0322</v>
      </c>
      <c r="I25" s="176">
        <f t="shared" si="9"/>
        <v>-236287.1319</v>
      </c>
      <c r="J25" s="176">
        <f t="shared" si="9"/>
        <v>-236129.5266</v>
      </c>
      <c r="K25" s="176">
        <f t="shared" si="9"/>
        <v>-235979.8015</v>
      </c>
      <c r="L25" s="176">
        <f t="shared" si="9"/>
        <v>-235837.5627</v>
      </c>
      <c r="M25" s="176">
        <f t="shared" si="9"/>
        <v>-235702.4358</v>
      </c>
      <c r="N25" s="176">
        <f t="shared" si="9"/>
        <v>-235574.0653</v>
      </c>
      <c r="O25" s="176">
        <f t="shared" si="9"/>
        <v>-235452.1133</v>
      </c>
      <c r="P25" s="176">
        <f t="shared" si="9"/>
        <v>-235613.5491</v>
      </c>
      <c r="Q25" s="176">
        <f t="shared" si="9"/>
        <v>-235521.831</v>
      </c>
      <c r="R25" s="176">
        <f t="shared" si="9"/>
        <v>-235434.6989</v>
      </c>
      <c r="S25" s="176">
        <f t="shared" si="9"/>
        <v>-235351.9233</v>
      </c>
      <c r="T25" s="176">
        <f t="shared" si="9"/>
        <v>-235273.2866</v>
      </c>
      <c r="U25" s="176">
        <f t="shared" si="9"/>
        <v>-235198.5816</v>
      </c>
      <c r="V25" s="176">
        <f t="shared" si="9"/>
        <v>-235127.6119</v>
      </c>
      <c r="W25" s="176">
        <f t="shared" si="9"/>
        <v>-235060.1907</v>
      </c>
      <c r="X25" s="176">
        <f t="shared" si="9"/>
        <v>-234996.1406</v>
      </c>
      <c r="Y25" s="176">
        <f t="shared" si="9"/>
        <v>-234935.2929</v>
      </c>
      <c r="Z25" s="176">
        <f t="shared" si="9"/>
        <v>-234877.4877</v>
      </c>
      <c r="AA25" s="176">
        <f t="shared" si="9"/>
        <v>-234822.5727</v>
      </c>
      <c r="AB25" s="176">
        <f t="shared" si="9"/>
        <v>-234770.4034</v>
      </c>
      <c r="AC25" s="176">
        <f t="shared" si="9"/>
        <v>-234720.8427</v>
      </c>
      <c r="AD25" s="176">
        <f t="shared" si="9"/>
        <v>-234673.7599</v>
      </c>
      <c r="AE25" s="176">
        <f t="shared" si="9"/>
        <v>-234629.0313</v>
      </c>
      <c r="AF25" s="176">
        <f t="shared" si="9"/>
        <v>-234586.5391</v>
      </c>
      <c r="AG25" s="176">
        <f t="shared" si="9"/>
        <v>-234546.1716</v>
      </c>
      <c r="AH25" s="176">
        <f t="shared" si="9"/>
        <v>-234507.8224</v>
      </c>
      <c r="AI25" s="176">
        <f t="shared" si="9"/>
        <v>-234471.3907</v>
      </c>
      <c r="AJ25" s="176">
        <f t="shared" si="9"/>
        <v>-234436.7805</v>
      </c>
      <c r="AK25" s="176">
        <f t="shared" si="9"/>
        <v>-234403.9009</v>
      </c>
      <c r="AL25" s="176">
        <f t="shared" si="9"/>
        <v>-234372.6652</v>
      </c>
      <c r="AM25" s="176">
        <f t="shared" si="9"/>
        <v>-234342.9914</v>
      </c>
      <c r="AN25" s="176">
        <f t="shared" si="9"/>
        <v>-234314.8012</v>
      </c>
      <c r="AO25" s="176">
        <f t="shared" si="9"/>
        <v>-234288.0205</v>
      </c>
      <c r="AP25" s="176">
        <f t="shared" si="9"/>
        <v>-234262.5789</v>
      </c>
      <c r="AQ25" s="176">
        <f t="shared" si="9"/>
        <v>-234238.4093</v>
      </c>
      <c r="AR25" s="176">
        <f t="shared" si="9"/>
        <v>-234215.4482</v>
      </c>
      <c r="AS25" s="176">
        <f t="shared" si="9"/>
        <v>-234193.6352</v>
      </c>
      <c r="AT25" s="176">
        <f t="shared" si="9"/>
        <v>-234172.9129</v>
      </c>
      <c r="AU25" s="176">
        <f t="shared" si="9"/>
        <v>-234153.2266</v>
      </c>
      <c r="AV25" s="176">
        <f t="shared" si="9"/>
        <v>-234134.5247</v>
      </c>
      <c r="AW25" s="176">
        <f t="shared" si="9"/>
        <v>-234116.7578</v>
      </c>
      <c r="AX25" s="176">
        <f t="shared" si="9"/>
        <v>-234099.8793</v>
      </c>
      <c r="AY25" s="176">
        <f t="shared" si="9"/>
        <v>-234083.8447</v>
      </c>
      <c r="AZ25" s="176">
        <f t="shared" si="9"/>
        <v>-234068.6119</v>
      </c>
      <c r="BA25" s="176">
        <f t="shared" si="9"/>
        <v>-234054.1407</v>
      </c>
      <c r="BB25" s="176">
        <f t="shared" si="9"/>
        <v>-234040.3931</v>
      </c>
      <c r="BC25" s="176">
        <f t="shared" si="9"/>
        <v>-234027.3328</v>
      </c>
      <c r="BD25" s="176">
        <f t="shared" si="9"/>
        <v>-234014.9255</v>
      </c>
      <c r="BE25" s="176">
        <f t="shared" si="9"/>
        <v>-234003.1387</v>
      </c>
      <c r="BF25" s="176">
        <f t="shared" si="9"/>
        <v>-233991.9411</v>
      </c>
      <c r="BG25" s="176">
        <f t="shared" si="9"/>
        <v>-233981.3034</v>
      </c>
      <c r="BH25" s="176">
        <f t="shared" si="9"/>
        <v>-233971.1977</v>
      </c>
      <c r="BI25" s="176">
        <f t="shared" si="9"/>
        <v>-233961.5972</v>
      </c>
      <c r="BJ25" s="176">
        <f t="shared" si="9"/>
        <v>-233952.4767</v>
      </c>
      <c r="BK25" s="176">
        <f t="shared" si="9"/>
        <v>-233943.8123</v>
      </c>
      <c r="BL25" s="176">
        <f t="shared" si="9"/>
        <v>-233935.581</v>
      </c>
      <c r="BM25" s="176">
        <f t="shared" si="9"/>
        <v>-233927.7614</v>
      </c>
      <c r="BN25" s="171"/>
    </row>
    <row r="26" outlineLevel="1">
      <c r="A26" s="171"/>
      <c r="B26" s="184" t="s">
        <v>164</v>
      </c>
      <c r="C26" s="182"/>
      <c r="D26" s="182"/>
      <c r="E26" s="182"/>
      <c r="F26" s="182">
        <f>IF(F25&gt;0,F25*Assumptions!$C$161,0)</f>
        <v>0</v>
      </c>
      <c r="G26" s="182">
        <f>IF(G25&gt;0,G25*Assumptions!$C$161,0)</f>
        <v>0</v>
      </c>
      <c r="H26" s="182">
        <f>IF(H25&gt;0,H25*Assumptions!$C$161,0)</f>
        <v>0</v>
      </c>
      <c r="I26" s="182">
        <f>IF(I25&gt;0,I25*Assumptions!$C$161,0)</f>
        <v>0</v>
      </c>
      <c r="J26" s="182">
        <f>IF(J25&gt;0,J25*Assumptions!$C$161,0)</f>
        <v>0</v>
      </c>
      <c r="K26" s="182">
        <f>IF(K25&gt;0,K25*Assumptions!$C$161,0)</f>
        <v>0</v>
      </c>
      <c r="L26" s="182">
        <f>IF(L25&gt;0,L25*Assumptions!$C$161,0)</f>
        <v>0</v>
      </c>
      <c r="M26" s="182">
        <f>IF(M25&gt;0,M25*Assumptions!$C$161,0)</f>
        <v>0</v>
      </c>
      <c r="N26" s="182">
        <f>IF(N25&gt;0,N25*Assumptions!$C$161,0)</f>
        <v>0</v>
      </c>
      <c r="O26" s="182">
        <f>IF(O25&gt;0,O25*Assumptions!$C$161,0)</f>
        <v>0</v>
      </c>
      <c r="P26" s="182">
        <f>IF(P25&gt;0,P25*Assumptions!$C$161,0)</f>
        <v>0</v>
      </c>
      <c r="Q26" s="182">
        <f>IF(Q25&gt;0,Q25*Assumptions!$C$161,0)</f>
        <v>0</v>
      </c>
      <c r="R26" s="182">
        <f>IF(R25&gt;0,R25*Assumptions!$C$161,0)</f>
        <v>0</v>
      </c>
      <c r="S26" s="182">
        <f>IF(S25&gt;0,S25*Assumptions!$C$161,0)</f>
        <v>0</v>
      </c>
      <c r="T26" s="182">
        <f>IF(T25&gt;0,T25*Assumptions!$C$161,0)</f>
        <v>0</v>
      </c>
      <c r="U26" s="182">
        <f>IF(U25&gt;0,U25*Assumptions!$C$161,0)</f>
        <v>0</v>
      </c>
      <c r="V26" s="182">
        <f>IF(V25&gt;0,V25*Assumptions!$C$161,0)</f>
        <v>0</v>
      </c>
      <c r="W26" s="182">
        <f>IF(W25&gt;0,W25*Assumptions!$C$161,0)</f>
        <v>0</v>
      </c>
      <c r="X26" s="182">
        <f>IF(X25&gt;0,X25*Assumptions!$C$161,0)</f>
        <v>0</v>
      </c>
      <c r="Y26" s="182">
        <f>IF(Y25&gt;0,Y25*Assumptions!$C$161,0)</f>
        <v>0</v>
      </c>
      <c r="Z26" s="182">
        <f>IF(Z25&gt;0,Z25*Assumptions!$C$161,0)</f>
        <v>0</v>
      </c>
      <c r="AA26" s="182">
        <f>IF(AA25&gt;0,AA25*Assumptions!$C$161,0)</f>
        <v>0</v>
      </c>
      <c r="AB26" s="182">
        <f>IF(AB25&gt;0,AB25*Assumptions!$C$161,0)</f>
        <v>0</v>
      </c>
      <c r="AC26" s="182">
        <f>IF(AC25&gt;0,AC25*Assumptions!$C$161,0)</f>
        <v>0</v>
      </c>
      <c r="AD26" s="182">
        <f>IF(AD25&gt;0,AD25*Assumptions!$C$161,0)</f>
        <v>0</v>
      </c>
      <c r="AE26" s="182">
        <f>IF(AE25&gt;0,AE25*Assumptions!$C$161,0)</f>
        <v>0</v>
      </c>
      <c r="AF26" s="182">
        <f>IF(AF25&gt;0,AF25*Assumptions!$C$161,0)</f>
        <v>0</v>
      </c>
      <c r="AG26" s="182">
        <f>IF(AG25&gt;0,AG25*Assumptions!$C$161,0)</f>
        <v>0</v>
      </c>
      <c r="AH26" s="182">
        <f>IF(AH25&gt;0,AH25*Assumptions!$C$161,0)</f>
        <v>0</v>
      </c>
      <c r="AI26" s="182">
        <f>IF(AI25&gt;0,AI25*Assumptions!$C$161,0)</f>
        <v>0</v>
      </c>
      <c r="AJ26" s="182">
        <f>IF(AJ25&gt;0,AJ25*Assumptions!$C$161,0)</f>
        <v>0</v>
      </c>
      <c r="AK26" s="182">
        <f>IF(AK25&gt;0,AK25*Assumptions!$C$161,0)</f>
        <v>0</v>
      </c>
      <c r="AL26" s="182">
        <f>IF(AL25&gt;0,AL25*Assumptions!$C$161,0)</f>
        <v>0</v>
      </c>
      <c r="AM26" s="182">
        <f>IF(AM25&gt;0,AM25*Assumptions!$C$161,0)</f>
        <v>0</v>
      </c>
      <c r="AN26" s="182">
        <f>IF(AN25&gt;0,AN25*Assumptions!$C$161,0)</f>
        <v>0</v>
      </c>
      <c r="AO26" s="182">
        <f>IF(AO25&gt;0,AO25*Assumptions!$C$161,0)</f>
        <v>0</v>
      </c>
      <c r="AP26" s="182">
        <f>IF(AP25&gt;0,AP25*Assumptions!$C$161,0)</f>
        <v>0</v>
      </c>
      <c r="AQ26" s="182">
        <f>IF(AQ25&gt;0,AQ25*Assumptions!$C$161,0)</f>
        <v>0</v>
      </c>
      <c r="AR26" s="182">
        <f>IF(AR25&gt;0,AR25*Assumptions!$C$161,0)</f>
        <v>0</v>
      </c>
      <c r="AS26" s="182">
        <f>IF(AS25&gt;0,AS25*Assumptions!$C$161,0)</f>
        <v>0</v>
      </c>
      <c r="AT26" s="182">
        <f>IF(AT25&gt;0,AT25*Assumptions!$C$161,0)</f>
        <v>0</v>
      </c>
      <c r="AU26" s="182">
        <f>IF(AU25&gt;0,AU25*Assumptions!$C$161,0)</f>
        <v>0</v>
      </c>
      <c r="AV26" s="182">
        <f>IF(AV25&gt;0,AV25*Assumptions!$C$161,0)</f>
        <v>0</v>
      </c>
      <c r="AW26" s="182">
        <f>IF(AW25&gt;0,AW25*Assumptions!$C$161,0)</f>
        <v>0</v>
      </c>
      <c r="AX26" s="182">
        <f>IF(AX25&gt;0,AX25*Assumptions!$C$161,0)</f>
        <v>0</v>
      </c>
      <c r="AY26" s="182">
        <f>IF(AY25&gt;0,AY25*Assumptions!$C$161,0)</f>
        <v>0</v>
      </c>
      <c r="AZ26" s="182">
        <f>IF(AZ25&gt;0,AZ25*Assumptions!$C$161,0)</f>
        <v>0</v>
      </c>
      <c r="BA26" s="182">
        <f>IF(BA25&gt;0,BA25*Assumptions!$C$161,0)</f>
        <v>0</v>
      </c>
      <c r="BB26" s="182">
        <f>IF(BB25&gt;0,BB25*Assumptions!$C$161,0)</f>
        <v>0</v>
      </c>
      <c r="BC26" s="182">
        <f>IF(BC25&gt;0,BC25*Assumptions!$C$161,0)</f>
        <v>0</v>
      </c>
      <c r="BD26" s="182">
        <f>IF(BD25&gt;0,BD25*Assumptions!$C$161,0)</f>
        <v>0</v>
      </c>
      <c r="BE26" s="182">
        <f>IF(BE25&gt;0,BE25*Assumptions!$C$161,0)</f>
        <v>0</v>
      </c>
      <c r="BF26" s="182">
        <f>IF(BF25&gt;0,BF25*Assumptions!$C$161,0)</f>
        <v>0</v>
      </c>
      <c r="BG26" s="182">
        <f>IF(BG25&gt;0,BG25*Assumptions!$C$161,0)</f>
        <v>0</v>
      </c>
      <c r="BH26" s="182">
        <f>IF(BH25&gt;0,BH25*Assumptions!$C$161,0)</f>
        <v>0</v>
      </c>
      <c r="BI26" s="182">
        <f>IF(BI25&gt;0,BI25*Assumptions!$C$161,0)</f>
        <v>0</v>
      </c>
      <c r="BJ26" s="182">
        <f>IF(BJ25&gt;0,BJ25*Assumptions!$C$161,0)</f>
        <v>0</v>
      </c>
      <c r="BK26" s="182">
        <f>IF(BK25&gt;0,BK25*Assumptions!$C$161,0)</f>
        <v>0</v>
      </c>
      <c r="BL26" s="182">
        <f>IF(BL25&gt;0,BL25*Assumptions!$C$161,0)</f>
        <v>0</v>
      </c>
      <c r="BM26" s="182">
        <f>IF(BM25&gt;0,BM25*Assumptions!$C$161,0)</f>
        <v>0</v>
      </c>
      <c r="BN26" s="171"/>
    </row>
    <row r="27" outlineLevel="1">
      <c r="A27" s="171"/>
      <c r="B27" s="180" t="s">
        <v>165</v>
      </c>
      <c r="C27" s="171"/>
      <c r="D27" s="171"/>
      <c r="E27" s="171"/>
      <c r="F27" s="183">
        <f t="shared" ref="F27:BM27" si="10">F25-F26</f>
        <v>-236811.4125</v>
      </c>
      <c r="G27" s="183">
        <f t="shared" si="10"/>
        <v>-236627.6631</v>
      </c>
      <c r="H27" s="183">
        <f t="shared" si="10"/>
        <v>-236453.0322</v>
      </c>
      <c r="I27" s="183">
        <f t="shared" si="10"/>
        <v>-236287.1319</v>
      </c>
      <c r="J27" s="183">
        <f t="shared" si="10"/>
        <v>-236129.5266</v>
      </c>
      <c r="K27" s="183">
        <f t="shared" si="10"/>
        <v>-235979.8015</v>
      </c>
      <c r="L27" s="183">
        <f t="shared" si="10"/>
        <v>-235837.5627</v>
      </c>
      <c r="M27" s="183">
        <f t="shared" si="10"/>
        <v>-235702.4358</v>
      </c>
      <c r="N27" s="183">
        <f t="shared" si="10"/>
        <v>-235574.0653</v>
      </c>
      <c r="O27" s="183">
        <f t="shared" si="10"/>
        <v>-235452.1133</v>
      </c>
      <c r="P27" s="183">
        <f t="shared" si="10"/>
        <v>-235613.5491</v>
      </c>
      <c r="Q27" s="183">
        <f t="shared" si="10"/>
        <v>-235521.831</v>
      </c>
      <c r="R27" s="183">
        <f t="shared" si="10"/>
        <v>-235434.6989</v>
      </c>
      <c r="S27" s="183">
        <f t="shared" si="10"/>
        <v>-235351.9233</v>
      </c>
      <c r="T27" s="183">
        <f t="shared" si="10"/>
        <v>-235273.2866</v>
      </c>
      <c r="U27" s="183">
        <f t="shared" si="10"/>
        <v>-235198.5816</v>
      </c>
      <c r="V27" s="183">
        <f t="shared" si="10"/>
        <v>-235127.6119</v>
      </c>
      <c r="W27" s="183">
        <f t="shared" si="10"/>
        <v>-235060.1907</v>
      </c>
      <c r="X27" s="183">
        <f t="shared" si="10"/>
        <v>-234996.1406</v>
      </c>
      <c r="Y27" s="183">
        <f t="shared" si="10"/>
        <v>-234935.2929</v>
      </c>
      <c r="Z27" s="183">
        <f t="shared" si="10"/>
        <v>-234877.4877</v>
      </c>
      <c r="AA27" s="183">
        <f t="shared" si="10"/>
        <v>-234822.5727</v>
      </c>
      <c r="AB27" s="183">
        <f t="shared" si="10"/>
        <v>-234770.4034</v>
      </c>
      <c r="AC27" s="183">
        <f t="shared" si="10"/>
        <v>-234720.8427</v>
      </c>
      <c r="AD27" s="183">
        <f t="shared" si="10"/>
        <v>-234673.7599</v>
      </c>
      <c r="AE27" s="183">
        <f t="shared" si="10"/>
        <v>-234629.0313</v>
      </c>
      <c r="AF27" s="183">
        <f t="shared" si="10"/>
        <v>-234586.5391</v>
      </c>
      <c r="AG27" s="183">
        <f t="shared" si="10"/>
        <v>-234546.1716</v>
      </c>
      <c r="AH27" s="183">
        <f t="shared" si="10"/>
        <v>-234507.8224</v>
      </c>
      <c r="AI27" s="183">
        <f t="shared" si="10"/>
        <v>-234471.3907</v>
      </c>
      <c r="AJ27" s="183">
        <f t="shared" si="10"/>
        <v>-234436.7805</v>
      </c>
      <c r="AK27" s="183">
        <f t="shared" si="10"/>
        <v>-234403.9009</v>
      </c>
      <c r="AL27" s="183">
        <f t="shared" si="10"/>
        <v>-234372.6652</v>
      </c>
      <c r="AM27" s="183">
        <f t="shared" si="10"/>
        <v>-234342.9914</v>
      </c>
      <c r="AN27" s="183">
        <f t="shared" si="10"/>
        <v>-234314.8012</v>
      </c>
      <c r="AO27" s="183">
        <f t="shared" si="10"/>
        <v>-234288.0205</v>
      </c>
      <c r="AP27" s="183">
        <f t="shared" si="10"/>
        <v>-234262.5789</v>
      </c>
      <c r="AQ27" s="183">
        <f t="shared" si="10"/>
        <v>-234238.4093</v>
      </c>
      <c r="AR27" s="183">
        <f t="shared" si="10"/>
        <v>-234215.4482</v>
      </c>
      <c r="AS27" s="183">
        <f t="shared" si="10"/>
        <v>-234193.6352</v>
      </c>
      <c r="AT27" s="183">
        <f t="shared" si="10"/>
        <v>-234172.9129</v>
      </c>
      <c r="AU27" s="183">
        <f t="shared" si="10"/>
        <v>-234153.2266</v>
      </c>
      <c r="AV27" s="183">
        <f t="shared" si="10"/>
        <v>-234134.5247</v>
      </c>
      <c r="AW27" s="183">
        <f t="shared" si="10"/>
        <v>-234116.7578</v>
      </c>
      <c r="AX27" s="183">
        <f t="shared" si="10"/>
        <v>-234099.8793</v>
      </c>
      <c r="AY27" s="183">
        <f t="shared" si="10"/>
        <v>-234083.8447</v>
      </c>
      <c r="AZ27" s="183">
        <f t="shared" si="10"/>
        <v>-234068.6119</v>
      </c>
      <c r="BA27" s="183">
        <f t="shared" si="10"/>
        <v>-234054.1407</v>
      </c>
      <c r="BB27" s="183">
        <f t="shared" si="10"/>
        <v>-234040.3931</v>
      </c>
      <c r="BC27" s="183">
        <f t="shared" si="10"/>
        <v>-234027.3328</v>
      </c>
      <c r="BD27" s="183">
        <f t="shared" si="10"/>
        <v>-234014.9255</v>
      </c>
      <c r="BE27" s="183">
        <f t="shared" si="10"/>
        <v>-234003.1387</v>
      </c>
      <c r="BF27" s="183">
        <f t="shared" si="10"/>
        <v>-233991.9411</v>
      </c>
      <c r="BG27" s="183">
        <f t="shared" si="10"/>
        <v>-233981.3034</v>
      </c>
      <c r="BH27" s="183">
        <f t="shared" si="10"/>
        <v>-233971.1977</v>
      </c>
      <c r="BI27" s="183">
        <f t="shared" si="10"/>
        <v>-233961.5972</v>
      </c>
      <c r="BJ27" s="183">
        <f t="shared" si="10"/>
        <v>-233952.4767</v>
      </c>
      <c r="BK27" s="183">
        <f t="shared" si="10"/>
        <v>-233943.8123</v>
      </c>
      <c r="BL27" s="183">
        <f t="shared" si="10"/>
        <v>-233935.581</v>
      </c>
      <c r="BM27" s="183">
        <f t="shared" si="10"/>
        <v>-233927.7614</v>
      </c>
      <c r="BN27" s="171"/>
    </row>
    <row r="28" outlineLevel="1">
      <c r="A28" s="30"/>
      <c r="B28" s="185" t="s">
        <v>166</v>
      </c>
      <c r="C28" s="30"/>
      <c r="D28" s="30"/>
      <c r="E28" s="30"/>
      <c r="F28" s="179">
        <f t="shared" ref="F28:BM28" si="11">F27/F8</f>
        <v>-590.1842056</v>
      </c>
      <c r="G28" s="179">
        <f t="shared" si="11"/>
        <v>-298.6945168</v>
      </c>
      <c r="H28" s="179">
        <f t="shared" si="11"/>
        <v>-203.1800239</v>
      </c>
      <c r="I28" s="179">
        <f t="shared" si="11"/>
        <v>-155.7861154</v>
      </c>
      <c r="J28" s="179">
        <f t="shared" si="11"/>
        <v>-127.4948485</v>
      </c>
      <c r="K28" s="179">
        <f t="shared" si="11"/>
        <v>-108.7146358</v>
      </c>
      <c r="L28" s="179">
        <f t="shared" si="11"/>
        <v>-95.35452387</v>
      </c>
      <c r="M28" s="179">
        <f t="shared" si="11"/>
        <v>-85.37546615</v>
      </c>
      <c r="N28" s="179">
        <f t="shared" si="11"/>
        <v>-77.6471827</v>
      </c>
      <c r="O28" s="179">
        <f t="shared" si="11"/>
        <v>-71.4926324</v>
      </c>
      <c r="P28" s="179">
        <f t="shared" si="11"/>
        <v>-79.87182843</v>
      </c>
      <c r="Q28" s="179">
        <f t="shared" si="11"/>
        <v>-74.88674405</v>
      </c>
      <c r="R28" s="179">
        <f t="shared" si="11"/>
        <v>-70.69202658</v>
      </c>
      <c r="S28" s="179">
        <f t="shared" si="11"/>
        <v>-67.11787484</v>
      </c>
      <c r="T28" s="179">
        <f t="shared" si="11"/>
        <v>-64.03983515</v>
      </c>
      <c r="U28" s="179">
        <f t="shared" si="11"/>
        <v>-61.36460813</v>
      </c>
      <c r="V28" s="179">
        <f t="shared" si="11"/>
        <v>-59.02087233</v>
      </c>
      <c r="W28" s="179">
        <f t="shared" si="11"/>
        <v>-56.95317096</v>
      </c>
      <c r="X28" s="179">
        <f t="shared" si="11"/>
        <v>-55.11773161</v>
      </c>
      <c r="Y28" s="179">
        <f t="shared" si="11"/>
        <v>-53.47954176</v>
      </c>
      <c r="Z28" s="179">
        <f t="shared" si="11"/>
        <v>-52.01026074</v>
      </c>
      <c r="AA28" s="179">
        <f t="shared" si="11"/>
        <v>-50.68670191</v>
      </c>
      <c r="AB28" s="179">
        <f t="shared" si="11"/>
        <v>-49.48971117</v>
      </c>
      <c r="AC28" s="179">
        <f t="shared" si="11"/>
        <v>-48.40332618</v>
      </c>
      <c r="AD28" s="179">
        <f t="shared" si="11"/>
        <v>-47.41413756</v>
      </c>
      <c r="AE28" s="179">
        <f t="shared" si="11"/>
        <v>-46.51079763</v>
      </c>
      <c r="AF28" s="179">
        <f t="shared" si="11"/>
        <v>-45.68363846</v>
      </c>
      <c r="AG28" s="179">
        <f t="shared" si="11"/>
        <v>-44.92437183</v>
      </c>
      <c r="AH28" s="179">
        <f t="shared" si="11"/>
        <v>-44.22585127</v>
      </c>
      <c r="AI28" s="179">
        <f t="shared" si="11"/>
        <v>-43.58188184</v>
      </c>
      <c r="AJ28" s="179">
        <f t="shared" si="11"/>
        <v>-42.98706665</v>
      </c>
      <c r="AK28" s="179">
        <f t="shared" si="11"/>
        <v>-42.43668224</v>
      </c>
      <c r="AL28" s="179">
        <f t="shared" si="11"/>
        <v>-41.92657662</v>
      </c>
      <c r="AM28" s="179">
        <f t="shared" si="11"/>
        <v>-41.4530853</v>
      </c>
      <c r="AN28" s="179">
        <f t="shared" si="11"/>
        <v>-41.01296177</v>
      </c>
      <c r="AO28" s="179">
        <f t="shared" si="11"/>
        <v>-40.6033195</v>
      </c>
      <c r="AP28" s="179">
        <f t="shared" si="11"/>
        <v>-40.22158342</v>
      </c>
      <c r="AQ28" s="179">
        <f t="shared" si="11"/>
        <v>-39.86544905</v>
      </c>
      <c r="AR28" s="179">
        <f t="shared" si="11"/>
        <v>-39.53284783</v>
      </c>
      <c r="AS28" s="179">
        <f t="shared" si="11"/>
        <v>-39.22191784</v>
      </c>
      <c r="AT28" s="179">
        <f t="shared" si="11"/>
        <v>-38.93097859</v>
      </c>
      <c r="AU28" s="179">
        <f t="shared" si="11"/>
        <v>-38.65850955</v>
      </c>
      <c r="AV28" s="179">
        <f t="shared" si="11"/>
        <v>-38.40313167</v>
      </c>
      <c r="AW28" s="179">
        <f t="shared" si="11"/>
        <v>-38.16359134</v>
      </c>
      <c r="AX28" s="179">
        <f t="shared" si="11"/>
        <v>-37.93874653</v>
      </c>
      <c r="AY28" s="179">
        <f t="shared" si="11"/>
        <v>-37.72755478</v>
      </c>
      <c r="AZ28" s="179">
        <f t="shared" si="11"/>
        <v>-37.52906264</v>
      </c>
      <c r="BA28" s="179">
        <f t="shared" si="11"/>
        <v>-37.3423965</v>
      </c>
      <c r="BB28" s="179">
        <f t="shared" si="11"/>
        <v>-37.16675447</v>
      </c>
      <c r="BC28" s="179">
        <f t="shared" si="11"/>
        <v>-37.00139931</v>
      </c>
      <c r="BD28" s="179">
        <f t="shared" si="11"/>
        <v>-36.84565211</v>
      </c>
      <c r="BE28" s="179">
        <f t="shared" si="11"/>
        <v>-36.69888678</v>
      </c>
      <c r="BF28" s="179">
        <f t="shared" si="11"/>
        <v>-36.56052507</v>
      </c>
      <c r="BG28" s="179">
        <f t="shared" si="11"/>
        <v>-36.43003222</v>
      </c>
      <c r="BH28" s="179">
        <f t="shared" si="11"/>
        <v>-36.30691304</v>
      </c>
      <c r="BI28" s="179">
        <f t="shared" si="11"/>
        <v>-36.19070841</v>
      </c>
      <c r="BJ28" s="179">
        <f t="shared" si="11"/>
        <v>-36.08099217</v>
      </c>
      <c r="BK28" s="179">
        <f t="shared" si="11"/>
        <v>-35.97736828</v>
      </c>
      <c r="BL28" s="179">
        <f t="shared" si="11"/>
        <v>-35.87946836</v>
      </c>
      <c r="BM28" s="179">
        <f t="shared" si="11"/>
        <v>-35.78694933</v>
      </c>
      <c r="BN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row>
    <row r="30">
      <c r="A30" s="30"/>
      <c r="B30" s="169" t="s">
        <v>124</v>
      </c>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66"/>
    </row>
    <row r="31" outlineLevel="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row>
    <row r="32" outlineLevel="1">
      <c r="A32" s="171"/>
      <c r="B32" s="180" t="s">
        <v>125</v>
      </c>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171"/>
      <c r="BK32" s="171"/>
      <c r="BL32" s="171"/>
      <c r="BM32" s="171"/>
      <c r="BN32" s="171"/>
    </row>
    <row r="33" outlineLevel="1">
      <c r="A33" s="171"/>
      <c r="B33" s="186" t="s">
        <v>167</v>
      </c>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c r="BA33" s="171"/>
      <c r="BB33" s="171"/>
      <c r="BC33" s="171"/>
      <c r="BD33" s="171"/>
      <c r="BE33" s="171"/>
      <c r="BF33" s="171"/>
      <c r="BG33" s="171"/>
      <c r="BH33" s="171"/>
      <c r="BI33" s="171"/>
      <c r="BJ33" s="171"/>
      <c r="BK33" s="171"/>
      <c r="BL33" s="171"/>
      <c r="BM33" s="171"/>
      <c r="BN33" s="171"/>
    </row>
    <row r="34" outlineLevel="1">
      <c r="A34" s="171"/>
      <c r="B34" s="181" t="s">
        <v>168</v>
      </c>
      <c r="C34" s="171"/>
      <c r="D34" s="171"/>
      <c r="E34" s="171"/>
      <c r="F34" s="171">
        <f t="shared" ref="F34:BM34" si="12">F77</f>
        <v>280594.2938</v>
      </c>
      <c r="G34" s="171">
        <f t="shared" si="12"/>
        <v>43874.75597</v>
      </c>
      <c r="H34" s="171">
        <f t="shared" si="12"/>
        <v>-192665.5917</v>
      </c>
      <c r="I34" s="171">
        <f t="shared" si="12"/>
        <v>-429035.6737</v>
      </c>
      <c r="J34" s="171">
        <f t="shared" si="12"/>
        <v>-665244.003</v>
      </c>
      <c r="K34" s="171">
        <f t="shared" si="12"/>
        <v>-901298.667</v>
      </c>
      <c r="L34" s="171">
        <f t="shared" si="12"/>
        <v>-1137207.349</v>
      </c>
      <c r="M34" s="171">
        <f t="shared" si="12"/>
        <v>-1372977.348</v>
      </c>
      <c r="N34" s="171">
        <f t="shared" si="12"/>
        <v>-1608615.599</v>
      </c>
      <c r="O34" s="171">
        <f t="shared" si="12"/>
        <v>-1844128.688</v>
      </c>
      <c r="P34" s="171">
        <f t="shared" si="12"/>
        <v>-2079661.52</v>
      </c>
      <c r="Q34" s="171">
        <f t="shared" si="12"/>
        <v>-2315229.21</v>
      </c>
      <c r="R34" s="171">
        <f t="shared" si="12"/>
        <v>-2550707.475</v>
      </c>
      <c r="S34" s="171">
        <f t="shared" si="12"/>
        <v>-2786100.786</v>
      </c>
      <c r="T34" s="171">
        <f t="shared" si="12"/>
        <v>-3021413.391</v>
      </c>
      <c r="U34" s="171">
        <f t="shared" si="12"/>
        <v>-3256649.325</v>
      </c>
      <c r="V34" s="171">
        <f t="shared" si="12"/>
        <v>-3491812.421</v>
      </c>
      <c r="W34" s="171">
        <f t="shared" si="12"/>
        <v>-3726906.323</v>
      </c>
      <c r="X34" s="171">
        <f t="shared" si="12"/>
        <v>-3961934.488</v>
      </c>
      <c r="Y34" s="171">
        <f t="shared" si="12"/>
        <v>-4196900.205</v>
      </c>
      <c r="Z34" s="171">
        <f t="shared" si="12"/>
        <v>-4431806.595</v>
      </c>
      <c r="AA34" s="171">
        <f t="shared" si="12"/>
        <v>-4666656.626</v>
      </c>
      <c r="AB34" s="171">
        <f t="shared" si="12"/>
        <v>-4901453.114</v>
      </c>
      <c r="AC34" s="171">
        <f t="shared" si="12"/>
        <v>-5136198.737</v>
      </c>
      <c r="AD34" s="171">
        <f t="shared" si="12"/>
        <v>-5370896.038</v>
      </c>
      <c r="AE34" s="171">
        <f t="shared" si="12"/>
        <v>-5605547.434</v>
      </c>
      <c r="AF34" s="171">
        <f t="shared" si="12"/>
        <v>-5840155.219</v>
      </c>
      <c r="AG34" s="171">
        <f t="shared" si="12"/>
        <v>-6074721.574</v>
      </c>
      <c r="AH34" s="171">
        <f t="shared" si="12"/>
        <v>-6309248.571</v>
      </c>
      <c r="AI34" s="171">
        <f t="shared" si="12"/>
        <v>-6543738.178</v>
      </c>
      <c r="AJ34" s="171">
        <f t="shared" si="12"/>
        <v>-6778192.263</v>
      </c>
      <c r="AK34" s="171">
        <f t="shared" si="12"/>
        <v>-7012612.604</v>
      </c>
      <c r="AL34" s="171">
        <f t="shared" si="12"/>
        <v>-7247000.887</v>
      </c>
      <c r="AM34" s="171">
        <f t="shared" si="12"/>
        <v>-7481358.715</v>
      </c>
      <c r="AN34" s="171">
        <f t="shared" si="12"/>
        <v>-7715687.612</v>
      </c>
      <c r="AO34" s="171">
        <f t="shared" si="12"/>
        <v>-7949989.023</v>
      </c>
      <c r="AP34" s="171">
        <f t="shared" si="12"/>
        <v>-8184264.322</v>
      </c>
      <c r="AQ34" s="171">
        <f t="shared" si="12"/>
        <v>-8418514.816</v>
      </c>
      <c r="AR34" s="171">
        <f t="shared" si="12"/>
        <v>-8652741.745</v>
      </c>
      <c r="AS34" s="171">
        <f t="shared" si="12"/>
        <v>-8886946.287</v>
      </c>
      <c r="AT34" s="171">
        <f t="shared" si="12"/>
        <v>-9121129.561</v>
      </c>
      <c r="AU34" s="171">
        <f t="shared" si="12"/>
        <v>-9355292.631</v>
      </c>
      <c r="AV34" s="171">
        <f t="shared" si="12"/>
        <v>-9589436.506</v>
      </c>
      <c r="AW34" s="171">
        <f t="shared" si="12"/>
        <v>-9823562.147</v>
      </c>
      <c r="AX34" s="171">
        <f t="shared" si="12"/>
        <v>-10057670.47</v>
      </c>
      <c r="AY34" s="171">
        <f t="shared" si="12"/>
        <v>-10291762.33</v>
      </c>
      <c r="AZ34" s="171">
        <f t="shared" si="12"/>
        <v>-10525838.56</v>
      </c>
      <c r="BA34" s="171">
        <f t="shared" si="12"/>
        <v>-10759899.93</v>
      </c>
      <c r="BB34" s="171">
        <f t="shared" si="12"/>
        <v>-10993947.2</v>
      </c>
      <c r="BC34" s="171">
        <f t="shared" si="12"/>
        <v>-11227981.06</v>
      </c>
      <c r="BD34" s="171">
        <f t="shared" si="12"/>
        <v>-11462002.19</v>
      </c>
      <c r="BE34" s="171">
        <f t="shared" si="12"/>
        <v>-11696011.22</v>
      </c>
      <c r="BF34" s="171">
        <f t="shared" si="12"/>
        <v>-11930008.76</v>
      </c>
      <c r="BG34" s="171">
        <f t="shared" si="12"/>
        <v>-12163995.39</v>
      </c>
      <c r="BH34" s="171">
        <f t="shared" si="12"/>
        <v>-12397971.64</v>
      </c>
      <c r="BI34" s="171">
        <f t="shared" si="12"/>
        <v>-12631938.03</v>
      </c>
      <c r="BJ34" s="171">
        <f t="shared" si="12"/>
        <v>-12865895.07</v>
      </c>
      <c r="BK34" s="171">
        <f t="shared" si="12"/>
        <v>-13099843.22</v>
      </c>
      <c r="BL34" s="171">
        <f t="shared" si="12"/>
        <v>-13333782.91</v>
      </c>
      <c r="BM34" s="171">
        <f t="shared" si="12"/>
        <v>-13567714.58</v>
      </c>
      <c r="BN34" s="171"/>
    </row>
    <row r="35" outlineLevel="1">
      <c r="A35" s="171"/>
      <c r="B35" s="181" t="s">
        <v>169</v>
      </c>
      <c r="C35" s="171"/>
      <c r="D35" s="171"/>
      <c r="E35" s="171"/>
      <c r="F35" s="171">
        <f>Assumptions!G171</f>
        <v>200.625</v>
      </c>
      <c r="G35" s="171">
        <f>Assumptions!H171</f>
        <v>396.103125</v>
      </c>
      <c r="H35" s="171">
        <f>Assumptions!I171</f>
        <v>581.8806094</v>
      </c>
      <c r="I35" s="171">
        <f>Assumptions!J171</f>
        <v>758.3703185</v>
      </c>
      <c r="J35" s="171">
        <f>Assumptions!K171</f>
        <v>926.0355587</v>
      </c>
      <c r="K35" s="171">
        <f>Assumptions!L171</f>
        <v>1085.317537</v>
      </c>
      <c r="L35" s="171">
        <f>Assumptions!M171</f>
        <v>1236.635417</v>
      </c>
      <c r="M35" s="171">
        <f>Assumptions!N171</f>
        <v>1380.387402</v>
      </c>
      <c r="N35" s="171">
        <f>Assumptions!O171</f>
        <v>1516.951788</v>
      </c>
      <c r="O35" s="171">
        <f>Assumptions!P171</f>
        <v>1646.687955</v>
      </c>
      <c r="P35" s="171">
        <f>Assumptions!Q171</f>
        <v>1474.947762</v>
      </c>
      <c r="Q35" s="171">
        <f>Assumptions!R171</f>
        <v>1572.52017</v>
      </c>
      <c r="R35" s="171">
        <f>Assumptions!S171</f>
        <v>1665.213959</v>
      </c>
      <c r="S35" s="171">
        <f>Assumptions!T171</f>
        <v>1753.273058</v>
      </c>
      <c r="T35" s="171">
        <f>Assumptions!U171</f>
        <v>1836.929202</v>
      </c>
      <c r="U35" s="171">
        <f>Assumptions!V171</f>
        <v>1916.402539</v>
      </c>
      <c r="V35" s="171">
        <f>Assumptions!W171</f>
        <v>1991.902209</v>
      </c>
      <c r="W35" s="171">
        <f>Assumptions!X171</f>
        <v>2063.626895</v>
      </c>
      <c r="X35" s="171">
        <f>Assumptions!Y171</f>
        <v>2131.765348</v>
      </c>
      <c r="Y35" s="171">
        <f>Assumptions!Z171</f>
        <v>2196.496877</v>
      </c>
      <c r="Z35" s="171">
        <f>Assumptions!AA171</f>
        <v>2257.99183</v>
      </c>
      <c r="AA35" s="171">
        <f>Assumptions!AB171</f>
        <v>2316.412036</v>
      </c>
      <c r="AB35" s="171">
        <f>Assumptions!AC171</f>
        <v>2371.911231</v>
      </c>
      <c r="AC35" s="171">
        <f>Assumptions!AD171</f>
        <v>2424.635466</v>
      </c>
      <c r="AD35" s="171">
        <f>Assumptions!AE171</f>
        <v>2474.72349</v>
      </c>
      <c r="AE35" s="171">
        <f>Assumptions!AF171</f>
        <v>2522.307112</v>
      </c>
      <c r="AF35" s="171">
        <f>Assumptions!AG171</f>
        <v>2567.511554</v>
      </c>
      <c r="AG35" s="171">
        <f>Assumptions!AH171</f>
        <v>2610.455773</v>
      </c>
      <c r="AH35" s="171">
        <f>Assumptions!AI171</f>
        <v>2651.252781</v>
      </c>
      <c r="AI35" s="171">
        <f>Assumptions!AJ171</f>
        <v>2690.009939</v>
      </c>
      <c r="AJ35" s="171">
        <f>Assumptions!AK171</f>
        <v>2726.829239</v>
      </c>
      <c r="AK35" s="171">
        <f>Assumptions!AL171</f>
        <v>2761.807574</v>
      </c>
      <c r="AL35" s="171">
        <f>Assumptions!AM171</f>
        <v>2795.036992</v>
      </c>
      <c r="AM35" s="171">
        <f>Assumptions!AN171</f>
        <v>2826.60494</v>
      </c>
      <c r="AN35" s="171">
        <f>Assumptions!AO171</f>
        <v>2856.59449</v>
      </c>
      <c r="AO35" s="171">
        <f>Assumptions!AP171</f>
        <v>2885.084562</v>
      </c>
      <c r="AP35" s="171">
        <f>Assumptions!AQ171</f>
        <v>2912.150131</v>
      </c>
      <c r="AQ35" s="171">
        <f>Assumptions!AR171</f>
        <v>2937.862421</v>
      </c>
      <c r="AR35" s="171">
        <f>Assumptions!AS171</f>
        <v>2962.289097</v>
      </c>
      <c r="AS35" s="171">
        <f>Assumptions!AT171</f>
        <v>2985.494439</v>
      </c>
      <c r="AT35" s="171">
        <f>Assumptions!AU171</f>
        <v>3007.539514</v>
      </c>
      <c r="AU35" s="171">
        <f>Assumptions!AV171</f>
        <v>3028.482336</v>
      </c>
      <c r="AV35" s="171">
        <f>Assumptions!AW171</f>
        <v>3048.378016</v>
      </c>
      <c r="AW35" s="171">
        <f>Assumptions!AX171</f>
        <v>3067.278912</v>
      </c>
      <c r="AX35" s="171">
        <f>Assumptions!AY171</f>
        <v>3085.234763</v>
      </c>
      <c r="AY35" s="171">
        <f>Assumptions!AZ171</f>
        <v>3102.292822</v>
      </c>
      <c r="AZ35" s="171">
        <f>Assumptions!BA171</f>
        <v>3118.497978</v>
      </c>
      <c r="BA35" s="171">
        <f>Assumptions!BB171</f>
        <v>3133.892876</v>
      </c>
      <c r="BB35" s="171">
        <f>Assumptions!BC171</f>
        <v>3148.518029</v>
      </c>
      <c r="BC35" s="171">
        <f>Assumptions!BD171</f>
        <v>3162.411925</v>
      </c>
      <c r="BD35" s="171">
        <f>Assumptions!BE171</f>
        <v>3175.611125</v>
      </c>
      <c r="BE35" s="171">
        <f>Assumptions!BF171</f>
        <v>3188.150366</v>
      </c>
      <c r="BF35" s="171">
        <f>Assumptions!BG171</f>
        <v>3200.062645</v>
      </c>
      <c r="BG35" s="171">
        <f>Assumptions!BH171</f>
        <v>3211.379309</v>
      </c>
      <c r="BH35" s="171">
        <f>Assumptions!BI171</f>
        <v>3222.130141</v>
      </c>
      <c r="BI35" s="171">
        <f>Assumptions!BJ171</f>
        <v>3232.343431</v>
      </c>
      <c r="BJ35" s="171">
        <f>Assumptions!BK171</f>
        <v>3242.046056</v>
      </c>
      <c r="BK35" s="171">
        <f>Assumptions!BL171</f>
        <v>3251.26355</v>
      </c>
      <c r="BL35" s="171">
        <f>Assumptions!BM171</f>
        <v>3260.02017</v>
      </c>
      <c r="BM35" s="171">
        <f>Assumptions!BN171</f>
        <v>3268.338958</v>
      </c>
      <c r="BN35" s="171"/>
    </row>
    <row r="36" outlineLevel="1">
      <c r="A36" s="171"/>
      <c r="B36" s="187" t="s">
        <v>170</v>
      </c>
      <c r="C36" s="188"/>
      <c r="D36" s="188"/>
      <c r="E36" s="188"/>
      <c r="F36" s="188">
        <f t="shared" ref="F36:BM36" si="13">SUM(F34:F35)</f>
        <v>280794.9188</v>
      </c>
      <c r="G36" s="189">
        <f t="shared" si="13"/>
        <v>44270.85909</v>
      </c>
      <c r="H36" s="189">
        <f t="shared" si="13"/>
        <v>-192083.7111</v>
      </c>
      <c r="I36" s="189">
        <f t="shared" si="13"/>
        <v>-428277.3034</v>
      </c>
      <c r="J36" s="189">
        <f t="shared" si="13"/>
        <v>-664317.9674</v>
      </c>
      <c r="K36" s="189">
        <f t="shared" si="13"/>
        <v>-900213.3495</v>
      </c>
      <c r="L36" s="189">
        <f t="shared" si="13"/>
        <v>-1135970.714</v>
      </c>
      <c r="M36" s="189">
        <f t="shared" si="13"/>
        <v>-1371596.961</v>
      </c>
      <c r="N36" s="189">
        <f t="shared" si="13"/>
        <v>-1607098.647</v>
      </c>
      <c r="O36" s="189">
        <f t="shared" si="13"/>
        <v>-1842482</v>
      </c>
      <c r="P36" s="189">
        <f t="shared" si="13"/>
        <v>-2078186.572</v>
      </c>
      <c r="Q36" s="189">
        <f t="shared" si="13"/>
        <v>-2313656.689</v>
      </c>
      <c r="R36" s="189">
        <f t="shared" si="13"/>
        <v>-2549042.261</v>
      </c>
      <c r="S36" s="189">
        <f t="shared" si="13"/>
        <v>-2784347.513</v>
      </c>
      <c r="T36" s="189">
        <f t="shared" si="13"/>
        <v>-3019576.461</v>
      </c>
      <c r="U36" s="189">
        <f t="shared" si="13"/>
        <v>-3254732.922</v>
      </c>
      <c r="V36" s="189">
        <f t="shared" si="13"/>
        <v>-3489820.519</v>
      </c>
      <c r="W36" s="189">
        <f t="shared" si="13"/>
        <v>-3724842.696</v>
      </c>
      <c r="X36" s="189">
        <f t="shared" si="13"/>
        <v>-3959802.723</v>
      </c>
      <c r="Y36" s="189">
        <f t="shared" si="13"/>
        <v>-4194703.708</v>
      </c>
      <c r="Z36" s="189">
        <f t="shared" si="13"/>
        <v>-4429548.604</v>
      </c>
      <c r="AA36" s="189">
        <f t="shared" si="13"/>
        <v>-4664340.214</v>
      </c>
      <c r="AB36" s="189">
        <f t="shared" si="13"/>
        <v>-4899081.202</v>
      </c>
      <c r="AC36" s="189">
        <f t="shared" si="13"/>
        <v>-5133774.101</v>
      </c>
      <c r="AD36" s="189">
        <f t="shared" si="13"/>
        <v>-5368421.315</v>
      </c>
      <c r="AE36" s="189">
        <f t="shared" si="13"/>
        <v>-5603025.127</v>
      </c>
      <c r="AF36" s="189">
        <f t="shared" si="13"/>
        <v>-5837587.707</v>
      </c>
      <c r="AG36" s="189">
        <f t="shared" si="13"/>
        <v>-6072111.118</v>
      </c>
      <c r="AH36" s="189">
        <f t="shared" si="13"/>
        <v>-6306597.318</v>
      </c>
      <c r="AI36" s="189">
        <f t="shared" si="13"/>
        <v>-6541048.168</v>
      </c>
      <c r="AJ36" s="189">
        <f t="shared" si="13"/>
        <v>-6775465.434</v>
      </c>
      <c r="AK36" s="189">
        <f t="shared" si="13"/>
        <v>-7009850.796</v>
      </c>
      <c r="AL36" s="189">
        <f t="shared" si="13"/>
        <v>-7244205.85</v>
      </c>
      <c r="AM36" s="189">
        <f t="shared" si="13"/>
        <v>-7478532.11</v>
      </c>
      <c r="AN36" s="189">
        <f t="shared" si="13"/>
        <v>-7712831.017</v>
      </c>
      <c r="AO36" s="189">
        <f t="shared" si="13"/>
        <v>-7947103.938</v>
      </c>
      <c r="AP36" s="189">
        <f t="shared" si="13"/>
        <v>-8181352.172</v>
      </c>
      <c r="AQ36" s="189">
        <f t="shared" si="13"/>
        <v>-8415576.954</v>
      </c>
      <c r="AR36" s="189">
        <f t="shared" si="13"/>
        <v>-8649779.456</v>
      </c>
      <c r="AS36" s="189">
        <f t="shared" si="13"/>
        <v>-8883960.792</v>
      </c>
      <c r="AT36" s="189">
        <f t="shared" si="13"/>
        <v>-9118122.021</v>
      </c>
      <c r="AU36" s="189">
        <f t="shared" si="13"/>
        <v>-9352264.148</v>
      </c>
      <c r="AV36" s="189">
        <f t="shared" si="13"/>
        <v>-9586388.128</v>
      </c>
      <c r="AW36" s="189">
        <f t="shared" si="13"/>
        <v>-9820494.869</v>
      </c>
      <c r="AX36" s="189">
        <f t="shared" si="13"/>
        <v>-10054585.23</v>
      </c>
      <c r="AY36" s="189">
        <f t="shared" si="13"/>
        <v>-10288660.04</v>
      </c>
      <c r="AZ36" s="189">
        <f t="shared" si="13"/>
        <v>-10522720.06</v>
      </c>
      <c r="BA36" s="189">
        <f t="shared" si="13"/>
        <v>-10756766.04</v>
      </c>
      <c r="BB36" s="189">
        <f t="shared" si="13"/>
        <v>-10990798.68</v>
      </c>
      <c r="BC36" s="189">
        <f t="shared" si="13"/>
        <v>-11224818.65</v>
      </c>
      <c r="BD36" s="189">
        <f t="shared" si="13"/>
        <v>-11458826.58</v>
      </c>
      <c r="BE36" s="189">
        <f t="shared" si="13"/>
        <v>-11692823.07</v>
      </c>
      <c r="BF36" s="189">
        <f t="shared" si="13"/>
        <v>-11926808.7</v>
      </c>
      <c r="BG36" s="189">
        <f t="shared" si="13"/>
        <v>-12160784.01</v>
      </c>
      <c r="BH36" s="189">
        <f t="shared" si="13"/>
        <v>-12394749.51</v>
      </c>
      <c r="BI36" s="189">
        <f t="shared" si="13"/>
        <v>-12628705.69</v>
      </c>
      <c r="BJ36" s="189">
        <f t="shared" si="13"/>
        <v>-12862653.02</v>
      </c>
      <c r="BK36" s="189">
        <f t="shared" si="13"/>
        <v>-13096591.95</v>
      </c>
      <c r="BL36" s="189">
        <f t="shared" si="13"/>
        <v>-13330522.89</v>
      </c>
      <c r="BM36" s="189">
        <f t="shared" si="13"/>
        <v>-13564446.24</v>
      </c>
      <c r="BN36" s="171"/>
    </row>
    <row r="37" outlineLevel="1">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71"/>
      <c r="BJ37" s="171"/>
      <c r="BK37" s="171"/>
      <c r="BL37" s="171"/>
      <c r="BM37" s="171"/>
      <c r="BN37" s="171"/>
    </row>
    <row r="38" outlineLevel="1">
      <c r="A38" s="171"/>
      <c r="B38" s="181" t="s">
        <v>129</v>
      </c>
      <c r="C38" s="171"/>
      <c r="D38" s="171"/>
      <c r="E38" s="171"/>
      <c r="F38" s="171">
        <f>SUM(Assumptions!G173:G177)</f>
        <v>0</v>
      </c>
      <c r="G38" s="171">
        <f>SUM(Assumptions!H173:H177)</f>
        <v>0</v>
      </c>
      <c r="H38" s="171">
        <f>SUM(Assumptions!I173:I177)</f>
        <v>0</v>
      </c>
      <c r="I38" s="171">
        <f>SUM(Assumptions!J173:J177)</f>
        <v>0</v>
      </c>
      <c r="J38" s="171">
        <f>SUM(Assumptions!K173:K177)</f>
        <v>0</v>
      </c>
      <c r="K38" s="171">
        <f>SUM(Assumptions!L173:L177)</f>
        <v>0</v>
      </c>
      <c r="L38" s="171">
        <f>SUM(Assumptions!M173:M177)</f>
        <v>0</v>
      </c>
      <c r="M38" s="171">
        <f>SUM(Assumptions!N173:N177)</f>
        <v>0</v>
      </c>
      <c r="N38" s="171">
        <f>SUM(Assumptions!O173:O177)</f>
        <v>0</v>
      </c>
      <c r="O38" s="171">
        <f>SUM(Assumptions!P173:P177)</f>
        <v>0</v>
      </c>
      <c r="P38" s="171">
        <f>SUM(Assumptions!Q173:Q177)</f>
        <v>0</v>
      </c>
      <c r="Q38" s="171">
        <f>SUM(Assumptions!R173:R177)</f>
        <v>0</v>
      </c>
      <c r="R38" s="171">
        <f>SUM(Assumptions!S173:S177)</f>
        <v>0</v>
      </c>
      <c r="S38" s="171">
        <f>SUM(Assumptions!T173:T177)</f>
        <v>0</v>
      </c>
      <c r="T38" s="171">
        <f>SUM(Assumptions!U173:U177)</f>
        <v>0</v>
      </c>
      <c r="U38" s="171">
        <f>SUM(Assumptions!V173:V177)</f>
        <v>0</v>
      </c>
      <c r="V38" s="171">
        <f>SUM(Assumptions!W173:W177)</f>
        <v>0</v>
      </c>
      <c r="W38" s="171">
        <f>SUM(Assumptions!X173:X177)</f>
        <v>0</v>
      </c>
      <c r="X38" s="171">
        <f>SUM(Assumptions!Y173:Y177)</f>
        <v>0</v>
      </c>
      <c r="Y38" s="171">
        <f>SUM(Assumptions!Z173:Z177)</f>
        <v>0</v>
      </c>
      <c r="Z38" s="171">
        <f>SUM(Assumptions!AA173:AA177)</f>
        <v>0</v>
      </c>
      <c r="AA38" s="171">
        <f>SUM(Assumptions!AB173:AB177)</f>
        <v>0</v>
      </c>
      <c r="AB38" s="171">
        <f>SUM(Assumptions!AC173:AC177)</f>
        <v>0</v>
      </c>
      <c r="AC38" s="171">
        <f>SUM(Assumptions!AD173:AD177)</f>
        <v>0</v>
      </c>
      <c r="AD38" s="171">
        <f>SUM(Assumptions!AE173:AE177)</f>
        <v>0</v>
      </c>
      <c r="AE38" s="171">
        <f>SUM(Assumptions!AF173:AF177)</f>
        <v>0</v>
      </c>
      <c r="AF38" s="171">
        <f>SUM(Assumptions!AG173:AG177)</f>
        <v>0</v>
      </c>
      <c r="AG38" s="171">
        <f>SUM(Assumptions!AH173:AH177)</f>
        <v>0</v>
      </c>
      <c r="AH38" s="171">
        <f>SUM(Assumptions!AI173:AI177)</f>
        <v>0</v>
      </c>
      <c r="AI38" s="171">
        <f>SUM(Assumptions!AJ173:AJ177)</f>
        <v>0</v>
      </c>
      <c r="AJ38" s="171">
        <f>SUM(Assumptions!AK173:AK177)</f>
        <v>0</v>
      </c>
      <c r="AK38" s="171">
        <f>SUM(Assumptions!AL173:AL177)</f>
        <v>0</v>
      </c>
      <c r="AL38" s="171">
        <f>SUM(Assumptions!AM173:AM177)</f>
        <v>0</v>
      </c>
      <c r="AM38" s="171">
        <f>SUM(Assumptions!AN173:AN177)</f>
        <v>0</v>
      </c>
      <c r="AN38" s="171">
        <f>SUM(Assumptions!AO173:AO177)</f>
        <v>0</v>
      </c>
      <c r="AO38" s="171">
        <f>SUM(Assumptions!AP173:AP177)</f>
        <v>0</v>
      </c>
      <c r="AP38" s="171">
        <f>SUM(Assumptions!AQ173:AQ177)</f>
        <v>0</v>
      </c>
      <c r="AQ38" s="171">
        <f>SUM(Assumptions!AR173:AR177)</f>
        <v>0</v>
      </c>
      <c r="AR38" s="171">
        <f>SUM(Assumptions!AS173:AS177)</f>
        <v>0</v>
      </c>
      <c r="AS38" s="171">
        <f>SUM(Assumptions!AT173:AT177)</f>
        <v>0</v>
      </c>
      <c r="AT38" s="171">
        <f>SUM(Assumptions!AU173:AU177)</f>
        <v>0</v>
      </c>
      <c r="AU38" s="171">
        <f>SUM(Assumptions!AV173:AV177)</f>
        <v>0</v>
      </c>
      <c r="AV38" s="171">
        <f>SUM(Assumptions!AW173:AW177)</f>
        <v>0</v>
      </c>
      <c r="AW38" s="171">
        <f>SUM(Assumptions!AX173:AX177)</f>
        <v>0</v>
      </c>
      <c r="AX38" s="171">
        <f>SUM(Assumptions!AY173:AY177)</f>
        <v>0</v>
      </c>
      <c r="AY38" s="171">
        <f>SUM(Assumptions!AZ173:AZ177)</f>
        <v>0</v>
      </c>
      <c r="AZ38" s="171">
        <f>SUM(Assumptions!BA173:BA177)</f>
        <v>0</v>
      </c>
      <c r="BA38" s="171">
        <f>SUM(Assumptions!BB173:BB177)</f>
        <v>0</v>
      </c>
      <c r="BB38" s="171">
        <f>SUM(Assumptions!BC173:BC177)</f>
        <v>0</v>
      </c>
      <c r="BC38" s="171">
        <f>SUM(Assumptions!BD173:BD177)</f>
        <v>0</v>
      </c>
      <c r="BD38" s="171">
        <f>SUM(Assumptions!BE173:BE177)</f>
        <v>0</v>
      </c>
      <c r="BE38" s="171">
        <f>SUM(Assumptions!BF173:BF177)</f>
        <v>0</v>
      </c>
      <c r="BF38" s="171">
        <f>SUM(Assumptions!BG173:BG177)</f>
        <v>0</v>
      </c>
      <c r="BG38" s="171">
        <f>SUM(Assumptions!BH173:BH177)</f>
        <v>0</v>
      </c>
      <c r="BH38" s="171">
        <f>SUM(Assumptions!BI173:BI177)</f>
        <v>0</v>
      </c>
      <c r="BI38" s="171">
        <f>SUM(Assumptions!BJ173:BJ177)</f>
        <v>0</v>
      </c>
      <c r="BJ38" s="171">
        <f>SUM(Assumptions!BK173:BK177)</f>
        <v>0</v>
      </c>
      <c r="BK38" s="171">
        <f>SUM(Assumptions!BL173:BL177)</f>
        <v>0</v>
      </c>
      <c r="BL38" s="171">
        <f>SUM(Assumptions!BM173:BM177)</f>
        <v>0</v>
      </c>
      <c r="BM38" s="171">
        <f>SUM(Assumptions!BN173:BN177)</f>
        <v>0</v>
      </c>
      <c r="BN38" s="171"/>
    </row>
    <row r="39" outlineLevel="1">
      <c r="A39" s="171"/>
      <c r="B39" s="181" t="s">
        <v>171</v>
      </c>
      <c r="C39" s="171"/>
      <c r="D39" s="171"/>
      <c r="E39" s="171"/>
      <c r="F39" s="171">
        <f>-SUM(Assumptions!G180:G183)</f>
        <v>0</v>
      </c>
      <c r="G39" s="171">
        <f>-SUM(Assumptions!H180:H183)</f>
        <v>0</v>
      </c>
      <c r="H39" s="171">
        <f>-SUM(Assumptions!I180:I183)</f>
        <v>0</v>
      </c>
      <c r="I39" s="171">
        <f>-SUM(Assumptions!J180:J183)</f>
        <v>0</v>
      </c>
      <c r="J39" s="171">
        <f>-SUM(Assumptions!K180:K183)</f>
        <v>0</v>
      </c>
      <c r="K39" s="171">
        <f>-SUM(Assumptions!L180:L183)</f>
        <v>0</v>
      </c>
      <c r="L39" s="171">
        <f>-SUM(Assumptions!M180:M183)</f>
        <v>0</v>
      </c>
      <c r="M39" s="171">
        <f>-SUM(Assumptions!N180:N183)</f>
        <v>0</v>
      </c>
      <c r="N39" s="171">
        <f>-SUM(Assumptions!O180:O183)</f>
        <v>0</v>
      </c>
      <c r="O39" s="171">
        <f>-SUM(Assumptions!P180:P183)</f>
        <v>0</v>
      </c>
      <c r="P39" s="171">
        <f>-SUM(Assumptions!Q180:Q183)</f>
        <v>0</v>
      </c>
      <c r="Q39" s="171">
        <f>-SUM(Assumptions!R180:R183)</f>
        <v>0</v>
      </c>
      <c r="R39" s="171">
        <f>-SUM(Assumptions!S180:S183)</f>
        <v>0</v>
      </c>
      <c r="S39" s="171">
        <f>-SUM(Assumptions!T180:T183)</f>
        <v>0</v>
      </c>
      <c r="T39" s="171">
        <f>-SUM(Assumptions!U180:U183)</f>
        <v>0</v>
      </c>
      <c r="U39" s="171">
        <f>-SUM(Assumptions!V180:V183)</f>
        <v>0</v>
      </c>
      <c r="V39" s="171">
        <f>-SUM(Assumptions!W180:W183)</f>
        <v>0</v>
      </c>
      <c r="W39" s="171">
        <f>-SUM(Assumptions!X180:X183)</f>
        <v>0</v>
      </c>
      <c r="X39" s="171">
        <f>-SUM(Assumptions!Y180:Y183)</f>
        <v>0</v>
      </c>
      <c r="Y39" s="171">
        <f>-SUM(Assumptions!Z180:Z183)</f>
        <v>0</v>
      </c>
      <c r="Z39" s="171">
        <f>-SUM(Assumptions!AA180:AA183)</f>
        <v>0</v>
      </c>
      <c r="AA39" s="171">
        <f>-SUM(Assumptions!AB180:AB183)</f>
        <v>0</v>
      </c>
      <c r="AB39" s="171">
        <f>-SUM(Assumptions!AC180:AC183)</f>
        <v>0</v>
      </c>
      <c r="AC39" s="171">
        <f>-SUM(Assumptions!AD180:AD183)</f>
        <v>0</v>
      </c>
      <c r="AD39" s="171">
        <f>-SUM(Assumptions!AE180:AE183)</f>
        <v>0</v>
      </c>
      <c r="AE39" s="171">
        <f>-SUM(Assumptions!AF180:AF183)</f>
        <v>0</v>
      </c>
      <c r="AF39" s="171">
        <f>-SUM(Assumptions!AG180:AG183)</f>
        <v>0</v>
      </c>
      <c r="AG39" s="171">
        <f>-SUM(Assumptions!AH180:AH183)</f>
        <v>0</v>
      </c>
      <c r="AH39" s="171">
        <f>-SUM(Assumptions!AI180:AI183)</f>
        <v>0</v>
      </c>
      <c r="AI39" s="171">
        <f>-SUM(Assumptions!AJ180:AJ183)</f>
        <v>0</v>
      </c>
      <c r="AJ39" s="171">
        <f>-SUM(Assumptions!AK180:AK183)</f>
        <v>0</v>
      </c>
      <c r="AK39" s="171">
        <f>-SUM(Assumptions!AL180:AL183)</f>
        <v>0</v>
      </c>
      <c r="AL39" s="171">
        <f>-SUM(Assumptions!AM180:AM183)</f>
        <v>0</v>
      </c>
      <c r="AM39" s="171">
        <f>-SUM(Assumptions!AN180:AN183)</f>
        <v>0</v>
      </c>
      <c r="AN39" s="171">
        <f>-SUM(Assumptions!AO180:AO183)</f>
        <v>0</v>
      </c>
      <c r="AO39" s="171">
        <f>-SUM(Assumptions!AP180:AP183)</f>
        <v>0</v>
      </c>
      <c r="AP39" s="171">
        <f>-SUM(Assumptions!AQ180:AQ183)</f>
        <v>0</v>
      </c>
      <c r="AQ39" s="171">
        <f>-SUM(Assumptions!AR180:AR183)</f>
        <v>0</v>
      </c>
      <c r="AR39" s="171">
        <f>-SUM(Assumptions!AS180:AS183)</f>
        <v>0</v>
      </c>
      <c r="AS39" s="171">
        <f>-SUM(Assumptions!AT180:AT183)</f>
        <v>0</v>
      </c>
      <c r="AT39" s="171">
        <f>-SUM(Assumptions!AU180:AU183)</f>
        <v>0</v>
      </c>
      <c r="AU39" s="171">
        <f>-SUM(Assumptions!AV180:AV183)</f>
        <v>0</v>
      </c>
      <c r="AV39" s="171">
        <f>-SUM(Assumptions!AW180:AW183)</f>
        <v>0</v>
      </c>
      <c r="AW39" s="171">
        <f>-SUM(Assumptions!AX180:AX183)</f>
        <v>0</v>
      </c>
      <c r="AX39" s="171">
        <f>-SUM(Assumptions!AY180:AY183)</f>
        <v>0</v>
      </c>
      <c r="AY39" s="171">
        <f>-SUM(Assumptions!AZ180:AZ183)</f>
        <v>0</v>
      </c>
      <c r="AZ39" s="171">
        <f>-SUM(Assumptions!BA180:BA183)</f>
        <v>0</v>
      </c>
      <c r="BA39" s="171">
        <f>-SUM(Assumptions!BB180:BB183)</f>
        <v>0</v>
      </c>
      <c r="BB39" s="171">
        <f>-SUM(Assumptions!BC180:BC183)</f>
        <v>0</v>
      </c>
      <c r="BC39" s="171">
        <f>-SUM(Assumptions!BD180:BD183)</f>
        <v>0</v>
      </c>
      <c r="BD39" s="171">
        <f>-SUM(Assumptions!BE180:BE183)</f>
        <v>0</v>
      </c>
      <c r="BE39" s="171">
        <f>-SUM(Assumptions!BF180:BF183)</f>
        <v>0</v>
      </c>
      <c r="BF39" s="171">
        <f>-SUM(Assumptions!BG180:BG183)</f>
        <v>0</v>
      </c>
      <c r="BG39" s="171">
        <f>-SUM(Assumptions!BH180:BH183)</f>
        <v>0</v>
      </c>
      <c r="BH39" s="171">
        <f>-SUM(Assumptions!BI180:BI183)</f>
        <v>0</v>
      </c>
      <c r="BI39" s="171">
        <f>-SUM(Assumptions!BJ180:BJ183)</f>
        <v>0</v>
      </c>
      <c r="BJ39" s="171">
        <f>-SUM(Assumptions!BK180:BK183)</f>
        <v>0</v>
      </c>
      <c r="BK39" s="171">
        <f>-SUM(Assumptions!BL180:BL183)</f>
        <v>0</v>
      </c>
      <c r="BL39" s="171">
        <f>-SUM(Assumptions!BM180:BM183)</f>
        <v>0</v>
      </c>
      <c r="BM39" s="171">
        <f>-SUM(Assumptions!BN180:BN183)</f>
        <v>0</v>
      </c>
      <c r="BN39" s="171"/>
    </row>
    <row r="40" outlineLevel="1">
      <c r="A40" s="171"/>
      <c r="B40" s="174" t="s">
        <v>172</v>
      </c>
      <c r="C40" s="175"/>
      <c r="D40" s="175"/>
      <c r="E40" s="175"/>
      <c r="F40" s="176">
        <f t="shared" ref="F40:BM40" si="14">SUM(F36:F39)</f>
        <v>280794.9188</v>
      </c>
      <c r="G40" s="176">
        <f t="shared" si="14"/>
        <v>44270.85909</v>
      </c>
      <c r="H40" s="176">
        <f t="shared" si="14"/>
        <v>-192083.7111</v>
      </c>
      <c r="I40" s="176">
        <f t="shared" si="14"/>
        <v>-428277.3034</v>
      </c>
      <c r="J40" s="176">
        <f t="shared" si="14"/>
        <v>-664317.9674</v>
      </c>
      <c r="K40" s="176">
        <f t="shared" si="14"/>
        <v>-900213.3495</v>
      </c>
      <c r="L40" s="176">
        <f t="shared" si="14"/>
        <v>-1135970.714</v>
      </c>
      <c r="M40" s="176">
        <f t="shared" si="14"/>
        <v>-1371596.961</v>
      </c>
      <c r="N40" s="176">
        <f t="shared" si="14"/>
        <v>-1607098.647</v>
      </c>
      <c r="O40" s="176">
        <f t="shared" si="14"/>
        <v>-1842482</v>
      </c>
      <c r="P40" s="176">
        <f t="shared" si="14"/>
        <v>-2078186.572</v>
      </c>
      <c r="Q40" s="176">
        <f t="shared" si="14"/>
        <v>-2313656.689</v>
      </c>
      <c r="R40" s="176">
        <f t="shared" si="14"/>
        <v>-2549042.261</v>
      </c>
      <c r="S40" s="176">
        <f t="shared" si="14"/>
        <v>-2784347.513</v>
      </c>
      <c r="T40" s="176">
        <f t="shared" si="14"/>
        <v>-3019576.461</v>
      </c>
      <c r="U40" s="176">
        <f t="shared" si="14"/>
        <v>-3254732.922</v>
      </c>
      <c r="V40" s="176">
        <f t="shared" si="14"/>
        <v>-3489820.519</v>
      </c>
      <c r="W40" s="176">
        <f t="shared" si="14"/>
        <v>-3724842.696</v>
      </c>
      <c r="X40" s="176">
        <f t="shared" si="14"/>
        <v>-3959802.723</v>
      </c>
      <c r="Y40" s="176">
        <f t="shared" si="14"/>
        <v>-4194703.708</v>
      </c>
      <c r="Z40" s="176">
        <f t="shared" si="14"/>
        <v>-4429548.604</v>
      </c>
      <c r="AA40" s="176">
        <f t="shared" si="14"/>
        <v>-4664340.214</v>
      </c>
      <c r="AB40" s="176">
        <f t="shared" si="14"/>
        <v>-4899081.202</v>
      </c>
      <c r="AC40" s="176">
        <f t="shared" si="14"/>
        <v>-5133774.101</v>
      </c>
      <c r="AD40" s="176">
        <f t="shared" si="14"/>
        <v>-5368421.315</v>
      </c>
      <c r="AE40" s="176">
        <f t="shared" si="14"/>
        <v>-5603025.127</v>
      </c>
      <c r="AF40" s="176">
        <f t="shared" si="14"/>
        <v>-5837587.707</v>
      </c>
      <c r="AG40" s="176">
        <f t="shared" si="14"/>
        <v>-6072111.118</v>
      </c>
      <c r="AH40" s="176">
        <f t="shared" si="14"/>
        <v>-6306597.318</v>
      </c>
      <c r="AI40" s="176">
        <f t="shared" si="14"/>
        <v>-6541048.168</v>
      </c>
      <c r="AJ40" s="176">
        <f t="shared" si="14"/>
        <v>-6775465.434</v>
      </c>
      <c r="AK40" s="176">
        <f t="shared" si="14"/>
        <v>-7009850.796</v>
      </c>
      <c r="AL40" s="176">
        <f t="shared" si="14"/>
        <v>-7244205.85</v>
      </c>
      <c r="AM40" s="176">
        <f t="shared" si="14"/>
        <v>-7478532.11</v>
      </c>
      <c r="AN40" s="176">
        <f t="shared" si="14"/>
        <v>-7712831.017</v>
      </c>
      <c r="AO40" s="176">
        <f t="shared" si="14"/>
        <v>-7947103.938</v>
      </c>
      <c r="AP40" s="176">
        <f t="shared" si="14"/>
        <v>-8181352.172</v>
      </c>
      <c r="AQ40" s="176">
        <f t="shared" si="14"/>
        <v>-8415576.954</v>
      </c>
      <c r="AR40" s="176">
        <f t="shared" si="14"/>
        <v>-8649779.456</v>
      </c>
      <c r="AS40" s="176">
        <f t="shared" si="14"/>
        <v>-8883960.792</v>
      </c>
      <c r="AT40" s="176">
        <f t="shared" si="14"/>
        <v>-9118122.021</v>
      </c>
      <c r="AU40" s="176">
        <f t="shared" si="14"/>
        <v>-9352264.148</v>
      </c>
      <c r="AV40" s="176">
        <f t="shared" si="14"/>
        <v>-9586388.128</v>
      </c>
      <c r="AW40" s="176">
        <f t="shared" si="14"/>
        <v>-9820494.869</v>
      </c>
      <c r="AX40" s="176">
        <f t="shared" si="14"/>
        <v>-10054585.23</v>
      </c>
      <c r="AY40" s="176">
        <f t="shared" si="14"/>
        <v>-10288660.04</v>
      </c>
      <c r="AZ40" s="176">
        <f t="shared" si="14"/>
        <v>-10522720.06</v>
      </c>
      <c r="BA40" s="176">
        <f t="shared" si="14"/>
        <v>-10756766.04</v>
      </c>
      <c r="BB40" s="176">
        <f t="shared" si="14"/>
        <v>-10990798.68</v>
      </c>
      <c r="BC40" s="176">
        <f t="shared" si="14"/>
        <v>-11224818.65</v>
      </c>
      <c r="BD40" s="176">
        <f t="shared" si="14"/>
        <v>-11458826.58</v>
      </c>
      <c r="BE40" s="176">
        <f t="shared" si="14"/>
        <v>-11692823.07</v>
      </c>
      <c r="BF40" s="176">
        <f t="shared" si="14"/>
        <v>-11926808.7</v>
      </c>
      <c r="BG40" s="176">
        <f t="shared" si="14"/>
        <v>-12160784.01</v>
      </c>
      <c r="BH40" s="176">
        <f t="shared" si="14"/>
        <v>-12394749.51</v>
      </c>
      <c r="BI40" s="176">
        <f t="shared" si="14"/>
        <v>-12628705.69</v>
      </c>
      <c r="BJ40" s="176">
        <f t="shared" si="14"/>
        <v>-12862653.02</v>
      </c>
      <c r="BK40" s="176">
        <f t="shared" si="14"/>
        <v>-13096591.95</v>
      </c>
      <c r="BL40" s="176">
        <f t="shared" si="14"/>
        <v>-13330522.89</v>
      </c>
      <c r="BM40" s="176">
        <f t="shared" si="14"/>
        <v>-13564446.24</v>
      </c>
      <c r="BN40" s="171"/>
    </row>
    <row r="41" outlineLevel="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row>
    <row r="42" outlineLevel="1">
      <c r="A42" s="171"/>
      <c r="B42" s="180" t="s">
        <v>173</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c r="BK42" s="171"/>
      <c r="BL42" s="171"/>
      <c r="BM42" s="171"/>
      <c r="BN42" s="171"/>
    </row>
    <row r="43" outlineLevel="1">
      <c r="A43" s="171"/>
      <c r="B43" s="186" t="s">
        <v>139</v>
      </c>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1"/>
      <c r="AX43" s="171"/>
      <c r="AY43" s="171"/>
      <c r="AZ43" s="171"/>
      <c r="BA43" s="171"/>
      <c r="BB43" s="171"/>
      <c r="BC43" s="171"/>
      <c r="BD43" s="171"/>
      <c r="BE43" s="171"/>
      <c r="BF43" s="171"/>
      <c r="BG43" s="171"/>
      <c r="BH43" s="171"/>
      <c r="BI43" s="171"/>
      <c r="BJ43" s="171"/>
      <c r="BK43" s="171"/>
      <c r="BL43" s="171"/>
      <c r="BM43" s="171"/>
      <c r="BN43" s="171"/>
    </row>
    <row r="44" outlineLevel="1">
      <c r="A44" s="171"/>
      <c r="B44" s="181" t="s">
        <v>174</v>
      </c>
      <c r="C44" s="171"/>
      <c r="D44" s="171"/>
      <c r="E44" s="171"/>
      <c r="F44" s="171">
        <f>Assumptions!G187</f>
        <v>17606.33125</v>
      </c>
      <c r="G44" s="171">
        <f>Assumptions!H187</f>
        <v>17709.93466</v>
      </c>
      <c r="H44" s="171">
        <f>Assumptions!I187</f>
        <v>17808.39672</v>
      </c>
      <c r="I44" s="171">
        <f>Assumptions!J187</f>
        <v>17901.93627</v>
      </c>
      <c r="J44" s="171">
        <f>Assumptions!K187</f>
        <v>17990.79885</v>
      </c>
      <c r="K44" s="171">
        <f>Assumptions!L187</f>
        <v>18075.21829</v>
      </c>
      <c r="L44" s="171">
        <f>Assumptions!M187</f>
        <v>18155.41677</v>
      </c>
      <c r="M44" s="171">
        <f>Assumptions!N187</f>
        <v>18231.60532</v>
      </c>
      <c r="N44" s="171">
        <f>Assumptions!O187</f>
        <v>18303.98445</v>
      </c>
      <c r="O44" s="171">
        <f>Assumptions!P187</f>
        <v>18372.74462</v>
      </c>
      <c r="P44" s="171">
        <f>Assumptions!Q187</f>
        <v>18281.72231</v>
      </c>
      <c r="Q44" s="171">
        <f>Assumptions!R187</f>
        <v>18333.43569</v>
      </c>
      <c r="R44" s="171">
        <f>Assumptions!S187</f>
        <v>18382.5634</v>
      </c>
      <c r="S44" s="171">
        <f>Assumptions!T187</f>
        <v>18429.23472</v>
      </c>
      <c r="T44" s="171">
        <f>Assumptions!U187</f>
        <v>18473.57248</v>
      </c>
      <c r="U44" s="171">
        <f>Assumptions!V187</f>
        <v>18515.69335</v>
      </c>
      <c r="V44" s="171">
        <f>Assumptions!W187</f>
        <v>18555.70817</v>
      </c>
      <c r="W44" s="171">
        <f>Assumptions!X187</f>
        <v>18593.72225</v>
      </c>
      <c r="X44" s="171">
        <f>Assumptions!Y187</f>
        <v>18629.83563</v>
      </c>
      <c r="Y44" s="171">
        <f>Assumptions!Z187</f>
        <v>18664.14334</v>
      </c>
      <c r="Z44" s="171">
        <f>Assumptions!AA187</f>
        <v>18696.73567</v>
      </c>
      <c r="AA44" s="171">
        <f>Assumptions!AB187</f>
        <v>18727.69838</v>
      </c>
      <c r="AB44" s="171">
        <f>Assumptions!AC187</f>
        <v>18757.11295</v>
      </c>
      <c r="AC44" s="171">
        <f>Assumptions!AD187</f>
        <v>18785.0568</v>
      </c>
      <c r="AD44" s="171">
        <f>Assumptions!AE187</f>
        <v>18811.60345</v>
      </c>
      <c r="AE44" s="171">
        <f>Assumptions!AF187</f>
        <v>18836.82277</v>
      </c>
      <c r="AF44" s="171">
        <f>Assumptions!AG187</f>
        <v>18860.78112</v>
      </c>
      <c r="AG44" s="171">
        <f>Assumptions!AH187</f>
        <v>18883.54156</v>
      </c>
      <c r="AH44" s="171">
        <f>Assumptions!AI187</f>
        <v>18905.16397</v>
      </c>
      <c r="AI44" s="171">
        <f>Assumptions!AJ187</f>
        <v>18925.70527</v>
      </c>
      <c r="AJ44" s="171">
        <f>Assumptions!AK187</f>
        <v>18945.2195</v>
      </c>
      <c r="AK44" s="171">
        <f>Assumptions!AL187</f>
        <v>18963.75801</v>
      </c>
      <c r="AL44" s="171">
        <f>Assumptions!AM187</f>
        <v>18981.36961</v>
      </c>
      <c r="AM44" s="171">
        <f>Assumptions!AN187</f>
        <v>18998.10062</v>
      </c>
      <c r="AN44" s="171">
        <f>Assumptions!AO187</f>
        <v>19013.99508</v>
      </c>
      <c r="AO44" s="171">
        <f>Assumptions!AP187</f>
        <v>19029.09482</v>
      </c>
      <c r="AP44" s="171">
        <f>Assumptions!AQ187</f>
        <v>19043.43957</v>
      </c>
      <c r="AQ44" s="171">
        <f>Assumptions!AR187</f>
        <v>19057.06708</v>
      </c>
      <c r="AR44" s="171">
        <f>Assumptions!AS187</f>
        <v>19070.01322</v>
      </c>
      <c r="AS44" s="171">
        <f>Assumptions!AT187</f>
        <v>19082.31205</v>
      </c>
      <c r="AT44" s="171">
        <f>Assumptions!AU187</f>
        <v>19093.99594</v>
      </c>
      <c r="AU44" s="171">
        <f>Assumptions!AV187</f>
        <v>19105.09564</v>
      </c>
      <c r="AV44" s="171">
        <f>Assumptions!AW187</f>
        <v>19115.64035</v>
      </c>
      <c r="AW44" s="171">
        <f>Assumptions!AX187</f>
        <v>19125.65782</v>
      </c>
      <c r="AX44" s="171">
        <f>Assumptions!AY187</f>
        <v>19135.17442</v>
      </c>
      <c r="AY44" s="171">
        <f>Assumptions!AZ187</f>
        <v>19144.2152</v>
      </c>
      <c r="AZ44" s="171">
        <f>Assumptions!BA187</f>
        <v>19152.80393</v>
      </c>
      <c r="BA44" s="171">
        <f>Assumptions!BB187</f>
        <v>19160.96322</v>
      </c>
      <c r="BB44" s="171">
        <f>Assumptions!BC187</f>
        <v>19168.71456</v>
      </c>
      <c r="BC44" s="171">
        <f>Assumptions!BD187</f>
        <v>19176.07832</v>
      </c>
      <c r="BD44" s="171">
        <f>Assumptions!BE187</f>
        <v>19183.0739</v>
      </c>
      <c r="BE44" s="171">
        <f>Assumptions!BF187</f>
        <v>19189.71969</v>
      </c>
      <c r="BF44" s="171">
        <f>Assumptions!BG187</f>
        <v>19196.0332</v>
      </c>
      <c r="BG44" s="171">
        <f>Assumptions!BH187</f>
        <v>19202.03103</v>
      </c>
      <c r="BH44" s="171">
        <f>Assumptions!BI187</f>
        <v>19207.72897</v>
      </c>
      <c r="BI44" s="171">
        <f>Assumptions!BJ187</f>
        <v>19213.14202</v>
      </c>
      <c r="BJ44" s="171">
        <f>Assumptions!BK187</f>
        <v>19218.28441</v>
      </c>
      <c r="BK44" s="171">
        <f>Assumptions!BL187</f>
        <v>19223.16968</v>
      </c>
      <c r="BL44" s="171">
        <f>Assumptions!BM187</f>
        <v>19227.81069</v>
      </c>
      <c r="BM44" s="171">
        <f>Assumptions!BN187</f>
        <v>19232.21965</v>
      </c>
      <c r="BN44" s="171"/>
    </row>
    <row r="45" outlineLevel="1">
      <c r="A45" s="171"/>
      <c r="B45" s="190" t="s">
        <v>175</v>
      </c>
      <c r="C45" s="191"/>
      <c r="D45" s="191"/>
      <c r="E45" s="191"/>
      <c r="F45" s="190">
        <f t="shared" ref="F45:BM45" si="15">F44</f>
        <v>17606.33125</v>
      </c>
      <c r="G45" s="190">
        <f t="shared" si="15"/>
        <v>17709.93466</v>
      </c>
      <c r="H45" s="190">
        <f t="shared" si="15"/>
        <v>17808.39672</v>
      </c>
      <c r="I45" s="190">
        <f t="shared" si="15"/>
        <v>17901.93627</v>
      </c>
      <c r="J45" s="190">
        <f t="shared" si="15"/>
        <v>17990.79885</v>
      </c>
      <c r="K45" s="190">
        <f t="shared" si="15"/>
        <v>18075.21829</v>
      </c>
      <c r="L45" s="190">
        <f t="shared" si="15"/>
        <v>18155.41677</v>
      </c>
      <c r="M45" s="190">
        <f t="shared" si="15"/>
        <v>18231.60532</v>
      </c>
      <c r="N45" s="190">
        <f t="shared" si="15"/>
        <v>18303.98445</v>
      </c>
      <c r="O45" s="190">
        <f t="shared" si="15"/>
        <v>18372.74462</v>
      </c>
      <c r="P45" s="190">
        <f t="shared" si="15"/>
        <v>18281.72231</v>
      </c>
      <c r="Q45" s="190">
        <f t="shared" si="15"/>
        <v>18333.43569</v>
      </c>
      <c r="R45" s="190">
        <f t="shared" si="15"/>
        <v>18382.5634</v>
      </c>
      <c r="S45" s="190">
        <f t="shared" si="15"/>
        <v>18429.23472</v>
      </c>
      <c r="T45" s="190">
        <f t="shared" si="15"/>
        <v>18473.57248</v>
      </c>
      <c r="U45" s="190">
        <f t="shared" si="15"/>
        <v>18515.69335</v>
      </c>
      <c r="V45" s="190">
        <f t="shared" si="15"/>
        <v>18555.70817</v>
      </c>
      <c r="W45" s="190">
        <f t="shared" si="15"/>
        <v>18593.72225</v>
      </c>
      <c r="X45" s="190">
        <f t="shared" si="15"/>
        <v>18629.83563</v>
      </c>
      <c r="Y45" s="190">
        <f t="shared" si="15"/>
        <v>18664.14334</v>
      </c>
      <c r="Z45" s="190">
        <f t="shared" si="15"/>
        <v>18696.73567</v>
      </c>
      <c r="AA45" s="190">
        <f t="shared" si="15"/>
        <v>18727.69838</v>
      </c>
      <c r="AB45" s="190">
        <f t="shared" si="15"/>
        <v>18757.11295</v>
      </c>
      <c r="AC45" s="190">
        <f t="shared" si="15"/>
        <v>18785.0568</v>
      </c>
      <c r="AD45" s="190">
        <f t="shared" si="15"/>
        <v>18811.60345</v>
      </c>
      <c r="AE45" s="190">
        <f t="shared" si="15"/>
        <v>18836.82277</v>
      </c>
      <c r="AF45" s="190">
        <f t="shared" si="15"/>
        <v>18860.78112</v>
      </c>
      <c r="AG45" s="190">
        <f t="shared" si="15"/>
        <v>18883.54156</v>
      </c>
      <c r="AH45" s="190">
        <f t="shared" si="15"/>
        <v>18905.16397</v>
      </c>
      <c r="AI45" s="190">
        <f t="shared" si="15"/>
        <v>18925.70527</v>
      </c>
      <c r="AJ45" s="190">
        <f t="shared" si="15"/>
        <v>18945.2195</v>
      </c>
      <c r="AK45" s="190">
        <f t="shared" si="15"/>
        <v>18963.75801</v>
      </c>
      <c r="AL45" s="190">
        <f t="shared" si="15"/>
        <v>18981.36961</v>
      </c>
      <c r="AM45" s="190">
        <f t="shared" si="15"/>
        <v>18998.10062</v>
      </c>
      <c r="AN45" s="190">
        <f t="shared" si="15"/>
        <v>19013.99508</v>
      </c>
      <c r="AO45" s="190">
        <f t="shared" si="15"/>
        <v>19029.09482</v>
      </c>
      <c r="AP45" s="190">
        <f t="shared" si="15"/>
        <v>19043.43957</v>
      </c>
      <c r="AQ45" s="190">
        <f t="shared" si="15"/>
        <v>19057.06708</v>
      </c>
      <c r="AR45" s="190">
        <f t="shared" si="15"/>
        <v>19070.01322</v>
      </c>
      <c r="AS45" s="190">
        <f t="shared" si="15"/>
        <v>19082.31205</v>
      </c>
      <c r="AT45" s="190">
        <f t="shared" si="15"/>
        <v>19093.99594</v>
      </c>
      <c r="AU45" s="190">
        <f t="shared" si="15"/>
        <v>19105.09564</v>
      </c>
      <c r="AV45" s="190">
        <f t="shared" si="15"/>
        <v>19115.64035</v>
      </c>
      <c r="AW45" s="190">
        <f t="shared" si="15"/>
        <v>19125.65782</v>
      </c>
      <c r="AX45" s="190">
        <f t="shared" si="15"/>
        <v>19135.17442</v>
      </c>
      <c r="AY45" s="190">
        <f t="shared" si="15"/>
        <v>19144.2152</v>
      </c>
      <c r="AZ45" s="190">
        <f t="shared" si="15"/>
        <v>19152.80393</v>
      </c>
      <c r="BA45" s="190">
        <f t="shared" si="15"/>
        <v>19160.96322</v>
      </c>
      <c r="BB45" s="190">
        <f t="shared" si="15"/>
        <v>19168.71456</v>
      </c>
      <c r="BC45" s="190">
        <f t="shared" si="15"/>
        <v>19176.07832</v>
      </c>
      <c r="BD45" s="190">
        <f t="shared" si="15"/>
        <v>19183.0739</v>
      </c>
      <c r="BE45" s="190">
        <f t="shared" si="15"/>
        <v>19189.71969</v>
      </c>
      <c r="BF45" s="190">
        <f t="shared" si="15"/>
        <v>19196.0332</v>
      </c>
      <c r="BG45" s="190">
        <f t="shared" si="15"/>
        <v>19202.03103</v>
      </c>
      <c r="BH45" s="190">
        <f t="shared" si="15"/>
        <v>19207.72897</v>
      </c>
      <c r="BI45" s="190">
        <f t="shared" si="15"/>
        <v>19213.14202</v>
      </c>
      <c r="BJ45" s="190">
        <f t="shared" si="15"/>
        <v>19218.28441</v>
      </c>
      <c r="BK45" s="190">
        <f t="shared" si="15"/>
        <v>19223.16968</v>
      </c>
      <c r="BL45" s="190">
        <f t="shared" si="15"/>
        <v>19227.81069</v>
      </c>
      <c r="BM45" s="190">
        <f t="shared" si="15"/>
        <v>19232.21965</v>
      </c>
      <c r="BN45" s="171"/>
    </row>
    <row r="46" outlineLevel="1">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1"/>
      <c r="BF46" s="171"/>
      <c r="BG46" s="171"/>
      <c r="BH46" s="171"/>
      <c r="BI46" s="171"/>
      <c r="BJ46" s="171"/>
      <c r="BK46" s="171"/>
      <c r="BL46" s="171"/>
      <c r="BM46" s="171"/>
      <c r="BN46" s="171"/>
    </row>
    <row r="47" outlineLevel="1">
      <c r="A47" s="171"/>
      <c r="B47" s="186" t="s">
        <v>176</v>
      </c>
      <c r="C47" s="171"/>
      <c r="D47" s="171"/>
      <c r="E47" s="192" t="s">
        <v>177</v>
      </c>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1"/>
      <c r="BG47" s="171"/>
      <c r="BH47" s="171"/>
      <c r="BI47" s="171"/>
      <c r="BJ47" s="171"/>
      <c r="BK47" s="171"/>
      <c r="BL47" s="171"/>
      <c r="BM47" s="171"/>
      <c r="BN47" s="171"/>
    </row>
    <row r="48" outlineLevel="1">
      <c r="A48" s="171"/>
      <c r="B48" s="181" t="s">
        <v>178</v>
      </c>
      <c r="C48" s="171"/>
      <c r="D48" s="171"/>
      <c r="E48" s="193">
        <f>Assumptions!C169</f>
        <v>500000</v>
      </c>
      <c r="F48" s="171">
        <f>E48</f>
        <v>500000</v>
      </c>
      <c r="G48" s="171">
        <f>Assumptions!H201+$E48</f>
        <v>500000</v>
      </c>
      <c r="H48" s="171">
        <f>Assumptions!I201+$E48</f>
        <v>500000</v>
      </c>
      <c r="I48" s="171">
        <f>Assumptions!J201+$E48</f>
        <v>500000</v>
      </c>
      <c r="J48" s="171">
        <f>Assumptions!K201+$E48</f>
        <v>500000</v>
      </c>
      <c r="K48" s="171">
        <f>Assumptions!L201+$E48</f>
        <v>500000</v>
      </c>
      <c r="L48" s="171">
        <f>Assumptions!M201+$E48</f>
        <v>500000</v>
      </c>
      <c r="M48" s="171">
        <f>Assumptions!N201+$E48</f>
        <v>500000</v>
      </c>
      <c r="N48" s="171">
        <f>Assumptions!O201+$E48</f>
        <v>500000</v>
      </c>
      <c r="O48" s="171">
        <f>Assumptions!P201+$E48</f>
        <v>500000</v>
      </c>
      <c r="P48" s="171">
        <f>Assumptions!Q201+$E48</f>
        <v>500000</v>
      </c>
      <c r="Q48" s="171">
        <f>Assumptions!R201+$E48</f>
        <v>500000</v>
      </c>
      <c r="R48" s="171">
        <f>Assumptions!S201+$E48</f>
        <v>500000</v>
      </c>
      <c r="S48" s="171">
        <f>Assumptions!T201+$E48</f>
        <v>500000</v>
      </c>
      <c r="T48" s="171">
        <f>Assumptions!U201+$E48</f>
        <v>500000</v>
      </c>
      <c r="U48" s="171">
        <f>Assumptions!V201+$E48</f>
        <v>500000</v>
      </c>
      <c r="V48" s="171">
        <f>Assumptions!W201+$E48</f>
        <v>500000</v>
      </c>
      <c r="W48" s="171">
        <f>Assumptions!X201+$E48</f>
        <v>500000</v>
      </c>
      <c r="X48" s="171">
        <f>Assumptions!Y201+$E48</f>
        <v>500000</v>
      </c>
      <c r="Y48" s="171">
        <f>Assumptions!Z201+$E48</f>
        <v>500000</v>
      </c>
      <c r="Z48" s="171">
        <f>Assumptions!AA201+$E48</f>
        <v>500000</v>
      </c>
      <c r="AA48" s="171">
        <f>Assumptions!AB201+$E48</f>
        <v>500000</v>
      </c>
      <c r="AB48" s="171">
        <f>Assumptions!AC201+$E48</f>
        <v>500000</v>
      </c>
      <c r="AC48" s="171">
        <f>Assumptions!AD201+$E48</f>
        <v>500000</v>
      </c>
      <c r="AD48" s="171">
        <f>Assumptions!AE201+$E48</f>
        <v>500000</v>
      </c>
      <c r="AE48" s="171">
        <f>Assumptions!AF201+$E48</f>
        <v>500000</v>
      </c>
      <c r="AF48" s="171">
        <f>Assumptions!AG201+$E48</f>
        <v>500000</v>
      </c>
      <c r="AG48" s="171">
        <f>Assumptions!AH201+$E48</f>
        <v>500000</v>
      </c>
      <c r="AH48" s="171">
        <f>Assumptions!AI201+$E48</f>
        <v>500000</v>
      </c>
      <c r="AI48" s="171">
        <f>Assumptions!AJ201+$E48</f>
        <v>500000</v>
      </c>
      <c r="AJ48" s="171">
        <f>Assumptions!AK201+$E48</f>
        <v>500000</v>
      </c>
      <c r="AK48" s="171">
        <f>Assumptions!AL201+$E48</f>
        <v>500000</v>
      </c>
      <c r="AL48" s="171">
        <f>Assumptions!AM201+$E48</f>
        <v>500000</v>
      </c>
      <c r="AM48" s="171">
        <f>Assumptions!AN201+$E48</f>
        <v>500000</v>
      </c>
      <c r="AN48" s="171">
        <f>Assumptions!AO201+$E48</f>
        <v>500000</v>
      </c>
      <c r="AO48" s="171">
        <f>Assumptions!AP201+$E48</f>
        <v>500000</v>
      </c>
      <c r="AP48" s="171">
        <f>Assumptions!AQ201+$E48</f>
        <v>500000</v>
      </c>
      <c r="AQ48" s="171">
        <f>Assumptions!AR201+$E48</f>
        <v>500000</v>
      </c>
      <c r="AR48" s="171">
        <f>Assumptions!AS201+$E48</f>
        <v>500000</v>
      </c>
      <c r="AS48" s="171">
        <f>Assumptions!AT201+$E48</f>
        <v>500000</v>
      </c>
      <c r="AT48" s="171">
        <f>Assumptions!AU201+$E48</f>
        <v>500000</v>
      </c>
      <c r="AU48" s="171">
        <f>Assumptions!AV201+$E48</f>
        <v>500000</v>
      </c>
      <c r="AV48" s="171">
        <f>Assumptions!AW201+$E48</f>
        <v>500000</v>
      </c>
      <c r="AW48" s="171">
        <f>Assumptions!AX201+$E48</f>
        <v>500000</v>
      </c>
      <c r="AX48" s="171">
        <f>Assumptions!AY201+$E48</f>
        <v>500000</v>
      </c>
      <c r="AY48" s="171">
        <f>Assumptions!AZ201+$E48</f>
        <v>500000</v>
      </c>
      <c r="AZ48" s="171">
        <f>Assumptions!BA201+$E48</f>
        <v>500000</v>
      </c>
      <c r="BA48" s="171">
        <f>Assumptions!BB201+$E48</f>
        <v>500000</v>
      </c>
      <c r="BB48" s="171">
        <f>Assumptions!BC201+$E48</f>
        <v>500000</v>
      </c>
      <c r="BC48" s="171">
        <f>Assumptions!BD201+$E48</f>
        <v>500000</v>
      </c>
      <c r="BD48" s="171">
        <f>Assumptions!BE201+$E48</f>
        <v>500000</v>
      </c>
      <c r="BE48" s="171">
        <f>Assumptions!BF201+$E48</f>
        <v>500000</v>
      </c>
      <c r="BF48" s="171">
        <f>Assumptions!BG201+$E48</f>
        <v>500000</v>
      </c>
      <c r="BG48" s="171">
        <f>Assumptions!BH201+$E48</f>
        <v>500000</v>
      </c>
      <c r="BH48" s="171">
        <f>Assumptions!BI201+$E48</f>
        <v>500000</v>
      </c>
      <c r="BI48" s="171">
        <f>Assumptions!BJ201+$E48</f>
        <v>500000</v>
      </c>
      <c r="BJ48" s="171">
        <f>Assumptions!BK201+$E48</f>
        <v>500000</v>
      </c>
      <c r="BK48" s="171">
        <f>Assumptions!BL201+$E48</f>
        <v>500000</v>
      </c>
      <c r="BL48" s="171">
        <f>Assumptions!BM201+$E48</f>
        <v>500000</v>
      </c>
      <c r="BM48" s="171">
        <f>Assumptions!BN201+$E48</f>
        <v>500000</v>
      </c>
      <c r="BN48" s="171"/>
    </row>
    <row r="49" outlineLevel="1">
      <c r="A49" s="171"/>
      <c r="B49" s="181" t="s">
        <v>179</v>
      </c>
      <c r="C49" s="171"/>
      <c r="D49" s="171"/>
      <c r="E49" s="171"/>
      <c r="F49" s="171">
        <f t="shared" ref="F49:BM49" si="16">E49+F27</f>
        <v>-236811.4125</v>
      </c>
      <c r="G49" s="171">
        <f t="shared" si="16"/>
        <v>-473439.0756</v>
      </c>
      <c r="H49" s="171">
        <f t="shared" si="16"/>
        <v>-709892.1078</v>
      </c>
      <c r="I49" s="171">
        <f t="shared" si="16"/>
        <v>-946179.2397</v>
      </c>
      <c r="J49" s="171">
        <f t="shared" si="16"/>
        <v>-1182308.766</v>
      </c>
      <c r="K49" s="171">
        <f t="shared" si="16"/>
        <v>-1418288.568</v>
      </c>
      <c r="L49" s="171">
        <f t="shared" si="16"/>
        <v>-1654126.13</v>
      </c>
      <c r="M49" s="171">
        <f t="shared" si="16"/>
        <v>-1889828.566</v>
      </c>
      <c r="N49" s="171">
        <f t="shared" si="16"/>
        <v>-2125402.632</v>
      </c>
      <c r="O49" s="171">
        <f t="shared" si="16"/>
        <v>-2360854.745</v>
      </c>
      <c r="P49" s="171">
        <f t="shared" si="16"/>
        <v>-2596468.294</v>
      </c>
      <c r="Q49" s="171">
        <f t="shared" si="16"/>
        <v>-2831990.125</v>
      </c>
      <c r="R49" s="171">
        <f t="shared" si="16"/>
        <v>-3067424.824</v>
      </c>
      <c r="S49" s="171">
        <f t="shared" si="16"/>
        <v>-3302776.747</v>
      </c>
      <c r="T49" s="171">
        <f t="shared" si="16"/>
        <v>-3538050.034</v>
      </c>
      <c r="U49" s="171">
        <f t="shared" si="16"/>
        <v>-3773248.615</v>
      </c>
      <c r="V49" s="171">
        <f t="shared" si="16"/>
        <v>-4008376.227</v>
      </c>
      <c r="W49" s="171">
        <f t="shared" si="16"/>
        <v>-4243436.418</v>
      </c>
      <c r="X49" s="171">
        <f t="shared" si="16"/>
        <v>-4478432.559</v>
      </c>
      <c r="Y49" s="171">
        <f t="shared" si="16"/>
        <v>-4713367.852</v>
      </c>
      <c r="Z49" s="171">
        <f t="shared" si="16"/>
        <v>-4948245.339</v>
      </c>
      <c r="AA49" s="171">
        <f t="shared" si="16"/>
        <v>-5183067.912</v>
      </c>
      <c r="AB49" s="171">
        <f t="shared" si="16"/>
        <v>-5417838.315</v>
      </c>
      <c r="AC49" s="171">
        <f t="shared" si="16"/>
        <v>-5652559.158</v>
      </c>
      <c r="AD49" s="171">
        <f t="shared" si="16"/>
        <v>-5887232.918</v>
      </c>
      <c r="AE49" s="171">
        <f t="shared" si="16"/>
        <v>-6121861.949</v>
      </c>
      <c r="AF49" s="171">
        <f t="shared" si="16"/>
        <v>-6356448.488</v>
      </c>
      <c r="AG49" s="171">
        <f t="shared" si="16"/>
        <v>-6590994.66</v>
      </c>
      <c r="AH49" s="171">
        <f t="shared" si="16"/>
        <v>-6825502.482</v>
      </c>
      <c r="AI49" s="171">
        <f t="shared" si="16"/>
        <v>-7059973.873</v>
      </c>
      <c r="AJ49" s="171">
        <f t="shared" si="16"/>
        <v>-7294410.654</v>
      </c>
      <c r="AK49" s="171">
        <f t="shared" si="16"/>
        <v>-7528814.554</v>
      </c>
      <c r="AL49" s="171">
        <f t="shared" si="16"/>
        <v>-7763187.22</v>
      </c>
      <c r="AM49" s="171">
        <f t="shared" si="16"/>
        <v>-7997530.211</v>
      </c>
      <c r="AN49" s="171">
        <f t="shared" si="16"/>
        <v>-8231845.012</v>
      </c>
      <c r="AO49" s="171">
        <f t="shared" si="16"/>
        <v>-8466133.033</v>
      </c>
      <c r="AP49" s="171">
        <f t="shared" si="16"/>
        <v>-8700395.612</v>
      </c>
      <c r="AQ49" s="171">
        <f t="shared" si="16"/>
        <v>-8934634.021</v>
      </c>
      <c r="AR49" s="171">
        <f t="shared" si="16"/>
        <v>-9168849.469</v>
      </c>
      <c r="AS49" s="171">
        <f t="shared" si="16"/>
        <v>-9403043.104</v>
      </c>
      <c r="AT49" s="171">
        <f t="shared" si="16"/>
        <v>-9637216.017</v>
      </c>
      <c r="AU49" s="171">
        <f t="shared" si="16"/>
        <v>-9871369.244</v>
      </c>
      <c r="AV49" s="171">
        <f t="shared" si="16"/>
        <v>-10105503.77</v>
      </c>
      <c r="AW49" s="171">
        <f t="shared" si="16"/>
        <v>-10339620.53</v>
      </c>
      <c r="AX49" s="171">
        <f t="shared" si="16"/>
        <v>-10573720.41</v>
      </c>
      <c r="AY49" s="171">
        <f t="shared" si="16"/>
        <v>-10807804.25</v>
      </c>
      <c r="AZ49" s="171">
        <f t="shared" si="16"/>
        <v>-11041872.86</v>
      </c>
      <c r="BA49" s="171">
        <f t="shared" si="16"/>
        <v>-11275927</v>
      </c>
      <c r="BB49" s="171">
        <f t="shared" si="16"/>
        <v>-11509967.4</v>
      </c>
      <c r="BC49" s="171">
        <f t="shared" si="16"/>
        <v>-11743994.73</v>
      </c>
      <c r="BD49" s="171">
        <f t="shared" si="16"/>
        <v>-11978009.65</v>
      </c>
      <c r="BE49" s="171">
        <f t="shared" si="16"/>
        <v>-12212012.79</v>
      </c>
      <c r="BF49" s="171">
        <f t="shared" si="16"/>
        <v>-12446004.73</v>
      </c>
      <c r="BG49" s="171">
        <f t="shared" si="16"/>
        <v>-12679986.04</v>
      </c>
      <c r="BH49" s="171">
        <f t="shared" si="16"/>
        <v>-12913957.24</v>
      </c>
      <c r="BI49" s="171">
        <f t="shared" si="16"/>
        <v>-13147918.83</v>
      </c>
      <c r="BJ49" s="171">
        <f t="shared" si="16"/>
        <v>-13381871.31</v>
      </c>
      <c r="BK49" s="171">
        <f t="shared" si="16"/>
        <v>-13615815.12</v>
      </c>
      <c r="BL49" s="171">
        <f t="shared" si="16"/>
        <v>-13849750.7</v>
      </c>
      <c r="BM49" s="171">
        <f t="shared" si="16"/>
        <v>-14083678.46</v>
      </c>
      <c r="BN49" s="171"/>
    </row>
    <row r="50" outlineLevel="1">
      <c r="A50" s="171"/>
      <c r="B50" s="190" t="s">
        <v>180</v>
      </c>
      <c r="C50" s="191"/>
      <c r="D50" s="191"/>
      <c r="E50" s="191"/>
      <c r="F50" s="190">
        <f t="shared" ref="F50:BM50" si="17">SUM(F48:F49)</f>
        <v>263188.5875</v>
      </c>
      <c r="G50" s="190">
        <f t="shared" si="17"/>
        <v>26560.92444</v>
      </c>
      <c r="H50" s="190">
        <f t="shared" si="17"/>
        <v>-209892.1078</v>
      </c>
      <c r="I50" s="190">
        <f t="shared" si="17"/>
        <v>-446179.2397</v>
      </c>
      <c r="J50" s="190">
        <f t="shared" si="17"/>
        <v>-682308.7663</v>
      </c>
      <c r="K50" s="190">
        <f t="shared" si="17"/>
        <v>-918288.5678</v>
      </c>
      <c r="L50" s="190">
        <f t="shared" si="17"/>
        <v>-1154126.13</v>
      </c>
      <c r="M50" s="190">
        <f t="shared" si="17"/>
        <v>-1389828.566</v>
      </c>
      <c r="N50" s="190">
        <f t="shared" si="17"/>
        <v>-1625402.632</v>
      </c>
      <c r="O50" s="190">
        <f t="shared" si="17"/>
        <v>-1860854.745</v>
      </c>
      <c r="P50" s="190">
        <f t="shared" si="17"/>
        <v>-2096468.294</v>
      </c>
      <c r="Q50" s="190">
        <f t="shared" si="17"/>
        <v>-2331990.125</v>
      </c>
      <c r="R50" s="190">
        <f t="shared" si="17"/>
        <v>-2567424.824</v>
      </c>
      <c r="S50" s="190">
        <f t="shared" si="17"/>
        <v>-2802776.747</v>
      </c>
      <c r="T50" s="190">
        <f t="shared" si="17"/>
        <v>-3038050.034</v>
      </c>
      <c r="U50" s="190">
        <f t="shared" si="17"/>
        <v>-3273248.615</v>
      </c>
      <c r="V50" s="190">
        <f t="shared" si="17"/>
        <v>-3508376.227</v>
      </c>
      <c r="W50" s="190">
        <f t="shared" si="17"/>
        <v>-3743436.418</v>
      </c>
      <c r="X50" s="190">
        <f t="shared" si="17"/>
        <v>-3978432.559</v>
      </c>
      <c r="Y50" s="190">
        <f t="shared" si="17"/>
        <v>-4213367.852</v>
      </c>
      <c r="Z50" s="190">
        <f t="shared" si="17"/>
        <v>-4448245.339</v>
      </c>
      <c r="AA50" s="190">
        <f t="shared" si="17"/>
        <v>-4683067.912</v>
      </c>
      <c r="AB50" s="190">
        <f t="shared" si="17"/>
        <v>-4917838.315</v>
      </c>
      <c r="AC50" s="190">
        <f t="shared" si="17"/>
        <v>-5152559.158</v>
      </c>
      <c r="AD50" s="190">
        <f t="shared" si="17"/>
        <v>-5387232.918</v>
      </c>
      <c r="AE50" s="190">
        <f t="shared" si="17"/>
        <v>-5621861.949</v>
      </c>
      <c r="AF50" s="190">
        <f t="shared" si="17"/>
        <v>-5856448.488</v>
      </c>
      <c r="AG50" s="190">
        <f t="shared" si="17"/>
        <v>-6090994.66</v>
      </c>
      <c r="AH50" s="190">
        <f t="shared" si="17"/>
        <v>-6325502.482</v>
      </c>
      <c r="AI50" s="190">
        <f t="shared" si="17"/>
        <v>-6559973.873</v>
      </c>
      <c r="AJ50" s="190">
        <f t="shared" si="17"/>
        <v>-6794410.654</v>
      </c>
      <c r="AK50" s="190">
        <f t="shared" si="17"/>
        <v>-7028814.554</v>
      </c>
      <c r="AL50" s="190">
        <f t="shared" si="17"/>
        <v>-7263187.22</v>
      </c>
      <c r="AM50" s="190">
        <f t="shared" si="17"/>
        <v>-7497530.211</v>
      </c>
      <c r="AN50" s="190">
        <f t="shared" si="17"/>
        <v>-7731845.012</v>
      </c>
      <c r="AO50" s="190">
        <f t="shared" si="17"/>
        <v>-7966133.033</v>
      </c>
      <c r="AP50" s="190">
        <f t="shared" si="17"/>
        <v>-8200395.612</v>
      </c>
      <c r="AQ50" s="190">
        <f t="shared" si="17"/>
        <v>-8434634.021</v>
      </c>
      <c r="AR50" s="190">
        <f t="shared" si="17"/>
        <v>-8668849.469</v>
      </c>
      <c r="AS50" s="190">
        <f t="shared" si="17"/>
        <v>-8903043.104</v>
      </c>
      <c r="AT50" s="190">
        <f t="shared" si="17"/>
        <v>-9137216.017</v>
      </c>
      <c r="AU50" s="190">
        <f t="shared" si="17"/>
        <v>-9371369.244</v>
      </c>
      <c r="AV50" s="190">
        <f t="shared" si="17"/>
        <v>-9605503.769</v>
      </c>
      <c r="AW50" s="190">
        <f t="shared" si="17"/>
        <v>-9839620.526</v>
      </c>
      <c r="AX50" s="190">
        <f t="shared" si="17"/>
        <v>-10073720.41</v>
      </c>
      <c r="AY50" s="190">
        <f t="shared" si="17"/>
        <v>-10307804.25</v>
      </c>
      <c r="AZ50" s="190">
        <f t="shared" si="17"/>
        <v>-10541872.86</v>
      </c>
      <c r="BA50" s="190">
        <f t="shared" si="17"/>
        <v>-10775927</v>
      </c>
      <c r="BB50" s="190">
        <f t="shared" si="17"/>
        <v>-11009967.4</v>
      </c>
      <c r="BC50" s="190">
        <f t="shared" si="17"/>
        <v>-11243994.73</v>
      </c>
      <c r="BD50" s="190">
        <f t="shared" si="17"/>
        <v>-11478009.65</v>
      </c>
      <c r="BE50" s="190">
        <f t="shared" si="17"/>
        <v>-11712012.79</v>
      </c>
      <c r="BF50" s="190">
        <f t="shared" si="17"/>
        <v>-11946004.73</v>
      </c>
      <c r="BG50" s="190">
        <f t="shared" si="17"/>
        <v>-12179986.04</v>
      </c>
      <c r="BH50" s="190">
        <f t="shared" si="17"/>
        <v>-12413957.24</v>
      </c>
      <c r="BI50" s="190">
        <f t="shared" si="17"/>
        <v>-12647918.83</v>
      </c>
      <c r="BJ50" s="190">
        <f t="shared" si="17"/>
        <v>-12881871.31</v>
      </c>
      <c r="BK50" s="190">
        <f t="shared" si="17"/>
        <v>-13115815.12</v>
      </c>
      <c r="BL50" s="190">
        <f t="shared" si="17"/>
        <v>-13349750.7</v>
      </c>
      <c r="BM50" s="190">
        <f t="shared" si="17"/>
        <v>-13583678.46</v>
      </c>
      <c r="BN50" s="171"/>
    </row>
    <row r="51" outlineLevel="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1"/>
      <c r="AX51" s="171"/>
      <c r="AY51" s="171"/>
      <c r="AZ51" s="171"/>
      <c r="BA51" s="171"/>
      <c r="BB51" s="171"/>
      <c r="BC51" s="171"/>
      <c r="BD51" s="171"/>
      <c r="BE51" s="171"/>
      <c r="BF51" s="171"/>
      <c r="BG51" s="171"/>
      <c r="BH51" s="171"/>
      <c r="BI51" s="171"/>
      <c r="BJ51" s="171"/>
      <c r="BK51" s="171"/>
      <c r="BL51" s="171"/>
      <c r="BM51" s="171"/>
      <c r="BN51" s="171"/>
    </row>
    <row r="52" outlineLevel="1">
      <c r="A52" s="171"/>
      <c r="B52" s="174" t="s">
        <v>181</v>
      </c>
      <c r="C52" s="175"/>
      <c r="D52" s="175"/>
      <c r="E52" s="175"/>
      <c r="F52" s="176">
        <f t="shared" ref="F52:BM52" si="18">F50+F45</f>
        <v>280794.9188</v>
      </c>
      <c r="G52" s="176">
        <f t="shared" si="18"/>
        <v>44270.85909</v>
      </c>
      <c r="H52" s="176">
        <f t="shared" si="18"/>
        <v>-192083.7111</v>
      </c>
      <c r="I52" s="176">
        <f t="shared" si="18"/>
        <v>-428277.3034</v>
      </c>
      <c r="J52" s="176">
        <f t="shared" si="18"/>
        <v>-664317.9674</v>
      </c>
      <c r="K52" s="176">
        <f t="shared" si="18"/>
        <v>-900213.3495</v>
      </c>
      <c r="L52" s="176">
        <f t="shared" si="18"/>
        <v>-1135970.714</v>
      </c>
      <c r="M52" s="176">
        <f t="shared" si="18"/>
        <v>-1371596.961</v>
      </c>
      <c r="N52" s="176">
        <f t="shared" si="18"/>
        <v>-1607098.647</v>
      </c>
      <c r="O52" s="176">
        <f t="shared" si="18"/>
        <v>-1842482</v>
      </c>
      <c r="P52" s="176">
        <f t="shared" si="18"/>
        <v>-2078186.572</v>
      </c>
      <c r="Q52" s="176">
        <f t="shared" si="18"/>
        <v>-2313656.689</v>
      </c>
      <c r="R52" s="176">
        <f t="shared" si="18"/>
        <v>-2549042.261</v>
      </c>
      <c r="S52" s="176">
        <f t="shared" si="18"/>
        <v>-2784347.513</v>
      </c>
      <c r="T52" s="176">
        <f t="shared" si="18"/>
        <v>-3019576.461</v>
      </c>
      <c r="U52" s="176">
        <f t="shared" si="18"/>
        <v>-3254732.922</v>
      </c>
      <c r="V52" s="176">
        <f t="shared" si="18"/>
        <v>-3489820.519</v>
      </c>
      <c r="W52" s="176">
        <f t="shared" si="18"/>
        <v>-3724842.696</v>
      </c>
      <c r="X52" s="176">
        <f t="shared" si="18"/>
        <v>-3959802.723</v>
      </c>
      <c r="Y52" s="176">
        <f t="shared" si="18"/>
        <v>-4194703.708</v>
      </c>
      <c r="Z52" s="176">
        <f t="shared" si="18"/>
        <v>-4429548.604</v>
      </c>
      <c r="AA52" s="176">
        <f t="shared" si="18"/>
        <v>-4664340.214</v>
      </c>
      <c r="AB52" s="176">
        <f t="shared" si="18"/>
        <v>-4899081.202</v>
      </c>
      <c r="AC52" s="176">
        <f t="shared" si="18"/>
        <v>-5133774.101</v>
      </c>
      <c r="AD52" s="176">
        <f t="shared" si="18"/>
        <v>-5368421.315</v>
      </c>
      <c r="AE52" s="176">
        <f t="shared" si="18"/>
        <v>-5603025.127</v>
      </c>
      <c r="AF52" s="176">
        <f t="shared" si="18"/>
        <v>-5837587.707</v>
      </c>
      <c r="AG52" s="176">
        <f t="shared" si="18"/>
        <v>-6072111.118</v>
      </c>
      <c r="AH52" s="176">
        <f t="shared" si="18"/>
        <v>-6306597.318</v>
      </c>
      <c r="AI52" s="176">
        <f t="shared" si="18"/>
        <v>-6541048.168</v>
      </c>
      <c r="AJ52" s="176">
        <f t="shared" si="18"/>
        <v>-6775465.434</v>
      </c>
      <c r="AK52" s="176">
        <f t="shared" si="18"/>
        <v>-7009850.796</v>
      </c>
      <c r="AL52" s="176">
        <f t="shared" si="18"/>
        <v>-7244205.85</v>
      </c>
      <c r="AM52" s="176">
        <f t="shared" si="18"/>
        <v>-7478532.11</v>
      </c>
      <c r="AN52" s="176">
        <f t="shared" si="18"/>
        <v>-7712831.017</v>
      </c>
      <c r="AO52" s="176">
        <f t="shared" si="18"/>
        <v>-7947103.938</v>
      </c>
      <c r="AP52" s="176">
        <f t="shared" si="18"/>
        <v>-8181352.172</v>
      </c>
      <c r="AQ52" s="176">
        <f t="shared" si="18"/>
        <v>-8415576.954</v>
      </c>
      <c r="AR52" s="176">
        <f t="shared" si="18"/>
        <v>-8649779.456</v>
      </c>
      <c r="AS52" s="176">
        <f t="shared" si="18"/>
        <v>-8883960.792</v>
      </c>
      <c r="AT52" s="176">
        <f t="shared" si="18"/>
        <v>-9118122.021</v>
      </c>
      <c r="AU52" s="176">
        <f t="shared" si="18"/>
        <v>-9352264.148</v>
      </c>
      <c r="AV52" s="176">
        <f t="shared" si="18"/>
        <v>-9586388.128</v>
      </c>
      <c r="AW52" s="176">
        <f t="shared" si="18"/>
        <v>-9820494.869</v>
      </c>
      <c r="AX52" s="176">
        <f t="shared" si="18"/>
        <v>-10054585.23</v>
      </c>
      <c r="AY52" s="176">
        <f t="shared" si="18"/>
        <v>-10288660.04</v>
      </c>
      <c r="AZ52" s="176">
        <f t="shared" si="18"/>
        <v>-10522720.06</v>
      </c>
      <c r="BA52" s="176">
        <f t="shared" si="18"/>
        <v>-10756766.04</v>
      </c>
      <c r="BB52" s="176">
        <f t="shared" si="18"/>
        <v>-10990798.68</v>
      </c>
      <c r="BC52" s="176">
        <f t="shared" si="18"/>
        <v>-11224818.65</v>
      </c>
      <c r="BD52" s="176">
        <f t="shared" si="18"/>
        <v>-11458826.58</v>
      </c>
      <c r="BE52" s="176">
        <f t="shared" si="18"/>
        <v>-11692823.07</v>
      </c>
      <c r="BF52" s="176">
        <f t="shared" si="18"/>
        <v>-11926808.7</v>
      </c>
      <c r="BG52" s="176">
        <f t="shared" si="18"/>
        <v>-12160784.01</v>
      </c>
      <c r="BH52" s="176">
        <f t="shared" si="18"/>
        <v>-12394749.51</v>
      </c>
      <c r="BI52" s="176">
        <f t="shared" si="18"/>
        <v>-12628705.69</v>
      </c>
      <c r="BJ52" s="176">
        <f t="shared" si="18"/>
        <v>-12862653.02</v>
      </c>
      <c r="BK52" s="176">
        <f t="shared" si="18"/>
        <v>-13096591.95</v>
      </c>
      <c r="BL52" s="176">
        <f t="shared" si="18"/>
        <v>-13330522.89</v>
      </c>
      <c r="BM52" s="176">
        <f t="shared" si="18"/>
        <v>-13564446.24</v>
      </c>
      <c r="BN52" s="171"/>
    </row>
    <row r="53" outlineLevel="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1"/>
      <c r="BN53" s="171"/>
    </row>
    <row r="54" outlineLevel="1">
      <c r="A54" s="30"/>
      <c r="B54" s="194" t="s">
        <v>182</v>
      </c>
      <c r="C54" s="30"/>
      <c r="D54" s="30"/>
      <c r="E54" s="30"/>
      <c r="F54" s="195" t="str">
        <f t="shared" ref="F54:BM54" si="19">IF(ABS(F52-F40)&gt;0.001,"ERROR","OK")</f>
        <v>OK</v>
      </c>
      <c r="G54" s="195" t="str">
        <f t="shared" si="19"/>
        <v>OK</v>
      </c>
      <c r="H54" s="195" t="str">
        <f t="shared" si="19"/>
        <v>OK</v>
      </c>
      <c r="I54" s="195" t="str">
        <f t="shared" si="19"/>
        <v>OK</v>
      </c>
      <c r="J54" s="195" t="str">
        <f t="shared" si="19"/>
        <v>OK</v>
      </c>
      <c r="K54" s="195" t="str">
        <f t="shared" si="19"/>
        <v>OK</v>
      </c>
      <c r="L54" s="195" t="str">
        <f t="shared" si="19"/>
        <v>OK</v>
      </c>
      <c r="M54" s="195" t="str">
        <f t="shared" si="19"/>
        <v>OK</v>
      </c>
      <c r="N54" s="195" t="str">
        <f t="shared" si="19"/>
        <v>OK</v>
      </c>
      <c r="O54" s="195" t="str">
        <f t="shared" si="19"/>
        <v>OK</v>
      </c>
      <c r="P54" s="195" t="str">
        <f t="shared" si="19"/>
        <v>OK</v>
      </c>
      <c r="Q54" s="195" t="str">
        <f t="shared" si="19"/>
        <v>OK</v>
      </c>
      <c r="R54" s="195" t="str">
        <f t="shared" si="19"/>
        <v>OK</v>
      </c>
      <c r="S54" s="195" t="str">
        <f t="shared" si="19"/>
        <v>OK</v>
      </c>
      <c r="T54" s="195" t="str">
        <f t="shared" si="19"/>
        <v>OK</v>
      </c>
      <c r="U54" s="195" t="str">
        <f t="shared" si="19"/>
        <v>OK</v>
      </c>
      <c r="V54" s="195" t="str">
        <f t="shared" si="19"/>
        <v>OK</v>
      </c>
      <c r="W54" s="195" t="str">
        <f t="shared" si="19"/>
        <v>OK</v>
      </c>
      <c r="X54" s="195" t="str">
        <f t="shared" si="19"/>
        <v>OK</v>
      </c>
      <c r="Y54" s="195" t="str">
        <f t="shared" si="19"/>
        <v>OK</v>
      </c>
      <c r="Z54" s="195" t="str">
        <f t="shared" si="19"/>
        <v>OK</v>
      </c>
      <c r="AA54" s="195" t="str">
        <f t="shared" si="19"/>
        <v>OK</v>
      </c>
      <c r="AB54" s="195" t="str">
        <f t="shared" si="19"/>
        <v>OK</v>
      </c>
      <c r="AC54" s="195" t="str">
        <f t="shared" si="19"/>
        <v>OK</v>
      </c>
      <c r="AD54" s="195" t="str">
        <f t="shared" si="19"/>
        <v>OK</v>
      </c>
      <c r="AE54" s="195" t="str">
        <f t="shared" si="19"/>
        <v>OK</v>
      </c>
      <c r="AF54" s="195" t="str">
        <f t="shared" si="19"/>
        <v>OK</v>
      </c>
      <c r="AG54" s="195" t="str">
        <f t="shared" si="19"/>
        <v>OK</v>
      </c>
      <c r="AH54" s="195" t="str">
        <f t="shared" si="19"/>
        <v>OK</v>
      </c>
      <c r="AI54" s="195" t="str">
        <f t="shared" si="19"/>
        <v>OK</v>
      </c>
      <c r="AJ54" s="195" t="str">
        <f t="shared" si="19"/>
        <v>OK</v>
      </c>
      <c r="AK54" s="195" t="str">
        <f t="shared" si="19"/>
        <v>OK</v>
      </c>
      <c r="AL54" s="195" t="str">
        <f t="shared" si="19"/>
        <v>OK</v>
      </c>
      <c r="AM54" s="195" t="str">
        <f t="shared" si="19"/>
        <v>OK</v>
      </c>
      <c r="AN54" s="195" t="str">
        <f t="shared" si="19"/>
        <v>OK</v>
      </c>
      <c r="AO54" s="195" t="str">
        <f t="shared" si="19"/>
        <v>OK</v>
      </c>
      <c r="AP54" s="195" t="str">
        <f t="shared" si="19"/>
        <v>OK</v>
      </c>
      <c r="AQ54" s="195" t="str">
        <f t="shared" si="19"/>
        <v>OK</v>
      </c>
      <c r="AR54" s="195" t="str">
        <f t="shared" si="19"/>
        <v>OK</v>
      </c>
      <c r="AS54" s="195" t="str">
        <f t="shared" si="19"/>
        <v>OK</v>
      </c>
      <c r="AT54" s="195" t="str">
        <f t="shared" si="19"/>
        <v>OK</v>
      </c>
      <c r="AU54" s="195" t="str">
        <f t="shared" si="19"/>
        <v>OK</v>
      </c>
      <c r="AV54" s="195" t="str">
        <f t="shared" si="19"/>
        <v>OK</v>
      </c>
      <c r="AW54" s="195" t="str">
        <f t="shared" si="19"/>
        <v>OK</v>
      </c>
      <c r="AX54" s="195" t="str">
        <f t="shared" si="19"/>
        <v>OK</v>
      </c>
      <c r="AY54" s="195" t="str">
        <f t="shared" si="19"/>
        <v>OK</v>
      </c>
      <c r="AZ54" s="195" t="str">
        <f t="shared" si="19"/>
        <v>OK</v>
      </c>
      <c r="BA54" s="195" t="str">
        <f t="shared" si="19"/>
        <v>OK</v>
      </c>
      <c r="BB54" s="195" t="str">
        <f t="shared" si="19"/>
        <v>OK</v>
      </c>
      <c r="BC54" s="195" t="str">
        <f t="shared" si="19"/>
        <v>OK</v>
      </c>
      <c r="BD54" s="195" t="str">
        <f t="shared" si="19"/>
        <v>OK</v>
      </c>
      <c r="BE54" s="195" t="str">
        <f t="shared" si="19"/>
        <v>OK</v>
      </c>
      <c r="BF54" s="195" t="str">
        <f t="shared" si="19"/>
        <v>OK</v>
      </c>
      <c r="BG54" s="195" t="str">
        <f t="shared" si="19"/>
        <v>OK</v>
      </c>
      <c r="BH54" s="195" t="str">
        <f t="shared" si="19"/>
        <v>OK</v>
      </c>
      <c r="BI54" s="195" t="str">
        <f t="shared" si="19"/>
        <v>OK</v>
      </c>
      <c r="BJ54" s="195" t="str">
        <f t="shared" si="19"/>
        <v>OK</v>
      </c>
      <c r="BK54" s="195" t="str">
        <f t="shared" si="19"/>
        <v>OK</v>
      </c>
      <c r="BL54" s="195" t="str">
        <f t="shared" si="19"/>
        <v>OK</v>
      </c>
      <c r="BM54" s="195" t="str">
        <f t="shared" si="19"/>
        <v>OK</v>
      </c>
      <c r="BN54" s="30"/>
    </row>
    <row r="55">
      <c r="A55" s="30"/>
      <c r="B55" s="196"/>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166"/>
    </row>
    <row r="56">
      <c r="A56" s="30"/>
      <c r="B56" s="169" t="s">
        <v>183</v>
      </c>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66"/>
    </row>
    <row r="57" outlineLevel="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outlineLevel="1">
      <c r="A58" s="171"/>
      <c r="B58" s="180" t="s">
        <v>184</v>
      </c>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71"/>
      <c r="AM58" s="171"/>
      <c r="AN58" s="171"/>
      <c r="AO58" s="171"/>
      <c r="AP58" s="171"/>
      <c r="AQ58" s="171"/>
      <c r="AR58" s="171"/>
      <c r="AS58" s="171"/>
      <c r="AT58" s="171"/>
      <c r="AU58" s="171"/>
      <c r="AV58" s="171"/>
      <c r="AW58" s="171"/>
      <c r="AX58" s="171"/>
      <c r="AY58" s="171"/>
      <c r="AZ58" s="171"/>
      <c r="BA58" s="171"/>
      <c r="BB58" s="171"/>
      <c r="BC58" s="171"/>
      <c r="BD58" s="171"/>
      <c r="BE58" s="171"/>
      <c r="BF58" s="171"/>
      <c r="BG58" s="171"/>
      <c r="BH58" s="171"/>
      <c r="BI58" s="171"/>
      <c r="BJ58" s="171"/>
      <c r="BK58" s="171"/>
      <c r="BL58" s="171"/>
      <c r="BM58" s="171"/>
      <c r="BN58" s="171"/>
    </row>
    <row r="59" outlineLevel="1">
      <c r="A59" s="171"/>
      <c r="B59" s="181" t="s">
        <v>185</v>
      </c>
      <c r="C59" s="171"/>
      <c r="D59" s="171"/>
      <c r="E59" s="171"/>
      <c r="F59" s="171">
        <f t="shared" ref="F59:BM59" si="20">F49-E49</f>
        <v>-236811.4125</v>
      </c>
      <c r="G59" s="171">
        <f t="shared" si="20"/>
        <v>-236627.6631</v>
      </c>
      <c r="H59" s="171">
        <f t="shared" si="20"/>
        <v>-236453.0322</v>
      </c>
      <c r="I59" s="171">
        <f t="shared" si="20"/>
        <v>-236287.1319</v>
      </c>
      <c r="J59" s="171">
        <f t="shared" si="20"/>
        <v>-236129.5266</v>
      </c>
      <c r="K59" s="171">
        <f t="shared" si="20"/>
        <v>-235979.8015</v>
      </c>
      <c r="L59" s="171">
        <f t="shared" si="20"/>
        <v>-235837.5627</v>
      </c>
      <c r="M59" s="171">
        <f t="shared" si="20"/>
        <v>-235702.4358</v>
      </c>
      <c r="N59" s="171">
        <f t="shared" si="20"/>
        <v>-235574.0653</v>
      </c>
      <c r="O59" s="171">
        <f t="shared" si="20"/>
        <v>-235452.1133</v>
      </c>
      <c r="P59" s="171">
        <f t="shared" si="20"/>
        <v>-235613.5491</v>
      </c>
      <c r="Q59" s="171">
        <f t="shared" si="20"/>
        <v>-235521.831</v>
      </c>
      <c r="R59" s="171">
        <f t="shared" si="20"/>
        <v>-235434.6989</v>
      </c>
      <c r="S59" s="171">
        <f t="shared" si="20"/>
        <v>-235351.9233</v>
      </c>
      <c r="T59" s="171">
        <f t="shared" si="20"/>
        <v>-235273.2866</v>
      </c>
      <c r="U59" s="171">
        <f t="shared" si="20"/>
        <v>-235198.5816</v>
      </c>
      <c r="V59" s="171">
        <f t="shared" si="20"/>
        <v>-235127.6119</v>
      </c>
      <c r="W59" s="171">
        <f t="shared" si="20"/>
        <v>-235060.1907</v>
      </c>
      <c r="X59" s="171">
        <f t="shared" si="20"/>
        <v>-234996.1406</v>
      </c>
      <c r="Y59" s="171">
        <f t="shared" si="20"/>
        <v>-234935.2929</v>
      </c>
      <c r="Z59" s="171">
        <f t="shared" si="20"/>
        <v>-234877.4877</v>
      </c>
      <c r="AA59" s="171">
        <f t="shared" si="20"/>
        <v>-234822.5727</v>
      </c>
      <c r="AB59" s="171">
        <f t="shared" si="20"/>
        <v>-234770.4034</v>
      </c>
      <c r="AC59" s="171">
        <f t="shared" si="20"/>
        <v>-234720.8427</v>
      </c>
      <c r="AD59" s="171">
        <f t="shared" si="20"/>
        <v>-234673.7599</v>
      </c>
      <c r="AE59" s="171">
        <f t="shared" si="20"/>
        <v>-234629.0313</v>
      </c>
      <c r="AF59" s="171">
        <f t="shared" si="20"/>
        <v>-234586.5391</v>
      </c>
      <c r="AG59" s="171">
        <f t="shared" si="20"/>
        <v>-234546.1716</v>
      </c>
      <c r="AH59" s="171">
        <f t="shared" si="20"/>
        <v>-234507.8224</v>
      </c>
      <c r="AI59" s="171">
        <f t="shared" si="20"/>
        <v>-234471.3907</v>
      </c>
      <c r="AJ59" s="171">
        <f t="shared" si="20"/>
        <v>-234436.7805</v>
      </c>
      <c r="AK59" s="171">
        <f t="shared" si="20"/>
        <v>-234403.9009</v>
      </c>
      <c r="AL59" s="171">
        <f t="shared" si="20"/>
        <v>-234372.6652</v>
      </c>
      <c r="AM59" s="171">
        <f t="shared" si="20"/>
        <v>-234342.9914</v>
      </c>
      <c r="AN59" s="171">
        <f t="shared" si="20"/>
        <v>-234314.8012</v>
      </c>
      <c r="AO59" s="171">
        <f t="shared" si="20"/>
        <v>-234288.0205</v>
      </c>
      <c r="AP59" s="171">
        <f t="shared" si="20"/>
        <v>-234262.5789</v>
      </c>
      <c r="AQ59" s="171">
        <f t="shared" si="20"/>
        <v>-234238.4093</v>
      </c>
      <c r="AR59" s="171">
        <f t="shared" si="20"/>
        <v>-234215.4482</v>
      </c>
      <c r="AS59" s="171">
        <f t="shared" si="20"/>
        <v>-234193.6352</v>
      </c>
      <c r="AT59" s="171">
        <f t="shared" si="20"/>
        <v>-234172.9129</v>
      </c>
      <c r="AU59" s="171">
        <f t="shared" si="20"/>
        <v>-234153.2266</v>
      </c>
      <c r="AV59" s="171">
        <f t="shared" si="20"/>
        <v>-234134.5247</v>
      </c>
      <c r="AW59" s="171">
        <f t="shared" si="20"/>
        <v>-234116.7578</v>
      </c>
      <c r="AX59" s="171">
        <f t="shared" si="20"/>
        <v>-234099.8793</v>
      </c>
      <c r="AY59" s="171">
        <f t="shared" si="20"/>
        <v>-234083.8447</v>
      </c>
      <c r="AZ59" s="171">
        <f t="shared" si="20"/>
        <v>-234068.6119</v>
      </c>
      <c r="BA59" s="171">
        <f t="shared" si="20"/>
        <v>-234054.1407</v>
      </c>
      <c r="BB59" s="171">
        <f t="shared" si="20"/>
        <v>-234040.3931</v>
      </c>
      <c r="BC59" s="171">
        <f t="shared" si="20"/>
        <v>-234027.3328</v>
      </c>
      <c r="BD59" s="171">
        <f t="shared" si="20"/>
        <v>-234014.9255</v>
      </c>
      <c r="BE59" s="171">
        <f t="shared" si="20"/>
        <v>-234003.1387</v>
      </c>
      <c r="BF59" s="171">
        <f t="shared" si="20"/>
        <v>-233991.9411</v>
      </c>
      <c r="BG59" s="171">
        <f t="shared" si="20"/>
        <v>-233981.3034</v>
      </c>
      <c r="BH59" s="171">
        <f t="shared" si="20"/>
        <v>-233971.1977</v>
      </c>
      <c r="BI59" s="171">
        <f t="shared" si="20"/>
        <v>-233961.5972</v>
      </c>
      <c r="BJ59" s="171">
        <f t="shared" si="20"/>
        <v>-233952.4767</v>
      </c>
      <c r="BK59" s="171">
        <f t="shared" si="20"/>
        <v>-233943.8123</v>
      </c>
      <c r="BL59" s="171">
        <f t="shared" si="20"/>
        <v>-233935.581</v>
      </c>
      <c r="BM59" s="171">
        <f t="shared" si="20"/>
        <v>-233927.7614</v>
      </c>
      <c r="BN59" s="171"/>
    </row>
    <row r="60" outlineLevel="1">
      <c r="A60" s="171"/>
      <c r="B60" s="181" t="s">
        <v>162</v>
      </c>
      <c r="C60" s="171"/>
      <c r="D60" s="171"/>
      <c r="E60" s="171"/>
      <c r="F60" s="171">
        <f t="shared" ref="F60:BM60" si="21">E39-F39</f>
        <v>0</v>
      </c>
      <c r="G60" s="171">
        <f t="shared" si="21"/>
        <v>0</v>
      </c>
      <c r="H60" s="171">
        <f t="shared" si="21"/>
        <v>0</v>
      </c>
      <c r="I60" s="171">
        <f t="shared" si="21"/>
        <v>0</v>
      </c>
      <c r="J60" s="171">
        <f t="shared" si="21"/>
        <v>0</v>
      </c>
      <c r="K60" s="171">
        <f t="shared" si="21"/>
        <v>0</v>
      </c>
      <c r="L60" s="171">
        <f t="shared" si="21"/>
        <v>0</v>
      </c>
      <c r="M60" s="171">
        <f t="shared" si="21"/>
        <v>0</v>
      </c>
      <c r="N60" s="171">
        <f t="shared" si="21"/>
        <v>0</v>
      </c>
      <c r="O60" s="171">
        <f t="shared" si="21"/>
        <v>0</v>
      </c>
      <c r="P60" s="171">
        <f t="shared" si="21"/>
        <v>0</v>
      </c>
      <c r="Q60" s="171">
        <f t="shared" si="21"/>
        <v>0</v>
      </c>
      <c r="R60" s="171">
        <f t="shared" si="21"/>
        <v>0</v>
      </c>
      <c r="S60" s="171">
        <f t="shared" si="21"/>
        <v>0</v>
      </c>
      <c r="T60" s="171">
        <f t="shared" si="21"/>
        <v>0</v>
      </c>
      <c r="U60" s="171">
        <f t="shared" si="21"/>
        <v>0</v>
      </c>
      <c r="V60" s="171">
        <f t="shared" si="21"/>
        <v>0</v>
      </c>
      <c r="W60" s="171">
        <f t="shared" si="21"/>
        <v>0</v>
      </c>
      <c r="X60" s="171">
        <f t="shared" si="21"/>
        <v>0</v>
      </c>
      <c r="Y60" s="171">
        <f t="shared" si="21"/>
        <v>0</v>
      </c>
      <c r="Z60" s="171">
        <f t="shared" si="21"/>
        <v>0</v>
      </c>
      <c r="AA60" s="171">
        <f t="shared" si="21"/>
        <v>0</v>
      </c>
      <c r="AB60" s="171">
        <f t="shared" si="21"/>
        <v>0</v>
      </c>
      <c r="AC60" s="171">
        <f t="shared" si="21"/>
        <v>0</v>
      </c>
      <c r="AD60" s="171">
        <f t="shared" si="21"/>
        <v>0</v>
      </c>
      <c r="AE60" s="171">
        <f t="shared" si="21"/>
        <v>0</v>
      </c>
      <c r="AF60" s="171">
        <f t="shared" si="21"/>
        <v>0</v>
      </c>
      <c r="AG60" s="171">
        <f t="shared" si="21"/>
        <v>0</v>
      </c>
      <c r="AH60" s="171">
        <f t="shared" si="21"/>
        <v>0</v>
      </c>
      <c r="AI60" s="171">
        <f t="shared" si="21"/>
        <v>0</v>
      </c>
      <c r="AJ60" s="171">
        <f t="shared" si="21"/>
        <v>0</v>
      </c>
      <c r="AK60" s="171">
        <f t="shared" si="21"/>
        <v>0</v>
      </c>
      <c r="AL60" s="171">
        <f t="shared" si="21"/>
        <v>0</v>
      </c>
      <c r="AM60" s="171">
        <f t="shared" si="21"/>
        <v>0</v>
      </c>
      <c r="AN60" s="171">
        <f t="shared" si="21"/>
        <v>0</v>
      </c>
      <c r="AO60" s="171">
        <f t="shared" si="21"/>
        <v>0</v>
      </c>
      <c r="AP60" s="171">
        <f t="shared" si="21"/>
        <v>0</v>
      </c>
      <c r="AQ60" s="171">
        <f t="shared" si="21"/>
        <v>0</v>
      </c>
      <c r="AR60" s="171">
        <f t="shared" si="21"/>
        <v>0</v>
      </c>
      <c r="AS60" s="171">
        <f t="shared" si="21"/>
        <v>0</v>
      </c>
      <c r="AT60" s="171">
        <f t="shared" si="21"/>
        <v>0</v>
      </c>
      <c r="AU60" s="171">
        <f t="shared" si="21"/>
        <v>0</v>
      </c>
      <c r="AV60" s="171">
        <f t="shared" si="21"/>
        <v>0</v>
      </c>
      <c r="AW60" s="171">
        <f t="shared" si="21"/>
        <v>0</v>
      </c>
      <c r="AX60" s="171">
        <f t="shared" si="21"/>
        <v>0</v>
      </c>
      <c r="AY60" s="171">
        <f t="shared" si="21"/>
        <v>0</v>
      </c>
      <c r="AZ60" s="171">
        <f t="shared" si="21"/>
        <v>0</v>
      </c>
      <c r="BA60" s="171">
        <f t="shared" si="21"/>
        <v>0</v>
      </c>
      <c r="BB60" s="171">
        <f t="shared" si="21"/>
        <v>0</v>
      </c>
      <c r="BC60" s="171">
        <f t="shared" si="21"/>
        <v>0</v>
      </c>
      <c r="BD60" s="171">
        <f t="shared" si="21"/>
        <v>0</v>
      </c>
      <c r="BE60" s="171">
        <f t="shared" si="21"/>
        <v>0</v>
      </c>
      <c r="BF60" s="171">
        <f t="shared" si="21"/>
        <v>0</v>
      </c>
      <c r="BG60" s="171">
        <f t="shared" si="21"/>
        <v>0</v>
      </c>
      <c r="BH60" s="171">
        <f t="shared" si="21"/>
        <v>0</v>
      </c>
      <c r="BI60" s="171">
        <f t="shared" si="21"/>
        <v>0</v>
      </c>
      <c r="BJ60" s="171">
        <f t="shared" si="21"/>
        <v>0</v>
      </c>
      <c r="BK60" s="171">
        <f t="shared" si="21"/>
        <v>0</v>
      </c>
      <c r="BL60" s="171">
        <f t="shared" si="21"/>
        <v>0</v>
      </c>
      <c r="BM60" s="171">
        <f t="shared" si="21"/>
        <v>0</v>
      </c>
      <c r="BN60" s="171"/>
    </row>
    <row r="61" outlineLevel="1">
      <c r="A61" s="171"/>
      <c r="B61" s="181" t="s">
        <v>186</v>
      </c>
      <c r="C61" s="171"/>
      <c r="D61" s="171"/>
      <c r="E61" s="171"/>
      <c r="F61" s="171">
        <f t="shared" ref="F61:BM61" si="22">E35-F35</f>
        <v>-200.625</v>
      </c>
      <c r="G61" s="171">
        <f t="shared" si="22"/>
        <v>-195.478125</v>
      </c>
      <c r="H61" s="171">
        <f t="shared" si="22"/>
        <v>-185.7774844</v>
      </c>
      <c r="I61" s="171">
        <f t="shared" si="22"/>
        <v>-176.4897091</v>
      </c>
      <c r="J61" s="171">
        <f t="shared" si="22"/>
        <v>-167.6652402</v>
      </c>
      <c r="K61" s="171">
        <f t="shared" si="22"/>
        <v>-159.2819784</v>
      </c>
      <c r="L61" s="171">
        <f t="shared" si="22"/>
        <v>-151.3178795</v>
      </c>
      <c r="M61" s="171">
        <f t="shared" si="22"/>
        <v>-143.7519855</v>
      </c>
      <c r="N61" s="171">
        <f t="shared" si="22"/>
        <v>-136.5643862</v>
      </c>
      <c r="O61" s="171">
        <f t="shared" si="22"/>
        <v>-129.7361669</v>
      </c>
      <c r="P61" s="171">
        <f t="shared" si="22"/>
        <v>171.7401937</v>
      </c>
      <c r="Q61" s="171">
        <f t="shared" si="22"/>
        <v>-97.57240888</v>
      </c>
      <c r="R61" s="171">
        <f t="shared" si="22"/>
        <v>-92.69378843</v>
      </c>
      <c r="S61" s="171">
        <f t="shared" si="22"/>
        <v>-88.05909901</v>
      </c>
      <c r="T61" s="171">
        <f t="shared" si="22"/>
        <v>-83.65614406</v>
      </c>
      <c r="U61" s="171">
        <f t="shared" si="22"/>
        <v>-79.47333686</v>
      </c>
      <c r="V61" s="171">
        <f t="shared" si="22"/>
        <v>-75.49967002</v>
      </c>
      <c r="W61" s="171">
        <f t="shared" si="22"/>
        <v>-71.72468651</v>
      </c>
      <c r="X61" s="171">
        <f t="shared" si="22"/>
        <v>-68.13845219</v>
      </c>
      <c r="Y61" s="171">
        <f t="shared" si="22"/>
        <v>-64.73152958</v>
      </c>
      <c r="Z61" s="171">
        <f t="shared" si="22"/>
        <v>-61.4949531</v>
      </c>
      <c r="AA61" s="171">
        <f t="shared" si="22"/>
        <v>-58.42020545</v>
      </c>
      <c r="AB61" s="171">
        <f t="shared" si="22"/>
        <v>-55.49919517</v>
      </c>
      <c r="AC61" s="171">
        <f t="shared" si="22"/>
        <v>-52.72423541</v>
      </c>
      <c r="AD61" s="171">
        <f t="shared" si="22"/>
        <v>-50.08802364</v>
      </c>
      <c r="AE61" s="171">
        <f t="shared" si="22"/>
        <v>-47.58362246</v>
      </c>
      <c r="AF61" s="171">
        <f t="shared" si="22"/>
        <v>-45.20444134</v>
      </c>
      <c r="AG61" s="171">
        <f t="shared" si="22"/>
        <v>-42.94421927</v>
      </c>
      <c r="AH61" s="171">
        <f t="shared" si="22"/>
        <v>-40.79700831</v>
      </c>
      <c r="AI61" s="171">
        <f t="shared" si="22"/>
        <v>-38.75715789</v>
      </c>
      <c r="AJ61" s="171">
        <f t="shared" si="22"/>
        <v>-36.8193</v>
      </c>
      <c r="AK61" s="171">
        <f t="shared" si="22"/>
        <v>-34.978335</v>
      </c>
      <c r="AL61" s="171">
        <f t="shared" si="22"/>
        <v>-33.22941825</v>
      </c>
      <c r="AM61" s="171">
        <f t="shared" si="22"/>
        <v>-31.56794734</v>
      </c>
      <c r="AN61" s="171">
        <f t="shared" si="22"/>
        <v>-29.98954997</v>
      </c>
      <c r="AO61" s="171">
        <f t="shared" si="22"/>
        <v>-28.49007247</v>
      </c>
      <c r="AP61" s="171">
        <f t="shared" si="22"/>
        <v>-27.06556885</v>
      </c>
      <c r="AQ61" s="171">
        <f t="shared" si="22"/>
        <v>-25.7122904</v>
      </c>
      <c r="AR61" s="171">
        <f t="shared" si="22"/>
        <v>-24.42667588</v>
      </c>
      <c r="AS61" s="171">
        <f t="shared" si="22"/>
        <v>-23.20534209</v>
      </c>
      <c r="AT61" s="171">
        <f t="shared" si="22"/>
        <v>-22.04507499</v>
      </c>
      <c r="AU61" s="171">
        <f t="shared" si="22"/>
        <v>-20.94282124</v>
      </c>
      <c r="AV61" s="171">
        <f t="shared" si="22"/>
        <v>-19.89568017</v>
      </c>
      <c r="AW61" s="171">
        <f t="shared" si="22"/>
        <v>-18.90089617</v>
      </c>
      <c r="AX61" s="171">
        <f t="shared" si="22"/>
        <v>-17.95585136</v>
      </c>
      <c r="AY61" s="171">
        <f t="shared" si="22"/>
        <v>-17.05805879</v>
      </c>
      <c r="AZ61" s="171">
        <f t="shared" si="22"/>
        <v>-16.20515585</v>
      </c>
      <c r="BA61" s="171">
        <f t="shared" si="22"/>
        <v>-15.39489806</v>
      </c>
      <c r="BB61" s="171">
        <f t="shared" si="22"/>
        <v>-14.62515315</v>
      </c>
      <c r="BC61" s="171">
        <f t="shared" si="22"/>
        <v>-13.8938955</v>
      </c>
      <c r="BD61" s="171">
        <f t="shared" si="22"/>
        <v>-13.19920072</v>
      </c>
      <c r="BE61" s="171">
        <f t="shared" si="22"/>
        <v>-12.53924069</v>
      </c>
      <c r="BF61" s="171">
        <f t="shared" si="22"/>
        <v>-11.91227865</v>
      </c>
      <c r="BG61" s="171">
        <f t="shared" si="22"/>
        <v>-11.31666472</v>
      </c>
      <c r="BH61" s="171">
        <f t="shared" si="22"/>
        <v>-10.75083148</v>
      </c>
      <c r="BI61" s="171">
        <f t="shared" si="22"/>
        <v>-10.21328991</v>
      </c>
      <c r="BJ61" s="171">
        <f t="shared" si="22"/>
        <v>-9.702625414</v>
      </c>
      <c r="BK61" s="171">
        <f t="shared" si="22"/>
        <v>-9.217494143</v>
      </c>
      <c r="BL61" s="171">
        <f t="shared" si="22"/>
        <v>-8.756619436</v>
      </c>
      <c r="BM61" s="171">
        <f t="shared" si="22"/>
        <v>-8.318788464</v>
      </c>
      <c r="BN61" s="171"/>
    </row>
    <row r="62" outlineLevel="1">
      <c r="A62" s="171"/>
      <c r="B62" s="181" t="s">
        <v>187</v>
      </c>
      <c r="C62" s="171"/>
      <c r="D62" s="171"/>
      <c r="E62" s="171"/>
      <c r="F62" s="171">
        <f t="shared" ref="F62:BM62" si="23">F44-E44</f>
        <v>17606.33125</v>
      </c>
      <c r="G62" s="171">
        <f t="shared" si="23"/>
        <v>103.6034063</v>
      </c>
      <c r="H62" s="171">
        <f t="shared" si="23"/>
        <v>98.46206672</v>
      </c>
      <c r="I62" s="171">
        <f t="shared" si="23"/>
        <v>93.53954584</v>
      </c>
      <c r="J62" s="171">
        <f t="shared" si="23"/>
        <v>88.86257729</v>
      </c>
      <c r="K62" s="171">
        <f t="shared" si="23"/>
        <v>84.41944856</v>
      </c>
      <c r="L62" s="171">
        <f t="shared" si="23"/>
        <v>80.19847613</v>
      </c>
      <c r="M62" s="171">
        <f t="shared" si="23"/>
        <v>76.18855232</v>
      </c>
      <c r="N62" s="171">
        <f t="shared" si="23"/>
        <v>72.37912471</v>
      </c>
      <c r="O62" s="171">
        <f t="shared" si="23"/>
        <v>68.76016847</v>
      </c>
      <c r="P62" s="171">
        <f t="shared" si="23"/>
        <v>-91.02230267</v>
      </c>
      <c r="Q62" s="171">
        <f t="shared" si="23"/>
        <v>51.7133767</v>
      </c>
      <c r="R62" s="171">
        <f t="shared" si="23"/>
        <v>49.12770787</v>
      </c>
      <c r="S62" s="171">
        <f t="shared" si="23"/>
        <v>46.67132248</v>
      </c>
      <c r="T62" s="171">
        <f t="shared" si="23"/>
        <v>44.33775635</v>
      </c>
      <c r="U62" s="171">
        <f t="shared" si="23"/>
        <v>42.12086853</v>
      </c>
      <c r="V62" s="171">
        <f t="shared" si="23"/>
        <v>40.01482511</v>
      </c>
      <c r="W62" s="171">
        <f t="shared" si="23"/>
        <v>38.01408385</v>
      </c>
      <c r="X62" s="171">
        <f t="shared" si="23"/>
        <v>36.11337966</v>
      </c>
      <c r="Y62" s="171">
        <f t="shared" si="23"/>
        <v>34.30771068</v>
      </c>
      <c r="Z62" s="171">
        <f t="shared" si="23"/>
        <v>32.59232514</v>
      </c>
      <c r="AA62" s="171">
        <f t="shared" si="23"/>
        <v>30.96270889</v>
      </c>
      <c r="AB62" s="171">
        <f t="shared" si="23"/>
        <v>29.41457344</v>
      </c>
      <c r="AC62" s="171">
        <f t="shared" si="23"/>
        <v>27.94384477</v>
      </c>
      <c r="AD62" s="171">
        <f t="shared" si="23"/>
        <v>26.54665253</v>
      </c>
      <c r="AE62" s="171">
        <f t="shared" si="23"/>
        <v>25.2193199</v>
      </c>
      <c r="AF62" s="171">
        <f t="shared" si="23"/>
        <v>23.95835391</v>
      </c>
      <c r="AG62" s="171">
        <f t="shared" si="23"/>
        <v>22.76043621</v>
      </c>
      <c r="AH62" s="171">
        <f t="shared" si="23"/>
        <v>21.6224144</v>
      </c>
      <c r="AI62" s="171">
        <f t="shared" si="23"/>
        <v>20.54129368</v>
      </c>
      <c r="AJ62" s="171">
        <f t="shared" si="23"/>
        <v>19.514229</v>
      </c>
      <c r="AK62" s="171">
        <f t="shared" si="23"/>
        <v>18.53851755</v>
      </c>
      <c r="AL62" s="171">
        <f t="shared" si="23"/>
        <v>17.61159167</v>
      </c>
      <c r="AM62" s="171">
        <f t="shared" si="23"/>
        <v>16.73101209</v>
      </c>
      <c r="AN62" s="171">
        <f t="shared" si="23"/>
        <v>15.89446148</v>
      </c>
      <c r="AO62" s="171">
        <f t="shared" si="23"/>
        <v>15.09973841</v>
      </c>
      <c r="AP62" s="171">
        <f t="shared" si="23"/>
        <v>14.34475149</v>
      </c>
      <c r="AQ62" s="171">
        <f t="shared" si="23"/>
        <v>13.62751391</v>
      </c>
      <c r="AR62" s="171">
        <f t="shared" si="23"/>
        <v>12.94613822</v>
      </c>
      <c r="AS62" s="171">
        <f t="shared" si="23"/>
        <v>12.29883131</v>
      </c>
      <c r="AT62" s="171">
        <f t="shared" si="23"/>
        <v>11.68388974</v>
      </c>
      <c r="AU62" s="171">
        <f t="shared" si="23"/>
        <v>11.09969526</v>
      </c>
      <c r="AV62" s="171">
        <f t="shared" si="23"/>
        <v>10.54471049</v>
      </c>
      <c r="AW62" s="171">
        <f t="shared" si="23"/>
        <v>10.01747497</v>
      </c>
      <c r="AX62" s="171">
        <f t="shared" si="23"/>
        <v>9.516601219</v>
      </c>
      <c r="AY62" s="171">
        <f t="shared" si="23"/>
        <v>9.040771159</v>
      </c>
      <c r="AZ62" s="171">
        <f t="shared" si="23"/>
        <v>8.588732601</v>
      </c>
      <c r="BA62" s="171">
        <f t="shared" si="23"/>
        <v>8.159295971</v>
      </c>
      <c r="BB62" s="171">
        <f t="shared" si="23"/>
        <v>7.751331172</v>
      </c>
      <c r="BC62" s="171">
        <f t="shared" si="23"/>
        <v>7.363764613</v>
      </c>
      <c r="BD62" s="171">
        <f t="shared" si="23"/>
        <v>6.995576383</v>
      </c>
      <c r="BE62" s="171">
        <f t="shared" si="23"/>
        <v>6.645797564</v>
      </c>
      <c r="BF62" s="171">
        <f t="shared" si="23"/>
        <v>6.313507685</v>
      </c>
      <c r="BG62" s="171">
        <f t="shared" si="23"/>
        <v>5.997832301</v>
      </c>
      <c r="BH62" s="171">
        <f t="shared" si="23"/>
        <v>5.697940686</v>
      </c>
      <c r="BI62" s="171">
        <f t="shared" si="23"/>
        <v>5.413043652</v>
      </c>
      <c r="BJ62" s="171">
        <f t="shared" si="23"/>
        <v>5.142391469</v>
      </c>
      <c r="BK62" s="171">
        <f t="shared" si="23"/>
        <v>4.885271896</v>
      </c>
      <c r="BL62" s="171">
        <f t="shared" si="23"/>
        <v>4.641008301</v>
      </c>
      <c r="BM62" s="171">
        <f t="shared" si="23"/>
        <v>4.408957886</v>
      </c>
      <c r="BN62" s="171"/>
    </row>
    <row r="63" outlineLevel="1">
      <c r="A63" s="171"/>
      <c r="B63" s="174" t="s">
        <v>188</v>
      </c>
      <c r="C63" s="175"/>
      <c r="D63" s="175"/>
      <c r="E63" s="175"/>
      <c r="F63" s="176">
        <f t="shared" ref="F63:BM63" si="24">SUM(F59:F62)</f>
        <v>-219405.7063</v>
      </c>
      <c r="G63" s="176">
        <f t="shared" si="24"/>
        <v>-236719.5378</v>
      </c>
      <c r="H63" s="176">
        <f t="shared" si="24"/>
        <v>-236540.3476</v>
      </c>
      <c r="I63" s="176">
        <f t="shared" si="24"/>
        <v>-236370.0821</v>
      </c>
      <c r="J63" s="176">
        <f t="shared" si="24"/>
        <v>-236208.3292</v>
      </c>
      <c r="K63" s="176">
        <f t="shared" si="24"/>
        <v>-236054.664</v>
      </c>
      <c r="L63" s="176">
        <f t="shared" si="24"/>
        <v>-235908.6821</v>
      </c>
      <c r="M63" s="176">
        <f t="shared" si="24"/>
        <v>-235769.9993</v>
      </c>
      <c r="N63" s="176">
        <f t="shared" si="24"/>
        <v>-235638.2506</v>
      </c>
      <c r="O63" s="176">
        <f t="shared" si="24"/>
        <v>-235513.0893</v>
      </c>
      <c r="P63" s="176">
        <f t="shared" si="24"/>
        <v>-235532.8312</v>
      </c>
      <c r="Q63" s="176">
        <f t="shared" si="24"/>
        <v>-235567.6901</v>
      </c>
      <c r="R63" s="176">
        <f t="shared" si="24"/>
        <v>-235478.265</v>
      </c>
      <c r="S63" s="176">
        <f t="shared" si="24"/>
        <v>-235393.3111</v>
      </c>
      <c r="T63" s="176">
        <f t="shared" si="24"/>
        <v>-235312.6049</v>
      </c>
      <c r="U63" s="176">
        <f t="shared" si="24"/>
        <v>-235235.9341</v>
      </c>
      <c r="V63" s="176">
        <f t="shared" si="24"/>
        <v>-235163.0968</v>
      </c>
      <c r="W63" s="176">
        <f t="shared" si="24"/>
        <v>-235093.9013</v>
      </c>
      <c r="X63" s="176">
        <f t="shared" si="24"/>
        <v>-235028.1656</v>
      </c>
      <c r="Y63" s="176">
        <f t="shared" si="24"/>
        <v>-234965.7168</v>
      </c>
      <c r="Z63" s="176">
        <f t="shared" si="24"/>
        <v>-234906.3903</v>
      </c>
      <c r="AA63" s="176">
        <f t="shared" si="24"/>
        <v>-234850.0302</v>
      </c>
      <c r="AB63" s="176">
        <f t="shared" si="24"/>
        <v>-234796.4881</v>
      </c>
      <c r="AC63" s="176">
        <f t="shared" si="24"/>
        <v>-234745.6231</v>
      </c>
      <c r="AD63" s="176">
        <f t="shared" si="24"/>
        <v>-234697.3013</v>
      </c>
      <c r="AE63" s="176">
        <f t="shared" si="24"/>
        <v>-234651.3956</v>
      </c>
      <c r="AF63" s="176">
        <f t="shared" si="24"/>
        <v>-234607.7852</v>
      </c>
      <c r="AG63" s="176">
        <f t="shared" si="24"/>
        <v>-234566.3554</v>
      </c>
      <c r="AH63" s="176">
        <f t="shared" si="24"/>
        <v>-234526.997</v>
      </c>
      <c r="AI63" s="176">
        <f t="shared" si="24"/>
        <v>-234489.6065</v>
      </c>
      <c r="AJ63" s="176">
        <f t="shared" si="24"/>
        <v>-234454.0856</v>
      </c>
      <c r="AK63" s="176">
        <f t="shared" si="24"/>
        <v>-234420.3407</v>
      </c>
      <c r="AL63" s="176">
        <f t="shared" si="24"/>
        <v>-234388.2831</v>
      </c>
      <c r="AM63" s="176">
        <f t="shared" si="24"/>
        <v>-234357.8283</v>
      </c>
      <c r="AN63" s="176">
        <f t="shared" si="24"/>
        <v>-234328.8963</v>
      </c>
      <c r="AO63" s="176">
        <f t="shared" si="24"/>
        <v>-234301.4108</v>
      </c>
      <c r="AP63" s="176">
        <f t="shared" si="24"/>
        <v>-234275.2997</v>
      </c>
      <c r="AQ63" s="176">
        <f t="shared" si="24"/>
        <v>-234250.4941</v>
      </c>
      <c r="AR63" s="176">
        <f t="shared" si="24"/>
        <v>-234226.9288</v>
      </c>
      <c r="AS63" s="176">
        <f t="shared" si="24"/>
        <v>-234204.5417</v>
      </c>
      <c r="AT63" s="176">
        <f t="shared" si="24"/>
        <v>-234183.274</v>
      </c>
      <c r="AU63" s="176">
        <f t="shared" si="24"/>
        <v>-234163.0697</v>
      </c>
      <c r="AV63" s="176">
        <f t="shared" si="24"/>
        <v>-234143.8756</v>
      </c>
      <c r="AW63" s="176">
        <f t="shared" si="24"/>
        <v>-234125.6412</v>
      </c>
      <c r="AX63" s="176">
        <f t="shared" si="24"/>
        <v>-234108.3186</v>
      </c>
      <c r="AY63" s="176">
        <f t="shared" si="24"/>
        <v>-234091.862</v>
      </c>
      <c r="AZ63" s="176">
        <f t="shared" si="24"/>
        <v>-234076.2283</v>
      </c>
      <c r="BA63" s="176">
        <f t="shared" si="24"/>
        <v>-234061.3763</v>
      </c>
      <c r="BB63" s="176">
        <f t="shared" si="24"/>
        <v>-234047.2669</v>
      </c>
      <c r="BC63" s="176">
        <f t="shared" si="24"/>
        <v>-234033.8629</v>
      </c>
      <c r="BD63" s="176">
        <f t="shared" si="24"/>
        <v>-234021.1292</v>
      </c>
      <c r="BE63" s="176">
        <f t="shared" si="24"/>
        <v>-234009.0321</v>
      </c>
      <c r="BF63" s="176">
        <f t="shared" si="24"/>
        <v>-233997.5399</v>
      </c>
      <c r="BG63" s="176">
        <f t="shared" si="24"/>
        <v>-233986.6223</v>
      </c>
      <c r="BH63" s="176">
        <f t="shared" si="24"/>
        <v>-233976.2506</v>
      </c>
      <c r="BI63" s="176">
        <f t="shared" si="24"/>
        <v>-233966.3974</v>
      </c>
      <c r="BJ63" s="176">
        <f t="shared" si="24"/>
        <v>-233957.0369</v>
      </c>
      <c r="BK63" s="176">
        <f t="shared" si="24"/>
        <v>-233948.1445</v>
      </c>
      <c r="BL63" s="176">
        <f t="shared" si="24"/>
        <v>-233939.6967</v>
      </c>
      <c r="BM63" s="176">
        <f t="shared" si="24"/>
        <v>-233931.6712</v>
      </c>
      <c r="BN63" s="171"/>
    </row>
    <row r="64" outlineLevel="1">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171"/>
      <c r="AH64" s="171"/>
      <c r="AI64" s="171"/>
      <c r="AJ64" s="171"/>
      <c r="AK64" s="171"/>
      <c r="AL64" s="171"/>
      <c r="AM64" s="171"/>
      <c r="AN64" s="171"/>
      <c r="AO64" s="171"/>
      <c r="AP64" s="171"/>
      <c r="AQ64" s="171"/>
      <c r="AR64" s="171"/>
      <c r="AS64" s="171"/>
      <c r="AT64" s="171"/>
      <c r="AU64" s="171"/>
      <c r="AV64" s="171"/>
      <c r="AW64" s="171"/>
      <c r="AX64" s="171"/>
      <c r="AY64" s="171"/>
      <c r="AZ64" s="171"/>
      <c r="BA64" s="171"/>
      <c r="BB64" s="171"/>
      <c r="BC64" s="171"/>
      <c r="BD64" s="171"/>
      <c r="BE64" s="171"/>
      <c r="BF64" s="171"/>
      <c r="BG64" s="171"/>
      <c r="BH64" s="171"/>
      <c r="BI64" s="171"/>
      <c r="BJ64" s="171"/>
      <c r="BK64" s="171"/>
      <c r="BL64" s="171"/>
      <c r="BM64" s="171"/>
      <c r="BN64" s="171"/>
    </row>
    <row r="65" outlineLevel="1">
      <c r="A65" s="171"/>
      <c r="B65" s="180" t="s">
        <v>189</v>
      </c>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c r="BM65" s="171"/>
      <c r="BN65" s="171"/>
    </row>
    <row r="66" outlineLevel="1">
      <c r="A66" s="171"/>
      <c r="B66" s="181" t="s">
        <v>190</v>
      </c>
      <c r="C66" s="171"/>
      <c r="D66" s="171"/>
      <c r="E66" s="171"/>
      <c r="F66" s="171">
        <f t="shared" ref="F66:BM66" si="25">E38-F38</f>
        <v>0</v>
      </c>
      <c r="G66" s="171">
        <f t="shared" si="25"/>
        <v>0</v>
      </c>
      <c r="H66" s="171">
        <f t="shared" si="25"/>
        <v>0</v>
      </c>
      <c r="I66" s="171">
        <f t="shared" si="25"/>
        <v>0</v>
      </c>
      <c r="J66" s="171">
        <f t="shared" si="25"/>
        <v>0</v>
      </c>
      <c r="K66" s="171">
        <f t="shared" si="25"/>
        <v>0</v>
      </c>
      <c r="L66" s="171">
        <f t="shared" si="25"/>
        <v>0</v>
      </c>
      <c r="M66" s="171">
        <f t="shared" si="25"/>
        <v>0</v>
      </c>
      <c r="N66" s="171">
        <f t="shared" si="25"/>
        <v>0</v>
      </c>
      <c r="O66" s="171">
        <f t="shared" si="25"/>
        <v>0</v>
      </c>
      <c r="P66" s="171">
        <f t="shared" si="25"/>
        <v>0</v>
      </c>
      <c r="Q66" s="171">
        <f t="shared" si="25"/>
        <v>0</v>
      </c>
      <c r="R66" s="171">
        <f t="shared" si="25"/>
        <v>0</v>
      </c>
      <c r="S66" s="171">
        <f t="shared" si="25"/>
        <v>0</v>
      </c>
      <c r="T66" s="171">
        <f t="shared" si="25"/>
        <v>0</v>
      </c>
      <c r="U66" s="171">
        <f t="shared" si="25"/>
        <v>0</v>
      </c>
      <c r="V66" s="171">
        <f t="shared" si="25"/>
        <v>0</v>
      </c>
      <c r="W66" s="171">
        <f t="shared" si="25"/>
        <v>0</v>
      </c>
      <c r="X66" s="171">
        <f t="shared" si="25"/>
        <v>0</v>
      </c>
      <c r="Y66" s="171">
        <f t="shared" si="25"/>
        <v>0</v>
      </c>
      <c r="Z66" s="171">
        <f t="shared" si="25"/>
        <v>0</v>
      </c>
      <c r="AA66" s="171">
        <f t="shared" si="25"/>
        <v>0</v>
      </c>
      <c r="AB66" s="171">
        <f t="shared" si="25"/>
        <v>0</v>
      </c>
      <c r="AC66" s="171">
        <f t="shared" si="25"/>
        <v>0</v>
      </c>
      <c r="AD66" s="171">
        <f t="shared" si="25"/>
        <v>0</v>
      </c>
      <c r="AE66" s="171">
        <f t="shared" si="25"/>
        <v>0</v>
      </c>
      <c r="AF66" s="171">
        <f t="shared" si="25"/>
        <v>0</v>
      </c>
      <c r="AG66" s="171">
        <f t="shared" si="25"/>
        <v>0</v>
      </c>
      <c r="AH66" s="171">
        <f t="shared" si="25"/>
        <v>0</v>
      </c>
      <c r="AI66" s="171">
        <f t="shared" si="25"/>
        <v>0</v>
      </c>
      <c r="AJ66" s="171">
        <f t="shared" si="25"/>
        <v>0</v>
      </c>
      <c r="AK66" s="171">
        <f t="shared" si="25"/>
        <v>0</v>
      </c>
      <c r="AL66" s="171">
        <f t="shared" si="25"/>
        <v>0</v>
      </c>
      <c r="AM66" s="171">
        <f t="shared" si="25"/>
        <v>0</v>
      </c>
      <c r="AN66" s="171">
        <f t="shared" si="25"/>
        <v>0</v>
      </c>
      <c r="AO66" s="171">
        <f t="shared" si="25"/>
        <v>0</v>
      </c>
      <c r="AP66" s="171">
        <f t="shared" si="25"/>
        <v>0</v>
      </c>
      <c r="AQ66" s="171">
        <f t="shared" si="25"/>
        <v>0</v>
      </c>
      <c r="AR66" s="171">
        <f t="shared" si="25"/>
        <v>0</v>
      </c>
      <c r="AS66" s="171">
        <f t="shared" si="25"/>
        <v>0</v>
      </c>
      <c r="AT66" s="171">
        <f t="shared" si="25"/>
        <v>0</v>
      </c>
      <c r="AU66" s="171">
        <f t="shared" si="25"/>
        <v>0</v>
      </c>
      <c r="AV66" s="171">
        <f t="shared" si="25"/>
        <v>0</v>
      </c>
      <c r="AW66" s="171">
        <f t="shared" si="25"/>
        <v>0</v>
      </c>
      <c r="AX66" s="171">
        <f t="shared" si="25"/>
        <v>0</v>
      </c>
      <c r="AY66" s="171">
        <f t="shared" si="25"/>
        <v>0</v>
      </c>
      <c r="AZ66" s="171">
        <f t="shared" si="25"/>
        <v>0</v>
      </c>
      <c r="BA66" s="171">
        <f t="shared" si="25"/>
        <v>0</v>
      </c>
      <c r="BB66" s="171">
        <f t="shared" si="25"/>
        <v>0</v>
      </c>
      <c r="BC66" s="171">
        <f t="shared" si="25"/>
        <v>0</v>
      </c>
      <c r="BD66" s="171">
        <f t="shared" si="25"/>
        <v>0</v>
      </c>
      <c r="BE66" s="171">
        <f t="shared" si="25"/>
        <v>0</v>
      </c>
      <c r="BF66" s="171">
        <f t="shared" si="25"/>
        <v>0</v>
      </c>
      <c r="BG66" s="171">
        <f t="shared" si="25"/>
        <v>0</v>
      </c>
      <c r="BH66" s="171">
        <f t="shared" si="25"/>
        <v>0</v>
      </c>
      <c r="BI66" s="171">
        <f t="shared" si="25"/>
        <v>0</v>
      </c>
      <c r="BJ66" s="171">
        <f t="shared" si="25"/>
        <v>0</v>
      </c>
      <c r="BK66" s="171">
        <f t="shared" si="25"/>
        <v>0</v>
      </c>
      <c r="BL66" s="171">
        <f t="shared" si="25"/>
        <v>0</v>
      </c>
      <c r="BM66" s="171">
        <f t="shared" si="25"/>
        <v>0</v>
      </c>
      <c r="BN66" s="171"/>
    </row>
    <row r="67" outlineLevel="1">
      <c r="A67" s="171"/>
      <c r="B67" s="174" t="s">
        <v>191</v>
      </c>
      <c r="C67" s="175"/>
      <c r="D67" s="175"/>
      <c r="E67" s="175"/>
      <c r="F67" s="176">
        <f t="shared" ref="F67:BM67" si="26">F66</f>
        <v>0</v>
      </c>
      <c r="G67" s="176">
        <f t="shared" si="26"/>
        <v>0</v>
      </c>
      <c r="H67" s="176">
        <f t="shared" si="26"/>
        <v>0</v>
      </c>
      <c r="I67" s="176">
        <f t="shared" si="26"/>
        <v>0</v>
      </c>
      <c r="J67" s="176">
        <f t="shared" si="26"/>
        <v>0</v>
      </c>
      <c r="K67" s="176">
        <f t="shared" si="26"/>
        <v>0</v>
      </c>
      <c r="L67" s="176">
        <f t="shared" si="26"/>
        <v>0</v>
      </c>
      <c r="M67" s="176">
        <f t="shared" si="26"/>
        <v>0</v>
      </c>
      <c r="N67" s="176">
        <f t="shared" si="26"/>
        <v>0</v>
      </c>
      <c r="O67" s="176">
        <f t="shared" si="26"/>
        <v>0</v>
      </c>
      <c r="P67" s="176">
        <f t="shared" si="26"/>
        <v>0</v>
      </c>
      <c r="Q67" s="176">
        <f t="shared" si="26"/>
        <v>0</v>
      </c>
      <c r="R67" s="176">
        <f t="shared" si="26"/>
        <v>0</v>
      </c>
      <c r="S67" s="176">
        <f t="shared" si="26"/>
        <v>0</v>
      </c>
      <c r="T67" s="176">
        <f t="shared" si="26"/>
        <v>0</v>
      </c>
      <c r="U67" s="176">
        <f t="shared" si="26"/>
        <v>0</v>
      </c>
      <c r="V67" s="176">
        <f t="shared" si="26"/>
        <v>0</v>
      </c>
      <c r="W67" s="176">
        <f t="shared" si="26"/>
        <v>0</v>
      </c>
      <c r="X67" s="176">
        <f t="shared" si="26"/>
        <v>0</v>
      </c>
      <c r="Y67" s="176">
        <f t="shared" si="26"/>
        <v>0</v>
      </c>
      <c r="Z67" s="176">
        <f t="shared" si="26"/>
        <v>0</v>
      </c>
      <c r="AA67" s="176">
        <f t="shared" si="26"/>
        <v>0</v>
      </c>
      <c r="AB67" s="176">
        <f t="shared" si="26"/>
        <v>0</v>
      </c>
      <c r="AC67" s="176">
        <f t="shared" si="26"/>
        <v>0</v>
      </c>
      <c r="AD67" s="176">
        <f t="shared" si="26"/>
        <v>0</v>
      </c>
      <c r="AE67" s="176">
        <f t="shared" si="26"/>
        <v>0</v>
      </c>
      <c r="AF67" s="176">
        <f t="shared" si="26"/>
        <v>0</v>
      </c>
      <c r="AG67" s="176">
        <f t="shared" si="26"/>
        <v>0</v>
      </c>
      <c r="AH67" s="176">
        <f t="shared" si="26"/>
        <v>0</v>
      </c>
      <c r="AI67" s="176">
        <f t="shared" si="26"/>
        <v>0</v>
      </c>
      <c r="AJ67" s="176">
        <f t="shared" si="26"/>
        <v>0</v>
      </c>
      <c r="AK67" s="176">
        <f t="shared" si="26"/>
        <v>0</v>
      </c>
      <c r="AL67" s="176">
        <f t="shared" si="26"/>
        <v>0</v>
      </c>
      <c r="AM67" s="176">
        <f t="shared" si="26"/>
        <v>0</v>
      </c>
      <c r="AN67" s="176">
        <f t="shared" si="26"/>
        <v>0</v>
      </c>
      <c r="AO67" s="176">
        <f t="shared" si="26"/>
        <v>0</v>
      </c>
      <c r="AP67" s="176">
        <f t="shared" si="26"/>
        <v>0</v>
      </c>
      <c r="AQ67" s="176">
        <f t="shared" si="26"/>
        <v>0</v>
      </c>
      <c r="AR67" s="176">
        <f t="shared" si="26"/>
        <v>0</v>
      </c>
      <c r="AS67" s="176">
        <f t="shared" si="26"/>
        <v>0</v>
      </c>
      <c r="AT67" s="176">
        <f t="shared" si="26"/>
        <v>0</v>
      </c>
      <c r="AU67" s="176">
        <f t="shared" si="26"/>
        <v>0</v>
      </c>
      <c r="AV67" s="176">
        <f t="shared" si="26"/>
        <v>0</v>
      </c>
      <c r="AW67" s="176">
        <f t="shared" si="26"/>
        <v>0</v>
      </c>
      <c r="AX67" s="176">
        <f t="shared" si="26"/>
        <v>0</v>
      </c>
      <c r="AY67" s="176">
        <f t="shared" si="26"/>
        <v>0</v>
      </c>
      <c r="AZ67" s="176">
        <f t="shared" si="26"/>
        <v>0</v>
      </c>
      <c r="BA67" s="176">
        <f t="shared" si="26"/>
        <v>0</v>
      </c>
      <c r="BB67" s="176">
        <f t="shared" si="26"/>
        <v>0</v>
      </c>
      <c r="BC67" s="176">
        <f t="shared" si="26"/>
        <v>0</v>
      </c>
      <c r="BD67" s="176">
        <f t="shared" si="26"/>
        <v>0</v>
      </c>
      <c r="BE67" s="176">
        <f t="shared" si="26"/>
        <v>0</v>
      </c>
      <c r="BF67" s="176">
        <f t="shared" si="26"/>
        <v>0</v>
      </c>
      <c r="BG67" s="176">
        <f t="shared" si="26"/>
        <v>0</v>
      </c>
      <c r="BH67" s="176">
        <f t="shared" si="26"/>
        <v>0</v>
      </c>
      <c r="BI67" s="176">
        <f t="shared" si="26"/>
        <v>0</v>
      </c>
      <c r="BJ67" s="176">
        <f t="shared" si="26"/>
        <v>0</v>
      </c>
      <c r="BK67" s="176">
        <f t="shared" si="26"/>
        <v>0</v>
      </c>
      <c r="BL67" s="176">
        <f t="shared" si="26"/>
        <v>0</v>
      </c>
      <c r="BM67" s="176">
        <f t="shared" si="26"/>
        <v>0</v>
      </c>
      <c r="BN67" s="171"/>
    </row>
    <row r="68" outlineLevel="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c r="BM68" s="171"/>
      <c r="BN68" s="171"/>
    </row>
    <row r="69" outlineLevel="1">
      <c r="A69" s="171"/>
      <c r="B69" s="180" t="s">
        <v>192</v>
      </c>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c r="BM69" s="171"/>
      <c r="BN69" s="171"/>
    </row>
    <row r="70" outlineLevel="1">
      <c r="A70" s="171"/>
      <c r="B70" s="181" t="s">
        <v>193</v>
      </c>
      <c r="C70" s="171"/>
      <c r="D70" s="171"/>
      <c r="E70" s="171"/>
      <c r="F70" s="171">
        <f t="shared" ref="F70:BM70" si="27">F48-E48</f>
        <v>0</v>
      </c>
      <c r="G70" s="171">
        <f t="shared" si="27"/>
        <v>0</v>
      </c>
      <c r="H70" s="171">
        <f t="shared" si="27"/>
        <v>0</v>
      </c>
      <c r="I70" s="171">
        <f t="shared" si="27"/>
        <v>0</v>
      </c>
      <c r="J70" s="171">
        <f t="shared" si="27"/>
        <v>0</v>
      </c>
      <c r="K70" s="171">
        <f t="shared" si="27"/>
        <v>0</v>
      </c>
      <c r="L70" s="171">
        <f t="shared" si="27"/>
        <v>0</v>
      </c>
      <c r="M70" s="171">
        <f t="shared" si="27"/>
        <v>0</v>
      </c>
      <c r="N70" s="171">
        <f t="shared" si="27"/>
        <v>0</v>
      </c>
      <c r="O70" s="171">
        <f t="shared" si="27"/>
        <v>0</v>
      </c>
      <c r="P70" s="171">
        <f t="shared" si="27"/>
        <v>0</v>
      </c>
      <c r="Q70" s="171">
        <f t="shared" si="27"/>
        <v>0</v>
      </c>
      <c r="R70" s="171">
        <f t="shared" si="27"/>
        <v>0</v>
      </c>
      <c r="S70" s="171">
        <f t="shared" si="27"/>
        <v>0</v>
      </c>
      <c r="T70" s="171">
        <f t="shared" si="27"/>
        <v>0</v>
      </c>
      <c r="U70" s="171">
        <f t="shared" si="27"/>
        <v>0</v>
      </c>
      <c r="V70" s="171">
        <f t="shared" si="27"/>
        <v>0</v>
      </c>
      <c r="W70" s="171">
        <f t="shared" si="27"/>
        <v>0</v>
      </c>
      <c r="X70" s="171">
        <f t="shared" si="27"/>
        <v>0</v>
      </c>
      <c r="Y70" s="171">
        <f t="shared" si="27"/>
        <v>0</v>
      </c>
      <c r="Z70" s="171">
        <f t="shared" si="27"/>
        <v>0</v>
      </c>
      <c r="AA70" s="171">
        <f t="shared" si="27"/>
        <v>0</v>
      </c>
      <c r="AB70" s="171">
        <f t="shared" si="27"/>
        <v>0</v>
      </c>
      <c r="AC70" s="171">
        <f t="shared" si="27"/>
        <v>0</v>
      </c>
      <c r="AD70" s="171">
        <f t="shared" si="27"/>
        <v>0</v>
      </c>
      <c r="AE70" s="171">
        <f t="shared" si="27"/>
        <v>0</v>
      </c>
      <c r="AF70" s="171">
        <f t="shared" si="27"/>
        <v>0</v>
      </c>
      <c r="AG70" s="171">
        <f t="shared" si="27"/>
        <v>0</v>
      </c>
      <c r="AH70" s="171">
        <f t="shared" si="27"/>
        <v>0</v>
      </c>
      <c r="AI70" s="171">
        <f t="shared" si="27"/>
        <v>0</v>
      </c>
      <c r="AJ70" s="171">
        <f t="shared" si="27"/>
        <v>0</v>
      </c>
      <c r="AK70" s="171">
        <f t="shared" si="27"/>
        <v>0</v>
      </c>
      <c r="AL70" s="171">
        <f t="shared" si="27"/>
        <v>0</v>
      </c>
      <c r="AM70" s="171">
        <f t="shared" si="27"/>
        <v>0</v>
      </c>
      <c r="AN70" s="171">
        <f t="shared" si="27"/>
        <v>0</v>
      </c>
      <c r="AO70" s="171">
        <f t="shared" si="27"/>
        <v>0</v>
      </c>
      <c r="AP70" s="171">
        <f t="shared" si="27"/>
        <v>0</v>
      </c>
      <c r="AQ70" s="171">
        <f t="shared" si="27"/>
        <v>0</v>
      </c>
      <c r="AR70" s="171">
        <f t="shared" si="27"/>
        <v>0</v>
      </c>
      <c r="AS70" s="171">
        <f t="shared" si="27"/>
        <v>0</v>
      </c>
      <c r="AT70" s="171">
        <f t="shared" si="27"/>
        <v>0</v>
      </c>
      <c r="AU70" s="171">
        <f t="shared" si="27"/>
        <v>0</v>
      </c>
      <c r="AV70" s="171">
        <f t="shared" si="27"/>
        <v>0</v>
      </c>
      <c r="AW70" s="171">
        <f t="shared" si="27"/>
        <v>0</v>
      </c>
      <c r="AX70" s="171">
        <f t="shared" si="27"/>
        <v>0</v>
      </c>
      <c r="AY70" s="171">
        <f t="shared" si="27"/>
        <v>0</v>
      </c>
      <c r="AZ70" s="171">
        <f t="shared" si="27"/>
        <v>0</v>
      </c>
      <c r="BA70" s="171">
        <f t="shared" si="27"/>
        <v>0</v>
      </c>
      <c r="BB70" s="171">
        <f t="shared" si="27"/>
        <v>0</v>
      </c>
      <c r="BC70" s="171">
        <f t="shared" si="27"/>
        <v>0</v>
      </c>
      <c r="BD70" s="171">
        <f t="shared" si="27"/>
        <v>0</v>
      </c>
      <c r="BE70" s="171">
        <f t="shared" si="27"/>
        <v>0</v>
      </c>
      <c r="BF70" s="171">
        <f t="shared" si="27"/>
        <v>0</v>
      </c>
      <c r="BG70" s="171">
        <f t="shared" si="27"/>
        <v>0</v>
      </c>
      <c r="BH70" s="171">
        <f t="shared" si="27"/>
        <v>0</v>
      </c>
      <c r="BI70" s="171">
        <f t="shared" si="27"/>
        <v>0</v>
      </c>
      <c r="BJ70" s="171">
        <f t="shared" si="27"/>
        <v>0</v>
      </c>
      <c r="BK70" s="171">
        <f t="shared" si="27"/>
        <v>0</v>
      </c>
      <c r="BL70" s="171">
        <f t="shared" si="27"/>
        <v>0</v>
      </c>
      <c r="BM70" s="171">
        <f t="shared" si="27"/>
        <v>0</v>
      </c>
      <c r="BN70" s="171"/>
    </row>
    <row r="71" outlineLevel="1">
      <c r="A71" s="171"/>
      <c r="B71" s="174" t="s">
        <v>194</v>
      </c>
      <c r="C71" s="175"/>
      <c r="D71" s="175"/>
      <c r="E71" s="175"/>
      <c r="F71" s="176">
        <f t="shared" ref="F71:BM71" si="28">F70</f>
        <v>0</v>
      </c>
      <c r="G71" s="176">
        <f t="shared" si="28"/>
        <v>0</v>
      </c>
      <c r="H71" s="176">
        <f t="shared" si="28"/>
        <v>0</v>
      </c>
      <c r="I71" s="176">
        <f t="shared" si="28"/>
        <v>0</v>
      </c>
      <c r="J71" s="176">
        <f t="shared" si="28"/>
        <v>0</v>
      </c>
      <c r="K71" s="176">
        <f t="shared" si="28"/>
        <v>0</v>
      </c>
      <c r="L71" s="176">
        <f t="shared" si="28"/>
        <v>0</v>
      </c>
      <c r="M71" s="176">
        <f t="shared" si="28"/>
        <v>0</v>
      </c>
      <c r="N71" s="176">
        <f t="shared" si="28"/>
        <v>0</v>
      </c>
      <c r="O71" s="176">
        <f t="shared" si="28"/>
        <v>0</v>
      </c>
      <c r="P71" s="176">
        <f t="shared" si="28"/>
        <v>0</v>
      </c>
      <c r="Q71" s="176">
        <f t="shared" si="28"/>
        <v>0</v>
      </c>
      <c r="R71" s="176">
        <f t="shared" si="28"/>
        <v>0</v>
      </c>
      <c r="S71" s="176">
        <f t="shared" si="28"/>
        <v>0</v>
      </c>
      <c r="T71" s="176">
        <f t="shared" si="28"/>
        <v>0</v>
      </c>
      <c r="U71" s="176">
        <f t="shared" si="28"/>
        <v>0</v>
      </c>
      <c r="V71" s="176">
        <f t="shared" si="28"/>
        <v>0</v>
      </c>
      <c r="W71" s="176">
        <f t="shared" si="28"/>
        <v>0</v>
      </c>
      <c r="X71" s="176">
        <f t="shared" si="28"/>
        <v>0</v>
      </c>
      <c r="Y71" s="176">
        <f t="shared" si="28"/>
        <v>0</v>
      </c>
      <c r="Z71" s="176">
        <f t="shared" si="28"/>
        <v>0</v>
      </c>
      <c r="AA71" s="176">
        <f t="shared" si="28"/>
        <v>0</v>
      </c>
      <c r="AB71" s="176">
        <f t="shared" si="28"/>
        <v>0</v>
      </c>
      <c r="AC71" s="176">
        <f t="shared" si="28"/>
        <v>0</v>
      </c>
      <c r="AD71" s="176">
        <f t="shared" si="28"/>
        <v>0</v>
      </c>
      <c r="AE71" s="176">
        <f t="shared" si="28"/>
        <v>0</v>
      </c>
      <c r="AF71" s="176">
        <f t="shared" si="28"/>
        <v>0</v>
      </c>
      <c r="AG71" s="176">
        <f t="shared" si="28"/>
        <v>0</v>
      </c>
      <c r="AH71" s="176">
        <f t="shared" si="28"/>
        <v>0</v>
      </c>
      <c r="AI71" s="176">
        <f t="shared" si="28"/>
        <v>0</v>
      </c>
      <c r="AJ71" s="176">
        <f t="shared" si="28"/>
        <v>0</v>
      </c>
      <c r="AK71" s="176">
        <f t="shared" si="28"/>
        <v>0</v>
      </c>
      <c r="AL71" s="176">
        <f t="shared" si="28"/>
        <v>0</v>
      </c>
      <c r="AM71" s="176">
        <f t="shared" si="28"/>
        <v>0</v>
      </c>
      <c r="AN71" s="176">
        <f t="shared" si="28"/>
        <v>0</v>
      </c>
      <c r="AO71" s="176">
        <f t="shared" si="28"/>
        <v>0</v>
      </c>
      <c r="AP71" s="176">
        <f t="shared" si="28"/>
        <v>0</v>
      </c>
      <c r="AQ71" s="176">
        <f t="shared" si="28"/>
        <v>0</v>
      </c>
      <c r="AR71" s="176">
        <f t="shared" si="28"/>
        <v>0</v>
      </c>
      <c r="AS71" s="176">
        <f t="shared" si="28"/>
        <v>0</v>
      </c>
      <c r="AT71" s="176">
        <f t="shared" si="28"/>
        <v>0</v>
      </c>
      <c r="AU71" s="176">
        <f t="shared" si="28"/>
        <v>0</v>
      </c>
      <c r="AV71" s="176">
        <f t="shared" si="28"/>
        <v>0</v>
      </c>
      <c r="AW71" s="176">
        <f t="shared" si="28"/>
        <v>0</v>
      </c>
      <c r="AX71" s="176">
        <f t="shared" si="28"/>
        <v>0</v>
      </c>
      <c r="AY71" s="176">
        <f t="shared" si="28"/>
        <v>0</v>
      </c>
      <c r="AZ71" s="176">
        <f t="shared" si="28"/>
        <v>0</v>
      </c>
      <c r="BA71" s="176">
        <f t="shared" si="28"/>
        <v>0</v>
      </c>
      <c r="BB71" s="176">
        <f t="shared" si="28"/>
        <v>0</v>
      </c>
      <c r="BC71" s="176">
        <f t="shared" si="28"/>
        <v>0</v>
      </c>
      <c r="BD71" s="176">
        <f t="shared" si="28"/>
        <v>0</v>
      </c>
      <c r="BE71" s="176">
        <f t="shared" si="28"/>
        <v>0</v>
      </c>
      <c r="BF71" s="176">
        <f t="shared" si="28"/>
        <v>0</v>
      </c>
      <c r="BG71" s="176">
        <f t="shared" si="28"/>
        <v>0</v>
      </c>
      <c r="BH71" s="176">
        <f t="shared" si="28"/>
        <v>0</v>
      </c>
      <c r="BI71" s="176">
        <f t="shared" si="28"/>
        <v>0</v>
      </c>
      <c r="BJ71" s="176">
        <f t="shared" si="28"/>
        <v>0</v>
      </c>
      <c r="BK71" s="176">
        <f t="shared" si="28"/>
        <v>0</v>
      </c>
      <c r="BL71" s="176">
        <f t="shared" si="28"/>
        <v>0</v>
      </c>
      <c r="BM71" s="176">
        <f t="shared" si="28"/>
        <v>0</v>
      </c>
      <c r="BN71" s="171"/>
    </row>
    <row r="72" outlineLevel="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171"/>
      <c r="AI72" s="171"/>
      <c r="AJ72" s="171"/>
      <c r="AK72" s="171"/>
      <c r="AL72" s="171"/>
      <c r="AM72" s="171"/>
      <c r="AN72" s="171"/>
      <c r="AO72" s="171"/>
      <c r="AP72" s="171"/>
      <c r="AQ72" s="171"/>
      <c r="AR72" s="171"/>
      <c r="AS72" s="171"/>
      <c r="AT72" s="171"/>
      <c r="AU72" s="171"/>
      <c r="AV72" s="171"/>
      <c r="AW72" s="171"/>
      <c r="AX72" s="171"/>
      <c r="AY72" s="171"/>
      <c r="AZ72" s="171"/>
      <c r="BA72" s="171"/>
      <c r="BB72" s="171"/>
      <c r="BC72" s="171"/>
      <c r="BD72" s="171"/>
      <c r="BE72" s="171"/>
      <c r="BF72" s="171"/>
      <c r="BG72" s="171"/>
      <c r="BH72" s="171"/>
      <c r="BI72" s="171"/>
      <c r="BJ72" s="171"/>
      <c r="BK72" s="171"/>
      <c r="BL72" s="171"/>
      <c r="BM72" s="171"/>
      <c r="BN72" s="171"/>
    </row>
    <row r="73" outlineLevel="1">
      <c r="A73" s="171"/>
      <c r="B73" s="180" t="s">
        <v>195</v>
      </c>
      <c r="C73" s="171"/>
      <c r="D73" s="171"/>
      <c r="E73" s="171"/>
      <c r="F73" s="183">
        <f>Assumptions!C169</f>
        <v>500000</v>
      </c>
      <c r="G73" s="183">
        <f t="shared" ref="G73:BM73" si="29">F77</f>
        <v>280594.2938</v>
      </c>
      <c r="H73" s="183">
        <f t="shared" si="29"/>
        <v>43874.75597</v>
      </c>
      <c r="I73" s="183">
        <f t="shared" si="29"/>
        <v>-192665.5917</v>
      </c>
      <c r="J73" s="183">
        <f t="shared" si="29"/>
        <v>-429035.6737</v>
      </c>
      <c r="K73" s="183">
        <f t="shared" si="29"/>
        <v>-665244.003</v>
      </c>
      <c r="L73" s="183">
        <f t="shared" si="29"/>
        <v>-901298.667</v>
      </c>
      <c r="M73" s="183">
        <f t="shared" si="29"/>
        <v>-1137207.349</v>
      </c>
      <c r="N73" s="183">
        <f t="shared" si="29"/>
        <v>-1372977.348</v>
      </c>
      <c r="O73" s="183">
        <f t="shared" si="29"/>
        <v>-1608615.599</v>
      </c>
      <c r="P73" s="183">
        <f t="shared" si="29"/>
        <v>-1844128.688</v>
      </c>
      <c r="Q73" s="183">
        <f t="shared" si="29"/>
        <v>-2079661.52</v>
      </c>
      <c r="R73" s="183">
        <f t="shared" si="29"/>
        <v>-2315229.21</v>
      </c>
      <c r="S73" s="183">
        <f t="shared" si="29"/>
        <v>-2550707.475</v>
      </c>
      <c r="T73" s="183">
        <f t="shared" si="29"/>
        <v>-2786100.786</v>
      </c>
      <c r="U73" s="183">
        <f t="shared" si="29"/>
        <v>-3021413.391</v>
      </c>
      <c r="V73" s="183">
        <f t="shared" si="29"/>
        <v>-3256649.325</v>
      </c>
      <c r="W73" s="183">
        <f t="shared" si="29"/>
        <v>-3491812.421</v>
      </c>
      <c r="X73" s="183">
        <f t="shared" si="29"/>
        <v>-3726906.323</v>
      </c>
      <c r="Y73" s="183">
        <f t="shared" si="29"/>
        <v>-3961934.488</v>
      </c>
      <c r="Z73" s="183">
        <f t="shared" si="29"/>
        <v>-4196900.205</v>
      </c>
      <c r="AA73" s="183">
        <f t="shared" si="29"/>
        <v>-4431806.595</v>
      </c>
      <c r="AB73" s="183">
        <f t="shared" si="29"/>
        <v>-4666656.626</v>
      </c>
      <c r="AC73" s="183">
        <f t="shared" si="29"/>
        <v>-4901453.114</v>
      </c>
      <c r="AD73" s="183">
        <f t="shared" si="29"/>
        <v>-5136198.737</v>
      </c>
      <c r="AE73" s="183">
        <f t="shared" si="29"/>
        <v>-5370896.038</v>
      </c>
      <c r="AF73" s="183">
        <f t="shared" si="29"/>
        <v>-5605547.434</v>
      </c>
      <c r="AG73" s="183">
        <f t="shared" si="29"/>
        <v>-5840155.219</v>
      </c>
      <c r="AH73" s="183">
        <f t="shared" si="29"/>
        <v>-6074721.574</v>
      </c>
      <c r="AI73" s="183">
        <f t="shared" si="29"/>
        <v>-6309248.571</v>
      </c>
      <c r="AJ73" s="183">
        <f t="shared" si="29"/>
        <v>-6543738.178</v>
      </c>
      <c r="AK73" s="183">
        <f t="shared" si="29"/>
        <v>-6778192.263</v>
      </c>
      <c r="AL73" s="183">
        <f t="shared" si="29"/>
        <v>-7012612.604</v>
      </c>
      <c r="AM73" s="183">
        <f t="shared" si="29"/>
        <v>-7247000.887</v>
      </c>
      <c r="AN73" s="183">
        <f t="shared" si="29"/>
        <v>-7481358.715</v>
      </c>
      <c r="AO73" s="183">
        <f t="shared" si="29"/>
        <v>-7715687.612</v>
      </c>
      <c r="AP73" s="183">
        <f t="shared" si="29"/>
        <v>-7949989.023</v>
      </c>
      <c r="AQ73" s="183">
        <f t="shared" si="29"/>
        <v>-8184264.322</v>
      </c>
      <c r="AR73" s="183">
        <f t="shared" si="29"/>
        <v>-8418514.816</v>
      </c>
      <c r="AS73" s="183">
        <f t="shared" si="29"/>
        <v>-8652741.745</v>
      </c>
      <c r="AT73" s="183">
        <f t="shared" si="29"/>
        <v>-8886946.287</v>
      </c>
      <c r="AU73" s="183">
        <f t="shared" si="29"/>
        <v>-9121129.561</v>
      </c>
      <c r="AV73" s="183">
        <f t="shared" si="29"/>
        <v>-9355292.631</v>
      </c>
      <c r="AW73" s="183">
        <f t="shared" si="29"/>
        <v>-9589436.506</v>
      </c>
      <c r="AX73" s="183">
        <f t="shared" si="29"/>
        <v>-9823562.147</v>
      </c>
      <c r="AY73" s="183">
        <f t="shared" si="29"/>
        <v>-10057670.47</v>
      </c>
      <c r="AZ73" s="183">
        <f t="shared" si="29"/>
        <v>-10291762.33</v>
      </c>
      <c r="BA73" s="183">
        <f t="shared" si="29"/>
        <v>-10525838.56</v>
      </c>
      <c r="BB73" s="183">
        <f t="shared" si="29"/>
        <v>-10759899.93</v>
      </c>
      <c r="BC73" s="183">
        <f t="shared" si="29"/>
        <v>-10993947.2</v>
      </c>
      <c r="BD73" s="183">
        <f t="shared" si="29"/>
        <v>-11227981.06</v>
      </c>
      <c r="BE73" s="183">
        <f t="shared" si="29"/>
        <v>-11462002.19</v>
      </c>
      <c r="BF73" s="183">
        <f t="shared" si="29"/>
        <v>-11696011.22</v>
      </c>
      <c r="BG73" s="183">
        <f t="shared" si="29"/>
        <v>-11930008.76</v>
      </c>
      <c r="BH73" s="183">
        <f t="shared" si="29"/>
        <v>-12163995.39</v>
      </c>
      <c r="BI73" s="183">
        <f t="shared" si="29"/>
        <v>-12397971.64</v>
      </c>
      <c r="BJ73" s="183">
        <f t="shared" si="29"/>
        <v>-12631938.03</v>
      </c>
      <c r="BK73" s="183">
        <f t="shared" si="29"/>
        <v>-12865895.07</v>
      </c>
      <c r="BL73" s="183">
        <f t="shared" si="29"/>
        <v>-13099843.22</v>
      </c>
      <c r="BM73" s="183">
        <f t="shared" si="29"/>
        <v>-13333782.91</v>
      </c>
      <c r="BN73" s="171"/>
    </row>
    <row r="74" outlineLevel="1">
      <c r="A74" s="171"/>
      <c r="B74" s="183"/>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c r="AC74" s="171"/>
      <c r="AD74" s="171"/>
      <c r="AE74" s="171"/>
      <c r="AF74" s="171"/>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1"/>
      <c r="BC74" s="171"/>
      <c r="BD74" s="171"/>
      <c r="BE74" s="171"/>
      <c r="BF74" s="171"/>
      <c r="BG74" s="171"/>
      <c r="BH74" s="171"/>
      <c r="BI74" s="171"/>
      <c r="BJ74" s="171"/>
      <c r="BK74" s="171"/>
      <c r="BL74" s="171"/>
      <c r="BM74" s="171"/>
      <c r="BN74" s="171"/>
    </row>
    <row r="75" outlineLevel="1">
      <c r="A75" s="171"/>
      <c r="B75" s="180" t="s">
        <v>196</v>
      </c>
      <c r="C75" s="171"/>
      <c r="D75" s="171"/>
      <c r="E75" s="171"/>
      <c r="F75" s="183">
        <f t="shared" ref="F75:BM75" si="30">F71+F67+F63</f>
        <v>-219405.7063</v>
      </c>
      <c r="G75" s="183">
        <f t="shared" si="30"/>
        <v>-236719.5378</v>
      </c>
      <c r="H75" s="183">
        <f t="shared" si="30"/>
        <v>-236540.3476</v>
      </c>
      <c r="I75" s="183">
        <f t="shared" si="30"/>
        <v>-236370.0821</v>
      </c>
      <c r="J75" s="183">
        <f t="shared" si="30"/>
        <v>-236208.3292</v>
      </c>
      <c r="K75" s="183">
        <f t="shared" si="30"/>
        <v>-236054.664</v>
      </c>
      <c r="L75" s="183">
        <f t="shared" si="30"/>
        <v>-235908.6821</v>
      </c>
      <c r="M75" s="183">
        <f t="shared" si="30"/>
        <v>-235769.9993</v>
      </c>
      <c r="N75" s="183">
        <f t="shared" si="30"/>
        <v>-235638.2506</v>
      </c>
      <c r="O75" s="183">
        <f t="shared" si="30"/>
        <v>-235513.0893</v>
      </c>
      <c r="P75" s="183">
        <f t="shared" si="30"/>
        <v>-235532.8312</v>
      </c>
      <c r="Q75" s="183">
        <f t="shared" si="30"/>
        <v>-235567.6901</v>
      </c>
      <c r="R75" s="183">
        <f t="shared" si="30"/>
        <v>-235478.265</v>
      </c>
      <c r="S75" s="183">
        <f t="shared" si="30"/>
        <v>-235393.3111</v>
      </c>
      <c r="T75" s="183">
        <f t="shared" si="30"/>
        <v>-235312.6049</v>
      </c>
      <c r="U75" s="183">
        <f t="shared" si="30"/>
        <v>-235235.9341</v>
      </c>
      <c r="V75" s="183">
        <f t="shared" si="30"/>
        <v>-235163.0968</v>
      </c>
      <c r="W75" s="183">
        <f t="shared" si="30"/>
        <v>-235093.9013</v>
      </c>
      <c r="X75" s="183">
        <f t="shared" si="30"/>
        <v>-235028.1656</v>
      </c>
      <c r="Y75" s="183">
        <f t="shared" si="30"/>
        <v>-234965.7168</v>
      </c>
      <c r="Z75" s="183">
        <f t="shared" si="30"/>
        <v>-234906.3903</v>
      </c>
      <c r="AA75" s="183">
        <f t="shared" si="30"/>
        <v>-234850.0302</v>
      </c>
      <c r="AB75" s="183">
        <f t="shared" si="30"/>
        <v>-234796.4881</v>
      </c>
      <c r="AC75" s="183">
        <f t="shared" si="30"/>
        <v>-234745.6231</v>
      </c>
      <c r="AD75" s="183">
        <f t="shared" si="30"/>
        <v>-234697.3013</v>
      </c>
      <c r="AE75" s="183">
        <f t="shared" si="30"/>
        <v>-234651.3956</v>
      </c>
      <c r="AF75" s="183">
        <f t="shared" si="30"/>
        <v>-234607.7852</v>
      </c>
      <c r="AG75" s="183">
        <f t="shared" si="30"/>
        <v>-234566.3554</v>
      </c>
      <c r="AH75" s="183">
        <f t="shared" si="30"/>
        <v>-234526.997</v>
      </c>
      <c r="AI75" s="183">
        <f t="shared" si="30"/>
        <v>-234489.6065</v>
      </c>
      <c r="AJ75" s="183">
        <f t="shared" si="30"/>
        <v>-234454.0856</v>
      </c>
      <c r="AK75" s="183">
        <f t="shared" si="30"/>
        <v>-234420.3407</v>
      </c>
      <c r="AL75" s="183">
        <f t="shared" si="30"/>
        <v>-234388.2831</v>
      </c>
      <c r="AM75" s="183">
        <f t="shared" si="30"/>
        <v>-234357.8283</v>
      </c>
      <c r="AN75" s="183">
        <f t="shared" si="30"/>
        <v>-234328.8963</v>
      </c>
      <c r="AO75" s="183">
        <f t="shared" si="30"/>
        <v>-234301.4108</v>
      </c>
      <c r="AP75" s="183">
        <f t="shared" si="30"/>
        <v>-234275.2997</v>
      </c>
      <c r="AQ75" s="183">
        <f t="shared" si="30"/>
        <v>-234250.4941</v>
      </c>
      <c r="AR75" s="183">
        <f t="shared" si="30"/>
        <v>-234226.9288</v>
      </c>
      <c r="AS75" s="183">
        <f t="shared" si="30"/>
        <v>-234204.5417</v>
      </c>
      <c r="AT75" s="183">
        <f t="shared" si="30"/>
        <v>-234183.274</v>
      </c>
      <c r="AU75" s="183">
        <f t="shared" si="30"/>
        <v>-234163.0697</v>
      </c>
      <c r="AV75" s="183">
        <f t="shared" si="30"/>
        <v>-234143.8756</v>
      </c>
      <c r="AW75" s="183">
        <f t="shared" si="30"/>
        <v>-234125.6412</v>
      </c>
      <c r="AX75" s="183">
        <f t="shared" si="30"/>
        <v>-234108.3186</v>
      </c>
      <c r="AY75" s="183">
        <f t="shared" si="30"/>
        <v>-234091.862</v>
      </c>
      <c r="AZ75" s="183">
        <f t="shared" si="30"/>
        <v>-234076.2283</v>
      </c>
      <c r="BA75" s="183">
        <f t="shared" si="30"/>
        <v>-234061.3763</v>
      </c>
      <c r="BB75" s="183">
        <f t="shared" si="30"/>
        <v>-234047.2669</v>
      </c>
      <c r="BC75" s="183">
        <f t="shared" si="30"/>
        <v>-234033.8629</v>
      </c>
      <c r="BD75" s="183">
        <f t="shared" si="30"/>
        <v>-234021.1292</v>
      </c>
      <c r="BE75" s="183">
        <f t="shared" si="30"/>
        <v>-234009.0321</v>
      </c>
      <c r="BF75" s="183">
        <f t="shared" si="30"/>
        <v>-233997.5399</v>
      </c>
      <c r="BG75" s="183">
        <f t="shared" si="30"/>
        <v>-233986.6223</v>
      </c>
      <c r="BH75" s="183">
        <f t="shared" si="30"/>
        <v>-233976.2506</v>
      </c>
      <c r="BI75" s="183">
        <f t="shared" si="30"/>
        <v>-233966.3974</v>
      </c>
      <c r="BJ75" s="183">
        <f t="shared" si="30"/>
        <v>-233957.0369</v>
      </c>
      <c r="BK75" s="183">
        <f t="shared" si="30"/>
        <v>-233948.1445</v>
      </c>
      <c r="BL75" s="183">
        <f t="shared" si="30"/>
        <v>-233939.6967</v>
      </c>
      <c r="BM75" s="183">
        <f t="shared" si="30"/>
        <v>-233931.6712</v>
      </c>
      <c r="BN75" s="171"/>
    </row>
    <row r="76" outlineLevel="1">
      <c r="A76" s="171"/>
      <c r="B76" s="183"/>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c r="AC76" s="171"/>
      <c r="AD76" s="171"/>
      <c r="AE76" s="171"/>
      <c r="AF76" s="171"/>
      <c r="AG76" s="171"/>
      <c r="AH76" s="171"/>
      <c r="AI76" s="171"/>
      <c r="AJ76" s="171"/>
      <c r="AK76" s="171"/>
      <c r="AL76" s="171"/>
      <c r="AM76" s="171"/>
      <c r="AN76" s="171"/>
      <c r="AO76" s="171"/>
      <c r="AP76" s="171"/>
      <c r="AQ76" s="171"/>
      <c r="AR76" s="171"/>
      <c r="AS76" s="171"/>
      <c r="AT76" s="171"/>
      <c r="AU76" s="171"/>
      <c r="AV76" s="171"/>
      <c r="AW76" s="171"/>
      <c r="AX76" s="171"/>
      <c r="AY76" s="171"/>
      <c r="AZ76" s="171"/>
      <c r="BA76" s="171"/>
      <c r="BB76" s="171"/>
      <c r="BC76" s="171"/>
      <c r="BD76" s="171"/>
      <c r="BE76" s="171"/>
      <c r="BF76" s="171"/>
      <c r="BG76" s="171"/>
      <c r="BH76" s="171"/>
      <c r="BI76" s="171"/>
      <c r="BJ76" s="171"/>
      <c r="BK76" s="171"/>
      <c r="BL76" s="171"/>
      <c r="BM76" s="171"/>
      <c r="BN76" s="171"/>
    </row>
    <row r="77" outlineLevel="1">
      <c r="A77" s="171"/>
      <c r="B77" s="180" t="s">
        <v>197</v>
      </c>
      <c r="C77" s="171"/>
      <c r="D77" s="171"/>
      <c r="E77" s="183"/>
      <c r="F77" s="183">
        <f t="shared" ref="F77:BM77" si="31">F73+F75</f>
        <v>280594.2938</v>
      </c>
      <c r="G77" s="183">
        <f t="shared" si="31"/>
        <v>43874.75597</v>
      </c>
      <c r="H77" s="183">
        <f t="shared" si="31"/>
        <v>-192665.5917</v>
      </c>
      <c r="I77" s="183">
        <f t="shared" si="31"/>
        <v>-429035.6737</v>
      </c>
      <c r="J77" s="183">
        <f t="shared" si="31"/>
        <v>-665244.003</v>
      </c>
      <c r="K77" s="183">
        <f t="shared" si="31"/>
        <v>-901298.667</v>
      </c>
      <c r="L77" s="183">
        <f t="shared" si="31"/>
        <v>-1137207.349</v>
      </c>
      <c r="M77" s="183">
        <f t="shared" si="31"/>
        <v>-1372977.348</v>
      </c>
      <c r="N77" s="183">
        <f t="shared" si="31"/>
        <v>-1608615.599</v>
      </c>
      <c r="O77" s="183">
        <f t="shared" si="31"/>
        <v>-1844128.688</v>
      </c>
      <c r="P77" s="183">
        <f t="shared" si="31"/>
        <v>-2079661.52</v>
      </c>
      <c r="Q77" s="183">
        <f t="shared" si="31"/>
        <v>-2315229.21</v>
      </c>
      <c r="R77" s="183">
        <f t="shared" si="31"/>
        <v>-2550707.475</v>
      </c>
      <c r="S77" s="183">
        <f t="shared" si="31"/>
        <v>-2786100.786</v>
      </c>
      <c r="T77" s="183">
        <f t="shared" si="31"/>
        <v>-3021413.391</v>
      </c>
      <c r="U77" s="183">
        <f t="shared" si="31"/>
        <v>-3256649.325</v>
      </c>
      <c r="V77" s="183">
        <f t="shared" si="31"/>
        <v>-3491812.421</v>
      </c>
      <c r="W77" s="183">
        <f t="shared" si="31"/>
        <v>-3726906.323</v>
      </c>
      <c r="X77" s="183">
        <f t="shared" si="31"/>
        <v>-3961934.488</v>
      </c>
      <c r="Y77" s="183">
        <f t="shared" si="31"/>
        <v>-4196900.205</v>
      </c>
      <c r="Z77" s="183">
        <f t="shared" si="31"/>
        <v>-4431806.595</v>
      </c>
      <c r="AA77" s="183">
        <f t="shared" si="31"/>
        <v>-4666656.626</v>
      </c>
      <c r="AB77" s="183">
        <f t="shared" si="31"/>
        <v>-4901453.114</v>
      </c>
      <c r="AC77" s="183">
        <f t="shared" si="31"/>
        <v>-5136198.737</v>
      </c>
      <c r="AD77" s="183">
        <f t="shared" si="31"/>
        <v>-5370896.038</v>
      </c>
      <c r="AE77" s="183">
        <f t="shared" si="31"/>
        <v>-5605547.434</v>
      </c>
      <c r="AF77" s="183">
        <f t="shared" si="31"/>
        <v>-5840155.219</v>
      </c>
      <c r="AG77" s="183">
        <f t="shared" si="31"/>
        <v>-6074721.574</v>
      </c>
      <c r="AH77" s="183">
        <f t="shared" si="31"/>
        <v>-6309248.571</v>
      </c>
      <c r="AI77" s="183">
        <f t="shared" si="31"/>
        <v>-6543738.178</v>
      </c>
      <c r="AJ77" s="183">
        <f t="shared" si="31"/>
        <v>-6778192.263</v>
      </c>
      <c r="AK77" s="183">
        <f t="shared" si="31"/>
        <v>-7012612.604</v>
      </c>
      <c r="AL77" s="183">
        <f t="shared" si="31"/>
        <v>-7247000.887</v>
      </c>
      <c r="AM77" s="183">
        <f t="shared" si="31"/>
        <v>-7481358.715</v>
      </c>
      <c r="AN77" s="183">
        <f t="shared" si="31"/>
        <v>-7715687.612</v>
      </c>
      <c r="AO77" s="183">
        <f t="shared" si="31"/>
        <v>-7949989.023</v>
      </c>
      <c r="AP77" s="183">
        <f t="shared" si="31"/>
        <v>-8184264.322</v>
      </c>
      <c r="AQ77" s="183">
        <f t="shared" si="31"/>
        <v>-8418514.816</v>
      </c>
      <c r="AR77" s="183">
        <f t="shared" si="31"/>
        <v>-8652741.745</v>
      </c>
      <c r="AS77" s="183">
        <f t="shared" si="31"/>
        <v>-8886946.287</v>
      </c>
      <c r="AT77" s="183">
        <f t="shared" si="31"/>
        <v>-9121129.561</v>
      </c>
      <c r="AU77" s="183">
        <f t="shared" si="31"/>
        <v>-9355292.631</v>
      </c>
      <c r="AV77" s="183">
        <f t="shared" si="31"/>
        <v>-9589436.506</v>
      </c>
      <c r="AW77" s="183">
        <f t="shared" si="31"/>
        <v>-9823562.147</v>
      </c>
      <c r="AX77" s="183">
        <f t="shared" si="31"/>
        <v>-10057670.47</v>
      </c>
      <c r="AY77" s="183">
        <f t="shared" si="31"/>
        <v>-10291762.33</v>
      </c>
      <c r="AZ77" s="183">
        <f t="shared" si="31"/>
        <v>-10525838.56</v>
      </c>
      <c r="BA77" s="183">
        <f t="shared" si="31"/>
        <v>-10759899.93</v>
      </c>
      <c r="BB77" s="183">
        <f t="shared" si="31"/>
        <v>-10993947.2</v>
      </c>
      <c r="BC77" s="183">
        <f t="shared" si="31"/>
        <v>-11227981.06</v>
      </c>
      <c r="BD77" s="183">
        <f t="shared" si="31"/>
        <v>-11462002.19</v>
      </c>
      <c r="BE77" s="183">
        <f t="shared" si="31"/>
        <v>-11696011.22</v>
      </c>
      <c r="BF77" s="183">
        <f t="shared" si="31"/>
        <v>-11930008.76</v>
      </c>
      <c r="BG77" s="183">
        <f t="shared" si="31"/>
        <v>-12163995.39</v>
      </c>
      <c r="BH77" s="183">
        <f t="shared" si="31"/>
        <v>-12397971.64</v>
      </c>
      <c r="BI77" s="183">
        <f t="shared" si="31"/>
        <v>-12631938.03</v>
      </c>
      <c r="BJ77" s="183">
        <f t="shared" si="31"/>
        <v>-12865895.07</v>
      </c>
      <c r="BK77" s="183">
        <f t="shared" si="31"/>
        <v>-13099843.22</v>
      </c>
      <c r="BL77" s="183">
        <f t="shared" si="31"/>
        <v>-13333782.91</v>
      </c>
      <c r="BM77" s="183">
        <f t="shared" si="31"/>
        <v>-13567714.58</v>
      </c>
      <c r="BN77" s="171"/>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9" t="s">
        <v>152</v>
      </c>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sheetData>
  <conditionalFormatting sqref="F23:BM23 F25:BM25 F27:BM27 F34:BM34 F36:BM36">
    <cfRule type="cellIs" dxfId="0" priority="1" operator="lessThan">
      <formula>0</formula>
    </cfRule>
  </conditionalFormatting>
  <conditionalFormatting sqref="F77:BM77">
    <cfRule type="cellIs" dxfId="1" priority="2" operator="lessThan">
      <formula>0</formula>
    </cfRule>
  </conditionalFormatting>
  <drawing r:id="rId1"/>
</worksheet>
</file>