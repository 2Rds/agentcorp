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<sst xmlns="http://schemas.openxmlformats.org/spreadsheetml/2006/main" count="267" uniqueCount="202">
  <si>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</si>
  <si>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</si>
  <si>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</si>
  <si>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</si>
  <si>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</si>
  <si>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</si>
  <si>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</si>
  <si>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</si>
  <si>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</si>
  <si>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</si>
  <si>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</si>
  <si>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</si>
  <si>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</si>
  <si>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</si>
  <si>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</si>
  <si>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</si>
  <si>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</si>
  <si>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</si>
  <si>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</si>
  <si>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</si>
  <si>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</si>
  <si>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</si>
  <si>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</si>
  <si>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</si>
  <si>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</si>
  <si>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</si>
  <si>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</si>
  <si>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</si>
  <si>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</si>
  <si>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</si>
  <si>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</si>
  <si>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</si>
  <si>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</si>
  <si>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</si>
  <si>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</si>
  <si>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</si>
  <si>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</si>
  <si>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</si>
  <si>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</si>
  <si>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</si>
  <si>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</si>
  <si>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</si>
  <si>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</si>
  <si>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</si>
  <si>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</si>
  <si>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</si>
  <si>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</si>
  <si>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</si>
  <si>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Annual SaaS:</t>
  </si>
  <si>
    <t>Annual SaaS Tier 1</t>
  </si>
  <si>
    <t>% of Total New Customers</t>
  </si>
  <si>
    <t>Billed Subscriptions</t>
  </si>
  <si>
    <t>Subscriptions Available for Renewal</t>
  </si>
  <si>
    <t>Subscriptions In-between Billing Cycles</t>
  </si>
  <si>
    <t>Annual Churn Rate</t>
  </si>
  <si>
    <t>Churned Subscriptions</t>
  </si>
  <si>
    <t>Renewed Susbcriptions</t>
  </si>
  <si>
    <t>Active Subscriptions</t>
  </si>
  <si>
    <t>Previous Months Active Subsciptions</t>
  </si>
  <si>
    <t>Annual Price</t>
  </si>
  <si>
    <t>Bookings</t>
  </si>
  <si>
    <t>Revenue</t>
  </si>
  <si>
    <t>Annual SaaS Tier 2</t>
  </si>
  <si>
    <t>Annual SaaS Tier 3</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</si>
  <si>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</si>
  <si>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</si>
  <si>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</si>
  <si>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</si>
  <si>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</si>
  <si>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</si>
  <si>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</si>
  <si>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</si>
  <si>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</si>
  <si>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</si>
  <si>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</si>
  <si>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</si>
  <si>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</si>
  <si>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</si>
  <si>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</si>
  <si>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</si>
  <si>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</si>
  <si>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</si>
  <si>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</si>
  <si>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</si>
  <si>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</si>
  <si>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</si>
  <si>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</si>
  <si>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</si>
  <si>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</si>
  <si>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</si>
  <si>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</si>
  <si>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</si>
  <si>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</si>
  <si>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</si>
  <si>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</si>
  <si>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</si>
  <si>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</si>
  <si>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</si>
  <si>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</si>
  <si>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</si>
  <si>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Revenue Share</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</si>
  <si>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</si>
  <si>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</si>
  <si>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</si>
  <si>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</si>
  <si>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</si>
  <si>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</si>
  <si>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</si>
  <si>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</si>
  <si>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</si>
  <si>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</si>
  <si>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</si>
  <si>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</si>
  <si>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</si>
  <si>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</si>
  <si>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</si>
  <si>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</si>
  <si>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</si>
  <si>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</si>
  <si>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</si>
  <si>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</si>
  <si>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</si>
  <si>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Other</t>
  </si>
  <si>
    <t>Misc</t>
  </si>
  <si>
    <t>Income Tax Rate</t>
  </si>
  <si>
    <t>Balance Sheet:</t>
  </si>
  <si>
    <t>e</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</si>
  <si>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</si>
  <si>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</si>
  <si>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</si>
  <si>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</si>
  <si>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</si>
  <si>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</si>
  <si>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</si>
  <si>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</si>
  <si>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</si>
  <si>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</si>
  <si>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</si>
  <si>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</si>
  <si>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</si>
  <si>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</si>
  <si>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</si>
  <si>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</si>
  <si>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</si>
  <si>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Deferred Revenue</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</si>
  <si>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</si>
  <si>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</si>
  <si>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</si>
  <si>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</si>
  <si>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</si>
  <si>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</si>
  <si>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</si>
  <si>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</si>
  <si>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</si>
  <si>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</si>
  <si>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</si>
  <si>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</si>
  <si>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</si>
  <si>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</si>
  <si>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</si>
  <si>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</si>
  <si>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</si>
  <si>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</si>
  <si>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</si>
  <si>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</si>
  <si>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</si>
  <si>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</si>
  <si>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</si>
  <si>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</si>
  <si>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</si>
  <si>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</si>
  <si>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</si>
  <si>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</si>
  <si>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</si>
  <si>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</si>
  <si>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</si>
  <si>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</si>
  <si>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</si>
  <si>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</si>
  <si>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</si>
  <si>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</si>
  <si>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</si>
  <si>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</si>
  <si>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</si>
  <si>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</si>
  <si>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</si>
  <si>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</si>
  <si>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</si>
  <si>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</si>
  <si>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</si>
  <si>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</si>
  <si>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Change in Deferred Revenue</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</si>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</sst>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b/>
      <i/>
      <color theme="1"/>
      <name val="Montserrat"/>
    </font>
    <font>
      <color theme="1"/>
      <name val="Arial"/>
      <scheme val="minor"/>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29">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FFFFFF"/>
      </left>
      <right style="medium">
        <color rgb="FFFFFFFF"/>
      </right>
      <top style="medium">
        <color rgb="FFFFFFFF"/>
      </top>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right style="medium">
        <color rgb="FFFFFFFF"/>
      </right>
      <top style="medium">
        <color rgb="FFFFFFFF"/>
      </top>
      <bottom style="thick">
        <color rgb="FF000000"/>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9" fillId="5" fontId="17" numFmtId="14" xfId="0" applyAlignment="1" applyBorder="1" applyFill="1" applyFont="1" applyNumberFormat="1">
      <alignment horizontal="right" readingOrder="0" vertical="center"/>
    </xf>
    <xf borderId="0" fillId="0" fontId="13" numFmtId="14" xfId="0" applyAlignment="1" applyFont="1" applyNumberFormat="1">
      <alignment horizontal="right" vertical="center"/>
    </xf>
    <xf borderId="0" fillId="0" fontId="13" numFmtId="0" xfId="0" applyAlignment="1" applyFont="1">
      <alignment vertical="center"/>
    </xf>
    <xf borderId="10" fillId="6" fontId="18" numFmtId="0" xfId="0" applyAlignment="1" applyBorder="1" applyFill="1" applyFont="1">
      <alignment readingOrder="0" vertical="center"/>
    </xf>
    <xf borderId="10" fillId="6" fontId="13" numFmtId="0" xfId="0" applyAlignment="1" applyBorder="1" applyFont="1">
      <alignment vertical="center"/>
    </xf>
    <xf borderId="10" fillId="6" fontId="13" numFmtId="0" xfId="0" applyAlignment="1" applyBorder="1" applyFont="1">
      <alignment horizontal="right" vertical="center"/>
    </xf>
    <xf borderId="11" fillId="7" fontId="13" numFmtId="0" xfId="0" applyAlignment="1" applyBorder="1" applyFill="1" applyFont="1">
      <alignment readingOrder="0" vertical="center"/>
    </xf>
    <xf borderId="12"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3"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4" fillId="0" fontId="13" numFmtId="0" xfId="0" applyAlignment="1" applyBorder="1" applyFont="1">
      <alignment vertical="center"/>
    </xf>
    <xf borderId="15" fillId="0" fontId="13" numFmtId="0" xfId="0" applyAlignment="1" applyBorder="1" applyFont="1">
      <alignment vertical="center"/>
    </xf>
    <xf borderId="16" fillId="5" fontId="17" numFmtId="10" xfId="0" applyAlignment="1" applyBorder="1" applyFont="1" applyNumberFormat="1">
      <alignment horizontal="right" readingOrder="0" vertical="center"/>
    </xf>
    <xf borderId="14" fillId="0" fontId="13" numFmtId="0" xfId="0" applyAlignment="1" applyBorder="1" applyFont="1">
      <alignment vertical="center"/>
    </xf>
    <xf borderId="15" fillId="0" fontId="13" numFmtId="10" xfId="0" applyAlignment="1" applyBorder="1" applyFont="1" applyNumberFormat="1">
      <alignment horizontal="right" vertical="center"/>
    </xf>
    <xf borderId="0" fillId="0" fontId="17" numFmtId="164" xfId="0" applyAlignment="1" applyFont="1" applyNumberFormat="1">
      <alignment horizontal="center" readingOrder="0" vertical="center"/>
    </xf>
    <xf borderId="0" fillId="3" fontId="17" numFmtId="164" xfId="0" applyAlignment="1" applyFont="1" applyNumberFormat="1">
      <alignment horizontal="right"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7" fillId="5" fontId="20"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0" fillId="0" fontId="21" numFmtId="165" xfId="0" applyAlignment="1" applyFont="1" applyNumberFormat="1">
      <alignment horizontal="right" readingOrder="0" vertical="center"/>
    </xf>
    <xf borderId="15" fillId="0" fontId="13" numFmtId="0" xfId="0" applyAlignment="1" applyBorder="1" applyFont="1">
      <alignment readingOrder="0" vertical="center"/>
    </xf>
    <xf borderId="19"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0" fontId="17" numFmtId="164" xfId="0" applyAlignment="1" applyFont="1" applyNumberFormat="1">
      <alignment horizontal="center" vertical="center"/>
    </xf>
    <xf borderId="0" fillId="3" fontId="17" numFmtId="164" xfId="0" applyAlignment="1" applyFont="1" applyNumberFormat="1">
      <alignment horizontal="right" vertical="center"/>
    </xf>
    <xf borderId="17" fillId="5" fontId="20" numFmtId="164" xfId="0" applyAlignment="1" applyBorder="1" applyFont="1" applyNumberFormat="1">
      <alignment horizontal="right" readingOrder="0" vertical="center"/>
    </xf>
    <xf borderId="17"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5" fillId="0" fontId="3" numFmtId="0" xfId="0" applyAlignment="1" applyBorder="1" applyFont="1">
      <alignment vertical="center"/>
    </xf>
    <xf borderId="19" fillId="5" fontId="17" numFmtId="10" xfId="0" applyAlignment="1" applyBorder="1" applyFont="1" applyNumberFormat="1">
      <alignment horizontal="right" vertical="center"/>
    </xf>
    <xf borderId="14"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7"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7"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4" fillId="0" fontId="25" numFmtId="0" xfId="0" applyAlignment="1" applyBorder="1" applyFont="1">
      <alignment readingOrder="0" vertical="center"/>
    </xf>
    <xf borderId="14"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8" numFmtId="0" xfId="0" applyAlignment="1" applyFont="1">
      <alignment readingOrder="0" vertical="center"/>
    </xf>
    <xf borderId="0" fillId="0" fontId="17" numFmtId="0" xfId="0" applyAlignment="1" applyFont="1">
      <alignment horizontal="center" vertical="center"/>
    </xf>
    <xf borderId="0" fillId="0" fontId="17" numFmtId="10" xfId="0" applyAlignment="1" applyFont="1" applyNumberFormat="1">
      <alignment horizontal="right" readingOrder="0" vertical="center"/>
    </xf>
    <xf borderId="0" fillId="0" fontId="13" numFmtId="1" xfId="0" applyAlignment="1" applyFont="1" applyNumberFormat="1">
      <alignment vertical="center"/>
    </xf>
    <xf borderId="0" fillId="0" fontId="13" numFmtId="1" xfId="0" applyAlignment="1" applyFont="1" applyNumberFormat="1">
      <alignment horizontal="right" vertical="center"/>
    </xf>
    <xf borderId="17" fillId="5" fontId="17" numFmtId="167" xfId="0" applyAlignment="1" applyBorder="1" applyFont="1" applyNumberFormat="1">
      <alignment horizontal="right" readingOrder="0" vertical="center"/>
    </xf>
    <xf borderId="0" fillId="0" fontId="17" numFmtId="167" xfId="0" applyAlignment="1" applyFont="1" applyNumberFormat="1">
      <alignment horizontal="right" readingOrder="0" vertical="center"/>
    </xf>
    <xf borderId="0" fillId="0" fontId="13" numFmtId="167" xfId="0" applyAlignment="1" applyFont="1" applyNumberFormat="1">
      <alignment horizontal="right" vertical="center"/>
    </xf>
    <xf borderId="15" fillId="0" fontId="13" numFmtId="168" xfId="0" applyAlignment="1" applyBorder="1" applyFont="1" applyNumberFormat="1">
      <alignment horizontal="right" readingOrder="0" vertical="center"/>
    </xf>
    <xf borderId="0" fillId="0" fontId="17" numFmtId="168" xfId="0" applyAlignment="1" applyFont="1" applyNumberFormat="1">
      <alignment horizontal="right" vertical="center"/>
    </xf>
    <xf borderId="0" fillId="3" fontId="17" numFmtId="168" xfId="0" applyAlignment="1" applyFont="1" applyNumberFormat="1">
      <alignment horizontal="right" vertical="center"/>
    </xf>
    <xf borderId="20" fillId="7" fontId="13" numFmtId="0" xfId="0" applyAlignment="1" applyBorder="1" applyFont="1">
      <alignment readingOrder="0" vertical="center"/>
    </xf>
    <xf borderId="0" fillId="0" fontId="13" numFmtId="3" xfId="0" applyAlignment="1" applyFont="1" applyNumberFormat="1">
      <alignment vertical="center"/>
    </xf>
    <xf borderId="0" fillId="0" fontId="13" numFmtId="165" xfId="0" applyAlignment="1" applyFont="1" applyNumberFormat="1">
      <alignment horizontal="right" vertical="center"/>
    </xf>
    <xf borderId="0" fillId="0" fontId="28" numFmtId="0" xfId="0" applyAlignment="1" applyFont="1">
      <alignment readingOrder="0" vertical="center"/>
    </xf>
    <xf borderId="0" fillId="0" fontId="28" numFmtId="0" xfId="0" applyAlignment="1" applyFont="1">
      <alignment horizontal="center" readingOrder="0" vertical="center"/>
    </xf>
    <xf borderId="17" fillId="5" fontId="20" numFmtId="165" xfId="0" applyAlignment="1" applyBorder="1" applyFont="1" applyNumberFormat="1">
      <alignment horizontal="left" vertical="center"/>
    </xf>
    <xf borderId="17" fillId="5" fontId="20" numFmtId="165" xfId="0" applyAlignment="1" applyBorder="1" applyFont="1" applyNumberFormat="1">
      <alignment horizontal="center" readingOrder="0" vertical="center"/>
    </xf>
    <xf borderId="17" fillId="5" fontId="20" numFmtId="9" xfId="0" applyAlignment="1" applyBorder="1" applyFont="1" applyNumberFormat="1">
      <alignment horizontal="center" readingOrder="0" vertical="center"/>
    </xf>
    <xf borderId="21" fillId="5" fontId="20" numFmtId="169" xfId="0" applyAlignment="1" applyBorder="1" applyFont="1" applyNumberFormat="1">
      <alignment horizontal="center" readingOrder="0" vertical="center"/>
    </xf>
    <xf borderId="17" fillId="5" fontId="20" numFmtId="170" xfId="0" applyAlignment="1" applyBorder="1" applyFont="1" applyNumberFormat="1">
      <alignment horizontal="left" vertical="center"/>
    </xf>
    <xf borderId="17" fillId="5" fontId="20" numFmtId="10" xfId="0" applyAlignment="1" applyBorder="1" applyFont="1" applyNumberFormat="1">
      <alignment horizontal="center" readingOrder="0" vertical="center"/>
    </xf>
    <xf borderId="17" fillId="5" fontId="20" numFmtId="170" xfId="0" applyAlignment="1" applyBorder="1" applyFont="1" applyNumberFormat="1">
      <alignment horizontal="left" readingOrder="0" vertical="center"/>
    </xf>
    <xf borderId="22" fillId="5" fontId="20" numFmtId="170" xfId="0" applyAlignment="1" applyBorder="1" applyFont="1" applyNumberFormat="1">
      <alignment horizontal="left" readingOrder="0" vertical="center"/>
    </xf>
    <xf borderId="22" fillId="5" fontId="20" numFmtId="10" xfId="0" applyAlignment="1" applyBorder="1" applyFont="1" applyNumberFormat="1">
      <alignment horizontal="center" readingOrder="0" vertical="center"/>
    </xf>
    <xf borderId="14"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0" fillId="0" fontId="20" numFmtId="165" xfId="0" applyAlignment="1" applyFont="1" applyNumberFormat="1">
      <alignment horizontal="center" readingOrder="0" vertical="center"/>
    </xf>
    <xf borderId="21" fillId="5" fontId="20" numFmtId="165" xfId="0" applyAlignment="1" applyBorder="1" applyFont="1" applyNumberFormat="1">
      <alignment horizontal="center" readingOrder="0" vertical="center"/>
    </xf>
    <xf borderId="22" fillId="5" fontId="20" numFmtId="165" xfId="0" applyAlignment="1" applyBorder="1" applyFont="1" applyNumberFormat="1">
      <alignment horizontal="left" readingOrder="0" vertical="center"/>
    </xf>
    <xf borderId="22" fillId="5" fontId="20" numFmtId="165" xfId="0" applyAlignment="1" applyBorder="1" applyFont="1" applyNumberFormat="1">
      <alignment horizontal="center" readingOrder="0" vertical="center"/>
    </xf>
    <xf borderId="14" fillId="0" fontId="13" numFmtId="165" xfId="0" applyAlignment="1" applyBorder="1" applyFont="1" applyNumberFormat="1">
      <alignment vertical="center"/>
    </xf>
    <xf borderId="23" fillId="5" fontId="20" numFmtId="165" xfId="0" applyAlignment="1" applyBorder="1" applyFont="1" applyNumberFormat="1">
      <alignment horizontal="center" readingOrder="0"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24" fillId="0" fontId="17" numFmtId="0" xfId="0" applyAlignment="1" applyBorder="1" applyFont="1">
      <alignment readingOrder="0" vertical="center"/>
    </xf>
    <xf borderId="24"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9"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7" fillId="5" fontId="20" numFmtId="169" xfId="0" applyAlignment="1" applyBorder="1" applyFont="1" applyNumberFormat="1">
      <alignment horizontal="center" readingOrder="0" vertical="center"/>
    </xf>
    <xf borderId="21" fillId="5" fontId="20" numFmtId="3" xfId="0" applyAlignment="1" applyBorder="1" applyFont="1" applyNumberFormat="1">
      <alignment horizontal="center" readingOrder="0" vertical="center"/>
    </xf>
    <xf borderId="17" fillId="5" fontId="20" numFmtId="3" xfId="0" applyAlignment="1" applyBorder="1" applyFont="1" applyNumberFormat="1">
      <alignment horizontal="center" readingOrder="0" vertical="center"/>
    </xf>
    <xf borderId="0" fillId="0" fontId="17" numFmtId="170" xfId="0" applyAlignment="1" applyFont="1" applyNumberFormat="1">
      <alignment vertical="center"/>
    </xf>
    <xf borderId="0" fillId="0" fontId="17" numFmtId="170" xfId="0" applyAlignment="1" applyFont="1" applyNumberFormat="1">
      <alignment horizontal="right" vertical="center"/>
    </xf>
    <xf borderId="0" fillId="0" fontId="13" numFmtId="170" xfId="0" applyAlignment="1" applyFont="1" applyNumberFormat="1">
      <alignment readingOrder="0" vertical="center"/>
    </xf>
    <xf borderId="0" fillId="0" fontId="29" numFmtId="0" xfId="0" applyAlignment="1" applyFont="1">
      <alignment vertical="center"/>
    </xf>
    <xf borderId="25" fillId="0" fontId="30" numFmtId="0" xfId="0" applyAlignment="1" applyBorder="1" applyFont="1">
      <alignment readingOrder="0" vertical="center"/>
    </xf>
    <xf borderId="25" fillId="0" fontId="13" numFmtId="0" xfId="0" applyAlignment="1" applyBorder="1" applyFont="1">
      <alignment vertical="center"/>
    </xf>
    <xf borderId="0" fillId="0" fontId="29" numFmtId="165" xfId="0" applyAlignment="1" applyFont="1" applyNumberFormat="1">
      <alignment vertical="center"/>
    </xf>
    <xf borderId="17" fillId="5" fontId="20" numFmtId="169" xfId="0" applyAlignment="1" applyBorder="1" applyFont="1" applyNumberFormat="1">
      <alignment horizontal="right" readingOrder="0"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10" fillId="6" fontId="18" numFmtId="0" xfId="0" applyAlignment="1" applyBorder="1" applyFont="1">
      <alignment readingOrder="0"/>
    </xf>
    <xf borderId="10" fillId="6" fontId="13" numFmtId="0" xfId="0" applyBorder="1" applyFont="1"/>
    <xf borderId="0" fillId="0" fontId="13" numFmtId="165" xfId="0" applyFont="1" applyNumberFormat="1"/>
    <xf borderId="26" fillId="0" fontId="17" numFmtId="165" xfId="0" applyAlignment="1" applyBorder="1" applyFont="1" applyNumberFormat="1">
      <alignment readingOrder="0"/>
    </xf>
    <xf borderId="26" fillId="0" fontId="17" numFmtId="165" xfId="0" applyBorder="1" applyFont="1" applyNumberFormat="1"/>
    <xf borderId="27" fillId="0" fontId="17" numFmtId="165" xfId="0" applyAlignment="1" applyBorder="1" applyFont="1" applyNumberFormat="1">
      <alignment readingOrder="0"/>
    </xf>
    <xf borderId="27" fillId="0" fontId="13" numFmtId="165" xfId="0" applyBorder="1" applyFont="1" applyNumberFormat="1"/>
    <xf borderId="27" fillId="0" fontId="17" numFmtId="165" xfId="0" applyBorder="1" applyFont="1" applyNumberFormat="1"/>
    <xf borderId="0" fillId="0" fontId="13" numFmtId="10" xfId="0" applyFont="1" applyNumberFormat="1"/>
    <xf borderId="0" fillId="0" fontId="30" numFmtId="10" xfId="0" applyAlignment="1" applyFont="1" applyNumberFormat="1">
      <alignment readingOrder="0"/>
    </xf>
    <xf borderId="0" fillId="0" fontId="30"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6" fillId="0" fontId="13" numFmtId="165" xfId="0" applyBorder="1" applyFont="1" applyNumberFormat="1"/>
    <xf borderId="0" fillId="0" fontId="17" numFmtId="165" xfId="0" applyFont="1" applyNumberFormat="1"/>
    <xf borderId="26" fillId="0" fontId="13" numFmtId="165" xfId="0" applyAlignment="1" applyBorder="1" applyFont="1" applyNumberFormat="1">
      <alignment readingOrder="0"/>
    </xf>
    <xf borderId="0" fillId="0" fontId="30" numFmtId="0" xfId="0" applyAlignment="1" applyFont="1">
      <alignment readingOrder="0"/>
    </xf>
    <xf borderId="0" fillId="0" fontId="31" numFmtId="165" xfId="0" applyAlignment="1" applyFont="1" applyNumberFormat="1">
      <alignment readingOrder="0"/>
    </xf>
    <xf borderId="28" fillId="0" fontId="30" numFmtId="165" xfId="0" applyAlignment="1" applyBorder="1" applyFont="1" applyNumberFormat="1">
      <alignment readingOrder="0"/>
    </xf>
    <xf borderId="28" fillId="0" fontId="30" numFmtId="165" xfId="0" applyBorder="1" applyFont="1" applyNumberFormat="1"/>
    <xf borderId="28" fillId="0" fontId="13" numFmtId="165" xfId="0" applyBorder="1" applyFont="1" applyNumberFormat="1"/>
    <xf borderId="28" fillId="0" fontId="31" numFmtId="165" xfId="0" applyAlignment="1" applyBorder="1" applyFont="1" applyNumberFormat="1">
      <alignment readingOrder="0"/>
    </xf>
    <xf borderId="28"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Fsl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5" width="14.13"/>
    <col hidden="1" min="6" max="17" width="12.63"/>
  </cols>
  <sheetData>
    <row r="1">
      <c r="A1" s="39"/>
      <c r="B1" s="39" t="s">
        <v>8</v>
      </c>
      <c r="C1" s="40"/>
      <c r="D1" s="40"/>
      <c r="E1" s="40"/>
      <c r="F1" s="41"/>
      <c r="G1" s="41"/>
      <c r="H1" s="41"/>
      <c r="I1" s="41"/>
      <c r="J1" s="41"/>
      <c r="K1" s="41"/>
      <c r="L1" s="41"/>
      <c r="M1" s="41"/>
      <c r="N1" s="41"/>
      <c r="O1" s="41"/>
      <c r="P1" s="41"/>
      <c r="Q1" s="41"/>
      <c r="R1" s="41">
        <v>1.0</v>
      </c>
      <c r="S1" s="41">
        <v>1.0</v>
      </c>
      <c r="T1" s="41">
        <v>1.0</v>
      </c>
      <c r="U1" s="41">
        <v>1.0</v>
      </c>
      <c r="V1" s="41">
        <v>1.0</v>
      </c>
      <c r="W1" s="41">
        <v>1.0</v>
      </c>
      <c r="X1" s="41">
        <v>1.0</v>
      </c>
      <c r="Y1" s="41">
        <v>1.0</v>
      </c>
      <c r="Z1" s="41">
        <v>1.0</v>
      </c>
      <c r="AA1" s="41">
        <v>1.0</v>
      </c>
      <c r="AB1" s="41">
        <v>1.0</v>
      </c>
      <c r="AC1" s="41">
        <v>1.0</v>
      </c>
      <c r="AD1" s="41">
        <f t="shared" ref="AD1:BY1" si="1">R1+1</f>
        <v>2</v>
      </c>
      <c r="AE1" s="41">
        <f t="shared" si="1"/>
        <v>2</v>
      </c>
      <c r="AF1" s="41">
        <f t="shared" si="1"/>
        <v>2</v>
      </c>
      <c r="AG1" s="41">
        <f t="shared" si="1"/>
        <v>2</v>
      </c>
      <c r="AH1" s="41">
        <f t="shared" si="1"/>
        <v>2</v>
      </c>
      <c r="AI1" s="41">
        <f t="shared" si="1"/>
        <v>2</v>
      </c>
      <c r="AJ1" s="41">
        <f t="shared" si="1"/>
        <v>2</v>
      </c>
      <c r="AK1" s="41">
        <f t="shared" si="1"/>
        <v>2</v>
      </c>
      <c r="AL1" s="41">
        <f t="shared" si="1"/>
        <v>2</v>
      </c>
      <c r="AM1" s="41">
        <f t="shared" si="1"/>
        <v>2</v>
      </c>
      <c r="AN1" s="41">
        <f t="shared" si="1"/>
        <v>2</v>
      </c>
      <c r="AO1" s="41">
        <f t="shared" si="1"/>
        <v>2</v>
      </c>
      <c r="AP1" s="41">
        <f t="shared" si="1"/>
        <v>3</v>
      </c>
      <c r="AQ1" s="41">
        <f t="shared" si="1"/>
        <v>3</v>
      </c>
      <c r="AR1" s="41">
        <f t="shared" si="1"/>
        <v>3</v>
      </c>
      <c r="AS1" s="41">
        <f t="shared" si="1"/>
        <v>3</v>
      </c>
      <c r="AT1" s="41">
        <f t="shared" si="1"/>
        <v>3</v>
      </c>
      <c r="AU1" s="41">
        <f t="shared" si="1"/>
        <v>3</v>
      </c>
      <c r="AV1" s="41">
        <f t="shared" si="1"/>
        <v>3</v>
      </c>
      <c r="AW1" s="41">
        <f t="shared" si="1"/>
        <v>3</v>
      </c>
      <c r="AX1" s="41">
        <f t="shared" si="1"/>
        <v>3</v>
      </c>
      <c r="AY1" s="41">
        <f t="shared" si="1"/>
        <v>3</v>
      </c>
      <c r="AZ1" s="41">
        <f t="shared" si="1"/>
        <v>3</v>
      </c>
      <c r="BA1" s="41">
        <f t="shared" si="1"/>
        <v>3</v>
      </c>
      <c r="BB1" s="41">
        <f t="shared" si="1"/>
        <v>4</v>
      </c>
      <c r="BC1" s="41">
        <f t="shared" si="1"/>
        <v>4</v>
      </c>
      <c r="BD1" s="41">
        <f t="shared" si="1"/>
        <v>4</v>
      </c>
      <c r="BE1" s="41">
        <f t="shared" si="1"/>
        <v>4</v>
      </c>
      <c r="BF1" s="41">
        <f t="shared" si="1"/>
        <v>4</v>
      </c>
      <c r="BG1" s="41">
        <f t="shared" si="1"/>
        <v>4</v>
      </c>
      <c r="BH1" s="41">
        <f t="shared" si="1"/>
        <v>4</v>
      </c>
      <c r="BI1" s="41">
        <f t="shared" si="1"/>
        <v>4</v>
      </c>
      <c r="BJ1" s="41">
        <f t="shared" si="1"/>
        <v>4</v>
      </c>
      <c r="BK1" s="41">
        <f t="shared" si="1"/>
        <v>4</v>
      </c>
      <c r="BL1" s="41">
        <f t="shared" si="1"/>
        <v>4</v>
      </c>
      <c r="BM1" s="41">
        <f t="shared" si="1"/>
        <v>4</v>
      </c>
      <c r="BN1" s="41">
        <f t="shared" si="1"/>
        <v>5</v>
      </c>
      <c r="BO1" s="41">
        <f t="shared" si="1"/>
        <v>5</v>
      </c>
      <c r="BP1" s="41">
        <f t="shared" si="1"/>
        <v>5</v>
      </c>
      <c r="BQ1" s="41">
        <f t="shared" si="1"/>
        <v>5</v>
      </c>
      <c r="BR1" s="41">
        <f t="shared" si="1"/>
        <v>5</v>
      </c>
      <c r="BS1" s="41">
        <f t="shared" si="1"/>
        <v>5</v>
      </c>
      <c r="BT1" s="41">
        <f t="shared" si="1"/>
        <v>5</v>
      </c>
      <c r="BU1" s="41">
        <f t="shared" si="1"/>
        <v>5</v>
      </c>
      <c r="BV1" s="41">
        <f t="shared" si="1"/>
        <v>5</v>
      </c>
      <c r="BW1" s="41">
        <f t="shared" si="1"/>
        <v>5</v>
      </c>
      <c r="BX1" s="41">
        <f t="shared" si="1"/>
        <v>5</v>
      </c>
      <c r="BY1" s="41">
        <f t="shared" si="1"/>
        <v>5</v>
      </c>
    </row>
    <row r="2">
      <c r="A2" s="39"/>
      <c r="B2" s="39" t="s">
        <v>9</v>
      </c>
      <c r="C2" s="42"/>
      <c r="D2" s="42"/>
      <c r="E2" s="42"/>
      <c r="F2" s="43"/>
      <c r="G2" s="43"/>
      <c r="H2" s="43"/>
      <c r="I2" s="43"/>
      <c r="J2" s="43"/>
      <c r="K2" s="43"/>
      <c r="L2" s="43"/>
      <c r="M2" s="43"/>
      <c r="N2" s="43"/>
      <c r="O2" s="43"/>
      <c r="P2" s="43"/>
      <c r="Q2" s="43"/>
      <c r="R2" s="43">
        <f t="shared" ref="R2:BY2" si="2">YEAR(R4)</f>
        <v>2023</v>
      </c>
      <c r="S2" s="43">
        <f t="shared" si="2"/>
        <v>2023</v>
      </c>
      <c r="T2" s="43">
        <f t="shared" si="2"/>
        <v>2023</v>
      </c>
      <c r="U2" s="43">
        <f t="shared" si="2"/>
        <v>2023</v>
      </c>
      <c r="V2" s="43">
        <f t="shared" si="2"/>
        <v>2023</v>
      </c>
      <c r="W2" s="43">
        <f t="shared" si="2"/>
        <v>2023</v>
      </c>
      <c r="X2" s="43">
        <f t="shared" si="2"/>
        <v>2023</v>
      </c>
      <c r="Y2" s="43">
        <f t="shared" si="2"/>
        <v>2023</v>
      </c>
      <c r="Z2" s="43">
        <f t="shared" si="2"/>
        <v>2023</v>
      </c>
      <c r="AA2" s="43">
        <f t="shared" si="2"/>
        <v>2023</v>
      </c>
      <c r="AB2" s="43">
        <f t="shared" si="2"/>
        <v>2023</v>
      </c>
      <c r="AC2" s="43">
        <f t="shared" si="2"/>
        <v>2023</v>
      </c>
      <c r="AD2" s="43">
        <f t="shared" si="2"/>
        <v>2024</v>
      </c>
      <c r="AE2" s="43">
        <f t="shared" si="2"/>
        <v>2024</v>
      </c>
      <c r="AF2" s="43">
        <f t="shared" si="2"/>
        <v>2024</v>
      </c>
      <c r="AG2" s="43">
        <f t="shared" si="2"/>
        <v>2024</v>
      </c>
      <c r="AH2" s="43">
        <f t="shared" si="2"/>
        <v>2024</v>
      </c>
      <c r="AI2" s="43">
        <f t="shared" si="2"/>
        <v>2024</v>
      </c>
      <c r="AJ2" s="43">
        <f t="shared" si="2"/>
        <v>2024</v>
      </c>
      <c r="AK2" s="43">
        <f t="shared" si="2"/>
        <v>2024</v>
      </c>
      <c r="AL2" s="43">
        <f t="shared" si="2"/>
        <v>2024</v>
      </c>
      <c r="AM2" s="43">
        <f t="shared" si="2"/>
        <v>2024</v>
      </c>
      <c r="AN2" s="43">
        <f t="shared" si="2"/>
        <v>2024</v>
      </c>
      <c r="AO2" s="43">
        <f t="shared" si="2"/>
        <v>2024</v>
      </c>
      <c r="AP2" s="43">
        <f t="shared" si="2"/>
        <v>2025</v>
      </c>
      <c r="AQ2" s="43">
        <f t="shared" si="2"/>
        <v>2025</v>
      </c>
      <c r="AR2" s="43">
        <f t="shared" si="2"/>
        <v>2025</v>
      </c>
      <c r="AS2" s="43">
        <f t="shared" si="2"/>
        <v>2025</v>
      </c>
      <c r="AT2" s="43">
        <f t="shared" si="2"/>
        <v>2025</v>
      </c>
      <c r="AU2" s="43">
        <f t="shared" si="2"/>
        <v>2025</v>
      </c>
      <c r="AV2" s="43">
        <f t="shared" si="2"/>
        <v>2025</v>
      </c>
      <c r="AW2" s="43">
        <f t="shared" si="2"/>
        <v>2025</v>
      </c>
      <c r="AX2" s="43">
        <f t="shared" si="2"/>
        <v>2025</v>
      </c>
      <c r="AY2" s="43">
        <f t="shared" si="2"/>
        <v>2025</v>
      </c>
      <c r="AZ2" s="43">
        <f t="shared" si="2"/>
        <v>2025</v>
      </c>
      <c r="BA2" s="43">
        <f t="shared" si="2"/>
        <v>2025</v>
      </c>
      <c r="BB2" s="43">
        <f t="shared" si="2"/>
        <v>2026</v>
      </c>
      <c r="BC2" s="43">
        <f t="shared" si="2"/>
        <v>2026</v>
      </c>
      <c r="BD2" s="43">
        <f t="shared" si="2"/>
        <v>2026</v>
      </c>
      <c r="BE2" s="43">
        <f t="shared" si="2"/>
        <v>2026</v>
      </c>
      <c r="BF2" s="43">
        <f t="shared" si="2"/>
        <v>2026</v>
      </c>
      <c r="BG2" s="43">
        <f t="shared" si="2"/>
        <v>2026</v>
      </c>
      <c r="BH2" s="43">
        <f t="shared" si="2"/>
        <v>2026</v>
      </c>
      <c r="BI2" s="43">
        <f t="shared" si="2"/>
        <v>2026</v>
      </c>
      <c r="BJ2" s="43">
        <f t="shared" si="2"/>
        <v>2026</v>
      </c>
      <c r="BK2" s="43">
        <f t="shared" si="2"/>
        <v>2026</v>
      </c>
      <c r="BL2" s="43">
        <f t="shared" si="2"/>
        <v>2026</v>
      </c>
      <c r="BM2" s="43">
        <f t="shared" si="2"/>
        <v>2026</v>
      </c>
      <c r="BN2" s="43">
        <f t="shared" si="2"/>
        <v>2027</v>
      </c>
      <c r="BO2" s="43">
        <f t="shared" si="2"/>
        <v>2027</v>
      </c>
      <c r="BP2" s="43">
        <f t="shared" si="2"/>
        <v>2027</v>
      </c>
      <c r="BQ2" s="43">
        <f t="shared" si="2"/>
        <v>2027</v>
      </c>
      <c r="BR2" s="43">
        <f t="shared" si="2"/>
        <v>2027</v>
      </c>
      <c r="BS2" s="43">
        <f t="shared" si="2"/>
        <v>2027</v>
      </c>
      <c r="BT2" s="43">
        <f t="shared" si="2"/>
        <v>2027</v>
      </c>
      <c r="BU2" s="43">
        <f t="shared" si="2"/>
        <v>2027</v>
      </c>
      <c r="BV2" s="43">
        <f t="shared" si="2"/>
        <v>2027</v>
      </c>
      <c r="BW2" s="43">
        <f t="shared" si="2"/>
        <v>2027</v>
      </c>
      <c r="BX2" s="43">
        <f t="shared" si="2"/>
        <v>2027</v>
      </c>
      <c r="BY2" s="43">
        <f t="shared" si="2"/>
        <v>2027</v>
      </c>
    </row>
    <row r="3">
      <c r="A3" s="39"/>
      <c r="B3" s="39" t="s">
        <v>10</v>
      </c>
      <c r="C3" s="40"/>
      <c r="D3" s="40"/>
      <c r="E3" s="40"/>
      <c r="F3" s="43"/>
      <c r="G3" s="43"/>
      <c r="H3" s="43"/>
      <c r="I3" s="43"/>
      <c r="J3" s="43"/>
      <c r="K3" s="43"/>
      <c r="L3" s="43"/>
      <c r="M3" s="43"/>
      <c r="N3" s="43"/>
      <c r="O3" s="43"/>
      <c r="P3" s="43"/>
      <c r="Q3" s="43"/>
      <c r="R3" s="43">
        <v>1.0</v>
      </c>
      <c r="S3" s="43">
        <f t="shared" ref="S3:BY3" si="3">R3+1</f>
        <v>2</v>
      </c>
      <c r="T3" s="43">
        <f t="shared" si="3"/>
        <v>3</v>
      </c>
      <c r="U3" s="43">
        <f t="shared" si="3"/>
        <v>4</v>
      </c>
      <c r="V3" s="43">
        <f t="shared" si="3"/>
        <v>5</v>
      </c>
      <c r="W3" s="43">
        <f t="shared" si="3"/>
        <v>6</v>
      </c>
      <c r="X3" s="43">
        <f t="shared" si="3"/>
        <v>7</v>
      </c>
      <c r="Y3" s="43">
        <f t="shared" si="3"/>
        <v>8</v>
      </c>
      <c r="Z3" s="43">
        <f t="shared" si="3"/>
        <v>9</v>
      </c>
      <c r="AA3" s="43">
        <f t="shared" si="3"/>
        <v>10</v>
      </c>
      <c r="AB3" s="43">
        <f t="shared" si="3"/>
        <v>11</v>
      </c>
      <c r="AC3" s="43">
        <f t="shared" si="3"/>
        <v>12</v>
      </c>
      <c r="AD3" s="43">
        <f t="shared" si="3"/>
        <v>13</v>
      </c>
      <c r="AE3" s="43">
        <f t="shared" si="3"/>
        <v>14</v>
      </c>
      <c r="AF3" s="43">
        <f t="shared" si="3"/>
        <v>15</v>
      </c>
      <c r="AG3" s="43">
        <f t="shared" si="3"/>
        <v>16</v>
      </c>
      <c r="AH3" s="43">
        <f t="shared" si="3"/>
        <v>17</v>
      </c>
      <c r="AI3" s="43">
        <f t="shared" si="3"/>
        <v>18</v>
      </c>
      <c r="AJ3" s="43">
        <f t="shared" si="3"/>
        <v>19</v>
      </c>
      <c r="AK3" s="43">
        <f t="shared" si="3"/>
        <v>20</v>
      </c>
      <c r="AL3" s="43">
        <f t="shared" si="3"/>
        <v>21</v>
      </c>
      <c r="AM3" s="43">
        <f t="shared" si="3"/>
        <v>22</v>
      </c>
      <c r="AN3" s="43">
        <f t="shared" si="3"/>
        <v>23</v>
      </c>
      <c r="AO3" s="43">
        <f t="shared" si="3"/>
        <v>24</v>
      </c>
      <c r="AP3" s="43">
        <f t="shared" si="3"/>
        <v>25</v>
      </c>
      <c r="AQ3" s="43">
        <f t="shared" si="3"/>
        <v>26</v>
      </c>
      <c r="AR3" s="43">
        <f t="shared" si="3"/>
        <v>27</v>
      </c>
      <c r="AS3" s="43">
        <f t="shared" si="3"/>
        <v>28</v>
      </c>
      <c r="AT3" s="43">
        <f t="shared" si="3"/>
        <v>29</v>
      </c>
      <c r="AU3" s="43">
        <f t="shared" si="3"/>
        <v>30</v>
      </c>
      <c r="AV3" s="43">
        <f t="shared" si="3"/>
        <v>31</v>
      </c>
      <c r="AW3" s="43">
        <f t="shared" si="3"/>
        <v>32</v>
      </c>
      <c r="AX3" s="43">
        <f t="shared" si="3"/>
        <v>33</v>
      </c>
      <c r="AY3" s="43">
        <f t="shared" si="3"/>
        <v>34</v>
      </c>
      <c r="AZ3" s="43">
        <f t="shared" si="3"/>
        <v>35</v>
      </c>
      <c r="BA3" s="43">
        <f t="shared" si="3"/>
        <v>36</v>
      </c>
      <c r="BB3" s="43">
        <f t="shared" si="3"/>
        <v>37</v>
      </c>
      <c r="BC3" s="43">
        <f t="shared" si="3"/>
        <v>38</v>
      </c>
      <c r="BD3" s="43">
        <f t="shared" si="3"/>
        <v>39</v>
      </c>
      <c r="BE3" s="43">
        <f t="shared" si="3"/>
        <v>40</v>
      </c>
      <c r="BF3" s="43">
        <f t="shared" si="3"/>
        <v>41</v>
      </c>
      <c r="BG3" s="43">
        <f t="shared" si="3"/>
        <v>42</v>
      </c>
      <c r="BH3" s="43">
        <f t="shared" si="3"/>
        <v>43</v>
      </c>
      <c r="BI3" s="43">
        <f t="shared" si="3"/>
        <v>44</v>
      </c>
      <c r="BJ3" s="43">
        <f t="shared" si="3"/>
        <v>45</v>
      </c>
      <c r="BK3" s="43">
        <f t="shared" si="3"/>
        <v>46</v>
      </c>
      <c r="BL3" s="43">
        <f t="shared" si="3"/>
        <v>47</v>
      </c>
      <c r="BM3" s="43">
        <f t="shared" si="3"/>
        <v>48</v>
      </c>
      <c r="BN3" s="43">
        <f t="shared" si="3"/>
        <v>49</v>
      </c>
      <c r="BO3" s="43">
        <f t="shared" si="3"/>
        <v>50</v>
      </c>
      <c r="BP3" s="43">
        <f t="shared" si="3"/>
        <v>51</v>
      </c>
      <c r="BQ3" s="43">
        <f t="shared" si="3"/>
        <v>52</v>
      </c>
      <c r="BR3" s="43">
        <f t="shared" si="3"/>
        <v>53</v>
      </c>
      <c r="BS3" s="43">
        <f t="shared" si="3"/>
        <v>54</v>
      </c>
      <c r="BT3" s="43">
        <f t="shared" si="3"/>
        <v>55</v>
      </c>
      <c r="BU3" s="43">
        <f t="shared" si="3"/>
        <v>56</v>
      </c>
      <c r="BV3" s="43">
        <f t="shared" si="3"/>
        <v>57</v>
      </c>
      <c r="BW3" s="43">
        <f t="shared" si="3"/>
        <v>58</v>
      </c>
      <c r="BX3" s="43">
        <f t="shared" si="3"/>
        <v>59</v>
      </c>
      <c r="BY3" s="43">
        <f t="shared" si="3"/>
        <v>60</v>
      </c>
    </row>
    <row r="4">
      <c r="A4" s="39"/>
      <c r="B4" s="39" t="s">
        <v>11</v>
      </c>
      <c r="C4" s="40"/>
      <c r="D4" s="40"/>
      <c r="E4" s="40"/>
      <c r="F4" s="44"/>
      <c r="G4" s="44"/>
      <c r="H4" s="44"/>
      <c r="I4" s="44"/>
      <c r="J4" s="44"/>
      <c r="K4" s="44"/>
      <c r="L4" s="44"/>
      <c r="M4" s="44"/>
      <c r="N4" s="44"/>
      <c r="O4" s="44"/>
      <c r="P4" s="44"/>
      <c r="Q4" s="44"/>
      <c r="R4" s="45">
        <v>44957.0</v>
      </c>
      <c r="S4" s="46">
        <f t="shared" ref="S4:BY4" si="4">EOMONTH(R4,1)</f>
        <v>44985</v>
      </c>
      <c r="T4" s="46">
        <f t="shared" si="4"/>
        <v>45016</v>
      </c>
      <c r="U4" s="46">
        <f t="shared" si="4"/>
        <v>45046</v>
      </c>
      <c r="V4" s="46">
        <f t="shared" si="4"/>
        <v>45077</v>
      </c>
      <c r="W4" s="46">
        <f t="shared" si="4"/>
        <v>45107</v>
      </c>
      <c r="X4" s="46">
        <f t="shared" si="4"/>
        <v>45138</v>
      </c>
      <c r="Y4" s="46">
        <f t="shared" si="4"/>
        <v>45169</v>
      </c>
      <c r="Z4" s="46">
        <f t="shared" si="4"/>
        <v>45199</v>
      </c>
      <c r="AA4" s="46">
        <f t="shared" si="4"/>
        <v>45230</v>
      </c>
      <c r="AB4" s="46">
        <f t="shared" si="4"/>
        <v>45260</v>
      </c>
      <c r="AC4" s="46">
        <f t="shared" si="4"/>
        <v>45291</v>
      </c>
      <c r="AD4" s="46">
        <f t="shared" si="4"/>
        <v>45322</v>
      </c>
      <c r="AE4" s="46">
        <f t="shared" si="4"/>
        <v>45351</v>
      </c>
      <c r="AF4" s="46">
        <f t="shared" si="4"/>
        <v>45382</v>
      </c>
      <c r="AG4" s="46">
        <f t="shared" si="4"/>
        <v>45412</v>
      </c>
      <c r="AH4" s="46">
        <f t="shared" si="4"/>
        <v>45443</v>
      </c>
      <c r="AI4" s="46">
        <f t="shared" si="4"/>
        <v>45473</v>
      </c>
      <c r="AJ4" s="46">
        <f t="shared" si="4"/>
        <v>45504</v>
      </c>
      <c r="AK4" s="46">
        <f t="shared" si="4"/>
        <v>45535</v>
      </c>
      <c r="AL4" s="46">
        <f t="shared" si="4"/>
        <v>45565</v>
      </c>
      <c r="AM4" s="46">
        <f t="shared" si="4"/>
        <v>45596</v>
      </c>
      <c r="AN4" s="46">
        <f t="shared" si="4"/>
        <v>45626</v>
      </c>
      <c r="AO4" s="46">
        <f t="shared" si="4"/>
        <v>45657</v>
      </c>
      <c r="AP4" s="46">
        <f t="shared" si="4"/>
        <v>45688</v>
      </c>
      <c r="AQ4" s="46">
        <f t="shared" si="4"/>
        <v>45716</v>
      </c>
      <c r="AR4" s="46">
        <f t="shared" si="4"/>
        <v>45747</v>
      </c>
      <c r="AS4" s="46">
        <f t="shared" si="4"/>
        <v>45777</v>
      </c>
      <c r="AT4" s="46">
        <f t="shared" si="4"/>
        <v>45808</v>
      </c>
      <c r="AU4" s="46">
        <f t="shared" si="4"/>
        <v>45838</v>
      </c>
      <c r="AV4" s="46">
        <f t="shared" si="4"/>
        <v>45869</v>
      </c>
      <c r="AW4" s="46">
        <f t="shared" si="4"/>
        <v>45900</v>
      </c>
      <c r="AX4" s="46">
        <f t="shared" si="4"/>
        <v>45930</v>
      </c>
      <c r="AY4" s="46">
        <f t="shared" si="4"/>
        <v>45961</v>
      </c>
      <c r="AZ4" s="46">
        <f t="shared" si="4"/>
        <v>45991</v>
      </c>
      <c r="BA4" s="46">
        <f t="shared" si="4"/>
        <v>46022</v>
      </c>
      <c r="BB4" s="46">
        <f t="shared" si="4"/>
        <v>46053</v>
      </c>
      <c r="BC4" s="46">
        <f t="shared" si="4"/>
        <v>46081</v>
      </c>
      <c r="BD4" s="46">
        <f t="shared" si="4"/>
        <v>46112</v>
      </c>
      <c r="BE4" s="46">
        <f t="shared" si="4"/>
        <v>46142</v>
      </c>
      <c r="BF4" s="46">
        <f t="shared" si="4"/>
        <v>46173</v>
      </c>
      <c r="BG4" s="46">
        <f t="shared" si="4"/>
        <v>46203</v>
      </c>
      <c r="BH4" s="46">
        <f t="shared" si="4"/>
        <v>46234</v>
      </c>
      <c r="BI4" s="46">
        <f t="shared" si="4"/>
        <v>46265</v>
      </c>
      <c r="BJ4" s="46">
        <f t="shared" si="4"/>
        <v>46295</v>
      </c>
      <c r="BK4" s="46">
        <f t="shared" si="4"/>
        <v>46326</v>
      </c>
      <c r="BL4" s="46">
        <f t="shared" si="4"/>
        <v>46356</v>
      </c>
      <c r="BM4" s="46">
        <f t="shared" si="4"/>
        <v>46387</v>
      </c>
      <c r="BN4" s="46">
        <f t="shared" si="4"/>
        <v>46418</v>
      </c>
      <c r="BO4" s="46">
        <f t="shared" si="4"/>
        <v>46446</v>
      </c>
      <c r="BP4" s="46">
        <f t="shared" si="4"/>
        <v>46477</v>
      </c>
      <c r="BQ4" s="46">
        <f t="shared" si="4"/>
        <v>46507</v>
      </c>
      <c r="BR4" s="46">
        <f t="shared" si="4"/>
        <v>46538</v>
      </c>
      <c r="BS4" s="46">
        <f t="shared" si="4"/>
        <v>46568</v>
      </c>
      <c r="BT4" s="46">
        <f t="shared" si="4"/>
        <v>46599</v>
      </c>
      <c r="BU4" s="46">
        <f t="shared" si="4"/>
        <v>46630</v>
      </c>
      <c r="BV4" s="46">
        <f t="shared" si="4"/>
        <v>46660</v>
      </c>
      <c r="BW4" s="46">
        <f t="shared" si="4"/>
        <v>46691</v>
      </c>
      <c r="BX4" s="46">
        <f t="shared" si="4"/>
        <v>46721</v>
      </c>
      <c r="BY4" s="46">
        <f t="shared" si="4"/>
        <v>46752</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row>
    <row r="6">
      <c r="A6" s="47"/>
      <c r="B6" s="48" t="s">
        <v>12</v>
      </c>
      <c r="C6" s="49"/>
      <c r="D6" s="49"/>
      <c r="E6" s="49"/>
      <c r="F6" s="49"/>
      <c r="G6" s="49"/>
      <c r="H6" s="49"/>
      <c r="I6" s="49"/>
      <c r="J6" s="49"/>
      <c r="K6" s="49"/>
      <c r="L6" s="49"/>
      <c r="M6" s="49"/>
      <c r="N6" s="49"/>
      <c r="O6" s="49"/>
      <c r="P6" s="49"/>
      <c r="Q6" s="49"/>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row>
    <row r="7" outlineLevel="1">
      <c r="A7" s="47"/>
      <c r="B7" s="47"/>
      <c r="C7" s="47"/>
      <c r="D7" s="47"/>
      <c r="E7" s="47"/>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row>
    <row r="8" outlineLevel="1">
      <c r="A8" s="47"/>
      <c r="B8" s="51" t="s">
        <v>13</v>
      </c>
      <c r="C8" s="52"/>
      <c r="D8" s="47"/>
      <c r="E8" s="47"/>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row>
    <row r="9" outlineLevel="1">
      <c r="A9" s="47"/>
      <c r="B9" s="53"/>
      <c r="C9" s="47"/>
      <c r="D9" s="47"/>
      <c r="E9" s="47"/>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row>
    <row r="10" outlineLevel="1">
      <c r="A10" s="47"/>
      <c r="B10" s="54" t="s">
        <v>14</v>
      </c>
      <c r="C10" s="47"/>
      <c r="D10" s="47"/>
      <c r="E10" s="47"/>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row>
    <row r="11" outlineLevel="1">
      <c r="A11" s="47"/>
      <c r="B11" s="55" t="s">
        <v>15</v>
      </c>
      <c r="C11" s="47"/>
      <c r="D11" s="56">
        <v>5000.0</v>
      </c>
      <c r="E11" s="47"/>
      <c r="F11" s="47"/>
      <c r="G11" s="47"/>
      <c r="H11" s="47"/>
      <c r="I11" s="47"/>
      <c r="J11" s="47"/>
      <c r="K11" s="47"/>
      <c r="L11" s="47"/>
      <c r="M11" s="47"/>
      <c r="N11" s="47"/>
      <c r="O11" s="47"/>
      <c r="P11" s="47"/>
      <c r="Q11" s="47"/>
      <c r="R11" s="57">
        <f t="shared" ref="R11:R12" si="6">D11</f>
        <v>5000</v>
      </c>
      <c r="S11" s="57">
        <f t="shared" ref="S11:BY11" si="5">R11</f>
        <v>5000</v>
      </c>
      <c r="T11" s="57">
        <f t="shared" si="5"/>
        <v>5000</v>
      </c>
      <c r="U11" s="57">
        <f t="shared" si="5"/>
        <v>5000</v>
      </c>
      <c r="V11" s="57">
        <f t="shared" si="5"/>
        <v>5000</v>
      </c>
      <c r="W11" s="57">
        <f t="shared" si="5"/>
        <v>5000</v>
      </c>
      <c r="X11" s="57">
        <f t="shared" si="5"/>
        <v>5000</v>
      </c>
      <c r="Y11" s="57">
        <f t="shared" si="5"/>
        <v>5000</v>
      </c>
      <c r="Z11" s="57">
        <f t="shared" si="5"/>
        <v>5000</v>
      </c>
      <c r="AA11" s="57">
        <f t="shared" si="5"/>
        <v>5000</v>
      </c>
      <c r="AB11" s="57">
        <f t="shared" si="5"/>
        <v>5000</v>
      </c>
      <c r="AC11" s="57">
        <f t="shared" si="5"/>
        <v>5000</v>
      </c>
      <c r="AD11" s="57">
        <f t="shared" si="5"/>
        <v>5000</v>
      </c>
      <c r="AE11" s="57">
        <f t="shared" si="5"/>
        <v>5000</v>
      </c>
      <c r="AF11" s="57">
        <f t="shared" si="5"/>
        <v>5000</v>
      </c>
      <c r="AG11" s="57">
        <f t="shared" si="5"/>
        <v>5000</v>
      </c>
      <c r="AH11" s="57">
        <f t="shared" si="5"/>
        <v>5000</v>
      </c>
      <c r="AI11" s="57">
        <f t="shared" si="5"/>
        <v>5000</v>
      </c>
      <c r="AJ11" s="57">
        <f t="shared" si="5"/>
        <v>5000</v>
      </c>
      <c r="AK11" s="57">
        <f t="shared" si="5"/>
        <v>5000</v>
      </c>
      <c r="AL11" s="57">
        <f t="shared" si="5"/>
        <v>5000</v>
      </c>
      <c r="AM11" s="57">
        <f t="shared" si="5"/>
        <v>5000</v>
      </c>
      <c r="AN11" s="57">
        <f t="shared" si="5"/>
        <v>5000</v>
      </c>
      <c r="AO11" s="57">
        <f t="shared" si="5"/>
        <v>5000</v>
      </c>
      <c r="AP11" s="57">
        <f t="shared" si="5"/>
        <v>5000</v>
      </c>
      <c r="AQ11" s="57">
        <f t="shared" si="5"/>
        <v>5000</v>
      </c>
      <c r="AR11" s="57">
        <f t="shared" si="5"/>
        <v>5000</v>
      </c>
      <c r="AS11" s="57">
        <f t="shared" si="5"/>
        <v>5000</v>
      </c>
      <c r="AT11" s="57">
        <f t="shared" si="5"/>
        <v>5000</v>
      </c>
      <c r="AU11" s="57">
        <f t="shared" si="5"/>
        <v>5000</v>
      </c>
      <c r="AV11" s="57">
        <f t="shared" si="5"/>
        <v>5000</v>
      </c>
      <c r="AW11" s="57">
        <f t="shared" si="5"/>
        <v>5000</v>
      </c>
      <c r="AX11" s="57">
        <f t="shared" si="5"/>
        <v>5000</v>
      </c>
      <c r="AY11" s="57">
        <f t="shared" si="5"/>
        <v>5000</v>
      </c>
      <c r="AZ11" s="57">
        <f t="shared" si="5"/>
        <v>5000</v>
      </c>
      <c r="BA11" s="57">
        <f t="shared" si="5"/>
        <v>5000</v>
      </c>
      <c r="BB11" s="57">
        <f t="shared" si="5"/>
        <v>5000</v>
      </c>
      <c r="BC11" s="57">
        <f t="shared" si="5"/>
        <v>5000</v>
      </c>
      <c r="BD11" s="57">
        <f t="shared" si="5"/>
        <v>5000</v>
      </c>
      <c r="BE11" s="57">
        <f t="shared" si="5"/>
        <v>5000</v>
      </c>
      <c r="BF11" s="57">
        <f t="shared" si="5"/>
        <v>5000</v>
      </c>
      <c r="BG11" s="57">
        <f t="shared" si="5"/>
        <v>5000</v>
      </c>
      <c r="BH11" s="57">
        <f t="shared" si="5"/>
        <v>5000</v>
      </c>
      <c r="BI11" s="57">
        <f t="shared" si="5"/>
        <v>5000</v>
      </c>
      <c r="BJ11" s="57">
        <f t="shared" si="5"/>
        <v>5000</v>
      </c>
      <c r="BK11" s="57">
        <f t="shared" si="5"/>
        <v>5000</v>
      </c>
      <c r="BL11" s="57">
        <f t="shared" si="5"/>
        <v>5000</v>
      </c>
      <c r="BM11" s="57">
        <f t="shared" si="5"/>
        <v>5000</v>
      </c>
      <c r="BN11" s="57">
        <f t="shared" si="5"/>
        <v>5000</v>
      </c>
      <c r="BO11" s="57">
        <f t="shared" si="5"/>
        <v>5000</v>
      </c>
      <c r="BP11" s="57">
        <f t="shared" si="5"/>
        <v>5000</v>
      </c>
      <c r="BQ11" s="57">
        <f t="shared" si="5"/>
        <v>5000</v>
      </c>
      <c r="BR11" s="57">
        <f t="shared" si="5"/>
        <v>5000</v>
      </c>
      <c r="BS11" s="57">
        <f t="shared" si="5"/>
        <v>5000</v>
      </c>
      <c r="BT11" s="57">
        <f t="shared" si="5"/>
        <v>5000</v>
      </c>
      <c r="BU11" s="57">
        <f t="shared" si="5"/>
        <v>5000</v>
      </c>
      <c r="BV11" s="57">
        <f t="shared" si="5"/>
        <v>5000</v>
      </c>
      <c r="BW11" s="57">
        <f t="shared" si="5"/>
        <v>5000</v>
      </c>
      <c r="BX11" s="57">
        <f t="shared" si="5"/>
        <v>5000</v>
      </c>
      <c r="BY11" s="57">
        <f t="shared" si="5"/>
        <v>5000</v>
      </c>
    </row>
    <row r="12" outlineLevel="1">
      <c r="A12" s="47"/>
      <c r="B12" s="58" t="s">
        <v>16</v>
      </c>
      <c r="C12" s="59"/>
      <c r="D12" s="60">
        <v>0.02</v>
      </c>
      <c r="E12" s="61"/>
      <c r="F12" s="61"/>
      <c r="G12" s="61"/>
      <c r="H12" s="61"/>
      <c r="I12" s="61"/>
      <c r="J12" s="61"/>
      <c r="K12" s="61"/>
      <c r="L12" s="61"/>
      <c r="M12" s="61"/>
      <c r="N12" s="61"/>
      <c r="O12" s="61"/>
      <c r="P12" s="61"/>
      <c r="Q12" s="61"/>
      <c r="R12" s="62">
        <f t="shared" si="6"/>
        <v>0.02</v>
      </c>
      <c r="S12" s="62">
        <f t="shared" ref="S12:BY12" si="7">R12</f>
        <v>0.02</v>
      </c>
      <c r="T12" s="62">
        <f t="shared" si="7"/>
        <v>0.02</v>
      </c>
      <c r="U12" s="62">
        <f t="shared" si="7"/>
        <v>0.02</v>
      </c>
      <c r="V12" s="62">
        <f t="shared" si="7"/>
        <v>0.02</v>
      </c>
      <c r="W12" s="62">
        <f t="shared" si="7"/>
        <v>0.02</v>
      </c>
      <c r="X12" s="62">
        <f t="shared" si="7"/>
        <v>0.02</v>
      </c>
      <c r="Y12" s="62">
        <f t="shared" si="7"/>
        <v>0.02</v>
      </c>
      <c r="Z12" s="62">
        <f t="shared" si="7"/>
        <v>0.02</v>
      </c>
      <c r="AA12" s="62">
        <f t="shared" si="7"/>
        <v>0.02</v>
      </c>
      <c r="AB12" s="62">
        <f t="shared" si="7"/>
        <v>0.02</v>
      </c>
      <c r="AC12" s="62">
        <f t="shared" si="7"/>
        <v>0.02</v>
      </c>
      <c r="AD12" s="62">
        <f t="shared" si="7"/>
        <v>0.02</v>
      </c>
      <c r="AE12" s="62">
        <f t="shared" si="7"/>
        <v>0.02</v>
      </c>
      <c r="AF12" s="62">
        <f t="shared" si="7"/>
        <v>0.02</v>
      </c>
      <c r="AG12" s="62">
        <f t="shared" si="7"/>
        <v>0.02</v>
      </c>
      <c r="AH12" s="62">
        <f t="shared" si="7"/>
        <v>0.02</v>
      </c>
      <c r="AI12" s="62">
        <f t="shared" si="7"/>
        <v>0.02</v>
      </c>
      <c r="AJ12" s="62">
        <f t="shared" si="7"/>
        <v>0.02</v>
      </c>
      <c r="AK12" s="62">
        <f t="shared" si="7"/>
        <v>0.02</v>
      </c>
      <c r="AL12" s="62">
        <f t="shared" si="7"/>
        <v>0.02</v>
      </c>
      <c r="AM12" s="62">
        <f t="shared" si="7"/>
        <v>0.02</v>
      </c>
      <c r="AN12" s="62">
        <f t="shared" si="7"/>
        <v>0.02</v>
      </c>
      <c r="AO12" s="62">
        <f t="shared" si="7"/>
        <v>0.02</v>
      </c>
      <c r="AP12" s="62">
        <f t="shared" si="7"/>
        <v>0.02</v>
      </c>
      <c r="AQ12" s="62">
        <f t="shared" si="7"/>
        <v>0.02</v>
      </c>
      <c r="AR12" s="62">
        <f t="shared" si="7"/>
        <v>0.02</v>
      </c>
      <c r="AS12" s="62">
        <f t="shared" si="7"/>
        <v>0.02</v>
      </c>
      <c r="AT12" s="62">
        <f t="shared" si="7"/>
        <v>0.02</v>
      </c>
      <c r="AU12" s="62">
        <f t="shared" si="7"/>
        <v>0.02</v>
      </c>
      <c r="AV12" s="62">
        <f t="shared" si="7"/>
        <v>0.02</v>
      </c>
      <c r="AW12" s="62">
        <f t="shared" si="7"/>
        <v>0.02</v>
      </c>
      <c r="AX12" s="62">
        <f t="shared" si="7"/>
        <v>0.02</v>
      </c>
      <c r="AY12" s="62">
        <f t="shared" si="7"/>
        <v>0.02</v>
      </c>
      <c r="AZ12" s="62">
        <f t="shared" si="7"/>
        <v>0.02</v>
      </c>
      <c r="BA12" s="62">
        <f t="shared" si="7"/>
        <v>0.02</v>
      </c>
      <c r="BB12" s="62">
        <f t="shared" si="7"/>
        <v>0.02</v>
      </c>
      <c r="BC12" s="62">
        <f t="shared" si="7"/>
        <v>0.02</v>
      </c>
      <c r="BD12" s="62">
        <f t="shared" si="7"/>
        <v>0.02</v>
      </c>
      <c r="BE12" s="62">
        <f t="shared" si="7"/>
        <v>0.02</v>
      </c>
      <c r="BF12" s="62">
        <f t="shared" si="7"/>
        <v>0.02</v>
      </c>
      <c r="BG12" s="62">
        <f t="shared" si="7"/>
        <v>0.02</v>
      </c>
      <c r="BH12" s="62">
        <f t="shared" si="7"/>
        <v>0.02</v>
      </c>
      <c r="BI12" s="62">
        <f t="shared" si="7"/>
        <v>0.02</v>
      </c>
      <c r="BJ12" s="62">
        <f t="shared" si="7"/>
        <v>0.02</v>
      </c>
      <c r="BK12" s="62">
        <f t="shared" si="7"/>
        <v>0.02</v>
      </c>
      <c r="BL12" s="62">
        <f t="shared" si="7"/>
        <v>0.02</v>
      </c>
      <c r="BM12" s="62">
        <f t="shared" si="7"/>
        <v>0.02</v>
      </c>
      <c r="BN12" s="62">
        <f t="shared" si="7"/>
        <v>0.02</v>
      </c>
      <c r="BO12" s="62">
        <f t="shared" si="7"/>
        <v>0.02</v>
      </c>
      <c r="BP12" s="62">
        <f t="shared" si="7"/>
        <v>0.02</v>
      </c>
      <c r="BQ12" s="62">
        <f t="shared" si="7"/>
        <v>0.02</v>
      </c>
      <c r="BR12" s="62">
        <f t="shared" si="7"/>
        <v>0.02</v>
      </c>
      <c r="BS12" s="62">
        <f t="shared" si="7"/>
        <v>0.02</v>
      </c>
      <c r="BT12" s="62">
        <f t="shared" si="7"/>
        <v>0.02</v>
      </c>
      <c r="BU12" s="62">
        <f t="shared" si="7"/>
        <v>0.02</v>
      </c>
      <c r="BV12" s="62">
        <f t="shared" si="7"/>
        <v>0.02</v>
      </c>
      <c r="BW12" s="62">
        <f t="shared" si="7"/>
        <v>0.02</v>
      </c>
      <c r="BX12" s="62">
        <f t="shared" si="7"/>
        <v>0.02</v>
      </c>
      <c r="BY12" s="62">
        <f t="shared" si="7"/>
        <v>0.02</v>
      </c>
    </row>
    <row r="13" outlineLevel="1">
      <c r="A13" s="47"/>
      <c r="B13" s="54" t="s">
        <v>17</v>
      </c>
      <c r="C13" s="47"/>
      <c r="D13" s="63"/>
      <c r="E13" s="63"/>
      <c r="F13" s="63"/>
      <c r="G13" s="63"/>
      <c r="H13" s="63"/>
      <c r="I13" s="63"/>
      <c r="J13" s="63"/>
      <c r="K13" s="63"/>
      <c r="L13" s="63"/>
      <c r="M13" s="63"/>
      <c r="N13" s="63"/>
      <c r="O13" s="63"/>
      <c r="P13" s="63"/>
      <c r="Q13" s="63"/>
      <c r="R13" s="64">
        <f t="shared" ref="R13:BY13" si="8">R11*R12</f>
        <v>100</v>
      </c>
      <c r="S13" s="64">
        <f t="shared" si="8"/>
        <v>100</v>
      </c>
      <c r="T13" s="64">
        <f t="shared" si="8"/>
        <v>100</v>
      </c>
      <c r="U13" s="64">
        <f t="shared" si="8"/>
        <v>100</v>
      </c>
      <c r="V13" s="64">
        <f t="shared" si="8"/>
        <v>100</v>
      </c>
      <c r="W13" s="64">
        <f t="shared" si="8"/>
        <v>100</v>
      </c>
      <c r="X13" s="64">
        <f t="shared" si="8"/>
        <v>100</v>
      </c>
      <c r="Y13" s="64">
        <f t="shared" si="8"/>
        <v>100</v>
      </c>
      <c r="Z13" s="64">
        <f t="shared" si="8"/>
        <v>100</v>
      </c>
      <c r="AA13" s="64">
        <f t="shared" si="8"/>
        <v>100</v>
      </c>
      <c r="AB13" s="64">
        <f t="shared" si="8"/>
        <v>100</v>
      </c>
      <c r="AC13" s="64">
        <f t="shared" si="8"/>
        <v>100</v>
      </c>
      <c r="AD13" s="64">
        <f t="shared" si="8"/>
        <v>100</v>
      </c>
      <c r="AE13" s="64">
        <f t="shared" si="8"/>
        <v>100</v>
      </c>
      <c r="AF13" s="64">
        <f t="shared" si="8"/>
        <v>100</v>
      </c>
      <c r="AG13" s="64">
        <f t="shared" si="8"/>
        <v>100</v>
      </c>
      <c r="AH13" s="64">
        <f t="shared" si="8"/>
        <v>100</v>
      </c>
      <c r="AI13" s="64">
        <f t="shared" si="8"/>
        <v>100</v>
      </c>
      <c r="AJ13" s="64">
        <f t="shared" si="8"/>
        <v>100</v>
      </c>
      <c r="AK13" s="64">
        <f t="shared" si="8"/>
        <v>100</v>
      </c>
      <c r="AL13" s="64">
        <f t="shared" si="8"/>
        <v>100</v>
      </c>
      <c r="AM13" s="64">
        <f t="shared" si="8"/>
        <v>100</v>
      </c>
      <c r="AN13" s="64">
        <f t="shared" si="8"/>
        <v>100</v>
      </c>
      <c r="AO13" s="64">
        <f t="shared" si="8"/>
        <v>100</v>
      </c>
      <c r="AP13" s="64">
        <f t="shared" si="8"/>
        <v>100</v>
      </c>
      <c r="AQ13" s="64">
        <f t="shared" si="8"/>
        <v>100</v>
      </c>
      <c r="AR13" s="64">
        <f t="shared" si="8"/>
        <v>100</v>
      </c>
      <c r="AS13" s="64">
        <f t="shared" si="8"/>
        <v>100</v>
      </c>
      <c r="AT13" s="64">
        <f t="shared" si="8"/>
        <v>100</v>
      </c>
      <c r="AU13" s="64">
        <f t="shared" si="8"/>
        <v>100</v>
      </c>
      <c r="AV13" s="64">
        <f t="shared" si="8"/>
        <v>100</v>
      </c>
      <c r="AW13" s="64">
        <f t="shared" si="8"/>
        <v>100</v>
      </c>
      <c r="AX13" s="64">
        <f t="shared" si="8"/>
        <v>100</v>
      </c>
      <c r="AY13" s="64">
        <f t="shared" si="8"/>
        <v>100</v>
      </c>
      <c r="AZ13" s="64">
        <f t="shared" si="8"/>
        <v>100</v>
      </c>
      <c r="BA13" s="64">
        <f t="shared" si="8"/>
        <v>100</v>
      </c>
      <c r="BB13" s="64">
        <f t="shared" si="8"/>
        <v>100</v>
      </c>
      <c r="BC13" s="64">
        <f t="shared" si="8"/>
        <v>100</v>
      </c>
      <c r="BD13" s="64">
        <f t="shared" si="8"/>
        <v>100</v>
      </c>
      <c r="BE13" s="64">
        <f t="shared" si="8"/>
        <v>100</v>
      </c>
      <c r="BF13" s="64">
        <f t="shared" si="8"/>
        <v>100</v>
      </c>
      <c r="BG13" s="64">
        <f t="shared" si="8"/>
        <v>100</v>
      </c>
      <c r="BH13" s="64">
        <f t="shared" si="8"/>
        <v>100</v>
      </c>
      <c r="BI13" s="64">
        <f t="shared" si="8"/>
        <v>100</v>
      </c>
      <c r="BJ13" s="64">
        <f t="shared" si="8"/>
        <v>100</v>
      </c>
      <c r="BK13" s="64">
        <f t="shared" si="8"/>
        <v>100</v>
      </c>
      <c r="BL13" s="64">
        <f t="shared" si="8"/>
        <v>100</v>
      </c>
      <c r="BM13" s="64">
        <f t="shared" si="8"/>
        <v>100</v>
      </c>
      <c r="BN13" s="64">
        <f t="shared" si="8"/>
        <v>100</v>
      </c>
      <c r="BO13" s="64">
        <f t="shared" si="8"/>
        <v>100</v>
      </c>
      <c r="BP13" s="64">
        <f t="shared" si="8"/>
        <v>100</v>
      </c>
      <c r="BQ13" s="64">
        <f t="shared" si="8"/>
        <v>100</v>
      </c>
      <c r="BR13" s="64">
        <f t="shared" si="8"/>
        <v>100</v>
      </c>
      <c r="BS13" s="64">
        <f t="shared" si="8"/>
        <v>100</v>
      </c>
      <c r="BT13" s="64">
        <f t="shared" si="8"/>
        <v>100</v>
      </c>
      <c r="BU13" s="64">
        <f t="shared" si="8"/>
        <v>100</v>
      </c>
      <c r="BV13" s="64">
        <f t="shared" si="8"/>
        <v>100</v>
      </c>
      <c r="BW13" s="64">
        <f t="shared" si="8"/>
        <v>100</v>
      </c>
      <c r="BX13" s="64">
        <f t="shared" si="8"/>
        <v>100</v>
      </c>
      <c r="BY13" s="64">
        <f t="shared" si="8"/>
        <v>100</v>
      </c>
    </row>
    <row r="14" outlineLevel="1">
      <c r="A14" s="47"/>
      <c r="B14" s="47"/>
      <c r="C14" s="47"/>
      <c r="D14" s="47"/>
      <c r="E14" s="47"/>
      <c r="F14" s="47"/>
      <c r="G14" s="47"/>
      <c r="H14" s="47"/>
      <c r="I14" s="47"/>
      <c r="J14" s="47"/>
      <c r="K14" s="47"/>
      <c r="L14" s="47"/>
      <c r="M14" s="47"/>
      <c r="N14" s="47"/>
      <c r="O14" s="47"/>
      <c r="P14" s="47"/>
      <c r="Q14" s="47"/>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row>
    <row r="15" outlineLevel="1">
      <c r="A15" s="47"/>
      <c r="B15" s="65" t="s">
        <v>18</v>
      </c>
      <c r="C15" s="47"/>
      <c r="D15" s="47"/>
      <c r="E15" s="47"/>
      <c r="F15" s="47"/>
      <c r="G15" s="47"/>
      <c r="H15" s="47"/>
      <c r="I15" s="47"/>
      <c r="J15" s="47"/>
      <c r="K15" s="47"/>
      <c r="L15" s="47"/>
      <c r="M15" s="47"/>
      <c r="N15" s="47"/>
      <c r="O15" s="47"/>
      <c r="P15" s="47"/>
      <c r="Q15" s="47"/>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row>
    <row r="16" outlineLevel="1">
      <c r="A16" s="66"/>
      <c r="B16" s="67" t="s">
        <v>19</v>
      </c>
      <c r="C16" s="66"/>
      <c r="D16" s="68">
        <v>5000.0</v>
      </c>
      <c r="E16" s="66"/>
      <c r="F16" s="66"/>
      <c r="G16" s="66"/>
      <c r="H16" s="66"/>
      <c r="I16" s="66"/>
      <c r="J16" s="66"/>
      <c r="K16" s="66"/>
      <c r="L16" s="66"/>
      <c r="M16" s="66"/>
      <c r="N16" s="66"/>
      <c r="O16" s="66"/>
      <c r="P16" s="66"/>
      <c r="Q16" s="66"/>
      <c r="R16" s="69">
        <f t="shared" ref="R16:R18" si="10">D16</f>
        <v>5000</v>
      </c>
      <c r="S16" s="69">
        <f t="shared" ref="S16:BY16" si="9">R16</f>
        <v>5000</v>
      </c>
      <c r="T16" s="69">
        <f t="shared" si="9"/>
        <v>5000</v>
      </c>
      <c r="U16" s="69">
        <f t="shared" si="9"/>
        <v>5000</v>
      </c>
      <c r="V16" s="69">
        <f t="shared" si="9"/>
        <v>5000</v>
      </c>
      <c r="W16" s="69">
        <f t="shared" si="9"/>
        <v>5000</v>
      </c>
      <c r="X16" s="69">
        <f t="shared" si="9"/>
        <v>5000</v>
      </c>
      <c r="Y16" s="69">
        <f t="shared" si="9"/>
        <v>5000</v>
      </c>
      <c r="Z16" s="69">
        <f t="shared" si="9"/>
        <v>5000</v>
      </c>
      <c r="AA16" s="69">
        <f t="shared" si="9"/>
        <v>5000</v>
      </c>
      <c r="AB16" s="69">
        <f t="shared" si="9"/>
        <v>5000</v>
      </c>
      <c r="AC16" s="69">
        <f t="shared" si="9"/>
        <v>5000</v>
      </c>
      <c r="AD16" s="69">
        <f t="shared" si="9"/>
        <v>5000</v>
      </c>
      <c r="AE16" s="69">
        <f t="shared" si="9"/>
        <v>5000</v>
      </c>
      <c r="AF16" s="69">
        <f t="shared" si="9"/>
        <v>5000</v>
      </c>
      <c r="AG16" s="69">
        <f t="shared" si="9"/>
        <v>5000</v>
      </c>
      <c r="AH16" s="69">
        <f t="shared" si="9"/>
        <v>5000</v>
      </c>
      <c r="AI16" s="69">
        <f t="shared" si="9"/>
        <v>5000</v>
      </c>
      <c r="AJ16" s="69">
        <f t="shared" si="9"/>
        <v>5000</v>
      </c>
      <c r="AK16" s="69">
        <f t="shared" si="9"/>
        <v>5000</v>
      </c>
      <c r="AL16" s="69">
        <f t="shared" si="9"/>
        <v>5000</v>
      </c>
      <c r="AM16" s="69">
        <f t="shared" si="9"/>
        <v>5000</v>
      </c>
      <c r="AN16" s="69">
        <f t="shared" si="9"/>
        <v>5000</v>
      </c>
      <c r="AO16" s="69">
        <f t="shared" si="9"/>
        <v>5000</v>
      </c>
      <c r="AP16" s="69">
        <f t="shared" si="9"/>
        <v>5000</v>
      </c>
      <c r="AQ16" s="69">
        <f t="shared" si="9"/>
        <v>5000</v>
      </c>
      <c r="AR16" s="69">
        <f t="shared" si="9"/>
        <v>5000</v>
      </c>
      <c r="AS16" s="69">
        <f t="shared" si="9"/>
        <v>5000</v>
      </c>
      <c r="AT16" s="69">
        <f t="shared" si="9"/>
        <v>5000</v>
      </c>
      <c r="AU16" s="69">
        <f t="shared" si="9"/>
        <v>5000</v>
      </c>
      <c r="AV16" s="69">
        <f t="shared" si="9"/>
        <v>5000</v>
      </c>
      <c r="AW16" s="69">
        <f t="shared" si="9"/>
        <v>5000</v>
      </c>
      <c r="AX16" s="69">
        <f t="shared" si="9"/>
        <v>5000</v>
      </c>
      <c r="AY16" s="69">
        <f t="shared" si="9"/>
        <v>5000</v>
      </c>
      <c r="AZ16" s="69">
        <f t="shared" si="9"/>
        <v>5000</v>
      </c>
      <c r="BA16" s="69">
        <f t="shared" si="9"/>
        <v>5000</v>
      </c>
      <c r="BB16" s="69">
        <f t="shared" si="9"/>
        <v>5000</v>
      </c>
      <c r="BC16" s="69">
        <f t="shared" si="9"/>
        <v>5000</v>
      </c>
      <c r="BD16" s="69">
        <f t="shared" si="9"/>
        <v>5000</v>
      </c>
      <c r="BE16" s="69">
        <f t="shared" si="9"/>
        <v>5000</v>
      </c>
      <c r="BF16" s="69">
        <f t="shared" si="9"/>
        <v>5000</v>
      </c>
      <c r="BG16" s="69">
        <f t="shared" si="9"/>
        <v>5000</v>
      </c>
      <c r="BH16" s="69">
        <f t="shared" si="9"/>
        <v>5000</v>
      </c>
      <c r="BI16" s="69">
        <f t="shared" si="9"/>
        <v>5000</v>
      </c>
      <c r="BJ16" s="69">
        <f t="shared" si="9"/>
        <v>5000</v>
      </c>
      <c r="BK16" s="69">
        <f t="shared" si="9"/>
        <v>5000</v>
      </c>
      <c r="BL16" s="69">
        <f t="shared" si="9"/>
        <v>5000</v>
      </c>
      <c r="BM16" s="69">
        <f t="shared" si="9"/>
        <v>5000</v>
      </c>
      <c r="BN16" s="69">
        <f t="shared" si="9"/>
        <v>5000</v>
      </c>
      <c r="BO16" s="69">
        <f t="shared" si="9"/>
        <v>5000</v>
      </c>
      <c r="BP16" s="69">
        <f t="shared" si="9"/>
        <v>5000</v>
      </c>
      <c r="BQ16" s="69">
        <f t="shared" si="9"/>
        <v>5000</v>
      </c>
      <c r="BR16" s="69">
        <f t="shared" si="9"/>
        <v>5000</v>
      </c>
      <c r="BS16" s="69">
        <f t="shared" si="9"/>
        <v>5000</v>
      </c>
      <c r="BT16" s="69">
        <f t="shared" si="9"/>
        <v>5000</v>
      </c>
      <c r="BU16" s="69">
        <f t="shared" si="9"/>
        <v>5000</v>
      </c>
      <c r="BV16" s="69">
        <f t="shared" si="9"/>
        <v>5000</v>
      </c>
      <c r="BW16" s="69">
        <f t="shared" si="9"/>
        <v>5000</v>
      </c>
      <c r="BX16" s="69">
        <f t="shared" si="9"/>
        <v>5000</v>
      </c>
      <c r="BY16" s="69">
        <f t="shared" si="9"/>
        <v>5000</v>
      </c>
    </row>
    <row r="17" outlineLevel="1">
      <c r="A17" s="66"/>
      <c r="B17" s="67" t="s">
        <v>20</v>
      </c>
      <c r="C17" s="67"/>
      <c r="D17" s="68">
        <v>2.0</v>
      </c>
      <c r="E17" s="66"/>
      <c r="F17" s="66"/>
      <c r="G17" s="66"/>
      <c r="H17" s="66"/>
      <c r="I17" s="66"/>
      <c r="J17" s="66"/>
      <c r="K17" s="66"/>
      <c r="L17" s="66"/>
      <c r="M17" s="66"/>
      <c r="N17" s="66"/>
      <c r="O17" s="66"/>
      <c r="P17" s="66"/>
      <c r="Q17" s="66"/>
      <c r="R17" s="70">
        <f t="shared" si="10"/>
        <v>2</v>
      </c>
      <c r="S17" s="70">
        <f t="shared" ref="S17:BY17" si="11">R17</f>
        <v>2</v>
      </c>
      <c r="T17" s="70">
        <f t="shared" si="11"/>
        <v>2</v>
      </c>
      <c r="U17" s="70">
        <f t="shared" si="11"/>
        <v>2</v>
      </c>
      <c r="V17" s="70">
        <f t="shared" si="11"/>
        <v>2</v>
      </c>
      <c r="W17" s="70">
        <f t="shared" si="11"/>
        <v>2</v>
      </c>
      <c r="X17" s="70">
        <f t="shared" si="11"/>
        <v>2</v>
      </c>
      <c r="Y17" s="70">
        <f t="shared" si="11"/>
        <v>2</v>
      </c>
      <c r="Z17" s="70">
        <f t="shared" si="11"/>
        <v>2</v>
      </c>
      <c r="AA17" s="70">
        <f t="shared" si="11"/>
        <v>2</v>
      </c>
      <c r="AB17" s="70">
        <f t="shared" si="11"/>
        <v>2</v>
      </c>
      <c r="AC17" s="70">
        <f t="shared" si="11"/>
        <v>2</v>
      </c>
      <c r="AD17" s="70">
        <f t="shared" si="11"/>
        <v>2</v>
      </c>
      <c r="AE17" s="70">
        <f t="shared" si="11"/>
        <v>2</v>
      </c>
      <c r="AF17" s="70">
        <f t="shared" si="11"/>
        <v>2</v>
      </c>
      <c r="AG17" s="70">
        <f t="shared" si="11"/>
        <v>2</v>
      </c>
      <c r="AH17" s="70">
        <f t="shared" si="11"/>
        <v>2</v>
      </c>
      <c r="AI17" s="70">
        <f t="shared" si="11"/>
        <v>2</v>
      </c>
      <c r="AJ17" s="70">
        <f t="shared" si="11"/>
        <v>2</v>
      </c>
      <c r="AK17" s="70">
        <f t="shared" si="11"/>
        <v>2</v>
      </c>
      <c r="AL17" s="70">
        <f t="shared" si="11"/>
        <v>2</v>
      </c>
      <c r="AM17" s="70">
        <f t="shared" si="11"/>
        <v>2</v>
      </c>
      <c r="AN17" s="70">
        <f t="shared" si="11"/>
        <v>2</v>
      </c>
      <c r="AO17" s="70">
        <f t="shared" si="11"/>
        <v>2</v>
      </c>
      <c r="AP17" s="70">
        <f t="shared" si="11"/>
        <v>2</v>
      </c>
      <c r="AQ17" s="70">
        <f t="shared" si="11"/>
        <v>2</v>
      </c>
      <c r="AR17" s="70">
        <f t="shared" si="11"/>
        <v>2</v>
      </c>
      <c r="AS17" s="70">
        <f t="shared" si="11"/>
        <v>2</v>
      </c>
      <c r="AT17" s="70">
        <f t="shared" si="11"/>
        <v>2</v>
      </c>
      <c r="AU17" s="70">
        <f t="shared" si="11"/>
        <v>2</v>
      </c>
      <c r="AV17" s="70">
        <f t="shared" si="11"/>
        <v>2</v>
      </c>
      <c r="AW17" s="70">
        <f t="shared" si="11"/>
        <v>2</v>
      </c>
      <c r="AX17" s="70">
        <f t="shared" si="11"/>
        <v>2</v>
      </c>
      <c r="AY17" s="70">
        <f t="shared" si="11"/>
        <v>2</v>
      </c>
      <c r="AZ17" s="70">
        <f t="shared" si="11"/>
        <v>2</v>
      </c>
      <c r="BA17" s="70">
        <f t="shared" si="11"/>
        <v>2</v>
      </c>
      <c r="BB17" s="70">
        <f t="shared" si="11"/>
        <v>2</v>
      </c>
      <c r="BC17" s="70">
        <f t="shared" si="11"/>
        <v>2</v>
      </c>
      <c r="BD17" s="70">
        <f t="shared" si="11"/>
        <v>2</v>
      </c>
      <c r="BE17" s="70">
        <f t="shared" si="11"/>
        <v>2</v>
      </c>
      <c r="BF17" s="70">
        <f t="shared" si="11"/>
        <v>2</v>
      </c>
      <c r="BG17" s="70">
        <f t="shared" si="11"/>
        <v>2</v>
      </c>
      <c r="BH17" s="70">
        <f t="shared" si="11"/>
        <v>2</v>
      </c>
      <c r="BI17" s="70">
        <f t="shared" si="11"/>
        <v>2</v>
      </c>
      <c r="BJ17" s="70">
        <f t="shared" si="11"/>
        <v>2</v>
      </c>
      <c r="BK17" s="70">
        <f t="shared" si="11"/>
        <v>2</v>
      </c>
      <c r="BL17" s="70">
        <f t="shared" si="11"/>
        <v>2</v>
      </c>
      <c r="BM17" s="70">
        <f t="shared" si="11"/>
        <v>2</v>
      </c>
      <c r="BN17" s="70">
        <f t="shared" si="11"/>
        <v>2</v>
      </c>
      <c r="BO17" s="70">
        <f t="shared" si="11"/>
        <v>2</v>
      </c>
      <c r="BP17" s="70">
        <f t="shared" si="11"/>
        <v>2</v>
      </c>
      <c r="BQ17" s="70">
        <f t="shared" si="11"/>
        <v>2</v>
      </c>
      <c r="BR17" s="70">
        <f t="shared" si="11"/>
        <v>2</v>
      </c>
      <c r="BS17" s="70">
        <f t="shared" si="11"/>
        <v>2</v>
      </c>
      <c r="BT17" s="70">
        <f t="shared" si="11"/>
        <v>2</v>
      </c>
      <c r="BU17" s="70">
        <f t="shared" si="11"/>
        <v>2</v>
      </c>
      <c r="BV17" s="70">
        <f t="shared" si="11"/>
        <v>2</v>
      </c>
      <c r="BW17" s="70">
        <f t="shared" si="11"/>
        <v>2</v>
      </c>
      <c r="BX17" s="70">
        <f t="shared" si="11"/>
        <v>2</v>
      </c>
      <c r="BY17" s="70">
        <f t="shared" si="11"/>
        <v>2</v>
      </c>
    </row>
    <row r="18" outlineLevel="1">
      <c r="A18" s="47"/>
      <c r="B18" s="71" t="s">
        <v>16</v>
      </c>
      <c r="C18" s="59"/>
      <c r="D18" s="72">
        <v>0.05</v>
      </c>
      <c r="E18" s="61"/>
      <c r="F18" s="61"/>
      <c r="G18" s="61"/>
      <c r="H18" s="61"/>
      <c r="I18" s="61"/>
      <c r="J18" s="61"/>
      <c r="K18" s="61"/>
      <c r="L18" s="61"/>
      <c r="M18" s="61"/>
      <c r="N18" s="61"/>
      <c r="O18" s="61"/>
      <c r="P18" s="61"/>
      <c r="Q18" s="61"/>
      <c r="R18" s="62">
        <f t="shared" si="10"/>
        <v>0.05</v>
      </c>
      <c r="S18" s="62">
        <f t="shared" ref="S18:BY18" si="12">R18</f>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c r="BO18" s="62">
        <f t="shared" si="12"/>
        <v>0.05</v>
      </c>
      <c r="BP18" s="62">
        <f t="shared" si="12"/>
        <v>0.05</v>
      </c>
      <c r="BQ18" s="62">
        <f t="shared" si="12"/>
        <v>0.05</v>
      </c>
      <c r="BR18" s="62">
        <f t="shared" si="12"/>
        <v>0.05</v>
      </c>
      <c r="BS18" s="62">
        <f t="shared" si="12"/>
        <v>0.05</v>
      </c>
      <c r="BT18" s="62">
        <f t="shared" si="12"/>
        <v>0.05</v>
      </c>
      <c r="BU18" s="62">
        <f t="shared" si="12"/>
        <v>0.05</v>
      </c>
      <c r="BV18" s="62">
        <f t="shared" si="12"/>
        <v>0.05</v>
      </c>
      <c r="BW18" s="62">
        <f t="shared" si="12"/>
        <v>0.05</v>
      </c>
      <c r="BX18" s="62">
        <f t="shared" si="12"/>
        <v>0.05</v>
      </c>
      <c r="BY18" s="62">
        <f t="shared" si="12"/>
        <v>0.05</v>
      </c>
    </row>
    <row r="19" outlineLevel="1">
      <c r="A19" s="47"/>
      <c r="B19" s="73" t="s">
        <v>17</v>
      </c>
      <c r="C19" s="47"/>
      <c r="D19" s="74"/>
      <c r="E19" s="74"/>
      <c r="F19" s="74"/>
      <c r="G19" s="74"/>
      <c r="H19" s="74"/>
      <c r="I19" s="74"/>
      <c r="J19" s="74"/>
      <c r="K19" s="74"/>
      <c r="L19" s="74"/>
      <c r="M19" s="74"/>
      <c r="N19" s="74"/>
      <c r="O19" s="74"/>
      <c r="P19" s="74"/>
      <c r="Q19" s="74"/>
      <c r="R19" s="75">
        <f>(D16/D17)*D18</f>
        <v>125</v>
      </c>
      <c r="S19" s="75">
        <f t="shared" ref="S19:BY19" si="13">(S16/S17)*S18</f>
        <v>125</v>
      </c>
      <c r="T19" s="75">
        <f t="shared" si="13"/>
        <v>125</v>
      </c>
      <c r="U19" s="75">
        <f t="shared" si="13"/>
        <v>125</v>
      </c>
      <c r="V19" s="75">
        <f t="shared" si="13"/>
        <v>125</v>
      </c>
      <c r="W19" s="75">
        <f t="shared" si="13"/>
        <v>125</v>
      </c>
      <c r="X19" s="75">
        <f t="shared" si="13"/>
        <v>125</v>
      </c>
      <c r="Y19" s="75">
        <f t="shared" si="13"/>
        <v>125</v>
      </c>
      <c r="Z19" s="75">
        <f t="shared" si="13"/>
        <v>125</v>
      </c>
      <c r="AA19" s="75">
        <f t="shared" si="13"/>
        <v>125</v>
      </c>
      <c r="AB19" s="75">
        <f t="shared" si="13"/>
        <v>125</v>
      </c>
      <c r="AC19" s="75">
        <f t="shared" si="13"/>
        <v>125</v>
      </c>
      <c r="AD19" s="75">
        <f t="shared" si="13"/>
        <v>125</v>
      </c>
      <c r="AE19" s="75">
        <f t="shared" si="13"/>
        <v>125</v>
      </c>
      <c r="AF19" s="75">
        <f t="shared" si="13"/>
        <v>125</v>
      </c>
      <c r="AG19" s="75">
        <f t="shared" si="13"/>
        <v>125</v>
      </c>
      <c r="AH19" s="75">
        <f t="shared" si="13"/>
        <v>125</v>
      </c>
      <c r="AI19" s="75">
        <f t="shared" si="13"/>
        <v>125</v>
      </c>
      <c r="AJ19" s="75">
        <f t="shared" si="13"/>
        <v>125</v>
      </c>
      <c r="AK19" s="75">
        <f t="shared" si="13"/>
        <v>125</v>
      </c>
      <c r="AL19" s="75">
        <f t="shared" si="13"/>
        <v>125</v>
      </c>
      <c r="AM19" s="75">
        <f t="shared" si="13"/>
        <v>125</v>
      </c>
      <c r="AN19" s="75">
        <f t="shared" si="13"/>
        <v>125</v>
      </c>
      <c r="AO19" s="75">
        <f t="shared" si="13"/>
        <v>125</v>
      </c>
      <c r="AP19" s="75">
        <f t="shared" si="13"/>
        <v>125</v>
      </c>
      <c r="AQ19" s="75">
        <f t="shared" si="13"/>
        <v>125</v>
      </c>
      <c r="AR19" s="75">
        <f t="shared" si="13"/>
        <v>125</v>
      </c>
      <c r="AS19" s="75">
        <f t="shared" si="13"/>
        <v>125</v>
      </c>
      <c r="AT19" s="75">
        <f t="shared" si="13"/>
        <v>125</v>
      </c>
      <c r="AU19" s="75">
        <f t="shared" si="13"/>
        <v>125</v>
      </c>
      <c r="AV19" s="75">
        <f t="shared" si="13"/>
        <v>125</v>
      </c>
      <c r="AW19" s="75">
        <f t="shared" si="13"/>
        <v>125</v>
      </c>
      <c r="AX19" s="75">
        <f t="shared" si="13"/>
        <v>125</v>
      </c>
      <c r="AY19" s="75">
        <f t="shared" si="13"/>
        <v>125</v>
      </c>
      <c r="AZ19" s="75">
        <f t="shared" si="13"/>
        <v>125</v>
      </c>
      <c r="BA19" s="75">
        <f t="shared" si="13"/>
        <v>125</v>
      </c>
      <c r="BB19" s="75">
        <f t="shared" si="13"/>
        <v>125</v>
      </c>
      <c r="BC19" s="75">
        <f t="shared" si="13"/>
        <v>125</v>
      </c>
      <c r="BD19" s="75">
        <f t="shared" si="13"/>
        <v>125</v>
      </c>
      <c r="BE19" s="75">
        <f t="shared" si="13"/>
        <v>125</v>
      </c>
      <c r="BF19" s="75">
        <f t="shared" si="13"/>
        <v>125</v>
      </c>
      <c r="BG19" s="75">
        <f t="shared" si="13"/>
        <v>125</v>
      </c>
      <c r="BH19" s="75">
        <f t="shared" si="13"/>
        <v>125</v>
      </c>
      <c r="BI19" s="75">
        <f t="shared" si="13"/>
        <v>125</v>
      </c>
      <c r="BJ19" s="75">
        <f t="shared" si="13"/>
        <v>125</v>
      </c>
      <c r="BK19" s="75">
        <f t="shared" si="13"/>
        <v>125</v>
      </c>
      <c r="BL19" s="75">
        <f t="shared" si="13"/>
        <v>125</v>
      </c>
      <c r="BM19" s="75">
        <f t="shared" si="13"/>
        <v>125</v>
      </c>
      <c r="BN19" s="75">
        <f t="shared" si="13"/>
        <v>125</v>
      </c>
      <c r="BO19" s="75">
        <f t="shared" si="13"/>
        <v>125</v>
      </c>
      <c r="BP19" s="75">
        <f t="shared" si="13"/>
        <v>125</v>
      </c>
      <c r="BQ19" s="75">
        <f t="shared" si="13"/>
        <v>125</v>
      </c>
      <c r="BR19" s="75">
        <f t="shared" si="13"/>
        <v>125</v>
      </c>
      <c r="BS19" s="75">
        <f t="shared" si="13"/>
        <v>125</v>
      </c>
      <c r="BT19" s="75">
        <f t="shared" si="13"/>
        <v>125</v>
      </c>
      <c r="BU19" s="75">
        <f t="shared" si="13"/>
        <v>125</v>
      </c>
      <c r="BV19" s="75">
        <f t="shared" si="13"/>
        <v>125</v>
      </c>
      <c r="BW19" s="75">
        <f t="shared" si="13"/>
        <v>125</v>
      </c>
      <c r="BX19" s="75">
        <f t="shared" si="13"/>
        <v>125</v>
      </c>
      <c r="BY19" s="75">
        <f t="shared" si="13"/>
        <v>125</v>
      </c>
    </row>
    <row r="20" outlineLevel="1">
      <c r="A20" s="47"/>
      <c r="B20" s="47"/>
      <c r="C20" s="47"/>
      <c r="D20" s="47"/>
      <c r="E20" s="47"/>
      <c r="F20" s="47"/>
      <c r="G20" s="47"/>
      <c r="H20" s="47"/>
      <c r="I20" s="47"/>
      <c r="J20" s="47"/>
      <c r="K20" s="47"/>
      <c r="L20" s="47"/>
      <c r="M20" s="47"/>
      <c r="N20" s="47"/>
      <c r="O20" s="47"/>
      <c r="P20" s="47"/>
      <c r="Q20" s="47"/>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row>
    <row r="21" outlineLevel="1">
      <c r="A21" s="47"/>
      <c r="B21" s="65" t="s">
        <v>21</v>
      </c>
      <c r="C21" s="47"/>
      <c r="D21" s="47"/>
      <c r="E21" s="47"/>
      <c r="F21" s="47"/>
      <c r="G21" s="47"/>
      <c r="H21" s="47"/>
      <c r="I21" s="47"/>
      <c r="J21" s="47"/>
      <c r="K21" s="47"/>
      <c r="L21" s="47"/>
      <c r="M21" s="47"/>
      <c r="N21" s="47"/>
      <c r="O21" s="47"/>
      <c r="P21" s="47"/>
      <c r="Q21" s="47"/>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row>
    <row r="22" outlineLevel="1">
      <c r="A22" s="47"/>
      <c r="B22" s="39" t="s">
        <v>22</v>
      </c>
      <c r="C22" s="47"/>
      <c r="D22" s="76">
        <v>5.0</v>
      </c>
      <c r="E22" s="47"/>
      <c r="F22" s="47"/>
      <c r="G22" s="47"/>
      <c r="H22" s="47"/>
      <c r="I22" s="47"/>
      <c r="J22" s="47"/>
      <c r="K22" s="47"/>
      <c r="L22" s="47"/>
      <c r="M22" s="47"/>
      <c r="N22" s="47"/>
      <c r="O22" s="47"/>
      <c r="P22" s="47"/>
      <c r="Q22" s="47"/>
      <c r="R22" s="57">
        <f t="shared" ref="R22:R24" si="15">D22</f>
        <v>5</v>
      </c>
      <c r="S22" s="57">
        <f t="shared" ref="S22:BY22" si="14">R22</f>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c r="BO22" s="57">
        <f t="shared" si="14"/>
        <v>5</v>
      </c>
      <c r="BP22" s="57">
        <f t="shared" si="14"/>
        <v>5</v>
      </c>
      <c r="BQ22" s="57">
        <f t="shared" si="14"/>
        <v>5</v>
      </c>
      <c r="BR22" s="57">
        <f t="shared" si="14"/>
        <v>5</v>
      </c>
      <c r="BS22" s="57">
        <f t="shared" si="14"/>
        <v>5</v>
      </c>
      <c r="BT22" s="57">
        <f t="shared" si="14"/>
        <v>5</v>
      </c>
      <c r="BU22" s="57">
        <f t="shared" si="14"/>
        <v>5</v>
      </c>
      <c r="BV22" s="57">
        <f t="shared" si="14"/>
        <v>5</v>
      </c>
      <c r="BW22" s="57">
        <f t="shared" si="14"/>
        <v>5</v>
      </c>
      <c r="BX22" s="57">
        <f t="shared" si="14"/>
        <v>5</v>
      </c>
      <c r="BY22" s="57">
        <f t="shared" si="14"/>
        <v>5</v>
      </c>
    </row>
    <row r="23" outlineLevel="1">
      <c r="A23" s="47"/>
      <c r="B23" s="39" t="s">
        <v>23</v>
      </c>
      <c r="C23" s="47"/>
      <c r="D23" s="77">
        <v>50.0</v>
      </c>
      <c r="E23" s="47"/>
      <c r="F23" s="47"/>
      <c r="G23" s="47"/>
      <c r="H23" s="47"/>
      <c r="I23" s="47"/>
      <c r="J23" s="47"/>
      <c r="K23" s="47"/>
      <c r="L23" s="47"/>
      <c r="M23" s="47"/>
      <c r="N23" s="47"/>
      <c r="O23" s="47"/>
      <c r="P23" s="47"/>
      <c r="Q23" s="47"/>
      <c r="R23" s="78">
        <f t="shared" si="15"/>
        <v>50</v>
      </c>
      <c r="S23" s="78">
        <f t="shared" ref="S23:BY23" si="16">R23</f>
        <v>50</v>
      </c>
      <c r="T23" s="78">
        <f t="shared" si="16"/>
        <v>50</v>
      </c>
      <c r="U23" s="78">
        <f t="shared" si="16"/>
        <v>50</v>
      </c>
      <c r="V23" s="78">
        <f t="shared" si="16"/>
        <v>50</v>
      </c>
      <c r="W23" s="78">
        <f t="shared" si="16"/>
        <v>50</v>
      </c>
      <c r="X23" s="78">
        <f t="shared" si="16"/>
        <v>50</v>
      </c>
      <c r="Y23" s="78">
        <f t="shared" si="16"/>
        <v>50</v>
      </c>
      <c r="Z23" s="78">
        <f t="shared" si="16"/>
        <v>50</v>
      </c>
      <c r="AA23" s="78">
        <f t="shared" si="16"/>
        <v>50</v>
      </c>
      <c r="AB23" s="78">
        <f t="shared" si="16"/>
        <v>50</v>
      </c>
      <c r="AC23" s="78">
        <f t="shared" si="16"/>
        <v>50</v>
      </c>
      <c r="AD23" s="78">
        <f t="shared" si="16"/>
        <v>50</v>
      </c>
      <c r="AE23" s="78">
        <f t="shared" si="16"/>
        <v>50</v>
      </c>
      <c r="AF23" s="78">
        <f t="shared" si="16"/>
        <v>50</v>
      </c>
      <c r="AG23" s="78">
        <f t="shared" si="16"/>
        <v>50</v>
      </c>
      <c r="AH23" s="78">
        <f t="shared" si="16"/>
        <v>50</v>
      </c>
      <c r="AI23" s="78">
        <f t="shared" si="16"/>
        <v>50</v>
      </c>
      <c r="AJ23" s="78">
        <f t="shared" si="16"/>
        <v>50</v>
      </c>
      <c r="AK23" s="78">
        <f t="shared" si="16"/>
        <v>50</v>
      </c>
      <c r="AL23" s="78">
        <f t="shared" si="16"/>
        <v>50</v>
      </c>
      <c r="AM23" s="78">
        <f t="shared" si="16"/>
        <v>50</v>
      </c>
      <c r="AN23" s="78">
        <f t="shared" si="16"/>
        <v>50</v>
      </c>
      <c r="AO23" s="78">
        <f t="shared" si="16"/>
        <v>50</v>
      </c>
      <c r="AP23" s="78">
        <f t="shared" si="16"/>
        <v>50</v>
      </c>
      <c r="AQ23" s="78">
        <f t="shared" si="16"/>
        <v>50</v>
      </c>
      <c r="AR23" s="78">
        <f t="shared" si="16"/>
        <v>50</v>
      </c>
      <c r="AS23" s="78">
        <f t="shared" si="16"/>
        <v>50</v>
      </c>
      <c r="AT23" s="78">
        <f t="shared" si="16"/>
        <v>50</v>
      </c>
      <c r="AU23" s="78">
        <f t="shared" si="16"/>
        <v>50</v>
      </c>
      <c r="AV23" s="78">
        <f t="shared" si="16"/>
        <v>50</v>
      </c>
      <c r="AW23" s="78">
        <f t="shared" si="16"/>
        <v>50</v>
      </c>
      <c r="AX23" s="78">
        <f t="shared" si="16"/>
        <v>50</v>
      </c>
      <c r="AY23" s="78">
        <f t="shared" si="16"/>
        <v>50</v>
      </c>
      <c r="AZ23" s="78">
        <f t="shared" si="16"/>
        <v>50</v>
      </c>
      <c r="BA23" s="78">
        <f t="shared" si="16"/>
        <v>50</v>
      </c>
      <c r="BB23" s="78">
        <f t="shared" si="16"/>
        <v>50</v>
      </c>
      <c r="BC23" s="78">
        <f t="shared" si="16"/>
        <v>50</v>
      </c>
      <c r="BD23" s="78">
        <f t="shared" si="16"/>
        <v>50</v>
      </c>
      <c r="BE23" s="78">
        <f t="shared" si="16"/>
        <v>50</v>
      </c>
      <c r="BF23" s="78">
        <f t="shared" si="16"/>
        <v>50</v>
      </c>
      <c r="BG23" s="78">
        <f t="shared" si="16"/>
        <v>50</v>
      </c>
      <c r="BH23" s="78">
        <f t="shared" si="16"/>
        <v>50</v>
      </c>
      <c r="BI23" s="78">
        <f t="shared" si="16"/>
        <v>50</v>
      </c>
      <c r="BJ23" s="78">
        <f t="shared" si="16"/>
        <v>50</v>
      </c>
      <c r="BK23" s="78">
        <f t="shared" si="16"/>
        <v>50</v>
      </c>
      <c r="BL23" s="78">
        <f t="shared" si="16"/>
        <v>50</v>
      </c>
      <c r="BM23" s="78">
        <f t="shared" si="16"/>
        <v>50</v>
      </c>
      <c r="BN23" s="78">
        <f t="shared" si="16"/>
        <v>50</v>
      </c>
      <c r="BO23" s="78">
        <f t="shared" si="16"/>
        <v>50</v>
      </c>
      <c r="BP23" s="78">
        <f t="shared" si="16"/>
        <v>50</v>
      </c>
      <c r="BQ23" s="78">
        <f t="shared" si="16"/>
        <v>50</v>
      </c>
      <c r="BR23" s="78">
        <f t="shared" si="16"/>
        <v>50</v>
      </c>
      <c r="BS23" s="78">
        <f t="shared" si="16"/>
        <v>50</v>
      </c>
      <c r="BT23" s="78">
        <f t="shared" si="16"/>
        <v>50</v>
      </c>
      <c r="BU23" s="78">
        <f t="shared" si="16"/>
        <v>50</v>
      </c>
      <c r="BV23" s="78">
        <f t="shared" si="16"/>
        <v>50</v>
      </c>
      <c r="BW23" s="78">
        <f t="shared" si="16"/>
        <v>50</v>
      </c>
      <c r="BX23" s="78">
        <f t="shared" si="16"/>
        <v>50</v>
      </c>
      <c r="BY23" s="78">
        <f t="shared" si="16"/>
        <v>50</v>
      </c>
    </row>
    <row r="24" outlineLevel="1">
      <c r="A24" s="47"/>
      <c r="B24" s="71" t="s">
        <v>16</v>
      </c>
      <c r="C24" s="59"/>
      <c r="D24" s="72">
        <v>0.05</v>
      </c>
      <c r="E24" s="61"/>
      <c r="F24" s="61"/>
      <c r="G24" s="61"/>
      <c r="H24" s="61"/>
      <c r="I24" s="61"/>
      <c r="J24" s="61"/>
      <c r="K24" s="61"/>
      <c r="L24" s="61"/>
      <c r="M24" s="61"/>
      <c r="N24" s="61"/>
      <c r="O24" s="61"/>
      <c r="P24" s="61"/>
      <c r="Q24" s="61"/>
      <c r="R24" s="62">
        <f t="shared" si="15"/>
        <v>0.05</v>
      </c>
      <c r="S24" s="62">
        <f t="shared" ref="S24:BY24" si="17">R24</f>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c r="BO24" s="62">
        <f t="shared" si="17"/>
        <v>0.05</v>
      </c>
      <c r="BP24" s="62">
        <f t="shared" si="17"/>
        <v>0.05</v>
      </c>
      <c r="BQ24" s="62">
        <f t="shared" si="17"/>
        <v>0.05</v>
      </c>
      <c r="BR24" s="62">
        <f t="shared" si="17"/>
        <v>0.05</v>
      </c>
      <c r="BS24" s="62">
        <f t="shared" si="17"/>
        <v>0.05</v>
      </c>
      <c r="BT24" s="62">
        <f t="shared" si="17"/>
        <v>0.05</v>
      </c>
      <c r="BU24" s="62">
        <f t="shared" si="17"/>
        <v>0.05</v>
      </c>
      <c r="BV24" s="62">
        <f t="shared" si="17"/>
        <v>0.05</v>
      </c>
      <c r="BW24" s="62">
        <f t="shared" si="17"/>
        <v>0.05</v>
      </c>
      <c r="BX24" s="62">
        <f t="shared" si="17"/>
        <v>0.05</v>
      </c>
      <c r="BY24" s="62">
        <f t="shared" si="17"/>
        <v>0.05</v>
      </c>
    </row>
    <row r="25" outlineLevel="1">
      <c r="A25" s="47"/>
      <c r="B25" s="73" t="s">
        <v>17</v>
      </c>
      <c r="C25" s="47"/>
      <c r="D25" s="63"/>
      <c r="E25" s="63"/>
      <c r="F25" s="63"/>
      <c r="G25" s="63"/>
      <c r="H25" s="63"/>
      <c r="I25" s="63"/>
      <c r="J25" s="63"/>
      <c r="K25" s="63"/>
      <c r="L25" s="63"/>
      <c r="M25" s="63"/>
      <c r="N25" s="63"/>
      <c r="O25" s="63"/>
      <c r="P25" s="63"/>
      <c r="Q25" s="63"/>
      <c r="R25" s="64">
        <f t="shared" ref="R25:BY25" si="18">R22*R23*R24</f>
        <v>12.5</v>
      </c>
      <c r="S25" s="64">
        <f t="shared" si="18"/>
        <v>12.5</v>
      </c>
      <c r="T25" s="64">
        <f t="shared" si="18"/>
        <v>12.5</v>
      </c>
      <c r="U25" s="64">
        <f t="shared" si="18"/>
        <v>12.5</v>
      </c>
      <c r="V25" s="64">
        <f t="shared" si="18"/>
        <v>12.5</v>
      </c>
      <c r="W25" s="64">
        <f t="shared" si="18"/>
        <v>12.5</v>
      </c>
      <c r="X25" s="64">
        <f t="shared" si="18"/>
        <v>12.5</v>
      </c>
      <c r="Y25" s="64">
        <f t="shared" si="18"/>
        <v>12.5</v>
      </c>
      <c r="Z25" s="64">
        <f t="shared" si="18"/>
        <v>12.5</v>
      </c>
      <c r="AA25" s="64">
        <f t="shared" si="18"/>
        <v>12.5</v>
      </c>
      <c r="AB25" s="64">
        <f t="shared" si="18"/>
        <v>12.5</v>
      </c>
      <c r="AC25" s="64">
        <f t="shared" si="18"/>
        <v>12.5</v>
      </c>
      <c r="AD25" s="64">
        <f t="shared" si="18"/>
        <v>12.5</v>
      </c>
      <c r="AE25" s="64">
        <f t="shared" si="18"/>
        <v>12.5</v>
      </c>
      <c r="AF25" s="64">
        <f t="shared" si="18"/>
        <v>12.5</v>
      </c>
      <c r="AG25" s="64">
        <f t="shared" si="18"/>
        <v>12.5</v>
      </c>
      <c r="AH25" s="64">
        <f t="shared" si="18"/>
        <v>12.5</v>
      </c>
      <c r="AI25" s="64">
        <f t="shared" si="18"/>
        <v>12.5</v>
      </c>
      <c r="AJ25" s="64">
        <f t="shared" si="18"/>
        <v>12.5</v>
      </c>
      <c r="AK25" s="64">
        <f t="shared" si="18"/>
        <v>12.5</v>
      </c>
      <c r="AL25" s="64">
        <f t="shared" si="18"/>
        <v>12.5</v>
      </c>
      <c r="AM25" s="64">
        <f t="shared" si="18"/>
        <v>12.5</v>
      </c>
      <c r="AN25" s="64">
        <f t="shared" si="18"/>
        <v>12.5</v>
      </c>
      <c r="AO25" s="64">
        <f t="shared" si="18"/>
        <v>12.5</v>
      </c>
      <c r="AP25" s="64">
        <f t="shared" si="18"/>
        <v>12.5</v>
      </c>
      <c r="AQ25" s="64">
        <f t="shared" si="18"/>
        <v>12.5</v>
      </c>
      <c r="AR25" s="64">
        <f t="shared" si="18"/>
        <v>12.5</v>
      </c>
      <c r="AS25" s="64">
        <f t="shared" si="18"/>
        <v>12.5</v>
      </c>
      <c r="AT25" s="64">
        <f t="shared" si="18"/>
        <v>12.5</v>
      </c>
      <c r="AU25" s="64">
        <f t="shared" si="18"/>
        <v>12.5</v>
      </c>
      <c r="AV25" s="64">
        <f t="shared" si="18"/>
        <v>12.5</v>
      </c>
      <c r="AW25" s="64">
        <f t="shared" si="18"/>
        <v>12.5</v>
      </c>
      <c r="AX25" s="64">
        <f t="shared" si="18"/>
        <v>12.5</v>
      </c>
      <c r="AY25" s="64">
        <f t="shared" si="18"/>
        <v>12.5</v>
      </c>
      <c r="AZ25" s="64">
        <f t="shared" si="18"/>
        <v>12.5</v>
      </c>
      <c r="BA25" s="64">
        <f t="shared" si="18"/>
        <v>12.5</v>
      </c>
      <c r="BB25" s="64">
        <f t="shared" si="18"/>
        <v>12.5</v>
      </c>
      <c r="BC25" s="64">
        <f t="shared" si="18"/>
        <v>12.5</v>
      </c>
      <c r="BD25" s="64">
        <f t="shared" si="18"/>
        <v>12.5</v>
      </c>
      <c r="BE25" s="64">
        <f t="shared" si="18"/>
        <v>12.5</v>
      </c>
      <c r="BF25" s="64">
        <f t="shared" si="18"/>
        <v>12.5</v>
      </c>
      <c r="BG25" s="64">
        <f t="shared" si="18"/>
        <v>12.5</v>
      </c>
      <c r="BH25" s="64">
        <f t="shared" si="18"/>
        <v>12.5</v>
      </c>
      <c r="BI25" s="64">
        <f t="shared" si="18"/>
        <v>12.5</v>
      </c>
      <c r="BJ25" s="64">
        <f t="shared" si="18"/>
        <v>12.5</v>
      </c>
      <c r="BK25" s="64">
        <f t="shared" si="18"/>
        <v>12.5</v>
      </c>
      <c r="BL25" s="64">
        <f t="shared" si="18"/>
        <v>12.5</v>
      </c>
      <c r="BM25" s="64">
        <f t="shared" si="18"/>
        <v>12.5</v>
      </c>
      <c r="BN25" s="64">
        <f t="shared" si="18"/>
        <v>12.5</v>
      </c>
      <c r="BO25" s="64">
        <f t="shared" si="18"/>
        <v>12.5</v>
      </c>
      <c r="BP25" s="64">
        <f t="shared" si="18"/>
        <v>12.5</v>
      </c>
      <c r="BQ25" s="64">
        <f t="shared" si="18"/>
        <v>12.5</v>
      </c>
      <c r="BR25" s="64">
        <f t="shared" si="18"/>
        <v>12.5</v>
      </c>
      <c r="BS25" s="64">
        <f t="shared" si="18"/>
        <v>12.5</v>
      </c>
      <c r="BT25" s="64">
        <f t="shared" si="18"/>
        <v>12.5</v>
      </c>
      <c r="BU25" s="64">
        <f t="shared" si="18"/>
        <v>12.5</v>
      </c>
      <c r="BV25" s="64">
        <f t="shared" si="18"/>
        <v>12.5</v>
      </c>
      <c r="BW25" s="64">
        <f t="shared" si="18"/>
        <v>12.5</v>
      </c>
      <c r="BX25" s="64">
        <f t="shared" si="18"/>
        <v>12.5</v>
      </c>
      <c r="BY25" s="64">
        <f t="shared" si="18"/>
        <v>12.5</v>
      </c>
    </row>
    <row r="26" outlineLevel="1">
      <c r="A26" s="47"/>
      <c r="B26" s="65"/>
      <c r="C26" s="47"/>
      <c r="D26" s="47"/>
      <c r="E26" s="47"/>
      <c r="F26" s="47"/>
      <c r="G26" s="47"/>
      <c r="H26" s="47"/>
      <c r="I26" s="47"/>
      <c r="J26" s="47"/>
      <c r="K26" s="47"/>
      <c r="L26" s="47"/>
      <c r="M26" s="47"/>
      <c r="N26" s="47"/>
      <c r="O26" s="47"/>
      <c r="P26" s="47"/>
      <c r="Q26" s="47"/>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row>
    <row r="27" outlineLevel="1">
      <c r="A27" s="47"/>
      <c r="B27" s="65" t="s">
        <v>24</v>
      </c>
      <c r="C27" s="47"/>
      <c r="D27" s="47"/>
      <c r="E27" s="47"/>
      <c r="F27" s="47"/>
      <c r="G27" s="47"/>
      <c r="H27" s="47"/>
      <c r="I27" s="47"/>
      <c r="J27" s="47"/>
      <c r="K27" s="47"/>
      <c r="L27" s="47"/>
      <c r="M27" s="47"/>
      <c r="N27" s="47"/>
      <c r="O27" s="47"/>
      <c r="P27" s="47"/>
      <c r="Q27" s="47"/>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row>
    <row r="28" outlineLevel="1">
      <c r="A28" s="47"/>
      <c r="B28" s="39" t="s">
        <v>25</v>
      </c>
      <c r="C28" s="47"/>
      <c r="D28" s="47"/>
      <c r="E28" s="47"/>
      <c r="F28" s="47"/>
      <c r="G28" s="47"/>
      <c r="H28" s="47"/>
      <c r="I28" s="47"/>
      <c r="J28" s="47"/>
      <c r="K28" s="47"/>
      <c r="L28" s="47"/>
      <c r="M28" s="47"/>
      <c r="N28" s="47"/>
      <c r="O28" s="47"/>
      <c r="P28" s="47"/>
      <c r="Q28" s="47"/>
      <c r="R28" s="76">
        <v>1.0</v>
      </c>
      <c r="S28" s="76">
        <v>0.0</v>
      </c>
      <c r="T28" s="76">
        <v>0.0</v>
      </c>
      <c r="U28" s="76">
        <v>0.0</v>
      </c>
      <c r="V28" s="76">
        <v>0.0</v>
      </c>
      <c r="W28" s="76">
        <v>0.0</v>
      </c>
      <c r="X28" s="76">
        <v>0.0</v>
      </c>
      <c r="Y28" s="76">
        <v>0.0</v>
      </c>
      <c r="Z28" s="76">
        <v>0.0</v>
      </c>
      <c r="AA28" s="76">
        <v>0.0</v>
      </c>
      <c r="AB28" s="76">
        <v>0.0</v>
      </c>
      <c r="AC28" s="76">
        <v>0.0</v>
      </c>
      <c r="AD28" s="76">
        <v>0.0</v>
      </c>
      <c r="AE28" s="76">
        <v>0.0</v>
      </c>
      <c r="AF28" s="76">
        <v>0.0</v>
      </c>
      <c r="AG28" s="76">
        <v>0.0</v>
      </c>
      <c r="AH28" s="76">
        <v>0.0</v>
      </c>
      <c r="AI28" s="76">
        <v>0.0</v>
      </c>
      <c r="AJ28" s="76">
        <v>0.0</v>
      </c>
      <c r="AK28" s="76">
        <v>0.0</v>
      </c>
      <c r="AL28" s="76">
        <v>0.0</v>
      </c>
      <c r="AM28" s="76">
        <v>0.0</v>
      </c>
      <c r="AN28" s="76">
        <v>0.0</v>
      </c>
      <c r="AO28" s="76">
        <v>0.0</v>
      </c>
      <c r="AP28" s="76">
        <v>0.0</v>
      </c>
      <c r="AQ28" s="76">
        <v>0.0</v>
      </c>
      <c r="AR28" s="76">
        <v>0.0</v>
      </c>
      <c r="AS28" s="76">
        <v>0.0</v>
      </c>
      <c r="AT28" s="76">
        <v>0.0</v>
      </c>
      <c r="AU28" s="76">
        <v>0.0</v>
      </c>
      <c r="AV28" s="76">
        <v>0.0</v>
      </c>
      <c r="AW28" s="76">
        <v>0.0</v>
      </c>
      <c r="AX28" s="76">
        <v>0.0</v>
      </c>
      <c r="AY28" s="76">
        <v>0.0</v>
      </c>
      <c r="AZ28" s="76">
        <v>0.0</v>
      </c>
      <c r="BA28" s="76">
        <v>0.0</v>
      </c>
      <c r="BB28" s="76">
        <v>0.0</v>
      </c>
      <c r="BC28" s="76">
        <v>0.0</v>
      </c>
      <c r="BD28" s="76">
        <v>0.0</v>
      </c>
      <c r="BE28" s="76">
        <v>0.0</v>
      </c>
      <c r="BF28" s="76">
        <v>0.0</v>
      </c>
      <c r="BG28" s="76">
        <v>0.0</v>
      </c>
      <c r="BH28" s="76">
        <v>0.0</v>
      </c>
      <c r="BI28" s="76">
        <v>0.0</v>
      </c>
      <c r="BJ28" s="76">
        <v>0.0</v>
      </c>
      <c r="BK28" s="76">
        <v>0.0</v>
      </c>
      <c r="BL28" s="76">
        <v>0.0</v>
      </c>
      <c r="BM28" s="76">
        <v>0.0</v>
      </c>
      <c r="BN28" s="76">
        <v>0.0</v>
      </c>
      <c r="BO28" s="76">
        <v>0.0</v>
      </c>
      <c r="BP28" s="76">
        <v>0.0</v>
      </c>
      <c r="BQ28" s="76">
        <v>0.0</v>
      </c>
      <c r="BR28" s="76">
        <v>0.0</v>
      </c>
      <c r="BS28" s="76">
        <v>0.0</v>
      </c>
      <c r="BT28" s="76">
        <v>0.0</v>
      </c>
      <c r="BU28" s="76">
        <v>0.0</v>
      </c>
      <c r="BV28" s="76">
        <v>0.0</v>
      </c>
      <c r="BW28" s="76">
        <v>0.0</v>
      </c>
      <c r="BX28" s="76">
        <v>0.0</v>
      </c>
      <c r="BY28" s="76">
        <v>0.0</v>
      </c>
    </row>
    <row r="29" outlineLevel="1">
      <c r="A29" s="47"/>
      <c r="B29" s="39" t="s">
        <v>26</v>
      </c>
      <c r="C29" s="47"/>
      <c r="D29" s="76">
        <v>50.0</v>
      </c>
      <c r="E29" s="47"/>
      <c r="F29" s="47"/>
      <c r="G29" s="47"/>
      <c r="H29" s="47"/>
      <c r="I29" s="47"/>
      <c r="J29" s="47"/>
      <c r="K29" s="47"/>
      <c r="L29" s="47"/>
      <c r="M29" s="47"/>
      <c r="N29" s="47"/>
      <c r="O29" s="47"/>
      <c r="P29" s="47"/>
      <c r="Q29" s="47"/>
      <c r="R29" s="79">
        <f t="shared" ref="R29:R30" si="20">D29</f>
        <v>50</v>
      </c>
      <c r="S29" s="79">
        <f t="shared" ref="S29:BY29" si="19">R29</f>
        <v>50</v>
      </c>
      <c r="T29" s="79">
        <f t="shared" si="19"/>
        <v>50</v>
      </c>
      <c r="U29" s="79">
        <f t="shared" si="19"/>
        <v>50</v>
      </c>
      <c r="V29" s="79">
        <f t="shared" si="19"/>
        <v>50</v>
      </c>
      <c r="W29" s="79">
        <f t="shared" si="19"/>
        <v>50</v>
      </c>
      <c r="X29" s="79">
        <f t="shared" si="19"/>
        <v>50</v>
      </c>
      <c r="Y29" s="79">
        <f t="shared" si="19"/>
        <v>50</v>
      </c>
      <c r="Z29" s="79">
        <f t="shared" si="19"/>
        <v>50</v>
      </c>
      <c r="AA29" s="79">
        <f t="shared" si="19"/>
        <v>50</v>
      </c>
      <c r="AB29" s="79">
        <f t="shared" si="19"/>
        <v>50</v>
      </c>
      <c r="AC29" s="79">
        <f t="shared" si="19"/>
        <v>50</v>
      </c>
      <c r="AD29" s="79">
        <f t="shared" si="19"/>
        <v>50</v>
      </c>
      <c r="AE29" s="79">
        <f t="shared" si="19"/>
        <v>50</v>
      </c>
      <c r="AF29" s="79">
        <f t="shared" si="19"/>
        <v>50</v>
      </c>
      <c r="AG29" s="79">
        <f t="shared" si="19"/>
        <v>50</v>
      </c>
      <c r="AH29" s="79">
        <f t="shared" si="19"/>
        <v>50</v>
      </c>
      <c r="AI29" s="79">
        <f t="shared" si="19"/>
        <v>50</v>
      </c>
      <c r="AJ29" s="79">
        <f t="shared" si="19"/>
        <v>50</v>
      </c>
      <c r="AK29" s="79">
        <f t="shared" si="19"/>
        <v>50</v>
      </c>
      <c r="AL29" s="79">
        <f t="shared" si="19"/>
        <v>50</v>
      </c>
      <c r="AM29" s="79">
        <f t="shared" si="19"/>
        <v>50</v>
      </c>
      <c r="AN29" s="79">
        <f t="shared" si="19"/>
        <v>50</v>
      </c>
      <c r="AO29" s="79">
        <f t="shared" si="19"/>
        <v>50</v>
      </c>
      <c r="AP29" s="79">
        <f t="shared" si="19"/>
        <v>50</v>
      </c>
      <c r="AQ29" s="79">
        <f t="shared" si="19"/>
        <v>50</v>
      </c>
      <c r="AR29" s="79">
        <f t="shared" si="19"/>
        <v>50</v>
      </c>
      <c r="AS29" s="79">
        <f t="shared" si="19"/>
        <v>50</v>
      </c>
      <c r="AT29" s="79">
        <f t="shared" si="19"/>
        <v>50</v>
      </c>
      <c r="AU29" s="79">
        <f t="shared" si="19"/>
        <v>50</v>
      </c>
      <c r="AV29" s="79">
        <f t="shared" si="19"/>
        <v>50</v>
      </c>
      <c r="AW29" s="79">
        <f t="shared" si="19"/>
        <v>50</v>
      </c>
      <c r="AX29" s="79">
        <f t="shared" si="19"/>
        <v>50</v>
      </c>
      <c r="AY29" s="79">
        <f t="shared" si="19"/>
        <v>50</v>
      </c>
      <c r="AZ29" s="79">
        <f t="shared" si="19"/>
        <v>50</v>
      </c>
      <c r="BA29" s="79">
        <f t="shared" si="19"/>
        <v>50</v>
      </c>
      <c r="BB29" s="79">
        <f t="shared" si="19"/>
        <v>50</v>
      </c>
      <c r="BC29" s="79">
        <f t="shared" si="19"/>
        <v>50</v>
      </c>
      <c r="BD29" s="79">
        <f t="shared" si="19"/>
        <v>50</v>
      </c>
      <c r="BE29" s="79">
        <f t="shared" si="19"/>
        <v>50</v>
      </c>
      <c r="BF29" s="79">
        <f t="shared" si="19"/>
        <v>50</v>
      </c>
      <c r="BG29" s="79">
        <f t="shared" si="19"/>
        <v>50</v>
      </c>
      <c r="BH29" s="79">
        <f t="shared" si="19"/>
        <v>50</v>
      </c>
      <c r="BI29" s="79">
        <f t="shared" si="19"/>
        <v>50</v>
      </c>
      <c r="BJ29" s="79">
        <f t="shared" si="19"/>
        <v>50</v>
      </c>
      <c r="BK29" s="79">
        <f t="shared" si="19"/>
        <v>50</v>
      </c>
      <c r="BL29" s="79">
        <f t="shared" si="19"/>
        <v>50</v>
      </c>
      <c r="BM29" s="79">
        <f t="shared" si="19"/>
        <v>50</v>
      </c>
      <c r="BN29" s="79">
        <f t="shared" si="19"/>
        <v>50</v>
      </c>
      <c r="BO29" s="79">
        <f t="shared" si="19"/>
        <v>50</v>
      </c>
      <c r="BP29" s="79">
        <f t="shared" si="19"/>
        <v>50</v>
      </c>
      <c r="BQ29" s="79">
        <f t="shared" si="19"/>
        <v>50</v>
      </c>
      <c r="BR29" s="79">
        <f t="shared" si="19"/>
        <v>50</v>
      </c>
      <c r="BS29" s="79">
        <f t="shared" si="19"/>
        <v>50</v>
      </c>
      <c r="BT29" s="79">
        <f t="shared" si="19"/>
        <v>50</v>
      </c>
      <c r="BU29" s="79">
        <f t="shared" si="19"/>
        <v>50</v>
      </c>
      <c r="BV29" s="79">
        <f t="shared" si="19"/>
        <v>50</v>
      </c>
      <c r="BW29" s="79">
        <f t="shared" si="19"/>
        <v>50</v>
      </c>
      <c r="BX29" s="79">
        <f t="shared" si="19"/>
        <v>50</v>
      </c>
      <c r="BY29" s="79">
        <f t="shared" si="19"/>
        <v>50</v>
      </c>
    </row>
    <row r="30" outlineLevel="1">
      <c r="A30" s="47"/>
      <c r="B30" s="71" t="s">
        <v>16</v>
      </c>
      <c r="C30" s="59"/>
      <c r="D30" s="72">
        <v>0.05</v>
      </c>
      <c r="E30" s="61"/>
      <c r="F30" s="61"/>
      <c r="G30" s="61"/>
      <c r="H30" s="61"/>
      <c r="I30" s="61"/>
      <c r="J30" s="61"/>
      <c r="K30" s="61"/>
      <c r="L30" s="61"/>
      <c r="M30" s="61"/>
      <c r="N30" s="61"/>
      <c r="O30" s="61"/>
      <c r="P30" s="61"/>
      <c r="Q30" s="61"/>
      <c r="R30" s="62">
        <f t="shared" si="20"/>
        <v>0.05</v>
      </c>
      <c r="S30" s="62">
        <f t="shared" ref="S30:BY30" si="21">R30</f>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c r="BO30" s="62">
        <f t="shared" si="21"/>
        <v>0.05</v>
      </c>
      <c r="BP30" s="62">
        <f t="shared" si="21"/>
        <v>0.05</v>
      </c>
      <c r="BQ30" s="62">
        <f t="shared" si="21"/>
        <v>0.05</v>
      </c>
      <c r="BR30" s="62">
        <f t="shared" si="21"/>
        <v>0.05</v>
      </c>
      <c r="BS30" s="62">
        <f t="shared" si="21"/>
        <v>0.05</v>
      </c>
      <c r="BT30" s="62">
        <f t="shared" si="21"/>
        <v>0.05</v>
      </c>
      <c r="BU30" s="62">
        <f t="shared" si="21"/>
        <v>0.05</v>
      </c>
      <c r="BV30" s="62">
        <f t="shared" si="21"/>
        <v>0.05</v>
      </c>
      <c r="BW30" s="62">
        <f t="shared" si="21"/>
        <v>0.05</v>
      </c>
      <c r="BX30" s="62">
        <f t="shared" si="21"/>
        <v>0.05</v>
      </c>
      <c r="BY30" s="62">
        <f t="shared" si="21"/>
        <v>0.05</v>
      </c>
    </row>
    <row r="31" outlineLevel="1">
      <c r="A31" s="47"/>
      <c r="B31" s="73" t="s">
        <v>17</v>
      </c>
      <c r="C31" s="47"/>
      <c r="D31" s="63"/>
      <c r="E31" s="63"/>
      <c r="F31" s="63"/>
      <c r="G31" s="63"/>
      <c r="H31" s="63"/>
      <c r="I31" s="63"/>
      <c r="J31" s="63"/>
      <c r="K31" s="63"/>
      <c r="L31" s="63"/>
      <c r="M31" s="63"/>
      <c r="N31" s="63"/>
      <c r="O31" s="63"/>
      <c r="P31" s="63"/>
      <c r="Q31" s="63"/>
      <c r="R31" s="64">
        <f t="shared" ref="R31:BY31" si="22">R28*R29*R30</f>
        <v>2.5</v>
      </c>
      <c r="S31" s="64">
        <f t="shared" si="22"/>
        <v>0</v>
      </c>
      <c r="T31" s="64">
        <f t="shared" si="22"/>
        <v>0</v>
      </c>
      <c r="U31" s="64">
        <f t="shared" si="22"/>
        <v>0</v>
      </c>
      <c r="V31" s="64">
        <f t="shared" si="22"/>
        <v>0</v>
      </c>
      <c r="W31" s="64">
        <f t="shared" si="22"/>
        <v>0</v>
      </c>
      <c r="X31" s="64">
        <f t="shared" si="22"/>
        <v>0</v>
      </c>
      <c r="Y31" s="64">
        <f t="shared" si="22"/>
        <v>0</v>
      </c>
      <c r="Z31" s="64">
        <f t="shared" si="22"/>
        <v>0</v>
      </c>
      <c r="AA31" s="64">
        <f t="shared" si="22"/>
        <v>0</v>
      </c>
      <c r="AB31" s="64">
        <f t="shared" si="22"/>
        <v>0</v>
      </c>
      <c r="AC31" s="64">
        <f t="shared" si="22"/>
        <v>0</v>
      </c>
      <c r="AD31" s="64">
        <f t="shared" si="22"/>
        <v>0</v>
      </c>
      <c r="AE31" s="64">
        <f t="shared" si="22"/>
        <v>0</v>
      </c>
      <c r="AF31" s="64">
        <f t="shared" si="22"/>
        <v>0</v>
      </c>
      <c r="AG31" s="64">
        <f t="shared" si="22"/>
        <v>0</v>
      </c>
      <c r="AH31" s="64">
        <f t="shared" si="22"/>
        <v>0</v>
      </c>
      <c r="AI31" s="64">
        <f t="shared" si="22"/>
        <v>0</v>
      </c>
      <c r="AJ31" s="64">
        <f t="shared" si="22"/>
        <v>0</v>
      </c>
      <c r="AK31" s="64">
        <f t="shared" si="22"/>
        <v>0</v>
      </c>
      <c r="AL31" s="64">
        <f t="shared" si="22"/>
        <v>0</v>
      </c>
      <c r="AM31" s="64">
        <f t="shared" si="22"/>
        <v>0</v>
      </c>
      <c r="AN31" s="64">
        <f t="shared" si="22"/>
        <v>0</v>
      </c>
      <c r="AO31" s="64">
        <f t="shared" si="22"/>
        <v>0</v>
      </c>
      <c r="AP31" s="64">
        <f t="shared" si="22"/>
        <v>0</v>
      </c>
      <c r="AQ31" s="64">
        <f t="shared" si="22"/>
        <v>0</v>
      </c>
      <c r="AR31" s="64">
        <f t="shared" si="22"/>
        <v>0</v>
      </c>
      <c r="AS31" s="64">
        <f t="shared" si="22"/>
        <v>0</v>
      </c>
      <c r="AT31" s="64">
        <f t="shared" si="22"/>
        <v>0</v>
      </c>
      <c r="AU31" s="64">
        <f t="shared" si="22"/>
        <v>0</v>
      </c>
      <c r="AV31" s="64">
        <f t="shared" si="22"/>
        <v>0</v>
      </c>
      <c r="AW31" s="64">
        <f t="shared" si="22"/>
        <v>0</v>
      </c>
      <c r="AX31" s="64">
        <f t="shared" si="22"/>
        <v>0</v>
      </c>
      <c r="AY31" s="64">
        <f t="shared" si="22"/>
        <v>0</v>
      </c>
      <c r="AZ31" s="64">
        <f t="shared" si="22"/>
        <v>0</v>
      </c>
      <c r="BA31" s="64">
        <f t="shared" si="22"/>
        <v>0</v>
      </c>
      <c r="BB31" s="64">
        <f t="shared" si="22"/>
        <v>0</v>
      </c>
      <c r="BC31" s="64">
        <f t="shared" si="22"/>
        <v>0</v>
      </c>
      <c r="BD31" s="64">
        <f t="shared" si="22"/>
        <v>0</v>
      </c>
      <c r="BE31" s="64">
        <f t="shared" si="22"/>
        <v>0</v>
      </c>
      <c r="BF31" s="64">
        <f t="shared" si="22"/>
        <v>0</v>
      </c>
      <c r="BG31" s="64">
        <f t="shared" si="22"/>
        <v>0</v>
      </c>
      <c r="BH31" s="64">
        <f t="shared" si="22"/>
        <v>0</v>
      </c>
      <c r="BI31" s="64">
        <f t="shared" si="22"/>
        <v>0</v>
      </c>
      <c r="BJ31" s="64">
        <f t="shared" si="22"/>
        <v>0</v>
      </c>
      <c r="BK31" s="64">
        <f t="shared" si="22"/>
        <v>0</v>
      </c>
      <c r="BL31" s="64">
        <f t="shared" si="22"/>
        <v>0</v>
      </c>
      <c r="BM31" s="64">
        <f t="shared" si="22"/>
        <v>0</v>
      </c>
      <c r="BN31" s="64">
        <f t="shared" si="22"/>
        <v>0</v>
      </c>
      <c r="BO31" s="64">
        <f t="shared" si="22"/>
        <v>0</v>
      </c>
      <c r="BP31" s="64">
        <f t="shared" si="22"/>
        <v>0</v>
      </c>
      <c r="BQ31" s="64">
        <f t="shared" si="22"/>
        <v>0</v>
      </c>
      <c r="BR31" s="64">
        <f t="shared" si="22"/>
        <v>0</v>
      </c>
      <c r="BS31" s="64">
        <f t="shared" si="22"/>
        <v>0</v>
      </c>
      <c r="BT31" s="64">
        <f t="shared" si="22"/>
        <v>0</v>
      </c>
      <c r="BU31" s="64">
        <f t="shared" si="22"/>
        <v>0</v>
      </c>
      <c r="BV31" s="64">
        <f t="shared" si="22"/>
        <v>0</v>
      </c>
      <c r="BW31" s="64">
        <f t="shared" si="22"/>
        <v>0</v>
      </c>
      <c r="BX31" s="64">
        <f t="shared" si="22"/>
        <v>0</v>
      </c>
      <c r="BY31" s="64">
        <f t="shared" si="22"/>
        <v>0</v>
      </c>
    </row>
    <row r="32" outlineLevel="1">
      <c r="A32" s="47"/>
      <c r="B32" s="65"/>
      <c r="C32" s="47"/>
      <c r="D32" s="47"/>
      <c r="E32" s="47"/>
      <c r="F32" s="47"/>
      <c r="G32" s="47"/>
      <c r="H32" s="47"/>
      <c r="I32" s="47"/>
      <c r="J32" s="47"/>
      <c r="K32" s="47"/>
      <c r="L32" s="47"/>
      <c r="M32" s="47"/>
      <c r="N32" s="47"/>
      <c r="O32" s="47"/>
      <c r="P32" s="47"/>
      <c r="Q32" s="47"/>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row>
    <row r="33" outlineLevel="1">
      <c r="A33" s="80"/>
      <c r="B33" s="81" t="s">
        <v>27</v>
      </c>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row>
    <row r="34" outlineLevel="1">
      <c r="A34" s="80"/>
      <c r="B34" s="47" t="s">
        <v>28</v>
      </c>
      <c r="C34" s="80"/>
      <c r="D34" s="76">
        <v>2.0</v>
      </c>
      <c r="E34" s="80"/>
      <c r="F34" s="80"/>
      <c r="G34" s="80"/>
      <c r="H34" s="80"/>
      <c r="I34" s="80"/>
      <c r="J34" s="80"/>
      <c r="K34" s="80"/>
      <c r="L34" s="80"/>
      <c r="M34" s="80"/>
      <c r="N34" s="80"/>
      <c r="O34" s="80"/>
      <c r="P34" s="80"/>
      <c r="Q34" s="80"/>
      <c r="R34" s="57">
        <f t="shared" ref="R34:R37" si="24">D34</f>
        <v>2</v>
      </c>
      <c r="S34" s="57">
        <f t="shared" ref="S34:BY34" si="23">R34</f>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c r="BO34" s="57">
        <f t="shared" si="23"/>
        <v>2</v>
      </c>
      <c r="BP34" s="57">
        <f t="shared" si="23"/>
        <v>2</v>
      </c>
      <c r="BQ34" s="57">
        <f t="shared" si="23"/>
        <v>2</v>
      </c>
      <c r="BR34" s="57">
        <f t="shared" si="23"/>
        <v>2</v>
      </c>
      <c r="BS34" s="57">
        <f t="shared" si="23"/>
        <v>2</v>
      </c>
      <c r="BT34" s="57">
        <f t="shared" si="23"/>
        <v>2</v>
      </c>
      <c r="BU34" s="57">
        <f t="shared" si="23"/>
        <v>2</v>
      </c>
      <c r="BV34" s="57">
        <f t="shared" si="23"/>
        <v>2</v>
      </c>
      <c r="BW34" s="57">
        <f t="shared" si="23"/>
        <v>2</v>
      </c>
      <c r="BX34" s="57">
        <f t="shared" si="23"/>
        <v>2</v>
      </c>
      <c r="BY34" s="57">
        <f t="shared" si="23"/>
        <v>2</v>
      </c>
    </row>
    <row r="35" outlineLevel="1">
      <c r="A35" s="80"/>
      <c r="B35" s="47" t="s">
        <v>29</v>
      </c>
      <c r="C35" s="80"/>
      <c r="D35" s="76">
        <v>100.0</v>
      </c>
      <c r="E35" s="80"/>
      <c r="F35" s="80"/>
      <c r="G35" s="80"/>
      <c r="H35" s="80"/>
      <c r="I35" s="80"/>
      <c r="J35" s="80"/>
      <c r="K35" s="80"/>
      <c r="L35" s="80"/>
      <c r="M35" s="80"/>
      <c r="N35" s="80"/>
      <c r="O35" s="80"/>
      <c r="P35" s="80"/>
      <c r="Q35" s="80"/>
      <c r="R35" s="57">
        <f t="shared" si="24"/>
        <v>100</v>
      </c>
      <c r="S35" s="57">
        <f t="shared" ref="S35:BY35" si="25">R35</f>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c r="BO35" s="57">
        <f t="shared" si="25"/>
        <v>100</v>
      </c>
      <c r="BP35" s="57">
        <f t="shared" si="25"/>
        <v>100</v>
      </c>
      <c r="BQ35" s="57">
        <f t="shared" si="25"/>
        <v>100</v>
      </c>
      <c r="BR35" s="57">
        <f t="shared" si="25"/>
        <v>100</v>
      </c>
      <c r="BS35" s="57">
        <f t="shared" si="25"/>
        <v>100</v>
      </c>
      <c r="BT35" s="57">
        <f t="shared" si="25"/>
        <v>100</v>
      </c>
      <c r="BU35" s="57">
        <f t="shared" si="25"/>
        <v>100</v>
      </c>
      <c r="BV35" s="57">
        <f t="shared" si="25"/>
        <v>100</v>
      </c>
      <c r="BW35" s="57">
        <f t="shared" si="25"/>
        <v>100</v>
      </c>
      <c r="BX35" s="57">
        <f t="shared" si="25"/>
        <v>100</v>
      </c>
      <c r="BY35" s="57">
        <f t="shared" si="25"/>
        <v>100</v>
      </c>
    </row>
    <row r="36" outlineLevel="1">
      <c r="A36" s="80"/>
      <c r="B36" s="47" t="s">
        <v>30</v>
      </c>
      <c r="C36" s="80"/>
      <c r="D36" s="76">
        <v>5.0</v>
      </c>
      <c r="E36" s="80"/>
      <c r="F36" s="80"/>
      <c r="G36" s="80"/>
      <c r="H36" s="80"/>
      <c r="I36" s="80"/>
      <c r="J36" s="80"/>
      <c r="K36" s="80"/>
      <c r="L36" s="80"/>
      <c r="M36" s="80"/>
      <c r="N36" s="80"/>
      <c r="O36" s="80"/>
      <c r="P36" s="80"/>
      <c r="Q36" s="80"/>
      <c r="R36" s="57">
        <f t="shared" si="24"/>
        <v>5</v>
      </c>
      <c r="S36" s="57">
        <f t="shared" ref="S36:BY36" si="26">R36</f>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c r="BO36" s="57">
        <f t="shared" si="26"/>
        <v>5</v>
      </c>
      <c r="BP36" s="57">
        <f t="shared" si="26"/>
        <v>5</v>
      </c>
      <c r="BQ36" s="57">
        <f t="shared" si="26"/>
        <v>5</v>
      </c>
      <c r="BR36" s="57">
        <f t="shared" si="26"/>
        <v>5</v>
      </c>
      <c r="BS36" s="57">
        <f t="shared" si="26"/>
        <v>5</v>
      </c>
      <c r="BT36" s="57">
        <f t="shared" si="26"/>
        <v>5</v>
      </c>
      <c r="BU36" s="57">
        <f t="shared" si="26"/>
        <v>5</v>
      </c>
      <c r="BV36" s="57">
        <f t="shared" si="26"/>
        <v>5</v>
      </c>
      <c r="BW36" s="57">
        <f t="shared" si="26"/>
        <v>5</v>
      </c>
      <c r="BX36" s="57">
        <f t="shared" si="26"/>
        <v>5</v>
      </c>
      <c r="BY36" s="57">
        <f t="shared" si="26"/>
        <v>5</v>
      </c>
    </row>
    <row r="37" outlineLevel="1">
      <c r="A37" s="80"/>
      <c r="B37" s="59" t="s">
        <v>16</v>
      </c>
      <c r="C37" s="82"/>
      <c r="D37" s="83">
        <v>0.05</v>
      </c>
      <c r="E37" s="84"/>
      <c r="F37" s="84"/>
      <c r="G37" s="84"/>
      <c r="H37" s="84"/>
      <c r="I37" s="84"/>
      <c r="J37" s="84"/>
      <c r="K37" s="84"/>
      <c r="L37" s="84"/>
      <c r="M37" s="84"/>
      <c r="N37" s="84"/>
      <c r="O37" s="84"/>
      <c r="P37" s="84"/>
      <c r="Q37" s="84"/>
      <c r="R37" s="62">
        <f t="shared" si="24"/>
        <v>0.05</v>
      </c>
      <c r="S37" s="62">
        <f t="shared" ref="S37:BY37" si="27">R37</f>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c r="BO37" s="62">
        <f t="shared" si="27"/>
        <v>0.05</v>
      </c>
      <c r="BP37" s="62">
        <f t="shared" si="27"/>
        <v>0.05</v>
      </c>
      <c r="BQ37" s="62">
        <f t="shared" si="27"/>
        <v>0.05</v>
      </c>
      <c r="BR37" s="62">
        <f t="shared" si="27"/>
        <v>0.05</v>
      </c>
      <c r="BS37" s="62">
        <f t="shared" si="27"/>
        <v>0.05</v>
      </c>
      <c r="BT37" s="62">
        <f t="shared" si="27"/>
        <v>0.05</v>
      </c>
      <c r="BU37" s="62">
        <f t="shared" si="27"/>
        <v>0.05</v>
      </c>
      <c r="BV37" s="62">
        <f t="shared" si="27"/>
        <v>0.05</v>
      </c>
      <c r="BW37" s="62">
        <f t="shared" si="27"/>
        <v>0.05</v>
      </c>
      <c r="BX37" s="62">
        <f t="shared" si="27"/>
        <v>0.05</v>
      </c>
      <c r="BY37" s="62">
        <f t="shared" si="27"/>
        <v>0.05</v>
      </c>
    </row>
    <row r="38" outlineLevel="1">
      <c r="A38" s="80"/>
      <c r="B38" s="85" t="s">
        <v>17</v>
      </c>
      <c r="C38" s="80"/>
      <c r="D38" s="86"/>
      <c r="E38" s="86"/>
      <c r="F38" s="86"/>
      <c r="G38" s="86"/>
      <c r="H38" s="86"/>
      <c r="I38" s="86"/>
      <c r="J38" s="86"/>
      <c r="K38" s="86"/>
      <c r="L38" s="86"/>
      <c r="M38" s="86"/>
      <c r="N38" s="86"/>
      <c r="O38" s="86"/>
      <c r="P38" s="86"/>
      <c r="Q38" s="86"/>
      <c r="R38" s="75">
        <f t="shared" ref="R38:BY38" si="28">R34*R35*R36*R37</f>
        <v>50</v>
      </c>
      <c r="S38" s="75">
        <f t="shared" si="28"/>
        <v>50</v>
      </c>
      <c r="T38" s="75">
        <f t="shared" si="28"/>
        <v>50</v>
      </c>
      <c r="U38" s="75">
        <f t="shared" si="28"/>
        <v>50</v>
      </c>
      <c r="V38" s="75">
        <f t="shared" si="28"/>
        <v>50</v>
      </c>
      <c r="W38" s="75">
        <f t="shared" si="28"/>
        <v>50</v>
      </c>
      <c r="X38" s="75">
        <f t="shared" si="28"/>
        <v>50</v>
      </c>
      <c r="Y38" s="75">
        <f t="shared" si="28"/>
        <v>50</v>
      </c>
      <c r="Z38" s="75">
        <f t="shared" si="28"/>
        <v>50</v>
      </c>
      <c r="AA38" s="75">
        <f t="shared" si="28"/>
        <v>50</v>
      </c>
      <c r="AB38" s="75">
        <f t="shared" si="28"/>
        <v>50</v>
      </c>
      <c r="AC38" s="75">
        <f t="shared" si="28"/>
        <v>50</v>
      </c>
      <c r="AD38" s="75">
        <f t="shared" si="28"/>
        <v>50</v>
      </c>
      <c r="AE38" s="75">
        <f t="shared" si="28"/>
        <v>50</v>
      </c>
      <c r="AF38" s="75">
        <f t="shared" si="28"/>
        <v>50</v>
      </c>
      <c r="AG38" s="75">
        <f t="shared" si="28"/>
        <v>50</v>
      </c>
      <c r="AH38" s="75">
        <f t="shared" si="28"/>
        <v>50</v>
      </c>
      <c r="AI38" s="75">
        <f t="shared" si="28"/>
        <v>50</v>
      </c>
      <c r="AJ38" s="75">
        <f t="shared" si="28"/>
        <v>50</v>
      </c>
      <c r="AK38" s="75">
        <f t="shared" si="28"/>
        <v>50</v>
      </c>
      <c r="AL38" s="75">
        <f t="shared" si="28"/>
        <v>50</v>
      </c>
      <c r="AM38" s="75">
        <f t="shared" si="28"/>
        <v>50</v>
      </c>
      <c r="AN38" s="75">
        <f t="shared" si="28"/>
        <v>50</v>
      </c>
      <c r="AO38" s="75">
        <f t="shared" si="28"/>
        <v>50</v>
      </c>
      <c r="AP38" s="75">
        <f t="shared" si="28"/>
        <v>50</v>
      </c>
      <c r="AQ38" s="75">
        <f t="shared" si="28"/>
        <v>50</v>
      </c>
      <c r="AR38" s="75">
        <f t="shared" si="28"/>
        <v>50</v>
      </c>
      <c r="AS38" s="75">
        <f t="shared" si="28"/>
        <v>50</v>
      </c>
      <c r="AT38" s="75">
        <f t="shared" si="28"/>
        <v>50</v>
      </c>
      <c r="AU38" s="75">
        <f t="shared" si="28"/>
        <v>50</v>
      </c>
      <c r="AV38" s="75">
        <f t="shared" si="28"/>
        <v>50</v>
      </c>
      <c r="AW38" s="75">
        <f t="shared" si="28"/>
        <v>50</v>
      </c>
      <c r="AX38" s="75">
        <f t="shared" si="28"/>
        <v>50</v>
      </c>
      <c r="AY38" s="75">
        <f t="shared" si="28"/>
        <v>50</v>
      </c>
      <c r="AZ38" s="75">
        <f t="shared" si="28"/>
        <v>50</v>
      </c>
      <c r="BA38" s="75">
        <f t="shared" si="28"/>
        <v>50</v>
      </c>
      <c r="BB38" s="75">
        <f t="shared" si="28"/>
        <v>50</v>
      </c>
      <c r="BC38" s="75">
        <f t="shared" si="28"/>
        <v>50</v>
      </c>
      <c r="BD38" s="75">
        <f t="shared" si="28"/>
        <v>50</v>
      </c>
      <c r="BE38" s="75">
        <f t="shared" si="28"/>
        <v>50</v>
      </c>
      <c r="BF38" s="75">
        <f t="shared" si="28"/>
        <v>50</v>
      </c>
      <c r="BG38" s="75">
        <f t="shared" si="28"/>
        <v>50</v>
      </c>
      <c r="BH38" s="75">
        <f t="shared" si="28"/>
        <v>50</v>
      </c>
      <c r="BI38" s="75">
        <f t="shared" si="28"/>
        <v>50</v>
      </c>
      <c r="BJ38" s="75">
        <f t="shared" si="28"/>
        <v>50</v>
      </c>
      <c r="BK38" s="75">
        <f t="shared" si="28"/>
        <v>50</v>
      </c>
      <c r="BL38" s="75">
        <f t="shared" si="28"/>
        <v>50</v>
      </c>
      <c r="BM38" s="75">
        <f t="shared" si="28"/>
        <v>50</v>
      </c>
      <c r="BN38" s="75">
        <f t="shared" si="28"/>
        <v>50</v>
      </c>
      <c r="BO38" s="75">
        <f t="shared" si="28"/>
        <v>50</v>
      </c>
      <c r="BP38" s="75">
        <f t="shared" si="28"/>
        <v>50</v>
      </c>
      <c r="BQ38" s="75">
        <f t="shared" si="28"/>
        <v>50</v>
      </c>
      <c r="BR38" s="75">
        <f t="shared" si="28"/>
        <v>50</v>
      </c>
      <c r="BS38" s="75">
        <f t="shared" si="28"/>
        <v>50</v>
      </c>
      <c r="BT38" s="75">
        <f t="shared" si="28"/>
        <v>50</v>
      </c>
      <c r="BU38" s="75">
        <f t="shared" si="28"/>
        <v>50</v>
      </c>
      <c r="BV38" s="75">
        <f t="shared" si="28"/>
        <v>50</v>
      </c>
      <c r="BW38" s="75">
        <f t="shared" si="28"/>
        <v>50</v>
      </c>
      <c r="BX38" s="75">
        <f t="shared" si="28"/>
        <v>50</v>
      </c>
      <c r="BY38" s="75">
        <f t="shared" si="28"/>
        <v>50</v>
      </c>
    </row>
    <row r="39" outlineLevel="1">
      <c r="A39" s="47"/>
      <c r="B39" s="65"/>
      <c r="C39" s="47"/>
      <c r="D39" s="47"/>
      <c r="E39" s="47"/>
      <c r="F39" s="47"/>
      <c r="G39" s="47"/>
      <c r="H39" s="47"/>
      <c r="I39" s="47"/>
      <c r="J39" s="47"/>
      <c r="K39" s="47"/>
      <c r="L39" s="47"/>
      <c r="M39" s="47"/>
      <c r="N39" s="47"/>
      <c r="O39" s="47"/>
      <c r="P39" s="47"/>
      <c r="Q39" s="47"/>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row>
    <row r="40" outlineLevel="1">
      <c r="A40" s="47"/>
      <c r="B40" s="65" t="s">
        <v>31</v>
      </c>
      <c r="C40" s="47"/>
      <c r="D40" s="47"/>
      <c r="E40" s="47"/>
      <c r="F40" s="47"/>
      <c r="G40" s="47"/>
      <c r="H40" s="47"/>
      <c r="I40" s="47"/>
      <c r="J40" s="47"/>
      <c r="K40" s="47"/>
      <c r="L40" s="47"/>
      <c r="M40" s="47"/>
      <c r="N40" s="47"/>
      <c r="O40" s="47"/>
      <c r="P40" s="47"/>
      <c r="Q40" s="47"/>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row>
    <row r="41" outlineLevel="1">
      <c r="A41" s="47"/>
      <c r="B41" s="39" t="s">
        <v>32</v>
      </c>
      <c r="C41" s="47"/>
      <c r="D41" s="47"/>
      <c r="E41" s="47"/>
      <c r="F41" s="47"/>
      <c r="G41" s="47"/>
      <c r="H41" s="47"/>
      <c r="I41" s="47"/>
      <c r="J41" s="47"/>
      <c r="K41" s="47"/>
      <c r="L41" s="47"/>
      <c r="M41" s="47"/>
      <c r="N41" s="47"/>
      <c r="O41" s="47"/>
      <c r="P41" s="47"/>
      <c r="Q41" s="47"/>
      <c r="R41" s="57" t="str">
        <f t="shared" ref="R41:BY41" si="29">Q71</f>
        <v/>
      </c>
      <c r="S41" s="57">
        <f t="shared" si="29"/>
        <v>317.5</v>
      </c>
      <c r="T41" s="57">
        <f t="shared" si="29"/>
        <v>324.7625</v>
      </c>
      <c r="U41" s="57">
        <f t="shared" si="29"/>
        <v>324.8714375</v>
      </c>
      <c r="V41" s="57">
        <f t="shared" si="29"/>
        <v>324.8730716</v>
      </c>
      <c r="W41" s="57">
        <f t="shared" si="29"/>
        <v>324.8730961</v>
      </c>
      <c r="X41" s="57">
        <f t="shared" si="29"/>
        <v>324.8730964</v>
      </c>
      <c r="Y41" s="57">
        <f t="shared" si="29"/>
        <v>324.8730964</v>
      </c>
      <c r="Z41" s="57">
        <f t="shared" si="29"/>
        <v>324.8730964</v>
      </c>
      <c r="AA41" s="57">
        <f t="shared" si="29"/>
        <v>324.8730964</v>
      </c>
      <c r="AB41" s="57">
        <f t="shared" si="29"/>
        <v>324.8730964</v>
      </c>
      <c r="AC41" s="57">
        <f t="shared" si="29"/>
        <v>324.8730964</v>
      </c>
      <c r="AD41" s="57">
        <f t="shared" si="29"/>
        <v>324.8730964</v>
      </c>
      <c r="AE41" s="57">
        <f t="shared" si="29"/>
        <v>324.8730964</v>
      </c>
      <c r="AF41" s="57">
        <f t="shared" si="29"/>
        <v>324.8730964</v>
      </c>
      <c r="AG41" s="57">
        <f t="shared" si="29"/>
        <v>324.8730964</v>
      </c>
      <c r="AH41" s="57">
        <f t="shared" si="29"/>
        <v>324.8730964</v>
      </c>
      <c r="AI41" s="57">
        <f t="shared" si="29"/>
        <v>324.8730964</v>
      </c>
      <c r="AJ41" s="57">
        <f t="shared" si="29"/>
        <v>324.8730964</v>
      </c>
      <c r="AK41" s="57">
        <f t="shared" si="29"/>
        <v>324.8730964</v>
      </c>
      <c r="AL41" s="57">
        <f t="shared" si="29"/>
        <v>324.8730964</v>
      </c>
      <c r="AM41" s="57">
        <f t="shared" si="29"/>
        <v>324.8730964</v>
      </c>
      <c r="AN41" s="57">
        <f t="shared" si="29"/>
        <v>324.8730964</v>
      </c>
      <c r="AO41" s="57">
        <f t="shared" si="29"/>
        <v>324.8730964</v>
      </c>
      <c r="AP41" s="57">
        <f t="shared" si="29"/>
        <v>324.8730964</v>
      </c>
      <c r="AQ41" s="57">
        <f t="shared" si="29"/>
        <v>324.8730964</v>
      </c>
      <c r="AR41" s="57">
        <f t="shared" si="29"/>
        <v>324.8730964</v>
      </c>
      <c r="AS41" s="57">
        <f t="shared" si="29"/>
        <v>324.8730964</v>
      </c>
      <c r="AT41" s="57">
        <f t="shared" si="29"/>
        <v>324.8730964</v>
      </c>
      <c r="AU41" s="57">
        <f t="shared" si="29"/>
        <v>324.8730964</v>
      </c>
      <c r="AV41" s="57">
        <f t="shared" si="29"/>
        <v>324.8730964</v>
      </c>
      <c r="AW41" s="57">
        <f t="shared" si="29"/>
        <v>324.8730964</v>
      </c>
      <c r="AX41" s="57">
        <f t="shared" si="29"/>
        <v>324.8730964</v>
      </c>
      <c r="AY41" s="57">
        <f t="shared" si="29"/>
        <v>324.8730964</v>
      </c>
      <c r="AZ41" s="57">
        <f t="shared" si="29"/>
        <v>324.8730964</v>
      </c>
      <c r="BA41" s="57">
        <f t="shared" si="29"/>
        <v>324.8730964</v>
      </c>
      <c r="BB41" s="57">
        <f t="shared" si="29"/>
        <v>324.8730964</v>
      </c>
      <c r="BC41" s="57">
        <f t="shared" si="29"/>
        <v>324.8730964</v>
      </c>
      <c r="BD41" s="57">
        <f t="shared" si="29"/>
        <v>324.8730964</v>
      </c>
      <c r="BE41" s="57">
        <f t="shared" si="29"/>
        <v>324.8730964</v>
      </c>
      <c r="BF41" s="57">
        <f t="shared" si="29"/>
        <v>324.8730964</v>
      </c>
      <c r="BG41" s="57">
        <f t="shared" si="29"/>
        <v>324.8730964</v>
      </c>
      <c r="BH41" s="57">
        <f t="shared" si="29"/>
        <v>324.8730964</v>
      </c>
      <c r="BI41" s="57">
        <f t="shared" si="29"/>
        <v>324.8730964</v>
      </c>
      <c r="BJ41" s="57">
        <f t="shared" si="29"/>
        <v>324.8730964</v>
      </c>
      <c r="BK41" s="57">
        <f t="shared" si="29"/>
        <v>324.8730964</v>
      </c>
      <c r="BL41" s="57">
        <f t="shared" si="29"/>
        <v>324.8730964</v>
      </c>
      <c r="BM41" s="57">
        <f t="shared" si="29"/>
        <v>324.8730964</v>
      </c>
      <c r="BN41" s="57">
        <f t="shared" si="29"/>
        <v>324.8730964</v>
      </c>
      <c r="BO41" s="57">
        <f t="shared" si="29"/>
        <v>324.8730964</v>
      </c>
      <c r="BP41" s="57">
        <f t="shared" si="29"/>
        <v>324.8730964</v>
      </c>
      <c r="BQ41" s="57">
        <f t="shared" si="29"/>
        <v>324.8730964</v>
      </c>
      <c r="BR41" s="57">
        <f t="shared" si="29"/>
        <v>324.8730964</v>
      </c>
      <c r="BS41" s="57">
        <f t="shared" si="29"/>
        <v>324.8730964</v>
      </c>
      <c r="BT41" s="57">
        <f t="shared" si="29"/>
        <v>324.8730964</v>
      </c>
      <c r="BU41" s="57">
        <f t="shared" si="29"/>
        <v>324.8730964</v>
      </c>
      <c r="BV41" s="57">
        <f t="shared" si="29"/>
        <v>324.8730964</v>
      </c>
      <c r="BW41" s="57">
        <f t="shared" si="29"/>
        <v>324.8730964</v>
      </c>
      <c r="BX41" s="57">
        <f t="shared" si="29"/>
        <v>324.8730964</v>
      </c>
      <c r="BY41" s="57">
        <f t="shared" si="29"/>
        <v>324.8730964</v>
      </c>
    </row>
    <row r="42" outlineLevel="1">
      <c r="A42" s="47"/>
      <c r="B42" s="39" t="s">
        <v>33</v>
      </c>
      <c r="C42" s="47"/>
      <c r="D42" s="87">
        <v>0.3</v>
      </c>
      <c r="E42" s="47"/>
      <c r="F42" s="47"/>
      <c r="G42" s="47"/>
      <c r="H42" s="47"/>
      <c r="I42" s="47"/>
      <c r="J42" s="47"/>
      <c r="K42" s="47"/>
      <c r="L42" s="47"/>
      <c r="M42" s="47"/>
      <c r="N42" s="47"/>
      <c r="O42" s="47"/>
      <c r="P42" s="47"/>
      <c r="Q42" s="47"/>
      <c r="R42" s="88">
        <f t="shared" ref="R42:R43" si="31">D42</f>
        <v>0.3</v>
      </c>
      <c r="S42" s="88">
        <f t="shared" ref="S42:BY42" si="30">R42</f>
        <v>0.3</v>
      </c>
      <c r="T42" s="88">
        <f t="shared" si="30"/>
        <v>0.3</v>
      </c>
      <c r="U42" s="88">
        <f t="shared" si="30"/>
        <v>0.3</v>
      </c>
      <c r="V42" s="88">
        <f t="shared" si="30"/>
        <v>0.3</v>
      </c>
      <c r="W42" s="88">
        <f t="shared" si="30"/>
        <v>0.3</v>
      </c>
      <c r="X42" s="88">
        <f t="shared" si="30"/>
        <v>0.3</v>
      </c>
      <c r="Y42" s="88">
        <f t="shared" si="30"/>
        <v>0.3</v>
      </c>
      <c r="Z42" s="88">
        <f t="shared" si="30"/>
        <v>0.3</v>
      </c>
      <c r="AA42" s="88">
        <f t="shared" si="30"/>
        <v>0.3</v>
      </c>
      <c r="AB42" s="88">
        <f t="shared" si="30"/>
        <v>0.3</v>
      </c>
      <c r="AC42" s="88">
        <f t="shared" si="30"/>
        <v>0.3</v>
      </c>
      <c r="AD42" s="88">
        <f t="shared" si="30"/>
        <v>0.3</v>
      </c>
      <c r="AE42" s="88">
        <f t="shared" si="30"/>
        <v>0.3</v>
      </c>
      <c r="AF42" s="88">
        <f t="shared" si="30"/>
        <v>0.3</v>
      </c>
      <c r="AG42" s="88">
        <f t="shared" si="30"/>
        <v>0.3</v>
      </c>
      <c r="AH42" s="88">
        <f t="shared" si="30"/>
        <v>0.3</v>
      </c>
      <c r="AI42" s="88">
        <f t="shared" si="30"/>
        <v>0.3</v>
      </c>
      <c r="AJ42" s="88">
        <f t="shared" si="30"/>
        <v>0.3</v>
      </c>
      <c r="AK42" s="88">
        <f t="shared" si="30"/>
        <v>0.3</v>
      </c>
      <c r="AL42" s="88">
        <f t="shared" si="30"/>
        <v>0.3</v>
      </c>
      <c r="AM42" s="88">
        <f t="shared" si="30"/>
        <v>0.3</v>
      </c>
      <c r="AN42" s="88">
        <f t="shared" si="30"/>
        <v>0.3</v>
      </c>
      <c r="AO42" s="88">
        <f t="shared" si="30"/>
        <v>0.3</v>
      </c>
      <c r="AP42" s="88">
        <f t="shared" si="30"/>
        <v>0.3</v>
      </c>
      <c r="AQ42" s="88">
        <f t="shared" si="30"/>
        <v>0.3</v>
      </c>
      <c r="AR42" s="88">
        <f t="shared" si="30"/>
        <v>0.3</v>
      </c>
      <c r="AS42" s="88">
        <f t="shared" si="30"/>
        <v>0.3</v>
      </c>
      <c r="AT42" s="88">
        <f t="shared" si="30"/>
        <v>0.3</v>
      </c>
      <c r="AU42" s="88">
        <f t="shared" si="30"/>
        <v>0.3</v>
      </c>
      <c r="AV42" s="88">
        <f t="shared" si="30"/>
        <v>0.3</v>
      </c>
      <c r="AW42" s="88">
        <f t="shared" si="30"/>
        <v>0.3</v>
      </c>
      <c r="AX42" s="88">
        <f t="shared" si="30"/>
        <v>0.3</v>
      </c>
      <c r="AY42" s="88">
        <f t="shared" si="30"/>
        <v>0.3</v>
      </c>
      <c r="AZ42" s="88">
        <f t="shared" si="30"/>
        <v>0.3</v>
      </c>
      <c r="BA42" s="88">
        <f t="shared" si="30"/>
        <v>0.3</v>
      </c>
      <c r="BB42" s="88">
        <f t="shared" si="30"/>
        <v>0.3</v>
      </c>
      <c r="BC42" s="88">
        <f t="shared" si="30"/>
        <v>0.3</v>
      </c>
      <c r="BD42" s="88">
        <f t="shared" si="30"/>
        <v>0.3</v>
      </c>
      <c r="BE42" s="88">
        <f t="shared" si="30"/>
        <v>0.3</v>
      </c>
      <c r="BF42" s="88">
        <f t="shared" si="30"/>
        <v>0.3</v>
      </c>
      <c r="BG42" s="88">
        <f t="shared" si="30"/>
        <v>0.3</v>
      </c>
      <c r="BH42" s="88">
        <f t="shared" si="30"/>
        <v>0.3</v>
      </c>
      <c r="BI42" s="88">
        <f t="shared" si="30"/>
        <v>0.3</v>
      </c>
      <c r="BJ42" s="88">
        <f t="shared" si="30"/>
        <v>0.3</v>
      </c>
      <c r="BK42" s="88">
        <f t="shared" si="30"/>
        <v>0.3</v>
      </c>
      <c r="BL42" s="88">
        <f t="shared" si="30"/>
        <v>0.3</v>
      </c>
      <c r="BM42" s="88">
        <f t="shared" si="30"/>
        <v>0.3</v>
      </c>
      <c r="BN42" s="88">
        <f t="shared" si="30"/>
        <v>0.3</v>
      </c>
      <c r="BO42" s="88">
        <f t="shared" si="30"/>
        <v>0.3</v>
      </c>
      <c r="BP42" s="88">
        <f t="shared" si="30"/>
        <v>0.3</v>
      </c>
      <c r="BQ42" s="88">
        <f t="shared" si="30"/>
        <v>0.3</v>
      </c>
      <c r="BR42" s="88">
        <f t="shared" si="30"/>
        <v>0.3</v>
      </c>
      <c r="BS42" s="88">
        <f t="shared" si="30"/>
        <v>0.3</v>
      </c>
      <c r="BT42" s="88">
        <f t="shared" si="30"/>
        <v>0.3</v>
      </c>
      <c r="BU42" s="88">
        <f t="shared" si="30"/>
        <v>0.3</v>
      </c>
      <c r="BV42" s="88">
        <f t="shared" si="30"/>
        <v>0.3</v>
      </c>
      <c r="BW42" s="88">
        <f t="shared" si="30"/>
        <v>0.3</v>
      </c>
      <c r="BX42" s="88">
        <f t="shared" si="30"/>
        <v>0.3</v>
      </c>
      <c r="BY42" s="88">
        <f t="shared" si="30"/>
        <v>0.3</v>
      </c>
    </row>
    <row r="43" outlineLevel="1">
      <c r="A43" s="47"/>
      <c r="B43" s="71" t="s">
        <v>16</v>
      </c>
      <c r="C43" s="59"/>
      <c r="D43" s="72">
        <v>0.05</v>
      </c>
      <c r="E43" s="61"/>
      <c r="F43" s="61"/>
      <c r="G43" s="61"/>
      <c r="H43" s="61"/>
      <c r="I43" s="61"/>
      <c r="J43" s="61"/>
      <c r="K43" s="61"/>
      <c r="L43" s="61"/>
      <c r="M43" s="61"/>
      <c r="N43" s="61"/>
      <c r="O43" s="61"/>
      <c r="P43" s="61"/>
      <c r="Q43" s="61"/>
      <c r="R43" s="62">
        <f t="shared" si="31"/>
        <v>0.05</v>
      </c>
      <c r="S43" s="62">
        <f t="shared" ref="S43:BY43" si="32">R43</f>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c r="BO43" s="62">
        <f t="shared" si="32"/>
        <v>0.05</v>
      </c>
      <c r="BP43" s="62">
        <f t="shared" si="32"/>
        <v>0.05</v>
      </c>
      <c r="BQ43" s="62">
        <f t="shared" si="32"/>
        <v>0.05</v>
      </c>
      <c r="BR43" s="62">
        <f t="shared" si="32"/>
        <v>0.05</v>
      </c>
      <c r="BS43" s="62">
        <f t="shared" si="32"/>
        <v>0.05</v>
      </c>
      <c r="BT43" s="62">
        <f t="shared" si="32"/>
        <v>0.05</v>
      </c>
      <c r="BU43" s="62">
        <f t="shared" si="32"/>
        <v>0.05</v>
      </c>
      <c r="BV43" s="62">
        <f t="shared" si="32"/>
        <v>0.05</v>
      </c>
      <c r="BW43" s="62">
        <f t="shared" si="32"/>
        <v>0.05</v>
      </c>
      <c r="BX43" s="62">
        <f t="shared" si="32"/>
        <v>0.05</v>
      </c>
      <c r="BY43" s="62">
        <f t="shared" si="32"/>
        <v>0.05</v>
      </c>
    </row>
    <row r="44" outlineLevel="1">
      <c r="A44" s="47"/>
      <c r="B44" s="73" t="s">
        <v>17</v>
      </c>
      <c r="C44" s="47"/>
      <c r="D44" s="63"/>
      <c r="E44" s="63"/>
      <c r="F44" s="63"/>
      <c r="G44" s="63"/>
      <c r="H44" s="63"/>
      <c r="I44" s="63"/>
      <c r="J44" s="63"/>
      <c r="K44" s="63"/>
      <c r="L44" s="63"/>
      <c r="M44" s="63"/>
      <c r="N44" s="63"/>
      <c r="O44" s="63"/>
      <c r="P44" s="63"/>
      <c r="Q44" s="63"/>
      <c r="R44" s="64">
        <f t="shared" ref="R44:BY44" si="33">R41*R42*R43</f>
        <v>0</v>
      </c>
      <c r="S44" s="64">
        <f t="shared" si="33"/>
        <v>4.7625</v>
      </c>
      <c r="T44" s="64">
        <f t="shared" si="33"/>
        <v>4.8714375</v>
      </c>
      <c r="U44" s="64">
        <f t="shared" si="33"/>
        <v>4.873071563</v>
      </c>
      <c r="V44" s="64">
        <f t="shared" si="33"/>
        <v>4.873096073</v>
      </c>
      <c r="W44" s="64">
        <f t="shared" si="33"/>
        <v>4.873096441</v>
      </c>
      <c r="X44" s="64">
        <f t="shared" si="33"/>
        <v>4.873096447</v>
      </c>
      <c r="Y44" s="64">
        <f t="shared" si="33"/>
        <v>4.873096447</v>
      </c>
      <c r="Z44" s="64">
        <f t="shared" si="33"/>
        <v>4.873096447</v>
      </c>
      <c r="AA44" s="64">
        <f t="shared" si="33"/>
        <v>4.873096447</v>
      </c>
      <c r="AB44" s="64">
        <f t="shared" si="33"/>
        <v>4.873096447</v>
      </c>
      <c r="AC44" s="64">
        <f t="shared" si="33"/>
        <v>4.873096447</v>
      </c>
      <c r="AD44" s="64">
        <f t="shared" si="33"/>
        <v>4.873096447</v>
      </c>
      <c r="AE44" s="64">
        <f t="shared" si="33"/>
        <v>4.873096447</v>
      </c>
      <c r="AF44" s="64">
        <f t="shared" si="33"/>
        <v>4.873096447</v>
      </c>
      <c r="AG44" s="64">
        <f t="shared" si="33"/>
        <v>4.873096447</v>
      </c>
      <c r="AH44" s="64">
        <f t="shared" si="33"/>
        <v>4.873096447</v>
      </c>
      <c r="AI44" s="64">
        <f t="shared" si="33"/>
        <v>4.873096447</v>
      </c>
      <c r="AJ44" s="64">
        <f t="shared" si="33"/>
        <v>4.873096447</v>
      </c>
      <c r="AK44" s="64">
        <f t="shared" si="33"/>
        <v>4.873096447</v>
      </c>
      <c r="AL44" s="64">
        <f t="shared" si="33"/>
        <v>4.873096447</v>
      </c>
      <c r="AM44" s="64">
        <f t="shared" si="33"/>
        <v>4.873096447</v>
      </c>
      <c r="AN44" s="64">
        <f t="shared" si="33"/>
        <v>4.873096447</v>
      </c>
      <c r="AO44" s="64">
        <f t="shared" si="33"/>
        <v>4.873096447</v>
      </c>
      <c r="AP44" s="64">
        <f t="shared" si="33"/>
        <v>4.873096447</v>
      </c>
      <c r="AQ44" s="64">
        <f t="shared" si="33"/>
        <v>4.873096447</v>
      </c>
      <c r="AR44" s="64">
        <f t="shared" si="33"/>
        <v>4.873096447</v>
      </c>
      <c r="AS44" s="64">
        <f t="shared" si="33"/>
        <v>4.873096447</v>
      </c>
      <c r="AT44" s="64">
        <f t="shared" si="33"/>
        <v>4.873096447</v>
      </c>
      <c r="AU44" s="64">
        <f t="shared" si="33"/>
        <v>4.873096447</v>
      </c>
      <c r="AV44" s="64">
        <f t="shared" si="33"/>
        <v>4.873096447</v>
      </c>
      <c r="AW44" s="64">
        <f t="shared" si="33"/>
        <v>4.873096447</v>
      </c>
      <c r="AX44" s="64">
        <f t="shared" si="33"/>
        <v>4.873096447</v>
      </c>
      <c r="AY44" s="64">
        <f t="shared" si="33"/>
        <v>4.873096447</v>
      </c>
      <c r="AZ44" s="64">
        <f t="shared" si="33"/>
        <v>4.873096447</v>
      </c>
      <c r="BA44" s="64">
        <f t="shared" si="33"/>
        <v>4.873096447</v>
      </c>
      <c r="BB44" s="64">
        <f t="shared" si="33"/>
        <v>4.873096447</v>
      </c>
      <c r="BC44" s="64">
        <f t="shared" si="33"/>
        <v>4.873096447</v>
      </c>
      <c r="BD44" s="64">
        <f t="shared" si="33"/>
        <v>4.873096447</v>
      </c>
      <c r="BE44" s="64">
        <f t="shared" si="33"/>
        <v>4.873096447</v>
      </c>
      <c r="BF44" s="64">
        <f t="shared" si="33"/>
        <v>4.873096447</v>
      </c>
      <c r="BG44" s="64">
        <f t="shared" si="33"/>
        <v>4.873096447</v>
      </c>
      <c r="BH44" s="64">
        <f t="shared" si="33"/>
        <v>4.873096447</v>
      </c>
      <c r="BI44" s="64">
        <f t="shared" si="33"/>
        <v>4.873096447</v>
      </c>
      <c r="BJ44" s="64">
        <f t="shared" si="33"/>
        <v>4.873096447</v>
      </c>
      <c r="BK44" s="64">
        <f t="shared" si="33"/>
        <v>4.873096447</v>
      </c>
      <c r="BL44" s="64">
        <f t="shared" si="33"/>
        <v>4.873096447</v>
      </c>
      <c r="BM44" s="64">
        <f t="shared" si="33"/>
        <v>4.873096447</v>
      </c>
      <c r="BN44" s="64">
        <f t="shared" si="33"/>
        <v>4.873096447</v>
      </c>
      <c r="BO44" s="64">
        <f t="shared" si="33"/>
        <v>4.873096447</v>
      </c>
      <c r="BP44" s="64">
        <f t="shared" si="33"/>
        <v>4.873096447</v>
      </c>
      <c r="BQ44" s="64">
        <f t="shared" si="33"/>
        <v>4.873096447</v>
      </c>
      <c r="BR44" s="64">
        <f t="shared" si="33"/>
        <v>4.873096447</v>
      </c>
      <c r="BS44" s="64">
        <f t="shared" si="33"/>
        <v>4.873096447</v>
      </c>
      <c r="BT44" s="64">
        <f t="shared" si="33"/>
        <v>4.873096447</v>
      </c>
      <c r="BU44" s="64">
        <f t="shared" si="33"/>
        <v>4.873096447</v>
      </c>
      <c r="BV44" s="64">
        <f t="shared" si="33"/>
        <v>4.873096447</v>
      </c>
      <c r="BW44" s="64">
        <f t="shared" si="33"/>
        <v>4.873096447</v>
      </c>
      <c r="BX44" s="64">
        <f t="shared" si="33"/>
        <v>4.873096447</v>
      </c>
      <c r="BY44" s="64">
        <f t="shared" si="33"/>
        <v>4.873096447</v>
      </c>
    </row>
    <row r="45" outlineLevel="1">
      <c r="A45" s="47"/>
      <c r="B45" s="65"/>
      <c r="C45" s="47"/>
      <c r="D45" s="47"/>
      <c r="E45" s="47"/>
      <c r="F45" s="47"/>
      <c r="G45" s="47"/>
      <c r="H45" s="47"/>
      <c r="I45" s="47"/>
      <c r="J45" s="47"/>
      <c r="K45" s="47"/>
      <c r="L45" s="47"/>
      <c r="M45" s="47"/>
      <c r="N45" s="47"/>
      <c r="O45" s="47"/>
      <c r="P45" s="47"/>
      <c r="Q45" s="47"/>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row>
    <row r="46" outlineLevel="1">
      <c r="A46" s="47"/>
      <c r="B46" s="65" t="s">
        <v>34</v>
      </c>
      <c r="C46" s="47"/>
      <c r="D46" s="47"/>
      <c r="E46" s="47"/>
      <c r="F46" s="47"/>
      <c r="G46" s="47"/>
      <c r="H46" s="47"/>
      <c r="I46" s="47"/>
      <c r="J46" s="47"/>
      <c r="K46" s="47"/>
      <c r="L46" s="47"/>
      <c r="M46" s="47"/>
      <c r="N46" s="47"/>
      <c r="O46" s="47"/>
      <c r="P46" s="47"/>
      <c r="Q46" s="47"/>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row>
    <row r="47" outlineLevel="1">
      <c r="A47" s="47"/>
      <c r="B47" s="39" t="s">
        <v>35</v>
      </c>
      <c r="C47" s="47"/>
      <c r="D47" s="76">
        <v>2.0</v>
      </c>
      <c r="E47" s="47"/>
      <c r="F47" s="47"/>
      <c r="G47" s="47"/>
      <c r="H47" s="47"/>
      <c r="I47" s="47"/>
      <c r="J47" s="47"/>
      <c r="K47" s="47"/>
      <c r="L47" s="47"/>
      <c r="M47" s="47"/>
      <c r="N47" s="47"/>
      <c r="O47" s="47"/>
      <c r="P47" s="47"/>
      <c r="Q47" s="47"/>
      <c r="R47" s="57">
        <f t="shared" ref="R47:R49" si="35">D47</f>
        <v>2</v>
      </c>
      <c r="S47" s="57">
        <f t="shared" ref="S47:BY47" si="34">R47</f>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c r="BO47" s="57">
        <f t="shared" si="34"/>
        <v>2</v>
      </c>
      <c r="BP47" s="57">
        <f t="shared" si="34"/>
        <v>2</v>
      </c>
      <c r="BQ47" s="57">
        <f t="shared" si="34"/>
        <v>2</v>
      </c>
      <c r="BR47" s="57">
        <f t="shared" si="34"/>
        <v>2</v>
      </c>
      <c r="BS47" s="57">
        <f t="shared" si="34"/>
        <v>2</v>
      </c>
      <c r="BT47" s="57">
        <f t="shared" si="34"/>
        <v>2</v>
      </c>
      <c r="BU47" s="57">
        <f t="shared" si="34"/>
        <v>2</v>
      </c>
      <c r="BV47" s="57">
        <f t="shared" si="34"/>
        <v>2</v>
      </c>
      <c r="BW47" s="57">
        <f t="shared" si="34"/>
        <v>2</v>
      </c>
      <c r="BX47" s="57">
        <f t="shared" si="34"/>
        <v>2</v>
      </c>
      <c r="BY47" s="57">
        <f t="shared" si="34"/>
        <v>2</v>
      </c>
    </row>
    <row r="48" outlineLevel="1">
      <c r="A48" s="47"/>
      <c r="B48" s="39" t="s">
        <v>36</v>
      </c>
      <c r="C48" s="47"/>
      <c r="D48" s="76">
        <v>100.0</v>
      </c>
      <c r="E48" s="47"/>
      <c r="F48" s="47"/>
      <c r="G48" s="47"/>
      <c r="H48" s="47"/>
      <c r="I48" s="47"/>
      <c r="J48" s="47"/>
      <c r="K48" s="47"/>
      <c r="L48" s="47"/>
      <c r="M48" s="47"/>
      <c r="N48" s="47"/>
      <c r="O48" s="47"/>
      <c r="P48" s="47"/>
      <c r="Q48" s="47"/>
      <c r="R48" s="78">
        <f t="shared" si="35"/>
        <v>100</v>
      </c>
      <c r="S48" s="78">
        <f t="shared" ref="S48:BY48" si="36">R48</f>
        <v>100</v>
      </c>
      <c r="T48" s="78">
        <f t="shared" si="36"/>
        <v>100</v>
      </c>
      <c r="U48" s="78">
        <f t="shared" si="36"/>
        <v>100</v>
      </c>
      <c r="V48" s="78">
        <f t="shared" si="36"/>
        <v>100</v>
      </c>
      <c r="W48" s="78">
        <f t="shared" si="36"/>
        <v>100</v>
      </c>
      <c r="X48" s="78">
        <f t="shared" si="36"/>
        <v>100</v>
      </c>
      <c r="Y48" s="78">
        <f t="shared" si="36"/>
        <v>100</v>
      </c>
      <c r="Z48" s="78">
        <f t="shared" si="36"/>
        <v>100</v>
      </c>
      <c r="AA48" s="78">
        <f t="shared" si="36"/>
        <v>100</v>
      </c>
      <c r="AB48" s="78">
        <f t="shared" si="36"/>
        <v>100</v>
      </c>
      <c r="AC48" s="78">
        <f t="shared" si="36"/>
        <v>100</v>
      </c>
      <c r="AD48" s="78">
        <f t="shared" si="36"/>
        <v>100</v>
      </c>
      <c r="AE48" s="78">
        <f t="shared" si="36"/>
        <v>100</v>
      </c>
      <c r="AF48" s="78">
        <f t="shared" si="36"/>
        <v>100</v>
      </c>
      <c r="AG48" s="78">
        <f t="shared" si="36"/>
        <v>100</v>
      </c>
      <c r="AH48" s="78">
        <f t="shared" si="36"/>
        <v>100</v>
      </c>
      <c r="AI48" s="78">
        <f t="shared" si="36"/>
        <v>100</v>
      </c>
      <c r="AJ48" s="78">
        <f t="shared" si="36"/>
        <v>100</v>
      </c>
      <c r="AK48" s="78">
        <f t="shared" si="36"/>
        <v>100</v>
      </c>
      <c r="AL48" s="78">
        <f t="shared" si="36"/>
        <v>100</v>
      </c>
      <c r="AM48" s="78">
        <f t="shared" si="36"/>
        <v>100</v>
      </c>
      <c r="AN48" s="78">
        <f t="shared" si="36"/>
        <v>100</v>
      </c>
      <c r="AO48" s="78">
        <f t="shared" si="36"/>
        <v>100</v>
      </c>
      <c r="AP48" s="78">
        <f t="shared" si="36"/>
        <v>100</v>
      </c>
      <c r="AQ48" s="78">
        <f t="shared" si="36"/>
        <v>100</v>
      </c>
      <c r="AR48" s="78">
        <f t="shared" si="36"/>
        <v>100</v>
      </c>
      <c r="AS48" s="78">
        <f t="shared" si="36"/>
        <v>100</v>
      </c>
      <c r="AT48" s="78">
        <f t="shared" si="36"/>
        <v>100</v>
      </c>
      <c r="AU48" s="78">
        <f t="shared" si="36"/>
        <v>100</v>
      </c>
      <c r="AV48" s="78">
        <f t="shared" si="36"/>
        <v>100</v>
      </c>
      <c r="AW48" s="78">
        <f t="shared" si="36"/>
        <v>100</v>
      </c>
      <c r="AX48" s="78">
        <f t="shared" si="36"/>
        <v>100</v>
      </c>
      <c r="AY48" s="78">
        <f t="shared" si="36"/>
        <v>100</v>
      </c>
      <c r="AZ48" s="78">
        <f t="shared" si="36"/>
        <v>100</v>
      </c>
      <c r="BA48" s="78">
        <f t="shared" si="36"/>
        <v>100</v>
      </c>
      <c r="BB48" s="78">
        <f t="shared" si="36"/>
        <v>100</v>
      </c>
      <c r="BC48" s="78">
        <f t="shared" si="36"/>
        <v>100</v>
      </c>
      <c r="BD48" s="78">
        <f t="shared" si="36"/>
        <v>100</v>
      </c>
      <c r="BE48" s="78">
        <f t="shared" si="36"/>
        <v>100</v>
      </c>
      <c r="BF48" s="78">
        <f t="shared" si="36"/>
        <v>100</v>
      </c>
      <c r="BG48" s="78">
        <f t="shared" si="36"/>
        <v>100</v>
      </c>
      <c r="BH48" s="78">
        <f t="shared" si="36"/>
        <v>100</v>
      </c>
      <c r="BI48" s="78">
        <f t="shared" si="36"/>
        <v>100</v>
      </c>
      <c r="BJ48" s="78">
        <f t="shared" si="36"/>
        <v>100</v>
      </c>
      <c r="BK48" s="78">
        <f t="shared" si="36"/>
        <v>100</v>
      </c>
      <c r="BL48" s="78">
        <f t="shared" si="36"/>
        <v>100</v>
      </c>
      <c r="BM48" s="78">
        <f t="shared" si="36"/>
        <v>100</v>
      </c>
      <c r="BN48" s="78">
        <f t="shared" si="36"/>
        <v>100</v>
      </c>
      <c r="BO48" s="78">
        <f t="shared" si="36"/>
        <v>100</v>
      </c>
      <c r="BP48" s="78">
        <f t="shared" si="36"/>
        <v>100</v>
      </c>
      <c r="BQ48" s="78">
        <f t="shared" si="36"/>
        <v>100</v>
      </c>
      <c r="BR48" s="78">
        <f t="shared" si="36"/>
        <v>100</v>
      </c>
      <c r="BS48" s="78">
        <f t="shared" si="36"/>
        <v>100</v>
      </c>
      <c r="BT48" s="78">
        <f t="shared" si="36"/>
        <v>100</v>
      </c>
      <c r="BU48" s="78">
        <f t="shared" si="36"/>
        <v>100</v>
      </c>
      <c r="BV48" s="78">
        <f t="shared" si="36"/>
        <v>100</v>
      </c>
      <c r="BW48" s="78">
        <f t="shared" si="36"/>
        <v>100</v>
      </c>
      <c r="BX48" s="78">
        <f t="shared" si="36"/>
        <v>100</v>
      </c>
      <c r="BY48" s="78">
        <f t="shared" si="36"/>
        <v>100</v>
      </c>
    </row>
    <row r="49" outlineLevel="1">
      <c r="A49" s="47"/>
      <c r="B49" s="71" t="s">
        <v>16</v>
      </c>
      <c r="C49" s="59"/>
      <c r="D49" s="72">
        <v>0.05</v>
      </c>
      <c r="E49" s="61"/>
      <c r="F49" s="61"/>
      <c r="G49" s="61"/>
      <c r="H49" s="61"/>
      <c r="I49" s="61"/>
      <c r="J49" s="61"/>
      <c r="K49" s="61"/>
      <c r="L49" s="61"/>
      <c r="M49" s="61"/>
      <c r="N49" s="61"/>
      <c r="O49" s="61"/>
      <c r="P49" s="61"/>
      <c r="Q49" s="61"/>
      <c r="R49" s="62">
        <f t="shared" si="35"/>
        <v>0.05</v>
      </c>
      <c r="S49" s="62">
        <f t="shared" ref="S49:BY49" si="37">R49</f>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c r="BO49" s="62">
        <f t="shared" si="37"/>
        <v>0.05</v>
      </c>
      <c r="BP49" s="62">
        <f t="shared" si="37"/>
        <v>0.05</v>
      </c>
      <c r="BQ49" s="62">
        <f t="shared" si="37"/>
        <v>0.05</v>
      </c>
      <c r="BR49" s="62">
        <f t="shared" si="37"/>
        <v>0.05</v>
      </c>
      <c r="BS49" s="62">
        <f t="shared" si="37"/>
        <v>0.05</v>
      </c>
      <c r="BT49" s="62">
        <f t="shared" si="37"/>
        <v>0.05</v>
      </c>
      <c r="BU49" s="62">
        <f t="shared" si="37"/>
        <v>0.05</v>
      </c>
      <c r="BV49" s="62">
        <f t="shared" si="37"/>
        <v>0.05</v>
      </c>
      <c r="BW49" s="62">
        <f t="shared" si="37"/>
        <v>0.05</v>
      </c>
      <c r="BX49" s="62">
        <f t="shared" si="37"/>
        <v>0.05</v>
      </c>
      <c r="BY49" s="62">
        <f t="shared" si="37"/>
        <v>0.05</v>
      </c>
    </row>
    <row r="50" outlineLevel="1">
      <c r="A50" s="47"/>
      <c r="B50" s="73" t="s">
        <v>17</v>
      </c>
      <c r="C50" s="47"/>
      <c r="D50" s="63"/>
      <c r="E50" s="63"/>
      <c r="F50" s="63"/>
      <c r="G50" s="63"/>
      <c r="H50" s="63"/>
      <c r="I50" s="63"/>
      <c r="J50" s="63"/>
      <c r="K50" s="63"/>
      <c r="L50" s="63"/>
      <c r="M50" s="63"/>
      <c r="N50" s="63"/>
      <c r="O50" s="63"/>
      <c r="P50" s="63"/>
      <c r="Q50" s="63"/>
      <c r="R50" s="64">
        <f t="shared" ref="R50:BY50" si="38">R47*R48*R49</f>
        <v>10</v>
      </c>
      <c r="S50" s="64">
        <f t="shared" si="38"/>
        <v>10</v>
      </c>
      <c r="T50" s="64">
        <f t="shared" si="38"/>
        <v>10</v>
      </c>
      <c r="U50" s="64">
        <f t="shared" si="38"/>
        <v>10</v>
      </c>
      <c r="V50" s="64">
        <f t="shared" si="38"/>
        <v>10</v>
      </c>
      <c r="W50" s="64">
        <f t="shared" si="38"/>
        <v>10</v>
      </c>
      <c r="X50" s="64">
        <f t="shared" si="38"/>
        <v>10</v>
      </c>
      <c r="Y50" s="64">
        <f t="shared" si="38"/>
        <v>10</v>
      </c>
      <c r="Z50" s="64">
        <f t="shared" si="38"/>
        <v>10</v>
      </c>
      <c r="AA50" s="64">
        <f t="shared" si="38"/>
        <v>10</v>
      </c>
      <c r="AB50" s="64">
        <f t="shared" si="38"/>
        <v>10</v>
      </c>
      <c r="AC50" s="64">
        <f t="shared" si="38"/>
        <v>10</v>
      </c>
      <c r="AD50" s="64">
        <f t="shared" si="38"/>
        <v>10</v>
      </c>
      <c r="AE50" s="64">
        <f t="shared" si="38"/>
        <v>10</v>
      </c>
      <c r="AF50" s="64">
        <f t="shared" si="38"/>
        <v>10</v>
      </c>
      <c r="AG50" s="64">
        <f t="shared" si="38"/>
        <v>10</v>
      </c>
      <c r="AH50" s="64">
        <f t="shared" si="38"/>
        <v>10</v>
      </c>
      <c r="AI50" s="64">
        <f t="shared" si="38"/>
        <v>10</v>
      </c>
      <c r="AJ50" s="64">
        <f t="shared" si="38"/>
        <v>10</v>
      </c>
      <c r="AK50" s="64">
        <f t="shared" si="38"/>
        <v>10</v>
      </c>
      <c r="AL50" s="64">
        <f t="shared" si="38"/>
        <v>10</v>
      </c>
      <c r="AM50" s="64">
        <f t="shared" si="38"/>
        <v>10</v>
      </c>
      <c r="AN50" s="64">
        <f t="shared" si="38"/>
        <v>10</v>
      </c>
      <c r="AO50" s="64">
        <f t="shared" si="38"/>
        <v>10</v>
      </c>
      <c r="AP50" s="64">
        <f t="shared" si="38"/>
        <v>10</v>
      </c>
      <c r="AQ50" s="64">
        <f t="shared" si="38"/>
        <v>10</v>
      </c>
      <c r="AR50" s="64">
        <f t="shared" si="38"/>
        <v>10</v>
      </c>
      <c r="AS50" s="64">
        <f t="shared" si="38"/>
        <v>10</v>
      </c>
      <c r="AT50" s="64">
        <f t="shared" si="38"/>
        <v>10</v>
      </c>
      <c r="AU50" s="64">
        <f t="shared" si="38"/>
        <v>10</v>
      </c>
      <c r="AV50" s="64">
        <f t="shared" si="38"/>
        <v>10</v>
      </c>
      <c r="AW50" s="64">
        <f t="shared" si="38"/>
        <v>10</v>
      </c>
      <c r="AX50" s="64">
        <f t="shared" si="38"/>
        <v>10</v>
      </c>
      <c r="AY50" s="64">
        <f t="shared" si="38"/>
        <v>10</v>
      </c>
      <c r="AZ50" s="64">
        <f t="shared" si="38"/>
        <v>10</v>
      </c>
      <c r="BA50" s="64">
        <f t="shared" si="38"/>
        <v>10</v>
      </c>
      <c r="BB50" s="64">
        <f t="shared" si="38"/>
        <v>10</v>
      </c>
      <c r="BC50" s="64">
        <f t="shared" si="38"/>
        <v>10</v>
      </c>
      <c r="BD50" s="64">
        <f t="shared" si="38"/>
        <v>10</v>
      </c>
      <c r="BE50" s="64">
        <f t="shared" si="38"/>
        <v>10</v>
      </c>
      <c r="BF50" s="64">
        <f t="shared" si="38"/>
        <v>10</v>
      </c>
      <c r="BG50" s="64">
        <f t="shared" si="38"/>
        <v>10</v>
      </c>
      <c r="BH50" s="64">
        <f t="shared" si="38"/>
        <v>10</v>
      </c>
      <c r="BI50" s="64">
        <f t="shared" si="38"/>
        <v>10</v>
      </c>
      <c r="BJ50" s="64">
        <f t="shared" si="38"/>
        <v>10</v>
      </c>
      <c r="BK50" s="64">
        <f t="shared" si="38"/>
        <v>10</v>
      </c>
      <c r="BL50" s="64">
        <f t="shared" si="38"/>
        <v>10</v>
      </c>
      <c r="BM50" s="64">
        <f t="shared" si="38"/>
        <v>10</v>
      </c>
      <c r="BN50" s="64">
        <f t="shared" si="38"/>
        <v>10</v>
      </c>
      <c r="BO50" s="64">
        <f t="shared" si="38"/>
        <v>10</v>
      </c>
      <c r="BP50" s="64">
        <f t="shared" si="38"/>
        <v>10</v>
      </c>
      <c r="BQ50" s="64">
        <f t="shared" si="38"/>
        <v>10</v>
      </c>
      <c r="BR50" s="64">
        <f t="shared" si="38"/>
        <v>10</v>
      </c>
      <c r="BS50" s="64">
        <f t="shared" si="38"/>
        <v>10</v>
      </c>
      <c r="BT50" s="64">
        <f t="shared" si="38"/>
        <v>10</v>
      </c>
      <c r="BU50" s="64">
        <f t="shared" si="38"/>
        <v>10</v>
      </c>
      <c r="BV50" s="64">
        <f t="shared" si="38"/>
        <v>10</v>
      </c>
      <c r="BW50" s="64">
        <f t="shared" si="38"/>
        <v>10</v>
      </c>
      <c r="BX50" s="64">
        <f t="shared" si="38"/>
        <v>10</v>
      </c>
      <c r="BY50" s="64">
        <f t="shared" si="38"/>
        <v>10</v>
      </c>
    </row>
    <row r="51" outlineLevel="1">
      <c r="A51" s="47"/>
      <c r="B51" s="73"/>
      <c r="C51" s="47"/>
      <c r="D51" s="47"/>
      <c r="E51" s="47"/>
      <c r="F51" s="47"/>
      <c r="G51" s="47"/>
      <c r="H51" s="47"/>
      <c r="I51" s="47"/>
      <c r="J51" s="47"/>
      <c r="K51" s="47"/>
      <c r="L51" s="47"/>
      <c r="M51" s="47"/>
      <c r="N51" s="47"/>
      <c r="O51" s="47"/>
      <c r="P51" s="47"/>
      <c r="Q51" s="47"/>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c r="BP51" s="75"/>
      <c r="BQ51" s="75"/>
      <c r="BR51" s="75"/>
      <c r="BS51" s="75"/>
      <c r="BT51" s="75"/>
      <c r="BU51" s="75"/>
      <c r="BV51" s="75"/>
      <c r="BW51" s="75"/>
      <c r="BX51" s="75"/>
      <c r="BY51" s="75"/>
    </row>
    <row r="52" outlineLevel="1">
      <c r="A52" s="80"/>
      <c r="B52" s="65" t="s">
        <v>37</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row>
    <row r="53" outlineLevel="1">
      <c r="A53" s="80"/>
      <c r="B53" s="39" t="s">
        <v>38</v>
      </c>
      <c r="C53" s="80"/>
      <c r="D53" s="76">
        <v>2000.0</v>
      </c>
      <c r="E53" s="80"/>
      <c r="F53" s="80"/>
      <c r="G53" s="80"/>
      <c r="H53" s="80"/>
      <c r="I53" s="80"/>
      <c r="J53" s="80"/>
      <c r="K53" s="80"/>
      <c r="L53" s="80"/>
      <c r="M53" s="80"/>
      <c r="N53" s="80"/>
      <c r="O53" s="80"/>
      <c r="P53" s="80"/>
      <c r="Q53" s="80"/>
      <c r="R53" s="57">
        <f t="shared" ref="R53:R56" si="40">D53</f>
        <v>2000</v>
      </c>
      <c r="S53" s="57">
        <f t="shared" ref="S53:BY53" si="39">R53</f>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c r="BO53" s="57">
        <f t="shared" si="39"/>
        <v>2000</v>
      </c>
      <c r="BP53" s="57">
        <f t="shared" si="39"/>
        <v>2000</v>
      </c>
      <c r="BQ53" s="57">
        <f t="shared" si="39"/>
        <v>2000</v>
      </c>
      <c r="BR53" s="57">
        <f t="shared" si="39"/>
        <v>2000</v>
      </c>
      <c r="BS53" s="57">
        <f t="shared" si="39"/>
        <v>2000</v>
      </c>
      <c r="BT53" s="57">
        <f t="shared" si="39"/>
        <v>2000</v>
      </c>
      <c r="BU53" s="57">
        <f t="shared" si="39"/>
        <v>2000</v>
      </c>
      <c r="BV53" s="57">
        <f t="shared" si="39"/>
        <v>2000</v>
      </c>
      <c r="BW53" s="57">
        <f t="shared" si="39"/>
        <v>2000</v>
      </c>
      <c r="BX53" s="57">
        <f t="shared" si="39"/>
        <v>2000</v>
      </c>
      <c r="BY53" s="57">
        <f t="shared" si="39"/>
        <v>2000</v>
      </c>
    </row>
    <row r="54" outlineLevel="1">
      <c r="A54" s="47"/>
      <c r="B54" s="39" t="s">
        <v>39</v>
      </c>
      <c r="C54" s="47"/>
      <c r="D54" s="76">
        <v>2.0</v>
      </c>
      <c r="E54" s="47"/>
      <c r="F54" s="47"/>
      <c r="G54" s="47"/>
      <c r="H54" s="47"/>
      <c r="I54" s="47"/>
      <c r="J54" s="47"/>
      <c r="K54" s="47"/>
      <c r="L54" s="47"/>
      <c r="M54" s="47"/>
      <c r="N54" s="47"/>
      <c r="O54" s="47"/>
      <c r="P54" s="47"/>
      <c r="Q54" s="47"/>
      <c r="R54" s="78">
        <f t="shared" si="40"/>
        <v>2</v>
      </c>
      <c r="S54" s="78">
        <f t="shared" ref="S54:BY54" si="41">R54</f>
        <v>2</v>
      </c>
      <c r="T54" s="78">
        <f t="shared" si="41"/>
        <v>2</v>
      </c>
      <c r="U54" s="78">
        <f t="shared" si="41"/>
        <v>2</v>
      </c>
      <c r="V54" s="78">
        <f t="shared" si="41"/>
        <v>2</v>
      </c>
      <c r="W54" s="78">
        <f t="shared" si="41"/>
        <v>2</v>
      </c>
      <c r="X54" s="78">
        <f t="shared" si="41"/>
        <v>2</v>
      </c>
      <c r="Y54" s="78">
        <f t="shared" si="41"/>
        <v>2</v>
      </c>
      <c r="Z54" s="78">
        <f t="shared" si="41"/>
        <v>2</v>
      </c>
      <c r="AA54" s="78">
        <f t="shared" si="41"/>
        <v>2</v>
      </c>
      <c r="AB54" s="78">
        <f t="shared" si="41"/>
        <v>2</v>
      </c>
      <c r="AC54" s="78">
        <f t="shared" si="41"/>
        <v>2</v>
      </c>
      <c r="AD54" s="78">
        <f t="shared" si="41"/>
        <v>2</v>
      </c>
      <c r="AE54" s="78">
        <f t="shared" si="41"/>
        <v>2</v>
      </c>
      <c r="AF54" s="78">
        <f t="shared" si="41"/>
        <v>2</v>
      </c>
      <c r="AG54" s="78">
        <f t="shared" si="41"/>
        <v>2</v>
      </c>
      <c r="AH54" s="78">
        <f t="shared" si="41"/>
        <v>2</v>
      </c>
      <c r="AI54" s="78">
        <f t="shared" si="41"/>
        <v>2</v>
      </c>
      <c r="AJ54" s="78">
        <f t="shared" si="41"/>
        <v>2</v>
      </c>
      <c r="AK54" s="78">
        <f t="shared" si="41"/>
        <v>2</v>
      </c>
      <c r="AL54" s="78">
        <f t="shared" si="41"/>
        <v>2</v>
      </c>
      <c r="AM54" s="78">
        <f t="shared" si="41"/>
        <v>2</v>
      </c>
      <c r="AN54" s="78">
        <f t="shared" si="41"/>
        <v>2</v>
      </c>
      <c r="AO54" s="78">
        <f t="shared" si="41"/>
        <v>2</v>
      </c>
      <c r="AP54" s="78">
        <f t="shared" si="41"/>
        <v>2</v>
      </c>
      <c r="AQ54" s="78">
        <f t="shared" si="41"/>
        <v>2</v>
      </c>
      <c r="AR54" s="78">
        <f t="shared" si="41"/>
        <v>2</v>
      </c>
      <c r="AS54" s="78">
        <f t="shared" si="41"/>
        <v>2</v>
      </c>
      <c r="AT54" s="78">
        <f t="shared" si="41"/>
        <v>2</v>
      </c>
      <c r="AU54" s="78">
        <f t="shared" si="41"/>
        <v>2</v>
      </c>
      <c r="AV54" s="78">
        <f t="shared" si="41"/>
        <v>2</v>
      </c>
      <c r="AW54" s="78">
        <f t="shared" si="41"/>
        <v>2</v>
      </c>
      <c r="AX54" s="78">
        <f t="shared" si="41"/>
        <v>2</v>
      </c>
      <c r="AY54" s="78">
        <f t="shared" si="41"/>
        <v>2</v>
      </c>
      <c r="AZ54" s="78">
        <f t="shared" si="41"/>
        <v>2</v>
      </c>
      <c r="BA54" s="78">
        <f t="shared" si="41"/>
        <v>2</v>
      </c>
      <c r="BB54" s="78">
        <f t="shared" si="41"/>
        <v>2</v>
      </c>
      <c r="BC54" s="78">
        <f t="shared" si="41"/>
        <v>2</v>
      </c>
      <c r="BD54" s="78">
        <f t="shared" si="41"/>
        <v>2</v>
      </c>
      <c r="BE54" s="78">
        <f t="shared" si="41"/>
        <v>2</v>
      </c>
      <c r="BF54" s="78">
        <f t="shared" si="41"/>
        <v>2</v>
      </c>
      <c r="BG54" s="78">
        <f t="shared" si="41"/>
        <v>2</v>
      </c>
      <c r="BH54" s="78">
        <f t="shared" si="41"/>
        <v>2</v>
      </c>
      <c r="BI54" s="78">
        <f t="shared" si="41"/>
        <v>2</v>
      </c>
      <c r="BJ54" s="78">
        <f t="shared" si="41"/>
        <v>2</v>
      </c>
      <c r="BK54" s="78">
        <f t="shared" si="41"/>
        <v>2</v>
      </c>
      <c r="BL54" s="78">
        <f t="shared" si="41"/>
        <v>2</v>
      </c>
      <c r="BM54" s="78">
        <f t="shared" si="41"/>
        <v>2</v>
      </c>
      <c r="BN54" s="78">
        <f t="shared" si="41"/>
        <v>2</v>
      </c>
      <c r="BO54" s="78">
        <f t="shared" si="41"/>
        <v>2</v>
      </c>
      <c r="BP54" s="78">
        <f t="shared" si="41"/>
        <v>2</v>
      </c>
      <c r="BQ54" s="78">
        <f t="shared" si="41"/>
        <v>2</v>
      </c>
      <c r="BR54" s="78">
        <f t="shared" si="41"/>
        <v>2</v>
      </c>
      <c r="BS54" s="78">
        <f t="shared" si="41"/>
        <v>2</v>
      </c>
      <c r="BT54" s="78">
        <f t="shared" si="41"/>
        <v>2</v>
      </c>
      <c r="BU54" s="78">
        <f t="shared" si="41"/>
        <v>2</v>
      </c>
      <c r="BV54" s="78">
        <f t="shared" si="41"/>
        <v>2</v>
      </c>
      <c r="BW54" s="78">
        <f t="shared" si="41"/>
        <v>2</v>
      </c>
      <c r="BX54" s="78">
        <f t="shared" si="41"/>
        <v>2</v>
      </c>
      <c r="BY54" s="78">
        <f t="shared" si="41"/>
        <v>2</v>
      </c>
    </row>
    <row r="55" outlineLevel="1">
      <c r="A55" s="47"/>
      <c r="B55" s="39" t="s">
        <v>40</v>
      </c>
      <c r="C55" s="47"/>
      <c r="D55" s="87">
        <v>0.05</v>
      </c>
      <c r="E55" s="47"/>
      <c r="F55" s="47"/>
      <c r="G55" s="47"/>
      <c r="H55" s="47"/>
      <c r="I55" s="47"/>
      <c r="J55" s="47"/>
      <c r="K55" s="47"/>
      <c r="L55" s="47"/>
      <c r="M55" s="47"/>
      <c r="N55" s="47"/>
      <c r="O55" s="47"/>
      <c r="P55" s="47"/>
      <c r="Q55" s="47"/>
      <c r="R55" s="88">
        <f t="shared" si="40"/>
        <v>0.05</v>
      </c>
      <c r="S55" s="88">
        <f t="shared" ref="S55:BY55" si="42">R55</f>
        <v>0.05</v>
      </c>
      <c r="T55" s="88">
        <f t="shared" si="42"/>
        <v>0.05</v>
      </c>
      <c r="U55" s="88">
        <f t="shared" si="42"/>
        <v>0.05</v>
      </c>
      <c r="V55" s="88">
        <f t="shared" si="42"/>
        <v>0.05</v>
      </c>
      <c r="W55" s="88">
        <f t="shared" si="42"/>
        <v>0.05</v>
      </c>
      <c r="X55" s="88">
        <f t="shared" si="42"/>
        <v>0.05</v>
      </c>
      <c r="Y55" s="88">
        <f t="shared" si="42"/>
        <v>0.05</v>
      </c>
      <c r="Z55" s="88">
        <f t="shared" si="42"/>
        <v>0.05</v>
      </c>
      <c r="AA55" s="88">
        <f t="shared" si="42"/>
        <v>0.05</v>
      </c>
      <c r="AB55" s="88">
        <f t="shared" si="42"/>
        <v>0.05</v>
      </c>
      <c r="AC55" s="88">
        <f t="shared" si="42"/>
        <v>0.05</v>
      </c>
      <c r="AD55" s="88">
        <f t="shared" si="42"/>
        <v>0.05</v>
      </c>
      <c r="AE55" s="88">
        <f t="shared" si="42"/>
        <v>0.05</v>
      </c>
      <c r="AF55" s="88">
        <f t="shared" si="42"/>
        <v>0.05</v>
      </c>
      <c r="AG55" s="88">
        <f t="shared" si="42"/>
        <v>0.05</v>
      </c>
      <c r="AH55" s="88">
        <f t="shared" si="42"/>
        <v>0.05</v>
      </c>
      <c r="AI55" s="88">
        <f t="shared" si="42"/>
        <v>0.05</v>
      </c>
      <c r="AJ55" s="88">
        <f t="shared" si="42"/>
        <v>0.05</v>
      </c>
      <c r="AK55" s="88">
        <f t="shared" si="42"/>
        <v>0.05</v>
      </c>
      <c r="AL55" s="88">
        <f t="shared" si="42"/>
        <v>0.05</v>
      </c>
      <c r="AM55" s="88">
        <f t="shared" si="42"/>
        <v>0.05</v>
      </c>
      <c r="AN55" s="88">
        <f t="shared" si="42"/>
        <v>0.05</v>
      </c>
      <c r="AO55" s="88">
        <f t="shared" si="42"/>
        <v>0.05</v>
      </c>
      <c r="AP55" s="88">
        <f t="shared" si="42"/>
        <v>0.05</v>
      </c>
      <c r="AQ55" s="88">
        <f t="shared" si="42"/>
        <v>0.05</v>
      </c>
      <c r="AR55" s="88">
        <f t="shared" si="42"/>
        <v>0.05</v>
      </c>
      <c r="AS55" s="88">
        <f t="shared" si="42"/>
        <v>0.05</v>
      </c>
      <c r="AT55" s="88">
        <f t="shared" si="42"/>
        <v>0.05</v>
      </c>
      <c r="AU55" s="88">
        <f t="shared" si="42"/>
        <v>0.05</v>
      </c>
      <c r="AV55" s="88">
        <f t="shared" si="42"/>
        <v>0.05</v>
      </c>
      <c r="AW55" s="88">
        <f t="shared" si="42"/>
        <v>0.05</v>
      </c>
      <c r="AX55" s="88">
        <f t="shared" si="42"/>
        <v>0.05</v>
      </c>
      <c r="AY55" s="88">
        <f t="shared" si="42"/>
        <v>0.05</v>
      </c>
      <c r="AZ55" s="88">
        <f t="shared" si="42"/>
        <v>0.05</v>
      </c>
      <c r="BA55" s="88">
        <f t="shared" si="42"/>
        <v>0.05</v>
      </c>
      <c r="BB55" s="88">
        <f t="shared" si="42"/>
        <v>0.05</v>
      </c>
      <c r="BC55" s="88">
        <f t="shared" si="42"/>
        <v>0.05</v>
      </c>
      <c r="BD55" s="88">
        <f t="shared" si="42"/>
        <v>0.05</v>
      </c>
      <c r="BE55" s="88">
        <f t="shared" si="42"/>
        <v>0.05</v>
      </c>
      <c r="BF55" s="88">
        <f t="shared" si="42"/>
        <v>0.05</v>
      </c>
      <c r="BG55" s="88">
        <f t="shared" si="42"/>
        <v>0.05</v>
      </c>
      <c r="BH55" s="88">
        <f t="shared" si="42"/>
        <v>0.05</v>
      </c>
      <c r="BI55" s="88">
        <f t="shared" si="42"/>
        <v>0.05</v>
      </c>
      <c r="BJ55" s="88">
        <f t="shared" si="42"/>
        <v>0.05</v>
      </c>
      <c r="BK55" s="88">
        <f t="shared" si="42"/>
        <v>0.05</v>
      </c>
      <c r="BL55" s="88">
        <f t="shared" si="42"/>
        <v>0.05</v>
      </c>
      <c r="BM55" s="88">
        <f t="shared" si="42"/>
        <v>0.05</v>
      </c>
      <c r="BN55" s="88">
        <f t="shared" si="42"/>
        <v>0.05</v>
      </c>
      <c r="BO55" s="88">
        <f t="shared" si="42"/>
        <v>0.05</v>
      </c>
      <c r="BP55" s="88">
        <f t="shared" si="42"/>
        <v>0.05</v>
      </c>
      <c r="BQ55" s="88">
        <f t="shared" si="42"/>
        <v>0.05</v>
      </c>
      <c r="BR55" s="88">
        <f t="shared" si="42"/>
        <v>0.05</v>
      </c>
      <c r="BS55" s="88">
        <f t="shared" si="42"/>
        <v>0.05</v>
      </c>
      <c r="BT55" s="88">
        <f t="shared" si="42"/>
        <v>0.05</v>
      </c>
      <c r="BU55" s="88">
        <f t="shared" si="42"/>
        <v>0.05</v>
      </c>
      <c r="BV55" s="88">
        <f t="shared" si="42"/>
        <v>0.05</v>
      </c>
      <c r="BW55" s="88">
        <f t="shared" si="42"/>
        <v>0.05</v>
      </c>
      <c r="BX55" s="88">
        <f t="shared" si="42"/>
        <v>0.05</v>
      </c>
      <c r="BY55" s="88">
        <f t="shared" si="42"/>
        <v>0.05</v>
      </c>
    </row>
    <row r="56" outlineLevel="1">
      <c r="A56" s="80"/>
      <c r="B56" s="59" t="s">
        <v>16</v>
      </c>
      <c r="C56" s="82"/>
      <c r="D56" s="83">
        <v>0.05</v>
      </c>
      <c r="E56" s="84"/>
      <c r="F56" s="84"/>
      <c r="G56" s="84"/>
      <c r="H56" s="84"/>
      <c r="I56" s="84"/>
      <c r="J56" s="84"/>
      <c r="K56" s="84"/>
      <c r="L56" s="84"/>
      <c r="M56" s="84"/>
      <c r="N56" s="84"/>
      <c r="O56" s="84"/>
      <c r="P56" s="84"/>
      <c r="Q56" s="84"/>
      <c r="R56" s="62">
        <f t="shared" si="40"/>
        <v>0.05</v>
      </c>
      <c r="S56" s="62">
        <f t="shared" ref="S56:BY56" si="43">R56</f>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c r="BO56" s="62">
        <f t="shared" si="43"/>
        <v>0.05</v>
      </c>
      <c r="BP56" s="62">
        <f t="shared" si="43"/>
        <v>0.05</v>
      </c>
      <c r="BQ56" s="62">
        <f t="shared" si="43"/>
        <v>0.05</v>
      </c>
      <c r="BR56" s="62">
        <f t="shared" si="43"/>
        <v>0.05</v>
      </c>
      <c r="BS56" s="62">
        <f t="shared" si="43"/>
        <v>0.05</v>
      </c>
      <c r="BT56" s="62">
        <f t="shared" si="43"/>
        <v>0.05</v>
      </c>
      <c r="BU56" s="62">
        <f t="shared" si="43"/>
        <v>0.05</v>
      </c>
      <c r="BV56" s="62">
        <f t="shared" si="43"/>
        <v>0.05</v>
      </c>
      <c r="BW56" s="62">
        <f t="shared" si="43"/>
        <v>0.05</v>
      </c>
      <c r="BX56" s="62">
        <f t="shared" si="43"/>
        <v>0.05</v>
      </c>
      <c r="BY56" s="62">
        <f t="shared" si="43"/>
        <v>0.05</v>
      </c>
    </row>
    <row r="57" outlineLevel="1">
      <c r="A57" s="80"/>
      <c r="B57" s="85" t="s">
        <v>17</v>
      </c>
      <c r="C57" s="80"/>
      <c r="D57" s="86"/>
      <c r="E57" s="86"/>
      <c r="F57" s="86"/>
      <c r="G57" s="86"/>
      <c r="H57" s="86"/>
      <c r="I57" s="86"/>
      <c r="J57" s="86"/>
      <c r="K57" s="86"/>
      <c r="L57" s="86"/>
      <c r="M57" s="86"/>
      <c r="N57" s="86"/>
      <c r="O57" s="86"/>
      <c r="P57" s="86"/>
      <c r="Q57" s="86"/>
      <c r="R57" s="75">
        <f t="shared" ref="R57:BY57" si="44">R53*R54*R55*R56</f>
        <v>10</v>
      </c>
      <c r="S57" s="75">
        <f t="shared" si="44"/>
        <v>10</v>
      </c>
      <c r="T57" s="75">
        <f t="shared" si="44"/>
        <v>10</v>
      </c>
      <c r="U57" s="75">
        <f t="shared" si="44"/>
        <v>10</v>
      </c>
      <c r="V57" s="75">
        <f t="shared" si="44"/>
        <v>10</v>
      </c>
      <c r="W57" s="75">
        <f t="shared" si="44"/>
        <v>10</v>
      </c>
      <c r="X57" s="75">
        <f t="shared" si="44"/>
        <v>10</v>
      </c>
      <c r="Y57" s="75">
        <f t="shared" si="44"/>
        <v>10</v>
      </c>
      <c r="Z57" s="75">
        <f t="shared" si="44"/>
        <v>10</v>
      </c>
      <c r="AA57" s="75">
        <f t="shared" si="44"/>
        <v>10</v>
      </c>
      <c r="AB57" s="75">
        <f t="shared" si="44"/>
        <v>10</v>
      </c>
      <c r="AC57" s="75">
        <f t="shared" si="44"/>
        <v>10</v>
      </c>
      <c r="AD57" s="75">
        <f t="shared" si="44"/>
        <v>10</v>
      </c>
      <c r="AE57" s="75">
        <f t="shared" si="44"/>
        <v>10</v>
      </c>
      <c r="AF57" s="75">
        <f t="shared" si="44"/>
        <v>10</v>
      </c>
      <c r="AG57" s="75">
        <f t="shared" si="44"/>
        <v>10</v>
      </c>
      <c r="AH57" s="75">
        <f t="shared" si="44"/>
        <v>10</v>
      </c>
      <c r="AI57" s="75">
        <f t="shared" si="44"/>
        <v>10</v>
      </c>
      <c r="AJ57" s="75">
        <f t="shared" si="44"/>
        <v>10</v>
      </c>
      <c r="AK57" s="75">
        <f t="shared" si="44"/>
        <v>10</v>
      </c>
      <c r="AL57" s="75">
        <f t="shared" si="44"/>
        <v>10</v>
      </c>
      <c r="AM57" s="75">
        <f t="shared" si="44"/>
        <v>10</v>
      </c>
      <c r="AN57" s="75">
        <f t="shared" si="44"/>
        <v>10</v>
      </c>
      <c r="AO57" s="75">
        <f t="shared" si="44"/>
        <v>10</v>
      </c>
      <c r="AP57" s="75">
        <f t="shared" si="44"/>
        <v>10</v>
      </c>
      <c r="AQ57" s="75">
        <f t="shared" si="44"/>
        <v>10</v>
      </c>
      <c r="AR57" s="75">
        <f t="shared" si="44"/>
        <v>10</v>
      </c>
      <c r="AS57" s="75">
        <f t="shared" si="44"/>
        <v>10</v>
      </c>
      <c r="AT57" s="75">
        <f t="shared" si="44"/>
        <v>10</v>
      </c>
      <c r="AU57" s="75">
        <f t="shared" si="44"/>
        <v>10</v>
      </c>
      <c r="AV57" s="75">
        <f t="shared" si="44"/>
        <v>10</v>
      </c>
      <c r="AW57" s="75">
        <f t="shared" si="44"/>
        <v>10</v>
      </c>
      <c r="AX57" s="75">
        <f t="shared" si="44"/>
        <v>10</v>
      </c>
      <c r="AY57" s="75">
        <f t="shared" si="44"/>
        <v>10</v>
      </c>
      <c r="AZ57" s="75">
        <f t="shared" si="44"/>
        <v>10</v>
      </c>
      <c r="BA57" s="75">
        <f t="shared" si="44"/>
        <v>10</v>
      </c>
      <c r="BB57" s="75">
        <f t="shared" si="44"/>
        <v>10</v>
      </c>
      <c r="BC57" s="75">
        <f t="shared" si="44"/>
        <v>10</v>
      </c>
      <c r="BD57" s="75">
        <f t="shared" si="44"/>
        <v>10</v>
      </c>
      <c r="BE57" s="75">
        <f t="shared" si="44"/>
        <v>10</v>
      </c>
      <c r="BF57" s="75">
        <f t="shared" si="44"/>
        <v>10</v>
      </c>
      <c r="BG57" s="75">
        <f t="shared" si="44"/>
        <v>10</v>
      </c>
      <c r="BH57" s="75">
        <f t="shared" si="44"/>
        <v>10</v>
      </c>
      <c r="BI57" s="75">
        <f t="shared" si="44"/>
        <v>10</v>
      </c>
      <c r="BJ57" s="75">
        <f t="shared" si="44"/>
        <v>10</v>
      </c>
      <c r="BK57" s="75">
        <f t="shared" si="44"/>
        <v>10</v>
      </c>
      <c r="BL57" s="75">
        <f t="shared" si="44"/>
        <v>10</v>
      </c>
      <c r="BM57" s="75">
        <f t="shared" si="44"/>
        <v>10</v>
      </c>
      <c r="BN57" s="75">
        <f t="shared" si="44"/>
        <v>10</v>
      </c>
      <c r="BO57" s="75">
        <f t="shared" si="44"/>
        <v>10</v>
      </c>
      <c r="BP57" s="75">
        <f t="shared" si="44"/>
        <v>10</v>
      </c>
      <c r="BQ57" s="75">
        <f t="shared" si="44"/>
        <v>10</v>
      </c>
      <c r="BR57" s="75">
        <f t="shared" si="44"/>
        <v>10</v>
      </c>
      <c r="BS57" s="75">
        <f t="shared" si="44"/>
        <v>10</v>
      </c>
      <c r="BT57" s="75">
        <f t="shared" si="44"/>
        <v>10</v>
      </c>
      <c r="BU57" s="75">
        <f t="shared" si="44"/>
        <v>10</v>
      </c>
      <c r="BV57" s="75">
        <f t="shared" si="44"/>
        <v>10</v>
      </c>
      <c r="BW57" s="75">
        <f t="shared" si="44"/>
        <v>10</v>
      </c>
      <c r="BX57" s="75">
        <f t="shared" si="44"/>
        <v>10</v>
      </c>
      <c r="BY57" s="75">
        <f t="shared" si="44"/>
        <v>10</v>
      </c>
    </row>
    <row r="58" outlineLevel="1">
      <c r="A58" s="47"/>
      <c r="B58" s="65"/>
      <c r="C58" s="47"/>
      <c r="D58" s="47"/>
      <c r="E58" s="47"/>
      <c r="F58" s="47"/>
      <c r="G58" s="47"/>
      <c r="H58" s="47"/>
      <c r="I58" s="47"/>
      <c r="J58" s="47"/>
      <c r="K58" s="47"/>
      <c r="L58" s="47"/>
      <c r="M58" s="47"/>
      <c r="N58" s="47"/>
      <c r="O58" s="47"/>
      <c r="P58" s="47"/>
      <c r="Q58" s="47"/>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row>
    <row r="59" outlineLevel="1">
      <c r="A59" s="47"/>
      <c r="B59" s="65" t="s">
        <v>41</v>
      </c>
      <c r="C59" s="47"/>
      <c r="D59" s="47"/>
      <c r="E59" s="47"/>
      <c r="F59" s="47"/>
      <c r="G59" s="47"/>
      <c r="H59" s="47"/>
      <c r="I59" s="47"/>
      <c r="J59" s="47"/>
      <c r="K59" s="47"/>
      <c r="L59" s="47"/>
      <c r="M59" s="47"/>
      <c r="N59" s="47"/>
      <c r="O59" s="47"/>
      <c r="P59" s="47"/>
      <c r="Q59" s="47"/>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row>
    <row r="60" outlineLevel="1">
      <c r="A60" s="47"/>
      <c r="B60" s="39" t="s">
        <v>42</v>
      </c>
      <c r="C60" s="47"/>
      <c r="D60" s="76">
        <v>3.0</v>
      </c>
      <c r="E60" s="47"/>
      <c r="F60" s="47"/>
      <c r="G60" s="47"/>
      <c r="H60" s="47"/>
      <c r="I60" s="47"/>
      <c r="J60" s="47"/>
      <c r="K60" s="47"/>
      <c r="L60" s="47"/>
      <c r="M60" s="47"/>
      <c r="N60" s="47"/>
      <c r="O60" s="47"/>
      <c r="P60" s="47"/>
      <c r="Q60" s="47"/>
      <c r="R60" s="79">
        <f t="shared" ref="R60:R62" si="46">D60</f>
        <v>3</v>
      </c>
      <c r="S60" s="79">
        <f t="shared" ref="S60:BY60" si="45">R60</f>
        <v>3</v>
      </c>
      <c r="T60" s="79">
        <f t="shared" si="45"/>
        <v>3</v>
      </c>
      <c r="U60" s="79">
        <f t="shared" si="45"/>
        <v>3</v>
      </c>
      <c r="V60" s="79">
        <f t="shared" si="45"/>
        <v>3</v>
      </c>
      <c r="W60" s="79">
        <f t="shared" si="45"/>
        <v>3</v>
      </c>
      <c r="X60" s="79">
        <f t="shared" si="45"/>
        <v>3</v>
      </c>
      <c r="Y60" s="79">
        <f t="shared" si="45"/>
        <v>3</v>
      </c>
      <c r="Z60" s="79">
        <f t="shared" si="45"/>
        <v>3</v>
      </c>
      <c r="AA60" s="79">
        <f t="shared" si="45"/>
        <v>3</v>
      </c>
      <c r="AB60" s="79">
        <f t="shared" si="45"/>
        <v>3</v>
      </c>
      <c r="AC60" s="79">
        <f t="shared" si="45"/>
        <v>3</v>
      </c>
      <c r="AD60" s="79">
        <f t="shared" si="45"/>
        <v>3</v>
      </c>
      <c r="AE60" s="79">
        <f t="shared" si="45"/>
        <v>3</v>
      </c>
      <c r="AF60" s="79">
        <f t="shared" si="45"/>
        <v>3</v>
      </c>
      <c r="AG60" s="79">
        <f t="shared" si="45"/>
        <v>3</v>
      </c>
      <c r="AH60" s="79">
        <f t="shared" si="45"/>
        <v>3</v>
      </c>
      <c r="AI60" s="79">
        <f t="shared" si="45"/>
        <v>3</v>
      </c>
      <c r="AJ60" s="79">
        <f t="shared" si="45"/>
        <v>3</v>
      </c>
      <c r="AK60" s="79">
        <f t="shared" si="45"/>
        <v>3</v>
      </c>
      <c r="AL60" s="79">
        <f t="shared" si="45"/>
        <v>3</v>
      </c>
      <c r="AM60" s="79">
        <f t="shared" si="45"/>
        <v>3</v>
      </c>
      <c r="AN60" s="79">
        <f t="shared" si="45"/>
        <v>3</v>
      </c>
      <c r="AO60" s="79">
        <f t="shared" si="45"/>
        <v>3</v>
      </c>
      <c r="AP60" s="79">
        <f t="shared" si="45"/>
        <v>3</v>
      </c>
      <c r="AQ60" s="79">
        <f t="shared" si="45"/>
        <v>3</v>
      </c>
      <c r="AR60" s="79">
        <f t="shared" si="45"/>
        <v>3</v>
      </c>
      <c r="AS60" s="79">
        <f t="shared" si="45"/>
        <v>3</v>
      </c>
      <c r="AT60" s="79">
        <f t="shared" si="45"/>
        <v>3</v>
      </c>
      <c r="AU60" s="79">
        <f t="shared" si="45"/>
        <v>3</v>
      </c>
      <c r="AV60" s="79">
        <f t="shared" si="45"/>
        <v>3</v>
      </c>
      <c r="AW60" s="79">
        <f t="shared" si="45"/>
        <v>3</v>
      </c>
      <c r="AX60" s="79">
        <f t="shared" si="45"/>
        <v>3</v>
      </c>
      <c r="AY60" s="79">
        <f t="shared" si="45"/>
        <v>3</v>
      </c>
      <c r="AZ60" s="79">
        <f t="shared" si="45"/>
        <v>3</v>
      </c>
      <c r="BA60" s="79">
        <f t="shared" si="45"/>
        <v>3</v>
      </c>
      <c r="BB60" s="79">
        <f t="shared" si="45"/>
        <v>3</v>
      </c>
      <c r="BC60" s="79">
        <f t="shared" si="45"/>
        <v>3</v>
      </c>
      <c r="BD60" s="79">
        <f t="shared" si="45"/>
        <v>3</v>
      </c>
      <c r="BE60" s="79">
        <f t="shared" si="45"/>
        <v>3</v>
      </c>
      <c r="BF60" s="79">
        <f t="shared" si="45"/>
        <v>3</v>
      </c>
      <c r="BG60" s="79">
        <f t="shared" si="45"/>
        <v>3</v>
      </c>
      <c r="BH60" s="79">
        <f t="shared" si="45"/>
        <v>3</v>
      </c>
      <c r="BI60" s="79">
        <f t="shared" si="45"/>
        <v>3</v>
      </c>
      <c r="BJ60" s="79">
        <f t="shared" si="45"/>
        <v>3</v>
      </c>
      <c r="BK60" s="79">
        <f t="shared" si="45"/>
        <v>3</v>
      </c>
      <c r="BL60" s="79">
        <f t="shared" si="45"/>
        <v>3</v>
      </c>
      <c r="BM60" s="79">
        <f t="shared" si="45"/>
        <v>3</v>
      </c>
      <c r="BN60" s="79">
        <f t="shared" si="45"/>
        <v>3</v>
      </c>
      <c r="BO60" s="79">
        <f t="shared" si="45"/>
        <v>3</v>
      </c>
      <c r="BP60" s="79">
        <f t="shared" si="45"/>
        <v>3</v>
      </c>
      <c r="BQ60" s="79">
        <f t="shared" si="45"/>
        <v>3</v>
      </c>
      <c r="BR60" s="79">
        <f t="shared" si="45"/>
        <v>3</v>
      </c>
      <c r="BS60" s="79">
        <f t="shared" si="45"/>
        <v>3</v>
      </c>
      <c r="BT60" s="79">
        <f t="shared" si="45"/>
        <v>3</v>
      </c>
      <c r="BU60" s="79">
        <f t="shared" si="45"/>
        <v>3</v>
      </c>
      <c r="BV60" s="79">
        <f t="shared" si="45"/>
        <v>3</v>
      </c>
      <c r="BW60" s="79">
        <f t="shared" si="45"/>
        <v>3</v>
      </c>
      <c r="BX60" s="79">
        <f t="shared" si="45"/>
        <v>3</v>
      </c>
      <c r="BY60" s="79">
        <f t="shared" si="45"/>
        <v>3</v>
      </c>
    </row>
    <row r="61" outlineLevel="1">
      <c r="A61" s="47"/>
      <c r="B61" s="39" t="s">
        <v>43</v>
      </c>
      <c r="C61" s="47"/>
      <c r="D61" s="76">
        <v>50.0</v>
      </c>
      <c r="E61" s="47"/>
      <c r="F61" s="47"/>
      <c r="G61" s="47"/>
      <c r="H61" s="47"/>
      <c r="I61" s="47"/>
      <c r="J61" s="47"/>
      <c r="K61" s="47"/>
      <c r="L61" s="47"/>
      <c r="M61" s="47"/>
      <c r="N61" s="47"/>
      <c r="O61" s="47"/>
      <c r="P61" s="47"/>
      <c r="Q61" s="47"/>
      <c r="R61" s="79">
        <f t="shared" si="46"/>
        <v>50</v>
      </c>
      <c r="S61" s="79">
        <f t="shared" ref="S61:BY61" si="47">R61</f>
        <v>50</v>
      </c>
      <c r="T61" s="79">
        <f t="shared" si="47"/>
        <v>50</v>
      </c>
      <c r="U61" s="79">
        <f t="shared" si="47"/>
        <v>50</v>
      </c>
      <c r="V61" s="79">
        <f t="shared" si="47"/>
        <v>50</v>
      </c>
      <c r="W61" s="79">
        <f t="shared" si="47"/>
        <v>50</v>
      </c>
      <c r="X61" s="79">
        <f t="shared" si="47"/>
        <v>50</v>
      </c>
      <c r="Y61" s="79">
        <f t="shared" si="47"/>
        <v>50</v>
      </c>
      <c r="Z61" s="79">
        <f t="shared" si="47"/>
        <v>50</v>
      </c>
      <c r="AA61" s="79">
        <f t="shared" si="47"/>
        <v>50</v>
      </c>
      <c r="AB61" s="79">
        <f t="shared" si="47"/>
        <v>50</v>
      </c>
      <c r="AC61" s="79">
        <f t="shared" si="47"/>
        <v>50</v>
      </c>
      <c r="AD61" s="79">
        <f t="shared" si="47"/>
        <v>50</v>
      </c>
      <c r="AE61" s="79">
        <f t="shared" si="47"/>
        <v>50</v>
      </c>
      <c r="AF61" s="79">
        <f t="shared" si="47"/>
        <v>50</v>
      </c>
      <c r="AG61" s="79">
        <f t="shared" si="47"/>
        <v>50</v>
      </c>
      <c r="AH61" s="79">
        <f t="shared" si="47"/>
        <v>50</v>
      </c>
      <c r="AI61" s="79">
        <f t="shared" si="47"/>
        <v>50</v>
      </c>
      <c r="AJ61" s="79">
        <f t="shared" si="47"/>
        <v>50</v>
      </c>
      <c r="AK61" s="79">
        <f t="shared" si="47"/>
        <v>50</v>
      </c>
      <c r="AL61" s="79">
        <f t="shared" si="47"/>
        <v>50</v>
      </c>
      <c r="AM61" s="79">
        <f t="shared" si="47"/>
        <v>50</v>
      </c>
      <c r="AN61" s="79">
        <f t="shared" si="47"/>
        <v>50</v>
      </c>
      <c r="AO61" s="79">
        <f t="shared" si="47"/>
        <v>50</v>
      </c>
      <c r="AP61" s="79">
        <f t="shared" si="47"/>
        <v>50</v>
      </c>
      <c r="AQ61" s="79">
        <f t="shared" si="47"/>
        <v>50</v>
      </c>
      <c r="AR61" s="79">
        <f t="shared" si="47"/>
        <v>50</v>
      </c>
      <c r="AS61" s="79">
        <f t="shared" si="47"/>
        <v>50</v>
      </c>
      <c r="AT61" s="79">
        <f t="shared" si="47"/>
        <v>50</v>
      </c>
      <c r="AU61" s="79">
        <f t="shared" si="47"/>
        <v>50</v>
      </c>
      <c r="AV61" s="79">
        <f t="shared" si="47"/>
        <v>50</v>
      </c>
      <c r="AW61" s="79">
        <f t="shared" si="47"/>
        <v>50</v>
      </c>
      <c r="AX61" s="79">
        <f t="shared" si="47"/>
        <v>50</v>
      </c>
      <c r="AY61" s="79">
        <f t="shared" si="47"/>
        <v>50</v>
      </c>
      <c r="AZ61" s="79">
        <f t="shared" si="47"/>
        <v>50</v>
      </c>
      <c r="BA61" s="79">
        <f t="shared" si="47"/>
        <v>50</v>
      </c>
      <c r="BB61" s="79">
        <f t="shared" si="47"/>
        <v>50</v>
      </c>
      <c r="BC61" s="79">
        <f t="shared" si="47"/>
        <v>50</v>
      </c>
      <c r="BD61" s="79">
        <f t="shared" si="47"/>
        <v>50</v>
      </c>
      <c r="BE61" s="79">
        <f t="shared" si="47"/>
        <v>50</v>
      </c>
      <c r="BF61" s="79">
        <f t="shared" si="47"/>
        <v>50</v>
      </c>
      <c r="BG61" s="79">
        <f t="shared" si="47"/>
        <v>50</v>
      </c>
      <c r="BH61" s="79">
        <f t="shared" si="47"/>
        <v>50</v>
      </c>
      <c r="BI61" s="79">
        <f t="shared" si="47"/>
        <v>50</v>
      </c>
      <c r="BJ61" s="79">
        <f t="shared" si="47"/>
        <v>50</v>
      </c>
      <c r="BK61" s="79">
        <f t="shared" si="47"/>
        <v>50</v>
      </c>
      <c r="BL61" s="79">
        <f t="shared" si="47"/>
        <v>50</v>
      </c>
      <c r="BM61" s="79">
        <f t="shared" si="47"/>
        <v>50</v>
      </c>
      <c r="BN61" s="79">
        <f t="shared" si="47"/>
        <v>50</v>
      </c>
      <c r="BO61" s="79">
        <f t="shared" si="47"/>
        <v>50</v>
      </c>
      <c r="BP61" s="79">
        <f t="shared" si="47"/>
        <v>50</v>
      </c>
      <c r="BQ61" s="79">
        <f t="shared" si="47"/>
        <v>50</v>
      </c>
      <c r="BR61" s="79">
        <f t="shared" si="47"/>
        <v>50</v>
      </c>
      <c r="BS61" s="79">
        <f t="shared" si="47"/>
        <v>50</v>
      </c>
      <c r="BT61" s="79">
        <f t="shared" si="47"/>
        <v>50</v>
      </c>
      <c r="BU61" s="79">
        <f t="shared" si="47"/>
        <v>50</v>
      </c>
      <c r="BV61" s="79">
        <f t="shared" si="47"/>
        <v>50</v>
      </c>
      <c r="BW61" s="79">
        <f t="shared" si="47"/>
        <v>50</v>
      </c>
      <c r="BX61" s="79">
        <f t="shared" si="47"/>
        <v>50</v>
      </c>
      <c r="BY61" s="79">
        <f t="shared" si="47"/>
        <v>50</v>
      </c>
    </row>
    <row r="62" outlineLevel="1">
      <c r="A62" s="47"/>
      <c r="B62" s="71" t="s">
        <v>16</v>
      </c>
      <c r="C62" s="59"/>
      <c r="D62" s="72">
        <v>0.05</v>
      </c>
      <c r="E62" s="61"/>
      <c r="F62" s="61"/>
      <c r="G62" s="61"/>
      <c r="H62" s="61"/>
      <c r="I62" s="61"/>
      <c r="J62" s="61"/>
      <c r="K62" s="61"/>
      <c r="L62" s="61"/>
      <c r="M62" s="61"/>
      <c r="N62" s="61"/>
      <c r="O62" s="61"/>
      <c r="P62" s="61"/>
      <c r="Q62" s="61"/>
      <c r="R62" s="62">
        <f t="shared" si="46"/>
        <v>0.05</v>
      </c>
      <c r="S62" s="62">
        <f t="shared" ref="S62:BY62" si="48">R62</f>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c r="BO62" s="62">
        <f t="shared" si="48"/>
        <v>0.05</v>
      </c>
      <c r="BP62" s="62">
        <f t="shared" si="48"/>
        <v>0.05</v>
      </c>
      <c r="BQ62" s="62">
        <f t="shared" si="48"/>
        <v>0.05</v>
      </c>
      <c r="BR62" s="62">
        <f t="shared" si="48"/>
        <v>0.05</v>
      </c>
      <c r="BS62" s="62">
        <f t="shared" si="48"/>
        <v>0.05</v>
      </c>
      <c r="BT62" s="62">
        <f t="shared" si="48"/>
        <v>0.05</v>
      </c>
      <c r="BU62" s="62">
        <f t="shared" si="48"/>
        <v>0.05</v>
      </c>
      <c r="BV62" s="62">
        <f t="shared" si="48"/>
        <v>0.05</v>
      </c>
      <c r="BW62" s="62">
        <f t="shared" si="48"/>
        <v>0.05</v>
      </c>
      <c r="BX62" s="62">
        <f t="shared" si="48"/>
        <v>0.05</v>
      </c>
      <c r="BY62" s="62">
        <f t="shared" si="48"/>
        <v>0.05</v>
      </c>
    </row>
    <row r="63" outlineLevel="1">
      <c r="A63" s="47"/>
      <c r="B63" s="73" t="s">
        <v>17</v>
      </c>
      <c r="C63" s="47"/>
      <c r="D63" s="63"/>
      <c r="E63" s="63"/>
      <c r="F63" s="63"/>
      <c r="G63" s="63"/>
      <c r="H63" s="63"/>
      <c r="I63" s="63"/>
      <c r="J63" s="63"/>
      <c r="K63" s="63"/>
      <c r="L63" s="63"/>
      <c r="M63" s="63"/>
      <c r="N63" s="63"/>
      <c r="O63" s="63"/>
      <c r="P63" s="63"/>
      <c r="Q63" s="63"/>
      <c r="R63" s="64">
        <f t="shared" ref="R63:BY63" si="49">R60*R61*R62</f>
        <v>7.5</v>
      </c>
      <c r="S63" s="64">
        <f t="shared" si="49"/>
        <v>7.5</v>
      </c>
      <c r="T63" s="64">
        <f t="shared" si="49"/>
        <v>7.5</v>
      </c>
      <c r="U63" s="64">
        <f t="shared" si="49"/>
        <v>7.5</v>
      </c>
      <c r="V63" s="64">
        <f t="shared" si="49"/>
        <v>7.5</v>
      </c>
      <c r="W63" s="64">
        <f t="shared" si="49"/>
        <v>7.5</v>
      </c>
      <c r="X63" s="64">
        <f t="shared" si="49"/>
        <v>7.5</v>
      </c>
      <c r="Y63" s="64">
        <f t="shared" si="49"/>
        <v>7.5</v>
      </c>
      <c r="Z63" s="64">
        <f t="shared" si="49"/>
        <v>7.5</v>
      </c>
      <c r="AA63" s="64">
        <f t="shared" si="49"/>
        <v>7.5</v>
      </c>
      <c r="AB63" s="64">
        <f t="shared" si="49"/>
        <v>7.5</v>
      </c>
      <c r="AC63" s="64">
        <f t="shared" si="49"/>
        <v>7.5</v>
      </c>
      <c r="AD63" s="64">
        <f t="shared" si="49"/>
        <v>7.5</v>
      </c>
      <c r="AE63" s="64">
        <f t="shared" si="49"/>
        <v>7.5</v>
      </c>
      <c r="AF63" s="64">
        <f t="shared" si="49"/>
        <v>7.5</v>
      </c>
      <c r="AG63" s="64">
        <f t="shared" si="49"/>
        <v>7.5</v>
      </c>
      <c r="AH63" s="64">
        <f t="shared" si="49"/>
        <v>7.5</v>
      </c>
      <c r="AI63" s="64">
        <f t="shared" si="49"/>
        <v>7.5</v>
      </c>
      <c r="AJ63" s="64">
        <f t="shared" si="49"/>
        <v>7.5</v>
      </c>
      <c r="AK63" s="64">
        <f t="shared" si="49"/>
        <v>7.5</v>
      </c>
      <c r="AL63" s="64">
        <f t="shared" si="49"/>
        <v>7.5</v>
      </c>
      <c r="AM63" s="64">
        <f t="shared" si="49"/>
        <v>7.5</v>
      </c>
      <c r="AN63" s="64">
        <f t="shared" si="49"/>
        <v>7.5</v>
      </c>
      <c r="AO63" s="64">
        <f t="shared" si="49"/>
        <v>7.5</v>
      </c>
      <c r="AP63" s="64">
        <f t="shared" si="49"/>
        <v>7.5</v>
      </c>
      <c r="AQ63" s="64">
        <f t="shared" si="49"/>
        <v>7.5</v>
      </c>
      <c r="AR63" s="64">
        <f t="shared" si="49"/>
        <v>7.5</v>
      </c>
      <c r="AS63" s="64">
        <f t="shared" si="49"/>
        <v>7.5</v>
      </c>
      <c r="AT63" s="64">
        <f t="shared" si="49"/>
        <v>7.5</v>
      </c>
      <c r="AU63" s="64">
        <f t="shared" si="49"/>
        <v>7.5</v>
      </c>
      <c r="AV63" s="64">
        <f t="shared" si="49"/>
        <v>7.5</v>
      </c>
      <c r="AW63" s="64">
        <f t="shared" si="49"/>
        <v>7.5</v>
      </c>
      <c r="AX63" s="64">
        <f t="shared" si="49"/>
        <v>7.5</v>
      </c>
      <c r="AY63" s="64">
        <f t="shared" si="49"/>
        <v>7.5</v>
      </c>
      <c r="AZ63" s="64">
        <f t="shared" si="49"/>
        <v>7.5</v>
      </c>
      <c r="BA63" s="64">
        <f t="shared" si="49"/>
        <v>7.5</v>
      </c>
      <c r="BB63" s="64">
        <f t="shared" si="49"/>
        <v>7.5</v>
      </c>
      <c r="BC63" s="64">
        <f t="shared" si="49"/>
        <v>7.5</v>
      </c>
      <c r="BD63" s="64">
        <f t="shared" si="49"/>
        <v>7.5</v>
      </c>
      <c r="BE63" s="64">
        <f t="shared" si="49"/>
        <v>7.5</v>
      </c>
      <c r="BF63" s="64">
        <f t="shared" si="49"/>
        <v>7.5</v>
      </c>
      <c r="BG63" s="64">
        <f t="shared" si="49"/>
        <v>7.5</v>
      </c>
      <c r="BH63" s="64">
        <f t="shared" si="49"/>
        <v>7.5</v>
      </c>
      <c r="BI63" s="64">
        <f t="shared" si="49"/>
        <v>7.5</v>
      </c>
      <c r="BJ63" s="64">
        <f t="shared" si="49"/>
        <v>7.5</v>
      </c>
      <c r="BK63" s="64">
        <f t="shared" si="49"/>
        <v>7.5</v>
      </c>
      <c r="BL63" s="64">
        <f t="shared" si="49"/>
        <v>7.5</v>
      </c>
      <c r="BM63" s="64">
        <f t="shared" si="49"/>
        <v>7.5</v>
      </c>
      <c r="BN63" s="64">
        <f t="shared" si="49"/>
        <v>7.5</v>
      </c>
      <c r="BO63" s="64">
        <f t="shared" si="49"/>
        <v>7.5</v>
      </c>
      <c r="BP63" s="64">
        <f t="shared" si="49"/>
        <v>7.5</v>
      </c>
      <c r="BQ63" s="64">
        <f t="shared" si="49"/>
        <v>7.5</v>
      </c>
      <c r="BR63" s="64">
        <f t="shared" si="49"/>
        <v>7.5</v>
      </c>
      <c r="BS63" s="64">
        <f t="shared" si="49"/>
        <v>7.5</v>
      </c>
      <c r="BT63" s="64">
        <f t="shared" si="49"/>
        <v>7.5</v>
      </c>
      <c r="BU63" s="64">
        <f t="shared" si="49"/>
        <v>7.5</v>
      </c>
      <c r="BV63" s="64">
        <f t="shared" si="49"/>
        <v>7.5</v>
      </c>
      <c r="BW63" s="64">
        <f t="shared" si="49"/>
        <v>7.5</v>
      </c>
      <c r="BX63" s="64">
        <f t="shared" si="49"/>
        <v>7.5</v>
      </c>
      <c r="BY63" s="64">
        <f t="shared" si="49"/>
        <v>7.5</v>
      </c>
    </row>
    <row r="64" outlineLevel="1">
      <c r="A64" s="47"/>
      <c r="B64" s="65"/>
      <c r="C64" s="47"/>
      <c r="D64" s="47"/>
      <c r="E64" s="47"/>
      <c r="F64" s="47"/>
      <c r="G64" s="47"/>
      <c r="H64" s="47"/>
      <c r="I64" s="47"/>
      <c r="J64" s="47"/>
      <c r="K64" s="47"/>
      <c r="L64" s="47"/>
      <c r="M64" s="47"/>
      <c r="N64" s="47"/>
      <c r="O64" s="47"/>
      <c r="P64" s="47"/>
      <c r="Q64" s="47"/>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row>
    <row r="65" outlineLevel="1">
      <c r="A65" s="47"/>
      <c r="B65" s="65" t="s">
        <v>44</v>
      </c>
      <c r="C65" s="47"/>
      <c r="D65" s="47"/>
      <c r="E65" s="47"/>
      <c r="F65" s="47"/>
      <c r="G65" s="47"/>
      <c r="H65" s="47"/>
      <c r="I65" s="47"/>
      <c r="J65" s="47"/>
      <c r="K65" s="47"/>
      <c r="L65" s="47"/>
      <c r="M65" s="47"/>
      <c r="N65" s="47"/>
      <c r="O65" s="47"/>
      <c r="P65" s="47"/>
      <c r="Q65" s="47"/>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row>
    <row r="66" outlineLevel="1">
      <c r="A66" s="47"/>
      <c r="B66" s="39" t="s">
        <v>45</v>
      </c>
      <c r="C66" s="47"/>
      <c r="D66" s="76">
        <v>25.0</v>
      </c>
      <c r="E66" s="47"/>
      <c r="F66" s="47"/>
      <c r="G66" s="47"/>
      <c r="H66" s="47"/>
      <c r="I66" s="47"/>
      <c r="J66" s="47"/>
      <c r="K66" s="47"/>
      <c r="L66" s="47"/>
      <c r="M66" s="47"/>
      <c r="N66" s="47"/>
      <c r="O66" s="47"/>
      <c r="P66" s="47"/>
      <c r="Q66" s="47"/>
      <c r="R66" s="79">
        <f t="shared" ref="R66:R68" si="51">D66</f>
        <v>25</v>
      </c>
      <c r="S66" s="79">
        <f t="shared" ref="S66:BY66" si="50">R66</f>
        <v>25</v>
      </c>
      <c r="T66" s="79">
        <f t="shared" si="50"/>
        <v>25</v>
      </c>
      <c r="U66" s="79">
        <f t="shared" si="50"/>
        <v>25</v>
      </c>
      <c r="V66" s="79">
        <f t="shared" si="50"/>
        <v>25</v>
      </c>
      <c r="W66" s="79">
        <f t="shared" si="50"/>
        <v>25</v>
      </c>
      <c r="X66" s="79">
        <f t="shared" si="50"/>
        <v>25</v>
      </c>
      <c r="Y66" s="79">
        <f t="shared" si="50"/>
        <v>25</v>
      </c>
      <c r="Z66" s="79">
        <f t="shared" si="50"/>
        <v>25</v>
      </c>
      <c r="AA66" s="79">
        <f t="shared" si="50"/>
        <v>25</v>
      </c>
      <c r="AB66" s="79">
        <f t="shared" si="50"/>
        <v>25</v>
      </c>
      <c r="AC66" s="79">
        <f t="shared" si="50"/>
        <v>25</v>
      </c>
      <c r="AD66" s="79">
        <f t="shared" si="50"/>
        <v>25</v>
      </c>
      <c r="AE66" s="79">
        <f t="shared" si="50"/>
        <v>25</v>
      </c>
      <c r="AF66" s="79">
        <f t="shared" si="50"/>
        <v>25</v>
      </c>
      <c r="AG66" s="79">
        <f t="shared" si="50"/>
        <v>25</v>
      </c>
      <c r="AH66" s="79">
        <f t="shared" si="50"/>
        <v>25</v>
      </c>
      <c r="AI66" s="79">
        <f t="shared" si="50"/>
        <v>25</v>
      </c>
      <c r="AJ66" s="79">
        <f t="shared" si="50"/>
        <v>25</v>
      </c>
      <c r="AK66" s="79">
        <f t="shared" si="50"/>
        <v>25</v>
      </c>
      <c r="AL66" s="79">
        <f t="shared" si="50"/>
        <v>25</v>
      </c>
      <c r="AM66" s="79">
        <f t="shared" si="50"/>
        <v>25</v>
      </c>
      <c r="AN66" s="79">
        <f t="shared" si="50"/>
        <v>25</v>
      </c>
      <c r="AO66" s="79">
        <f t="shared" si="50"/>
        <v>25</v>
      </c>
      <c r="AP66" s="79">
        <f t="shared" si="50"/>
        <v>25</v>
      </c>
      <c r="AQ66" s="79">
        <f t="shared" si="50"/>
        <v>25</v>
      </c>
      <c r="AR66" s="79">
        <f t="shared" si="50"/>
        <v>25</v>
      </c>
      <c r="AS66" s="79">
        <f t="shared" si="50"/>
        <v>25</v>
      </c>
      <c r="AT66" s="79">
        <f t="shared" si="50"/>
        <v>25</v>
      </c>
      <c r="AU66" s="79">
        <f t="shared" si="50"/>
        <v>25</v>
      </c>
      <c r="AV66" s="79">
        <f t="shared" si="50"/>
        <v>25</v>
      </c>
      <c r="AW66" s="79">
        <f t="shared" si="50"/>
        <v>25</v>
      </c>
      <c r="AX66" s="79">
        <f t="shared" si="50"/>
        <v>25</v>
      </c>
      <c r="AY66" s="79">
        <f t="shared" si="50"/>
        <v>25</v>
      </c>
      <c r="AZ66" s="79">
        <f t="shared" si="50"/>
        <v>25</v>
      </c>
      <c r="BA66" s="79">
        <f t="shared" si="50"/>
        <v>25</v>
      </c>
      <c r="BB66" s="79">
        <f t="shared" si="50"/>
        <v>25</v>
      </c>
      <c r="BC66" s="79">
        <f t="shared" si="50"/>
        <v>25</v>
      </c>
      <c r="BD66" s="79">
        <f t="shared" si="50"/>
        <v>25</v>
      </c>
      <c r="BE66" s="79">
        <f t="shared" si="50"/>
        <v>25</v>
      </c>
      <c r="BF66" s="79">
        <f t="shared" si="50"/>
        <v>25</v>
      </c>
      <c r="BG66" s="79">
        <f t="shared" si="50"/>
        <v>25</v>
      </c>
      <c r="BH66" s="79">
        <f t="shared" si="50"/>
        <v>25</v>
      </c>
      <c r="BI66" s="79">
        <f t="shared" si="50"/>
        <v>25</v>
      </c>
      <c r="BJ66" s="79">
        <f t="shared" si="50"/>
        <v>25</v>
      </c>
      <c r="BK66" s="79">
        <f t="shared" si="50"/>
        <v>25</v>
      </c>
      <c r="BL66" s="79">
        <f t="shared" si="50"/>
        <v>25</v>
      </c>
      <c r="BM66" s="79">
        <f t="shared" si="50"/>
        <v>25</v>
      </c>
      <c r="BN66" s="79">
        <f t="shared" si="50"/>
        <v>25</v>
      </c>
      <c r="BO66" s="79">
        <f t="shared" si="50"/>
        <v>25</v>
      </c>
      <c r="BP66" s="79">
        <f t="shared" si="50"/>
        <v>25</v>
      </c>
      <c r="BQ66" s="79">
        <f t="shared" si="50"/>
        <v>25</v>
      </c>
      <c r="BR66" s="79">
        <f t="shared" si="50"/>
        <v>25</v>
      </c>
      <c r="BS66" s="79">
        <f t="shared" si="50"/>
        <v>25</v>
      </c>
      <c r="BT66" s="79">
        <f t="shared" si="50"/>
        <v>25</v>
      </c>
      <c r="BU66" s="79">
        <f t="shared" si="50"/>
        <v>25</v>
      </c>
      <c r="BV66" s="79">
        <f t="shared" si="50"/>
        <v>25</v>
      </c>
      <c r="BW66" s="79">
        <f t="shared" si="50"/>
        <v>25</v>
      </c>
      <c r="BX66" s="79">
        <f t="shared" si="50"/>
        <v>25</v>
      </c>
      <c r="BY66" s="79">
        <f t="shared" si="50"/>
        <v>25</v>
      </c>
    </row>
    <row r="67" outlineLevel="1">
      <c r="A67" s="47"/>
      <c r="B67" s="39" t="s">
        <v>46</v>
      </c>
      <c r="C67" s="47"/>
      <c r="D67" s="89">
        <v>2.0</v>
      </c>
      <c r="E67" s="47"/>
      <c r="F67" s="47"/>
      <c r="G67" s="47"/>
      <c r="H67" s="47"/>
      <c r="I67" s="47"/>
      <c r="J67" s="47"/>
      <c r="K67" s="47"/>
      <c r="L67" s="47"/>
      <c r="M67" s="47"/>
      <c r="N67" s="47"/>
      <c r="O67" s="47"/>
      <c r="P67" s="47"/>
      <c r="Q67" s="47"/>
      <c r="R67" s="90">
        <f t="shared" si="51"/>
        <v>2</v>
      </c>
      <c r="S67" s="90">
        <f t="shared" ref="S67:BY67" si="52">R67</f>
        <v>2</v>
      </c>
      <c r="T67" s="90">
        <f t="shared" si="52"/>
        <v>2</v>
      </c>
      <c r="U67" s="90">
        <f t="shared" si="52"/>
        <v>2</v>
      </c>
      <c r="V67" s="90">
        <f t="shared" si="52"/>
        <v>2</v>
      </c>
      <c r="W67" s="90">
        <f t="shared" si="52"/>
        <v>2</v>
      </c>
      <c r="X67" s="90">
        <f t="shared" si="52"/>
        <v>2</v>
      </c>
      <c r="Y67" s="90">
        <f t="shared" si="52"/>
        <v>2</v>
      </c>
      <c r="Z67" s="90">
        <f t="shared" si="52"/>
        <v>2</v>
      </c>
      <c r="AA67" s="90">
        <f t="shared" si="52"/>
        <v>2</v>
      </c>
      <c r="AB67" s="90">
        <f t="shared" si="52"/>
        <v>2</v>
      </c>
      <c r="AC67" s="90">
        <f t="shared" si="52"/>
        <v>2</v>
      </c>
      <c r="AD67" s="90">
        <f t="shared" si="52"/>
        <v>2</v>
      </c>
      <c r="AE67" s="90">
        <f t="shared" si="52"/>
        <v>2</v>
      </c>
      <c r="AF67" s="90">
        <f t="shared" si="52"/>
        <v>2</v>
      </c>
      <c r="AG67" s="90">
        <f t="shared" si="52"/>
        <v>2</v>
      </c>
      <c r="AH67" s="90">
        <f t="shared" si="52"/>
        <v>2</v>
      </c>
      <c r="AI67" s="90">
        <f t="shared" si="52"/>
        <v>2</v>
      </c>
      <c r="AJ67" s="90">
        <f t="shared" si="52"/>
        <v>2</v>
      </c>
      <c r="AK67" s="90">
        <f t="shared" si="52"/>
        <v>2</v>
      </c>
      <c r="AL67" s="90">
        <f t="shared" si="52"/>
        <v>2</v>
      </c>
      <c r="AM67" s="90">
        <f t="shared" si="52"/>
        <v>2</v>
      </c>
      <c r="AN67" s="90">
        <f t="shared" si="52"/>
        <v>2</v>
      </c>
      <c r="AO67" s="90">
        <f t="shared" si="52"/>
        <v>2</v>
      </c>
      <c r="AP67" s="90">
        <f t="shared" si="52"/>
        <v>2</v>
      </c>
      <c r="AQ67" s="90">
        <f t="shared" si="52"/>
        <v>2</v>
      </c>
      <c r="AR67" s="90">
        <f t="shared" si="52"/>
        <v>2</v>
      </c>
      <c r="AS67" s="90">
        <f t="shared" si="52"/>
        <v>2</v>
      </c>
      <c r="AT67" s="90">
        <f t="shared" si="52"/>
        <v>2</v>
      </c>
      <c r="AU67" s="90">
        <f t="shared" si="52"/>
        <v>2</v>
      </c>
      <c r="AV67" s="90">
        <f t="shared" si="52"/>
        <v>2</v>
      </c>
      <c r="AW67" s="90">
        <f t="shared" si="52"/>
        <v>2</v>
      </c>
      <c r="AX67" s="90">
        <f t="shared" si="52"/>
        <v>2</v>
      </c>
      <c r="AY67" s="90">
        <f t="shared" si="52"/>
        <v>2</v>
      </c>
      <c r="AZ67" s="90">
        <f t="shared" si="52"/>
        <v>2</v>
      </c>
      <c r="BA67" s="90">
        <f t="shared" si="52"/>
        <v>2</v>
      </c>
      <c r="BB67" s="90">
        <f t="shared" si="52"/>
        <v>2</v>
      </c>
      <c r="BC67" s="90">
        <f t="shared" si="52"/>
        <v>2</v>
      </c>
      <c r="BD67" s="90">
        <f t="shared" si="52"/>
        <v>2</v>
      </c>
      <c r="BE67" s="90">
        <f t="shared" si="52"/>
        <v>2</v>
      </c>
      <c r="BF67" s="90">
        <f t="shared" si="52"/>
        <v>2</v>
      </c>
      <c r="BG67" s="90">
        <f t="shared" si="52"/>
        <v>2</v>
      </c>
      <c r="BH67" s="90">
        <f t="shared" si="52"/>
        <v>2</v>
      </c>
      <c r="BI67" s="90">
        <f t="shared" si="52"/>
        <v>2</v>
      </c>
      <c r="BJ67" s="90">
        <f t="shared" si="52"/>
        <v>2</v>
      </c>
      <c r="BK67" s="90">
        <f t="shared" si="52"/>
        <v>2</v>
      </c>
      <c r="BL67" s="90">
        <f t="shared" si="52"/>
        <v>2</v>
      </c>
      <c r="BM67" s="90">
        <f t="shared" si="52"/>
        <v>2</v>
      </c>
      <c r="BN67" s="90">
        <f t="shared" si="52"/>
        <v>2</v>
      </c>
      <c r="BO67" s="90">
        <f t="shared" si="52"/>
        <v>2</v>
      </c>
      <c r="BP67" s="90">
        <f t="shared" si="52"/>
        <v>2</v>
      </c>
      <c r="BQ67" s="90">
        <f t="shared" si="52"/>
        <v>2</v>
      </c>
      <c r="BR67" s="90">
        <f t="shared" si="52"/>
        <v>2</v>
      </c>
      <c r="BS67" s="90">
        <f t="shared" si="52"/>
        <v>2</v>
      </c>
      <c r="BT67" s="90">
        <f t="shared" si="52"/>
        <v>2</v>
      </c>
      <c r="BU67" s="90">
        <f t="shared" si="52"/>
        <v>2</v>
      </c>
      <c r="BV67" s="90">
        <f t="shared" si="52"/>
        <v>2</v>
      </c>
      <c r="BW67" s="90">
        <f t="shared" si="52"/>
        <v>2</v>
      </c>
      <c r="BX67" s="90">
        <f t="shared" si="52"/>
        <v>2</v>
      </c>
      <c r="BY67" s="90">
        <f t="shared" si="52"/>
        <v>2</v>
      </c>
    </row>
    <row r="68" outlineLevel="1">
      <c r="A68" s="47"/>
      <c r="B68" s="71" t="s">
        <v>16</v>
      </c>
      <c r="C68" s="59"/>
      <c r="D68" s="83">
        <v>0.2</v>
      </c>
      <c r="E68" s="61"/>
      <c r="F68" s="61"/>
      <c r="G68" s="61"/>
      <c r="H68" s="61"/>
      <c r="I68" s="61"/>
      <c r="J68" s="61"/>
      <c r="K68" s="61"/>
      <c r="L68" s="61"/>
      <c r="M68" s="61"/>
      <c r="N68" s="61"/>
      <c r="O68" s="61"/>
      <c r="P68" s="61"/>
      <c r="Q68" s="61"/>
      <c r="R68" s="62">
        <f t="shared" si="51"/>
        <v>0.2</v>
      </c>
      <c r="S68" s="62">
        <f t="shared" ref="S68:BY68" si="53">R68</f>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c r="BO68" s="62">
        <f t="shared" si="53"/>
        <v>0.2</v>
      </c>
      <c r="BP68" s="62">
        <f t="shared" si="53"/>
        <v>0.2</v>
      </c>
      <c r="BQ68" s="62">
        <f t="shared" si="53"/>
        <v>0.2</v>
      </c>
      <c r="BR68" s="62">
        <f t="shared" si="53"/>
        <v>0.2</v>
      </c>
      <c r="BS68" s="62">
        <f t="shared" si="53"/>
        <v>0.2</v>
      </c>
      <c r="BT68" s="62">
        <f t="shared" si="53"/>
        <v>0.2</v>
      </c>
      <c r="BU68" s="62">
        <f t="shared" si="53"/>
        <v>0.2</v>
      </c>
      <c r="BV68" s="62">
        <f t="shared" si="53"/>
        <v>0.2</v>
      </c>
      <c r="BW68" s="62">
        <f t="shared" si="53"/>
        <v>0.2</v>
      </c>
      <c r="BX68" s="62">
        <f t="shared" si="53"/>
        <v>0.2</v>
      </c>
      <c r="BY68" s="62">
        <f t="shared" si="53"/>
        <v>0.2</v>
      </c>
    </row>
    <row r="69" outlineLevel="1">
      <c r="A69" s="47"/>
      <c r="B69" s="73" t="s">
        <v>17</v>
      </c>
      <c r="C69" s="47"/>
      <c r="D69" s="63"/>
      <c r="E69" s="63"/>
      <c r="F69" s="63"/>
      <c r="G69" s="63"/>
      <c r="H69" s="63"/>
      <c r="I69" s="63"/>
      <c r="J69" s="63"/>
      <c r="K69" s="63"/>
      <c r="L69" s="63"/>
      <c r="M69" s="63"/>
      <c r="N69" s="63"/>
      <c r="O69" s="63"/>
      <c r="P69" s="63"/>
      <c r="Q69" s="63"/>
      <c r="R69" s="91">
        <f t="shared" ref="R69:BY69" si="54">IFERROR(offset(R66,,-R67+1)*R68,0)</f>
        <v>0</v>
      </c>
      <c r="S69" s="91">
        <f t="shared" si="54"/>
        <v>5</v>
      </c>
      <c r="T69" s="91">
        <f t="shared" si="54"/>
        <v>5</v>
      </c>
      <c r="U69" s="91">
        <f t="shared" si="54"/>
        <v>5</v>
      </c>
      <c r="V69" s="91">
        <f t="shared" si="54"/>
        <v>5</v>
      </c>
      <c r="W69" s="91">
        <f t="shared" si="54"/>
        <v>5</v>
      </c>
      <c r="X69" s="91">
        <f t="shared" si="54"/>
        <v>5</v>
      </c>
      <c r="Y69" s="91">
        <f t="shared" si="54"/>
        <v>5</v>
      </c>
      <c r="Z69" s="91">
        <f t="shared" si="54"/>
        <v>5</v>
      </c>
      <c r="AA69" s="91">
        <f t="shared" si="54"/>
        <v>5</v>
      </c>
      <c r="AB69" s="91">
        <f t="shared" si="54"/>
        <v>5</v>
      </c>
      <c r="AC69" s="91">
        <f t="shared" si="54"/>
        <v>5</v>
      </c>
      <c r="AD69" s="91">
        <f t="shared" si="54"/>
        <v>5</v>
      </c>
      <c r="AE69" s="91">
        <f t="shared" si="54"/>
        <v>5</v>
      </c>
      <c r="AF69" s="91">
        <f t="shared" si="54"/>
        <v>5</v>
      </c>
      <c r="AG69" s="91">
        <f t="shared" si="54"/>
        <v>5</v>
      </c>
      <c r="AH69" s="91">
        <f t="shared" si="54"/>
        <v>5</v>
      </c>
      <c r="AI69" s="91">
        <f t="shared" si="54"/>
        <v>5</v>
      </c>
      <c r="AJ69" s="91">
        <f t="shared" si="54"/>
        <v>5</v>
      </c>
      <c r="AK69" s="91">
        <f t="shared" si="54"/>
        <v>5</v>
      </c>
      <c r="AL69" s="91">
        <f t="shared" si="54"/>
        <v>5</v>
      </c>
      <c r="AM69" s="91">
        <f t="shared" si="54"/>
        <v>5</v>
      </c>
      <c r="AN69" s="91">
        <f t="shared" si="54"/>
        <v>5</v>
      </c>
      <c r="AO69" s="91">
        <f t="shared" si="54"/>
        <v>5</v>
      </c>
      <c r="AP69" s="91">
        <f t="shared" si="54"/>
        <v>5</v>
      </c>
      <c r="AQ69" s="91">
        <f t="shared" si="54"/>
        <v>5</v>
      </c>
      <c r="AR69" s="91">
        <f t="shared" si="54"/>
        <v>5</v>
      </c>
      <c r="AS69" s="91">
        <f t="shared" si="54"/>
        <v>5</v>
      </c>
      <c r="AT69" s="91">
        <f t="shared" si="54"/>
        <v>5</v>
      </c>
      <c r="AU69" s="91">
        <f t="shared" si="54"/>
        <v>5</v>
      </c>
      <c r="AV69" s="91">
        <f t="shared" si="54"/>
        <v>5</v>
      </c>
      <c r="AW69" s="91">
        <f t="shared" si="54"/>
        <v>5</v>
      </c>
      <c r="AX69" s="91">
        <f t="shared" si="54"/>
        <v>5</v>
      </c>
      <c r="AY69" s="91">
        <f t="shared" si="54"/>
        <v>5</v>
      </c>
      <c r="AZ69" s="91">
        <f t="shared" si="54"/>
        <v>5</v>
      </c>
      <c r="BA69" s="91">
        <f t="shared" si="54"/>
        <v>5</v>
      </c>
      <c r="BB69" s="91">
        <f t="shared" si="54"/>
        <v>5</v>
      </c>
      <c r="BC69" s="91">
        <f t="shared" si="54"/>
        <v>5</v>
      </c>
      <c r="BD69" s="91">
        <f t="shared" si="54"/>
        <v>5</v>
      </c>
      <c r="BE69" s="91">
        <f t="shared" si="54"/>
        <v>5</v>
      </c>
      <c r="BF69" s="91">
        <f t="shared" si="54"/>
        <v>5</v>
      </c>
      <c r="BG69" s="91">
        <f t="shared" si="54"/>
        <v>5</v>
      </c>
      <c r="BH69" s="91">
        <f t="shared" si="54"/>
        <v>5</v>
      </c>
      <c r="BI69" s="91">
        <f t="shared" si="54"/>
        <v>5</v>
      </c>
      <c r="BJ69" s="91">
        <f t="shared" si="54"/>
        <v>5</v>
      </c>
      <c r="BK69" s="91">
        <f t="shared" si="54"/>
        <v>5</v>
      </c>
      <c r="BL69" s="91">
        <f t="shared" si="54"/>
        <v>5</v>
      </c>
      <c r="BM69" s="91">
        <f t="shared" si="54"/>
        <v>5</v>
      </c>
      <c r="BN69" s="91">
        <f t="shared" si="54"/>
        <v>5</v>
      </c>
      <c r="BO69" s="91">
        <f t="shared" si="54"/>
        <v>5</v>
      </c>
      <c r="BP69" s="91">
        <f t="shared" si="54"/>
        <v>5</v>
      </c>
      <c r="BQ69" s="91">
        <f t="shared" si="54"/>
        <v>5</v>
      </c>
      <c r="BR69" s="91">
        <f t="shared" si="54"/>
        <v>5</v>
      </c>
      <c r="BS69" s="91">
        <f t="shared" si="54"/>
        <v>5</v>
      </c>
      <c r="BT69" s="91">
        <f t="shared" si="54"/>
        <v>5</v>
      </c>
      <c r="BU69" s="91">
        <f t="shared" si="54"/>
        <v>5</v>
      </c>
      <c r="BV69" s="91">
        <f t="shared" si="54"/>
        <v>5</v>
      </c>
      <c r="BW69" s="91">
        <f t="shared" si="54"/>
        <v>5</v>
      </c>
      <c r="BX69" s="91">
        <f t="shared" si="54"/>
        <v>5</v>
      </c>
      <c r="BY69" s="91">
        <f t="shared" si="54"/>
        <v>5</v>
      </c>
    </row>
    <row r="70" outlineLevel="1">
      <c r="A70" s="47"/>
      <c r="B70" s="92"/>
      <c r="C70" s="61"/>
      <c r="D70" s="61"/>
      <c r="E70" s="61"/>
      <c r="F70" s="61"/>
      <c r="G70" s="61"/>
      <c r="H70" s="61"/>
      <c r="I70" s="61"/>
      <c r="J70" s="61"/>
      <c r="K70" s="61"/>
      <c r="L70" s="61"/>
      <c r="M70" s="61"/>
      <c r="N70" s="61"/>
      <c r="O70" s="61"/>
      <c r="P70" s="61"/>
      <c r="Q70" s="61"/>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row>
    <row r="71" outlineLevel="1">
      <c r="A71" s="94"/>
      <c r="B71" s="95" t="s">
        <v>47</v>
      </c>
      <c r="C71" s="94"/>
      <c r="D71" s="96"/>
      <c r="E71" s="96"/>
      <c r="F71" s="96"/>
      <c r="G71" s="96"/>
      <c r="H71" s="96"/>
      <c r="I71" s="96"/>
      <c r="J71" s="96"/>
      <c r="K71" s="96"/>
      <c r="L71" s="96"/>
      <c r="M71" s="96"/>
      <c r="N71" s="96"/>
      <c r="O71" s="96"/>
      <c r="P71" s="96"/>
      <c r="Q71" s="96"/>
      <c r="R71" s="97">
        <f t="shared" ref="R71:BY71" si="55">R13+R19+R25+R31+R38+R44+R50+R57+R63+R69</f>
        <v>317.5</v>
      </c>
      <c r="S71" s="97">
        <f t="shared" si="55"/>
        <v>324.7625</v>
      </c>
      <c r="T71" s="97">
        <f t="shared" si="55"/>
        <v>324.8714375</v>
      </c>
      <c r="U71" s="97">
        <f t="shared" si="55"/>
        <v>324.8730716</v>
      </c>
      <c r="V71" s="97">
        <f t="shared" si="55"/>
        <v>324.8730961</v>
      </c>
      <c r="W71" s="97">
        <f t="shared" si="55"/>
        <v>324.8730964</v>
      </c>
      <c r="X71" s="97">
        <f t="shared" si="55"/>
        <v>324.8730964</v>
      </c>
      <c r="Y71" s="97">
        <f t="shared" si="55"/>
        <v>324.8730964</v>
      </c>
      <c r="Z71" s="97">
        <f t="shared" si="55"/>
        <v>324.8730964</v>
      </c>
      <c r="AA71" s="97">
        <f t="shared" si="55"/>
        <v>324.8730964</v>
      </c>
      <c r="AB71" s="97">
        <f t="shared" si="55"/>
        <v>324.8730964</v>
      </c>
      <c r="AC71" s="97">
        <f t="shared" si="55"/>
        <v>324.8730964</v>
      </c>
      <c r="AD71" s="97">
        <f t="shared" si="55"/>
        <v>324.8730964</v>
      </c>
      <c r="AE71" s="97">
        <f t="shared" si="55"/>
        <v>324.8730964</v>
      </c>
      <c r="AF71" s="97">
        <f t="shared" si="55"/>
        <v>324.8730964</v>
      </c>
      <c r="AG71" s="97">
        <f t="shared" si="55"/>
        <v>324.8730964</v>
      </c>
      <c r="AH71" s="97">
        <f t="shared" si="55"/>
        <v>324.8730964</v>
      </c>
      <c r="AI71" s="97">
        <f t="shared" si="55"/>
        <v>324.8730964</v>
      </c>
      <c r="AJ71" s="97">
        <f t="shared" si="55"/>
        <v>324.8730964</v>
      </c>
      <c r="AK71" s="97">
        <f t="shared" si="55"/>
        <v>324.8730964</v>
      </c>
      <c r="AL71" s="97">
        <f t="shared" si="55"/>
        <v>324.8730964</v>
      </c>
      <c r="AM71" s="97">
        <f t="shared" si="55"/>
        <v>324.8730964</v>
      </c>
      <c r="AN71" s="97">
        <f t="shared" si="55"/>
        <v>324.8730964</v>
      </c>
      <c r="AO71" s="97">
        <f t="shared" si="55"/>
        <v>324.8730964</v>
      </c>
      <c r="AP71" s="97">
        <f t="shared" si="55"/>
        <v>324.8730964</v>
      </c>
      <c r="AQ71" s="97">
        <f t="shared" si="55"/>
        <v>324.8730964</v>
      </c>
      <c r="AR71" s="97">
        <f t="shared" si="55"/>
        <v>324.8730964</v>
      </c>
      <c r="AS71" s="97">
        <f t="shared" si="55"/>
        <v>324.8730964</v>
      </c>
      <c r="AT71" s="97">
        <f t="shared" si="55"/>
        <v>324.8730964</v>
      </c>
      <c r="AU71" s="97">
        <f t="shared" si="55"/>
        <v>324.8730964</v>
      </c>
      <c r="AV71" s="97">
        <f t="shared" si="55"/>
        <v>324.8730964</v>
      </c>
      <c r="AW71" s="97">
        <f t="shared" si="55"/>
        <v>324.8730964</v>
      </c>
      <c r="AX71" s="97">
        <f t="shared" si="55"/>
        <v>324.8730964</v>
      </c>
      <c r="AY71" s="97">
        <f t="shared" si="55"/>
        <v>324.8730964</v>
      </c>
      <c r="AZ71" s="97">
        <f t="shared" si="55"/>
        <v>324.8730964</v>
      </c>
      <c r="BA71" s="97">
        <f t="shared" si="55"/>
        <v>324.8730964</v>
      </c>
      <c r="BB71" s="97">
        <f t="shared" si="55"/>
        <v>324.8730964</v>
      </c>
      <c r="BC71" s="97">
        <f t="shared" si="55"/>
        <v>324.8730964</v>
      </c>
      <c r="BD71" s="97">
        <f t="shared" si="55"/>
        <v>324.8730964</v>
      </c>
      <c r="BE71" s="97">
        <f t="shared" si="55"/>
        <v>324.8730964</v>
      </c>
      <c r="BF71" s="97">
        <f t="shared" si="55"/>
        <v>324.8730964</v>
      </c>
      <c r="BG71" s="97">
        <f t="shared" si="55"/>
        <v>324.8730964</v>
      </c>
      <c r="BH71" s="97">
        <f t="shared" si="55"/>
        <v>324.8730964</v>
      </c>
      <c r="BI71" s="97">
        <f t="shared" si="55"/>
        <v>324.8730964</v>
      </c>
      <c r="BJ71" s="97">
        <f t="shared" si="55"/>
        <v>324.8730964</v>
      </c>
      <c r="BK71" s="97">
        <f t="shared" si="55"/>
        <v>324.8730964</v>
      </c>
      <c r="BL71" s="97">
        <f t="shared" si="55"/>
        <v>324.8730964</v>
      </c>
      <c r="BM71" s="97">
        <f t="shared" si="55"/>
        <v>324.8730964</v>
      </c>
      <c r="BN71" s="97">
        <f t="shared" si="55"/>
        <v>324.8730964</v>
      </c>
      <c r="BO71" s="97">
        <f t="shared" si="55"/>
        <v>324.8730964</v>
      </c>
      <c r="BP71" s="97">
        <f t="shared" si="55"/>
        <v>324.8730964</v>
      </c>
      <c r="BQ71" s="97">
        <f t="shared" si="55"/>
        <v>324.8730964</v>
      </c>
      <c r="BR71" s="97">
        <f t="shared" si="55"/>
        <v>324.8730964</v>
      </c>
      <c r="BS71" s="97">
        <f t="shared" si="55"/>
        <v>324.8730964</v>
      </c>
      <c r="BT71" s="97">
        <f t="shared" si="55"/>
        <v>324.8730964</v>
      </c>
      <c r="BU71" s="97">
        <f t="shared" si="55"/>
        <v>324.8730964</v>
      </c>
      <c r="BV71" s="97">
        <f t="shared" si="55"/>
        <v>324.8730964</v>
      </c>
      <c r="BW71" s="97">
        <f t="shared" si="55"/>
        <v>324.8730964</v>
      </c>
      <c r="BX71" s="97">
        <f t="shared" si="55"/>
        <v>324.8730964</v>
      </c>
      <c r="BY71" s="97">
        <f t="shared" si="55"/>
        <v>324.8730964</v>
      </c>
    </row>
    <row r="72">
      <c r="A72" s="47"/>
      <c r="B72" s="98"/>
      <c r="C72" s="47"/>
      <c r="D72" s="47"/>
      <c r="E72" s="47"/>
      <c r="F72" s="47"/>
      <c r="G72" s="47"/>
      <c r="H72" s="47"/>
      <c r="I72" s="47"/>
      <c r="J72" s="47"/>
      <c r="K72" s="47"/>
      <c r="L72" s="47"/>
      <c r="M72" s="47"/>
      <c r="N72" s="47"/>
      <c r="O72" s="47"/>
      <c r="P72" s="47"/>
      <c r="Q72" s="47"/>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row>
    <row r="73">
      <c r="A73" s="47"/>
      <c r="B73" s="48" t="s">
        <v>48</v>
      </c>
      <c r="C73" s="49"/>
      <c r="D73" s="49"/>
      <c r="E73" s="49"/>
      <c r="F73" s="49"/>
      <c r="G73" s="49"/>
      <c r="H73" s="49"/>
      <c r="I73" s="49"/>
      <c r="J73" s="49"/>
      <c r="K73" s="49"/>
      <c r="L73" s="49"/>
      <c r="M73" s="49"/>
      <c r="N73" s="49"/>
      <c r="O73" s="49"/>
      <c r="P73" s="49"/>
      <c r="Q73" s="49"/>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row>
    <row r="74" outlineLevel="1">
      <c r="A74" s="47"/>
      <c r="B74" s="47"/>
      <c r="C74" s="47"/>
      <c r="D74" s="47"/>
      <c r="E74" s="47"/>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row>
    <row r="75" outlineLevel="1">
      <c r="A75" s="47"/>
      <c r="B75" s="65" t="s">
        <v>49</v>
      </c>
      <c r="C75" s="99"/>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row>
    <row r="76" outlineLevel="1">
      <c r="A76" s="47"/>
      <c r="B76" s="39" t="s">
        <v>50</v>
      </c>
      <c r="C76" s="99"/>
      <c r="D76" s="87">
        <v>0.5</v>
      </c>
      <c r="E76" s="47"/>
      <c r="F76" s="100"/>
      <c r="G76" s="100"/>
      <c r="H76" s="100"/>
      <c r="I76" s="100"/>
      <c r="J76" s="100"/>
      <c r="K76" s="100"/>
      <c r="L76" s="100"/>
      <c r="M76" s="100"/>
      <c r="N76" s="100"/>
      <c r="O76" s="100"/>
      <c r="P76" s="100"/>
      <c r="Q76" s="100"/>
      <c r="R76" s="88">
        <f>D76</f>
        <v>0.5</v>
      </c>
      <c r="S76" s="88">
        <f t="shared" ref="S76:BY76" si="56">R76</f>
        <v>0.5</v>
      </c>
      <c r="T76" s="88">
        <f t="shared" si="56"/>
        <v>0.5</v>
      </c>
      <c r="U76" s="88">
        <f t="shared" si="56"/>
        <v>0.5</v>
      </c>
      <c r="V76" s="88">
        <f t="shared" si="56"/>
        <v>0.5</v>
      </c>
      <c r="W76" s="88">
        <f t="shared" si="56"/>
        <v>0.5</v>
      </c>
      <c r="X76" s="88">
        <f t="shared" si="56"/>
        <v>0.5</v>
      </c>
      <c r="Y76" s="88">
        <f t="shared" si="56"/>
        <v>0.5</v>
      </c>
      <c r="Z76" s="88">
        <f t="shared" si="56"/>
        <v>0.5</v>
      </c>
      <c r="AA76" s="88">
        <f t="shared" si="56"/>
        <v>0.5</v>
      </c>
      <c r="AB76" s="88">
        <f t="shared" si="56"/>
        <v>0.5</v>
      </c>
      <c r="AC76" s="88">
        <f t="shared" si="56"/>
        <v>0.5</v>
      </c>
      <c r="AD76" s="88">
        <f t="shared" si="56"/>
        <v>0.5</v>
      </c>
      <c r="AE76" s="88">
        <f t="shared" si="56"/>
        <v>0.5</v>
      </c>
      <c r="AF76" s="88">
        <f t="shared" si="56"/>
        <v>0.5</v>
      </c>
      <c r="AG76" s="88">
        <f t="shared" si="56"/>
        <v>0.5</v>
      </c>
      <c r="AH76" s="88">
        <f t="shared" si="56"/>
        <v>0.5</v>
      </c>
      <c r="AI76" s="88">
        <f t="shared" si="56"/>
        <v>0.5</v>
      </c>
      <c r="AJ76" s="88">
        <f t="shared" si="56"/>
        <v>0.5</v>
      </c>
      <c r="AK76" s="88">
        <f t="shared" si="56"/>
        <v>0.5</v>
      </c>
      <c r="AL76" s="88">
        <f t="shared" si="56"/>
        <v>0.5</v>
      </c>
      <c r="AM76" s="88">
        <f t="shared" si="56"/>
        <v>0.5</v>
      </c>
      <c r="AN76" s="88">
        <f t="shared" si="56"/>
        <v>0.5</v>
      </c>
      <c r="AO76" s="88">
        <f t="shared" si="56"/>
        <v>0.5</v>
      </c>
      <c r="AP76" s="88">
        <f t="shared" si="56"/>
        <v>0.5</v>
      </c>
      <c r="AQ76" s="88">
        <f t="shared" si="56"/>
        <v>0.5</v>
      </c>
      <c r="AR76" s="88">
        <f t="shared" si="56"/>
        <v>0.5</v>
      </c>
      <c r="AS76" s="88">
        <f t="shared" si="56"/>
        <v>0.5</v>
      </c>
      <c r="AT76" s="88">
        <f t="shared" si="56"/>
        <v>0.5</v>
      </c>
      <c r="AU76" s="88">
        <f t="shared" si="56"/>
        <v>0.5</v>
      </c>
      <c r="AV76" s="88">
        <f t="shared" si="56"/>
        <v>0.5</v>
      </c>
      <c r="AW76" s="88">
        <f t="shared" si="56"/>
        <v>0.5</v>
      </c>
      <c r="AX76" s="88">
        <f t="shared" si="56"/>
        <v>0.5</v>
      </c>
      <c r="AY76" s="88">
        <f t="shared" si="56"/>
        <v>0.5</v>
      </c>
      <c r="AZ76" s="88">
        <f t="shared" si="56"/>
        <v>0.5</v>
      </c>
      <c r="BA76" s="88">
        <f t="shared" si="56"/>
        <v>0.5</v>
      </c>
      <c r="BB76" s="88">
        <f t="shared" si="56"/>
        <v>0.5</v>
      </c>
      <c r="BC76" s="88">
        <f t="shared" si="56"/>
        <v>0.5</v>
      </c>
      <c r="BD76" s="88">
        <f t="shared" si="56"/>
        <v>0.5</v>
      </c>
      <c r="BE76" s="88">
        <f t="shared" si="56"/>
        <v>0.5</v>
      </c>
      <c r="BF76" s="88">
        <f t="shared" si="56"/>
        <v>0.5</v>
      </c>
      <c r="BG76" s="88">
        <f t="shared" si="56"/>
        <v>0.5</v>
      </c>
      <c r="BH76" s="88">
        <f t="shared" si="56"/>
        <v>0.5</v>
      </c>
      <c r="BI76" s="88">
        <f t="shared" si="56"/>
        <v>0.5</v>
      </c>
      <c r="BJ76" s="88">
        <f t="shared" si="56"/>
        <v>0.5</v>
      </c>
      <c r="BK76" s="88">
        <f t="shared" si="56"/>
        <v>0.5</v>
      </c>
      <c r="BL76" s="88">
        <f t="shared" si="56"/>
        <v>0.5</v>
      </c>
      <c r="BM76" s="88">
        <f t="shared" si="56"/>
        <v>0.5</v>
      </c>
      <c r="BN76" s="88">
        <f t="shared" si="56"/>
        <v>0.5</v>
      </c>
      <c r="BO76" s="88">
        <f t="shared" si="56"/>
        <v>0.5</v>
      </c>
      <c r="BP76" s="88">
        <f t="shared" si="56"/>
        <v>0.5</v>
      </c>
      <c r="BQ76" s="88">
        <f t="shared" si="56"/>
        <v>0.5</v>
      </c>
      <c r="BR76" s="88">
        <f t="shared" si="56"/>
        <v>0.5</v>
      </c>
      <c r="BS76" s="88">
        <f t="shared" si="56"/>
        <v>0.5</v>
      </c>
      <c r="BT76" s="88">
        <f t="shared" si="56"/>
        <v>0.5</v>
      </c>
      <c r="BU76" s="88">
        <f t="shared" si="56"/>
        <v>0.5</v>
      </c>
      <c r="BV76" s="88">
        <f t="shared" si="56"/>
        <v>0.5</v>
      </c>
      <c r="BW76" s="88">
        <f t="shared" si="56"/>
        <v>0.5</v>
      </c>
      <c r="BX76" s="88">
        <f t="shared" si="56"/>
        <v>0.5</v>
      </c>
      <c r="BY76" s="88">
        <f t="shared" si="56"/>
        <v>0.5</v>
      </c>
    </row>
    <row r="77" outlineLevel="1">
      <c r="A77" s="47"/>
      <c r="B77" s="39" t="s">
        <v>17</v>
      </c>
      <c r="C77" s="99"/>
      <c r="D77" s="47"/>
      <c r="E77" s="47"/>
      <c r="F77" s="101"/>
      <c r="G77" s="101"/>
      <c r="H77" s="101"/>
      <c r="I77" s="101"/>
      <c r="J77" s="101"/>
      <c r="K77" s="101"/>
      <c r="L77" s="101"/>
      <c r="M77" s="101"/>
      <c r="N77" s="101"/>
      <c r="O77" s="101"/>
      <c r="P77" s="101"/>
      <c r="Q77" s="101"/>
      <c r="R77" s="101">
        <f t="shared" ref="R77:BY77" si="57">R76*R$71</f>
        <v>158.75</v>
      </c>
      <c r="S77" s="101">
        <f t="shared" si="57"/>
        <v>162.38125</v>
      </c>
      <c r="T77" s="101">
        <f t="shared" si="57"/>
        <v>162.4357188</v>
      </c>
      <c r="U77" s="101">
        <f t="shared" si="57"/>
        <v>162.4365358</v>
      </c>
      <c r="V77" s="101">
        <f t="shared" si="57"/>
        <v>162.436548</v>
      </c>
      <c r="W77" s="101">
        <f t="shared" si="57"/>
        <v>162.4365482</v>
      </c>
      <c r="X77" s="101">
        <f t="shared" si="57"/>
        <v>162.4365482</v>
      </c>
      <c r="Y77" s="101">
        <f t="shared" si="57"/>
        <v>162.4365482</v>
      </c>
      <c r="Z77" s="101">
        <f t="shared" si="57"/>
        <v>162.4365482</v>
      </c>
      <c r="AA77" s="101">
        <f t="shared" si="57"/>
        <v>162.4365482</v>
      </c>
      <c r="AB77" s="101">
        <f t="shared" si="57"/>
        <v>162.4365482</v>
      </c>
      <c r="AC77" s="101">
        <f t="shared" si="57"/>
        <v>162.4365482</v>
      </c>
      <c r="AD77" s="101">
        <f t="shared" si="57"/>
        <v>162.4365482</v>
      </c>
      <c r="AE77" s="101">
        <f t="shared" si="57"/>
        <v>162.4365482</v>
      </c>
      <c r="AF77" s="101">
        <f t="shared" si="57"/>
        <v>162.4365482</v>
      </c>
      <c r="AG77" s="101">
        <f t="shared" si="57"/>
        <v>162.4365482</v>
      </c>
      <c r="AH77" s="101">
        <f t="shared" si="57"/>
        <v>162.4365482</v>
      </c>
      <c r="AI77" s="101">
        <f t="shared" si="57"/>
        <v>162.4365482</v>
      </c>
      <c r="AJ77" s="101">
        <f t="shared" si="57"/>
        <v>162.4365482</v>
      </c>
      <c r="AK77" s="101">
        <f t="shared" si="57"/>
        <v>162.4365482</v>
      </c>
      <c r="AL77" s="101">
        <f t="shared" si="57"/>
        <v>162.4365482</v>
      </c>
      <c r="AM77" s="101">
        <f t="shared" si="57"/>
        <v>162.4365482</v>
      </c>
      <c r="AN77" s="101">
        <f t="shared" si="57"/>
        <v>162.4365482</v>
      </c>
      <c r="AO77" s="101">
        <f t="shared" si="57"/>
        <v>162.4365482</v>
      </c>
      <c r="AP77" s="101">
        <f t="shared" si="57"/>
        <v>162.4365482</v>
      </c>
      <c r="AQ77" s="101">
        <f t="shared" si="57"/>
        <v>162.4365482</v>
      </c>
      <c r="AR77" s="101">
        <f t="shared" si="57"/>
        <v>162.4365482</v>
      </c>
      <c r="AS77" s="101">
        <f t="shared" si="57"/>
        <v>162.4365482</v>
      </c>
      <c r="AT77" s="101">
        <f t="shared" si="57"/>
        <v>162.4365482</v>
      </c>
      <c r="AU77" s="101">
        <f t="shared" si="57"/>
        <v>162.4365482</v>
      </c>
      <c r="AV77" s="101">
        <f t="shared" si="57"/>
        <v>162.4365482</v>
      </c>
      <c r="AW77" s="101">
        <f t="shared" si="57"/>
        <v>162.4365482</v>
      </c>
      <c r="AX77" s="101">
        <f t="shared" si="57"/>
        <v>162.4365482</v>
      </c>
      <c r="AY77" s="101">
        <f t="shared" si="57"/>
        <v>162.4365482</v>
      </c>
      <c r="AZ77" s="101">
        <f t="shared" si="57"/>
        <v>162.4365482</v>
      </c>
      <c r="BA77" s="101">
        <f t="shared" si="57"/>
        <v>162.4365482</v>
      </c>
      <c r="BB77" s="101">
        <f t="shared" si="57"/>
        <v>162.4365482</v>
      </c>
      <c r="BC77" s="101">
        <f t="shared" si="57"/>
        <v>162.4365482</v>
      </c>
      <c r="BD77" s="101">
        <f t="shared" si="57"/>
        <v>162.4365482</v>
      </c>
      <c r="BE77" s="101">
        <f t="shared" si="57"/>
        <v>162.4365482</v>
      </c>
      <c r="BF77" s="101">
        <f t="shared" si="57"/>
        <v>162.4365482</v>
      </c>
      <c r="BG77" s="101">
        <f t="shared" si="57"/>
        <v>162.4365482</v>
      </c>
      <c r="BH77" s="101">
        <f t="shared" si="57"/>
        <v>162.4365482</v>
      </c>
      <c r="BI77" s="101">
        <f t="shared" si="57"/>
        <v>162.4365482</v>
      </c>
      <c r="BJ77" s="101">
        <f t="shared" si="57"/>
        <v>162.4365482</v>
      </c>
      <c r="BK77" s="101">
        <f t="shared" si="57"/>
        <v>162.4365482</v>
      </c>
      <c r="BL77" s="101">
        <f t="shared" si="57"/>
        <v>162.4365482</v>
      </c>
      <c r="BM77" s="101">
        <f t="shared" si="57"/>
        <v>162.4365482</v>
      </c>
      <c r="BN77" s="101">
        <f t="shared" si="57"/>
        <v>162.4365482</v>
      </c>
      <c r="BO77" s="101">
        <f t="shared" si="57"/>
        <v>162.4365482</v>
      </c>
      <c r="BP77" s="101">
        <f t="shared" si="57"/>
        <v>162.4365482</v>
      </c>
      <c r="BQ77" s="101">
        <f t="shared" si="57"/>
        <v>162.4365482</v>
      </c>
      <c r="BR77" s="101">
        <f t="shared" si="57"/>
        <v>162.4365482</v>
      </c>
      <c r="BS77" s="101">
        <f t="shared" si="57"/>
        <v>162.4365482</v>
      </c>
      <c r="BT77" s="101">
        <f t="shared" si="57"/>
        <v>162.4365482</v>
      </c>
      <c r="BU77" s="101">
        <f t="shared" si="57"/>
        <v>162.4365482</v>
      </c>
      <c r="BV77" s="101">
        <f t="shared" si="57"/>
        <v>162.4365482</v>
      </c>
      <c r="BW77" s="101">
        <f t="shared" si="57"/>
        <v>162.4365482</v>
      </c>
      <c r="BX77" s="101">
        <f t="shared" si="57"/>
        <v>162.4365482</v>
      </c>
      <c r="BY77" s="101">
        <f t="shared" si="57"/>
        <v>162.4365482</v>
      </c>
    </row>
    <row r="78" outlineLevel="1">
      <c r="A78" s="47"/>
      <c r="B78" s="39" t="s">
        <v>51</v>
      </c>
      <c r="C78" s="99"/>
      <c r="D78" s="47"/>
      <c r="E78" s="47"/>
      <c r="F78" s="39">
        <v>0.0</v>
      </c>
      <c r="G78" s="39">
        <v>0.0</v>
      </c>
      <c r="H78" s="39">
        <v>0.0</v>
      </c>
      <c r="I78" s="39">
        <v>0.0</v>
      </c>
      <c r="J78" s="39">
        <v>0.0</v>
      </c>
      <c r="K78" s="39">
        <v>0.0</v>
      </c>
      <c r="L78" s="39">
        <v>0.0</v>
      </c>
      <c r="M78" s="39">
        <v>0.0</v>
      </c>
      <c r="N78" s="39">
        <v>0.0</v>
      </c>
      <c r="O78" s="39">
        <v>0.0</v>
      </c>
      <c r="P78" s="39">
        <v>0.0</v>
      </c>
      <c r="Q78" s="39">
        <v>0.0</v>
      </c>
      <c r="R78" s="101">
        <f t="shared" ref="R78:BY78" si="58">R77+R83</f>
        <v>158.75</v>
      </c>
      <c r="S78" s="101">
        <f t="shared" si="58"/>
        <v>162.38125</v>
      </c>
      <c r="T78" s="101">
        <f t="shared" si="58"/>
        <v>162.4357188</v>
      </c>
      <c r="U78" s="101">
        <f t="shared" si="58"/>
        <v>162.4365358</v>
      </c>
      <c r="V78" s="101">
        <f t="shared" si="58"/>
        <v>162.436548</v>
      </c>
      <c r="W78" s="101">
        <f t="shared" si="58"/>
        <v>162.4365482</v>
      </c>
      <c r="X78" s="101">
        <f t="shared" si="58"/>
        <v>162.4365482</v>
      </c>
      <c r="Y78" s="101">
        <f t="shared" si="58"/>
        <v>162.4365482</v>
      </c>
      <c r="Z78" s="101">
        <f t="shared" si="58"/>
        <v>162.4365482</v>
      </c>
      <c r="AA78" s="101">
        <f t="shared" si="58"/>
        <v>162.4365482</v>
      </c>
      <c r="AB78" s="101">
        <f t="shared" si="58"/>
        <v>162.4365482</v>
      </c>
      <c r="AC78" s="101">
        <f t="shared" si="58"/>
        <v>162.4365482</v>
      </c>
      <c r="AD78" s="101">
        <f t="shared" si="58"/>
        <v>289.4365482</v>
      </c>
      <c r="AE78" s="101">
        <f t="shared" si="58"/>
        <v>292.3415482</v>
      </c>
      <c r="AF78" s="101">
        <f t="shared" si="58"/>
        <v>292.3851232</v>
      </c>
      <c r="AG78" s="101">
        <f t="shared" si="58"/>
        <v>292.3857768</v>
      </c>
      <c r="AH78" s="101">
        <f t="shared" si="58"/>
        <v>292.3857867</v>
      </c>
      <c r="AI78" s="101">
        <f t="shared" si="58"/>
        <v>292.3857868</v>
      </c>
      <c r="AJ78" s="101">
        <f t="shared" si="58"/>
        <v>292.3857868</v>
      </c>
      <c r="AK78" s="101">
        <f t="shared" si="58"/>
        <v>292.3857868</v>
      </c>
      <c r="AL78" s="101">
        <f t="shared" si="58"/>
        <v>292.3857868</v>
      </c>
      <c r="AM78" s="101">
        <f t="shared" si="58"/>
        <v>292.3857868</v>
      </c>
      <c r="AN78" s="101">
        <f t="shared" si="58"/>
        <v>292.3857868</v>
      </c>
      <c r="AO78" s="101">
        <f t="shared" si="58"/>
        <v>292.3857868</v>
      </c>
      <c r="AP78" s="101">
        <f t="shared" si="58"/>
        <v>393.9857868</v>
      </c>
      <c r="AQ78" s="101">
        <f t="shared" si="58"/>
        <v>396.3097868</v>
      </c>
      <c r="AR78" s="101">
        <f t="shared" si="58"/>
        <v>396.3446468</v>
      </c>
      <c r="AS78" s="101">
        <f t="shared" si="58"/>
        <v>396.3451697</v>
      </c>
      <c r="AT78" s="101">
        <f t="shared" si="58"/>
        <v>396.3451775</v>
      </c>
      <c r="AU78" s="101">
        <f t="shared" si="58"/>
        <v>396.3451777</v>
      </c>
      <c r="AV78" s="101">
        <f t="shared" si="58"/>
        <v>396.3451777</v>
      </c>
      <c r="AW78" s="101">
        <f t="shared" si="58"/>
        <v>396.3451777</v>
      </c>
      <c r="AX78" s="101">
        <f t="shared" si="58"/>
        <v>396.3451777</v>
      </c>
      <c r="AY78" s="101">
        <f t="shared" si="58"/>
        <v>396.3451777</v>
      </c>
      <c r="AZ78" s="101">
        <f t="shared" si="58"/>
        <v>396.3451777</v>
      </c>
      <c r="BA78" s="101">
        <f t="shared" si="58"/>
        <v>396.3451777</v>
      </c>
      <c r="BB78" s="101">
        <f t="shared" si="58"/>
        <v>477.6251777</v>
      </c>
      <c r="BC78" s="101">
        <f t="shared" si="58"/>
        <v>479.4843777</v>
      </c>
      <c r="BD78" s="101">
        <f t="shared" si="58"/>
        <v>479.5122657</v>
      </c>
      <c r="BE78" s="101">
        <f t="shared" si="58"/>
        <v>479.512684</v>
      </c>
      <c r="BF78" s="101">
        <f t="shared" si="58"/>
        <v>479.5126903</v>
      </c>
      <c r="BG78" s="101">
        <f t="shared" si="58"/>
        <v>479.5126904</v>
      </c>
      <c r="BH78" s="101">
        <f t="shared" si="58"/>
        <v>479.5126904</v>
      </c>
      <c r="BI78" s="101">
        <f t="shared" si="58"/>
        <v>479.5126904</v>
      </c>
      <c r="BJ78" s="101">
        <f t="shared" si="58"/>
        <v>479.5126904</v>
      </c>
      <c r="BK78" s="101">
        <f t="shared" si="58"/>
        <v>479.5126904</v>
      </c>
      <c r="BL78" s="101">
        <f t="shared" si="58"/>
        <v>479.5126904</v>
      </c>
      <c r="BM78" s="101">
        <f t="shared" si="58"/>
        <v>479.5126904</v>
      </c>
      <c r="BN78" s="101">
        <f t="shared" si="58"/>
        <v>544.5366904</v>
      </c>
      <c r="BO78" s="101">
        <f t="shared" si="58"/>
        <v>546.0240504</v>
      </c>
      <c r="BP78" s="101">
        <f t="shared" si="58"/>
        <v>546.0463608</v>
      </c>
      <c r="BQ78" s="101">
        <f t="shared" si="58"/>
        <v>546.0466954</v>
      </c>
      <c r="BR78" s="101">
        <f t="shared" si="58"/>
        <v>546.0467004</v>
      </c>
      <c r="BS78" s="101">
        <f t="shared" si="58"/>
        <v>546.0467005</v>
      </c>
      <c r="BT78" s="101">
        <f t="shared" si="58"/>
        <v>546.0467005</v>
      </c>
      <c r="BU78" s="101">
        <f t="shared" si="58"/>
        <v>546.0467005</v>
      </c>
      <c r="BV78" s="101">
        <f t="shared" si="58"/>
        <v>546.0467005</v>
      </c>
      <c r="BW78" s="101">
        <f t="shared" si="58"/>
        <v>546.0467005</v>
      </c>
      <c r="BX78" s="101">
        <f t="shared" si="58"/>
        <v>546.0467005</v>
      </c>
      <c r="BY78" s="101">
        <f t="shared" si="58"/>
        <v>546.0467005</v>
      </c>
    </row>
    <row r="79" outlineLevel="1">
      <c r="A79" s="47"/>
      <c r="B79" s="39" t="s">
        <v>52</v>
      </c>
      <c r="C79" s="99"/>
      <c r="D79" s="47"/>
      <c r="E79" s="47"/>
      <c r="F79" s="39"/>
      <c r="G79" s="39"/>
      <c r="H79" s="39"/>
      <c r="I79" s="39"/>
      <c r="J79" s="39"/>
      <c r="K79" s="39"/>
      <c r="L79" s="39"/>
      <c r="M79" s="39"/>
      <c r="N79" s="39"/>
      <c r="O79" s="39"/>
      <c r="P79" s="39"/>
      <c r="Q79" s="39"/>
      <c r="R79" s="47">
        <f t="shared" ref="R79:BY79" si="59">F78</f>
        <v>0</v>
      </c>
      <c r="S79" s="47">
        <f t="shared" si="59"/>
        <v>0</v>
      </c>
      <c r="T79" s="47">
        <f t="shared" si="59"/>
        <v>0</v>
      </c>
      <c r="U79" s="47">
        <f t="shared" si="59"/>
        <v>0</v>
      </c>
      <c r="V79" s="47">
        <f t="shared" si="59"/>
        <v>0</v>
      </c>
      <c r="W79" s="47">
        <f t="shared" si="59"/>
        <v>0</v>
      </c>
      <c r="X79" s="47">
        <f t="shared" si="59"/>
        <v>0</v>
      </c>
      <c r="Y79" s="47">
        <f t="shared" si="59"/>
        <v>0</v>
      </c>
      <c r="Z79" s="47">
        <f t="shared" si="59"/>
        <v>0</v>
      </c>
      <c r="AA79" s="47">
        <f t="shared" si="59"/>
        <v>0</v>
      </c>
      <c r="AB79" s="47">
        <f t="shared" si="59"/>
        <v>0</v>
      </c>
      <c r="AC79" s="47">
        <f t="shared" si="59"/>
        <v>0</v>
      </c>
      <c r="AD79" s="101">
        <f t="shared" si="59"/>
        <v>158.75</v>
      </c>
      <c r="AE79" s="101">
        <f t="shared" si="59"/>
        <v>162.38125</v>
      </c>
      <c r="AF79" s="101">
        <f t="shared" si="59"/>
        <v>162.4357188</v>
      </c>
      <c r="AG79" s="101">
        <f t="shared" si="59"/>
        <v>162.4365358</v>
      </c>
      <c r="AH79" s="101">
        <f t="shared" si="59"/>
        <v>162.436548</v>
      </c>
      <c r="AI79" s="101">
        <f t="shared" si="59"/>
        <v>162.4365482</v>
      </c>
      <c r="AJ79" s="101">
        <f t="shared" si="59"/>
        <v>162.4365482</v>
      </c>
      <c r="AK79" s="101">
        <f t="shared" si="59"/>
        <v>162.4365482</v>
      </c>
      <c r="AL79" s="101">
        <f t="shared" si="59"/>
        <v>162.4365482</v>
      </c>
      <c r="AM79" s="101">
        <f t="shared" si="59"/>
        <v>162.4365482</v>
      </c>
      <c r="AN79" s="101">
        <f t="shared" si="59"/>
        <v>162.4365482</v>
      </c>
      <c r="AO79" s="101">
        <f t="shared" si="59"/>
        <v>162.4365482</v>
      </c>
      <c r="AP79" s="101">
        <f t="shared" si="59"/>
        <v>289.4365482</v>
      </c>
      <c r="AQ79" s="101">
        <f t="shared" si="59"/>
        <v>292.3415482</v>
      </c>
      <c r="AR79" s="101">
        <f t="shared" si="59"/>
        <v>292.3851232</v>
      </c>
      <c r="AS79" s="101">
        <f t="shared" si="59"/>
        <v>292.3857768</v>
      </c>
      <c r="AT79" s="101">
        <f t="shared" si="59"/>
        <v>292.3857867</v>
      </c>
      <c r="AU79" s="101">
        <f t="shared" si="59"/>
        <v>292.3857868</v>
      </c>
      <c r="AV79" s="101">
        <f t="shared" si="59"/>
        <v>292.3857868</v>
      </c>
      <c r="AW79" s="101">
        <f t="shared" si="59"/>
        <v>292.3857868</v>
      </c>
      <c r="AX79" s="101">
        <f t="shared" si="59"/>
        <v>292.3857868</v>
      </c>
      <c r="AY79" s="101">
        <f t="shared" si="59"/>
        <v>292.3857868</v>
      </c>
      <c r="AZ79" s="101">
        <f t="shared" si="59"/>
        <v>292.3857868</v>
      </c>
      <c r="BA79" s="101">
        <f t="shared" si="59"/>
        <v>292.3857868</v>
      </c>
      <c r="BB79" s="101">
        <f t="shared" si="59"/>
        <v>393.9857868</v>
      </c>
      <c r="BC79" s="101">
        <f t="shared" si="59"/>
        <v>396.3097868</v>
      </c>
      <c r="BD79" s="101">
        <f t="shared" si="59"/>
        <v>396.3446468</v>
      </c>
      <c r="BE79" s="101">
        <f t="shared" si="59"/>
        <v>396.3451697</v>
      </c>
      <c r="BF79" s="101">
        <f t="shared" si="59"/>
        <v>396.3451775</v>
      </c>
      <c r="BG79" s="101">
        <f t="shared" si="59"/>
        <v>396.3451777</v>
      </c>
      <c r="BH79" s="101">
        <f t="shared" si="59"/>
        <v>396.3451777</v>
      </c>
      <c r="BI79" s="101">
        <f t="shared" si="59"/>
        <v>396.3451777</v>
      </c>
      <c r="BJ79" s="101">
        <f t="shared" si="59"/>
        <v>396.3451777</v>
      </c>
      <c r="BK79" s="101">
        <f t="shared" si="59"/>
        <v>396.3451777</v>
      </c>
      <c r="BL79" s="101">
        <f t="shared" si="59"/>
        <v>396.3451777</v>
      </c>
      <c r="BM79" s="101">
        <f t="shared" si="59"/>
        <v>396.3451777</v>
      </c>
      <c r="BN79" s="101">
        <f t="shared" si="59"/>
        <v>477.6251777</v>
      </c>
      <c r="BO79" s="101">
        <f t="shared" si="59"/>
        <v>479.4843777</v>
      </c>
      <c r="BP79" s="101">
        <f t="shared" si="59"/>
        <v>479.5122657</v>
      </c>
      <c r="BQ79" s="101">
        <f t="shared" si="59"/>
        <v>479.512684</v>
      </c>
      <c r="BR79" s="101">
        <f t="shared" si="59"/>
        <v>479.5126903</v>
      </c>
      <c r="BS79" s="101">
        <f t="shared" si="59"/>
        <v>479.5126904</v>
      </c>
      <c r="BT79" s="101">
        <f t="shared" si="59"/>
        <v>479.5126904</v>
      </c>
      <c r="BU79" s="101">
        <f t="shared" si="59"/>
        <v>479.5126904</v>
      </c>
      <c r="BV79" s="101">
        <f t="shared" si="59"/>
        <v>479.5126904</v>
      </c>
      <c r="BW79" s="101">
        <f t="shared" si="59"/>
        <v>479.5126904</v>
      </c>
      <c r="BX79" s="101">
        <f t="shared" si="59"/>
        <v>479.5126904</v>
      </c>
      <c r="BY79" s="101">
        <f t="shared" si="59"/>
        <v>479.5126904</v>
      </c>
    </row>
    <row r="80" outlineLevel="1">
      <c r="A80" s="47"/>
      <c r="B80" s="39" t="s">
        <v>53</v>
      </c>
      <c r="C80" s="99"/>
      <c r="D80" s="47"/>
      <c r="E80" s="47"/>
      <c r="F80" s="47"/>
      <c r="G80" s="47"/>
      <c r="H80" s="47"/>
      <c r="I80" s="47"/>
      <c r="J80" s="47"/>
      <c r="K80" s="47"/>
      <c r="L80" s="47"/>
      <c r="M80" s="47"/>
      <c r="N80" s="47"/>
      <c r="O80" s="47"/>
      <c r="P80" s="47"/>
      <c r="Q80" s="47"/>
      <c r="R80" s="101">
        <f t="shared" ref="R80:BY80" si="60">R85-R79</f>
        <v>0</v>
      </c>
      <c r="S80" s="101">
        <f t="shared" si="60"/>
        <v>158.75</v>
      </c>
      <c r="T80" s="101">
        <f t="shared" si="60"/>
        <v>321.13125</v>
      </c>
      <c r="U80" s="101">
        <f t="shared" si="60"/>
        <v>483.5669688</v>
      </c>
      <c r="V80" s="101">
        <f t="shared" si="60"/>
        <v>646.0035045</v>
      </c>
      <c r="W80" s="101">
        <f t="shared" si="60"/>
        <v>808.4400526</v>
      </c>
      <c r="X80" s="101">
        <f t="shared" si="60"/>
        <v>970.8766008</v>
      </c>
      <c r="Y80" s="101">
        <f t="shared" si="60"/>
        <v>1133.313149</v>
      </c>
      <c r="Z80" s="101">
        <f t="shared" si="60"/>
        <v>1295.749697</v>
      </c>
      <c r="AA80" s="101">
        <f t="shared" si="60"/>
        <v>1458.186245</v>
      </c>
      <c r="AB80" s="101">
        <f t="shared" si="60"/>
        <v>1620.622794</v>
      </c>
      <c r="AC80" s="101">
        <f t="shared" si="60"/>
        <v>1783.059342</v>
      </c>
      <c r="AD80" s="101">
        <f t="shared" si="60"/>
        <v>1786.74589</v>
      </c>
      <c r="AE80" s="101">
        <f t="shared" si="60"/>
        <v>1913.801188</v>
      </c>
      <c r="AF80" s="101">
        <f t="shared" si="60"/>
        <v>2043.707018</v>
      </c>
      <c r="AG80" s="101">
        <f t="shared" si="60"/>
        <v>2173.655605</v>
      </c>
      <c r="AH80" s="101">
        <f t="shared" si="60"/>
        <v>2303.604834</v>
      </c>
      <c r="AI80" s="101">
        <f t="shared" si="60"/>
        <v>2433.554073</v>
      </c>
      <c r="AJ80" s="101">
        <f t="shared" si="60"/>
        <v>2563.503311</v>
      </c>
      <c r="AK80" s="101">
        <f t="shared" si="60"/>
        <v>2693.45255</v>
      </c>
      <c r="AL80" s="101">
        <f t="shared" si="60"/>
        <v>2823.401788</v>
      </c>
      <c r="AM80" s="101">
        <f t="shared" si="60"/>
        <v>2953.351027</v>
      </c>
      <c r="AN80" s="101">
        <f t="shared" si="60"/>
        <v>3083.300265</v>
      </c>
      <c r="AO80" s="101">
        <f t="shared" si="60"/>
        <v>3213.249504</v>
      </c>
      <c r="AP80" s="101">
        <f t="shared" si="60"/>
        <v>3216.198743</v>
      </c>
      <c r="AQ80" s="101">
        <f t="shared" si="60"/>
        <v>3317.842981</v>
      </c>
      <c r="AR80" s="101">
        <f t="shared" si="60"/>
        <v>3421.767645</v>
      </c>
      <c r="AS80" s="101">
        <f t="shared" si="60"/>
        <v>3525.726515</v>
      </c>
      <c r="AT80" s="101">
        <f t="shared" si="60"/>
        <v>3629.685898</v>
      </c>
      <c r="AU80" s="101">
        <f t="shared" si="60"/>
        <v>3733.645288</v>
      </c>
      <c r="AV80" s="101">
        <f t="shared" si="60"/>
        <v>3837.604679</v>
      </c>
      <c r="AW80" s="101">
        <f t="shared" si="60"/>
        <v>3941.56407</v>
      </c>
      <c r="AX80" s="101">
        <f t="shared" si="60"/>
        <v>4045.523461</v>
      </c>
      <c r="AY80" s="101">
        <f t="shared" si="60"/>
        <v>4149.482852</v>
      </c>
      <c r="AZ80" s="101">
        <f t="shared" si="60"/>
        <v>4253.442243</v>
      </c>
      <c r="BA80" s="101">
        <f t="shared" si="60"/>
        <v>4357.401634</v>
      </c>
      <c r="BB80" s="101">
        <f t="shared" si="60"/>
        <v>4359.761025</v>
      </c>
      <c r="BC80" s="101">
        <f t="shared" si="60"/>
        <v>4441.076415</v>
      </c>
      <c r="BD80" s="101">
        <f t="shared" si="60"/>
        <v>4524.216146</v>
      </c>
      <c r="BE80" s="101">
        <f t="shared" si="60"/>
        <v>4607.383242</v>
      </c>
      <c r="BF80" s="101">
        <f t="shared" si="60"/>
        <v>4690.550749</v>
      </c>
      <c r="BG80" s="101">
        <f t="shared" si="60"/>
        <v>4773.718261</v>
      </c>
      <c r="BH80" s="101">
        <f t="shared" si="60"/>
        <v>4856.885774</v>
      </c>
      <c r="BI80" s="101">
        <f t="shared" si="60"/>
        <v>4940.053287</v>
      </c>
      <c r="BJ80" s="101">
        <f t="shared" si="60"/>
        <v>5023.220799</v>
      </c>
      <c r="BK80" s="101">
        <f t="shared" si="60"/>
        <v>5106.388312</v>
      </c>
      <c r="BL80" s="101">
        <f t="shared" si="60"/>
        <v>5189.555825</v>
      </c>
      <c r="BM80" s="101">
        <f t="shared" si="60"/>
        <v>5272.723337</v>
      </c>
      <c r="BN80" s="101">
        <f t="shared" si="60"/>
        <v>5274.61085</v>
      </c>
      <c r="BO80" s="101">
        <f t="shared" si="60"/>
        <v>5339.663163</v>
      </c>
      <c r="BP80" s="101">
        <f t="shared" si="60"/>
        <v>5406.174947</v>
      </c>
      <c r="BQ80" s="101">
        <f t="shared" si="60"/>
        <v>5472.708624</v>
      </c>
      <c r="BR80" s="101">
        <f t="shared" si="60"/>
        <v>5539.242629</v>
      </c>
      <c r="BS80" s="101">
        <f t="shared" si="60"/>
        <v>5605.776639</v>
      </c>
      <c r="BT80" s="101">
        <f t="shared" si="60"/>
        <v>5672.31065</v>
      </c>
      <c r="BU80" s="101">
        <f t="shared" si="60"/>
        <v>5738.84466</v>
      </c>
      <c r="BV80" s="101">
        <f t="shared" si="60"/>
        <v>5805.37867</v>
      </c>
      <c r="BW80" s="101">
        <f t="shared" si="60"/>
        <v>5871.91268</v>
      </c>
      <c r="BX80" s="101">
        <f t="shared" si="60"/>
        <v>5938.44669</v>
      </c>
      <c r="BY80" s="101">
        <f t="shared" si="60"/>
        <v>6004.9807</v>
      </c>
    </row>
    <row r="81" outlineLevel="1">
      <c r="A81" s="47"/>
      <c r="B81" s="39" t="s">
        <v>54</v>
      </c>
      <c r="C81" s="99"/>
      <c r="D81" s="87">
        <v>0.2</v>
      </c>
      <c r="E81" s="47"/>
      <c r="F81" s="100"/>
      <c r="G81" s="100"/>
      <c r="H81" s="100"/>
      <c r="I81" s="100"/>
      <c r="J81" s="100"/>
      <c r="K81" s="100"/>
      <c r="L81" s="100"/>
      <c r="M81" s="100"/>
      <c r="N81" s="100"/>
      <c r="O81" s="100"/>
      <c r="P81" s="100"/>
      <c r="Q81" s="100"/>
      <c r="R81" s="88">
        <f>D81</f>
        <v>0.2</v>
      </c>
      <c r="S81" s="88">
        <f t="shared" ref="S81:BY81" si="61">R81</f>
        <v>0.2</v>
      </c>
      <c r="T81" s="88">
        <f t="shared" si="61"/>
        <v>0.2</v>
      </c>
      <c r="U81" s="88">
        <f t="shared" si="61"/>
        <v>0.2</v>
      </c>
      <c r="V81" s="88">
        <f t="shared" si="61"/>
        <v>0.2</v>
      </c>
      <c r="W81" s="88">
        <f t="shared" si="61"/>
        <v>0.2</v>
      </c>
      <c r="X81" s="88">
        <f t="shared" si="61"/>
        <v>0.2</v>
      </c>
      <c r="Y81" s="88">
        <f t="shared" si="61"/>
        <v>0.2</v>
      </c>
      <c r="Z81" s="88">
        <f t="shared" si="61"/>
        <v>0.2</v>
      </c>
      <c r="AA81" s="88">
        <f t="shared" si="61"/>
        <v>0.2</v>
      </c>
      <c r="AB81" s="88">
        <f t="shared" si="61"/>
        <v>0.2</v>
      </c>
      <c r="AC81" s="88">
        <f t="shared" si="61"/>
        <v>0.2</v>
      </c>
      <c r="AD81" s="88">
        <f t="shared" si="61"/>
        <v>0.2</v>
      </c>
      <c r="AE81" s="88">
        <f t="shared" si="61"/>
        <v>0.2</v>
      </c>
      <c r="AF81" s="88">
        <f t="shared" si="61"/>
        <v>0.2</v>
      </c>
      <c r="AG81" s="88">
        <f t="shared" si="61"/>
        <v>0.2</v>
      </c>
      <c r="AH81" s="88">
        <f t="shared" si="61"/>
        <v>0.2</v>
      </c>
      <c r="AI81" s="88">
        <f t="shared" si="61"/>
        <v>0.2</v>
      </c>
      <c r="AJ81" s="88">
        <f t="shared" si="61"/>
        <v>0.2</v>
      </c>
      <c r="AK81" s="88">
        <f t="shared" si="61"/>
        <v>0.2</v>
      </c>
      <c r="AL81" s="88">
        <f t="shared" si="61"/>
        <v>0.2</v>
      </c>
      <c r="AM81" s="88">
        <f t="shared" si="61"/>
        <v>0.2</v>
      </c>
      <c r="AN81" s="88">
        <f t="shared" si="61"/>
        <v>0.2</v>
      </c>
      <c r="AO81" s="88">
        <f t="shared" si="61"/>
        <v>0.2</v>
      </c>
      <c r="AP81" s="88">
        <f t="shared" si="61"/>
        <v>0.2</v>
      </c>
      <c r="AQ81" s="88">
        <f t="shared" si="61"/>
        <v>0.2</v>
      </c>
      <c r="AR81" s="88">
        <f t="shared" si="61"/>
        <v>0.2</v>
      </c>
      <c r="AS81" s="88">
        <f t="shared" si="61"/>
        <v>0.2</v>
      </c>
      <c r="AT81" s="88">
        <f t="shared" si="61"/>
        <v>0.2</v>
      </c>
      <c r="AU81" s="88">
        <f t="shared" si="61"/>
        <v>0.2</v>
      </c>
      <c r="AV81" s="88">
        <f t="shared" si="61"/>
        <v>0.2</v>
      </c>
      <c r="AW81" s="88">
        <f t="shared" si="61"/>
        <v>0.2</v>
      </c>
      <c r="AX81" s="88">
        <f t="shared" si="61"/>
        <v>0.2</v>
      </c>
      <c r="AY81" s="88">
        <f t="shared" si="61"/>
        <v>0.2</v>
      </c>
      <c r="AZ81" s="88">
        <f t="shared" si="61"/>
        <v>0.2</v>
      </c>
      <c r="BA81" s="88">
        <f t="shared" si="61"/>
        <v>0.2</v>
      </c>
      <c r="BB81" s="88">
        <f t="shared" si="61"/>
        <v>0.2</v>
      </c>
      <c r="BC81" s="88">
        <f t="shared" si="61"/>
        <v>0.2</v>
      </c>
      <c r="BD81" s="88">
        <f t="shared" si="61"/>
        <v>0.2</v>
      </c>
      <c r="BE81" s="88">
        <f t="shared" si="61"/>
        <v>0.2</v>
      </c>
      <c r="BF81" s="88">
        <f t="shared" si="61"/>
        <v>0.2</v>
      </c>
      <c r="BG81" s="88">
        <f t="shared" si="61"/>
        <v>0.2</v>
      </c>
      <c r="BH81" s="88">
        <f t="shared" si="61"/>
        <v>0.2</v>
      </c>
      <c r="BI81" s="88">
        <f t="shared" si="61"/>
        <v>0.2</v>
      </c>
      <c r="BJ81" s="88">
        <f t="shared" si="61"/>
        <v>0.2</v>
      </c>
      <c r="BK81" s="88">
        <f t="shared" si="61"/>
        <v>0.2</v>
      </c>
      <c r="BL81" s="88">
        <f t="shared" si="61"/>
        <v>0.2</v>
      </c>
      <c r="BM81" s="88">
        <f t="shared" si="61"/>
        <v>0.2</v>
      </c>
      <c r="BN81" s="88">
        <f t="shared" si="61"/>
        <v>0.2</v>
      </c>
      <c r="BO81" s="88">
        <f t="shared" si="61"/>
        <v>0.2</v>
      </c>
      <c r="BP81" s="88">
        <f t="shared" si="61"/>
        <v>0.2</v>
      </c>
      <c r="BQ81" s="88">
        <f t="shared" si="61"/>
        <v>0.2</v>
      </c>
      <c r="BR81" s="88">
        <f t="shared" si="61"/>
        <v>0.2</v>
      </c>
      <c r="BS81" s="88">
        <f t="shared" si="61"/>
        <v>0.2</v>
      </c>
      <c r="BT81" s="88">
        <f t="shared" si="61"/>
        <v>0.2</v>
      </c>
      <c r="BU81" s="88">
        <f t="shared" si="61"/>
        <v>0.2</v>
      </c>
      <c r="BV81" s="88">
        <f t="shared" si="61"/>
        <v>0.2</v>
      </c>
      <c r="BW81" s="88">
        <f t="shared" si="61"/>
        <v>0.2</v>
      </c>
      <c r="BX81" s="88">
        <f t="shared" si="61"/>
        <v>0.2</v>
      </c>
      <c r="BY81" s="88">
        <f t="shared" si="61"/>
        <v>0.2</v>
      </c>
    </row>
    <row r="82" outlineLevel="1">
      <c r="A82" s="47"/>
      <c r="B82" s="39" t="s">
        <v>55</v>
      </c>
      <c r="C82" s="99"/>
      <c r="D82" s="47"/>
      <c r="E82" s="47"/>
      <c r="F82" s="101"/>
      <c r="G82" s="101"/>
      <c r="H82" s="101"/>
      <c r="I82" s="101"/>
      <c r="J82" s="101"/>
      <c r="K82" s="101"/>
      <c r="L82" s="101"/>
      <c r="M82" s="101"/>
      <c r="N82" s="101"/>
      <c r="O82" s="101"/>
      <c r="P82" s="101"/>
      <c r="Q82" s="101"/>
      <c r="R82" s="101">
        <f t="shared" ref="R82:BY82" si="62">R79*R81</f>
        <v>0</v>
      </c>
      <c r="S82" s="101">
        <f t="shared" si="62"/>
        <v>0</v>
      </c>
      <c r="T82" s="101">
        <f t="shared" si="62"/>
        <v>0</v>
      </c>
      <c r="U82" s="101">
        <f t="shared" si="62"/>
        <v>0</v>
      </c>
      <c r="V82" s="101">
        <f t="shared" si="62"/>
        <v>0</v>
      </c>
      <c r="W82" s="101">
        <f t="shared" si="62"/>
        <v>0</v>
      </c>
      <c r="X82" s="101">
        <f t="shared" si="62"/>
        <v>0</v>
      </c>
      <c r="Y82" s="101">
        <f t="shared" si="62"/>
        <v>0</v>
      </c>
      <c r="Z82" s="101">
        <f t="shared" si="62"/>
        <v>0</v>
      </c>
      <c r="AA82" s="101">
        <f t="shared" si="62"/>
        <v>0</v>
      </c>
      <c r="AB82" s="101">
        <f t="shared" si="62"/>
        <v>0</v>
      </c>
      <c r="AC82" s="101">
        <f t="shared" si="62"/>
        <v>0</v>
      </c>
      <c r="AD82" s="101">
        <f t="shared" si="62"/>
        <v>31.75</v>
      </c>
      <c r="AE82" s="101">
        <f t="shared" si="62"/>
        <v>32.47625</v>
      </c>
      <c r="AF82" s="101">
        <f t="shared" si="62"/>
        <v>32.48714375</v>
      </c>
      <c r="AG82" s="101">
        <f t="shared" si="62"/>
        <v>32.48730716</v>
      </c>
      <c r="AH82" s="101">
        <f t="shared" si="62"/>
        <v>32.48730961</v>
      </c>
      <c r="AI82" s="101">
        <f t="shared" si="62"/>
        <v>32.48730964</v>
      </c>
      <c r="AJ82" s="101">
        <f t="shared" si="62"/>
        <v>32.48730964</v>
      </c>
      <c r="AK82" s="101">
        <f t="shared" si="62"/>
        <v>32.48730964</v>
      </c>
      <c r="AL82" s="101">
        <f t="shared" si="62"/>
        <v>32.48730964</v>
      </c>
      <c r="AM82" s="101">
        <f t="shared" si="62"/>
        <v>32.48730964</v>
      </c>
      <c r="AN82" s="101">
        <f t="shared" si="62"/>
        <v>32.48730964</v>
      </c>
      <c r="AO82" s="101">
        <f t="shared" si="62"/>
        <v>32.48730964</v>
      </c>
      <c r="AP82" s="101">
        <f t="shared" si="62"/>
        <v>57.88730964</v>
      </c>
      <c r="AQ82" s="101">
        <f t="shared" si="62"/>
        <v>58.46830964</v>
      </c>
      <c r="AR82" s="101">
        <f t="shared" si="62"/>
        <v>58.47702464</v>
      </c>
      <c r="AS82" s="101">
        <f t="shared" si="62"/>
        <v>58.47715537</v>
      </c>
      <c r="AT82" s="101">
        <f t="shared" si="62"/>
        <v>58.47715733</v>
      </c>
      <c r="AU82" s="101">
        <f t="shared" si="62"/>
        <v>58.47715736</v>
      </c>
      <c r="AV82" s="101">
        <f t="shared" si="62"/>
        <v>58.47715736</v>
      </c>
      <c r="AW82" s="101">
        <f t="shared" si="62"/>
        <v>58.47715736</v>
      </c>
      <c r="AX82" s="101">
        <f t="shared" si="62"/>
        <v>58.47715736</v>
      </c>
      <c r="AY82" s="101">
        <f t="shared" si="62"/>
        <v>58.47715736</v>
      </c>
      <c r="AZ82" s="101">
        <f t="shared" si="62"/>
        <v>58.47715736</v>
      </c>
      <c r="BA82" s="101">
        <f t="shared" si="62"/>
        <v>58.47715736</v>
      </c>
      <c r="BB82" s="101">
        <f t="shared" si="62"/>
        <v>78.79715736</v>
      </c>
      <c r="BC82" s="101">
        <f t="shared" si="62"/>
        <v>79.26195736</v>
      </c>
      <c r="BD82" s="101">
        <f t="shared" si="62"/>
        <v>79.26892936</v>
      </c>
      <c r="BE82" s="101">
        <f t="shared" si="62"/>
        <v>79.26903394</v>
      </c>
      <c r="BF82" s="101">
        <f t="shared" si="62"/>
        <v>79.26903551</v>
      </c>
      <c r="BG82" s="101">
        <f t="shared" si="62"/>
        <v>79.26903553</v>
      </c>
      <c r="BH82" s="101">
        <f t="shared" si="62"/>
        <v>79.26903553</v>
      </c>
      <c r="BI82" s="101">
        <f t="shared" si="62"/>
        <v>79.26903553</v>
      </c>
      <c r="BJ82" s="101">
        <f t="shared" si="62"/>
        <v>79.26903553</v>
      </c>
      <c r="BK82" s="101">
        <f t="shared" si="62"/>
        <v>79.26903553</v>
      </c>
      <c r="BL82" s="101">
        <f t="shared" si="62"/>
        <v>79.26903553</v>
      </c>
      <c r="BM82" s="101">
        <f t="shared" si="62"/>
        <v>79.26903553</v>
      </c>
      <c r="BN82" s="101">
        <f t="shared" si="62"/>
        <v>95.52503553</v>
      </c>
      <c r="BO82" s="101">
        <f t="shared" si="62"/>
        <v>95.89687553</v>
      </c>
      <c r="BP82" s="101">
        <f t="shared" si="62"/>
        <v>95.90245313</v>
      </c>
      <c r="BQ82" s="101">
        <f t="shared" si="62"/>
        <v>95.9025368</v>
      </c>
      <c r="BR82" s="101">
        <f t="shared" si="62"/>
        <v>95.90253805</v>
      </c>
      <c r="BS82" s="101">
        <f t="shared" si="62"/>
        <v>95.90253807</v>
      </c>
      <c r="BT82" s="101">
        <f t="shared" si="62"/>
        <v>95.90253807</v>
      </c>
      <c r="BU82" s="101">
        <f t="shared" si="62"/>
        <v>95.90253807</v>
      </c>
      <c r="BV82" s="101">
        <f t="shared" si="62"/>
        <v>95.90253807</v>
      </c>
      <c r="BW82" s="101">
        <f t="shared" si="62"/>
        <v>95.90253807</v>
      </c>
      <c r="BX82" s="101">
        <f t="shared" si="62"/>
        <v>95.90253807</v>
      </c>
      <c r="BY82" s="101">
        <f t="shared" si="62"/>
        <v>95.90253807</v>
      </c>
    </row>
    <row r="83" outlineLevel="1">
      <c r="A83" s="47"/>
      <c r="B83" s="39" t="s">
        <v>56</v>
      </c>
      <c r="C83" s="99"/>
      <c r="D83" s="47"/>
      <c r="E83" s="47"/>
      <c r="F83" s="47"/>
      <c r="G83" s="47"/>
      <c r="H83" s="47"/>
      <c r="I83" s="47"/>
      <c r="J83" s="47"/>
      <c r="K83" s="47"/>
      <c r="L83" s="47"/>
      <c r="M83" s="47"/>
      <c r="N83" s="47"/>
      <c r="O83" s="47"/>
      <c r="P83" s="47"/>
      <c r="Q83" s="47"/>
      <c r="R83" s="101">
        <f t="shared" ref="R83:BY83" si="63">R79-R82</f>
        <v>0</v>
      </c>
      <c r="S83" s="101">
        <f t="shared" si="63"/>
        <v>0</v>
      </c>
      <c r="T83" s="101">
        <f t="shared" si="63"/>
        <v>0</v>
      </c>
      <c r="U83" s="101">
        <f t="shared" si="63"/>
        <v>0</v>
      </c>
      <c r="V83" s="101">
        <f t="shared" si="63"/>
        <v>0</v>
      </c>
      <c r="W83" s="101">
        <f t="shared" si="63"/>
        <v>0</v>
      </c>
      <c r="X83" s="101">
        <f t="shared" si="63"/>
        <v>0</v>
      </c>
      <c r="Y83" s="101">
        <f t="shared" si="63"/>
        <v>0</v>
      </c>
      <c r="Z83" s="101">
        <f t="shared" si="63"/>
        <v>0</v>
      </c>
      <c r="AA83" s="101">
        <f t="shared" si="63"/>
        <v>0</v>
      </c>
      <c r="AB83" s="101">
        <f t="shared" si="63"/>
        <v>0</v>
      </c>
      <c r="AC83" s="101">
        <f t="shared" si="63"/>
        <v>0</v>
      </c>
      <c r="AD83" s="101">
        <f t="shared" si="63"/>
        <v>127</v>
      </c>
      <c r="AE83" s="101">
        <f t="shared" si="63"/>
        <v>129.905</v>
      </c>
      <c r="AF83" s="101">
        <f t="shared" si="63"/>
        <v>129.948575</v>
      </c>
      <c r="AG83" s="101">
        <f t="shared" si="63"/>
        <v>129.9492286</v>
      </c>
      <c r="AH83" s="101">
        <f t="shared" si="63"/>
        <v>129.9492384</v>
      </c>
      <c r="AI83" s="101">
        <f t="shared" si="63"/>
        <v>129.9492386</v>
      </c>
      <c r="AJ83" s="101">
        <f t="shared" si="63"/>
        <v>129.9492386</v>
      </c>
      <c r="AK83" s="101">
        <f t="shared" si="63"/>
        <v>129.9492386</v>
      </c>
      <c r="AL83" s="101">
        <f t="shared" si="63"/>
        <v>129.9492386</v>
      </c>
      <c r="AM83" s="101">
        <f t="shared" si="63"/>
        <v>129.9492386</v>
      </c>
      <c r="AN83" s="101">
        <f t="shared" si="63"/>
        <v>129.9492386</v>
      </c>
      <c r="AO83" s="101">
        <f t="shared" si="63"/>
        <v>129.9492386</v>
      </c>
      <c r="AP83" s="101">
        <f t="shared" si="63"/>
        <v>231.5492386</v>
      </c>
      <c r="AQ83" s="101">
        <f t="shared" si="63"/>
        <v>233.8732386</v>
      </c>
      <c r="AR83" s="101">
        <f t="shared" si="63"/>
        <v>233.9080986</v>
      </c>
      <c r="AS83" s="101">
        <f t="shared" si="63"/>
        <v>233.9086215</v>
      </c>
      <c r="AT83" s="101">
        <f t="shared" si="63"/>
        <v>233.9086293</v>
      </c>
      <c r="AU83" s="101">
        <f t="shared" si="63"/>
        <v>233.9086294</v>
      </c>
      <c r="AV83" s="101">
        <f t="shared" si="63"/>
        <v>233.9086294</v>
      </c>
      <c r="AW83" s="101">
        <f t="shared" si="63"/>
        <v>233.9086294</v>
      </c>
      <c r="AX83" s="101">
        <f t="shared" si="63"/>
        <v>233.9086294</v>
      </c>
      <c r="AY83" s="101">
        <f t="shared" si="63"/>
        <v>233.9086294</v>
      </c>
      <c r="AZ83" s="101">
        <f t="shared" si="63"/>
        <v>233.9086294</v>
      </c>
      <c r="BA83" s="101">
        <f t="shared" si="63"/>
        <v>233.9086294</v>
      </c>
      <c r="BB83" s="101">
        <f t="shared" si="63"/>
        <v>315.1886294</v>
      </c>
      <c r="BC83" s="101">
        <f t="shared" si="63"/>
        <v>317.0478294</v>
      </c>
      <c r="BD83" s="101">
        <f t="shared" si="63"/>
        <v>317.0757174</v>
      </c>
      <c r="BE83" s="101">
        <f t="shared" si="63"/>
        <v>317.0761358</v>
      </c>
      <c r="BF83" s="101">
        <f t="shared" si="63"/>
        <v>317.076142</v>
      </c>
      <c r="BG83" s="101">
        <f t="shared" si="63"/>
        <v>317.0761421</v>
      </c>
      <c r="BH83" s="101">
        <f t="shared" si="63"/>
        <v>317.0761421</v>
      </c>
      <c r="BI83" s="101">
        <f t="shared" si="63"/>
        <v>317.0761421</v>
      </c>
      <c r="BJ83" s="101">
        <f t="shared" si="63"/>
        <v>317.0761421</v>
      </c>
      <c r="BK83" s="101">
        <f t="shared" si="63"/>
        <v>317.0761421</v>
      </c>
      <c r="BL83" s="101">
        <f t="shared" si="63"/>
        <v>317.0761421</v>
      </c>
      <c r="BM83" s="101">
        <f t="shared" si="63"/>
        <v>317.0761421</v>
      </c>
      <c r="BN83" s="101">
        <f t="shared" si="63"/>
        <v>382.1001421</v>
      </c>
      <c r="BO83" s="101">
        <f t="shared" si="63"/>
        <v>383.5875021</v>
      </c>
      <c r="BP83" s="101">
        <f t="shared" si="63"/>
        <v>383.6098125</v>
      </c>
      <c r="BQ83" s="101">
        <f t="shared" si="63"/>
        <v>383.6101472</v>
      </c>
      <c r="BR83" s="101">
        <f t="shared" si="63"/>
        <v>383.6101522</v>
      </c>
      <c r="BS83" s="101">
        <f t="shared" si="63"/>
        <v>383.6101523</v>
      </c>
      <c r="BT83" s="101">
        <f t="shared" si="63"/>
        <v>383.6101523</v>
      </c>
      <c r="BU83" s="101">
        <f t="shared" si="63"/>
        <v>383.6101523</v>
      </c>
      <c r="BV83" s="101">
        <f t="shared" si="63"/>
        <v>383.6101523</v>
      </c>
      <c r="BW83" s="101">
        <f t="shared" si="63"/>
        <v>383.6101523</v>
      </c>
      <c r="BX83" s="101">
        <f t="shared" si="63"/>
        <v>383.6101523</v>
      </c>
      <c r="BY83" s="101">
        <f t="shared" si="63"/>
        <v>383.6101523</v>
      </c>
    </row>
    <row r="84" outlineLevel="1">
      <c r="A84" s="47"/>
      <c r="B84" s="39" t="s">
        <v>57</v>
      </c>
      <c r="C84" s="99"/>
      <c r="D84" s="47"/>
      <c r="E84" s="47"/>
      <c r="F84" s="47"/>
      <c r="G84" s="47"/>
      <c r="H84" s="47"/>
      <c r="I84" s="47"/>
      <c r="J84" s="47"/>
      <c r="K84" s="47"/>
      <c r="L84" s="47"/>
      <c r="M84" s="47"/>
      <c r="N84" s="47"/>
      <c r="O84" s="47"/>
      <c r="P84" s="47"/>
      <c r="Q84" s="47"/>
      <c r="R84" s="101">
        <f t="shared" ref="R84:BY84" si="64">R78+R80</f>
        <v>158.75</v>
      </c>
      <c r="S84" s="101">
        <f t="shared" si="64"/>
        <v>321.13125</v>
      </c>
      <c r="T84" s="101">
        <f t="shared" si="64"/>
        <v>483.5669688</v>
      </c>
      <c r="U84" s="101">
        <f t="shared" si="64"/>
        <v>646.0035045</v>
      </c>
      <c r="V84" s="101">
        <f t="shared" si="64"/>
        <v>808.4400526</v>
      </c>
      <c r="W84" s="101">
        <f t="shared" si="64"/>
        <v>970.8766008</v>
      </c>
      <c r="X84" s="101">
        <f t="shared" si="64"/>
        <v>1133.313149</v>
      </c>
      <c r="Y84" s="101">
        <f t="shared" si="64"/>
        <v>1295.749697</v>
      </c>
      <c r="Z84" s="101">
        <f t="shared" si="64"/>
        <v>1458.186245</v>
      </c>
      <c r="AA84" s="101">
        <f t="shared" si="64"/>
        <v>1620.622794</v>
      </c>
      <c r="AB84" s="101">
        <f t="shared" si="64"/>
        <v>1783.059342</v>
      </c>
      <c r="AC84" s="101">
        <f t="shared" si="64"/>
        <v>1945.49589</v>
      </c>
      <c r="AD84" s="101">
        <f t="shared" si="64"/>
        <v>2076.182438</v>
      </c>
      <c r="AE84" s="101">
        <f t="shared" si="64"/>
        <v>2206.142737</v>
      </c>
      <c r="AF84" s="101">
        <f t="shared" si="64"/>
        <v>2336.092141</v>
      </c>
      <c r="AG84" s="101">
        <f t="shared" si="64"/>
        <v>2466.041382</v>
      </c>
      <c r="AH84" s="101">
        <f t="shared" si="64"/>
        <v>2595.990621</v>
      </c>
      <c r="AI84" s="101">
        <f t="shared" si="64"/>
        <v>2725.939859</v>
      </c>
      <c r="AJ84" s="101">
        <f t="shared" si="64"/>
        <v>2855.889098</v>
      </c>
      <c r="AK84" s="101">
        <f t="shared" si="64"/>
        <v>2985.838336</v>
      </c>
      <c r="AL84" s="101">
        <f t="shared" si="64"/>
        <v>3115.787575</v>
      </c>
      <c r="AM84" s="101">
        <f t="shared" si="64"/>
        <v>3245.736814</v>
      </c>
      <c r="AN84" s="101">
        <f t="shared" si="64"/>
        <v>3375.686052</v>
      </c>
      <c r="AO84" s="101">
        <f t="shared" si="64"/>
        <v>3505.635291</v>
      </c>
      <c r="AP84" s="101">
        <f t="shared" si="64"/>
        <v>3610.184529</v>
      </c>
      <c r="AQ84" s="101">
        <f t="shared" si="64"/>
        <v>3714.152768</v>
      </c>
      <c r="AR84" s="101">
        <f t="shared" si="64"/>
        <v>3818.112292</v>
      </c>
      <c r="AS84" s="101">
        <f t="shared" si="64"/>
        <v>3922.071684</v>
      </c>
      <c r="AT84" s="101">
        <f t="shared" si="64"/>
        <v>4026.031075</v>
      </c>
      <c r="AU84" s="101">
        <f t="shared" si="64"/>
        <v>4129.990466</v>
      </c>
      <c r="AV84" s="101">
        <f t="shared" si="64"/>
        <v>4233.949857</v>
      </c>
      <c r="AW84" s="101">
        <f t="shared" si="64"/>
        <v>4337.909248</v>
      </c>
      <c r="AX84" s="101">
        <f t="shared" si="64"/>
        <v>4441.868639</v>
      </c>
      <c r="AY84" s="101">
        <f t="shared" si="64"/>
        <v>4545.82803</v>
      </c>
      <c r="AZ84" s="101">
        <f t="shared" si="64"/>
        <v>4649.78742</v>
      </c>
      <c r="BA84" s="101">
        <f t="shared" si="64"/>
        <v>4753.746811</v>
      </c>
      <c r="BB84" s="101">
        <f t="shared" si="64"/>
        <v>4837.386202</v>
      </c>
      <c r="BC84" s="101">
        <f t="shared" si="64"/>
        <v>4920.560793</v>
      </c>
      <c r="BD84" s="101">
        <f t="shared" si="64"/>
        <v>5003.728412</v>
      </c>
      <c r="BE84" s="101">
        <f t="shared" si="64"/>
        <v>5086.895926</v>
      </c>
      <c r="BF84" s="101">
        <f t="shared" si="64"/>
        <v>5170.063439</v>
      </c>
      <c r="BG84" s="101">
        <f t="shared" si="64"/>
        <v>5253.230952</v>
      </c>
      <c r="BH84" s="101">
        <f t="shared" si="64"/>
        <v>5336.398464</v>
      </c>
      <c r="BI84" s="101">
        <f t="shared" si="64"/>
        <v>5419.565977</v>
      </c>
      <c r="BJ84" s="101">
        <f t="shared" si="64"/>
        <v>5502.73349</v>
      </c>
      <c r="BK84" s="101">
        <f t="shared" si="64"/>
        <v>5585.901002</v>
      </c>
      <c r="BL84" s="101">
        <f t="shared" si="64"/>
        <v>5669.068515</v>
      </c>
      <c r="BM84" s="101">
        <f t="shared" si="64"/>
        <v>5752.236028</v>
      </c>
      <c r="BN84" s="101">
        <f t="shared" si="64"/>
        <v>5819.14754</v>
      </c>
      <c r="BO84" s="101">
        <f t="shared" si="64"/>
        <v>5885.687213</v>
      </c>
      <c r="BP84" s="101">
        <f t="shared" si="64"/>
        <v>5952.221308</v>
      </c>
      <c r="BQ84" s="101">
        <f t="shared" si="64"/>
        <v>6018.75532</v>
      </c>
      <c r="BR84" s="101">
        <f t="shared" si="64"/>
        <v>6085.28933</v>
      </c>
      <c r="BS84" s="101">
        <f t="shared" si="64"/>
        <v>6151.82334</v>
      </c>
      <c r="BT84" s="101">
        <f t="shared" si="64"/>
        <v>6218.35735</v>
      </c>
      <c r="BU84" s="101">
        <f t="shared" si="64"/>
        <v>6284.89136</v>
      </c>
      <c r="BV84" s="101">
        <f t="shared" si="64"/>
        <v>6351.42537</v>
      </c>
      <c r="BW84" s="101">
        <f t="shared" si="64"/>
        <v>6417.959381</v>
      </c>
      <c r="BX84" s="101">
        <f t="shared" si="64"/>
        <v>6484.493391</v>
      </c>
      <c r="BY84" s="101">
        <f t="shared" si="64"/>
        <v>6551.027401</v>
      </c>
    </row>
    <row r="85" outlineLevel="1">
      <c r="A85" s="47"/>
      <c r="B85" s="39" t="s">
        <v>58</v>
      </c>
      <c r="C85" s="47"/>
      <c r="D85" s="47"/>
      <c r="E85" s="47"/>
      <c r="F85" s="102"/>
      <c r="G85" s="102"/>
      <c r="H85" s="102"/>
      <c r="I85" s="102"/>
      <c r="J85" s="102"/>
      <c r="K85" s="102"/>
      <c r="L85" s="102"/>
      <c r="M85" s="102"/>
      <c r="N85" s="102"/>
      <c r="O85" s="102"/>
      <c r="P85" s="102"/>
      <c r="Q85" s="102"/>
      <c r="R85" s="102" t="str">
        <f>E84</f>
        <v/>
      </c>
      <c r="S85" s="102">
        <f t="shared" ref="S85:BY85" si="65">R84</f>
        <v>158.75</v>
      </c>
      <c r="T85" s="102">
        <f t="shared" si="65"/>
        <v>321.13125</v>
      </c>
      <c r="U85" s="102">
        <f t="shared" si="65"/>
        <v>483.5669688</v>
      </c>
      <c r="V85" s="102">
        <f t="shared" si="65"/>
        <v>646.0035045</v>
      </c>
      <c r="W85" s="102">
        <f t="shared" si="65"/>
        <v>808.4400526</v>
      </c>
      <c r="X85" s="102">
        <f t="shared" si="65"/>
        <v>970.8766008</v>
      </c>
      <c r="Y85" s="102">
        <f t="shared" si="65"/>
        <v>1133.313149</v>
      </c>
      <c r="Z85" s="102">
        <f t="shared" si="65"/>
        <v>1295.749697</v>
      </c>
      <c r="AA85" s="102">
        <f t="shared" si="65"/>
        <v>1458.186245</v>
      </c>
      <c r="AB85" s="102">
        <f t="shared" si="65"/>
        <v>1620.622794</v>
      </c>
      <c r="AC85" s="102">
        <f t="shared" si="65"/>
        <v>1783.059342</v>
      </c>
      <c r="AD85" s="102">
        <f t="shared" si="65"/>
        <v>1945.49589</v>
      </c>
      <c r="AE85" s="102">
        <f t="shared" si="65"/>
        <v>2076.182438</v>
      </c>
      <c r="AF85" s="102">
        <f t="shared" si="65"/>
        <v>2206.142737</v>
      </c>
      <c r="AG85" s="102">
        <f t="shared" si="65"/>
        <v>2336.092141</v>
      </c>
      <c r="AH85" s="102">
        <f t="shared" si="65"/>
        <v>2466.041382</v>
      </c>
      <c r="AI85" s="102">
        <f t="shared" si="65"/>
        <v>2595.990621</v>
      </c>
      <c r="AJ85" s="102">
        <f t="shared" si="65"/>
        <v>2725.939859</v>
      </c>
      <c r="AK85" s="102">
        <f t="shared" si="65"/>
        <v>2855.889098</v>
      </c>
      <c r="AL85" s="102">
        <f t="shared" si="65"/>
        <v>2985.838336</v>
      </c>
      <c r="AM85" s="102">
        <f t="shared" si="65"/>
        <v>3115.787575</v>
      </c>
      <c r="AN85" s="102">
        <f t="shared" si="65"/>
        <v>3245.736814</v>
      </c>
      <c r="AO85" s="102">
        <f t="shared" si="65"/>
        <v>3375.686052</v>
      </c>
      <c r="AP85" s="102">
        <f t="shared" si="65"/>
        <v>3505.635291</v>
      </c>
      <c r="AQ85" s="102">
        <f t="shared" si="65"/>
        <v>3610.184529</v>
      </c>
      <c r="AR85" s="102">
        <f t="shared" si="65"/>
        <v>3714.152768</v>
      </c>
      <c r="AS85" s="102">
        <f t="shared" si="65"/>
        <v>3818.112292</v>
      </c>
      <c r="AT85" s="102">
        <f t="shared" si="65"/>
        <v>3922.071684</v>
      </c>
      <c r="AU85" s="102">
        <f t="shared" si="65"/>
        <v>4026.031075</v>
      </c>
      <c r="AV85" s="102">
        <f t="shared" si="65"/>
        <v>4129.990466</v>
      </c>
      <c r="AW85" s="102">
        <f t="shared" si="65"/>
        <v>4233.949857</v>
      </c>
      <c r="AX85" s="102">
        <f t="shared" si="65"/>
        <v>4337.909248</v>
      </c>
      <c r="AY85" s="102">
        <f t="shared" si="65"/>
        <v>4441.868639</v>
      </c>
      <c r="AZ85" s="102">
        <f t="shared" si="65"/>
        <v>4545.82803</v>
      </c>
      <c r="BA85" s="102">
        <f t="shared" si="65"/>
        <v>4649.78742</v>
      </c>
      <c r="BB85" s="102">
        <f t="shared" si="65"/>
        <v>4753.746811</v>
      </c>
      <c r="BC85" s="102">
        <f t="shared" si="65"/>
        <v>4837.386202</v>
      </c>
      <c r="BD85" s="102">
        <f t="shared" si="65"/>
        <v>4920.560793</v>
      </c>
      <c r="BE85" s="102">
        <f t="shared" si="65"/>
        <v>5003.728412</v>
      </c>
      <c r="BF85" s="102">
        <f t="shared" si="65"/>
        <v>5086.895926</v>
      </c>
      <c r="BG85" s="102">
        <f t="shared" si="65"/>
        <v>5170.063439</v>
      </c>
      <c r="BH85" s="102">
        <f t="shared" si="65"/>
        <v>5253.230952</v>
      </c>
      <c r="BI85" s="102">
        <f t="shared" si="65"/>
        <v>5336.398464</v>
      </c>
      <c r="BJ85" s="102">
        <f t="shared" si="65"/>
        <v>5419.565977</v>
      </c>
      <c r="BK85" s="102">
        <f t="shared" si="65"/>
        <v>5502.73349</v>
      </c>
      <c r="BL85" s="102">
        <f t="shared" si="65"/>
        <v>5585.901002</v>
      </c>
      <c r="BM85" s="102">
        <f t="shared" si="65"/>
        <v>5669.068515</v>
      </c>
      <c r="BN85" s="102">
        <f t="shared" si="65"/>
        <v>5752.236028</v>
      </c>
      <c r="BO85" s="102">
        <f t="shared" si="65"/>
        <v>5819.14754</v>
      </c>
      <c r="BP85" s="102">
        <f t="shared" si="65"/>
        <v>5885.687213</v>
      </c>
      <c r="BQ85" s="102">
        <f t="shared" si="65"/>
        <v>5952.221308</v>
      </c>
      <c r="BR85" s="102">
        <f t="shared" si="65"/>
        <v>6018.75532</v>
      </c>
      <c r="BS85" s="102">
        <f t="shared" si="65"/>
        <v>6085.28933</v>
      </c>
      <c r="BT85" s="102">
        <f t="shared" si="65"/>
        <v>6151.82334</v>
      </c>
      <c r="BU85" s="102">
        <f t="shared" si="65"/>
        <v>6218.35735</v>
      </c>
      <c r="BV85" s="102">
        <f t="shared" si="65"/>
        <v>6284.89136</v>
      </c>
      <c r="BW85" s="102">
        <f t="shared" si="65"/>
        <v>6351.42537</v>
      </c>
      <c r="BX85" s="102">
        <f t="shared" si="65"/>
        <v>6417.959381</v>
      </c>
      <c r="BY85" s="102">
        <f t="shared" si="65"/>
        <v>6484.493391</v>
      </c>
    </row>
    <row r="86" outlineLevel="1">
      <c r="A86" s="47"/>
      <c r="B86" s="39" t="s">
        <v>59</v>
      </c>
      <c r="C86" s="47"/>
      <c r="D86" s="103">
        <v>100.0</v>
      </c>
      <c r="E86" s="47"/>
      <c r="F86" s="104"/>
      <c r="G86" s="104"/>
      <c r="H86" s="104"/>
      <c r="I86" s="104"/>
      <c r="J86" s="104"/>
      <c r="K86" s="104"/>
      <c r="L86" s="104"/>
      <c r="M86" s="104"/>
      <c r="N86" s="104"/>
      <c r="O86" s="104"/>
      <c r="P86" s="104"/>
      <c r="Q86" s="104"/>
      <c r="R86" s="105">
        <f>D86</f>
        <v>100</v>
      </c>
      <c r="S86" s="105">
        <f t="shared" ref="S86:BY86" si="66">R86</f>
        <v>100</v>
      </c>
      <c r="T86" s="105">
        <f t="shared" si="66"/>
        <v>100</v>
      </c>
      <c r="U86" s="105">
        <f t="shared" si="66"/>
        <v>100</v>
      </c>
      <c r="V86" s="105">
        <f t="shared" si="66"/>
        <v>100</v>
      </c>
      <c r="W86" s="105">
        <f t="shared" si="66"/>
        <v>100</v>
      </c>
      <c r="X86" s="105">
        <f t="shared" si="66"/>
        <v>100</v>
      </c>
      <c r="Y86" s="105">
        <f t="shared" si="66"/>
        <v>100</v>
      </c>
      <c r="Z86" s="105">
        <f t="shared" si="66"/>
        <v>100</v>
      </c>
      <c r="AA86" s="105">
        <f t="shared" si="66"/>
        <v>100</v>
      </c>
      <c r="AB86" s="105">
        <f t="shared" si="66"/>
        <v>100</v>
      </c>
      <c r="AC86" s="105">
        <f t="shared" si="66"/>
        <v>100</v>
      </c>
      <c r="AD86" s="105">
        <f t="shared" si="66"/>
        <v>100</v>
      </c>
      <c r="AE86" s="105">
        <f t="shared" si="66"/>
        <v>100</v>
      </c>
      <c r="AF86" s="105">
        <f t="shared" si="66"/>
        <v>100</v>
      </c>
      <c r="AG86" s="105">
        <f t="shared" si="66"/>
        <v>100</v>
      </c>
      <c r="AH86" s="105">
        <f t="shared" si="66"/>
        <v>100</v>
      </c>
      <c r="AI86" s="105">
        <f t="shared" si="66"/>
        <v>100</v>
      </c>
      <c r="AJ86" s="105">
        <f t="shared" si="66"/>
        <v>100</v>
      </c>
      <c r="AK86" s="105">
        <f t="shared" si="66"/>
        <v>100</v>
      </c>
      <c r="AL86" s="105">
        <f t="shared" si="66"/>
        <v>100</v>
      </c>
      <c r="AM86" s="105">
        <f t="shared" si="66"/>
        <v>100</v>
      </c>
      <c r="AN86" s="105">
        <f t="shared" si="66"/>
        <v>100</v>
      </c>
      <c r="AO86" s="105">
        <f t="shared" si="66"/>
        <v>100</v>
      </c>
      <c r="AP86" s="105">
        <f t="shared" si="66"/>
        <v>100</v>
      </c>
      <c r="AQ86" s="105">
        <f t="shared" si="66"/>
        <v>100</v>
      </c>
      <c r="AR86" s="105">
        <f t="shared" si="66"/>
        <v>100</v>
      </c>
      <c r="AS86" s="105">
        <f t="shared" si="66"/>
        <v>100</v>
      </c>
      <c r="AT86" s="105">
        <f t="shared" si="66"/>
        <v>100</v>
      </c>
      <c r="AU86" s="105">
        <f t="shared" si="66"/>
        <v>100</v>
      </c>
      <c r="AV86" s="105">
        <f t="shared" si="66"/>
        <v>100</v>
      </c>
      <c r="AW86" s="105">
        <f t="shared" si="66"/>
        <v>100</v>
      </c>
      <c r="AX86" s="105">
        <f t="shared" si="66"/>
        <v>100</v>
      </c>
      <c r="AY86" s="105">
        <f t="shared" si="66"/>
        <v>100</v>
      </c>
      <c r="AZ86" s="105">
        <f t="shared" si="66"/>
        <v>100</v>
      </c>
      <c r="BA86" s="105">
        <f t="shared" si="66"/>
        <v>100</v>
      </c>
      <c r="BB86" s="105">
        <f t="shared" si="66"/>
        <v>100</v>
      </c>
      <c r="BC86" s="105">
        <f t="shared" si="66"/>
        <v>100</v>
      </c>
      <c r="BD86" s="105">
        <f t="shared" si="66"/>
        <v>100</v>
      </c>
      <c r="BE86" s="105">
        <f t="shared" si="66"/>
        <v>100</v>
      </c>
      <c r="BF86" s="105">
        <f t="shared" si="66"/>
        <v>100</v>
      </c>
      <c r="BG86" s="105">
        <f t="shared" si="66"/>
        <v>100</v>
      </c>
      <c r="BH86" s="105">
        <f t="shared" si="66"/>
        <v>100</v>
      </c>
      <c r="BI86" s="105">
        <f t="shared" si="66"/>
        <v>100</v>
      </c>
      <c r="BJ86" s="105">
        <f t="shared" si="66"/>
        <v>100</v>
      </c>
      <c r="BK86" s="105">
        <f t="shared" si="66"/>
        <v>100</v>
      </c>
      <c r="BL86" s="105">
        <f t="shared" si="66"/>
        <v>100</v>
      </c>
      <c r="BM86" s="105">
        <f t="shared" si="66"/>
        <v>100</v>
      </c>
      <c r="BN86" s="105">
        <f t="shared" si="66"/>
        <v>100</v>
      </c>
      <c r="BO86" s="105">
        <f t="shared" si="66"/>
        <v>100</v>
      </c>
      <c r="BP86" s="105">
        <f t="shared" si="66"/>
        <v>100</v>
      </c>
      <c r="BQ86" s="105">
        <f t="shared" si="66"/>
        <v>100</v>
      </c>
      <c r="BR86" s="105">
        <f t="shared" si="66"/>
        <v>100</v>
      </c>
      <c r="BS86" s="105">
        <f t="shared" si="66"/>
        <v>100</v>
      </c>
      <c r="BT86" s="105">
        <f t="shared" si="66"/>
        <v>100</v>
      </c>
      <c r="BU86" s="105">
        <f t="shared" si="66"/>
        <v>100</v>
      </c>
      <c r="BV86" s="105">
        <f t="shared" si="66"/>
        <v>100</v>
      </c>
      <c r="BW86" s="105">
        <f t="shared" si="66"/>
        <v>100</v>
      </c>
      <c r="BX86" s="105">
        <f t="shared" si="66"/>
        <v>100</v>
      </c>
      <c r="BY86" s="105">
        <f t="shared" si="66"/>
        <v>100</v>
      </c>
    </row>
    <row r="87" outlineLevel="1">
      <c r="A87" s="47"/>
      <c r="B87" s="71" t="s">
        <v>60</v>
      </c>
      <c r="C87" s="59"/>
      <c r="D87" s="61"/>
      <c r="E87" s="61"/>
      <c r="F87" s="61"/>
      <c r="G87" s="61"/>
      <c r="H87" s="61"/>
      <c r="I87" s="61"/>
      <c r="J87" s="61"/>
      <c r="K87" s="61"/>
      <c r="L87" s="61"/>
      <c r="M87" s="61"/>
      <c r="N87" s="61"/>
      <c r="O87" s="61"/>
      <c r="P87" s="61"/>
      <c r="Q87" s="61"/>
      <c r="R87" s="106">
        <f t="shared" ref="R87:BY87" si="67">R78*R86</f>
        <v>15875</v>
      </c>
      <c r="S87" s="106">
        <f t="shared" si="67"/>
        <v>16238.125</v>
      </c>
      <c r="T87" s="106">
        <f t="shared" si="67"/>
        <v>16243.57188</v>
      </c>
      <c r="U87" s="106">
        <f t="shared" si="67"/>
        <v>16243.65358</v>
      </c>
      <c r="V87" s="106">
        <f t="shared" si="67"/>
        <v>16243.6548</v>
      </c>
      <c r="W87" s="106">
        <f t="shared" si="67"/>
        <v>16243.65482</v>
      </c>
      <c r="X87" s="106">
        <f t="shared" si="67"/>
        <v>16243.65482</v>
      </c>
      <c r="Y87" s="106">
        <f t="shared" si="67"/>
        <v>16243.65482</v>
      </c>
      <c r="Z87" s="106">
        <f t="shared" si="67"/>
        <v>16243.65482</v>
      </c>
      <c r="AA87" s="106">
        <f t="shared" si="67"/>
        <v>16243.65482</v>
      </c>
      <c r="AB87" s="106">
        <f t="shared" si="67"/>
        <v>16243.65482</v>
      </c>
      <c r="AC87" s="106">
        <f t="shared" si="67"/>
        <v>16243.65482</v>
      </c>
      <c r="AD87" s="106">
        <f t="shared" si="67"/>
        <v>28943.65482</v>
      </c>
      <c r="AE87" s="106">
        <f t="shared" si="67"/>
        <v>29234.15482</v>
      </c>
      <c r="AF87" s="106">
        <f t="shared" si="67"/>
        <v>29238.51232</v>
      </c>
      <c r="AG87" s="106">
        <f t="shared" si="67"/>
        <v>29238.57768</v>
      </c>
      <c r="AH87" s="106">
        <f t="shared" si="67"/>
        <v>29238.57867</v>
      </c>
      <c r="AI87" s="106">
        <f t="shared" si="67"/>
        <v>29238.57868</v>
      </c>
      <c r="AJ87" s="106">
        <f t="shared" si="67"/>
        <v>29238.57868</v>
      </c>
      <c r="AK87" s="106">
        <f t="shared" si="67"/>
        <v>29238.57868</v>
      </c>
      <c r="AL87" s="106">
        <f t="shared" si="67"/>
        <v>29238.57868</v>
      </c>
      <c r="AM87" s="106">
        <f t="shared" si="67"/>
        <v>29238.57868</v>
      </c>
      <c r="AN87" s="106">
        <f t="shared" si="67"/>
        <v>29238.57868</v>
      </c>
      <c r="AO87" s="106">
        <f t="shared" si="67"/>
        <v>29238.57868</v>
      </c>
      <c r="AP87" s="106">
        <f t="shared" si="67"/>
        <v>39398.57868</v>
      </c>
      <c r="AQ87" s="106">
        <f t="shared" si="67"/>
        <v>39630.97868</v>
      </c>
      <c r="AR87" s="106">
        <f t="shared" si="67"/>
        <v>39634.46468</v>
      </c>
      <c r="AS87" s="106">
        <f t="shared" si="67"/>
        <v>39634.51697</v>
      </c>
      <c r="AT87" s="106">
        <f t="shared" si="67"/>
        <v>39634.51775</v>
      </c>
      <c r="AU87" s="106">
        <f t="shared" si="67"/>
        <v>39634.51777</v>
      </c>
      <c r="AV87" s="106">
        <f t="shared" si="67"/>
        <v>39634.51777</v>
      </c>
      <c r="AW87" s="106">
        <f t="shared" si="67"/>
        <v>39634.51777</v>
      </c>
      <c r="AX87" s="106">
        <f t="shared" si="67"/>
        <v>39634.51777</v>
      </c>
      <c r="AY87" s="106">
        <f t="shared" si="67"/>
        <v>39634.51777</v>
      </c>
      <c r="AZ87" s="106">
        <f t="shared" si="67"/>
        <v>39634.51777</v>
      </c>
      <c r="BA87" s="106">
        <f t="shared" si="67"/>
        <v>39634.51777</v>
      </c>
      <c r="BB87" s="106">
        <f t="shared" si="67"/>
        <v>47762.51777</v>
      </c>
      <c r="BC87" s="106">
        <f t="shared" si="67"/>
        <v>47948.43777</v>
      </c>
      <c r="BD87" s="106">
        <f t="shared" si="67"/>
        <v>47951.22657</v>
      </c>
      <c r="BE87" s="106">
        <f t="shared" si="67"/>
        <v>47951.2684</v>
      </c>
      <c r="BF87" s="106">
        <f t="shared" si="67"/>
        <v>47951.26903</v>
      </c>
      <c r="BG87" s="106">
        <f t="shared" si="67"/>
        <v>47951.26904</v>
      </c>
      <c r="BH87" s="106">
        <f t="shared" si="67"/>
        <v>47951.26904</v>
      </c>
      <c r="BI87" s="106">
        <f t="shared" si="67"/>
        <v>47951.26904</v>
      </c>
      <c r="BJ87" s="106">
        <f t="shared" si="67"/>
        <v>47951.26904</v>
      </c>
      <c r="BK87" s="106">
        <f t="shared" si="67"/>
        <v>47951.26904</v>
      </c>
      <c r="BL87" s="106">
        <f t="shared" si="67"/>
        <v>47951.26904</v>
      </c>
      <c r="BM87" s="106">
        <f t="shared" si="67"/>
        <v>47951.26904</v>
      </c>
      <c r="BN87" s="106">
        <f t="shared" si="67"/>
        <v>54453.66904</v>
      </c>
      <c r="BO87" s="106">
        <f t="shared" si="67"/>
        <v>54602.40504</v>
      </c>
      <c r="BP87" s="106">
        <f t="shared" si="67"/>
        <v>54604.63608</v>
      </c>
      <c r="BQ87" s="106">
        <f t="shared" si="67"/>
        <v>54604.66954</v>
      </c>
      <c r="BR87" s="106">
        <f t="shared" si="67"/>
        <v>54604.67004</v>
      </c>
      <c r="BS87" s="106">
        <f t="shared" si="67"/>
        <v>54604.67005</v>
      </c>
      <c r="BT87" s="106">
        <f t="shared" si="67"/>
        <v>54604.67005</v>
      </c>
      <c r="BU87" s="106">
        <f t="shared" si="67"/>
        <v>54604.67005</v>
      </c>
      <c r="BV87" s="106">
        <f t="shared" si="67"/>
        <v>54604.67005</v>
      </c>
      <c r="BW87" s="106">
        <f t="shared" si="67"/>
        <v>54604.67005</v>
      </c>
      <c r="BX87" s="106">
        <f t="shared" si="67"/>
        <v>54604.67005</v>
      </c>
      <c r="BY87" s="106">
        <f t="shared" si="67"/>
        <v>54604.67005</v>
      </c>
    </row>
    <row r="88" outlineLevel="1">
      <c r="A88" s="47"/>
      <c r="B88" s="73" t="s">
        <v>61</v>
      </c>
      <c r="C88" s="47"/>
      <c r="D88" s="74"/>
      <c r="E88" s="74"/>
      <c r="F88" s="107"/>
      <c r="G88" s="107"/>
      <c r="H88" s="107"/>
      <c r="I88" s="107"/>
      <c r="J88" s="107"/>
      <c r="K88" s="107"/>
      <c r="L88" s="107"/>
      <c r="M88" s="107"/>
      <c r="N88" s="107"/>
      <c r="O88" s="107"/>
      <c r="P88" s="107"/>
      <c r="Q88" s="107"/>
      <c r="R88" s="108">
        <f t="shared" ref="R88:BY88" si="68">(R86/12)*R84</f>
        <v>1322.916667</v>
      </c>
      <c r="S88" s="108">
        <f t="shared" si="68"/>
        <v>2676.09375</v>
      </c>
      <c r="T88" s="108">
        <f t="shared" si="68"/>
        <v>4029.72474</v>
      </c>
      <c r="U88" s="108">
        <f t="shared" si="68"/>
        <v>5383.362538</v>
      </c>
      <c r="V88" s="108">
        <f t="shared" si="68"/>
        <v>6737.000438</v>
      </c>
      <c r="W88" s="108">
        <f t="shared" si="68"/>
        <v>8090.63834</v>
      </c>
      <c r="X88" s="108">
        <f t="shared" si="68"/>
        <v>9444.276242</v>
      </c>
      <c r="Y88" s="108">
        <f t="shared" si="68"/>
        <v>10797.91414</v>
      </c>
      <c r="Z88" s="108">
        <f t="shared" si="68"/>
        <v>12151.55205</v>
      </c>
      <c r="AA88" s="108">
        <f t="shared" si="68"/>
        <v>13505.18995</v>
      </c>
      <c r="AB88" s="108">
        <f t="shared" si="68"/>
        <v>14858.82785</v>
      </c>
      <c r="AC88" s="108">
        <f t="shared" si="68"/>
        <v>16212.46575</v>
      </c>
      <c r="AD88" s="108">
        <f t="shared" si="68"/>
        <v>17301.52032</v>
      </c>
      <c r="AE88" s="108">
        <f t="shared" si="68"/>
        <v>18384.5228</v>
      </c>
      <c r="AF88" s="108">
        <f t="shared" si="68"/>
        <v>19467.43451</v>
      </c>
      <c r="AG88" s="108">
        <f t="shared" si="68"/>
        <v>20550.34485</v>
      </c>
      <c r="AH88" s="108">
        <f t="shared" si="68"/>
        <v>21633.25517</v>
      </c>
      <c r="AI88" s="108">
        <f t="shared" si="68"/>
        <v>22716.16549</v>
      </c>
      <c r="AJ88" s="108">
        <f t="shared" si="68"/>
        <v>23799.07582</v>
      </c>
      <c r="AK88" s="108">
        <f t="shared" si="68"/>
        <v>24881.98614</v>
      </c>
      <c r="AL88" s="108">
        <f t="shared" si="68"/>
        <v>25964.89646</v>
      </c>
      <c r="AM88" s="108">
        <f t="shared" si="68"/>
        <v>27047.80678</v>
      </c>
      <c r="AN88" s="108">
        <f t="shared" si="68"/>
        <v>28130.7171</v>
      </c>
      <c r="AO88" s="108">
        <f t="shared" si="68"/>
        <v>29213.62742</v>
      </c>
      <c r="AP88" s="108">
        <f t="shared" si="68"/>
        <v>30084.87108</v>
      </c>
      <c r="AQ88" s="108">
        <f t="shared" si="68"/>
        <v>30951.27307</v>
      </c>
      <c r="AR88" s="108">
        <f t="shared" si="68"/>
        <v>31817.60243</v>
      </c>
      <c r="AS88" s="108">
        <f t="shared" si="68"/>
        <v>32683.9307</v>
      </c>
      <c r="AT88" s="108">
        <f t="shared" si="68"/>
        <v>33550.25896</v>
      </c>
      <c r="AU88" s="108">
        <f t="shared" si="68"/>
        <v>34416.58722</v>
      </c>
      <c r="AV88" s="108">
        <f t="shared" si="68"/>
        <v>35282.91547</v>
      </c>
      <c r="AW88" s="108">
        <f t="shared" si="68"/>
        <v>36149.24373</v>
      </c>
      <c r="AX88" s="108">
        <f t="shared" si="68"/>
        <v>37015.57199</v>
      </c>
      <c r="AY88" s="108">
        <f t="shared" si="68"/>
        <v>37881.90025</v>
      </c>
      <c r="AZ88" s="108">
        <f t="shared" si="68"/>
        <v>38748.2285</v>
      </c>
      <c r="BA88" s="108">
        <f t="shared" si="68"/>
        <v>39614.55676</v>
      </c>
      <c r="BB88" s="108">
        <f t="shared" si="68"/>
        <v>40311.55168</v>
      </c>
      <c r="BC88" s="108">
        <f t="shared" si="68"/>
        <v>41004.67328</v>
      </c>
      <c r="BD88" s="108">
        <f t="shared" si="68"/>
        <v>41697.73677</v>
      </c>
      <c r="BE88" s="108">
        <f t="shared" si="68"/>
        <v>42390.79938</v>
      </c>
      <c r="BF88" s="108">
        <f t="shared" si="68"/>
        <v>43083.86199</v>
      </c>
      <c r="BG88" s="108">
        <f t="shared" si="68"/>
        <v>43776.9246</v>
      </c>
      <c r="BH88" s="108">
        <f t="shared" si="68"/>
        <v>44469.9872</v>
      </c>
      <c r="BI88" s="108">
        <f t="shared" si="68"/>
        <v>45163.04981</v>
      </c>
      <c r="BJ88" s="108">
        <f t="shared" si="68"/>
        <v>45856.11241</v>
      </c>
      <c r="BK88" s="108">
        <f t="shared" si="68"/>
        <v>46549.17502</v>
      </c>
      <c r="BL88" s="108">
        <f t="shared" si="68"/>
        <v>47242.23763</v>
      </c>
      <c r="BM88" s="108">
        <f t="shared" si="68"/>
        <v>47935.30023</v>
      </c>
      <c r="BN88" s="108">
        <f t="shared" si="68"/>
        <v>48492.89617</v>
      </c>
      <c r="BO88" s="108">
        <f t="shared" si="68"/>
        <v>49047.39344</v>
      </c>
      <c r="BP88" s="108">
        <f t="shared" si="68"/>
        <v>49601.84423</v>
      </c>
      <c r="BQ88" s="108">
        <f t="shared" si="68"/>
        <v>50156.29433</v>
      </c>
      <c r="BR88" s="108">
        <f t="shared" si="68"/>
        <v>50710.74441</v>
      </c>
      <c r="BS88" s="108">
        <f t="shared" si="68"/>
        <v>51265.1945</v>
      </c>
      <c r="BT88" s="108">
        <f t="shared" si="68"/>
        <v>51819.64458</v>
      </c>
      <c r="BU88" s="108">
        <f t="shared" si="68"/>
        <v>52374.09467</v>
      </c>
      <c r="BV88" s="108">
        <f t="shared" si="68"/>
        <v>52928.54475</v>
      </c>
      <c r="BW88" s="108">
        <f t="shared" si="68"/>
        <v>53482.99484</v>
      </c>
      <c r="BX88" s="108">
        <f t="shared" si="68"/>
        <v>54037.44492</v>
      </c>
      <c r="BY88" s="108">
        <f t="shared" si="68"/>
        <v>54591.89501</v>
      </c>
    </row>
    <row r="89" outlineLevel="1">
      <c r="A89" s="47"/>
      <c r="B89" s="73"/>
      <c r="C89" s="47"/>
      <c r="D89" s="74"/>
      <c r="E89" s="74"/>
      <c r="F89" s="107"/>
      <c r="G89" s="107"/>
      <c r="H89" s="107"/>
      <c r="I89" s="107"/>
      <c r="J89" s="107"/>
      <c r="K89" s="107"/>
      <c r="L89" s="107"/>
      <c r="M89" s="107"/>
      <c r="N89" s="107"/>
      <c r="O89" s="107"/>
      <c r="P89" s="107"/>
      <c r="Q89" s="107"/>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c r="BN89" s="108"/>
      <c r="BO89" s="108"/>
      <c r="BP89" s="108"/>
      <c r="BQ89" s="108"/>
      <c r="BR89" s="108"/>
      <c r="BS89" s="108"/>
      <c r="BT89" s="108"/>
      <c r="BU89" s="108"/>
      <c r="BV89" s="108"/>
      <c r="BW89" s="108"/>
      <c r="BX89" s="108"/>
      <c r="BY89" s="108"/>
    </row>
    <row r="90" outlineLevel="1">
      <c r="A90" s="47"/>
      <c r="B90" s="65" t="s">
        <v>62</v>
      </c>
      <c r="C90" s="99"/>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row>
    <row r="91" outlineLevel="1">
      <c r="A91" s="47"/>
      <c r="B91" s="39" t="s">
        <v>50</v>
      </c>
      <c r="C91" s="99"/>
      <c r="D91" s="87">
        <v>0.3</v>
      </c>
      <c r="E91" s="47"/>
      <c r="F91" s="100"/>
      <c r="G91" s="100"/>
      <c r="H91" s="100"/>
      <c r="I91" s="100"/>
      <c r="J91" s="100"/>
      <c r="K91" s="100"/>
      <c r="L91" s="100"/>
      <c r="M91" s="100"/>
      <c r="N91" s="100"/>
      <c r="O91" s="100"/>
      <c r="P91" s="100"/>
      <c r="Q91" s="100"/>
      <c r="R91" s="88">
        <f>D91</f>
        <v>0.3</v>
      </c>
      <c r="S91" s="88">
        <f t="shared" ref="S91:BY91" si="69">R91</f>
        <v>0.3</v>
      </c>
      <c r="T91" s="88">
        <f t="shared" si="69"/>
        <v>0.3</v>
      </c>
      <c r="U91" s="88">
        <f t="shared" si="69"/>
        <v>0.3</v>
      </c>
      <c r="V91" s="88">
        <f t="shared" si="69"/>
        <v>0.3</v>
      </c>
      <c r="W91" s="88">
        <f t="shared" si="69"/>
        <v>0.3</v>
      </c>
      <c r="X91" s="88">
        <f t="shared" si="69"/>
        <v>0.3</v>
      </c>
      <c r="Y91" s="88">
        <f t="shared" si="69"/>
        <v>0.3</v>
      </c>
      <c r="Z91" s="88">
        <f t="shared" si="69"/>
        <v>0.3</v>
      </c>
      <c r="AA91" s="88">
        <f t="shared" si="69"/>
        <v>0.3</v>
      </c>
      <c r="AB91" s="88">
        <f t="shared" si="69"/>
        <v>0.3</v>
      </c>
      <c r="AC91" s="88">
        <f t="shared" si="69"/>
        <v>0.3</v>
      </c>
      <c r="AD91" s="88">
        <f t="shared" si="69"/>
        <v>0.3</v>
      </c>
      <c r="AE91" s="88">
        <f t="shared" si="69"/>
        <v>0.3</v>
      </c>
      <c r="AF91" s="88">
        <f t="shared" si="69"/>
        <v>0.3</v>
      </c>
      <c r="AG91" s="88">
        <f t="shared" si="69"/>
        <v>0.3</v>
      </c>
      <c r="AH91" s="88">
        <f t="shared" si="69"/>
        <v>0.3</v>
      </c>
      <c r="AI91" s="88">
        <f t="shared" si="69"/>
        <v>0.3</v>
      </c>
      <c r="AJ91" s="88">
        <f t="shared" si="69"/>
        <v>0.3</v>
      </c>
      <c r="AK91" s="88">
        <f t="shared" si="69"/>
        <v>0.3</v>
      </c>
      <c r="AL91" s="88">
        <f t="shared" si="69"/>
        <v>0.3</v>
      </c>
      <c r="AM91" s="88">
        <f t="shared" si="69"/>
        <v>0.3</v>
      </c>
      <c r="AN91" s="88">
        <f t="shared" si="69"/>
        <v>0.3</v>
      </c>
      <c r="AO91" s="88">
        <f t="shared" si="69"/>
        <v>0.3</v>
      </c>
      <c r="AP91" s="88">
        <f t="shared" si="69"/>
        <v>0.3</v>
      </c>
      <c r="AQ91" s="88">
        <f t="shared" si="69"/>
        <v>0.3</v>
      </c>
      <c r="AR91" s="88">
        <f t="shared" si="69"/>
        <v>0.3</v>
      </c>
      <c r="AS91" s="88">
        <f t="shared" si="69"/>
        <v>0.3</v>
      </c>
      <c r="AT91" s="88">
        <f t="shared" si="69"/>
        <v>0.3</v>
      </c>
      <c r="AU91" s="88">
        <f t="shared" si="69"/>
        <v>0.3</v>
      </c>
      <c r="AV91" s="88">
        <f t="shared" si="69"/>
        <v>0.3</v>
      </c>
      <c r="AW91" s="88">
        <f t="shared" si="69"/>
        <v>0.3</v>
      </c>
      <c r="AX91" s="88">
        <f t="shared" si="69"/>
        <v>0.3</v>
      </c>
      <c r="AY91" s="88">
        <f t="shared" si="69"/>
        <v>0.3</v>
      </c>
      <c r="AZ91" s="88">
        <f t="shared" si="69"/>
        <v>0.3</v>
      </c>
      <c r="BA91" s="88">
        <f t="shared" si="69"/>
        <v>0.3</v>
      </c>
      <c r="BB91" s="88">
        <f t="shared" si="69"/>
        <v>0.3</v>
      </c>
      <c r="BC91" s="88">
        <f t="shared" si="69"/>
        <v>0.3</v>
      </c>
      <c r="BD91" s="88">
        <f t="shared" si="69"/>
        <v>0.3</v>
      </c>
      <c r="BE91" s="88">
        <f t="shared" si="69"/>
        <v>0.3</v>
      </c>
      <c r="BF91" s="88">
        <f t="shared" si="69"/>
        <v>0.3</v>
      </c>
      <c r="BG91" s="88">
        <f t="shared" si="69"/>
        <v>0.3</v>
      </c>
      <c r="BH91" s="88">
        <f t="shared" si="69"/>
        <v>0.3</v>
      </c>
      <c r="BI91" s="88">
        <f t="shared" si="69"/>
        <v>0.3</v>
      </c>
      <c r="BJ91" s="88">
        <f t="shared" si="69"/>
        <v>0.3</v>
      </c>
      <c r="BK91" s="88">
        <f t="shared" si="69"/>
        <v>0.3</v>
      </c>
      <c r="BL91" s="88">
        <f t="shared" si="69"/>
        <v>0.3</v>
      </c>
      <c r="BM91" s="88">
        <f t="shared" si="69"/>
        <v>0.3</v>
      </c>
      <c r="BN91" s="88">
        <f t="shared" si="69"/>
        <v>0.3</v>
      </c>
      <c r="BO91" s="88">
        <f t="shared" si="69"/>
        <v>0.3</v>
      </c>
      <c r="BP91" s="88">
        <f t="shared" si="69"/>
        <v>0.3</v>
      </c>
      <c r="BQ91" s="88">
        <f t="shared" si="69"/>
        <v>0.3</v>
      </c>
      <c r="BR91" s="88">
        <f t="shared" si="69"/>
        <v>0.3</v>
      </c>
      <c r="BS91" s="88">
        <f t="shared" si="69"/>
        <v>0.3</v>
      </c>
      <c r="BT91" s="88">
        <f t="shared" si="69"/>
        <v>0.3</v>
      </c>
      <c r="BU91" s="88">
        <f t="shared" si="69"/>
        <v>0.3</v>
      </c>
      <c r="BV91" s="88">
        <f t="shared" si="69"/>
        <v>0.3</v>
      </c>
      <c r="BW91" s="88">
        <f t="shared" si="69"/>
        <v>0.3</v>
      </c>
      <c r="BX91" s="88">
        <f t="shared" si="69"/>
        <v>0.3</v>
      </c>
      <c r="BY91" s="88">
        <f t="shared" si="69"/>
        <v>0.3</v>
      </c>
    </row>
    <row r="92" outlineLevel="1">
      <c r="A92" s="47"/>
      <c r="B92" s="39" t="s">
        <v>17</v>
      </c>
      <c r="C92" s="99"/>
      <c r="D92" s="47"/>
      <c r="E92" s="47"/>
      <c r="F92" s="101"/>
      <c r="G92" s="101"/>
      <c r="H92" s="101"/>
      <c r="I92" s="101"/>
      <c r="J92" s="101"/>
      <c r="K92" s="101"/>
      <c r="L92" s="101"/>
      <c r="M92" s="101"/>
      <c r="N92" s="101"/>
      <c r="O92" s="101"/>
      <c r="P92" s="101"/>
      <c r="Q92" s="101"/>
      <c r="R92" s="101">
        <f t="shared" ref="R92:BY92" si="70">R91*R$71</f>
        <v>95.25</v>
      </c>
      <c r="S92" s="101">
        <f t="shared" si="70"/>
        <v>97.42875</v>
      </c>
      <c r="T92" s="101">
        <f t="shared" si="70"/>
        <v>97.46143125</v>
      </c>
      <c r="U92" s="101">
        <f t="shared" si="70"/>
        <v>97.46192147</v>
      </c>
      <c r="V92" s="101">
        <f t="shared" si="70"/>
        <v>97.46192882</v>
      </c>
      <c r="W92" s="101">
        <f t="shared" si="70"/>
        <v>97.46192893</v>
      </c>
      <c r="X92" s="101">
        <f t="shared" si="70"/>
        <v>97.46192893</v>
      </c>
      <c r="Y92" s="101">
        <f t="shared" si="70"/>
        <v>97.46192893</v>
      </c>
      <c r="Z92" s="101">
        <f t="shared" si="70"/>
        <v>97.46192893</v>
      </c>
      <c r="AA92" s="101">
        <f t="shared" si="70"/>
        <v>97.46192893</v>
      </c>
      <c r="AB92" s="101">
        <f t="shared" si="70"/>
        <v>97.46192893</v>
      </c>
      <c r="AC92" s="101">
        <f t="shared" si="70"/>
        <v>97.46192893</v>
      </c>
      <c r="AD92" s="101">
        <f t="shared" si="70"/>
        <v>97.46192893</v>
      </c>
      <c r="AE92" s="101">
        <f t="shared" si="70"/>
        <v>97.46192893</v>
      </c>
      <c r="AF92" s="101">
        <f t="shared" si="70"/>
        <v>97.46192893</v>
      </c>
      <c r="AG92" s="101">
        <f t="shared" si="70"/>
        <v>97.46192893</v>
      </c>
      <c r="AH92" s="101">
        <f t="shared" si="70"/>
        <v>97.46192893</v>
      </c>
      <c r="AI92" s="101">
        <f t="shared" si="70"/>
        <v>97.46192893</v>
      </c>
      <c r="AJ92" s="101">
        <f t="shared" si="70"/>
        <v>97.46192893</v>
      </c>
      <c r="AK92" s="101">
        <f t="shared" si="70"/>
        <v>97.46192893</v>
      </c>
      <c r="AL92" s="101">
        <f t="shared" si="70"/>
        <v>97.46192893</v>
      </c>
      <c r="AM92" s="101">
        <f t="shared" si="70"/>
        <v>97.46192893</v>
      </c>
      <c r="AN92" s="101">
        <f t="shared" si="70"/>
        <v>97.46192893</v>
      </c>
      <c r="AO92" s="101">
        <f t="shared" si="70"/>
        <v>97.46192893</v>
      </c>
      <c r="AP92" s="101">
        <f t="shared" si="70"/>
        <v>97.46192893</v>
      </c>
      <c r="AQ92" s="101">
        <f t="shared" si="70"/>
        <v>97.46192893</v>
      </c>
      <c r="AR92" s="101">
        <f t="shared" si="70"/>
        <v>97.46192893</v>
      </c>
      <c r="AS92" s="101">
        <f t="shared" si="70"/>
        <v>97.46192893</v>
      </c>
      <c r="AT92" s="101">
        <f t="shared" si="70"/>
        <v>97.46192893</v>
      </c>
      <c r="AU92" s="101">
        <f t="shared" si="70"/>
        <v>97.46192893</v>
      </c>
      <c r="AV92" s="101">
        <f t="shared" si="70"/>
        <v>97.46192893</v>
      </c>
      <c r="AW92" s="101">
        <f t="shared" si="70"/>
        <v>97.46192893</v>
      </c>
      <c r="AX92" s="101">
        <f t="shared" si="70"/>
        <v>97.46192893</v>
      </c>
      <c r="AY92" s="101">
        <f t="shared" si="70"/>
        <v>97.46192893</v>
      </c>
      <c r="AZ92" s="101">
        <f t="shared" si="70"/>
        <v>97.46192893</v>
      </c>
      <c r="BA92" s="101">
        <f t="shared" si="70"/>
        <v>97.46192893</v>
      </c>
      <c r="BB92" s="101">
        <f t="shared" si="70"/>
        <v>97.46192893</v>
      </c>
      <c r="BC92" s="101">
        <f t="shared" si="70"/>
        <v>97.46192893</v>
      </c>
      <c r="BD92" s="101">
        <f t="shared" si="70"/>
        <v>97.46192893</v>
      </c>
      <c r="BE92" s="101">
        <f t="shared" si="70"/>
        <v>97.46192893</v>
      </c>
      <c r="BF92" s="101">
        <f t="shared" si="70"/>
        <v>97.46192893</v>
      </c>
      <c r="BG92" s="101">
        <f t="shared" si="70"/>
        <v>97.46192893</v>
      </c>
      <c r="BH92" s="101">
        <f t="shared" si="70"/>
        <v>97.46192893</v>
      </c>
      <c r="BI92" s="101">
        <f t="shared" si="70"/>
        <v>97.46192893</v>
      </c>
      <c r="BJ92" s="101">
        <f t="shared" si="70"/>
        <v>97.46192893</v>
      </c>
      <c r="BK92" s="101">
        <f t="shared" si="70"/>
        <v>97.46192893</v>
      </c>
      <c r="BL92" s="101">
        <f t="shared" si="70"/>
        <v>97.46192893</v>
      </c>
      <c r="BM92" s="101">
        <f t="shared" si="70"/>
        <v>97.46192893</v>
      </c>
      <c r="BN92" s="101">
        <f t="shared" si="70"/>
        <v>97.46192893</v>
      </c>
      <c r="BO92" s="101">
        <f t="shared" si="70"/>
        <v>97.46192893</v>
      </c>
      <c r="BP92" s="101">
        <f t="shared" si="70"/>
        <v>97.46192893</v>
      </c>
      <c r="BQ92" s="101">
        <f t="shared" si="70"/>
        <v>97.46192893</v>
      </c>
      <c r="BR92" s="101">
        <f t="shared" si="70"/>
        <v>97.46192893</v>
      </c>
      <c r="BS92" s="101">
        <f t="shared" si="70"/>
        <v>97.46192893</v>
      </c>
      <c r="BT92" s="101">
        <f t="shared" si="70"/>
        <v>97.46192893</v>
      </c>
      <c r="BU92" s="101">
        <f t="shared" si="70"/>
        <v>97.46192893</v>
      </c>
      <c r="BV92" s="101">
        <f t="shared" si="70"/>
        <v>97.46192893</v>
      </c>
      <c r="BW92" s="101">
        <f t="shared" si="70"/>
        <v>97.46192893</v>
      </c>
      <c r="BX92" s="101">
        <f t="shared" si="70"/>
        <v>97.46192893</v>
      </c>
      <c r="BY92" s="101">
        <f t="shared" si="70"/>
        <v>97.46192893</v>
      </c>
    </row>
    <row r="93" outlineLevel="1">
      <c r="A93" s="47"/>
      <c r="B93" s="39" t="s">
        <v>51</v>
      </c>
      <c r="C93" s="99"/>
      <c r="D93" s="47"/>
      <c r="E93" s="47"/>
      <c r="F93" s="39">
        <v>0.0</v>
      </c>
      <c r="G93" s="39">
        <v>0.0</v>
      </c>
      <c r="H93" s="39">
        <v>0.0</v>
      </c>
      <c r="I93" s="39">
        <v>0.0</v>
      </c>
      <c r="J93" s="39">
        <v>0.0</v>
      </c>
      <c r="K93" s="39">
        <v>0.0</v>
      </c>
      <c r="L93" s="39">
        <v>0.0</v>
      </c>
      <c r="M93" s="39">
        <v>0.0</v>
      </c>
      <c r="N93" s="39">
        <v>0.0</v>
      </c>
      <c r="O93" s="39">
        <v>0.0</v>
      </c>
      <c r="P93" s="39">
        <v>0.0</v>
      </c>
      <c r="Q93" s="39">
        <v>0.0</v>
      </c>
      <c r="R93" s="101">
        <f t="shared" ref="R93:BY93" si="71">R92+R98</f>
        <v>95.25</v>
      </c>
      <c r="S93" s="101">
        <f t="shared" si="71"/>
        <v>97.42875</v>
      </c>
      <c r="T93" s="101">
        <f t="shared" si="71"/>
        <v>97.46143125</v>
      </c>
      <c r="U93" s="101">
        <f t="shared" si="71"/>
        <v>97.46192147</v>
      </c>
      <c r="V93" s="101">
        <f t="shared" si="71"/>
        <v>97.46192882</v>
      </c>
      <c r="W93" s="101">
        <f t="shared" si="71"/>
        <v>97.46192893</v>
      </c>
      <c r="X93" s="101">
        <f t="shared" si="71"/>
        <v>97.46192893</v>
      </c>
      <c r="Y93" s="101">
        <f t="shared" si="71"/>
        <v>97.46192893</v>
      </c>
      <c r="Z93" s="101">
        <f t="shared" si="71"/>
        <v>97.46192893</v>
      </c>
      <c r="AA93" s="101">
        <f t="shared" si="71"/>
        <v>97.46192893</v>
      </c>
      <c r="AB93" s="101">
        <f t="shared" si="71"/>
        <v>97.46192893</v>
      </c>
      <c r="AC93" s="101">
        <f t="shared" si="71"/>
        <v>97.46192893</v>
      </c>
      <c r="AD93" s="101">
        <f t="shared" si="71"/>
        <v>173.6619289</v>
      </c>
      <c r="AE93" s="101">
        <f t="shared" si="71"/>
        <v>175.4049289</v>
      </c>
      <c r="AF93" s="101">
        <f t="shared" si="71"/>
        <v>175.4310739</v>
      </c>
      <c r="AG93" s="101">
        <f t="shared" si="71"/>
        <v>175.4314661</v>
      </c>
      <c r="AH93" s="101">
        <f t="shared" si="71"/>
        <v>175.431472</v>
      </c>
      <c r="AI93" s="101">
        <f t="shared" si="71"/>
        <v>175.4314721</v>
      </c>
      <c r="AJ93" s="101">
        <f t="shared" si="71"/>
        <v>175.4314721</v>
      </c>
      <c r="AK93" s="101">
        <f t="shared" si="71"/>
        <v>175.4314721</v>
      </c>
      <c r="AL93" s="101">
        <f t="shared" si="71"/>
        <v>175.4314721</v>
      </c>
      <c r="AM93" s="101">
        <f t="shared" si="71"/>
        <v>175.4314721</v>
      </c>
      <c r="AN93" s="101">
        <f t="shared" si="71"/>
        <v>175.4314721</v>
      </c>
      <c r="AO93" s="101">
        <f t="shared" si="71"/>
        <v>175.4314721</v>
      </c>
      <c r="AP93" s="101">
        <f t="shared" si="71"/>
        <v>236.3914721</v>
      </c>
      <c r="AQ93" s="101">
        <f t="shared" si="71"/>
        <v>237.7858721</v>
      </c>
      <c r="AR93" s="101">
        <f t="shared" si="71"/>
        <v>237.8067881</v>
      </c>
      <c r="AS93" s="101">
        <f t="shared" si="71"/>
        <v>237.8071018</v>
      </c>
      <c r="AT93" s="101">
        <f t="shared" si="71"/>
        <v>237.8071065</v>
      </c>
      <c r="AU93" s="101">
        <f t="shared" si="71"/>
        <v>237.8071066</v>
      </c>
      <c r="AV93" s="101">
        <f t="shared" si="71"/>
        <v>237.8071066</v>
      </c>
      <c r="AW93" s="101">
        <f t="shared" si="71"/>
        <v>237.8071066</v>
      </c>
      <c r="AX93" s="101">
        <f t="shared" si="71"/>
        <v>237.8071066</v>
      </c>
      <c r="AY93" s="101">
        <f t="shared" si="71"/>
        <v>237.8071066</v>
      </c>
      <c r="AZ93" s="101">
        <f t="shared" si="71"/>
        <v>237.8071066</v>
      </c>
      <c r="BA93" s="101">
        <f t="shared" si="71"/>
        <v>237.8071066</v>
      </c>
      <c r="BB93" s="101">
        <f t="shared" si="71"/>
        <v>286.5751066</v>
      </c>
      <c r="BC93" s="101">
        <f t="shared" si="71"/>
        <v>287.6906266</v>
      </c>
      <c r="BD93" s="101">
        <f t="shared" si="71"/>
        <v>287.7073594</v>
      </c>
      <c r="BE93" s="101">
        <f t="shared" si="71"/>
        <v>287.7076104</v>
      </c>
      <c r="BF93" s="101">
        <f t="shared" si="71"/>
        <v>287.7076142</v>
      </c>
      <c r="BG93" s="101">
        <f t="shared" si="71"/>
        <v>287.7076142</v>
      </c>
      <c r="BH93" s="101">
        <f t="shared" si="71"/>
        <v>287.7076142</v>
      </c>
      <c r="BI93" s="101">
        <f t="shared" si="71"/>
        <v>287.7076142</v>
      </c>
      <c r="BJ93" s="101">
        <f t="shared" si="71"/>
        <v>287.7076142</v>
      </c>
      <c r="BK93" s="101">
        <f t="shared" si="71"/>
        <v>287.7076142</v>
      </c>
      <c r="BL93" s="101">
        <f t="shared" si="71"/>
        <v>287.7076142</v>
      </c>
      <c r="BM93" s="101">
        <f t="shared" si="71"/>
        <v>287.7076142</v>
      </c>
      <c r="BN93" s="101">
        <f t="shared" si="71"/>
        <v>326.7220142</v>
      </c>
      <c r="BO93" s="101">
        <f t="shared" si="71"/>
        <v>327.6144302</v>
      </c>
      <c r="BP93" s="101">
        <f t="shared" si="71"/>
        <v>327.6278165</v>
      </c>
      <c r="BQ93" s="101">
        <f t="shared" si="71"/>
        <v>327.6280172</v>
      </c>
      <c r="BR93" s="101">
        <f t="shared" si="71"/>
        <v>327.6280203</v>
      </c>
      <c r="BS93" s="101">
        <f t="shared" si="71"/>
        <v>327.6280203</v>
      </c>
      <c r="BT93" s="101">
        <f t="shared" si="71"/>
        <v>327.6280203</v>
      </c>
      <c r="BU93" s="101">
        <f t="shared" si="71"/>
        <v>327.6280203</v>
      </c>
      <c r="BV93" s="101">
        <f t="shared" si="71"/>
        <v>327.6280203</v>
      </c>
      <c r="BW93" s="101">
        <f t="shared" si="71"/>
        <v>327.6280203</v>
      </c>
      <c r="BX93" s="101">
        <f t="shared" si="71"/>
        <v>327.6280203</v>
      </c>
      <c r="BY93" s="101">
        <f t="shared" si="71"/>
        <v>327.6280203</v>
      </c>
    </row>
    <row r="94" outlineLevel="1">
      <c r="A94" s="47"/>
      <c r="B94" s="39" t="s">
        <v>52</v>
      </c>
      <c r="C94" s="99"/>
      <c r="D94" s="47"/>
      <c r="E94" s="47"/>
      <c r="F94" s="39"/>
      <c r="G94" s="39"/>
      <c r="H94" s="39"/>
      <c r="I94" s="39"/>
      <c r="J94" s="39"/>
      <c r="K94" s="39"/>
      <c r="L94" s="39"/>
      <c r="M94" s="39"/>
      <c r="N94" s="39"/>
      <c r="O94" s="39"/>
      <c r="P94" s="39"/>
      <c r="Q94" s="39"/>
      <c r="R94" s="47">
        <f t="shared" ref="R94:BY94" si="72">F93</f>
        <v>0</v>
      </c>
      <c r="S94" s="47">
        <f t="shared" si="72"/>
        <v>0</v>
      </c>
      <c r="T94" s="47">
        <f t="shared" si="72"/>
        <v>0</v>
      </c>
      <c r="U94" s="47">
        <f t="shared" si="72"/>
        <v>0</v>
      </c>
      <c r="V94" s="47">
        <f t="shared" si="72"/>
        <v>0</v>
      </c>
      <c r="W94" s="47">
        <f t="shared" si="72"/>
        <v>0</v>
      </c>
      <c r="X94" s="47">
        <f t="shared" si="72"/>
        <v>0</v>
      </c>
      <c r="Y94" s="47">
        <f t="shared" si="72"/>
        <v>0</v>
      </c>
      <c r="Z94" s="47">
        <f t="shared" si="72"/>
        <v>0</v>
      </c>
      <c r="AA94" s="47">
        <f t="shared" si="72"/>
        <v>0</v>
      </c>
      <c r="AB94" s="47">
        <f t="shared" si="72"/>
        <v>0</v>
      </c>
      <c r="AC94" s="47">
        <f t="shared" si="72"/>
        <v>0</v>
      </c>
      <c r="AD94" s="101">
        <f t="shared" si="72"/>
        <v>95.25</v>
      </c>
      <c r="AE94" s="101">
        <f t="shared" si="72"/>
        <v>97.42875</v>
      </c>
      <c r="AF94" s="101">
        <f t="shared" si="72"/>
        <v>97.46143125</v>
      </c>
      <c r="AG94" s="101">
        <f t="shared" si="72"/>
        <v>97.46192147</v>
      </c>
      <c r="AH94" s="101">
        <f t="shared" si="72"/>
        <v>97.46192882</v>
      </c>
      <c r="AI94" s="101">
        <f t="shared" si="72"/>
        <v>97.46192893</v>
      </c>
      <c r="AJ94" s="101">
        <f t="shared" si="72"/>
        <v>97.46192893</v>
      </c>
      <c r="AK94" s="101">
        <f t="shared" si="72"/>
        <v>97.46192893</v>
      </c>
      <c r="AL94" s="101">
        <f t="shared" si="72"/>
        <v>97.46192893</v>
      </c>
      <c r="AM94" s="101">
        <f t="shared" si="72"/>
        <v>97.46192893</v>
      </c>
      <c r="AN94" s="101">
        <f t="shared" si="72"/>
        <v>97.46192893</v>
      </c>
      <c r="AO94" s="101">
        <f t="shared" si="72"/>
        <v>97.46192893</v>
      </c>
      <c r="AP94" s="101">
        <f t="shared" si="72"/>
        <v>173.6619289</v>
      </c>
      <c r="AQ94" s="101">
        <f t="shared" si="72"/>
        <v>175.4049289</v>
      </c>
      <c r="AR94" s="101">
        <f t="shared" si="72"/>
        <v>175.4310739</v>
      </c>
      <c r="AS94" s="101">
        <f t="shared" si="72"/>
        <v>175.4314661</v>
      </c>
      <c r="AT94" s="101">
        <f t="shared" si="72"/>
        <v>175.431472</v>
      </c>
      <c r="AU94" s="101">
        <f t="shared" si="72"/>
        <v>175.4314721</v>
      </c>
      <c r="AV94" s="101">
        <f t="shared" si="72"/>
        <v>175.4314721</v>
      </c>
      <c r="AW94" s="101">
        <f t="shared" si="72"/>
        <v>175.4314721</v>
      </c>
      <c r="AX94" s="101">
        <f t="shared" si="72"/>
        <v>175.4314721</v>
      </c>
      <c r="AY94" s="101">
        <f t="shared" si="72"/>
        <v>175.4314721</v>
      </c>
      <c r="AZ94" s="101">
        <f t="shared" si="72"/>
        <v>175.4314721</v>
      </c>
      <c r="BA94" s="101">
        <f t="shared" si="72"/>
        <v>175.4314721</v>
      </c>
      <c r="BB94" s="101">
        <f t="shared" si="72"/>
        <v>236.3914721</v>
      </c>
      <c r="BC94" s="101">
        <f t="shared" si="72"/>
        <v>237.7858721</v>
      </c>
      <c r="BD94" s="101">
        <f t="shared" si="72"/>
        <v>237.8067881</v>
      </c>
      <c r="BE94" s="101">
        <f t="shared" si="72"/>
        <v>237.8071018</v>
      </c>
      <c r="BF94" s="101">
        <f t="shared" si="72"/>
        <v>237.8071065</v>
      </c>
      <c r="BG94" s="101">
        <f t="shared" si="72"/>
        <v>237.8071066</v>
      </c>
      <c r="BH94" s="101">
        <f t="shared" si="72"/>
        <v>237.8071066</v>
      </c>
      <c r="BI94" s="101">
        <f t="shared" si="72"/>
        <v>237.8071066</v>
      </c>
      <c r="BJ94" s="101">
        <f t="shared" si="72"/>
        <v>237.8071066</v>
      </c>
      <c r="BK94" s="101">
        <f t="shared" si="72"/>
        <v>237.8071066</v>
      </c>
      <c r="BL94" s="101">
        <f t="shared" si="72"/>
        <v>237.8071066</v>
      </c>
      <c r="BM94" s="101">
        <f t="shared" si="72"/>
        <v>237.8071066</v>
      </c>
      <c r="BN94" s="101">
        <f t="shared" si="72"/>
        <v>286.5751066</v>
      </c>
      <c r="BO94" s="101">
        <f t="shared" si="72"/>
        <v>287.6906266</v>
      </c>
      <c r="BP94" s="101">
        <f t="shared" si="72"/>
        <v>287.7073594</v>
      </c>
      <c r="BQ94" s="101">
        <f t="shared" si="72"/>
        <v>287.7076104</v>
      </c>
      <c r="BR94" s="101">
        <f t="shared" si="72"/>
        <v>287.7076142</v>
      </c>
      <c r="BS94" s="101">
        <f t="shared" si="72"/>
        <v>287.7076142</v>
      </c>
      <c r="BT94" s="101">
        <f t="shared" si="72"/>
        <v>287.7076142</v>
      </c>
      <c r="BU94" s="101">
        <f t="shared" si="72"/>
        <v>287.7076142</v>
      </c>
      <c r="BV94" s="101">
        <f t="shared" si="72"/>
        <v>287.7076142</v>
      </c>
      <c r="BW94" s="101">
        <f t="shared" si="72"/>
        <v>287.7076142</v>
      </c>
      <c r="BX94" s="101">
        <f t="shared" si="72"/>
        <v>287.7076142</v>
      </c>
      <c r="BY94" s="101">
        <f t="shared" si="72"/>
        <v>287.7076142</v>
      </c>
    </row>
    <row r="95" outlineLevel="1">
      <c r="A95" s="47"/>
      <c r="B95" s="39" t="s">
        <v>53</v>
      </c>
      <c r="C95" s="99"/>
      <c r="D95" s="47"/>
      <c r="E95" s="47"/>
      <c r="F95" s="47"/>
      <c r="G95" s="47"/>
      <c r="H95" s="47"/>
      <c r="I95" s="47"/>
      <c r="J95" s="47"/>
      <c r="K95" s="47"/>
      <c r="L95" s="47"/>
      <c r="M95" s="47"/>
      <c r="N95" s="47"/>
      <c r="O95" s="47"/>
      <c r="P95" s="47"/>
      <c r="Q95" s="47"/>
      <c r="R95" s="101">
        <f t="shared" ref="R95:BY95" si="73">R100-R94</f>
        <v>0</v>
      </c>
      <c r="S95" s="101">
        <f t="shared" si="73"/>
        <v>95.25</v>
      </c>
      <c r="T95" s="101">
        <f t="shared" si="73"/>
        <v>192.67875</v>
      </c>
      <c r="U95" s="101">
        <f t="shared" si="73"/>
        <v>290.1401813</v>
      </c>
      <c r="V95" s="101">
        <f t="shared" si="73"/>
        <v>387.6021027</v>
      </c>
      <c r="W95" s="101">
        <f t="shared" si="73"/>
        <v>485.0640315</v>
      </c>
      <c r="X95" s="101">
        <f t="shared" si="73"/>
        <v>582.5259605</v>
      </c>
      <c r="Y95" s="101">
        <f t="shared" si="73"/>
        <v>679.9878894</v>
      </c>
      <c r="Z95" s="101">
        <f t="shared" si="73"/>
        <v>777.4498183</v>
      </c>
      <c r="AA95" s="101">
        <f t="shared" si="73"/>
        <v>874.9117473</v>
      </c>
      <c r="AB95" s="101">
        <f t="shared" si="73"/>
        <v>972.3736762</v>
      </c>
      <c r="AC95" s="101">
        <f t="shared" si="73"/>
        <v>1069.835605</v>
      </c>
      <c r="AD95" s="101">
        <f t="shared" si="73"/>
        <v>1072.047534</v>
      </c>
      <c r="AE95" s="101">
        <f t="shared" si="73"/>
        <v>1148.280713</v>
      </c>
      <c r="AF95" s="101">
        <f t="shared" si="73"/>
        <v>1226.224211</v>
      </c>
      <c r="AG95" s="101">
        <f t="shared" si="73"/>
        <v>1304.193363</v>
      </c>
      <c r="AH95" s="101">
        <f t="shared" si="73"/>
        <v>1382.1629</v>
      </c>
      <c r="AI95" s="101">
        <f t="shared" si="73"/>
        <v>1460.132444</v>
      </c>
      <c r="AJ95" s="101">
        <f t="shared" si="73"/>
        <v>1538.101987</v>
      </c>
      <c r="AK95" s="101">
        <f t="shared" si="73"/>
        <v>1616.07153</v>
      </c>
      <c r="AL95" s="101">
        <f t="shared" si="73"/>
        <v>1694.041073</v>
      </c>
      <c r="AM95" s="101">
        <f t="shared" si="73"/>
        <v>1772.010616</v>
      </c>
      <c r="AN95" s="101">
        <f t="shared" si="73"/>
        <v>1849.980159</v>
      </c>
      <c r="AO95" s="101">
        <f t="shared" si="73"/>
        <v>1927.949702</v>
      </c>
      <c r="AP95" s="101">
        <f t="shared" si="73"/>
        <v>1929.719246</v>
      </c>
      <c r="AQ95" s="101">
        <f t="shared" si="73"/>
        <v>1990.705789</v>
      </c>
      <c r="AR95" s="101">
        <f t="shared" si="73"/>
        <v>2053.060587</v>
      </c>
      <c r="AS95" s="101">
        <f t="shared" si="73"/>
        <v>2115.435909</v>
      </c>
      <c r="AT95" s="101">
        <f t="shared" si="73"/>
        <v>2177.811539</v>
      </c>
      <c r="AU95" s="101">
        <f t="shared" si="73"/>
        <v>2240.187173</v>
      </c>
      <c r="AV95" s="101">
        <f t="shared" si="73"/>
        <v>2302.562808</v>
      </c>
      <c r="AW95" s="101">
        <f t="shared" si="73"/>
        <v>2364.938442</v>
      </c>
      <c r="AX95" s="101">
        <f t="shared" si="73"/>
        <v>2427.314077</v>
      </c>
      <c r="AY95" s="101">
        <f t="shared" si="73"/>
        <v>2489.689711</v>
      </c>
      <c r="AZ95" s="101">
        <f t="shared" si="73"/>
        <v>2552.065346</v>
      </c>
      <c r="BA95" s="101">
        <f t="shared" si="73"/>
        <v>2614.44098</v>
      </c>
      <c r="BB95" s="101">
        <f t="shared" si="73"/>
        <v>2615.856615</v>
      </c>
      <c r="BC95" s="101">
        <f t="shared" si="73"/>
        <v>2664.645849</v>
      </c>
      <c r="BD95" s="101">
        <f t="shared" si="73"/>
        <v>2714.529688</v>
      </c>
      <c r="BE95" s="101">
        <f t="shared" si="73"/>
        <v>2764.429945</v>
      </c>
      <c r="BF95" s="101">
        <f t="shared" si="73"/>
        <v>2814.330449</v>
      </c>
      <c r="BG95" s="101">
        <f t="shared" si="73"/>
        <v>2864.230957</v>
      </c>
      <c r="BH95" s="101">
        <f t="shared" si="73"/>
        <v>2914.131464</v>
      </c>
      <c r="BI95" s="101">
        <f t="shared" si="73"/>
        <v>2964.031972</v>
      </c>
      <c r="BJ95" s="101">
        <f t="shared" si="73"/>
        <v>3013.93248</v>
      </c>
      <c r="BK95" s="101">
        <f t="shared" si="73"/>
        <v>3063.832987</v>
      </c>
      <c r="BL95" s="101">
        <f t="shared" si="73"/>
        <v>3113.733495</v>
      </c>
      <c r="BM95" s="101">
        <f t="shared" si="73"/>
        <v>3163.634002</v>
      </c>
      <c r="BN95" s="101">
        <f t="shared" si="73"/>
        <v>3164.76651</v>
      </c>
      <c r="BO95" s="101">
        <f t="shared" si="73"/>
        <v>3203.797898</v>
      </c>
      <c r="BP95" s="101">
        <f t="shared" si="73"/>
        <v>3243.704968</v>
      </c>
      <c r="BQ95" s="101">
        <f t="shared" si="73"/>
        <v>3283.625175</v>
      </c>
      <c r="BR95" s="101">
        <f t="shared" si="73"/>
        <v>3323.545578</v>
      </c>
      <c r="BS95" s="101">
        <f t="shared" si="73"/>
        <v>3363.465984</v>
      </c>
      <c r="BT95" s="101">
        <f t="shared" si="73"/>
        <v>3403.38639</v>
      </c>
      <c r="BU95" s="101">
        <f t="shared" si="73"/>
        <v>3443.306796</v>
      </c>
      <c r="BV95" s="101">
        <f t="shared" si="73"/>
        <v>3483.227202</v>
      </c>
      <c r="BW95" s="101">
        <f t="shared" si="73"/>
        <v>3523.147608</v>
      </c>
      <c r="BX95" s="101">
        <f t="shared" si="73"/>
        <v>3563.068014</v>
      </c>
      <c r="BY95" s="101">
        <f t="shared" si="73"/>
        <v>3602.98842</v>
      </c>
    </row>
    <row r="96" outlineLevel="1">
      <c r="A96" s="47"/>
      <c r="B96" s="39" t="s">
        <v>54</v>
      </c>
      <c r="C96" s="99"/>
      <c r="D96" s="87">
        <v>0.2</v>
      </c>
      <c r="E96" s="47"/>
      <c r="F96" s="100"/>
      <c r="G96" s="100"/>
      <c r="H96" s="100"/>
      <c r="I96" s="100"/>
      <c r="J96" s="100"/>
      <c r="K96" s="100"/>
      <c r="L96" s="100"/>
      <c r="M96" s="100"/>
      <c r="N96" s="100"/>
      <c r="O96" s="100"/>
      <c r="P96" s="100"/>
      <c r="Q96" s="100"/>
      <c r="R96" s="88">
        <f>D96</f>
        <v>0.2</v>
      </c>
      <c r="S96" s="88">
        <f t="shared" ref="S96:BY96" si="74">R96</f>
        <v>0.2</v>
      </c>
      <c r="T96" s="88">
        <f t="shared" si="74"/>
        <v>0.2</v>
      </c>
      <c r="U96" s="88">
        <f t="shared" si="74"/>
        <v>0.2</v>
      </c>
      <c r="V96" s="88">
        <f t="shared" si="74"/>
        <v>0.2</v>
      </c>
      <c r="W96" s="88">
        <f t="shared" si="74"/>
        <v>0.2</v>
      </c>
      <c r="X96" s="88">
        <f t="shared" si="74"/>
        <v>0.2</v>
      </c>
      <c r="Y96" s="88">
        <f t="shared" si="74"/>
        <v>0.2</v>
      </c>
      <c r="Z96" s="88">
        <f t="shared" si="74"/>
        <v>0.2</v>
      </c>
      <c r="AA96" s="88">
        <f t="shared" si="74"/>
        <v>0.2</v>
      </c>
      <c r="AB96" s="88">
        <f t="shared" si="74"/>
        <v>0.2</v>
      </c>
      <c r="AC96" s="88">
        <f t="shared" si="74"/>
        <v>0.2</v>
      </c>
      <c r="AD96" s="88">
        <f t="shared" si="74"/>
        <v>0.2</v>
      </c>
      <c r="AE96" s="88">
        <f t="shared" si="74"/>
        <v>0.2</v>
      </c>
      <c r="AF96" s="88">
        <f t="shared" si="74"/>
        <v>0.2</v>
      </c>
      <c r="AG96" s="88">
        <f t="shared" si="74"/>
        <v>0.2</v>
      </c>
      <c r="AH96" s="88">
        <f t="shared" si="74"/>
        <v>0.2</v>
      </c>
      <c r="AI96" s="88">
        <f t="shared" si="74"/>
        <v>0.2</v>
      </c>
      <c r="AJ96" s="88">
        <f t="shared" si="74"/>
        <v>0.2</v>
      </c>
      <c r="AK96" s="88">
        <f t="shared" si="74"/>
        <v>0.2</v>
      </c>
      <c r="AL96" s="88">
        <f t="shared" si="74"/>
        <v>0.2</v>
      </c>
      <c r="AM96" s="88">
        <f t="shared" si="74"/>
        <v>0.2</v>
      </c>
      <c r="AN96" s="88">
        <f t="shared" si="74"/>
        <v>0.2</v>
      </c>
      <c r="AO96" s="88">
        <f t="shared" si="74"/>
        <v>0.2</v>
      </c>
      <c r="AP96" s="88">
        <f t="shared" si="74"/>
        <v>0.2</v>
      </c>
      <c r="AQ96" s="88">
        <f t="shared" si="74"/>
        <v>0.2</v>
      </c>
      <c r="AR96" s="88">
        <f t="shared" si="74"/>
        <v>0.2</v>
      </c>
      <c r="AS96" s="88">
        <f t="shared" si="74"/>
        <v>0.2</v>
      </c>
      <c r="AT96" s="88">
        <f t="shared" si="74"/>
        <v>0.2</v>
      </c>
      <c r="AU96" s="88">
        <f t="shared" si="74"/>
        <v>0.2</v>
      </c>
      <c r="AV96" s="88">
        <f t="shared" si="74"/>
        <v>0.2</v>
      </c>
      <c r="AW96" s="88">
        <f t="shared" si="74"/>
        <v>0.2</v>
      </c>
      <c r="AX96" s="88">
        <f t="shared" si="74"/>
        <v>0.2</v>
      </c>
      <c r="AY96" s="88">
        <f t="shared" si="74"/>
        <v>0.2</v>
      </c>
      <c r="AZ96" s="88">
        <f t="shared" si="74"/>
        <v>0.2</v>
      </c>
      <c r="BA96" s="88">
        <f t="shared" si="74"/>
        <v>0.2</v>
      </c>
      <c r="BB96" s="88">
        <f t="shared" si="74"/>
        <v>0.2</v>
      </c>
      <c r="BC96" s="88">
        <f t="shared" si="74"/>
        <v>0.2</v>
      </c>
      <c r="BD96" s="88">
        <f t="shared" si="74"/>
        <v>0.2</v>
      </c>
      <c r="BE96" s="88">
        <f t="shared" si="74"/>
        <v>0.2</v>
      </c>
      <c r="BF96" s="88">
        <f t="shared" si="74"/>
        <v>0.2</v>
      </c>
      <c r="BG96" s="88">
        <f t="shared" si="74"/>
        <v>0.2</v>
      </c>
      <c r="BH96" s="88">
        <f t="shared" si="74"/>
        <v>0.2</v>
      </c>
      <c r="BI96" s="88">
        <f t="shared" si="74"/>
        <v>0.2</v>
      </c>
      <c r="BJ96" s="88">
        <f t="shared" si="74"/>
        <v>0.2</v>
      </c>
      <c r="BK96" s="88">
        <f t="shared" si="74"/>
        <v>0.2</v>
      </c>
      <c r="BL96" s="88">
        <f t="shared" si="74"/>
        <v>0.2</v>
      </c>
      <c r="BM96" s="88">
        <f t="shared" si="74"/>
        <v>0.2</v>
      </c>
      <c r="BN96" s="88">
        <f t="shared" si="74"/>
        <v>0.2</v>
      </c>
      <c r="BO96" s="88">
        <f t="shared" si="74"/>
        <v>0.2</v>
      </c>
      <c r="BP96" s="88">
        <f t="shared" si="74"/>
        <v>0.2</v>
      </c>
      <c r="BQ96" s="88">
        <f t="shared" si="74"/>
        <v>0.2</v>
      </c>
      <c r="BR96" s="88">
        <f t="shared" si="74"/>
        <v>0.2</v>
      </c>
      <c r="BS96" s="88">
        <f t="shared" si="74"/>
        <v>0.2</v>
      </c>
      <c r="BT96" s="88">
        <f t="shared" si="74"/>
        <v>0.2</v>
      </c>
      <c r="BU96" s="88">
        <f t="shared" si="74"/>
        <v>0.2</v>
      </c>
      <c r="BV96" s="88">
        <f t="shared" si="74"/>
        <v>0.2</v>
      </c>
      <c r="BW96" s="88">
        <f t="shared" si="74"/>
        <v>0.2</v>
      </c>
      <c r="BX96" s="88">
        <f t="shared" si="74"/>
        <v>0.2</v>
      </c>
      <c r="BY96" s="88">
        <f t="shared" si="74"/>
        <v>0.2</v>
      </c>
    </row>
    <row r="97" outlineLevel="1">
      <c r="A97" s="47"/>
      <c r="B97" s="39" t="s">
        <v>55</v>
      </c>
      <c r="C97" s="99"/>
      <c r="D97" s="47"/>
      <c r="E97" s="47"/>
      <c r="F97" s="101"/>
      <c r="G97" s="101"/>
      <c r="H97" s="101"/>
      <c r="I97" s="101"/>
      <c r="J97" s="101"/>
      <c r="K97" s="101"/>
      <c r="L97" s="101"/>
      <c r="M97" s="101"/>
      <c r="N97" s="101"/>
      <c r="O97" s="101"/>
      <c r="P97" s="101"/>
      <c r="Q97" s="101"/>
      <c r="R97" s="101">
        <f t="shared" ref="R97:BY97" si="75">R94*R96</f>
        <v>0</v>
      </c>
      <c r="S97" s="101">
        <f t="shared" si="75"/>
        <v>0</v>
      </c>
      <c r="T97" s="101">
        <f t="shared" si="75"/>
        <v>0</v>
      </c>
      <c r="U97" s="101">
        <f t="shared" si="75"/>
        <v>0</v>
      </c>
      <c r="V97" s="101">
        <f t="shared" si="75"/>
        <v>0</v>
      </c>
      <c r="W97" s="101">
        <f t="shared" si="75"/>
        <v>0</v>
      </c>
      <c r="X97" s="101">
        <f t="shared" si="75"/>
        <v>0</v>
      </c>
      <c r="Y97" s="101">
        <f t="shared" si="75"/>
        <v>0</v>
      </c>
      <c r="Z97" s="101">
        <f t="shared" si="75"/>
        <v>0</v>
      </c>
      <c r="AA97" s="101">
        <f t="shared" si="75"/>
        <v>0</v>
      </c>
      <c r="AB97" s="101">
        <f t="shared" si="75"/>
        <v>0</v>
      </c>
      <c r="AC97" s="101">
        <f t="shared" si="75"/>
        <v>0</v>
      </c>
      <c r="AD97" s="101">
        <f t="shared" si="75"/>
        <v>19.05</v>
      </c>
      <c r="AE97" s="101">
        <f t="shared" si="75"/>
        <v>19.48575</v>
      </c>
      <c r="AF97" s="101">
        <f t="shared" si="75"/>
        <v>19.49228625</v>
      </c>
      <c r="AG97" s="101">
        <f t="shared" si="75"/>
        <v>19.49238429</v>
      </c>
      <c r="AH97" s="101">
        <f t="shared" si="75"/>
        <v>19.49238576</v>
      </c>
      <c r="AI97" s="101">
        <f t="shared" si="75"/>
        <v>19.49238579</v>
      </c>
      <c r="AJ97" s="101">
        <f t="shared" si="75"/>
        <v>19.49238579</v>
      </c>
      <c r="AK97" s="101">
        <f t="shared" si="75"/>
        <v>19.49238579</v>
      </c>
      <c r="AL97" s="101">
        <f t="shared" si="75"/>
        <v>19.49238579</v>
      </c>
      <c r="AM97" s="101">
        <f t="shared" si="75"/>
        <v>19.49238579</v>
      </c>
      <c r="AN97" s="101">
        <f t="shared" si="75"/>
        <v>19.49238579</v>
      </c>
      <c r="AO97" s="101">
        <f t="shared" si="75"/>
        <v>19.49238579</v>
      </c>
      <c r="AP97" s="101">
        <f t="shared" si="75"/>
        <v>34.73238579</v>
      </c>
      <c r="AQ97" s="101">
        <f t="shared" si="75"/>
        <v>35.08098579</v>
      </c>
      <c r="AR97" s="101">
        <f t="shared" si="75"/>
        <v>35.08621479</v>
      </c>
      <c r="AS97" s="101">
        <f t="shared" si="75"/>
        <v>35.08629322</v>
      </c>
      <c r="AT97" s="101">
        <f t="shared" si="75"/>
        <v>35.0862944</v>
      </c>
      <c r="AU97" s="101">
        <f t="shared" si="75"/>
        <v>35.08629442</v>
      </c>
      <c r="AV97" s="101">
        <f t="shared" si="75"/>
        <v>35.08629442</v>
      </c>
      <c r="AW97" s="101">
        <f t="shared" si="75"/>
        <v>35.08629442</v>
      </c>
      <c r="AX97" s="101">
        <f t="shared" si="75"/>
        <v>35.08629442</v>
      </c>
      <c r="AY97" s="101">
        <f t="shared" si="75"/>
        <v>35.08629442</v>
      </c>
      <c r="AZ97" s="101">
        <f t="shared" si="75"/>
        <v>35.08629442</v>
      </c>
      <c r="BA97" s="101">
        <f t="shared" si="75"/>
        <v>35.08629442</v>
      </c>
      <c r="BB97" s="101">
        <f t="shared" si="75"/>
        <v>47.27829442</v>
      </c>
      <c r="BC97" s="101">
        <f t="shared" si="75"/>
        <v>47.55717442</v>
      </c>
      <c r="BD97" s="101">
        <f t="shared" si="75"/>
        <v>47.56135762</v>
      </c>
      <c r="BE97" s="101">
        <f t="shared" si="75"/>
        <v>47.56142036</v>
      </c>
      <c r="BF97" s="101">
        <f t="shared" si="75"/>
        <v>47.56142131</v>
      </c>
      <c r="BG97" s="101">
        <f t="shared" si="75"/>
        <v>47.56142132</v>
      </c>
      <c r="BH97" s="101">
        <f t="shared" si="75"/>
        <v>47.56142132</v>
      </c>
      <c r="BI97" s="101">
        <f t="shared" si="75"/>
        <v>47.56142132</v>
      </c>
      <c r="BJ97" s="101">
        <f t="shared" si="75"/>
        <v>47.56142132</v>
      </c>
      <c r="BK97" s="101">
        <f t="shared" si="75"/>
        <v>47.56142132</v>
      </c>
      <c r="BL97" s="101">
        <f t="shared" si="75"/>
        <v>47.56142132</v>
      </c>
      <c r="BM97" s="101">
        <f t="shared" si="75"/>
        <v>47.56142132</v>
      </c>
      <c r="BN97" s="101">
        <f t="shared" si="75"/>
        <v>57.31502132</v>
      </c>
      <c r="BO97" s="101">
        <f t="shared" si="75"/>
        <v>57.53812532</v>
      </c>
      <c r="BP97" s="101">
        <f t="shared" si="75"/>
        <v>57.54147188</v>
      </c>
      <c r="BQ97" s="101">
        <f t="shared" si="75"/>
        <v>57.54152208</v>
      </c>
      <c r="BR97" s="101">
        <f t="shared" si="75"/>
        <v>57.54152283</v>
      </c>
      <c r="BS97" s="101">
        <f t="shared" si="75"/>
        <v>57.54152284</v>
      </c>
      <c r="BT97" s="101">
        <f t="shared" si="75"/>
        <v>57.54152284</v>
      </c>
      <c r="BU97" s="101">
        <f t="shared" si="75"/>
        <v>57.54152284</v>
      </c>
      <c r="BV97" s="101">
        <f t="shared" si="75"/>
        <v>57.54152284</v>
      </c>
      <c r="BW97" s="101">
        <f t="shared" si="75"/>
        <v>57.54152284</v>
      </c>
      <c r="BX97" s="101">
        <f t="shared" si="75"/>
        <v>57.54152284</v>
      </c>
      <c r="BY97" s="101">
        <f t="shared" si="75"/>
        <v>57.54152284</v>
      </c>
    </row>
    <row r="98" outlineLevel="1">
      <c r="A98" s="47"/>
      <c r="B98" s="39" t="s">
        <v>56</v>
      </c>
      <c r="C98" s="99"/>
      <c r="D98" s="47"/>
      <c r="E98" s="47"/>
      <c r="F98" s="47"/>
      <c r="G98" s="47"/>
      <c r="H98" s="47"/>
      <c r="I98" s="47"/>
      <c r="J98" s="47"/>
      <c r="K98" s="47"/>
      <c r="L98" s="47"/>
      <c r="M98" s="47"/>
      <c r="N98" s="47"/>
      <c r="O98" s="47"/>
      <c r="P98" s="47"/>
      <c r="Q98" s="47"/>
      <c r="R98" s="101">
        <f t="shared" ref="R98:BY98" si="76">R94-R97</f>
        <v>0</v>
      </c>
      <c r="S98" s="101">
        <f t="shared" si="76"/>
        <v>0</v>
      </c>
      <c r="T98" s="101">
        <f t="shared" si="76"/>
        <v>0</v>
      </c>
      <c r="U98" s="101">
        <f t="shared" si="76"/>
        <v>0</v>
      </c>
      <c r="V98" s="101">
        <f t="shared" si="76"/>
        <v>0</v>
      </c>
      <c r="W98" s="101">
        <f t="shared" si="76"/>
        <v>0</v>
      </c>
      <c r="X98" s="101">
        <f t="shared" si="76"/>
        <v>0</v>
      </c>
      <c r="Y98" s="101">
        <f t="shared" si="76"/>
        <v>0</v>
      </c>
      <c r="Z98" s="101">
        <f t="shared" si="76"/>
        <v>0</v>
      </c>
      <c r="AA98" s="101">
        <f t="shared" si="76"/>
        <v>0</v>
      </c>
      <c r="AB98" s="101">
        <f t="shared" si="76"/>
        <v>0</v>
      </c>
      <c r="AC98" s="101">
        <f t="shared" si="76"/>
        <v>0</v>
      </c>
      <c r="AD98" s="101">
        <f t="shared" si="76"/>
        <v>76.2</v>
      </c>
      <c r="AE98" s="101">
        <f t="shared" si="76"/>
        <v>77.943</v>
      </c>
      <c r="AF98" s="101">
        <f t="shared" si="76"/>
        <v>77.969145</v>
      </c>
      <c r="AG98" s="101">
        <f t="shared" si="76"/>
        <v>77.96953718</v>
      </c>
      <c r="AH98" s="101">
        <f t="shared" si="76"/>
        <v>77.96954306</v>
      </c>
      <c r="AI98" s="101">
        <f t="shared" si="76"/>
        <v>77.96954315</v>
      </c>
      <c r="AJ98" s="101">
        <f t="shared" si="76"/>
        <v>77.96954315</v>
      </c>
      <c r="AK98" s="101">
        <f t="shared" si="76"/>
        <v>77.96954315</v>
      </c>
      <c r="AL98" s="101">
        <f t="shared" si="76"/>
        <v>77.96954315</v>
      </c>
      <c r="AM98" s="101">
        <f t="shared" si="76"/>
        <v>77.96954315</v>
      </c>
      <c r="AN98" s="101">
        <f t="shared" si="76"/>
        <v>77.96954315</v>
      </c>
      <c r="AO98" s="101">
        <f t="shared" si="76"/>
        <v>77.96954315</v>
      </c>
      <c r="AP98" s="101">
        <f t="shared" si="76"/>
        <v>138.9295431</v>
      </c>
      <c r="AQ98" s="101">
        <f t="shared" si="76"/>
        <v>140.3239431</v>
      </c>
      <c r="AR98" s="101">
        <f t="shared" si="76"/>
        <v>140.3448591</v>
      </c>
      <c r="AS98" s="101">
        <f t="shared" si="76"/>
        <v>140.3451729</v>
      </c>
      <c r="AT98" s="101">
        <f t="shared" si="76"/>
        <v>140.3451776</v>
      </c>
      <c r="AU98" s="101">
        <f t="shared" si="76"/>
        <v>140.3451777</v>
      </c>
      <c r="AV98" s="101">
        <f t="shared" si="76"/>
        <v>140.3451777</v>
      </c>
      <c r="AW98" s="101">
        <f t="shared" si="76"/>
        <v>140.3451777</v>
      </c>
      <c r="AX98" s="101">
        <f t="shared" si="76"/>
        <v>140.3451777</v>
      </c>
      <c r="AY98" s="101">
        <f t="shared" si="76"/>
        <v>140.3451777</v>
      </c>
      <c r="AZ98" s="101">
        <f t="shared" si="76"/>
        <v>140.3451777</v>
      </c>
      <c r="BA98" s="101">
        <f t="shared" si="76"/>
        <v>140.3451777</v>
      </c>
      <c r="BB98" s="101">
        <f t="shared" si="76"/>
        <v>189.1131777</v>
      </c>
      <c r="BC98" s="101">
        <f t="shared" si="76"/>
        <v>190.2286977</v>
      </c>
      <c r="BD98" s="101">
        <f t="shared" si="76"/>
        <v>190.2454305</v>
      </c>
      <c r="BE98" s="101">
        <f t="shared" si="76"/>
        <v>190.2456815</v>
      </c>
      <c r="BF98" s="101">
        <f t="shared" si="76"/>
        <v>190.2456852</v>
      </c>
      <c r="BG98" s="101">
        <f t="shared" si="76"/>
        <v>190.2456853</v>
      </c>
      <c r="BH98" s="101">
        <f t="shared" si="76"/>
        <v>190.2456853</v>
      </c>
      <c r="BI98" s="101">
        <f t="shared" si="76"/>
        <v>190.2456853</v>
      </c>
      <c r="BJ98" s="101">
        <f t="shared" si="76"/>
        <v>190.2456853</v>
      </c>
      <c r="BK98" s="101">
        <f t="shared" si="76"/>
        <v>190.2456853</v>
      </c>
      <c r="BL98" s="101">
        <f t="shared" si="76"/>
        <v>190.2456853</v>
      </c>
      <c r="BM98" s="101">
        <f t="shared" si="76"/>
        <v>190.2456853</v>
      </c>
      <c r="BN98" s="101">
        <f t="shared" si="76"/>
        <v>229.2600853</v>
      </c>
      <c r="BO98" s="101">
        <f t="shared" si="76"/>
        <v>230.1525013</v>
      </c>
      <c r="BP98" s="101">
        <f t="shared" si="76"/>
        <v>230.1658875</v>
      </c>
      <c r="BQ98" s="101">
        <f t="shared" si="76"/>
        <v>230.1660883</v>
      </c>
      <c r="BR98" s="101">
        <f t="shared" si="76"/>
        <v>230.1660913</v>
      </c>
      <c r="BS98" s="101">
        <f t="shared" si="76"/>
        <v>230.1660914</v>
      </c>
      <c r="BT98" s="101">
        <f t="shared" si="76"/>
        <v>230.1660914</v>
      </c>
      <c r="BU98" s="101">
        <f t="shared" si="76"/>
        <v>230.1660914</v>
      </c>
      <c r="BV98" s="101">
        <f t="shared" si="76"/>
        <v>230.1660914</v>
      </c>
      <c r="BW98" s="101">
        <f t="shared" si="76"/>
        <v>230.1660914</v>
      </c>
      <c r="BX98" s="101">
        <f t="shared" si="76"/>
        <v>230.1660914</v>
      </c>
      <c r="BY98" s="101">
        <f t="shared" si="76"/>
        <v>230.1660914</v>
      </c>
    </row>
    <row r="99" outlineLevel="1">
      <c r="A99" s="47"/>
      <c r="B99" s="39" t="s">
        <v>57</v>
      </c>
      <c r="C99" s="99"/>
      <c r="D99" s="47"/>
      <c r="E99" s="47"/>
      <c r="F99" s="47"/>
      <c r="G99" s="47"/>
      <c r="H99" s="47"/>
      <c r="I99" s="47"/>
      <c r="J99" s="47"/>
      <c r="K99" s="47"/>
      <c r="L99" s="47"/>
      <c r="M99" s="47"/>
      <c r="N99" s="47"/>
      <c r="O99" s="47"/>
      <c r="P99" s="47"/>
      <c r="Q99" s="47"/>
      <c r="R99" s="101">
        <f t="shared" ref="R99:BY99" si="77">R93+R95</f>
        <v>95.25</v>
      </c>
      <c r="S99" s="101">
        <f t="shared" si="77"/>
        <v>192.67875</v>
      </c>
      <c r="T99" s="101">
        <f t="shared" si="77"/>
        <v>290.1401813</v>
      </c>
      <c r="U99" s="101">
        <f t="shared" si="77"/>
        <v>387.6021027</v>
      </c>
      <c r="V99" s="101">
        <f t="shared" si="77"/>
        <v>485.0640315</v>
      </c>
      <c r="W99" s="101">
        <f t="shared" si="77"/>
        <v>582.5259605</v>
      </c>
      <c r="X99" s="101">
        <f t="shared" si="77"/>
        <v>679.9878894</v>
      </c>
      <c r="Y99" s="101">
        <f t="shared" si="77"/>
        <v>777.4498183</v>
      </c>
      <c r="Z99" s="101">
        <f t="shared" si="77"/>
        <v>874.9117473</v>
      </c>
      <c r="AA99" s="101">
        <f t="shared" si="77"/>
        <v>972.3736762</v>
      </c>
      <c r="AB99" s="101">
        <f t="shared" si="77"/>
        <v>1069.835605</v>
      </c>
      <c r="AC99" s="101">
        <f t="shared" si="77"/>
        <v>1167.297534</v>
      </c>
      <c r="AD99" s="101">
        <f t="shared" si="77"/>
        <v>1245.709463</v>
      </c>
      <c r="AE99" s="101">
        <f t="shared" si="77"/>
        <v>1323.685642</v>
      </c>
      <c r="AF99" s="101">
        <f t="shared" si="77"/>
        <v>1401.655285</v>
      </c>
      <c r="AG99" s="101">
        <f t="shared" si="77"/>
        <v>1479.624829</v>
      </c>
      <c r="AH99" s="101">
        <f t="shared" si="77"/>
        <v>1557.594372</v>
      </c>
      <c r="AI99" s="101">
        <f t="shared" si="77"/>
        <v>1635.563916</v>
      </c>
      <c r="AJ99" s="101">
        <f t="shared" si="77"/>
        <v>1713.533459</v>
      </c>
      <c r="AK99" s="101">
        <f t="shared" si="77"/>
        <v>1791.503002</v>
      </c>
      <c r="AL99" s="101">
        <f t="shared" si="77"/>
        <v>1869.472545</v>
      </c>
      <c r="AM99" s="101">
        <f t="shared" si="77"/>
        <v>1947.442088</v>
      </c>
      <c r="AN99" s="101">
        <f t="shared" si="77"/>
        <v>2025.411631</v>
      </c>
      <c r="AO99" s="101">
        <f t="shared" si="77"/>
        <v>2103.381174</v>
      </c>
      <c r="AP99" s="101">
        <f t="shared" si="77"/>
        <v>2166.110718</v>
      </c>
      <c r="AQ99" s="101">
        <f t="shared" si="77"/>
        <v>2228.491661</v>
      </c>
      <c r="AR99" s="101">
        <f t="shared" si="77"/>
        <v>2290.867375</v>
      </c>
      <c r="AS99" s="101">
        <f t="shared" si="77"/>
        <v>2353.243011</v>
      </c>
      <c r="AT99" s="101">
        <f t="shared" si="77"/>
        <v>2415.618645</v>
      </c>
      <c r="AU99" s="101">
        <f t="shared" si="77"/>
        <v>2477.99428</v>
      </c>
      <c r="AV99" s="101">
        <f t="shared" si="77"/>
        <v>2540.369914</v>
      </c>
      <c r="AW99" s="101">
        <f t="shared" si="77"/>
        <v>2602.745549</v>
      </c>
      <c r="AX99" s="101">
        <f t="shared" si="77"/>
        <v>2665.121183</v>
      </c>
      <c r="AY99" s="101">
        <f t="shared" si="77"/>
        <v>2727.496818</v>
      </c>
      <c r="AZ99" s="101">
        <f t="shared" si="77"/>
        <v>2789.872452</v>
      </c>
      <c r="BA99" s="101">
        <f t="shared" si="77"/>
        <v>2852.248087</v>
      </c>
      <c r="BB99" s="101">
        <f t="shared" si="77"/>
        <v>2902.431721</v>
      </c>
      <c r="BC99" s="101">
        <f t="shared" si="77"/>
        <v>2952.336476</v>
      </c>
      <c r="BD99" s="101">
        <f t="shared" si="77"/>
        <v>3002.237047</v>
      </c>
      <c r="BE99" s="101">
        <f t="shared" si="77"/>
        <v>3052.137556</v>
      </c>
      <c r="BF99" s="101">
        <f t="shared" si="77"/>
        <v>3102.038063</v>
      </c>
      <c r="BG99" s="101">
        <f t="shared" si="77"/>
        <v>3151.938571</v>
      </c>
      <c r="BH99" s="101">
        <f t="shared" si="77"/>
        <v>3201.839079</v>
      </c>
      <c r="BI99" s="101">
        <f t="shared" si="77"/>
        <v>3251.739586</v>
      </c>
      <c r="BJ99" s="101">
        <f t="shared" si="77"/>
        <v>3301.640094</v>
      </c>
      <c r="BK99" s="101">
        <f t="shared" si="77"/>
        <v>3351.540601</v>
      </c>
      <c r="BL99" s="101">
        <f t="shared" si="77"/>
        <v>3401.441109</v>
      </c>
      <c r="BM99" s="101">
        <f t="shared" si="77"/>
        <v>3451.341617</v>
      </c>
      <c r="BN99" s="101">
        <f t="shared" si="77"/>
        <v>3491.488524</v>
      </c>
      <c r="BO99" s="101">
        <f t="shared" si="77"/>
        <v>3531.412328</v>
      </c>
      <c r="BP99" s="101">
        <f t="shared" si="77"/>
        <v>3571.332785</v>
      </c>
      <c r="BQ99" s="101">
        <f t="shared" si="77"/>
        <v>3611.253192</v>
      </c>
      <c r="BR99" s="101">
        <f t="shared" si="77"/>
        <v>3651.173598</v>
      </c>
      <c r="BS99" s="101">
        <f t="shared" si="77"/>
        <v>3691.094004</v>
      </c>
      <c r="BT99" s="101">
        <f t="shared" si="77"/>
        <v>3731.01441</v>
      </c>
      <c r="BU99" s="101">
        <f t="shared" si="77"/>
        <v>3770.934816</v>
      </c>
      <c r="BV99" s="101">
        <f t="shared" si="77"/>
        <v>3810.855222</v>
      </c>
      <c r="BW99" s="101">
        <f t="shared" si="77"/>
        <v>3850.775628</v>
      </c>
      <c r="BX99" s="101">
        <f t="shared" si="77"/>
        <v>3890.696034</v>
      </c>
      <c r="BY99" s="101">
        <f t="shared" si="77"/>
        <v>3930.616441</v>
      </c>
    </row>
    <row r="100" outlineLevel="1">
      <c r="A100" s="47"/>
      <c r="B100" s="39" t="s">
        <v>58</v>
      </c>
      <c r="C100" s="47"/>
      <c r="D100" s="47"/>
      <c r="E100" s="47"/>
      <c r="F100" s="102"/>
      <c r="G100" s="102"/>
      <c r="H100" s="102"/>
      <c r="I100" s="102"/>
      <c r="J100" s="102"/>
      <c r="K100" s="102"/>
      <c r="L100" s="102"/>
      <c r="M100" s="102"/>
      <c r="N100" s="102"/>
      <c r="O100" s="102"/>
      <c r="P100" s="102"/>
      <c r="Q100" s="102"/>
      <c r="R100" s="102" t="str">
        <f>E99</f>
        <v/>
      </c>
      <c r="S100" s="102">
        <f t="shared" ref="S100:BY100" si="78">R99</f>
        <v>95.25</v>
      </c>
      <c r="T100" s="102">
        <f t="shared" si="78"/>
        <v>192.67875</v>
      </c>
      <c r="U100" s="102">
        <f t="shared" si="78"/>
        <v>290.1401813</v>
      </c>
      <c r="V100" s="102">
        <f t="shared" si="78"/>
        <v>387.6021027</v>
      </c>
      <c r="W100" s="102">
        <f t="shared" si="78"/>
        <v>485.0640315</v>
      </c>
      <c r="X100" s="102">
        <f t="shared" si="78"/>
        <v>582.5259605</v>
      </c>
      <c r="Y100" s="102">
        <f t="shared" si="78"/>
        <v>679.9878894</v>
      </c>
      <c r="Z100" s="102">
        <f t="shared" si="78"/>
        <v>777.4498183</v>
      </c>
      <c r="AA100" s="102">
        <f t="shared" si="78"/>
        <v>874.9117473</v>
      </c>
      <c r="AB100" s="102">
        <f t="shared" si="78"/>
        <v>972.3736762</v>
      </c>
      <c r="AC100" s="102">
        <f t="shared" si="78"/>
        <v>1069.835605</v>
      </c>
      <c r="AD100" s="102">
        <f t="shared" si="78"/>
        <v>1167.297534</v>
      </c>
      <c r="AE100" s="102">
        <f t="shared" si="78"/>
        <v>1245.709463</v>
      </c>
      <c r="AF100" s="102">
        <f t="shared" si="78"/>
        <v>1323.685642</v>
      </c>
      <c r="AG100" s="102">
        <f t="shared" si="78"/>
        <v>1401.655285</v>
      </c>
      <c r="AH100" s="102">
        <f t="shared" si="78"/>
        <v>1479.624829</v>
      </c>
      <c r="AI100" s="102">
        <f t="shared" si="78"/>
        <v>1557.594372</v>
      </c>
      <c r="AJ100" s="102">
        <f t="shared" si="78"/>
        <v>1635.563916</v>
      </c>
      <c r="AK100" s="102">
        <f t="shared" si="78"/>
        <v>1713.533459</v>
      </c>
      <c r="AL100" s="102">
        <f t="shared" si="78"/>
        <v>1791.503002</v>
      </c>
      <c r="AM100" s="102">
        <f t="shared" si="78"/>
        <v>1869.472545</v>
      </c>
      <c r="AN100" s="102">
        <f t="shared" si="78"/>
        <v>1947.442088</v>
      </c>
      <c r="AO100" s="102">
        <f t="shared" si="78"/>
        <v>2025.411631</v>
      </c>
      <c r="AP100" s="102">
        <f t="shared" si="78"/>
        <v>2103.381174</v>
      </c>
      <c r="AQ100" s="102">
        <f t="shared" si="78"/>
        <v>2166.110718</v>
      </c>
      <c r="AR100" s="102">
        <f t="shared" si="78"/>
        <v>2228.491661</v>
      </c>
      <c r="AS100" s="102">
        <f t="shared" si="78"/>
        <v>2290.867375</v>
      </c>
      <c r="AT100" s="102">
        <f t="shared" si="78"/>
        <v>2353.243011</v>
      </c>
      <c r="AU100" s="102">
        <f t="shared" si="78"/>
        <v>2415.618645</v>
      </c>
      <c r="AV100" s="102">
        <f t="shared" si="78"/>
        <v>2477.99428</v>
      </c>
      <c r="AW100" s="102">
        <f t="shared" si="78"/>
        <v>2540.369914</v>
      </c>
      <c r="AX100" s="102">
        <f t="shared" si="78"/>
        <v>2602.745549</v>
      </c>
      <c r="AY100" s="102">
        <f t="shared" si="78"/>
        <v>2665.121183</v>
      </c>
      <c r="AZ100" s="102">
        <f t="shared" si="78"/>
        <v>2727.496818</v>
      </c>
      <c r="BA100" s="102">
        <f t="shared" si="78"/>
        <v>2789.872452</v>
      </c>
      <c r="BB100" s="102">
        <f t="shared" si="78"/>
        <v>2852.248087</v>
      </c>
      <c r="BC100" s="102">
        <f t="shared" si="78"/>
        <v>2902.431721</v>
      </c>
      <c r="BD100" s="102">
        <f t="shared" si="78"/>
        <v>2952.336476</v>
      </c>
      <c r="BE100" s="102">
        <f t="shared" si="78"/>
        <v>3002.237047</v>
      </c>
      <c r="BF100" s="102">
        <f t="shared" si="78"/>
        <v>3052.137556</v>
      </c>
      <c r="BG100" s="102">
        <f t="shared" si="78"/>
        <v>3102.038063</v>
      </c>
      <c r="BH100" s="102">
        <f t="shared" si="78"/>
        <v>3151.938571</v>
      </c>
      <c r="BI100" s="102">
        <f t="shared" si="78"/>
        <v>3201.839079</v>
      </c>
      <c r="BJ100" s="102">
        <f t="shared" si="78"/>
        <v>3251.739586</v>
      </c>
      <c r="BK100" s="102">
        <f t="shared" si="78"/>
        <v>3301.640094</v>
      </c>
      <c r="BL100" s="102">
        <f t="shared" si="78"/>
        <v>3351.540601</v>
      </c>
      <c r="BM100" s="102">
        <f t="shared" si="78"/>
        <v>3401.441109</v>
      </c>
      <c r="BN100" s="102">
        <f t="shared" si="78"/>
        <v>3451.341617</v>
      </c>
      <c r="BO100" s="102">
        <f t="shared" si="78"/>
        <v>3491.488524</v>
      </c>
      <c r="BP100" s="102">
        <f t="shared" si="78"/>
        <v>3531.412328</v>
      </c>
      <c r="BQ100" s="102">
        <f t="shared" si="78"/>
        <v>3571.332785</v>
      </c>
      <c r="BR100" s="102">
        <f t="shared" si="78"/>
        <v>3611.253192</v>
      </c>
      <c r="BS100" s="102">
        <f t="shared" si="78"/>
        <v>3651.173598</v>
      </c>
      <c r="BT100" s="102">
        <f t="shared" si="78"/>
        <v>3691.094004</v>
      </c>
      <c r="BU100" s="102">
        <f t="shared" si="78"/>
        <v>3731.01441</v>
      </c>
      <c r="BV100" s="102">
        <f t="shared" si="78"/>
        <v>3770.934816</v>
      </c>
      <c r="BW100" s="102">
        <f t="shared" si="78"/>
        <v>3810.855222</v>
      </c>
      <c r="BX100" s="102">
        <f t="shared" si="78"/>
        <v>3850.775628</v>
      </c>
      <c r="BY100" s="102">
        <f t="shared" si="78"/>
        <v>3890.696034</v>
      </c>
    </row>
    <row r="101" outlineLevel="1">
      <c r="A101" s="47"/>
      <c r="B101" s="39" t="s">
        <v>59</v>
      </c>
      <c r="C101" s="47"/>
      <c r="D101" s="103">
        <v>200.0</v>
      </c>
      <c r="E101" s="47"/>
      <c r="F101" s="104"/>
      <c r="G101" s="104"/>
      <c r="H101" s="104"/>
      <c r="I101" s="104"/>
      <c r="J101" s="104"/>
      <c r="K101" s="104"/>
      <c r="L101" s="104"/>
      <c r="M101" s="104"/>
      <c r="N101" s="104"/>
      <c r="O101" s="104"/>
      <c r="P101" s="104"/>
      <c r="Q101" s="104"/>
      <c r="R101" s="105">
        <f>D101</f>
        <v>200</v>
      </c>
      <c r="S101" s="105">
        <f t="shared" ref="S101:BY101" si="79">R101</f>
        <v>200</v>
      </c>
      <c r="T101" s="105">
        <f t="shared" si="79"/>
        <v>200</v>
      </c>
      <c r="U101" s="105">
        <f t="shared" si="79"/>
        <v>200</v>
      </c>
      <c r="V101" s="105">
        <f t="shared" si="79"/>
        <v>200</v>
      </c>
      <c r="W101" s="105">
        <f t="shared" si="79"/>
        <v>200</v>
      </c>
      <c r="X101" s="105">
        <f t="shared" si="79"/>
        <v>200</v>
      </c>
      <c r="Y101" s="105">
        <f t="shared" si="79"/>
        <v>200</v>
      </c>
      <c r="Z101" s="105">
        <f t="shared" si="79"/>
        <v>200</v>
      </c>
      <c r="AA101" s="105">
        <f t="shared" si="79"/>
        <v>200</v>
      </c>
      <c r="AB101" s="105">
        <f t="shared" si="79"/>
        <v>200</v>
      </c>
      <c r="AC101" s="105">
        <f t="shared" si="79"/>
        <v>200</v>
      </c>
      <c r="AD101" s="105">
        <f t="shared" si="79"/>
        <v>200</v>
      </c>
      <c r="AE101" s="105">
        <f t="shared" si="79"/>
        <v>200</v>
      </c>
      <c r="AF101" s="105">
        <f t="shared" si="79"/>
        <v>200</v>
      </c>
      <c r="AG101" s="105">
        <f t="shared" si="79"/>
        <v>200</v>
      </c>
      <c r="AH101" s="105">
        <f t="shared" si="79"/>
        <v>200</v>
      </c>
      <c r="AI101" s="105">
        <f t="shared" si="79"/>
        <v>200</v>
      </c>
      <c r="AJ101" s="105">
        <f t="shared" si="79"/>
        <v>200</v>
      </c>
      <c r="AK101" s="105">
        <f t="shared" si="79"/>
        <v>200</v>
      </c>
      <c r="AL101" s="105">
        <f t="shared" si="79"/>
        <v>200</v>
      </c>
      <c r="AM101" s="105">
        <f t="shared" si="79"/>
        <v>200</v>
      </c>
      <c r="AN101" s="105">
        <f t="shared" si="79"/>
        <v>200</v>
      </c>
      <c r="AO101" s="105">
        <f t="shared" si="79"/>
        <v>200</v>
      </c>
      <c r="AP101" s="105">
        <f t="shared" si="79"/>
        <v>200</v>
      </c>
      <c r="AQ101" s="105">
        <f t="shared" si="79"/>
        <v>200</v>
      </c>
      <c r="AR101" s="105">
        <f t="shared" si="79"/>
        <v>200</v>
      </c>
      <c r="AS101" s="105">
        <f t="shared" si="79"/>
        <v>200</v>
      </c>
      <c r="AT101" s="105">
        <f t="shared" si="79"/>
        <v>200</v>
      </c>
      <c r="AU101" s="105">
        <f t="shared" si="79"/>
        <v>200</v>
      </c>
      <c r="AV101" s="105">
        <f t="shared" si="79"/>
        <v>200</v>
      </c>
      <c r="AW101" s="105">
        <f t="shared" si="79"/>
        <v>200</v>
      </c>
      <c r="AX101" s="105">
        <f t="shared" si="79"/>
        <v>200</v>
      </c>
      <c r="AY101" s="105">
        <f t="shared" si="79"/>
        <v>200</v>
      </c>
      <c r="AZ101" s="105">
        <f t="shared" si="79"/>
        <v>200</v>
      </c>
      <c r="BA101" s="105">
        <f t="shared" si="79"/>
        <v>200</v>
      </c>
      <c r="BB101" s="105">
        <f t="shared" si="79"/>
        <v>200</v>
      </c>
      <c r="BC101" s="105">
        <f t="shared" si="79"/>
        <v>200</v>
      </c>
      <c r="BD101" s="105">
        <f t="shared" si="79"/>
        <v>200</v>
      </c>
      <c r="BE101" s="105">
        <f t="shared" si="79"/>
        <v>200</v>
      </c>
      <c r="BF101" s="105">
        <f t="shared" si="79"/>
        <v>200</v>
      </c>
      <c r="BG101" s="105">
        <f t="shared" si="79"/>
        <v>200</v>
      </c>
      <c r="BH101" s="105">
        <f t="shared" si="79"/>
        <v>200</v>
      </c>
      <c r="BI101" s="105">
        <f t="shared" si="79"/>
        <v>200</v>
      </c>
      <c r="BJ101" s="105">
        <f t="shared" si="79"/>
        <v>200</v>
      </c>
      <c r="BK101" s="105">
        <f t="shared" si="79"/>
        <v>200</v>
      </c>
      <c r="BL101" s="105">
        <f t="shared" si="79"/>
        <v>200</v>
      </c>
      <c r="BM101" s="105">
        <f t="shared" si="79"/>
        <v>200</v>
      </c>
      <c r="BN101" s="105">
        <f t="shared" si="79"/>
        <v>200</v>
      </c>
      <c r="BO101" s="105">
        <f t="shared" si="79"/>
        <v>200</v>
      </c>
      <c r="BP101" s="105">
        <f t="shared" si="79"/>
        <v>200</v>
      </c>
      <c r="BQ101" s="105">
        <f t="shared" si="79"/>
        <v>200</v>
      </c>
      <c r="BR101" s="105">
        <f t="shared" si="79"/>
        <v>200</v>
      </c>
      <c r="BS101" s="105">
        <f t="shared" si="79"/>
        <v>200</v>
      </c>
      <c r="BT101" s="105">
        <f t="shared" si="79"/>
        <v>200</v>
      </c>
      <c r="BU101" s="105">
        <f t="shared" si="79"/>
        <v>200</v>
      </c>
      <c r="BV101" s="105">
        <f t="shared" si="79"/>
        <v>200</v>
      </c>
      <c r="BW101" s="105">
        <f t="shared" si="79"/>
        <v>200</v>
      </c>
      <c r="BX101" s="105">
        <f t="shared" si="79"/>
        <v>200</v>
      </c>
      <c r="BY101" s="105">
        <f t="shared" si="79"/>
        <v>200</v>
      </c>
    </row>
    <row r="102" outlineLevel="1">
      <c r="A102" s="47"/>
      <c r="B102" s="71" t="s">
        <v>60</v>
      </c>
      <c r="C102" s="59"/>
      <c r="D102" s="61"/>
      <c r="E102" s="61"/>
      <c r="F102" s="61"/>
      <c r="G102" s="61"/>
      <c r="H102" s="61"/>
      <c r="I102" s="61"/>
      <c r="J102" s="61"/>
      <c r="K102" s="61"/>
      <c r="L102" s="61"/>
      <c r="M102" s="61"/>
      <c r="N102" s="61"/>
      <c r="O102" s="61"/>
      <c r="P102" s="61"/>
      <c r="Q102" s="61"/>
      <c r="R102" s="106">
        <f t="shared" ref="R102:BY102" si="80">R93*R101</f>
        <v>19050</v>
      </c>
      <c r="S102" s="106">
        <f t="shared" si="80"/>
        <v>19485.75</v>
      </c>
      <c r="T102" s="106">
        <f t="shared" si="80"/>
        <v>19492.28625</v>
      </c>
      <c r="U102" s="106">
        <f t="shared" si="80"/>
        <v>19492.38429</v>
      </c>
      <c r="V102" s="106">
        <f t="shared" si="80"/>
        <v>19492.38576</v>
      </c>
      <c r="W102" s="106">
        <f t="shared" si="80"/>
        <v>19492.38579</v>
      </c>
      <c r="X102" s="106">
        <f t="shared" si="80"/>
        <v>19492.38579</v>
      </c>
      <c r="Y102" s="106">
        <f t="shared" si="80"/>
        <v>19492.38579</v>
      </c>
      <c r="Z102" s="106">
        <f t="shared" si="80"/>
        <v>19492.38579</v>
      </c>
      <c r="AA102" s="106">
        <f t="shared" si="80"/>
        <v>19492.38579</v>
      </c>
      <c r="AB102" s="106">
        <f t="shared" si="80"/>
        <v>19492.38579</v>
      </c>
      <c r="AC102" s="106">
        <f t="shared" si="80"/>
        <v>19492.38579</v>
      </c>
      <c r="AD102" s="106">
        <f t="shared" si="80"/>
        <v>34732.38579</v>
      </c>
      <c r="AE102" s="106">
        <f t="shared" si="80"/>
        <v>35080.98579</v>
      </c>
      <c r="AF102" s="106">
        <f t="shared" si="80"/>
        <v>35086.21479</v>
      </c>
      <c r="AG102" s="106">
        <f t="shared" si="80"/>
        <v>35086.29322</v>
      </c>
      <c r="AH102" s="106">
        <f t="shared" si="80"/>
        <v>35086.2944</v>
      </c>
      <c r="AI102" s="106">
        <f t="shared" si="80"/>
        <v>35086.29442</v>
      </c>
      <c r="AJ102" s="106">
        <f t="shared" si="80"/>
        <v>35086.29442</v>
      </c>
      <c r="AK102" s="106">
        <f t="shared" si="80"/>
        <v>35086.29442</v>
      </c>
      <c r="AL102" s="106">
        <f t="shared" si="80"/>
        <v>35086.29442</v>
      </c>
      <c r="AM102" s="106">
        <f t="shared" si="80"/>
        <v>35086.29442</v>
      </c>
      <c r="AN102" s="106">
        <f t="shared" si="80"/>
        <v>35086.29442</v>
      </c>
      <c r="AO102" s="106">
        <f t="shared" si="80"/>
        <v>35086.29442</v>
      </c>
      <c r="AP102" s="106">
        <f t="shared" si="80"/>
        <v>47278.29442</v>
      </c>
      <c r="AQ102" s="106">
        <f t="shared" si="80"/>
        <v>47557.17442</v>
      </c>
      <c r="AR102" s="106">
        <f t="shared" si="80"/>
        <v>47561.35762</v>
      </c>
      <c r="AS102" s="106">
        <f t="shared" si="80"/>
        <v>47561.42036</v>
      </c>
      <c r="AT102" s="106">
        <f t="shared" si="80"/>
        <v>47561.42131</v>
      </c>
      <c r="AU102" s="106">
        <f t="shared" si="80"/>
        <v>47561.42132</v>
      </c>
      <c r="AV102" s="106">
        <f t="shared" si="80"/>
        <v>47561.42132</v>
      </c>
      <c r="AW102" s="106">
        <f t="shared" si="80"/>
        <v>47561.42132</v>
      </c>
      <c r="AX102" s="106">
        <f t="shared" si="80"/>
        <v>47561.42132</v>
      </c>
      <c r="AY102" s="106">
        <f t="shared" si="80"/>
        <v>47561.42132</v>
      </c>
      <c r="AZ102" s="106">
        <f t="shared" si="80"/>
        <v>47561.42132</v>
      </c>
      <c r="BA102" s="106">
        <f t="shared" si="80"/>
        <v>47561.42132</v>
      </c>
      <c r="BB102" s="106">
        <f t="shared" si="80"/>
        <v>57315.02132</v>
      </c>
      <c r="BC102" s="106">
        <f t="shared" si="80"/>
        <v>57538.12532</v>
      </c>
      <c r="BD102" s="106">
        <f t="shared" si="80"/>
        <v>57541.47188</v>
      </c>
      <c r="BE102" s="106">
        <f t="shared" si="80"/>
        <v>57541.52208</v>
      </c>
      <c r="BF102" s="106">
        <f t="shared" si="80"/>
        <v>57541.52283</v>
      </c>
      <c r="BG102" s="106">
        <f t="shared" si="80"/>
        <v>57541.52284</v>
      </c>
      <c r="BH102" s="106">
        <f t="shared" si="80"/>
        <v>57541.52284</v>
      </c>
      <c r="BI102" s="106">
        <f t="shared" si="80"/>
        <v>57541.52284</v>
      </c>
      <c r="BJ102" s="106">
        <f t="shared" si="80"/>
        <v>57541.52284</v>
      </c>
      <c r="BK102" s="106">
        <f t="shared" si="80"/>
        <v>57541.52284</v>
      </c>
      <c r="BL102" s="106">
        <f t="shared" si="80"/>
        <v>57541.52284</v>
      </c>
      <c r="BM102" s="106">
        <f t="shared" si="80"/>
        <v>57541.52284</v>
      </c>
      <c r="BN102" s="106">
        <f t="shared" si="80"/>
        <v>65344.40284</v>
      </c>
      <c r="BO102" s="106">
        <f t="shared" si="80"/>
        <v>65522.88604</v>
      </c>
      <c r="BP102" s="106">
        <f t="shared" si="80"/>
        <v>65525.56329</v>
      </c>
      <c r="BQ102" s="106">
        <f t="shared" si="80"/>
        <v>65525.60345</v>
      </c>
      <c r="BR102" s="106">
        <f t="shared" si="80"/>
        <v>65525.60405</v>
      </c>
      <c r="BS102" s="106">
        <f t="shared" si="80"/>
        <v>65525.60406</v>
      </c>
      <c r="BT102" s="106">
        <f t="shared" si="80"/>
        <v>65525.60406</v>
      </c>
      <c r="BU102" s="106">
        <f t="shared" si="80"/>
        <v>65525.60406</v>
      </c>
      <c r="BV102" s="106">
        <f t="shared" si="80"/>
        <v>65525.60406</v>
      </c>
      <c r="BW102" s="106">
        <f t="shared" si="80"/>
        <v>65525.60406</v>
      </c>
      <c r="BX102" s="106">
        <f t="shared" si="80"/>
        <v>65525.60406</v>
      </c>
      <c r="BY102" s="106">
        <f t="shared" si="80"/>
        <v>65525.60406</v>
      </c>
    </row>
    <row r="103" outlineLevel="1">
      <c r="A103" s="47"/>
      <c r="B103" s="73" t="s">
        <v>61</v>
      </c>
      <c r="C103" s="47"/>
      <c r="D103" s="74"/>
      <c r="E103" s="74"/>
      <c r="F103" s="107"/>
      <c r="G103" s="107"/>
      <c r="H103" s="107"/>
      <c r="I103" s="107"/>
      <c r="J103" s="107"/>
      <c r="K103" s="107"/>
      <c r="L103" s="107"/>
      <c r="M103" s="107"/>
      <c r="N103" s="107"/>
      <c r="O103" s="107"/>
      <c r="P103" s="107"/>
      <c r="Q103" s="107"/>
      <c r="R103" s="108">
        <f t="shared" ref="R103:BY103" si="81">(R101/12)*R99</f>
        <v>1587.5</v>
      </c>
      <c r="S103" s="108">
        <f t="shared" si="81"/>
        <v>3211.3125</v>
      </c>
      <c r="T103" s="108">
        <f t="shared" si="81"/>
        <v>4835.669688</v>
      </c>
      <c r="U103" s="108">
        <f t="shared" si="81"/>
        <v>6460.035045</v>
      </c>
      <c r="V103" s="108">
        <f t="shared" si="81"/>
        <v>8084.400526</v>
      </c>
      <c r="W103" s="108">
        <f t="shared" si="81"/>
        <v>9708.766008</v>
      </c>
      <c r="X103" s="108">
        <f t="shared" si="81"/>
        <v>11333.13149</v>
      </c>
      <c r="Y103" s="108">
        <f t="shared" si="81"/>
        <v>12957.49697</v>
      </c>
      <c r="Z103" s="108">
        <f t="shared" si="81"/>
        <v>14581.86245</v>
      </c>
      <c r="AA103" s="108">
        <f t="shared" si="81"/>
        <v>16206.22794</v>
      </c>
      <c r="AB103" s="108">
        <f t="shared" si="81"/>
        <v>17830.59342</v>
      </c>
      <c r="AC103" s="108">
        <f t="shared" si="81"/>
        <v>19454.9589</v>
      </c>
      <c r="AD103" s="108">
        <f t="shared" si="81"/>
        <v>20761.82438</v>
      </c>
      <c r="AE103" s="108">
        <f t="shared" si="81"/>
        <v>22061.42737</v>
      </c>
      <c r="AF103" s="108">
        <f t="shared" si="81"/>
        <v>23360.92141</v>
      </c>
      <c r="AG103" s="108">
        <f t="shared" si="81"/>
        <v>24660.41382</v>
      </c>
      <c r="AH103" s="108">
        <f t="shared" si="81"/>
        <v>25959.90621</v>
      </c>
      <c r="AI103" s="108">
        <f t="shared" si="81"/>
        <v>27259.39859</v>
      </c>
      <c r="AJ103" s="108">
        <f t="shared" si="81"/>
        <v>28558.89098</v>
      </c>
      <c r="AK103" s="108">
        <f t="shared" si="81"/>
        <v>29858.38336</v>
      </c>
      <c r="AL103" s="108">
        <f t="shared" si="81"/>
        <v>31157.87575</v>
      </c>
      <c r="AM103" s="108">
        <f t="shared" si="81"/>
        <v>32457.36814</v>
      </c>
      <c r="AN103" s="108">
        <f t="shared" si="81"/>
        <v>33756.86052</v>
      </c>
      <c r="AO103" s="108">
        <f t="shared" si="81"/>
        <v>35056.35291</v>
      </c>
      <c r="AP103" s="108">
        <f t="shared" si="81"/>
        <v>36101.84529</v>
      </c>
      <c r="AQ103" s="108">
        <f t="shared" si="81"/>
        <v>37141.52768</v>
      </c>
      <c r="AR103" s="108">
        <f t="shared" si="81"/>
        <v>38181.12292</v>
      </c>
      <c r="AS103" s="108">
        <f t="shared" si="81"/>
        <v>39220.71684</v>
      </c>
      <c r="AT103" s="108">
        <f t="shared" si="81"/>
        <v>40260.31075</v>
      </c>
      <c r="AU103" s="108">
        <f t="shared" si="81"/>
        <v>41299.90466</v>
      </c>
      <c r="AV103" s="108">
        <f t="shared" si="81"/>
        <v>42339.49857</v>
      </c>
      <c r="AW103" s="108">
        <f t="shared" si="81"/>
        <v>43379.09248</v>
      </c>
      <c r="AX103" s="108">
        <f t="shared" si="81"/>
        <v>44418.68639</v>
      </c>
      <c r="AY103" s="108">
        <f t="shared" si="81"/>
        <v>45458.2803</v>
      </c>
      <c r="AZ103" s="108">
        <f t="shared" si="81"/>
        <v>46497.8742</v>
      </c>
      <c r="BA103" s="108">
        <f t="shared" si="81"/>
        <v>47537.46811</v>
      </c>
      <c r="BB103" s="108">
        <f t="shared" si="81"/>
        <v>48373.86202</v>
      </c>
      <c r="BC103" s="108">
        <f t="shared" si="81"/>
        <v>49205.60793</v>
      </c>
      <c r="BD103" s="108">
        <f t="shared" si="81"/>
        <v>50037.28412</v>
      </c>
      <c r="BE103" s="108">
        <f t="shared" si="81"/>
        <v>50868.95926</v>
      </c>
      <c r="BF103" s="108">
        <f t="shared" si="81"/>
        <v>51700.63439</v>
      </c>
      <c r="BG103" s="108">
        <f t="shared" si="81"/>
        <v>52532.30952</v>
      </c>
      <c r="BH103" s="108">
        <f t="shared" si="81"/>
        <v>53363.98464</v>
      </c>
      <c r="BI103" s="108">
        <f t="shared" si="81"/>
        <v>54195.65977</v>
      </c>
      <c r="BJ103" s="108">
        <f t="shared" si="81"/>
        <v>55027.3349</v>
      </c>
      <c r="BK103" s="108">
        <f t="shared" si="81"/>
        <v>55859.01002</v>
      </c>
      <c r="BL103" s="108">
        <f t="shared" si="81"/>
        <v>56690.68515</v>
      </c>
      <c r="BM103" s="108">
        <f t="shared" si="81"/>
        <v>57522.36028</v>
      </c>
      <c r="BN103" s="108">
        <f t="shared" si="81"/>
        <v>58191.4754</v>
      </c>
      <c r="BO103" s="108">
        <f t="shared" si="81"/>
        <v>58856.87213</v>
      </c>
      <c r="BP103" s="108">
        <f t="shared" si="81"/>
        <v>59522.21308</v>
      </c>
      <c r="BQ103" s="108">
        <f t="shared" si="81"/>
        <v>60187.5532</v>
      </c>
      <c r="BR103" s="108">
        <f t="shared" si="81"/>
        <v>60852.8933</v>
      </c>
      <c r="BS103" s="108">
        <f t="shared" si="81"/>
        <v>61518.2334</v>
      </c>
      <c r="BT103" s="108">
        <f t="shared" si="81"/>
        <v>62183.5735</v>
      </c>
      <c r="BU103" s="108">
        <f t="shared" si="81"/>
        <v>62848.9136</v>
      </c>
      <c r="BV103" s="108">
        <f t="shared" si="81"/>
        <v>63514.2537</v>
      </c>
      <c r="BW103" s="108">
        <f t="shared" si="81"/>
        <v>64179.59381</v>
      </c>
      <c r="BX103" s="108">
        <f t="shared" si="81"/>
        <v>64844.93391</v>
      </c>
      <c r="BY103" s="108">
        <f t="shared" si="81"/>
        <v>65510.27401</v>
      </c>
    </row>
    <row r="104" outlineLevel="1">
      <c r="A104" s="47"/>
      <c r="B104" s="73"/>
      <c r="C104" s="47"/>
      <c r="D104" s="74"/>
      <c r="E104" s="74"/>
      <c r="F104" s="107"/>
      <c r="G104" s="107"/>
      <c r="H104" s="107"/>
      <c r="I104" s="107"/>
      <c r="J104" s="107"/>
      <c r="K104" s="107"/>
      <c r="L104" s="107"/>
      <c r="M104" s="107"/>
      <c r="N104" s="107"/>
      <c r="O104" s="107"/>
      <c r="P104" s="107"/>
      <c r="Q104" s="107"/>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row>
    <row r="105" outlineLevel="1">
      <c r="A105" s="47"/>
      <c r="B105" s="65" t="s">
        <v>63</v>
      </c>
      <c r="C105" s="99"/>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row>
    <row r="106" outlineLevel="1">
      <c r="A106" s="47"/>
      <c r="B106" s="39" t="s">
        <v>50</v>
      </c>
      <c r="C106" s="99"/>
      <c r="D106" s="87">
        <v>0.2</v>
      </c>
      <c r="E106" s="47"/>
      <c r="F106" s="100"/>
      <c r="G106" s="100"/>
      <c r="H106" s="100"/>
      <c r="I106" s="100"/>
      <c r="J106" s="100"/>
      <c r="K106" s="100"/>
      <c r="L106" s="100"/>
      <c r="M106" s="100"/>
      <c r="N106" s="100"/>
      <c r="O106" s="100"/>
      <c r="P106" s="100"/>
      <c r="Q106" s="100"/>
      <c r="R106" s="88">
        <f>D106</f>
        <v>0.2</v>
      </c>
      <c r="S106" s="88">
        <f t="shared" ref="S106:BY106" si="82">R106</f>
        <v>0.2</v>
      </c>
      <c r="T106" s="88">
        <f t="shared" si="82"/>
        <v>0.2</v>
      </c>
      <c r="U106" s="88">
        <f t="shared" si="82"/>
        <v>0.2</v>
      </c>
      <c r="V106" s="88">
        <f t="shared" si="82"/>
        <v>0.2</v>
      </c>
      <c r="W106" s="88">
        <f t="shared" si="82"/>
        <v>0.2</v>
      </c>
      <c r="X106" s="88">
        <f t="shared" si="82"/>
        <v>0.2</v>
      </c>
      <c r="Y106" s="88">
        <f t="shared" si="82"/>
        <v>0.2</v>
      </c>
      <c r="Z106" s="88">
        <f t="shared" si="82"/>
        <v>0.2</v>
      </c>
      <c r="AA106" s="88">
        <f t="shared" si="82"/>
        <v>0.2</v>
      </c>
      <c r="AB106" s="88">
        <f t="shared" si="82"/>
        <v>0.2</v>
      </c>
      <c r="AC106" s="88">
        <f t="shared" si="82"/>
        <v>0.2</v>
      </c>
      <c r="AD106" s="88">
        <f t="shared" si="82"/>
        <v>0.2</v>
      </c>
      <c r="AE106" s="88">
        <f t="shared" si="82"/>
        <v>0.2</v>
      </c>
      <c r="AF106" s="88">
        <f t="shared" si="82"/>
        <v>0.2</v>
      </c>
      <c r="AG106" s="88">
        <f t="shared" si="82"/>
        <v>0.2</v>
      </c>
      <c r="AH106" s="88">
        <f t="shared" si="82"/>
        <v>0.2</v>
      </c>
      <c r="AI106" s="88">
        <f t="shared" si="82"/>
        <v>0.2</v>
      </c>
      <c r="AJ106" s="88">
        <f t="shared" si="82"/>
        <v>0.2</v>
      </c>
      <c r="AK106" s="88">
        <f t="shared" si="82"/>
        <v>0.2</v>
      </c>
      <c r="AL106" s="88">
        <f t="shared" si="82"/>
        <v>0.2</v>
      </c>
      <c r="AM106" s="88">
        <f t="shared" si="82"/>
        <v>0.2</v>
      </c>
      <c r="AN106" s="88">
        <f t="shared" si="82"/>
        <v>0.2</v>
      </c>
      <c r="AO106" s="88">
        <f t="shared" si="82"/>
        <v>0.2</v>
      </c>
      <c r="AP106" s="88">
        <f t="shared" si="82"/>
        <v>0.2</v>
      </c>
      <c r="AQ106" s="88">
        <f t="shared" si="82"/>
        <v>0.2</v>
      </c>
      <c r="AR106" s="88">
        <f t="shared" si="82"/>
        <v>0.2</v>
      </c>
      <c r="AS106" s="88">
        <f t="shared" si="82"/>
        <v>0.2</v>
      </c>
      <c r="AT106" s="88">
        <f t="shared" si="82"/>
        <v>0.2</v>
      </c>
      <c r="AU106" s="88">
        <f t="shared" si="82"/>
        <v>0.2</v>
      </c>
      <c r="AV106" s="88">
        <f t="shared" si="82"/>
        <v>0.2</v>
      </c>
      <c r="AW106" s="88">
        <f t="shared" si="82"/>
        <v>0.2</v>
      </c>
      <c r="AX106" s="88">
        <f t="shared" si="82"/>
        <v>0.2</v>
      </c>
      <c r="AY106" s="88">
        <f t="shared" si="82"/>
        <v>0.2</v>
      </c>
      <c r="AZ106" s="88">
        <f t="shared" si="82"/>
        <v>0.2</v>
      </c>
      <c r="BA106" s="88">
        <f t="shared" si="82"/>
        <v>0.2</v>
      </c>
      <c r="BB106" s="88">
        <f t="shared" si="82"/>
        <v>0.2</v>
      </c>
      <c r="BC106" s="88">
        <f t="shared" si="82"/>
        <v>0.2</v>
      </c>
      <c r="BD106" s="88">
        <f t="shared" si="82"/>
        <v>0.2</v>
      </c>
      <c r="BE106" s="88">
        <f t="shared" si="82"/>
        <v>0.2</v>
      </c>
      <c r="BF106" s="88">
        <f t="shared" si="82"/>
        <v>0.2</v>
      </c>
      <c r="BG106" s="88">
        <f t="shared" si="82"/>
        <v>0.2</v>
      </c>
      <c r="BH106" s="88">
        <f t="shared" si="82"/>
        <v>0.2</v>
      </c>
      <c r="BI106" s="88">
        <f t="shared" si="82"/>
        <v>0.2</v>
      </c>
      <c r="BJ106" s="88">
        <f t="shared" si="82"/>
        <v>0.2</v>
      </c>
      <c r="BK106" s="88">
        <f t="shared" si="82"/>
        <v>0.2</v>
      </c>
      <c r="BL106" s="88">
        <f t="shared" si="82"/>
        <v>0.2</v>
      </c>
      <c r="BM106" s="88">
        <f t="shared" si="82"/>
        <v>0.2</v>
      </c>
      <c r="BN106" s="88">
        <f t="shared" si="82"/>
        <v>0.2</v>
      </c>
      <c r="BO106" s="88">
        <f t="shared" si="82"/>
        <v>0.2</v>
      </c>
      <c r="BP106" s="88">
        <f t="shared" si="82"/>
        <v>0.2</v>
      </c>
      <c r="BQ106" s="88">
        <f t="shared" si="82"/>
        <v>0.2</v>
      </c>
      <c r="BR106" s="88">
        <f t="shared" si="82"/>
        <v>0.2</v>
      </c>
      <c r="BS106" s="88">
        <f t="shared" si="82"/>
        <v>0.2</v>
      </c>
      <c r="BT106" s="88">
        <f t="shared" si="82"/>
        <v>0.2</v>
      </c>
      <c r="BU106" s="88">
        <f t="shared" si="82"/>
        <v>0.2</v>
      </c>
      <c r="BV106" s="88">
        <f t="shared" si="82"/>
        <v>0.2</v>
      </c>
      <c r="BW106" s="88">
        <f t="shared" si="82"/>
        <v>0.2</v>
      </c>
      <c r="BX106" s="88">
        <f t="shared" si="82"/>
        <v>0.2</v>
      </c>
      <c r="BY106" s="88">
        <f t="shared" si="82"/>
        <v>0.2</v>
      </c>
    </row>
    <row r="107" outlineLevel="1">
      <c r="A107" s="47"/>
      <c r="B107" s="39" t="s">
        <v>17</v>
      </c>
      <c r="C107" s="99"/>
      <c r="D107" s="47"/>
      <c r="E107" s="47"/>
      <c r="F107" s="101"/>
      <c r="G107" s="101"/>
      <c r="H107" s="101"/>
      <c r="I107" s="101"/>
      <c r="J107" s="101"/>
      <c r="K107" s="101"/>
      <c r="L107" s="101"/>
      <c r="M107" s="101"/>
      <c r="N107" s="101"/>
      <c r="O107" s="101"/>
      <c r="P107" s="101"/>
      <c r="Q107" s="101"/>
      <c r="R107" s="101">
        <f t="shared" ref="R107:BY107" si="83">R106*R$71</f>
        <v>63.5</v>
      </c>
      <c r="S107" s="101">
        <f t="shared" si="83"/>
        <v>64.9525</v>
      </c>
      <c r="T107" s="101">
        <f t="shared" si="83"/>
        <v>64.9742875</v>
      </c>
      <c r="U107" s="101">
        <f t="shared" si="83"/>
        <v>64.97461431</v>
      </c>
      <c r="V107" s="101">
        <f t="shared" si="83"/>
        <v>64.97461921</v>
      </c>
      <c r="W107" s="101">
        <f t="shared" si="83"/>
        <v>64.97461929</v>
      </c>
      <c r="X107" s="101">
        <f t="shared" si="83"/>
        <v>64.97461929</v>
      </c>
      <c r="Y107" s="101">
        <f t="shared" si="83"/>
        <v>64.97461929</v>
      </c>
      <c r="Z107" s="101">
        <f t="shared" si="83"/>
        <v>64.97461929</v>
      </c>
      <c r="AA107" s="101">
        <f t="shared" si="83"/>
        <v>64.97461929</v>
      </c>
      <c r="AB107" s="101">
        <f t="shared" si="83"/>
        <v>64.97461929</v>
      </c>
      <c r="AC107" s="101">
        <f t="shared" si="83"/>
        <v>64.97461929</v>
      </c>
      <c r="AD107" s="101">
        <f t="shared" si="83"/>
        <v>64.97461929</v>
      </c>
      <c r="AE107" s="101">
        <f t="shared" si="83"/>
        <v>64.97461929</v>
      </c>
      <c r="AF107" s="101">
        <f t="shared" si="83"/>
        <v>64.97461929</v>
      </c>
      <c r="AG107" s="101">
        <f t="shared" si="83"/>
        <v>64.97461929</v>
      </c>
      <c r="AH107" s="101">
        <f t="shared" si="83"/>
        <v>64.97461929</v>
      </c>
      <c r="AI107" s="101">
        <f t="shared" si="83"/>
        <v>64.97461929</v>
      </c>
      <c r="AJ107" s="101">
        <f t="shared" si="83"/>
        <v>64.97461929</v>
      </c>
      <c r="AK107" s="101">
        <f t="shared" si="83"/>
        <v>64.97461929</v>
      </c>
      <c r="AL107" s="101">
        <f t="shared" si="83"/>
        <v>64.97461929</v>
      </c>
      <c r="AM107" s="101">
        <f t="shared" si="83"/>
        <v>64.97461929</v>
      </c>
      <c r="AN107" s="101">
        <f t="shared" si="83"/>
        <v>64.97461929</v>
      </c>
      <c r="AO107" s="101">
        <f t="shared" si="83"/>
        <v>64.97461929</v>
      </c>
      <c r="AP107" s="101">
        <f t="shared" si="83"/>
        <v>64.97461929</v>
      </c>
      <c r="AQ107" s="101">
        <f t="shared" si="83"/>
        <v>64.97461929</v>
      </c>
      <c r="AR107" s="101">
        <f t="shared" si="83"/>
        <v>64.97461929</v>
      </c>
      <c r="AS107" s="101">
        <f t="shared" si="83"/>
        <v>64.97461929</v>
      </c>
      <c r="AT107" s="101">
        <f t="shared" si="83"/>
        <v>64.97461929</v>
      </c>
      <c r="AU107" s="101">
        <f t="shared" si="83"/>
        <v>64.97461929</v>
      </c>
      <c r="AV107" s="101">
        <f t="shared" si="83"/>
        <v>64.97461929</v>
      </c>
      <c r="AW107" s="101">
        <f t="shared" si="83"/>
        <v>64.97461929</v>
      </c>
      <c r="AX107" s="101">
        <f t="shared" si="83"/>
        <v>64.97461929</v>
      </c>
      <c r="AY107" s="101">
        <f t="shared" si="83"/>
        <v>64.97461929</v>
      </c>
      <c r="AZ107" s="101">
        <f t="shared" si="83"/>
        <v>64.97461929</v>
      </c>
      <c r="BA107" s="101">
        <f t="shared" si="83"/>
        <v>64.97461929</v>
      </c>
      <c r="BB107" s="101">
        <f t="shared" si="83"/>
        <v>64.97461929</v>
      </c>
      <c r="BC107" s="101">
        <f t="shared" si="83"/>
        <v>64.97461929</v>
      </c>
      <c r="BD107" s="101">
        <f t="shared" si="83"/>
        <v>64.97461929</v>
      </c>
      <c r="BE107" s="101">
        <f t="shared" si="83"/>
        <v>64.97461929</v>
      </c>
      <c r="BF107" s="101">
        <f t="shared" si="83"/>
        <v>64.97461929</v>
      </c>
      <c r="BG107" s="101">
        <f t="shared" si="83"/>
        <v>64.97461929</v>
      </c>
      <c r="BH107" s="101">
        <f t="shared" si="83"/>
        <v>64.97461929</v>
      </c>
      <c r="BI107" s="101">
        <f t="shared" si="83"/>
        <v>64.97461929</v>
      </c>
      <c r="BJ107" s="101">
        <f t="shared" si="83"/>
        <v>64.97461929</v>
      </c>
      <c r="BK107" s="101">
        <f t="shared" si="83"/>
        <v>64.97461929</v>
      </c>
      <c r="BL107" s="101">
        <f t="shared" si="83"/>
        <v>64.97461929</v>
      </c>
      <c r="BM107" s="101">
        <f t="shared" si="83"/>
        <v>64.97461929</v>
      </c>
      <c r="BN107" s="101">
        <f t="shared" si="83"/>
        <v>64.97461929</v>
      </c>
      <c r="BO107" s="101">
        <f t="shared" si="83"/>
        <v>64.97461929</v>
      </c>
      <c r="BP107" s="101">
        <f t="shared" si="83"/>
        <v>64.97461929</v>
      </c>
      <c r="BQ107" s="101">
        <f t="shared" si="83"/>
        <v>64.97461929</v>
      </c>
      <c r="BR107" s="101">
        <f t="shared" si="83"/>
        <v>64.97461929</v>
      </c>
      <c r="BS107" s="101">
        <f t="shared" si="83"/>
        <v>64.97461929</v>
      </c>
      <c r="BT107" s="101">
        <f t="shared" si="83"/>
        <v>64.97461929</v>
      </c>
      <c r="BU107" s="101">
        <f t="shared" si="83"/>
        <v>64.97461929</v>
      </c>
      <c r="BV107" s="101">
        <f t="shared" si="83"/>
        <v>64.97461929</v>
      </c>
      <c r="BW107" s="101">
        <f t="shared" si="83"/>
        <v>64.97461929</v>
      </c>
      <c r="BX107" s="101">
        <f t="shared" si="83"/>
        <v>64.97461929</v>
      </c>
      <c r="BY107" s="101">
        <f t="shared" si="83"/>
        <v>64.97461929</v>
      </c>
    </row>
    <row r="108" outlineLevel="1">
      <c r="A108" s="47"/>
      <c r="B108" s="39" t="s">
        <v>51</v>
      </c>
      <c r="C108" s="99"/>
      <c r="D108" s="47"/>
      <c r="E108" s="47"/>
      <c r="F108" s="39">
        <v>0.0</v>
      </c>
      <c r="G108" s="39">
        <v>0.0</v>
      </c>
      <c r="H108" s="39">
        <v>0.0</v>
      </c>
      <c r="I108" s="39">
        <v>0.0</v>
      </c>
      <c r="J108" s="39">
        <v>0.0</v>
      </c>
      <c r="K108" s="39">
        <v>0.0</v>
      </c>
      <c r="L108" s="39">
        <v>0.0</v>
      </c>
      <c r="M108" s="39">
        <v>0.0</v>
      </c>
      <c r="N108" s="39">
        <v>0.0</v>
      </c>
      <c r="O108" s="39">
        <v>0.0</v>
      </c>
      <c r="P108" s="39">
        <v>0.0</v>
      </c>
      <c r="Q108" s="39">
        <v>0.0</v>
      </c>
      <c r="R108" s="101">
        <f t="shared" ref="R108:BY108" si="84">R107+R113</f>
        <v>63.5</v>
      </c>
      <c r="S108" s="101">
        <f t="shared" si="84"/>
        <v>64.9525</v>
      </c>
      <c r="T108" s="101">
        <f t="shared" si="84"/>
        <v>64.9742875</v>
      </c>
      <c r="U108" s="101">
        <f t="shared" si="84"/>
        <v>64.97461431</v>
      </c>
      <c r="V108" s="101">
        <f t="shared" si="84"/>
        <v>64.97461921</v>
      </c>
      <c r="W108" s="101">
        <f t="shared" si="84"/>
        <v>64.97461929</v>
      </c>
      <c r="X108" s="101">
        <f t="shared" si="84"/>
        <v>64.97461929</v>
      </c>
      <c r="Y108" s="101">
        <f t="shared" si="84"/>
        <v>64.97461929</v>
      </c>
      <c r="Z108" s="101">
        <f t="shared" si="84"/>
        <v>64.97461929</v>
      </c>
      <c r="AA108" s="101">
        <f t="shared" si="84"/>
        <v>64.97461929</v>
      </c>
      <c r="AB108" s="101">
        <f t="shared" si="84"/>
        <v>64.97461929</v>
      </c>
      <c r="AC108" s="101">
        <f t="shared" si="84"/>
        <v>64.97461929</v>
      </c>
      <c r="AD108" s="101">
        <f t="shared" si="84"/>
        <v>115.7746193</v>
      </c>
      <c r="AE108" s="101">
        <f t="shared" si="84"/>
        <v>116.9366193</v>
      </c>
      <c r="AF108" s="101">
        <f t="shared" si="84"/>
        <v>116.9540493</v>
      </c>
      <c r="AG108" s="101">
        <f t="shared" si="84"/>
        <v>116.9543107</v>
      </c>
      <c r="AH108" s="101">
        <f t="shared" si="84"/>
        <v>116.9543147</v>
      </c>
      <c r="AI108" s="101">
        <f t="shared" si="84"/>
        <v>116.9543147</v>
      </c>
      <c r="AJ108" s="101">
        <f t="shared" si="84"/>
        <v>116.9543147</v>
      </c>
      <c r="AK108" s="101">
        <f t="shared" si="84"/>
        <v>116.9543147</v>
      </c>
      <c r="AL108" s="101">
        <f t="shared" si="84"/>
        <v>116.9543147</v>
      </c>
      <c r="AM108" s="101">
        <f t="shared" si="84"/>
        <v>116.9543147</v>
      </c>
      <c r="AN108" s="101">
        <f t="shared" si="84"/>
        <v>116.9543147</v>
      </c>
      <c r="AO108" s="101">
        <f t="shared" si="84"/>
        <v>116.9543147</v>
      </c>
      <c r="AP108" s="101">
        <f t="shared" si="84"/>
        <v>157.5943147</v>
      </c>
      <c r="AQ108" s="101">
        <f t="shared" si="84"/>
        <v>158.5239147</v>
      </c>
      <c r="AR108" s="101">
        <f t="shared" si="84"/>
        <v>158.5378587</v>
      </c>
      <c r="AS108" s="101">
        <f t="shared" si="84"/>
        <v>158.5380679</v>
      </c>
      <c r="AT108" s="101">
        <f t="shared" si="84"/>
        <v>158.538071</v>
      </c>
      <c r="AU108" s="101">
        <f t="shared" si="84"/>
        <v>158.5380711</v>
      </c>
      <c r="AV108" s="101">
        <f t="shared" si="84"/>
        <v>158.5380711</v>
      </c>
      <c r="AW108" s="101">
        <f t="shared" si="84"/>
        <v>158.5380711</v>
      </c>
      <c r="AX108" s="101">
        <f t="shared" si="84"/>
        <v>158.5380711</v>
      </c>
      <c r="AY108" s="101">
        <f t="shared" si="84"/>
        <v>158.5380711</v>
      </c>
      <c r="AZ108" s="101">
        <f t="shared" si="84"/>
        <v>158.5380711</v>
      </c>
      <c r="BA108" s="101">
        <f t="shared" si="84"/>
        <v>158.5380711</v>
      </c>
      <c r="BB108" s="101">
        <f t="shared" si="84"/>
        <v>191.0500711</v>
      </c>
      <c r="BC108" s="101">
        <f t="shared" si="84"/>
        <v>191.7937511</v>
      </c>
      <c r="BD108" s="101">
        <f t="shared" si="84"/>
        <v>191.8049063</v>
      </c>
      <c r="BE108" s="101">
        <f t="shared" si="84"/>
        <v>191.8050736</v>
      </c>
      <c r="BF108" s="101">
        <f t="shared" si="84"/>
        <v>191.8050761</v>
      </c>
      <c r="BG108" s="101">
        <f t="shared" si="84"/>
        <v>191.8050761</v>
      </c>
      <c r="BH108" s="101">
        <f t="shared" si="84"/>
        <v>191.8050761</v>
      </c>
      <c r="BI108" s="101">
        <f t="shared" si="84"/>
        <v>191.8050761</v>
      </c>
      <c r="BJ108" s="101">
        <f t="shared" si="84"/>
        <v>191.8050761</v>
      </c>
      <c r="BK108" s="101">
        <f t="shared" si="84"/>
        <v>191.8050761</v>
      </c>
      <c r="BL108" s="101">
        <f t="shared" si="84"/>
        <v>191.8050761</v>
      </c>
      <c r="BM108" s="101">
        <f t="shared" si="84"/>
        <v>191.8050761</v>
      </c>
      <c r="BN108" s="101">
        <f t="shared" si="84"/>
        <v>217.8146761</v>
      </c>
      <c r="BO108" s="101">
        <f t="shared" si="84"/>
        <v>218.4096201</v>
      </c>
      <c r="BP108" s="101">
        <f t="shared" si="84"/>
        <v>218.4185443</v>
      </c>
      <c r="BQ108" s="101">
        <f t="shared" si="84"/>
        <v>218.4186782</v>
      </c>
      <c r="BR108" s="101">
        <f t="shared" si="84"/>
        <v>218.4186802</v>
      </c>
      <c r="BS108" s="101">
        <f t="shared" si="84"/>
        <v>218.4186802</v>
      </c>
      <c r="BT108" s="101">
        <f t="shared" si="84"/>
        <v>218.4186802</v>
      </c>
      <c r="BU108" s="101">
        <f t="shared" si="84"/>
        <v>218.4186802</v>
      </c>
      <c r="BV108" s="101">
        <f t="shared" si="84"/>
        <v>218.4186802</v>
      </c>
      <c r="BW108" s="101">
        <f t="shared" si="84"/>
        <v>218.4186802</v>
      </c>
      <c r="BX108" s="101">
        <f t="shared" si="84"/>
        <v>218.4186802</v>
      </c>
      <c r="BY108" s="101">
        <f t="shared" si="84"/>
        <v>218.4186802</v>
      </c>
    </row>
    <row r="109" outlineLevel="1">
      <c r="A109" s="47"/>
      <c r="B109" s="39" t="s">
        <v>52</v>
      </c>
      <c r="C109" s="99"/>
      <c r="D109" s="47"/>
      <c r="E109" s="47"/>
      <c r="F109" s="39"/>
      <c r="G109" s="39"/>
      <c r="H109" s="39"/>
      <c r="I109" s="39"/>
      <c r="J109" s="39"/>
      <c r="K109" s="39"/>
      <c r="L109" s="39"/>
      <c r="M109" s="39"/>
      <c r="N109" s="39"/>
      <c r="O109" s="39"/>
      <c r="P109" s="39"/>
      <c r="Q109" s="39"/>
      <c r="R109" s="47">
        <f t="shared" ref="R109:BY109" si="85">F108</f>
        <v>0</v>
      </c>
      <c r="S109" s="47">
        <f t="shared" si="85"/>
        <v>0</v>
      </c>
      <c r="T109" s="47">
        <f t="shared" si="85"/>
        <v>0</v>
      </c>
      <c r="U109" s="47">
        <f t="shared" si="85"/>
        <v>0</v>
      </c>
      <c r="V109" s="47">
        <f t="shared" si="85"/>
        <v>0</v>
      </c>
      <c r="W109" s="47">
        <f t="shared" si="85"/>
        <v>0</v>
      </c>
      <c r="X109" s="47">
        <f t="shared" si="85"/>
        <v>0</v>
      </c>
      <c r="Y109" s="47">
        <f t="shared" si="85"/>
        <v>0</v>
      </c>
      <c r="Z109" s="47">
        <f t="shared" si="85"/>
        <v>0</v>
      </c>
      <c r="AA109" s="47">
        <f t="shared" si="85"/>
        <v>0</v>
      </c>
      <c r="AB109" s="47">
        <f t="shared" si="85"/>
        <v>0</v>
      </c>
      <c r="AC109" s="47">
        <f t="shared" si="85"/>
        <v>0</v>
      </c>
      <c r="AD109" s="101">
        <f t="shared" si="85"/>
        <v>63.5</v>
      </c>
      <c r="AE109" s="101">
        <f t="shared" si="85"/>
        <v>64.9525</v>
      </c>
      <c r="AF109" s="101">
        <f t="shared" si="85"/>
        <v>64.9742875</v>
      </c>
      <c r="AG109" s="101">
        <f t="shared" si="85"/>
        <v>64.97461431</v>
      </c>
      <c r="AH109" s="101">
        <f t="shared" si="85"/>
        <v>64.97461921</v>
      </c>
      <c r="AI109" s="101">
        <f t="shared" si="85"/>
        <v>64.97461929</v>
      </c>
      <c r="AJ109" s="101">
        <f t="shared" si="85"/>
        <v>64.97461929</v>
      </c>
      <c r="AK109" s="101">
        <f t="shared" si="85"/>
        <v>64.97461929</v>
      </c>
      <c r="AL109" s="101">
        <f t="shared" si="85"/>
        <v>64.97461929</v>
      </c>
      <c r="AM109" s="101">
        <f t="shared" si="85"/>
        <v>64.97461929</v>
      </c>
      <c r="AN109" s="101">
        <f t="shared" si="85"/>
        <v>64.97461929</v>
      </c>
      <c r="AO109" s="101">
        <f t="shared" si="85"/>
        <v>64.97461929</v>
      </c>
      <c r="AP109" s="101">
        <f t="shared" si="85"/>
        <v>115.7746193</v>
      </c>
      <c r="AQ109" s="101">
        <f t="shared" si="85"/>
        <v>116.9366193</v>
      </c>
      <c r="AR109" s="101">
        <f t="shared" si="85"/>
        <v>116.9540493</v>
      </c>
      <c r="AS109" s="101">
        <f t="shared" si="85"/>
        <v>116.9543107</v>
      </c>
      <c r="AT109" s="101">
        <f t="shared" si="85"/>
        <v>116.9543147</v>
      </c>
      <c r="AU109" s="101">
        <f t="shared" si="85"/>
        <v>116.9543147</v>
      </c>
      <c r="AV109" s="101">
        <f t="shared" si="85"/>
        <v>116.9543147</v>
      </c>
      <c r="AW109" s="101">
        <f t="shared" si="85"/>
        <v>116.9543147</v>
      </c>
      <c r="AX109" s="101">
        <f t="shared" si="85"/>
        <v>116.9543147</v>
      </c>
      <c r="AY109" s="101">
        <f t="shared" si="85"/>
        <v>116.9543147</v>
      </c>
      <c r="AZ109" s="101">
        <f t="shared" si="85"/>
        <v>116.9543147</v>
      </c>
      <c r="BA109" s="101">
        <f t="shared" si="85"/>
        <v>116.9543147</v>
      </c>
      <c r="BB109" s="101">
        <f t="shared" si="85"/>
        <v>157.5943147</v>
      </c>
      <c r="BC109" s="101">
        <f t="shared" si="85"/>
        <v>158.5239147</v>
      </c>
      <c r="BD109" s="101">
        <f t="shared" si="85"/>
        <v>158.5378587</v>
      </c>
      <c r="BE109" s="101">
        <f t="shared" si="85"/>
        <v>158.5380679</v>
      </c>
      <c r="BF109" s="101">
        <f t="shared" si="85"/>
        <v>158.538071</v>
      </c>
      <c r="BG109" s="101">
        <f t="shared" si="85"/>
        <v>158.5380711</v>
      </c>
      <c r="BH109" s="101">
        <f t="shared" si="85"/>
        <v>158.5380711</v>
      </c>
      <c r="BI109" s="101">
        <f t="shared" si="85"/>
        <v>158.5380711</v>
      </c>
      <c r="BJ109" s="101">
        <f t="shared" si="85"/>
        <v>158.5380711</v>
      </c>
      <c r="BK109" s="101">
        <f t="shared" si="85"/>
        <v>158.5380711</v>
      </c>
      <c r="BL109" s="101">
        <f t="shared" si="85"/>
        <v>158.5380711</v>
      </c>
      <c r="BM109" s="101">
        <f t="shared" si="85"/>
        <v>158.5380711</v>
      </c>
      <c r="BN109" s="101">
        <f t="shared" si="85"/>
        <v>191.0500711</v>
      </c>
      <c r="BO109" s="101">
        <f t="shared" si="85"/>
        <v>191.7937511</v>
      </c>
      <c r="BP109" s="101">
        <f t="shared" si="85"/>
        <v>191.8049063</v>
      </c>
      <c r="BQ109" s="101">
        <f t="shared" si="85"/>
        <v>191.8050736</v>
      </c>
      <c r="BR109" s="101">
        <f t="shared" si="85"/>
        <v>191.8050761</v>
      </c>
      <c r="BS109" s="101">
        <f t="shared" si="85"/>
        <v>191.8050761</v>
      </c>
      <c r="BT109" s="101">
        <f t="shared" si="85"/>
        <v>191.8050761</v>
      </c>
      <c r="BU109" s="101">
        <f t="shared" si="85"/>
        <v>191.8050761</v>
      </c>
      <c r="BV109" s="101">
        <f t="shared" si="85"/>
        <v>191.8050761</v>
      </c>
      <c r="BW109" s="101">
        <f t="shared" si="85"/>
        <v>191.8050761</v>
      </c>
      <c r="BX109" s="101">
        <f t="shared" si="85"/>
        <v>191.8050761</v>
      </c>
      <c r="BY109" s="101">
        <f t="shared" si="85"/>
        <v>191.8050761</v>
      </c>
    </row>
    <row r="110" outlineLevel="1">
      <c r="A110" s="47"/>
      <c r="B110" s="39" t="s">
        <v>53</v>
      </c>
      <c r="C110" s="99"/>
      <c r="D110" s="47"/>
      <c r="E110" s="47"/>
      <c r="F110" s="47"/>
      <c r="G110" s="47"/>
      <c r="H110" s="47"/>
      <c r="I110" s="47"/>
      <c r="J110" s="47"/>
      <c r="K110" s="47"/>
      <c r="L110" s="47"/>
      <c r="M110" s="47"/>
      <c r="N110" s="47"/>
      <c r="O110" s="47"/>
      <c r="P110" s="47"/>
      <c r="Q110" s="47"/>
      <c r="R110" s="101">
        <f t="shared" ref="R110:BY110" si="86">R115-R109</f>
        <v>0</v>
      </c>
      <c r="S110" s="101">
        <f t="shared" si="86"/>
        <v>63.5</v>
      </c>
      <c r="T110" s="101">
        <f t="shared" si="86"/>
        <v>128.4525</v>
      </c>
      <c r="U110" s="101">
        <f t="shared" si="86"/>
        <v>193.4267875</v>
      </c>
      <c r="V110" s="101">
        <f t="shared" si="86"/>
        <v>258.4014018</v>
      </c>
      <c r="W110" s="101">
        <f t="shared" si="86"/>
        <v>323.376021</v>
      </c>
      <c r="X110" s="101">
        <f t="shared" si="86"/>
        <v>388.3506403</v>
      </c>
      <c r="Y110" s="101">
        <f t="shared" si="86"/>
        <v>453.3252596</v>
      </c>
      <c r="Z110" s="101">
        <f t="shared" si="86"/>
        <v>518.2998789</v>
      </c>
      <c r="AA110" s="101">
        <f t="shared" si="86"/>
        <v>583.2744982</v>
      </c>
      <c r="AB110" s="101">
        <f t="shared" si="86"/>
        <v>648.2491175</v>
      </c>
      <c r="AC110" s="101">
        <f t="shared" si="86"/>
        <v>713.2237368</v>
      </c>
      <c r="AD110" s="101">
        <f t="shared" si="86"/>
        <v>714.6983561</v>
      </c>
      <c r="AE110" s="101">
        <f t="shared" si="86"/>
        <v>765.5204753</v>
      </c>
      <c r="AF110" s="101">
        <f t="shared" si="86"/>
        <v>817.4828071</v>
      </c>
      <c r="AG110" s="101">
        <f t="shared" si="86"/>
        <v>869.4622421</v>
      </c>
      <c r="AH110" s="101">
        <f t="shared" si="86"/>
        <v>921.4419336</v>
      </c>
      <c r="AI110" s="101">
        <f t="shared" si="86"/>
        <v>973.421629</v>
      </c>
      <c r="AJ110" s="101">
        <f t="shared" si="86"/>
        <v>1025.401324</v>
      </c>
      <c r="AK110" s="101">
        <f t="shared" si="86"/>
        <v>1077.38102</v>
      </c>
      <c r="AL110" s="101">
        <f t="shared" si="86"/>
        <v>1129.360715</v>
      </c>
      <c r="AM110" s="101">
        <f t="shared" si="86"/>
        <v>1181.340411</v>
      </c>
      <c r="AN110" s="101">
        <f t="shared" si="86"/>
        <v>1233.320106</v>
      </c>
      <c r="AO110" s="101">
        <f t="shared" si="86"/>
        <v>1285.299802</v>
      </c>
      <c r="AP110" s="101">
        <f t="shared" si="86"/>
        <v>1286.479497</v>
      </c>
      <c r="AQ110" s="101">
        <f t="shared" si="86"/>
        <v>1327.137192</v>
      </c>
      <c r="AR110" s="101">
        <f t="shared" si="86"/>
        <v>1368.707058</v>
      </c>
      <c r="AS110" s="101">
        <f t="shared" si="86"/>
        <v>1410.290606</v>
      </c>
      <c r="AT110" s="101">
        <f t="shared" si="86"/>
        <v>1451.874359</v>
      </c>
      <c r="AU110" s="101">
        <f t="shared" si="86"/>
        <v>1493.458115</v>
      </c>
      <c r="AV110" s="101">
        <f t="shared" si="86"/>
        <v>1535.041872</v>
      </c>
      <c r="AW110" s="101">
        <f t="shared" si="86"/>
        <v>1576.625628</v>
      </c>
      <c r="AX110" s="101">
        <f t="shared" si="86"/>
        <v>1618.209384</v>
      </c>
      <c r="AY110" s="101">
        <f t="shared" si="86"/>
        <v>1659.793141</v>
      </c>
      <c r="AZ110" s="101">
        <f t="shared" si="86"/>
        <v>1701.376897</v>
      </c>
      <c r="BA110" s="101">
        <f t="shared" si="86"/>
        <v>1742.960653</v>
      </c>
      <c r="BB110" s="101">
        <f t="shared" si="86"/>
        <v>1743.90441</v>
      </c>
      <c r="BC110" s="101">
        <f t="shared" si="86"/>
        <v>1776.430566</v>
      </c>
      <c r="BD110" s="101">
        <f t="shared" si="86"/>
        <v>1809.686458</v>
      </c>
      <c r="BE110" s="101">
        <f t="shared" si="86"/>
        <v>1842.953297</v>
      </c>
      <c r="BF110" s="101">
        <f t="shared" si="86"/>
        <v>1876.220299</v>
      </c>
      <c r="BG110" s="101">
        <f t="shared" si="86"/>
        <v>1909.487304</v>
      </c>
      <c r="BH110" s="101">
        <f t="shared" si="86"/>
        <v>1942.75431</v>
      </c>
      <c r="BI110" s="101">
        <f t="shared" si="86"/>
        <v>1976.021315</v>
      </c>
      <c r="BJ110" s="101">
        <f t="shared" si="86"/>
        <v>2009.28832</v>
      </c>
      <c r="BK110" s="101">
        <f t="shared" si="86"/>
        <v>2042.555325</v>
      </c>
      <c r="BL110" s="101">
        <f t="shared" si="86"/>
        <v>2075.82233</v>
      </c>
      <c r="BM110" s="101">
        <f t="shared" si="86"/>
        <v>2109.089335</v>
      </c>
      <c r="BN110" s="101">
        <f t="shared" si="86"/>
        <v>2109.84434</v>
      </c>
      <c r="BO110" s="101">
        <f t="shared" si="86"/>
        <v>2135.865265</v>
      </c>
      <c r="BP110" s="101">
        <f t="shared" si="86"/>
        <v>2162.469979</v>
      </c>
      <c r="BQ110" s="101">
        <f t="shared" si="86"/>
        <v>2189.08345</v>
      </c>
      <c r="BR110" s="101">
        <f t="shared" si="86"/>
        <v>2215.697052</v>
      </c>
      <c r="BS110" s="101">
        <f t="shared" si="86"/>
        <v>2242.310656</v>
      </c>
      <c r="BT110" s="101">
        <f t="shared" si="86"/>
        <v>2268.92426</v>
      </c>
      <c r="BU110" s="101">
        <f t="shared" si="86"/>
        <v>2295.537864</v>
      </c>
      <c r="BV110" s="101">
        <f t="shared" si="86"/>
        <v>2322.151468</v>
      </c>
      <c r="BW110" s="101">
        <f t="shared" si="86"/>
        <v>2348.765072</v>
      </c>
      <c r="BX110" s="101">
        <f t="shared" si="86"/>
        <v>2375.378676</v>
      </c>
      <c r="BY110" s="101">
        <f t="shared" si="86"/>
        <v>2401.99228</v>
      </c>
    </row>
    <row r="111" outlineLevel="1">
      <c r="A111" s="47"/>
      <c r="B111" s="39" t="s">
        <v>54</v>
      </c>
      <c r="C111" s="99"/>
      <c r="D111" s="87">
        <v>0.2</v>
      </c>
      <c r="E111" s="47"/>
      <c r="F111" s="100"/>
      <c r="G111" s="100"/>
      <c r="H111" s="100"/>
      <c r="I111" s="100"/>
      <c r="J111" s="100"/>
      <c r="K111" s="100"/>
      <c r="L111" s="100"/>
      <c r="M111" s="100"/>
      <c r="N111" s="100"/>
      <c r="O111" s="100"/>
      <c r="P111" s="100"/>
      <c r="Q111" s="100"/>
      <c r="R111" s="88">
        <f>D111</f>
        <v>0.2</v>
      </c>
      <c r="S111" s="88">
        <f t="shared" ref="S111:BY111" si="87">R111</f>
        <v>0.2</v>
      </c>
      <c r="T111" s="88">
        <f t="shared" si="87"/>
        <v>0.2</v>
      </c>
      <c r="U111" s="88">
        <f t="shared" si="87"/>
        <v>0.2</v>
      </c>
      <c r="V111" s="88">
        <f t="shared" si="87"/>
        <v>0.2</v>
      </c>
      <c r="W111" s="88">
        <f t="shared" si="87"/>
        <v>0.2</v>
      </c>
      <c r="X111" s="88">
        <f t="shared" si="87"/>
        <v>0.2</v>
      </c>
      <c r="Y111" s="88">
        <f t="shared" si="87"/>
        <v>0.2</v>
      </c>
      <c r="Z111" s="88">
        <f t="shared" si="87"/>
        <v>0.2</v>
      </c>
      <c r="AA111" s="88">
        <f t="shared" si="87"/>
        <v>0.2</v>
      </c>
      <c r="AB111" s="88">
        <f t="shared" si="87"/>
        <v>0.2</v>
      </c>
      <c r="AC111" s="88">
        <f t="shared" si="87"/>
        <v>0.2</v>
      </c>
      <c r="AD111" s="88">
        <f t="shared" si="87"/>
        <v>0.2</v>
      </c>
      <c r="AE111" s="88">
        <f t="shared" si="87"/>
        <v>0.2</v>
      </c>
      <c r="AF111" s="88">
        <f t="shared" si="87"/>
        <v>0.2</v>
      </c>
      <c r="AG111" s="88">
        <f t="shared" si="87"/>
        <v>0.2</v>
      </c>
      <c r="AH111" s="88">
        <f t="shared" si="87"/>
        <v>0.2</v>
      </c>
      <c r="AI111" s="88">
        <f t="shared" si="87"/>
        <v>0.2</v>
      </c>
      <c r="AJ111" s="88">
        <f t="shared" si="87"/>
        <v>0.2</v>
      </c>
      <c r="AK111" s="88">
        <f t="shared" si="87"/>
        <v>0.2</v>
      </c>
      <c r="AL111" s="88">
        <f t="shared" si="87"/>
        <v>0.2</v>
      </c>
      <c r="AM111" s="88">
        <f t="shared" si="87"/>
        <v>0.2</v>
      </c>
      <c r="AN111" s="88">
        <f t="shared" si="87"/>
        <v>0.2</v>
      </c>
      <c r="AO111" s="88">
        <f t="shared" si="87"/>
        <v>0.2</v>
      </c>
      <c r="AP111" s="88">
        <f t="shared" si="87"/>
        <v>0.2</v>
      </c>
      <c r="AQ111" s="88">
        <f t="shared" si="87"/>
        <v>0.2</v>
      </c>
      <c r="AR111" s="88">
        <f t="shared" si="87"/>
        <v>0.2</v>
      </c>
      <c r="AS111" s="88">
        <f t="shared" si="87"/>
        <v>0.2</v>
      </c>
      <c r="AT111" s="88">
        <f t="shared" si="87"/>
        <v>0.2</v>
      </c>
      <c r="AU111" s="88">
        <f t="shared" si="87"/>
        <v>0.2</v>
      </c>
      <c r="AV111" s="88">
        <f t="shared" si="87"/>
        <v>0.2</v>
      </c>
      <c r="AW111" s="88">
        <f t="shared" si="87"/>
        <v>0.2</v>
      </c>
      <c r="AX111" s="88">
        <f t="shared" si="87"/>
        <v>0.2</v>
      </c>
      <c r="AY111" s="88">
        <f t="shared" si="87"/>
        <v>0.2</v>
      </c>
      <c r="AZ111" s="88">
        <f t="shared" si="87"/>
        <v>0.2</v>
      </c>
      <c r="BA111" s="88">
        <f t="shared" si="87"/>
        <v>0.2</v>
      </c>
      <c r="BB111" s="88">
        <f t="shared" si="87"/>
        <v>0.2</v>
      </c>
      <c r="BC111" s="88">
        <f t="shared" si="87"/>
        <v>0.2</v>
      </c>
      <c r="BD111" s="88">
        <f t="shared" si="87"/>
        <v>0.2</v>
      </c>
      <c r="BE111" s="88">
        <f t="shared" si="87"/>
        <v>0.2</v>
      </c>
      <c r="BF111" s="88">
        <f t="shared" si="87"/>
        <v>0.2</v>
      </c>
      <c r="BG111" s="88">
        <f t="shared" si="87"/>
        <v>0.2</v>
      </c>
      <c r="BH111" s="88">
        <f t="shared" si="87"/>
        <v>0.2</v>
      </c>
      <c r="BI111" s="88">
        <f t="shared" si="87"/>
        <v>0.2</v>
      </c>
      <c r="BJ111" s="88">
        <f t="shared" si="87"/>
        <v>0.2</v>
      </c>
      <c r="BK111" s="88">
        <f t="shared" si="87"/>
        <v>0.2</v>
      </c>
      <c r="BL111" s="88">
        <f t="shared" si="87"/>
        <v>0.2</v>
      </c>
      <c r="BM111" s="88">
        <f t="shared" si="87"/>
        <v>0.2</v>
      </c>
      <c r="BN111" s="88">
        <f t="shared" si="87"/>
        <v>0.2</v>
      </c>
      <c r="BO111" s="88">
        <f t="shared" si="87"/>
        <v>0.2</v>
      </c>
      <c r="BP111" s="88">
        <f t="shared" si="87"/>
        <v>0.2</v>
      </c>
      <c r="BQ111" s="88">
        <f t="shared" si="87"/>
        <v>0.2</v>
      </c>
      <c r="BR111" s="88">
        <f t="shared" si="87"/>
        <v>0.2</v>
      </c>
      <c r="BS111" s="88">
        <f t="shared" si="87"/>
        <v>0.2</v>
      </c>
      <c r="BT111" s="88">
        <f t="shared" si="87"/>
        <v>0.2</v>
      </c>
      <c r="BU111" s="88">
        <f t="shared" si="87"/>
        <v>0.2</v>
      </c>
      <c r="BV111" s="88">
        <f t="shared" si="87"/>
        <v>0.2</v>
      </c>
      <c r="BW111" s="88">
        <f t="shared" si="87"/>
        <v>0.2</v>
      </c>
      <c r="BX111" s="88">
        <f t="shared" si="87"/>
        <v>0.2</v>
      </c>
      <c r="BY111" s="88">
        <f t="shared" si="87"/>
        <v>0.2</v>
      </c>
    </row>
    <row r="112" outlineLevel="1">
      <c r="A112" s="47"/>
      <c r="B112" s="39" t="s">
        <v>55</v>
      </c>
      <c r="C112" s="99"/>
      <c r="D112" s="47"/>
      <c r="E112" s="47"/>
      <c r="F112" s="101"/>
      <c r="G112" s="101"/>
      <c r="H112" s="101"/>
      <c r="I112" s="101"/>
      <c r="J112" s="101"/>
      <c r="K112" s="101"/>
      <c r="L112" s="101"/>
      <c r="M112" s="101"/>
      <c r="N112" s="101"/>
      <c r="O112" s="101"/>
      <c r="P112" s="101"/>
      <c r="Q112" s="101"/>
      <c r="R112" s="101">
        <f t="shared" ref="R112:BY112" si="88">R109*R111</f>
        <v>0</v>
      </c>
      <c r="S112" s="101">
        <f t="shared" si="88"/>
        <v>0</v>
      </c>
      <c r="T112" s="101">
        <f t="shared" si="88"/>
        <v>0</v>
      </c>
      <c r="U112" s="101">
        <f t="shared" si="88"/>
        <v>0</v>
      </c>
      <c r="V112" s="101">
        <f t="shared" si="88"/>
        <v>0</v>
      </c>
      <c r="W112" s="101">
        <f t="shared" si="88"/>
        <v>0</v>
      </c>
      <c r="X112" s="101">
        <f t="shared" si="88"/>
        <v>0</v>
      </c>
      <c r="Y112" s="101">
        <f t="shared" si="88"/>
        <v>0</v>
      </c>
      <c r="Z112" s="101">
        <f t="shared" si="88"/>
        <v>0</v>
      </c>
      <c r="AA112" s="101">
        <f t="shared" si="88"/>
        <v>0</v>
      </c>
      <c r="AB112" s="101">
        <f t="shared" si="88"/>
        <v>0</v>
      </c>
      <c r="AC112" s="101">
        <f t="shared" si="88"/>
        <v>0</v>
      </c>
      <c r="AD112" s="101">
        <f t="shared" si="88"/>
        <v>12.7</v>
      </c>
      <c r="AE112" s="101">
        <f t="shared" si="88"/>
        <v>12.9905</v>
      </c>
      <c r="AF112" s="101">
        <f t="shared" si="88"/>
        <v>12.9948575</v>
      </c>
      <c r="AG112" s="101">
        <f t="shared" si="88"/>
        <v>12.99492286</v>
      </c>
      <c r="AH112" s="101">
        <f t="shared" si="88"/>
        <v>12.99492384</v>
      </c>
      <c r="AI112" s="101">
        <f t="shared" si="88"/>
        <v>12.99492386</v>
      </c>
      <c r="AJ112" s="101">
        <f t="shared" si="88"/>
        <v>12.99492386</v>
      </c>
      <c r="AK112" s="101">
        <f t="shared" si="88"/>
        <v>12.99492386</v>
      </c>
      <c r="AL112" s="101">
        <f t="shared" si="88"/>
        <v>12.99492386</v>
      </c>
      <c r="AM112" s="101">
        <f t="shared" si="88"/>
        <v>12.99492386</v>
      </c>
      <c r="AN112" s="101">
        <f t="shared" si="88"/>
        <v>12.99492386</v>
      </c>
      <c r="AO112" s="101">
        <f t="shared" si="88"/>
        <v>12.99492386</v>
      </c>
      <c r="AP112" s="101">
        <f t="shared" si="88"/>
        <v>23.15492386</v>
      </c>
      <c r="AQ112" s="101">
        <f t="shared" si="88"/>
        <v>23.38732386</v>
      </c>
      <c r="AR112" s="101">
        <f t="shared" si="88"/>
        <v>23.39080986</v>
      </c>
      <c r="AS112" s="101">
        <f t="shared" si="88"/>
        <v>23.39086215</v>
      </c>
      <c r="AT112" s="101">
        <f t="shared" si="88"/>
        <v>23.39086293</v>
      </c>
      <c r="AU112" s="101">
        <f t="shared" si="88"/>
        <v>23.39086294</v>
      </c>
      <c r="AV112" s="101">
        <f t="shared" si="88"/>
        <v>23.39086294</v>
      </c>
      <c r="AW112" s="101">
        <f t="shared" si="88"/>
        <v>23.39086294</v>
      </c>
      <c r="AX112" s="101">
        <f t="shared" si="88"/>
        <v>23.39086294</v>
      </c>
      <c r="AY112" s="101">
        <f t="shared" si="88"/>
        <v>23.39086294</v>
      </c>
      <c r="AZ112" s="101">
        <f t="shared" si="88"/>
        <v>23.39086294</v>
      </c>
      <c r="BA112" s="101">
        <f t="shared" si="88"/>
        <v>23.39086294</v>
      </c>
      <c r="BB112" s="101">
        <f t="shared" si="88"/>
        <v>31.51886294</v>
      </c>
      <c r="BC112" s="101">
        <f t="shared" si="88"/>
        <v>31.70478294</v>
      </c>
      <c r="BD112" s="101">
        <f t="shared" si="88"/>
        <v>31.70757174</v>
      </c>
      <c r="BE112" s="101">
        <f t="shared" si="88"/>
        <v>31.70761358</v>
      </c>
      <c r="BF112" s="101">
        <f t="shared" si="88"/>
        <v>31.7076142</v>
      </c>
      <c r="BG112" s="101">
        <f t="shared" si="88"/>
        <v>31.70761421</v>
      </c>
      <c r="BH112" s="101">
        <f t="shared" si="88"/>
        <v>31.70761421</v>
      </c>
      <c r="BI112" s="101">
        <f t="shared" si="88"/>
        <v>31.70761421</v>
      </c>
      <c r="BJ112" s="101">
        <f t="shared" si="88"/>
        <v>31.70761421</v>
      </c>
      <c r="BK112" s="101">
        <f t="shared" si="88"/>
        <v>31.70761421</v>
      </c>
      <c r="BL112" s="101">
        <f t="shared" si="88"/>
        <v>31.70761421</v>
      </c>
      <c r="BM112" s="101">
        <f t="shared" si="88"/>
        <v>31.70761421</v>
      </c>
      <c r="BN112" s="101">
        <f t="shared" si="88"/>
        <v>38.21001421</v>
      </c>
      <c r="BO112" s="101">
        <f t="shared" si="88"/>
        <v>38.35875021</v>
      </c>
      <c r="BP112" s="101">
        <f t="shared" si="88"/>
        <v>38.36098125</v>
      </c>
      <c r="BQ112" s="101">
        <f t="shared" si="88"/>
        <v>38.36101472</v>
      </c>
      <c r="BR112" s="101">
        <f t="shared" si="88"/>
        <v>38.36101522</v>
      </c>
      <c r="BS112" s="101">
        <f t="shared" si="88"/>
        <v>38.36101523</v>
      </c>
      <c r="BT112" s="101">
        <f t="shared" si="88"/>
        <v>38.36101523</v>
      </c>
      <c r="BU112" s="101">
        <f t="shared" si="88"/>
        <v>38.36101523</v>
      </c>
      <c r="BV112" s="101">
        <f t="shared" si="88"/>
        <v>38.36101523</v>
      </c>
      <c r="BW112" s="101">
        <f t="shared" si="88"/>
        <v>38.36101523</v>
      </c>
      <c r="BX112" s="101">
        <f t="shared" si="88"/>
        <v>38.36101523</v>
      </c>
      <c r="BY112" s="101">
        <f t="shared" si="88"/>
        <v>38.36101523</v>
      </c>
    </row>
    <row r="113" outlineLevel="1">
      <c r="A113" s="47"/>
      <c r="B113" s="39" t="s">
        <v>56</v>
      </c>
      <c r="C113" s="99"/>
      <c r="D113" s="47"/>
      <c r="E113" s="47"/>
      <c r="F113" s="47"/>
      <c r="G113" s="47"/>
      <c r="H113" s="47"/>
      <c r="I113" s="47"/>
      <c r="J113" s="47"/>
      <c r="K113" s="47"/>
      <c r="L113" s="47"/>
      <c r="M113" s="47"/>
      <c r="N113" s="47"/>
      <c r="O113" s="47"/>
      <c r="P113" s="47"/>
      <c r="Q113" s="47"/>
      <c r="R113" s="101">
        <f t="shared" ref="R113:BY113" si="89">R109-R112</f>
        <v>0</v>
      </c>
      <c r="S113" s="101">
        <f t="shared" si="89"/>
        <v>0</v>
      </c>
      <c r="T113" s="101">
        <f t="shared" si="89"/>
        <v>0</v>
      </c>
      <c r="U113" s="101">
        <f t="shared" si="89"/>
        <v>0</v>
      </c>
      <c r="V113" s="101">
        <f t="shared" si="89"/>
        <v>0</v>
      </c>
      <c r="W113" s="101">
        <f t="shared" si="89"/>
        <v>0</v>
      </c>
      <c r="X113" s="101">
        <f t="shared" si="89"/>
        <v>0</v>
      </c>
      <c r="Y113" s="101">
        <f t="shared" si="89"/>
        <v>0</v>
      </c>
      <c r="Z113" s="101">
        <f t="shared" si="89"/>
        <v>0</v>
      </c>
      <c r="AA113" s="101">
        <f t="shared" si="89"/>
        <v>0</v>
      </c>
      <c r="AB113" s="101">
        <f t="shared" si="89"/>
        <v>0</v>
      </c>
      <c r="AC113" s="101">
        <f t="shared" si="89"/>
        <v>0</v>
      </c>
      <c r="AD113" s="101">
        <f t="shared" si="89"/>
        <v>50.8</v>
      </c>
      <c r="AE113" s="101">
        <f t="shared" si="89"/>
        <v>51.962</v>
      </c>
      <c r="AF113" s="101">
        <f t="shared" si="89"/>
        <v>51.97943</v>
      </c>
      <c r="AG113" s="101">
        <f t="shared" si="89"/>
        <v>51.97969145</v>
      </c>
      <c r="AH113" s="101">
        <f t="shared" si="89"/>
        <v>51.97969537</v>
      </c>
      <c r="AI113" s="101">
        <f t="shared" si="89"/>
        <v>51.97969543</v>
      </c>
      <c r="AJ113" s="101">
        <f t="shared" si="89"/>
        <v>51.97969543</v>
      </c>
      <c r="AK113" s="101">
        <f t="shared" si="89"/>
        <v>51.97969543</v>
      </c>
      <c r="AL113" s="101">
        <f t="shared" si="89"/>
        <v>51.97969543</v>
      </c>
      <c r="AM113" s="101">
        <f t="shared" si="89"/>
        <v>51.97969543</v>
      </c>
      <c r="AN113" s="101">
        <f t="shared" si="89"/>
        <v>51.97969543</v>
      </c>
      <c r="AO113" s="101">
        <f t="shared" si="89"/>
        <v>51.97969543</v>
      </c>
      <c r="AP113" s="101">
        <f t="shared" si="89"/>
        <v>92.61969543</v>
      </c>
      <c r="AQ113" s="101">
        <f t="shared" si="89"/>
        <v>93.54929543</v>
      </c>
      <c r="AR113" s="101">
        <f t="shared" si="89"/>
        <v>93.56323943</v>
      </c>
      <c r="AS113" s="101">
        <f t="shared" si="89"/>
        <v>93.56344859</v>
      </c>
      <c r="AT113" s="101">
        <f t="shared" si="89"/>
        <v>93.56345173</v>
      </c>
      <c r="AU113" s="101">
        <f t="shared" si="89"/>
        <v>93.56345178</v>
      </c>
      <c r="AV113" s="101">
        <f t="shared" si="89"/>
        <v>93.56345178</v>
      </c>
      <c r="AW113" s="101">
        <f t="shared" si="89"/>
        <v>93.56345178</v>
      </c>
      <c r="AX113" s="101">
        <f t="shared" si="89"/>
        <v>93.56345178</v>
      </c>
      <c r="AY113" s="101">
        <f t="shared" si="89"/>
        <v>93.56345178</v>
      </c>
      <c r="AZ113" s="101">
        <f t="shared" si="89"/>
        <v>93.56345178</v>
      </c>
      <c r="BA113" s="101">
        <f t="shared" si="89"/>
        <v>93.56345178</v>
      </c>
      <c r="BB113" s="101">
        <f t="shared" si="89"/>
        <v>126.0754518</v>
      </c>
      <c r="BC113" s="101">
        <f t="shared" si="89"/>
        <v>126.8191318</v>
      </c>
      <c r="BD113" s="101">
        <f t="shared" si="89"/>
        <v>126.830287</v>
      </c>
      <c r="BE113" s="101">
        <f t="shared" si="89"/>
        <v>126.8304543</v>
      </c>
      <c r="BF113" s="101">
        <f t="shared" si="89"/>
        <v>126.8304568</v>
      </c>
      <c r="BG113" s="101">
        <f t="shared" si="89"/>
        <v>126.8304569</v>
      </c>
      <c r="BH113" s="101">
        <f t="shared" si="89"/>
        <v>126.8304569</v>
      </c>
      <c r="BI113" s="101">
        <f t="shared" si="89"/>
        <v>126.8304569</v>
      </c>
      <c r="BJ113" s="101">
        <f t="shared" si="89"/>
        <v>126.8304569</v>
      </c>
      <c r="BK113" s="101">
        <f t="shared" si="89"/>
        <v>126.8304569</v>
      </c>
      <c r="BL113" s="101">
        <f t="shared" si="89"/>
        <v>126.8304569</v>
      </c>
      <c r="BM113" s="101">
        <f t="shared" si="89"/>
        <v>126.8304569</v>
      </c>
      <c r="BN113" s="101">
        <f t="shared" si="89"/>
        <v>152.8400569</v>
      </c>
      <c r="BO113" s="101">
        <f t="shared" si="89"/>
        <v>153.4350009</v>
      </c>
      <c r="BP113" s="101">
        <f t="shared" si="89"/>
        <v>153.443925</v>
      </c>
      <c r="BQ113" s="101">
        <f t="shared" si="89"/>
        <v>153.4440589</v>
      </c>
      <c r="BR113" s="101">
        <f t="shared" si="89"/>
        <v>153.4440609</v>
      </c>
      <c r="BS113" s="101">
        <f t="shared" si="89"/>
        <v>153.4440609</v>
      </c>
      <c r="BT113" s="101">
        <f t="shared" si="89"/>
        <v>153.4440609</v>
      </c>
      <c r="BU113" s="101">
        <f t="shared" si="89"/>
        <v>153.4440609</v>
      </c>
      <c r="BV113" s="101">
        <f t="shared" si="89"/>
        <v>153.4440609</v>
      </c>
      <c r="BW113" s="101">
        <f t="shared" si="89"/>
        <v>153.4440609</v>
      </c>
      <c r="BX113" s="101">
        <f t="shared" si="89"/>
        <v>153.4440609</v>
      </c>
      <c r="BY113" s="101">
        <f t="shared" si="89"/>
        <v>153.4440609</v>
      </c>
    </row>
    <row r="114" outlineLevel="1">
      <c r="A114" s="47"/>
      <c r="B114" s="39" t="s">
        <v>57</v>
      </c>
      <c r="C114" s="99"/>
      <c r="D114" s="47"/>
      <c r="E114" s="47"/>
      <c r="F114" s="47"/>
      <c r="G114" s="47"/>
      <c r="H114" s="47"/>
      <c r="I114" s="47"/>
      <c r="J114" s="47"/>
      <c r="K114" s="47"/>
      <c r="L114" s="47"/>
      <c r="M114" s="47"/>
      <c r="N114" s="47"/>
      <c r="O114" s="47"/>
      <c r="P114" s="47"/>
      <c r="Q114" s="47"/>
      <c r="R114" s="101">
        <f t="shared" ref="R114:BY114" si="90">R108+R110</f>
        <v>63.5</v>
      </c>
      <c r="S114" s="101">
        <f t="shared" si="90"/>
        <v>128.4525</v>
      </c>
      <c r="T114" s="101">
        <f t="shared" si="90"/>
        <v>193.4267875</v>
      </c>
      <c r="U114" s="101">
        <f t="shared" si="90"/>
        <v>258.4014018</v>
      </c>
      <c r="V114" s="101">
        <f t="shared" si="90"/>
        <v>323.376021</v>
      </c>
      <c r="W114" s="101">
        <f t="shared" si="90"/>
        <v>388.3506403</v>
      </c>
      <c r="X114" s="101">
        <f t="shared" si="90"/>
        <v>453.3252596</v>
      </c>
      <c r="Y114" s="101">
        <f t="shared" si="90"/>
        <v>518.2998789</v>
      </c>
      <c r="Z114" s="101">
        <f t="shared" si="90"/>
        <v>583.2744982</v>
      </c>
      <c r="AA114" s="101">
        <f t="shared" si="90"/>
        <v>648.2491175</v>
      </c>
      <c r="AB114" s="101">
        <f t="shared" si="90"/>
        <v>713.2237368</v>
      </c>
      <c r="AC114" s="101">
        <f t="shared" si="90"/>
        <v>778.1983561</v>
      </c>
      <c r="AD114" s="101">
        <f t="shared" si="90"/>
        <v>830.4729753</v>
      </c>
      <c r="AE114" s="101">
        <f t="shared" si="90"/>
        <v>882.4570946</v>
      </c>
      <c r="AF114" s="101">
        <f t="shared" si="90"/>
        <v>934.4368564</v>
      </c>
      <c r="AG114" s="101">
        <f t="shared" si="90"/>
        <v>986.4165528</v>
      </c>
      <c r="AH114" s="101">
        <f t="shared" si="90"/>
        <v>1038.396248</v>
      </c>
      <c r="AI114" s="101">
        <f t="shared" si="90"/>
        <v>1090.375944</v>
      </c>
      <c r="AJ114" s="101">
        <f t="shared" si="90"/>
        <v>1142.355639</v>
      </c>
      <c r="AK114" s="101">
        <f t="shared" si="90"/>
        <v>1194.335335</v>
      </c>
      <c r="AL114" s="101">
        <f t="shared" si="90"/>
        <v>1246.31503</v>
      </c>
      <c r="AM114" s="101">
        <f t="shared" si="90"/>
        <v>1298.294725</v>
      </c>
      <c r="AN114" s="101">
        <f t="shared" si="90"/>
        <v>1350.274421</v>
      </c>
      <c r="AO114" s="101">
        <f t="shared" si="90"/>
        <v>1402.254116</v>
      </c>
      <c r="AP114" s="101">
        <f t="shared" si="90"/>
        <v>1444.073812</v>
      </c>
      <c r="AQ114" s="101">
        <f t="shared" si="90"/>
        <v>1485.661107</v>
      </c>
      <c r="AR114" s="101">
        <f t="shared" si="90"/>
        <v>1527.244917</v>
      </c>
      <c r="AS114" s="101">
        <f t="shared" si="90"/>
        <v>1568.828674</v>
      </c>
      <c r="AT114" s="101">
        <f t="shared" si="90"/>
        <v>1610.41243</v>
      </c>
      <c r="AU114" s="101">
        <f t="shared" si="90"/>
        <v>1651.996186</v>
      </c>
      <c r="AV114" s="101">
        <f t="shared" si="90"/>
        <v>1693.579943</v>
      </c>
      <c r="AW114" s="101">
        <f t="shared" si="90"/>
        <v>1735.163699</v>
      </c>
      <c r="AX114" s="101">
        <f t="shared" si="90"/>
        <v>1776.747455</v>
      </c>
      <c r="AY114" s="101">
        <f t="shared" si="90"/>
        <v>1818.331212</v>
      </c>
      <c r="AZ114" s="101">
        <f t="shared" si="90"/>
        <v>1859.914968</v>
      </c>
      <c r="BA114" s="101">
        <f t="shared" si="90"/>
        <v>1901.498725</v>
      </c>
      <c r="BB114" s="101">
        <f t="shared" si="90"/>
        <v>1934.954481</v>
      </c>
      <c r="BC114" s="101">
        <f t="shared" si="90"/>
        <v>1968.224317</v>
      </c>
      <c r="BD114" s="101">
        <f t="shared" si="90"/>
        <v>2001.491365</v>
      </c>
      <c r="BE114" s="101">
        <f t="shared" si="90"/>
        <v>2034.75837</v>
      </c>
      <c r="BF114" s="101">
        <f t="shared" si="90"/>
        <v>2068.025376</v>
      </c>
      <c r="BG114" s="101">
        <f t="shared" si="90"/>
        <v>2101.292381</v>
      </c>
      <c r="BH114" s="101">
        <f t="shared" si="90"/>
        <v>2134.559386</v>
      </c>
      <c r="BI114" s="101">
        <f t="shared" si="90"/>
        <v>2167.826391</v>
      </c>
      <c r="BJ114" s="101">
        <f t="shared" si="90"/>
        <v>2201.093396</v>
      </c>
      <c r="BK114" s="101">
        <f t="shared" si="90"/>
        <v>2234.360401</v>
      </c>
      <c r="BL114" s="101">
        <f t="shared" si="90"/>
        <v>2267.627406</v>
      </c>
      <c r="BM114" s="101">
        <f t="shared" si="90"/>
        <v>2300.894411</v>
      </c>
      <c r="BN114" s="101">
        <f t="shared" si="90"/>
        <v>2327.659016</v>
      </c>
      <c r="BO114" s="101">
        <f t="shared" si="90"/>
        <v>2354.274885</v>
      </c>
      <c r="BP114" s="101">
        <f t="shared" si="90"/>
        <v>2380.888523</v>
      </c>
      <c r="BQ114" s="101">
        <f t="shared" si="90"/>
        <v>2407.502128</v>
      </c>
      <c r="BR114" s="101">
        <f t="shared" si="90"/>
        <v>2434.115732</v>
      </c>
      <c r="BS114" s="101">
        <f t="shared" si="90"/>
        <v>2460.729336</v>
      </c>
      <c r="BT114" s="101">
        <f t="shared" si="90"/>
        <v>2487.34294</v>
      </c>
      <c r="BU114" s="101">
        <f t="shared" si="90"/>
        <v>2513.956544</v>
      </c>
      <c r="BV114" s="101">
        <f t="shared" si="90"/>
        <v>2540.570148</v>
      </c>
      <c r="BW114" s="101">
        <f t="shared" si="90"/>
        <v>2567.183752</v>
      </c>
      <c r="BX114" s="101">
        <f t="shared" si="90"/>
        <v>2593.797356</v>
      </c>
      <c r="BY114" s="101">
        <f t="shared" si="90"/>
        <v>2620.41096</v>
      </c>
    </row>
    <row r="115" outlineLevel="1">
      <c r="A115" s="47"/>
      <c r="B115" s="39" t="s">
        <v>58</v>
      </c>
      <c r="C115" s="47"/>
      <c r="D115" s="47"/>
      <c r="E115" s="47"/>
      <c r="F115" s="102"/>
      <c r="G115" s="102"/>
      <c r="H115" s="102"/>
      <c r="I115" s="102"/>
      <c r="J115" s="102"/>
      <c r="K115" s="102"/>
      <c r="L115" s="102"/>
      <c r="M115" s="102"/>
      <c r="N115" s="102"/>
      <c r="O115" s="102"/>
      <c r="P115" s="102"/>
      <c r="Q115" s="102"/>
      <c r="R115" s="102" t="str">
        <f>E114</f>
        <v/>
      </c>
      <c r="S115" s="102">
        <f t="shared" ref="S115:BY115" si="91">R114</f>
        <v>63.5</v>
      </c>
      <c r="T115" s="102">
        <f t="shared" si="91"/>
        <v>128.4525</v>
      </c>
      <c r="U115" s="102">
        <f t="shared" si="91"/>
        <v>193.4267875</v>
      </c>
      <c r="V115" s="102">
        <f t="shared" si="91"/>
        <v>258.4014018</v>
      </c>
      <c r="W115" s="102">
        <f t="shared" si="91"/>
        <v>323.376021</v>
      </c>
      <c r="X115" s="102">
        <f t="shared" si="91"/>
        <v>388.3506403</v>
      </c>
      <c r="Y115" s="102">
        <f t="shared" si="91"/>
        <v>453.3252596</v>
      </c>
      <c r="Z115" s="102">
        <f t="shared" si="91"/>
        <v>518.2998789</v>
      </c>
      <c r="AA115" s="102">
        <f t="shared" si="91"/>
        <v>583.2744982</v>
      </c>
      <c r="AB115" s="102">
        <f t="shared" si="91"/>
        <v>648.2491175</v>
      </c>
      <c r="AC115" s="102">
        <f t="shared" si="91"/>
        <v>713.2237368</v>
      </c>
      <c r="AD115" s="102">
        <f t="shared" si="91"/>
        <v>778.1983561</v>
      </c>
      <c r="AE115" s="102">
        <f t="shared" si="91"/>
        <v>830.4729753</v>
      </c>
      <c r="AF115" s="102">
        <f t="shared" si="91"/>
        <v>882.4570946</v>
      </c>
      <c r="AG115" s="102">
        <f t="shared" si="91"/>
        <v>934.4368564</v>
      </c>
      <c r="AH115" s="102">
        <f t="shared" si="91"/>
        <v>986.4165528</v>
      </c>
      <c r="AI115" s="102">
        <f t="shared" si="91"/>
        <v>1038.396248</v>
      </c>
      <c r="AJ115" s="102">
        <f t="shared" si="91"/>
        <v>1090.375944</v>
      </c>
      <c r="AK115" s="102">
        <f t="shared" si="91"/>
        <v>1142.355639</v>
      </c>
      <c r="AL115" s="102">
        <f t="shared" si="91"/>
        <v>1194.335335</v>
      </c>
      <c r="AM115" s="102">
        <f t="shared" si="91"/>
        <v>1246.31503</v>
      </c>
      <c r="AN115" s="102">
        <f t="shared" si="91"/>
        <v>1298.294725</v>
      </c>
      <c r="AO115" s="102">
        <f t="shared" si="91"/>
        <v>1350.274421</v>
      </c>
      <c r="AP115" s="102">
        <f t="shared" si="91"/>
        <v>1402.254116</v>
      </c>
      <c r="AQ115" s="102">
        <f t="shared" si="91"/>
        <v>1444.073812</v>
      </c>
      <c r="AR115" s="102">
        <f t="shared" si="91"/>
        <v>1485.661107</v>
      </c>
      <c r="AS115" s="102">
        <f t="shared" si="91"/>
        <v>1527.244917</v>
      </c>
      <c r="AT115" s="102">
        <f t="shared" si="91"/>
        <v>1568.828674</v>
      </c>
      <c r="AU115" s="102">
        <f t="shared" si="91"/>
        <v>1610.41243</v>
      </c>
      <c r="AV115" s="102">
        <f t="shared" si="91"/>
        <v>1651.996186</v>
      </c>
      <c r="AW115" s="102">
        <f t="shared" si="91"/>
        <v>1693.579943</v>
      </c>
      <c r="AX115" s="102">
        <f t="shared" si="91"/>
        <v>1735.163699</v>
      </c>
      <c r="AY115" s="102">
        <f t="shared" si="91"/>
        <v>1776.747455</v>
      </c>
      <c r="AZ115" s="102">
        <f t="shared" si="91"/>
        <v>1818.331212</v>
      </c>
      <c r="BA115" s="102">
        <f t="shared" si="91"/>
        <v>1859.914968</v>
      </c>
      <c r="BB115" s="102">
        <f t="shared" si="91"/>
        <v>1901.498725</v>
      </c>
      <c r="BC115" s="102">
        <f t="shared" si="91"/>
        <v>1934.954481</v>
      </c>
      <c r="BD115" s="102">
        <f t="shared" si="91"/>
        <v>1968.224317</v>
      </c>
      <c r="BE115" s="102">
        <f t="shared" si="91"/>
        <v>2001.491365</v>
      </c>
      <c r="BF115" s="102">
        <f t="shared" si="91"/>
        <v>2034.75837</v>
      </c>
      <c r="BG115" s="102">
        <f t="shared" si="91"/>
        <v>2068.025376</v>
      </c>
      <c r="BH115" s="102">
        <f t="shared" si="91"/>
        <v>2101.292381</v>
      </c>
      <c r="BI115" s="102">
        <f t="shared" si="91"/>
        <v>2134.559386</v>
      </c>
      <c r="BJ115" s="102">
        <f t="shared" si="91"/>
        <v>2167.826391</v>
      </c>
      <c r="BK115" s="102">
        <f t="shared" si="91"/>
        <v>2201.093396</v>
      </c>
      <c r="BL115" s="102">
        <f t="shared" si="91"/>
        <v>2234.360401</v>
      </c>
      <c r="BM115" s="102">
        <f t="shared" si="91"/>
        <v>2267.627406</v>
      </c>
      <c r="BN115" s="102">
        <f t="shared" si="91"/>
        <v>2300.894411</v>
      </c>
      <c r="BO115" s="102">
        <f t="shared" si="91"/>
        <v>2327.659016</v>
      </c>
      <c r="BP115" s="102">
        <f t="shared" si="91"/>
        <v>2354.274885</v>
      </c>
      <c r="BQ115" s="102">
        <f t="shared" si="91"/>
        <v>2380.888523</v>
      </c>
      <c r="BR115" s="102">
        <f t="shared" si="91"/>
        <v>2407.502128</v>
      </c>
      <c r="BS115" s="102">
        <f t="shared" si="91"/>
        <v>2434.115732</v>
      </c>
      <c r="BT115" s="102">
        <f t="shared" si="91"/>
        <v>2460.729336</v>
      </c>
      <c r="BU115" s="102">
        <f t="shared" si="91"/>
        <v>2487.34294</v>
      </c>
      <c r="BV115" s="102">
        <f t="shared" si="91"/>
        <v>2513.956544</v>
      </c>
      <c r="BW115" s="102">
        <f t="shared" si="91"/>
        <v>2540.570148</v>
      </c>
      <c r="BX115" s="102">
        <f t="shared" si="91"/>
        <v>2567.183752</v>
      </c>
      <c r="BY115" s="102">
        <f t="shared" si="91"/>
        <v>2593.797356</v>
      </c>
    </row>
    <row r="116" outlineLevel="1">
      <c r="A116" s="47"/>
      <c r="B116" s="39" t="s">
        <v>59</v>
      </c>
      <c r="C116" s="47"/>
      <c r="D116" s="103">
        <v>350.0</v>
      </c>
      <c r="E116" s="47"/>
      <c r="F116" s="104"/>
      <c r="G116" s="104"/>
      <c r="H116" s="104"/>
      <c r="I116" s="104"/>
      <c r="J116" s="104"/>
      <c r="K116" s="104"/>
      <c r="L116" s="104"/>
      <c r="M116" s="104"/>
      <c r="N116" s="104"/>
      <c r="O116" s="104"/>
      <c r="P116" s="104"/>
      <c r="Q116" s="104"/>
      <c r="R116" s="105">
        <f>D116</f>
        <v>350</v>
      </c>
      <c r="S116" s="105">
        <f t="shared" ref="S116:BY116" si="92">R116</f>
        <v>350</v>
      </c>
      <c r="T116" s="105">
        <f t="shared" si="92"/>
        <v>350</v>
      </c>
      <c r="U116" s="105">
        <f t="shared" si="92"/>
        <v>350</v>
      </c>
      <c r="V116" s="105">
        <f t="shared" si="92"/>
        <v>350</v>
      </c>
      <c r="W116" s="105">
        <f t="shared" si="92"/>
        <v>350</v>
      </c>
      <c r="X116" s="105">
        <f t="shared" si="92"/>
        <v>350</v>
      </c>
      <c r="Y116" s="105">
        <f t="shared" si="92"/>
        <v>350</v>
      </c>
      <c r="Z116" s="105">
        <f t="shared" si="92"/>
        <v>350</v>
      </c>
      <c r="AA116" s="105">
        <f t="shared" si="92"/>
        <v>350</v>
      </c>
      <c r="AB116" s="105">
        <f t="shared" si="92"/>
        <v>350</v>
      </c>
      <c r="AC116" s="105">
        <f t="shared" si="92"/>
        <v>350</v>
      </c>
      <c r="AD116" s="105">
        <f t="shared" si="92"/>
        <v>350</v>
      </c>
      <c r="AE116" s="105">
        <f t="shared" si="92"/>
        <v>350</v>
      </c>
      <c r="AF116" s="105">
        <f t="shared" si="92"/>
        <v>350</v>
      </c>
      <c r="AG116" s="105">
        <f t="shared" si="92"/>
        <v>350</v>
      </c>
      <c r="AH116" s="105">
        <f t="shared" si="92"/>
        <v>350</v>
      </c>
      <c r="AI116" s="105">
        <f t="shared" si="92"/>
        <v>350</v>
      </c>
      <c r="AJ116" s="105">
        <f t="shared" si="92"/>
        <v>350</v>
      </c>
      <c r="AK116" s="105">
        <f t="shared" si="92"/>
        <v>350</v>
      </c>
      <c r="AL116" s="105">
        <f t="shared" si="92"/>
        <v>350</v>
      </c>
      <c r="AM116" s="105">
        <f t="shared" si="92"/>
        <v>350</v>
      </c>
      <c r="AN116" s="105">
        <f t="shared" si="92"/>
        <v>350</v>
      </c>
      <c r="AO116" s="105">
        <f t="shared" si="92"/>
        <v>350</v>
      </c>
      <c r="AP116" s="105">
        <f t="shared" si="92"/>
        <v>350</v>
      </c>
      <c r="AQ116" s="105">
        <f t="shared" si="92"/>
        <v>350</v>
      </c>
      <c r="AR116" s="105">
        <f t="shared" si="92"/>
        <v>350</v>
      </c>
      <c r="AS116" s="105">
        <f t="shared" si="92"/>
        <v>350</v>
      </c>
      <c r="AT116" s="105">
        <f t="shared" si="92"/>
        <v>350</v>
      </c>
      <c r="AU116" s="105">
        <f t="shared" si="92"/>
        <v>350</v>
      </c>
      <c r="AV116" s="105">
        <f t="shared" si="92"/>
        <v>350</v>
      </c>
      <c r="AW116" s="105">
        <f t="shared" si="92"/>
        <v>350</v>
      </c>
      <c r="AX116" s="105">
        <f t="shared" si="92"/>
        <v>350</v>
      </c>
      <c r="AY116" s="105">
        <f t="shared" si="92"/>
        <v>350</v>
      </c>
      <c r="AZ116" s="105">
        <f t="shared" si="92"/>
        <v>350</v>
      </c>
      <c r="BA116" s="105">
        <f t="shared" si="92"/>
        <v>350</v>
      </c>
      <c r="BB116" s="105">
        <f t="shared" si="92"/>
        <v>350</v>
      </c>
      <c r="BC116" s="105">
        <f t="shared" si="92"/>
        <v>350</v>
      </c>
      <c r="BD116" s="105">
        <f t="shared" si="92"/>
        <v>350</v>
      </c>
      <c r="BE116" s="105">
        <f t="shared" si="92"/>
        <v>350</v>
      </c>
      <c r="BF116" s="105">
        <f t="shared" si="92"/>
        <v>350</v>
      </c>
      <c r="BG116" s="105">
        <f t="shared" si="92"/>
        <v>350</v>
      </c>
      <c r="BH116" s="105">
        <f t="shared" si="92"/>
        <v>350</v>
      </c>
      <c r="BI116" s="105">
        <f t="shared" si="92"/>
        <v>350</v>
      </c>
      <c r="BJ116" s="105">
        <f t="shared" si="92"/>
        <v>350</v>
      </c>
      <c r="BK116" s="105">
        <f t="shared" si="92"/>
        <v>350</v>
      </c>
      <c r="BL116" s="105">
        <f t="shared" si="92"/>
        <v>350</v>
      </c>
      <c r="BM116" s="105">
        <f t="shared" si="92"/>
        <v>350</v>
      </c>
      <c r="BN116" s="105">
        <f t="shared" si="92"/>
        <v>350</v>
      </c>
      <c r="BO116" s="105">
        <f t="shared" si="92"/>
        <v>350</v>
      </c>
      <c r="BP116" s="105">
        <f t="shared" si="92"/>
        <v>350</v>
      </c>
      <c r="BQ116" s="105">
        <f t="shared" si="92"/>
        <v>350</v>
      </c>
      <c r="BR116" s="105">
        <f t="shared" si="92"/>
        <v>350</v>
      </c>
      <c r="BS116" s="105">
        <f t="shared" si="92"/>
        <v>350</v>
      </c>
      <c r="BT116" s="105">
        <f t="shared" si="92"/>
        <v>350</v>
      </c>
      <c r="BU116" s="105">
        <f t="shared" si="92"/>
        <v>350</v>
      </c>
      <c r="BV116" s="105">
        <f t="shared" si="92"/>
        <v>350</v>
      </c>
      <c r="BW116" s="105">
        <f t="shared" si="92"/>
        <v>350</v>
      </c>
      <c r="BX116" s="105">
        <f t="shared" si="92"/>
        <v>350</v>
      </c>
      <c r="BY116" s="105">
        <f t="shared" si="92"/>
        <v>350</v>
      </c>
    </row>
    <row r="117" outlineLevel="1">
      <c r="A117" s="47"/>
      <c r="B117" s="71" t="s">
        <v>60</v>
      </c>
      <c r="C117" s="59"/>
      <c r="D117" s="61"/>
      <c r="E117" s="61"/>
      <c r="F117" s="61"/>
      <c r="G117" s="61"/>
      <c r="H117" s="61"/>
      <c r="I117" s="61"/>
      <c r="J117" s="61"/>
      <c r="K117" s="61"/>
      <c r="L117" s="61"/>
      <c r="M117" s="61"/>
      <c r="N117" s="61"/>
      <c r="O117" s="61"/>
      <c r="P117" s="61"/>
      <c r="Q117" s="61"/>
      <c r="R117" s="106">
        <f t="shared" ref="R117:BY117" si="93">R108*R116</f>
        <v>22225</v>
      </c>
      <c r="S117" s="106">
        <f t="shared" si="93"/>
        <v>22733.375</v>
      </c>
      <c r="T117" s="106">
        <f t="shared" si="93"/>
        <v>22741.00063</v>
      </c>
      <c r="U117" s="106">
        <f t="shared" si="93"/>
        <v>22741.11501</v>
      </c>
      <c r="V117" s="106">
        <f t="shared" si="93"/>
        <v>22741.11673</v>
      </c>
      <c r="W117" s="106">
        <f t="shared" si="93"/>
        <v>22741.11675</v>
      </c>
      <c r="X117" s="106">
        <f t="shared" si="93"/>
        <v>22741.11675</v>
      </c>
      <c r="Y117" s="106">
        <f t="shared" si="93"/>
        <v>22741.11675</v>
      </c>
      <c r="Z117" s="106">
        <f t="shared" si="93"/>
        <v>22741.11675</v>
      </c>
      <c r="AA117" s="106">
        <f t="shared" si="93"/>
        <v>22741.11675</v>
      </c>
      <c r="AB117" s="106">
        <f t="shared" si="93"/>
        <v>22741.11675</v>
      </c>
      <c r="AC117" s="106">
        <f t="shared" si="93"/>
        <v>22741.11675</v>
      </c>
      <c r="AD117" s="106">
        <f t="shared" si="93"/>
        <v>40521.11675</v>
      </c>
      <c r="AE117" s="106">
        <f t="shared" si="93"/>
        <v>40927.81675</v>
      </c>
      <c r="AF117" s="106">
        <f t="shared" si="93"/>
        <v>40933.91725</v>
      </c>
      <c r="AG117" s="106">
        <f t="shared" si="93"/>
        <v>40934.00876</v>
      </c>
      <c r="AH117" s="106">
        <f t="shared" si="93"/>
        <v>40934.01013</v>
      </c>
      <c r="AI117" s="106">
        <f t="shared" si="93"/>
        <v>40934.01015</v>
      </c>
      <c r="AJ117" s="106">
        <f t="shared" si="93"/>
        <v>40934.01015</v>
      </c>
      <c r="AK117" s="106">
        <f t="shared" si="93"/>
        <v>40934.01015</v>
      </c>
      <c r="AL117" s="106">
        <f t="shared" si="93"/>
        <v>40934.01015</v>
      </c>
      <c r="AM117" s="106">
        <f t="shared" si="93"/>
        <v>40934.01015</v>
      </c>
      <c r="AN117" s="106">
        <f t="shared" si="93"/>
        <v>40934.01015</v>
      </c>
      <c r="AO117" s="106">
        <f t="shared" si="93"/>
        <v>40934.01015</v>
      </c>
      <c r="AP117" s="106">
        <f t="shared" si="93"/>
        <v>55158.01015</v>
      </c>
      <c r="AQ117" s="106">
        <f t="shared" si="93"/>
        <v>55483.37015</v>
      </c>
      <c r="AR117" s="106">
        <f t="shared" si="93"/>
        <v>55488.25055</v>
      </c>
      <c r="AS117" s="106">
        <f t="shared" si="93"/>
        <v>55488.32376</v>
      </c>
      <c r="AT117" s="106">
        <f t="shared" si="93"/>
        <v>55488.32486</v>
      </c>
      <c r="AU117" s="106">
        <f t="shared" si="93"/>
        <v>55488.32487</v>
      </c>
      <c r="AV117" s="106">
        <f t="shared" si="93"/>
        <v>55488.32487</v>
      </c>
      <c r="AW117" s="106">
        <f t="shared" si="93"/>
        <v>55488.32487</v>
      </c>
      <c r="AX117" s="106">
        <f t="shared" si="93"/>
        <v>55488.32487</v>
      </c>
      <c r="AY117" s="106">
        <f t="shared" si="93"/>
        <v>55488.32487</v>
      </c>
      <c r="AZ117" s="106">
        <f t="shared" si="93"/>
        <v>55488.32487</v>
      </c>
      <c r="BA117" s="106">
        <f t="shared" si="93"/>
        <v>55488.32487</v>
      </c>
      <c r="BB117" s="106">
        <f t="shared" si="93"/>
        <v>66867.52487</v>
      </c>
      <c r="BC117" s="106">
        <f t="shared" si="93"/>
        <v>67127.81287</v>
      </c>
      <c r="BD117" s="106">
        <f t="shared" si="93"/>
        <v>67131.71719</v>
      </c>
      <c r="BE117" s="106">
        <f t="shared" si="93"/>
        <v>67131.77576</v>
      </c>
      <c r="BF117" s="106">
        <f t="shared" si="93"/>
        <v>67131.77664</v>
      </c>
      <c r="BG117" s="106">
        <f t="shared" si="93"/>
        <v>67131.77665</v>
      </c>
      <c r="BH117" s="106">
        <f t="shared" si="93"/>
        <v>67131.77665</v>
      </c>
      <c r="BI117" s="106">
        <f t="shared" si="93"/>
        <v>67131.77665</v>
      </c>
      <c r="BJ117" s="106">
        <f t="shared" si="93"/>
        <v>67131.77665</v>
      </c>
      <c r="BK117" s="106">
        <f t="shared" si="93"/>
        <v>67131.77665</v>
      </c>
      <c r="BL117" s="106">
        <f t="shared" si="93"/>
        <v>67131.77665</v>
      </c>
      <c r="BM117" s="106">
        <f t="shared" si="93"/>
        <v>67131.77665</v>
      </c>
      <c r="BN117" s="106">
        <f t="shared" si="93"/>
        <v>76235.13665</v>
      </c>
      <c r="BO117" s="106">
        <f t="shared" si="93"/>
        <v>76443.36705</v>
      </c>
      <c r="BP117" s="106">
        <f t="shared" si="93"/>
        <v>76446.49051</v>
      </c>
      <c r="BQ117" s="106">
        <f t="shared" si="93"/>
        <v>76446.53736</v>
      </c>
      <c r="BR117" s="106">
        <f t="shared" si="93"/>
        <v>76446.53806</v>
      </c>
      <c r="BS117" s="106">
        <f t="shared" si="93"/>
        <v>76446.53807</v>
      </c>
      <c r="BT117" s="106">
        <f t="shared" si="93"/>
        <v>76446.53807</v>
      </c>
      <c r="BU117" s="106">
        <f t="shared" si="93"/>
        <v>76446.53807</v>
      </c>
      <c r="BV117" s="106">
        <f t="shared" si="93"/>
        <v>76446.53807</v>
      </c>
      <c r="BW117" s="106">
        <f t="shared" si="93"/>
        <v>76446.53807</v>
      </c>
      <c r="BX117" s="106">
        <f t="shared" si="93"/>
        <v>76446.53807</v>
      </c>
      <c r="BY117" s="106">
        <f t="shared" si="93"/>
        <v>76446.53807</v>
      </c>
    </row>
    <row r="118" outlineLevel="1">
      <c r="A118" s="47"/>
      <c r="B118" s="73" t="s">
        <v>61</v>
      </c>
      <c r="C118" s="47"/>
      <c r="D118" s="74"/>
      <c r="E118" s="74"/>
      <c r="F118" s="107"/>
      <c r="G118" s="107"/>
      <c r="H118" s="107"/>
      <c r="I118" s="107"/>
      <c r="J118" s="107"/>
      <c r="K118" s="107"/>
      <c r="L118" s="107"/>
      <c r="M118" s="107"/>
      <c r="N118" s="107"/>
      <c r="O118" s="107"/>
      <c r="P118" s="107"/>
      <c r="Q118" s="107"/>
      <c r="R118" s="108">
        <f t="shared" ref="R118:BY118" si="94">(R116/12)*R114</f>
        <v>1852.083333</v>
      </c>
      <c r="S118" s="108">
        <f t="shared" si="94"/>
        <v>3746.53125</v>
      </c>
      <c r="T118" s="108">
        <f t="shared" si="94"/>
        <v>5641.614635</v>
      </c>
      <c r="U118" s="108">
        <f t="shared" si="94"/>
        <v>7536.707553</v>
      </c>
      <c r="V118" s="108">
        <f t="shared" si="94"/>
        <v>9431.800613</v>
      </c>
      <c r="W118" s="108">
        <f t="shared" si="94"/>
        <v>11326.89368</v>
      </c>
      <c r="X118" s="108">
        <f t="shared" si="94"/>
        <v>13221.98674</v>
      </c>
      <c r="Y118" s="108">
        <f t="shared" si="94"/>
        <v>15117.0798</v>
      </c>
      <c r="Z118" s="108">
        <f t="shared" si="94"/>
        <v>17012.17286</v>
      </c>
      <c r="AA118" s="108">
        <f t="shared" si="94"/>
        <v>18907.26593</v>
      </c>
      <c r="AB118" s="108">
        <f t="shared" si="94"/>
        <v>20802.35899</v>
      </c>
      <c r="AC118" s="108">
        <f t="shared" si="94"/>
        <v>22697.45205</v>
      </c>
      <c r="AD118" s="108">
        <f t="shared" si="94"/>
        <v>24222.12845</v>
      </c>
      <c r="AE118" s="108">
        <f t="shared" si="94"/>
        <v>25738.33193</v>
      </c>
      <c r="AF118" s="108">
        <f t="shared" si="94"/>
        <v>27254.40831</v>
      </c>
      <c r="AG118" s="108">
        <f t="shared" si="94"/>
        <v>28770.48279</v>
      </c>
      <c r="AH118" s="108">
        <f t="shared" si="94"/>
        <v>30286.55724</v>
      </c>
      <c r="AI118" s="108">
        <f t="shared" si="94"/>
        <v>31802.63169</v>
      </c>
      <c r="AJ118" s="108">
        <f t="shared" si="94"/>
        <v>33318.70614</v>
      </c>
      <c r="AK118" s="108">
        <f t="shared" si="94"/>
        <v>34834.78059</v>
      </c>
      <c r="AL118" s="108">
        <f t="shared" si="94"/>
        <v>36350.85504</v>
      </c>
      <c r="AM118" s="108">
        <f t="shared" si="94"/>
        <v>37866.92949</v>
      </c>
      <c r="AN118" s="108">
        <f t="shared" si="94"/>
        <v>39383.00394</v>
      </c>
      <c r="AO118" s="108">
        <f t="shared" si="94"/>
        <v>40899.07839</v>
      </c>
      <c r="AP118" s="108">
        <f t="shared" si="94"/>
        <v>42118.81951</v>
      </c>
      <c r="AQ118" s="108">
        <f t="shared" si="94"/>
        <v>43331.78229</v>
      </c>
      <c r="AR118" s="108">
        <f t="shared" si="94"/>
        <v>44544.6434</v>
      </c>
      <c r="AS118" s="108">
        <f t="shared" si="94"/>
        <v>45757.50298</v>
      </c>
      <c r="AT118" s="108">
        <f t="shared" si="94"/>
        <v>46970.36254</v>
      </c>
      <c r="AU118" s="108">
        <f t="shared" si="94"/>
        <v>48183.2221</v>
      </c>
      <c r="AV118" s="108">
        <f t="shared" si="94"/>
        <v>49396.08166</v>
      </c>
      <c r="AW118" s="108">
        <f t="shared" si="94"/>
        <v>50608.94122</v>
      </c>
      <c r="AX118" s="108">
        <f t="shared" si="94"/>
        <v>51821.80079</v>
      </c>
      <c r="AY118" s="108">
        <f t="shared" si="94"/>
        <v>53034.66035</v>
      </c>
      <c r="AZ118" s="108">
        <f t="shared" si="94"/>
        <v>54247.51991</v>
      </c>
      <c r="BA118" s="108">
        <f t="shared" si="94"/>
        <v>55460.37947</v>
      </c>
      <c r="BB118" s="108">
        <f t="shared" si="94"/>
        <v>56436.17236</v>
      </c>
      <c r="BC118" s="108">
        <f t="shared" si="94"/>
        <v>57406.54259</v>
      </c>
      <c r="BD118" s="108">
        <f t="shared" si="94"/>
        <v>58376.83147</v>
      </c>
      <c r="BE118" s="108">
        <f t="shared" si="94"/>
        <v>59347.11914</v>
      </c>
      <c r="BF118" s="108">
        <f t="shared" si="94"/>
        <v>60317.40679</v>
      </c>
      <c r="BG118" s="108">
        <f t="shared" si="94"/>
        <v>61287.69444</v>
      </c>
      <c r="BH118" s="108">
        <f t="shared" si="94"/>
        <v>62257.98208</v>
      </c>
      <c r="BI118" s="108">
        <f t="shared" si="94"/>
        <v>63228.26973</v>
      </c>
      <c r="BJ118" s="108">
        <f t="shared" si="94"/>
        <v>64198.55738</v>
      </c>
      <c r="BK118" s="108">
        <f t="shared" si="94"/>
        <v>65168.84503</v>
      </c>
      <c r="BL118" s="108">
        <f t="shared" si="94"/>
        <v>66139.13268</v>
      </c>
      <c r="BM118" s="108">
        <f t="shared" si="94"/>
        <v>67109.42032</v>
      </c>
      <c r="BN118" s="108">
        <f t="shared" si="94"/>
        <v>67890.05464</v>
      </c>
      <c r="BO118" s="108">
        <f t="shared" si="94"/>
        <v>68666.35082</v>
      </c>
      <c r="BP118" s="108">
        <f t="shared" si="94"/>
        <v>69442.58193</v>
      </c>
      <c r="BQ118" s="108">
        <f t="shared" si="94"/>
        <v>70218.81206</v>
      </c>
      <c r="BR118" s="108">
        <f t="shared" si="94"/>
        <v>70995.04218</v>
      </c>
      <c r="BS118" s="108">
        <f t="shared" si="94"/>
        <v>71771.2723</v>
      </c>
      <c r="BT118" s="108">
        <f t="shared" si="94"/>
        <v>72547.50242</v>
      </c>
      <c r="BU118" s="108">
        <f t="shared" si="94"/>
        <v>73323.73254</v>
      </c>
      <c r="BV118" s="108">
        <f t="shared" si="94"/>
        <v>74099.96265</v>
      </c>
      <c r="BW118" s="108">
        <f t="shared" si="94"/>
        <v>74876.19277</v>
      </c>
      <c r="BX118" s="108">
        <f t="shared" si="94"/>
        <v>75652.42289</v>
      </c>
      <c r="BY118" s="108">
        <f t="shared" si="94"/>
        <v>76428.65301</v>
      </c>
    </row>
    <row r="119" outlineLevel="1">
      <c r="A119" s="47"/>
      <c r="B119" s="73"/>
      <c r="C119" s="47"/>
      <c r="D119" s="74"/>
      <c r="E119" s="74"/>
      <c r="F119" s="107"/>
      <c r="G119" s="107"/>
      <c r="H119" s="107"/>
      <c r="I119" s="107"/>
      <c r="J119" s="107"/>
      <c r="K119" s="107"/>
      <c r="L119" s="107"/>
      <c r="M119" s="107"/>
      <c r="N119" s="107"/>
      <c r="O119" s="107"/>
      <c r="P119" s="107"/>
      <c r="Q119" s="107"/>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c r="BN119" s="108"/>
      <c r="BO119" s="108"/>
      <c r="BP119" s="108"/>
      <c r="BQ119" s="108"/>
      <c r="BR119" s="108"/>
      <c r="BS119" s="108"/>
      <c r="BT119" s="108"/>
      <c r="BU119" s="108"/>
      <c r="BV119" s="108"/>
      <c r="BW119" s="108"/>
      <c r="BX119" s="108"/>
      <c r="BY119" s="108"/>
    </row>
    <row r="120" outlineLevel="1">
      <c r="A120" s="47"/>
      <c r="B120" s="109" t="s">
        <v>64</v>
      </c>
      <c r="C120" s="47"/>
      <c r="D120" s="74"/>
      <c r="E120" s="74"/>
      <c r="F120" s="107"/>
      <c r="G120" s="107"/>
      <c r="H120" s="107"/>
      <c r="I120" s="107"/>
      <c r="J120" s="107"/>
      <c r="K120" s="107"/>
      <c r="L120" s="107"/>
      <c r="M120" s="107"/>
      <c r="N120" s="107"/>
      <c r="O120" s="107"/>
      <c r="P120" s="107"/>
      <c r="Q120" s="107"/>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c r="BN120" s="108"/>
      <c r="BO120" s="108"/>
      <c r="BP120" s="108"/>
      <c r="BQ120" s="108"/>
      <c r="BR120" s="108"/>
      <c r="BS120" s="108"/>
      <c r="BT120" s="108"/>
      <c r="BU120" s="108"/>
      <c r="BV120" s="108"/>
      <c r="BW120" s="108"/>
      <c r="BX120" s="108"/>
      <c r="BY120" s="108"/>
    </row>
    <row r="121" ht="17.25" customHeight="1" outlineLevel="1">
      <c r="A121" s="47"/>
      <c r="B121" s="54"/>
      <c r="C121" s="99"/>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row>
    <row r="122">
      <c r="A122" s="47"/>
      <c r="B122" s="110"/>
      <c r="C122" s="47"/>
      <c r="D122" s="47"/>
      <c r="E122" s="47"/>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c r="BY122" s="111"/>
    </row>
    <row r="123">
      <c r="A123" s="47"/>
      <c r="B123" s="48" t="s">
        <v>65</v>
      </c>
      <c r="C123" s="49"/>
      <c r="D123" s="49"/>
      <c r="E123" s="49"/>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row>
    <row r="124" outlineLevel="1">
      <c r="A124" s="47"/>
      <c r="B124" s="47"/>
      <c r="C124" s="47"/>
      <c r="D124" s="47"/>
      <c r="E124" s="47"/>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row>
    <row r="125" outlineLevel="1">
      <c r="A125" s="47"/>
      <c r="B125" s="112" t="s">
        <v>66</v>
      </c>
      <c r="C125" s="113" t="s">
        <v>67</v>
      </c>
      <c r="D125" s="113" t="s">
        <v>68</v>
      </c>
      <c r="E125" s="113" t="s">
        <v>69</v>
      </c>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row>
    <row r="126" outlineLevel="1">
      <c r="A126" s="47"/>
      <c r="B126" s="114" t="s">
        <v>70</v>
      </c>
      <c r="C126" s="115">
        <v>100000.0</v>
      </c>
      <c r="D126" s="116">
        <v>0.2</v>
      </c>
      <c r="E126" s="117">
        <v>43831.0</v>
      </c>
      <c r="F126" s="111"/>
      <c r="G126" s="111"/>
      <c r="H126" s="111"/>
      <c r="I126" s="111"/>
      <c r="J126" s="111"/>
      <c r="K126" s="111"/>
      <c r="L126" s="111"/>
      <c r="M126" s="111"/>
      <c r="N126" s="111"/>
      <c r="O126" s="111"/>
      <c r="P126" s="111"/>
      <c r="Q126" s="111"/>
      <c r="R126" s="111">
        <f t="shared" ref="R126:BY126" si="95">IF(R$4&gt;=$E126,($C126/12)*(1+$D126),0)</f>
        <v>10000</v>
      </c>
      <c r="S126" s="111">
        <f t="shared" si="95"/>
        <v>10000</v>
      </c>
      <c r="T126" s="111">
        <f t="shared" si="95"/>
        <v>10000</v>
      </c>
      <c r="U126" s="111">
        <f t="shared" si="95"/>
        <v>10000</v>
      </c>
      <c r="V126" s="111">
        <f t="shared" si="95"/>
        <v>10000</v>
      </c>
      <c r="W126" s="111">
        <f t="shared" si="95"/>
        <v>10000</v>
      </c>
      <c r="X126" s="111">
        <f t="shared" si="95"/>
        <v>10000</v>
      </c>
      <c r="Y126" s="111">
        <f t="shared" si="95"/>
        <v>10000</v>
      </c>
      <c r="Z126" s="111">
        <f t="shared" si="95"/>
        <v>10000</v>
      </c>
      <c r="AA126" s="111">
        <f t="shared" si="95"/>
        <v>10000</v>
      </c>
      <c r="AB126" s="111">
        <f t="shared" si="95"/>
        <v>10000</v>
      </c>
      <c r="AC126" s="111">
        <f t="shared" si="95"/>
        <v>10000</v>
      </c>
      <c r="AD126" s="111">
        <f t="shared" si="95"/>
        <v>10000</v>
      </c>
      <c r="AE126" s="111">
        <f t="shared" si="95"/>
        <v>10000</v>
      </c>
      <c r="AF126" s="111">
        <f t="shared" si="95"/>
        <v>10000</v>
      </c>
      <c r="AG126" s="111">
        <f t="shared" si="95"/>
        <v>10000</v>
      </c>
      <c r="AH126" s="111">
        <f t="shared" si="95"/>
        <v>10000</v>
      </c>
      <c r="AI126" s="111">
        <f t="shared" si="95"/>
        <v>10000</v>
      </c>
      <c r="AJ126" s="111">
        <f t="shared" si="95"/>
        <v>10000</v>
      </c>
      <c r="AK126" s="111">
        <f t="shared" si="95"/>
        <v>10000</v>
      </c>
      <c r="AL126" s="111">
        <f t="shared" si="95"/>
        <v>10000</v>
      </c>
      <c r="AM126" s="111">
        <f t="shared" si="95"/>
        <v>10000</v>
      </c>
      <c r="AN126" s="111">
        <f t="shared" si="95"/>
        <v>10000</v>
      </c>
      <c r="AO126" s="111">
        <f t="shared" si="95"/>
        <v>10000</v>
      </c>
      <c r="AP126" s="111">
        <f t="shared" si="95"/>
        <v>10000</v>
      </c>
      <c r="AQ126" s="111">
        <f t="shared" si="95"/>
        <v>10000</v>
      </c>
      <c r="AR126" s="111">
        <f t="shared" si="95"/>
        <v>10000</v>
      </c>
      <c r="AS126" s="111">
        <f t="shared" si="95"/>
        <v>10000</v>
      </c>
      <c r="AT126" s="111">
        <f t="shared" si="95"/>
        <v>10000</v>
      </c>
      <c r="AU126" s="111">
        <f t="shared" si="95"/>
        <v>10000</v>
      </c>
      <c r="AV126" s="111">
        <f t="shared" si="95"/>
        <v>10000</v>
      </c>
      <c r="AW126" s="111">
        <f t="shared" si="95"/>
        <v>10000</v>
      </c>
      <c r="AX126" s="111">
        <f t="shared" si="95"/>
        <v>10000</v>
      </c>
      <c r="AY126" s="111">
        <f t="shared" si="95"/>
        <v>10000</v>
      </c>
      <c r="AZ126" s="111">
        <f t="shared" si="95"/>
        <v>10000</v>
      </c>
      <c r="BA126" s="111">
        <f t="shared" si="95"/>
        <v>10000</v>
      </c>
      <c r="BB126" s="111">
        <f t="shared" si="95"/>
        <v>10000</v>
      </c>
      <c r="BC126" s="111">
        <f t="shared" si="95"/>
        <v>10000</v>
      </c>
      <c r="BD126" s="111">
        <f t="shared" si="95"/>
        <v>10000</v>
      </c>
      <c r="BE126" s="111">
        <f t="shared" si="95"/>
        <v>10000</v>
      </c>
      <c r="BF126" s="111">
        <f t="shared" si="95"/>
        <v>10000</v>
      </c>
      <c r="BG126" s="111">
        <f t="shared" si="95"/>
        <v>10000</v>
      </c>
      <c r="BH126" s="111">
        <f t="shared" si="95"/>
        <v>10000</v>
      </c>
      <c r="BI126" s="111">
        <f t="shared" si="95"/>
        <v>10000</v>
      </c>
      <c r="BJ126" s="111">
        <f t="shared" si="95"/>
        <v>10000</v>
      </c>
      <c r="BK126" s="111">
        <f t="shared" si="95"/>
        <v>10000</v>
      </c>
      <c r="BL126" s="111">
        <f t="shared" si="95"/>
        <v>10000</v>
      </c>
      <c r="BM126" s="111">
        <f t="shared" si="95"/>
        <v>10000</v>
      </c>
      <c r="BN126" s="111">
        <f t="shared" si="95"/>
        <v>10000</v>
      </c>
      <c r="BO126" s="111">
        <f t="shared" si="95"/>
        <v>10000</v>
      </c>
      <c r="BP126" s="111">
        <f t="shared" si="95"/>
        <v>10000</v>
      </c>
      <c r="BQ126" s="111">
        <f t="shared" si="95"/>
        <v>10000</v>
      </c>
      <c r="BR126" s="111">
        <f t="shared" si="95"/>
        <v>10000</v>
      </c>
      <c r="BS126" s="111">
        <f t="shared" si="95"/>
        <v>10000</v>
      </c>
      <c r="BT126" s="111">
        <f t="shared" si="95"/>
        <v>10000</v>
      </c>
      <c r="BU126" s="111">
        <f t="shared" si="95"/>
        <v>10000</v>
      </c>
      <c r="BV126" s="111">
        <f t="shared" si="95"/>
        <v>10000</v>
      </c>
      <c r="BW126" s="111">
        <f t="shared" si="95"/>
        <v>10000</v>
      </c>
      <c r="BX126" s="111">
        <f t="shared" si="95"/>
        <v>10000</v>
      </c>
      <c r="BY126" s="111">
        <f t="shared" si="95"/>
        <v>10000</v>
      </c>
    </row>
    <row r="127" outlineLevel="1">
      <c r="A127" s="47"/>
      <c r="B127" s="114" t="s">
        <v>71</v>
      </c>
      <c r="C127" s="115">
        <v>100000.0</v>
      </c>
      <c r="D127" s="116">
        <v>0.2</v>
      </c>
      <c r="E127" s="117">
        <v>43831.0</v>
      </c>
      <c r="F127" s="111"/>
      <c r="G127" s="111"/>
      <c r="H127" s="111"/>
      <c r="I127" s="111"/>
      <c r="J127" s="111"/>
      <c r="K127" s="111"/>
      <c r="L127" s="111"/>
      <c r="M127" s="111"/>
      <c r="N127" s="111"/>
      <c r="O127" s="111"/>
      <c r="P127" s="111"/>
      <c r="Q127" s="111"/>
      <c r="R127" s="111">
        <f t="shared" ref="R127:BY127" si="96">IF(R$4&gt;=$E127,($C127/12)*(1+$D127),0)</f>
        <v>10000</v>
      </c>
      <c r="S127" s="111">
        <f t="shared" si="96"/>
        <v>10000</v>
      </c>
      <c r="T127" s="111">
        <f t="shared" si="96"/>
        <v>10000</v>
      </c>
      <c r="U127" s="111">
        <f t="shared" si="96"/>
        <v>10000</v>
      </c>
      <c r="V127" s="111">
        <f t="shared" si="96"/>
        <v>10000</v>
      </c>
      <c r="W127" s="111">
        <f t="shared" si="96"/>
        <v>10000</v>
      </c>
      <c r="X127" s="111">
        <f t="shared" si="96"/>
        <v>10000</v>
      </c>
      <c r="Y127" s="111">
        <f t="shared" si="96"/>
        <v>10000</v>
      </c>
      <c r="Z127" s="111">
        <f t="shared" si="96"/>
        <v>10000</v>
      </c>
      <c r="AA127" s="111">
        <f t="shared" si="96"/>
        <v>10000</v>
      </c>
      <c r="AB127" s="111">
        <f t="shared" si="96"/>
        <v>10000</v>
      </c>
      <c r="AC127" s="111">
        <f t="shared" si="96"/>
        <v>10000</v>
      </c>
      <c r="AD127" s="111">
        <f t="shared" si="96"/>
        <v>10000</v>
      </c>
      <c r="AE127" s="111">
        <f t="shared" si="96"/>
        <v>10000</v>
      </c>
      <c r="AF127" s="111">
        <f t="shared" si="96"/>
        <v>10000</v>
      </c>
      <c r="AG127" s="111">
        <f t="shared" si="96"/>
        <v>10000</v>
      </c>
      <c r="AH127" s="111">
        <f t="shared" si="96"/>
        <v>10000</v>
      </c>
      <c r="AI127" s="111">
        <f t="shared" si="96"/>
        <v>10000</v>
      </c>
      <c r="AJ127" s="111">
        <f t="shared" si="96"/>
        <v>10000</v>
      </c>
      <c r="AK127" s="111">
        <f t="shared" si="96"/>
        <v>10000</v>
      </c>
      <c r="AL127" s="111">
        <f t="shared" si="96"/>
        <v>10000</v>
      </c>
      <c r="AM127" s="111">
        <f t="shared" si="96"/>
        <v>10000</v>
      </c>
      <c r="AN127" s="111">
        <f t="shared" si="96"/>
        <v>10000</v>
      </c>
      <c r="AO127" s="111">
        <f t="shared" si="96"/>
        <v>10000</v>
      </c>
      <c r="AP127" s="111">
        <f t="shared" si="96"/>
        <v>10000</v>
      </c>
      <c r="AQ127" s="111">
        <f t="shared" si="96"/>
        <v>10000</v>
      </c>
      <c r="AR127" s="111">
        <f t="shared" si="96"/>
        <v>10000</v>
      </c>
      <c r="AS127" s="111">
        <f t="shared" si="96"/>
        <v>10000</v>
      </c>
      <c r="AT127" s="111">
        <f t="shared" si="96"/>
        <v>10000</v>
      </c>
      <c r="AU127" s="111">
        <f t="shared" si="96"/>
        <v>10000</v>
      </c>
      <c r="AV127" s="111">
        <f t="shared" si="96"/>
        <v>10000</v>
      </c>
      <c r="AW127" s="111">
        <f t="shared" si="96"/>
        <v>10000</v>
      </c>
      <c r="AX127" s="111">
        <f t="shared" si="96"/>
        <v>10000</v>
      </c>
      <c r="AY127" s="111">
        <f t="shared" si="96"/>
        <v>10000</v>
      </c>
      <c r="AZ127" s="111">
        <f t="shared" si="96"/>
        <v>10000</v>
      </c>
      <c r="BA127" s="111">
        <f t="shared" si="96"/>
        <v>10000</v>
      </c>
      <c r="BB127" s="111">
        <f t="shared" si="96"/>
        <v>10000</v>
      </c>
      <c r="BC127" s="111">
        <f t="shared" si="96"/>
        <v>10000</v>
      </c>
      <c r="BD127" s="111">
        <f t="shared" si="96"/>
        <v>10000</v>
      </c>
      <c r="BE127" s="111">
        <f t="shared" si="96"/>
        <v>10000</v>
      </c>
      <c r="BF127" s="111">
        <f t="shared" si="96"/>
        <v>10000</v>
      </c>
      <c r="BG127" s="111">
        <f t="shared" si="96"/>
        <v>10000</v>
      </c>
      <c r="BH127" s="111">
        <f t="shared" si="96"/>
        <v>10000</v>
      </c>
      <c r="BI127" s="111">
        <f t="shared" si="96"/>
        <v>10000</v>
      </c>
      <c r="BJ127" s="111">
        <f t="shared" si="96"/>
        <v>10000</v>
      </c>
      <c r="BK127" s="111">
        <f t="shared" si="96"/>
        <v>10000</v>
      </c>
      <c r="BL127" s="111">
        <f t="shared" si="96"/>
        <v>10000</v>
      </c>
      <c r="BM127" s="111">
        <f t="shared" si="96"/>
        <v>10000</v>
      </c>
      <c r="BN127" s="111">
        <f t="shared" si="96"/>
        <v>10000</v>
      </c>
      <c r="BO127" s="111">
        <f t="shared" si="96"/>
        <v>10000</v>
      </c>
      <c r="BP127" s="111">
        <f t="shared" si="96"/>
        <v>10000</v>
      </c>
      <c r="BQ127" s="111">
        <f t="shared" si="96"/>
        <v>10000</v>
      </c>
      <c r="BR127" s="111">
        <f t="shared" si="96"/>
        <v>10000</v>
      </c>
      <c r="BS127" s="111">
        <f t="shared" si="96"/>
        <v>10000</v>
      </c>
      <c r="BT127" s="111">
        <f t="shared" si="96"/>
        <v>10000</v>
      </c>
      <c r="BU127" s="111">
        <f t="shared" si="96"/>
        <v>10000</v>
      </c>
      <c r="BV127" s="111">
        <f t="shared" si="96"/>
        <v>10000</v>
      </c>
      <c r="BW127" s="111">
        <f t="shared" si="96"/>
        <v>10000</v>
      </c>
      <c r="BX127" s="111">
        <f t="shared" si="96"/>
        <v>10000</v>
      </c>
      <c r="BY127" s="111">
        <f t="shared" si="96"/>
        <v>10000</v>
      </c>
    </row>
    <row r="128" outlineLevel="1">
      <c r="A128" s="47"/>
      <c r="B128" s="114" t="s">
        <v>72</v>
      </c>
      <c r="C128" s="115">
        <v>100000.0</v>
      </c>
      <c r="D128" s="116">
        <v>0.2</v>
      </c>
      <c r="E128" s="117">
        <v>44075.0</v>
      </c>
      <c r="F128" s="111"/>
      <c r="G128" s="111"/>
      <c r="H128" s="111"/>
      <c r="I128" s="111"/>
      <c r="J128" s="111"/>
      <c r="K128" s="111"/>
      <c r="L128" s="111"/>
      <c r="M128" s="111"/>
      <c r="N128" s="111"/>
      <c r="O128" s="111"/>
      <c r="P128" s="111"/>
      <c r="Q128" s="111"/>
      <c r="R128" s="111">
        <f t="shared" ref="R128:BY128" si="97">IF(R$4&gt;=$E128,($C128/12)*(1+$D128),0)</f>
        <v>10000</v>
      </c>
      <c r="S128" s="111">
        <f t="shared" si="97"/>
        <v>10000</v>
      </c>
      <c r="T128" s="111">
        <f t="shared" si="97"/>
        <v>10000</v>
      </c>
      <c r="U128" s="111">
        <f t="shared" si="97"/>
        <v>10000</v>
      </c>
      <c r="V128" s="111">
        <f t="shared" si="97"/>
        <v>10000</v>
      </c>
      <c r="W128" s="111">
        <f t="shared" si="97"/>
        <v>10000</v>
      </c>
      <c r="X128" s="111">
        <f t="shared" si="97"/>
        <v>10000</v>
      </c>
      <c r="Y128" s="111">
        <f t="shared" si="97"/>
        <v>10000</v>
      </c>
      <c r="Z128" s="111">
        <f t="shared" si="97"/>
        <v>10000</v>
      </c>
      <c r="AA128" s="111">
        <f t="shared" si="97"/>
        <v>10000</v>
      </c>
      <c r="AB128" s="111">
        <f t="shared" si="97"/>
        <v>10000</v>
      </c>
      <c r="AC128" s="111">
        <f t="shared" si="97"/>
        <v>10000</v>
      </c>
      <c r="AD128" s="111">
        <f t="shared" si="97"/>
        <v>10000</v>
      </c>
      <c r="AE128" s="111">
        <f t="shared" si="97"/>
        <v>10000</v>
      </c>
      <c r="AF128" s="111">
        <f t="shared" si="97"/>
        <v>10000</v>
      </c>
      <c r="AG128" s="111">
        <f t="shared" si="97"/>
        <v>10000</v>
      </c>
      <c r="AH128" s="111">
        <f t="shared" si="97"/>
        <v>10000</v>
      </c>
      <c r="AI128" s="111">
        <f t="shared" si="97"/>
        <v>10000</v>
      </c>
      <c r="AJ128" s="111">
        <f t="shared" si="97"/>
        <v>10000</v>
      </c>
      <c r="AK128" s="111">
        <f t="shared" si="97"/>
        <v>10000</v>
      </c>
      <c r="AL128" s="111">
        <f t="shared" si="97"/>
        <v>10000</v>
      </c>
      <c r="AM128" s="111">
        <f t="shared" si="97"/>
        <v>10000</v>
      </c>
      <c r="AN128" s="111">
        <f t="shared" si="97"/>
        <v>10000</v>
      </c>
      <c r="AO128" s="111">
        <f t="shared" si="97"/>
        <v>10000</v>
      </c>
      <c r="AP128" s="111">
        <f t="shared" si="97"/>
        <v>10000</v>
      </c>
      <c r="AQ128" s="111">
        <f t="shared" si="97"/>
        <v>10000</v>
      </c>
      <c r="AR128" s="111">
        <f t="shared" si="97"/>
        <v>10000</v>
      </c>
      <c r="AS128" s="111">
        <f t="shared" si="97"/>
        <v>10000</v>
      </c>
      <c r="AT128" s="111">
        <f t="shared" si="97"/>
        <v>10000</v>
      </c>
      <c r="AU128" s="111">
        <f t="shared" si="97"/>
        <v>10000</v>
      </c>
      <c r="AV128" s="111">
        <f t="shared" si="97"/>
        <v>10000</v>
      </c>
      <c r="AW128" s="111">
        <f t="shared" si="97"/>
        <v>10000</v>
      </c>
      <c r="AX128" s="111">
        <f t="shared" si="97"/>
        <v>10000</v>
      </c>
      <c r="AY128" s="111">
        <f t="shared" si="97"/>
        <v>10000</v>
      </c>
      <c r="AZ128" s="111">
        <f t="shared" si="97"/>
        <v>10000</v>
      </c>
      <c r="BA128" s="111">
        <f t="shared" si="97"/>
        <v>10000</v>
      </c>
      <c r="BB128" s="111">
        <f t="shared" si="97"/>
        <v>10000</v>
      </c>
      <c r="BC128" s="111">
        <f t="shared" si="97"/>
        <v>10000</v>
      </c>
      <c r="BD128" s="111">
        <f t="shared" si="97"/>
        <v>10000</v>
      </c>
      <c r="BE128" s="111">
        <f t="shared" si="97"/>
        <v>10000</v>
      </c>
      <c r="BF128" s="111">
        <f t="shared" si="97"/>
        <v>10000</v>
      </c>
      <c r="BG128" s="111">
        <f t="shared" si="97"/>
        <v>10000</v>
      </c>
      <c r="BH128" s="111">
        <f t="shared" si="97"/>
        <v>10000</v>
      </c>
      <c r="BI128" s="111">
        <f t="shared" si="97"/>
        <v>10000</v>
      </c>
      <c r="BJ128" s="111">
        <f t="shared" si="97"/>
        <v>10000</v>
      </c>
      <c r="BK128" s="111">
        <f t="shared" si="97"/>
        <v>10000</v>
      </c>
      <c r="BL128" s="111">
        <f t="shared" si="97"/>
        <v>10000</v>
      </c>
      <c r="BM128" s="111">
        <f t="shared" si="97"/>
        <v>10000</v>
      </c>
      <c r="BN128" s="111">
        <f t="shared" si="97"/>
        <v>10000</v>
      </c>
      <c r="BO128" s="111">
        <f t="shared" si="97"/>
        <v>10000</v>
      </c>
      <c r="BP128" s="111">
        <f t="shared" si="97"/>
        <v>10000</v>
      </c>
      <c r="BQ128" s="111">
        <f t="shared" si="97"/>
        <v>10000</v>
      </c>
      <c r="BR128" s="111">
        <f t="shared" si="97"/>
        <v>10000</v>
      </c>
      <c r="BS128" s="111">
        <f t="shared" si="97"/>
        <v>10000</v>
      </c>
      <c r="BT128" s="111">
        <f t="shared" si="97"/>
        <v>10000</v>
      </c>
      <c r="BU128" s="111">
        <f t="shared" si="97"/>
        <v>10000</v>
      </c>
      <c r="BV128" s="111">
        <f t="shared" si="97"/>
        <v>10000</v>
      </c>
      <c r="BW128" s="111">
        <f t="shared" si="97"/>
        <v>10000</v>
      </c>
      <c r="BX128" s="111">
        <f t="shared" si="97"/>
        <v>10000</v>
      </c>
      <c r="BY128" s="111">
        <f t="shared" si="97"/>
        <v>10000</v>
      </c>
    </row>
    <row r="129" outlineLevel="1">
      <c r="A129" s="47"/>
      <c r="B129" s="114" t="s">
        <v>73</v>
      </c>
      <c r="C129" s="115">
        <v>100000.0</v>
      </c>
      <c r="D129" s="116">
        <v>0.2</v>
      </c>
      <c r="E129" s="117">
        <v>43831.0</v>
      </c>
      <c r="F129" s="111"/>
      <c r="G129" s="111"/>
      <c r="H129" s="111"/>
      <c r="I129" s="111"/>
      <c r="J129" s="111"/>
      <c r="K129" s="111"/>
      <c r="L129" s="111"/>
      <c r="M129" s="111"/>
      <c r="N129" s="111"/>
      <c r="O129" s="111"/>
      <c r="P129" s="111"/>
      <c r="Q129" s="111"/>
      <c r="R129" s="111">
        <f t="shared" ref="R129:BY129" si="98">IF(R$4&gt;=$E129,($C129/12)*(1+$D129),0)</f>
        <v>10000</v>
      </c>
      <c r="S129" s="111">
        <f t="shared" si="98"/>
        <v>10000</v>
      </c>
      <c r="T129" s="111">
        <f t="shared" si="98"/>
        <v>10000</v>
      </c>
      <c r="U129" s="111">
        <f t="shared" si="98"/>
        <v>10000</v>
      </c>
      <c r="V129" s="111">
        <f t="shared" si="98"/>
        <v>10000</v>
      </c>
      <c r="W129" s="111">
        <f t="shared" si="98"/>
        <v>10000</v>
      </c>
      <c r="X129" s="111">
        <f t="shared" si="98"/>
        <v>10000</v>
      </c>
      <c r="Y129" s="111">
        <f t="shared" si="98"/>
        <v>10000</v>
      </c>
      <c r="Z129" s="111">
        <f t="shared" si="98"/>
        <v>10000</v>
      </c>
      <c r="AA129" s="111">
        <f t="shared" si="98"/>
        <v>10000</v>
      </c>
      <c r="AB129" s="111">
        <f t="shared" si="98"/>
        <v>10000</v>
      </c>
      <c r="AC129" s="111">
        <f t="shared" si="98"/>
        <v>10000</v>
      </c>
      <c r="AD129" s="111">
        <f t="shared" si="98"/>
        <v>10000</v>
      </c>
      <c r="AE129" s="111">
        <f t="shared" si="98"/>
        <v>10000</v>
      </c>
      <c r="AF129" s="111">
        <f t="shared" si="98"/>
        <v>10000</v>
      </c>
      <c r="AG129" s="111">
        <f t="shared" si="98"/>
        <v>10000</v>
      </c>
      <c r="AH129" s="111">
        <f t="shared" si="98"/>
        <v>10000</v>
      </c>
      <c r="AI129" s="111">
        <f t="shared" si="98"/>
        <v>10000</v>
      </c>
      <c r="AJ129" s="111">
        <f t="shared" si="98"/>
        <v>10000</v>
      </c>
      <c r="AK129" s="111">
        <f t="shared" si="98"/>
        <v>10000</v>
      </c>
      <c r="AL129" s="111">
        <f t="shared" si="98"/>
        <v>10000</v>
      </c>
      <c r="AM129" s="111">
        <f t="shared" si="98"/>
        <v>10000</v>
      </c>
      <c r="AN129" s="111">
        <f t="shared" si="98"/>
        <v>10000</v>
      </c>
      <c r="AO129" s="111">
        <f t="shared" si="98"/>
        <v>10000</v>
      </c>
      <c r="AP129" s="111">
        <f t="shared" si="98"/>
        <v>10000</v>
      </c>
      <c r="AQ129" s="111">
        <f t="shared" si="98"/>
        <v>10000</v>
      </c>
      <c r="AR129" s="111">
        <f t="shared" si="98"/>
        <v>10000</v>
      </c>
      <c r="AS129" s="111">
        <f t="shared" si="98"/>
        <v>10000</v>
      </c>
      <c r="AT129" s="111">
        <f t="shared" si="98"/>
        <v>10000</v>
      </c>
      <c r="AU129" s="111">
        <f t="shared" si="98"/>
        <v>10000</v>
      </c>
      <c r="AV129" s="111">
        <f t="shared" si="98"/>
        <v>10000</v>
      </c>
      <c r="AW129" s="111">
        <f t="shared" si="98"/>
        <v>10000</v>
      </c>
      <c r="AX129" s="111">
        <f t="shared" si="98"/>
        <v>10000</v>
      </c>
      <c r="AY129" s="111">
        <f t="shared" si="98"/>
        <v>10000</v>
      </c>
      <c r="AZ129" s="111">
        <f t="shared" si="98"/>
        <v>10000</v>
      </c>
      <c r="BA129" s="111">
        <f t="shared" si="98"/>
        <v>10000</v>
      </c>
      <c r="BB129" s="111">
        <f t="shared" si="98"/>
        <v>10000</v>
      </c>
      <c r="BC129" s="111">
        <f t="shared" si="98"/>
        <v>10000</v>
      </c>
      <c r="BD129" s="111">
        <f t="shared" si="98"/>
        <v>10000</v>
      </c>
      <c r="BE129" s="111">
        <f t="shared" si="98"/>
        <v>10000</v>
      </c>
      <c r="BF129" s="111">
        <f t="shared" si="98"/>
        <v>10000</v>
      </c>
      <c r="BG129" s="111">
        <f t="shared" si="98"/>
        <v>10000</v>
      </c>
      <c r="BH129" s="111">
        <f t="shared" si="98"/>
        <v>10000</v>
      </c>
      <c r="BI129" s="111">
        <f t="shared" si="98"/>
        <v>10000</v>
      </c>
      <c r="BJ129" s="111">
        <f t="shared" si="98"/>
        <v>10000</v>
      </c>
      <c r="BK129" s="111">
        <f t="shared" si="98"/>
        <v>10000</v>
      </c>
      <c r="BL129" s="111">
        <f t="shared" si="98"/>
        <v>10000</v>
      </c>
      <c r="BM129" s="111">
        <f t="shared" si="98"/>
        <v>10000</v>
      </c>
      <c r="BN129" s="111">
        <f t="shared" si="98"/>
        <v>10000</v>
      </c>
      <c r="BO129" s="111">
        <f t="shared" si="98"/>
        <v>10000</v>
      </c>
      <c r="BP129" s="111">
        <f t="shared" si="98"/>
        <v>10000</v>
      </c>
      <c r="BQ129" s="111">
        <f t="shared" si="98"/>
        <v>10000</v>
      </c>
      <c r="BR129" s="111">
        <f t="shared" si="98"/>
        <v>10000</v>
      </c>
      <c r="BS129" s="111">
        <f t="shared" si="98"/>
        <v>10000</v>
      </c>
      <c r="BT129" s="111">
        <f t="shared" si="98"/>
        <v>10000</v>
      </c>
      <c r="BU129" s="111">
        <f t="shared" si="98"/>
        <v>10000</v>
      </c>
      <c r="BV129" s="111">
        <f t="shared" si="98"/>
        <v>10000</v>
      </c>
      <c r="BW129" s="111">
        <f t="shared" si="98"/>
        <v>10000</v>
      </c>
      <c r="BX129" s="111">
        <f t="shared" si="98"/>
        <v>10000</v>
      </c>
      <c r="BY129" s="111">
        <f t="shared" si="98"/>
        <v>10000</v>
      </c>
    </row>
    <row r="130" outlineLevel="1">
      <c r="A130" s="47"/>
      <c r="B130" s="114" t="s">
        <v>74</v>
      </c>
      <c r="C130" s="115">
        <v>100000.0</v>
      </c>
      <c r="D130" s="116">
        <v>0.2</v>
      </c>
      <c r="E130" s="117">
        <v>43891.0</v>
      </c>
      <c r="F130" s="111"/>
      <c r="G130" s="111"/>
      <c r="H130" s="111"/>
      <c r="I130" s="111"/>
      <c r="J130" s="111"/>
      <c r="K130" s="111"/>
      <c r="L130" s="111"/>
      <c r="M130" s="111"/>
      <c r="N130" s="111"/>
      <c r="O130" s="111"/>
      <c r="P130" s="111"/>
      <c r="Q130" s="111"/>
      <c r="R130" s="111">
        <f t="shared" ref="R130:BY130" si="99">IF(R$4&gt;=$E130,($C130/12)*(1+$D130),0)</f>
        <v>10000</v>
      </c>
      <c r="S130" s="111">
        <f t="shared" si="99"/>
        <v>10000</v>
      </c>
      <c r="T130" s="111">
        <f t="shared" si="99"/>
        <v>10000</v>
      </c>
      <c r="U130" s="111">
        <f t="shared" si="99"/>
        <v>10000</v>
      </c>
      <c r="V130" s="111">
        <f t="shared" si="99"/>
        <v>10000</v>
      </c>
      <c r="W130" s="111">
        <f t="shared" si="99"/>
        <v>10000</v>
      </c>
      <c r="X130" s="111">
        <f t="shared" si="99"/>
        <v>10000</v>
      </c>
      <c r="Y130" s="111">
        <f t="shared" si="99"/>
        <v>10000</v>
      </c>
      <c r="Z130" s="111">
        <f t="shared" si="99"/>
        <v>10000</v>
      </c>
      <c r="AA130" s="111">
        <f t="shared" si="99"/>
        <v>10000</v>
      </c>
      <c r="AB130" s="111">
        <f t="shared" si="99"/>
        <v>10000</v>
      </c>
      <c r="AC130" s="111">
        <f t="shared" si="99"/>
        <v>10000</v>
      </c>
      <c r="AD130" s="111">
        <f t="shared" si="99"/>
        <v>10000</v>
      </c>
      <c r="AE130" s="111">
        <f t="shared" si="99"/>
        <v>10000</v>
      </c>
      <c r="AF130" s="111">
        <f t="shared" si="99"/>
        <v>10000</v>
      </c>
      <c r="AG130" s="111">
        <f t="shared" si="99"/>
        <v>10000</v>
      </c>
      <c r="AH130" s="111">
        <f t="shared" si="99"/>
        <v>10000</v>
      </c>
      <c r="AI130" s="111">
        <f t="shared" si="99"/>
        <v>10000</v>
      </c>
      <c r="AJ130" s="111">
        <f t="shared" si="99"/>
        <v>10000</v>
      </c>
      <c r="AK130" s="111">
        <f t="shared" si="99"/>
        <v>10000</v>
      </c>
      <c r="AL130" s="111">
        <f t="shared" si="99"/>
        <v>10000</v>
      </c>
      <c r="AM130" s="111">
        <f t="shared" si="99"/>
        <v>10000</v>
      </c>
      <c r="AN130" s="111">
        <f t="shared" si="99"/>
        <v>10000</v>
      </c>
      <c r="AO130" s="111">
        <f t="shared" si="99"/>
        <v>10000</v>
      </c>
      <c r="AP130" s="111">
        <f t="shared" si="99"/>
        <v>10000</v>
      </c>
      <c r="AQ130" s="111">
        <f t="shared" si="99"/>
        <v>10000</v>
      </c>
      <c r="AR130" s="111">
        <f t="shared" si="99"/>
        <v>10000</v>
      </c>
      <c r="AS130" s="111">
        <f t="shared" si="99"/>
        <v>10000</v>
      </c>
      <c r="AT130" s="111">
        <f t="shared" si="99"/>
        <v>10000</v>
      </c>
      <c r="AU130" s="111">
        <f t="shared" si="99"/>
        <v>10000</v>
      </c>
      <c r="AV130" s="111">
        <f t="shared" si="99"/>
        <v>10000</v>
      </c>
      <c r="AW130" s="111">
        <f t="shared" si="99"/>
        <v>10000</v>
      </c>
      <c r="AX130" s="111">
        <f t="shared" si="99"/>
        <v>10000</v>
      </c>
      <c r="AY130" s="111">
        <f t="shared" si="99"/>
        <v>10000</v>
      </c>
      <c r="AZ130" s="111">
        <f t="shared" si="99"/>
        <v>10000</v>
      </c>
      <c r="BA130" s="111">
        <f t="shared" si="99"/>
        <v>10000</v>
      </c>
      <c r="BB130" s="111">
        <f t="shared" si="99"/>
        <v>10000</v>
      </c>
      <c r="BC130" s="111">
        <f t="shared" si="99"/>
        <v>10000</v>
      </c>
      <c r="BD130" s="111">
        <f t="shared" si="99"/>
        <v>10000</v>
      </c>
      <c r="BE130" s="111">
        <f t="shared" si="99"/>
        <v>10000</v>
      </c>
      <c r="BF130" s="111">
        <f t="shared" si="99"/>
        <v>10000</v>
      </c>
      <c r="BG130" s="111">
        <f t="shared" si="99"/>
        <v>10000</v>
      </c>
      <c r="BH130" s="111">
        <f t="shared" si="99"/>
        <v>10000</v>
      </c>
      <c r="BI130" s="111">
        <f t="shared" si="99"/>
        <v>10000</v>
      </c>
      <c r="BJ130" s="111">
        <f t="shared" si="99"/>
        <v>10000</v>
      </c>
      <c r="BK130" s="111">
        <f t="shared" si="99"/>
        <v>10000</v>
      </c>
      <c r="BL130" s="111">
        <f t="shared" si="99"/>
        <v>10000</v>
      </c>
      <c r="BM130" s="111">
        <f t="shared" si="99"/>
        <v>10000</v>
      </c>
      <c r="BN130" s="111">
        <f t="shared" si="99"/>
        <v>10000</v>
      </c>
      <c r="BO130" s="111">
        <f t="shared" si="99"/>
        <v>10000</v>
      </c>
      <c r="BP130" s="111">
        <f t="shared" si="99"/>
        <v>10000</v>
      </c>
      <c r="BQ130" s="111">
        <f t="shared" si="99"/>
        <v>10000</v>
      </c>
      <c r="BR130" s="111">
        <f t="shared" si="99"/>
        <v>10000</v>
      </c>
      <c r="BS130" s="111">
        <f t="shared" si="99"/>
        <v>10000</v>
      </c>
      <c r="BT130" s="111">
        <f t="shared" si="99"/>
        <v>10000</v>
      </c>
      <c r="BU130" s="111">
        <f t="shared" si="99"/>
        <v>10000</v>
      </c>
      <c r="BV130" s="111">
        <f t="shared" si="99"/>
        <v>10000</v>
      </c>
      <c r="BW130" s="111">
        <f t="shared" si="99"/>
        <v>10000</v>
      </c>
      <c r="BX130" s="111">
        <f t="shared" si="99"/>
        <v>10000</v>
      </c>
      <c r="BY130" s="111">
        <f t="shared" si="99"/>
        <v>10000</v>
      </c>
    </row>
    <row r="131" outlineLevel="1">
      <c r="A131" s="47"/>
      <c r="B131" s="114" t="s">
        <v>75</v>
      </c>
      <c r="C131" s="115">
        <v>75000.0</v>
      </c>
      <c r="D131" s="116">
        <v>0.2</v>
      </c>
      <c r="E131" s="117">
        <v>43983.0</v>
      </c>
      <c r="F131" s="111"/>
      <c r="G131" s="111"/>
      <c r="H131" s="111"/>
      <c r="I131" s="111"/>
      <c r="J131" s="111"/>
      <c r="K131" s="111"/>
      <c r="L131" s="111"/>
      <c r="M131" s="111"/>
      <c r="N131" s="111"/>
      <c r="O131" s="111"/>
      <c r="P131" s="111"/>
      <c r="Q131" s="111"/>
      <c r="R131" s="111">
        <f t="shared" ref="R131:BY131" si="100">IF(R$4&gt;=$E131,($C131/12)*(1+$D131),0)</f>
        <v>7500</v>
      </c>
      <c r="S131" s="111">
        <f t="shared" si="100"/>
        <v>7500</v>
      </c>
      <c r="T131" s="111">
        <f t="shared" si="100"/>
        <v>7500</v>
      </c>
      <c r="U131" s="111">
        <f t="shared" si="100"/>
        <v>7500</v>
      </c>
      <c r="V131" s="111">
        <f t="shared" si="100"/>
        <v>7500</v>
      </c>
      <c r="W131" s="111">
        <f t="shared" si="100"/>
        <v>7500</v>
      </c>
      <c r="X131" s="111">
        <f t="shared" si="100"/>
        <v>7500</v>
      </c>
      <c r="Y131" s="111">
        <f t="shared" si="100"/>
        <v>7500</v>
      </c>
      <c r="Z131" s="111">
        <f t="shared" si="100"/>
        <v>7500</v>
      </c>
      <c r="AA131" s="111">
        <f t="shared" si="100"/>
        <v>7500</v>
      </c>
      <c r="AB131" s="111">
        <f t="shared" si="100"/>
        <v>7500</v>
      </c>
      <c r="AC131" s="111">
        <f t="shared" si="100"/>
        <v>7500</v>
      </c>
      <c r="AD131" s="111">
        <f t="shared" si="100"/>
        <v>7500</v>
      </c>
      <c r="AE131" s="111">
        <f t="shared" si="100"/>
        <v>7500</v>
      </c>
      <c r="AF131" s="111">
        <f t="shared" si="100"/>
        <v>7500</v>
      </c>
      <c r="AG131" s="111">
        <f t="shared" si="100"/>
        <v>7500</v>
      </c>
      <c r="AH131" s="111">
        <f t="shared" si="100"/>
        <v>7500</v>
      </c>
      <c r="AI131" s="111">
        <f t="shared" si="100"/>
        <v>7500</v>
      </c>
      <c r="AJ131" s="111">
        <f t="shared" si="100"/>
        <v>7500</v>
      </c>
      <c r="AK131" s="111">
        <f t="shared" si="100"/>
        <v>7500</v>
      </c>
      <c r="AL131" s="111">
        <f t="shared" si="100"/>
        <v>7500</v>
      </c>
      <c r="AM131" s="111">
        <f t="shared" si="100"/>
        <v>7500</v>
      </c>
      <c r="AN131" s="111">
        <f t="shared" si="100"/>
        <v>7500</v>
      </c>
      <c r="AO131" s="111">
        <f t="shared" si="100"/>
        <v>7500</v>
      </c>
      <c r="AP131" s="111">
        <f t="shared" si="100"/>
        <v>7500</v>
      </c>
      <c r="AQ131" s="111">
        <f t="shared" si="100"/>
        <v>7500</v>
      </c>
      <c r="AR131" s="111">
        <f t="shared" si="100"/>
        <v>7500</v>
      </c>
      <c r="AS131" s="111">
        <f t="shared" si="100"/>
        <v>7500</v>
      </c>
      <c r="AT131" s="111">
        <f t="shared" si="100"/>
        <v>7500</v>
      </c>
      <c r="AU131" s="111">
        <f t="shared" si="100"/>
        <v>7500</v>
      </c>
      <c r="AV131" s="111">
        <f t="shared" si="100"/>
        <v>7500</v>
      </c>
      <c r="AW131" s="111">
        <f t="shared" si="100"/>
        <v>7500</v>
      </c>
      <c r="AX131" s="111">
        <f t="shared" si="100"/>
        <v>7500</v>
      </c>
      <c r="AY131" s="111">
        <f t="shared" si="100"/>
        <v>7500</v>
      </c>
      <c r="AZ131" s="111">
        <f t="shared" si="100"/>
        <v>7500</v>
      </c>
      <c r="BA131" s="111">
        <f t="shared" si="100"/>
        <v>7500</v>
      </c>
      <c r="BB131" s="111">
        <f t="shared" si="100"/>
        <v>7500</v>
      </c>
      <c r="BC131" s="111">
        <f t="shared" si="100"/>
        <v>7500</v>
      </c>
      <c r="BD131" s="111">
        <f t="shared" si="100"/>
        <v>7500</v>
      </c>
      <c r="BE131" s="111">
        <f t="shared" si="100"/>
        <v>7500</v>
      </c>
      <c r="BF131" s="111">
        <f t="shared" si="100"/>
        <v>7500</v>
      </c>
      <c r="BG131" s="111">
        <f t="shared" si="100"/>
        <v>7500</v>
      </c>
      <c r="BH131" s="111">
        <f t="shared" si="100"/>
        <v>7500</v>
      </c>
      <c r="BI131" s="111">
        <f t="shared" si="100"/>
        <v>7500</v>
      </c>
      <c r="BJ131" s="111">
        <f t="shared" si="100"/>
        <v>7500</v>
      </c>
      <c r="BK131" s="111">
        <f t="shared" si="100"/>
        <v>7500</v>
      </c>
      <c r="BL131" s="111">
        <f t="shared" si="100"/>
        <v>7500</v>
      </c>
      <c r="BM131" s="111">
        <f t="shared" si="100"/>
        <v>7500</v>
      </c>
      <c r="BN131" s="111">
        <f t="shared" si="100"/>
        <v>7500</v>
      </c>
      <c r="BO131" s="111">
        <f t="shared" si="100"/>
        <v>7500</v>
      </c>
      <c r="BP131" s="111">
        <f t="shared" si="100"/>
        <v>7500</v>
      </c>
      <c r="BQ131" s="111">
        <f t="shared" si="100"/>
        <v>7500</v>
      </c>
      <c r="BR131" s="111">
        <f t="shared" si="100"/>
        <v>7500</v>
      </c>
      <c r="BS131" s="111">
        <f t="shared" si="100"/>
        <v>7500</v>
      </c>
      <c r="BT131" s="111">
        <f t="shared" si="100"/>
        <v>7500</v>
      </c>
      <c r="BU131" s="111">
        <f t="shared" si="100"/>
        <v>7500</v>
      </c>
      <c r="BV131" s="111">
        <f t="shared" si="100"/>
        <v>7500</v>
      </c>
      <c r="BW131" s="111">
        <f t="shared" si="100"/>
        <v>7500</v>
      </c>
      <c r="BX131" s="111">
        <f t="shared" si="100"/>
        <v>7500</v>
      </c>
      <c r="BY131" s="111">
        <f t="shared" si="100"/>
        <v>7500</v>
      </c>
    </row>
    <row r="132" outlineLevel="1">
      <c r="A132" s="47"/>
      <c r="B132" s="114" t="s">
        <v>76</v>
      </c>
      <c r="C132" s="115">
        <v>50000.0</v>
      </c>
      <c r="D132" s="116">
        <v>0.2</v>
      </c>
      <c r="E132" s="117">
        <v>44075.0</v>
      </c>
      <c r="F132" s="111"/>
      <c r="G132" s="111"/>
      <c r="H132" s="111"/>
      <c r="I132" s="111"/>
      <c r="J132" s="111"/>
      <c r="K132" s="111"/>
      <c r="L132" s="111"/>
      <c r="M132" s="111"/>
      <c r="N132" s="111"/>
      <c r="O132" s="111"/>
      <c r="P132" s="111"/>
      <c r="Q132" s="111"/>
      <c r="R132" s="111">
        <f t="shared" ref="R132:BY132" si="101">IF(R$4&gt;=$E132,($C132/12)*(1+$D132),0)</f>
        <v>5000</v>
      </c>
      <c r="S132" s="111">
        <f t="shared" si="101"/>
        <v>5000</v>
      </c>
      <c r="T132" s="111">
        <f t="shared" si="101"/>
        <v>5000</v>
      </c>
      <c r="U132" s="111">
        <f t="shared" si="101"/>
        <v>5000</v>
      </c>
      <c r="V132" s="111">
        <f t="shared" si="101"/>
        <v>5000</v>
      </c>
      <c r="W132" s="111">
        <f t="shared" si="101"/>
        <v>5000</v>
      </c>
      <c r="X132" s="111">
        <f t="shared" si="101"/>
        <v>5000</v>
      </c>
      <c r="Y132" s="111">
        <f t="shared" si="101"/>
        <v>5000</v>
      </c>
      <c r="Z132" s="111">
        <f t="shared" si="101"/>
        <v>5000</v>
      </c>
      <c r="AA132" s="111">
        <f t="shared" si="101"/>
        <v>5000</v>
      </c>
      <c r="AB132" s="111">
        <f t="shared" si="101"/>
        <v>5000</v>
      </c>
      <c r="AC132" s="111">
        <f t="shared" si="101"/>
        <v>5000</v>
      </c>
      <c r="AD132" s="111">
        <f t="shared" si="101"/>
        <v>5000</v>
      </c>
      <c r="AE132" s="111">
        <f t="shared" si="101"/>
        <v>5000</v>
      </c>
      <c r="AF132" s="111">
        <f t="shared" si="101"/>
        <v>5000</v>
      </c>
      <c r="AG132" s="111">
        <f t="shared" si="101"/>
        <v>5000</v>
      </c>
      <c r="AH132" s="111">
        <f t="shared" si="101"/>
        <v>5000</v>
      </c>
      <c r="AI132" s="111">
        <f t="shared" si="101"/>
        <v>5000</v>
      </c>
      <c r="AJ132" s="111">
        <f t="shared" si="101"/>
        <v>5000</v>
      </c>
      <c r="AK132" s="111">
        <f t="shared" si="101"/>
        <v>5000</v>
      </c>
      <c r="AL132" s="111">
        <f t="shared" si="101"/>
        <v>5000</v>
      </c>
      <c r="AM132" s="111">
        <f t="shared" si="101"/>
        <v>5000</v>
      </c>
      <c r="AN132" s="111">
        <f t="shared" si="101"/>
        <v>5000</v>
      </c>
      <c r="AO132" s="111">
        <f t="shared" si="101"/>
        <v>5000</v>
      </c>
      <c r="AP132" s="111">
        <f t="shared" si="101"/>
        <v>5000</v>
      </c>
      <c r="AQ132" s="111">
        <f t="shared" si="101"/>
        <v>5000</v>
      </c>
      <c r="AR132" s="111">
        <f t="shared" si="101"/>
        <v>5000</v>
      </c>
      <c r="AS132" s="111">
        <f t="shared" si="101"/>
        <v>5000</v>
      </c>
      <c r="AT132" s="111">
        <f t="shared" si="101"/>
        <v>5000</v>
      </c>
      <c r="AU132" s="111">
        <f t="shared" si="101"/>
        <v>5000</v>
      </c>
      <c r="AV132" s="111">
        <f t="shared" si="101"/>
        <v>5000</v>
      </c>
      <c r="AW132" s="111">
        <f t="shared" si="101"/>
        <v>5000</v>
      </c>
      <c r="AX132" s="111">
        <f t="shared" si="101"/>
        <v>5000</v>
      </c>
      <c r="AY132" s="111">
        <f t="shared" si="101"/>
        <v>5000</v>
      </c>
      <c r="AZ132" s="111">
        <f t="shared" si="101"/>
        <v>5000</v>
      </c>
      <c r="BA132" s="111">
        <f t="shared" si="101"/>
        <v>5000</v>
      </c>
      <c r="BB132" s="111">
        <f t="shared" si="101"/>
        <v>5000</v>
      </c>
      <c r="BC132" s="111">
        <f t="shared" si="101"/>
        <v>5000</v>
      </c>
      <c r="BD132" s="111">
        <f t="shared" si="101"/>
        <v>5000</v>
      </c>
      <c r="BE132" s="111">
        <f t="shared" si="101"/>
        <v>5000</v>
      </c>
      <c r="BF132" s="111">
        <f t="shared" si="101"/>
        <v>5000</v>
      </c>
      <c r="BG132" s="111">
        <f t="shared" si="101"/>
        <v>5000</v>
      </c>
      <c r="BH132" s="111">
        <f t="shared" si="101"/>
        <v>5000</v>
      </c>
      <c r="BI132" s="111">
        <f t="shared" si="101"/>
        <v>5000</v>
      </c>
      <c r="BJ132" s="111">
        <f t="shared" si="101"/>
        <v>5000</v>
      </c>
      <c r="BK132" s="111">
        <f t="shared" si="101"/>
        <v>5000</v>
      </c>
      <c r="BL132" s="111">
        <f t="shared" si="101"/>
        <v>5000</v>
      </c>
      <c r="BM132" s="111">
        <f t="shared" si="101"/>
        <v>5000</v>
      </c>
      <c r="BN132" s="111">
        <f t="shared" si="101"/>
        <v>5000</v>
      </c>
      <c r="BO132" s="111">
        <f t="shared" si="101"/>
        <v>5000</v>
      </c>
      <c r="BP132" s="111">
        <f t="shared" si="101"/>
        <v>5000</v>
      </c>
      <c r="BQ132" s="111">
        <f t="shared" si="101"/>
        <v>5000</v>
      </c>
      <c r="BR132" s="111">
        <f t="shared" si="101"/>
        <v>5000</v>
      </c>
      <c r="BS132" s="111">
        <f t="shared" si="101"/>
        <v>5000</v>
      </c>
      <c r="BT132" s="111">
        <f t="shared" si="101"/>
        <v>5000</v>
      </c>
      <c r="BU132" s="111">
        <f t="shared" si="101"/>
        <v>5000</v>
      </c>
      <c r="BV132" s="111">
        <f t="shared" si="101"/>
        <v>5000</v>
      </c>
      <c r="BW132" s="111">
        <f t="shared" si="101"/>
        <v>5000</v>
      </c>
      <c r="BX132" s="111">
        <f t="shared" si="101"/>
        <v>5000</v>
      </c>
      <c r="BY132" s="111">
        <f t="shared" si="101"/>
        <v>5000</v>
      </c>
    </row>
    <row r="133" outlineLevel="1">
      <c r="A133" s="47"/>
      <c r="B133" s="114" t="s">
        <v>77</v>
      </c>
      <c r="C133" s="115">
        <v>80000.0</v>
      </c>
      <c r="D133" s="116">
        <v>0.2</v>
      </c>
      <c r="E133" s="117">
        <v>44166.0</v>
      </c>
      <c r="F133" s="111"/>
      <c r="G133" s="111"/>
      <c r="H133" s="111"/>
      <c r="I133" s="111"/>
      <c r="J133" s="111"/>
      <c r="K133" s="111"/>
      <c r="L133" s="111"/>
      <c r="M133" s="111"/>
      <c r="N133" s="111"/>
      <c r="O133" s="111"/>
      <c r="P133" s="111"/>
      <c r="Q133" s="111"/>
      <c r="R133" s="111">
        <f t="shared" ref="R133:BY133" si="102">IF(R$4&gt;=$E133,($C133/12)*(1+$D133),0)</f>
        <v>8000</v>
      </c>
      <c r="S133" s="111">
        <f t="shared" si="102"/>
        <v>8000</v>
      </c>
      <c r="T133" s="111">
        <f t="shared" si="102"/>
        <v>8000</v>
      </c>
      <c r="U133" s="111">
        <f t="shared" si="102"/>
        <v>8000</v>
      </c>
      <c r="V133" s="111">
        <f t="shared" si="102"/>
        <v>8000</v>
      </c>
      <c r="W133" s="111">
        <f t="shared" si="102"/>
        <v>8000</v>
      </c>
      <c r="X133" s="111">
        <f t="shared" si="102"/>
        <v>8000</v>
      </c>
      <c r="Y133" s="111">
        <f t="shared" si="102"/>
        <v>8000</v>
      </c>
      <c r="Z133" s="111">
        <f t="shared" si="102"/>
        <v>8000</v>
      </c>
      <c r="AA133" s="111">
        <f t="shared" si="102"/>
        <v>8000</v>
      </c>
      <c r="AB133" s="111">
        <f t="shared" si="102"/>
        <v>8000</v>
      </c>
      <c r="AC133" s="111">
        <f t="shared" si="102"/>
        <v>8000</v>
      </c>
      <c r="AD133" s="111">
        <f t="shared" si="102"/>
        <v>8000</v>
      </c>
      <c r="AE133" s="111">
        <f t="shared" si="102"/>
        <v>8000</v>
      </c>
      <c r="AF133" s="111">
        <f t="shared" si="102"/>
        <v>8000</v>
      </c>
      <c r="AG133" s="111">
        <f t="shared" si="102"/>
        <v>8000</v>
      </c>
      <c r="AH133" s="111">
        <f t="shared" si="102"/>
        <v>8000</v>
      </c>
      <c r="AI133" s="111">
        <f t="shared" si="102"/>
        <v>8000</v>
      </c>
      <c r="AJ133" s="111">
        <f t="shared" si="102"/>
        <v>8000</v>
      </c>
      <c r="AK133" s="111">
        <f t="shared" si="102"/>
        <v>8000</v>
      </c>
      <c r="AL133" s="111">
        <f t="shared" si="102"/>
        <v>8000</v>
      </c>
      <c r="AM133" s="111">
        <f t="shared" si="102"/>
        <v>8000</v>
      </c>
      <c r="AN133" s="111">
        <f t="shared" si="102"/>
        <v>8000</v>
      </c>
      <c r="AO133" s="111">
        <f t="shared" si="102"/>
        <v>8000</v>
      </c>
      <c r="AP133" s="111">
        <f t="shared" si="102"/>
        <v>8000</v>
      </c>
      <c r="AQ133" s="111">
        <f t="shared" si="102"/>
        <v>8000</v>
      </c>
      <c r="AR133" s="111">
        <f t="shared" si="102"/>
        <v>8000</v>
      </c>
      <c r="AS133" s="111">
        <f t="shared" si="102"/>
        <v>8000</v>
      </c>
      <c r="AT133" s="111">
        <f t="shared" si="102"/>
        <v>8000</v>
      </c>
      <c r="AU133" s="111">
        <f t="shared" si="102"/>
        <v>8000</v>
      </c>
      <c r="AV133" s="111">
        <f t="shared" si="102"/>
        <v>8000</v>
      </c>
      <c r="AW133" s="111">
        <f t="shared" si="102"/>
        <v>8000</v>
      </c>
      <c r="AX133" s="111">
        <f t="shared" si="102"/>
        <v>8000</v>
      </c>
      <c r="AY133" s="111">
        <f t="shared" si="102"/>
        <v>8000</v>
      </c>
      <c r="AZ133" s="111">
        <f t="shared" si="102"/>
        <v>8000</v>
      </c>
      <c r="BA133" s="111">
        <f t="shared" si="102"/>
        <v>8000</v>
      </c>
      <c r="BB133" s="111">
        <f t="shared" si="102"/>
        <v>8000</v>
      </c>
      <c r="BC133" s="111">
        <f t="shared" si="102"/>
        <v>8000</v>
      </c>
      <c r="BD133" s="111">
        <f t="shared" si="102"/>
        <v>8000</v>
      </c>
      <c r="BE133" s="111">
        <f t="shared" si="102"/>
        <v>8000</v>
      </c>
      <c r="BF133" s="111">
        <f t="shared" si="102"/>
        <v>8000</v>
      </c>
      <c r="BG133" s="111">
        <f t="shared" si="102"/>
        <v>8000</v>
      </c>
      <c r="BH133" s="111">
        <f t="shared" si="102"/>
        <v>8000</v>
      </c>
      <c r="BI133" s="111">
        <f t="shared" si="102"/>
        <v>8000</v>
      </c>
      <c r="BJ133" s="111">
        <f t="shared" si="102"/>
        <v>8000</v>
      </c>
      <c r="BK133" s="111">
        <f t="shared" si="102"/>
        <v>8000</v>
      </c>
      <c r="BL133" s="111">
        <f t="shared" si="102"/>
        <v>8000</v>
      </c>
      <c r="BM133" s="111">
        <f t="shared" si="102"/>
        <v>8000</v>
      </c>
      <c r="BN133" s="111">
        <f t="shared" si="102"/>
        <v>8000</v>
      </c>
      <c r="BO133" s="111">
        <f t="shared" si="102"/>
        <v>8000</v>
      </c>
      <c r="BP133" s="111">
        <f t="shared" si="102"/>
        <v>8000</v>
      </c>
      <c r="BQ133" s="111">
        <f t="shared" si="102"/>
        <v>8000</v>
      </c>
      <c r="BR133" s="111">
        <f t="shared" si="102"/>
        <v>8000</v>
      </c>
      <c r="BS133" s="111">
        <f t="shared" si="102"/>
        <v>8000</v>
      </c>
      <c r="BT133" s="111">
        <f t="shared" si="102"/>
        <v>8000</v>
      </c>
      <c r="BU133" s="111">
        <f t="shared" si="102"/>
        <v>8000</v>
      </c>
      <c r="BV133" s="111">
        <f t="shared" si="102"/>
        <v>8000</v>
      </c>
      <c r="BW133" s="111">
        <f t="shared" si="102"/>
        <v>8000</v>
      </c>
      <c r="BX133" s="111">
        <f t="shared" si="102"/>
        <v>8000</v>
      </c>
      <c r="BY133" s="111">
        <f t="shared" si="102"/>
        <v>8000</v>
      </c>
    </row>
    <row r="134" outlineLevel="1">
      <c r="A134" s="47"/>
      <c r="B134" s="114" t="s">
        <v>78</v>
      </c>
      <c r="C134" s="115">
        <v>90000.0</v>
      </c>
      <c r="D134" s="116">
        <v>0.2</v>
      </c>
      <c r="E134" s="117">
        <v>44256.0</v>
      </c>
      <c r="F134" s="111"/>
      <c r="G134" s="111"/>
      <c r="H134" s="111"/>
      <c r="I134" s="111"/>
      <c r="J134" s="111"/>
      <c r="K134" s="111"/>
      <c r="L134" s="111"/>
      <c r="M134" s="111"/>
      <c r="N134" s="111"/>
      <c r="O134" s="111"/>
      <c r="P134" s="111"/>
      <c r="Q134" s="111"/>
      <c r="R134" s="111">
        <f t="shared" ref="R134:BY134" si="103">IF(R$4&gt;=$E134,($C134/12)*(1+$D134),0)</f>
        <v>9000</v>
      </c>
      <c r="S134" s="111">
        <f t="shared" si="103"/>
        <v>9000</v>
      </c>
      <c r="T134" s="111">
        <f t="shared" si="103"/>
        <v>9000</v>
      </c>
      <c r="U134" s="111">
        <f t="shared" si="103"/>
        <v>9000</v>
      </c>
      <c r="V134" s="111">
        <f t="shared" si="103"/>
        <v>9000</v>
      </c>
      <c r="W134" s="111">
        <f t="shared" si="103"/>
        <v>9000</v>
      </c>
      <c r="X134" s="111">
        <f t="shared" si="103"/>
        <v>9000</v>
      </c>
      <c r="Y134" s="111">
        <f t="shared" si="103"/>
        <v>9000</v>
      </c>
      <c r="Z134" s="111">
        <f t="shared" si="103"/>
        <v>9000</v>
      </c>
      <c r="AA134" s="111">
        <f t="shared" si="103"/>
        <v>9000</v>
      </c>
      <c r="AB134" s="111">
        <f t="shared" si="103"/>
        <v>9000</v>
      </c>
      <c r="AC134" s="111">
        <f t="shared" si="103"/>
        <v>9000</v>
      </c>
      <c r="AD134" s="111">
        <f t="shared" si="103"/>
        <v>9000</v>
      </c>
      <c r="AE134" s="111">
        <f t="shared" si="103"/>
        <v>9000</v>
      </c>
      <c r="AF134" s="111">
        <f t="shared" si="103"/>
        <v>9000</v>
      </c>
      <c r="AG134" s="111">
        <f t="shared" si="103"/>
        <v>9000</v>
      </c>
      <c r="AH134" s="111">
        <f t="shared" si="103"/>
        <v>9000</v>
      </c>
      <c r="AI134" s="111">
        <f t="shared" si="103"/>
        <v>9000</v>
      </c>
      <c r="AJ134" s="111">
        <f t="shared" si="103"/>
        <v>9000</v>
      </c>
      <c r="AK134" s="111">
        <f t="shared" si="103"/>
        <v>9000</v>
      </c>
      <c r="AL134" s="111">
        <f t="shared" si="103"/>
        <v>9000</v>
      </c>
      <c r="AM134" s="111">
        <f t="shared" si="103"/>
        <v>9000</v>
      </c>
      <c r="AN134" s="111">
        <f t="shared" si="103"/>
        <v>9000</v>
      </c>
      <c r="AO134" s="111">
        <f t="shared" si="103"/>
        <v>9000</v>
      </c>
      <c r="AP134" s="111">
        <f t="shared" si="103"/>
        <v>9000</v>
      </c>
      <c r="AQ134" s="111">
        <f t="shared" si="103"/>
        <v>9000</v>
      </c>
      <c r="AR134" s="111">
        <f t="shared" si="103"/>
        <v>9000</v>
      </c>
      <c r="AS134" s="111">
        <f t="shared" si="103"/>
        <v>9000</v>
      </c>
      <c r="AT134" s="111">
        <f t="shared" si="103"/>
        <v>9000</v>
      </c>
      <c r="AU134" s="111">
        <f t="shared" si="103"/>
        <v>9000</v>
      </c>
      <c r="AV134" s="111">
        <f t="shared" si="103"/>
        <v>9000</v>
      </c>
      <c r="AW134" s="111">
        <f t="shared" si="103"/>
        <v>9000</v>
      </c>
      <c r="AX134" s="111">
        <f t="shared" si="103"/>
        <v>9000</v>
      </c>
      <c r="AY134" s="111">
        <f t="shared" si="103"/>
        <v>9000</v>
      </c>
      <c r="AZ134" s="111">
        <f t="shared" si="103"/>
        <v>9000</v>
      </c>
      <c r="BA134" s="111">
        <f t="shared" si="103"/>
        <v>9000</v>
      </c>
      <c r="BB134" s="111">
        <f t="shared" si="103"/>
        <v>9000</v>
      </c>
      <c r="BC134" s="111">
        <f t="shared" si="103"/>
        <v>9000</v>
      </c>
      <c r="BD134" s="111">
        <f t="shared" si="103"/>
        <v>9000</v>
      </c>
      <c r="BE134" s="111">
        <f t="shared" si="103"/>
        <v>9000</v>
      </c>
      <c r="BF134" s="111">
        <f t="shared" si="103"/>
        <v>9000</v>
      </c>
      <c r="BG134" s="111">
        <f t="shared" si="103"/>
        <v>9000</v>
      </c>
      <c r="BH134" s="111">
        <f t="shared" si="103"/>
        <v>9000</v>
      </c>
      <c r="BI134" s="111">
        <f t="shared" si="103"/>
        <v>9000</v>
      </c>
      <c r="BJ134" s="111">
        <f t="shared" si="103"/>
        <v>9000</v>
      </c>
      <c r="BK134" s="111">
        <f t="shared" si="103"/>
        <v>9000</v>
      </c>
      <c r="BL134" s="111">
        <f t="shared" si="103"/>
        <v>9000</v>
      </c>
      <c r="BM134" s="111">
        <f t="shared" si="103"/>
        <v>9000</v>
      </c>
      <c r="BN134" s="111">
        <f t="shared" si="103"/>
        <v>9000</v>
      </c>
      <c r="BO134" s="111">
        <f t="shared" si="103"/>
        <v>9000</v>
      </c>
      <c r="BP134" s="111">
        <f t="shared" si="103"/>
        <v>9000</v>
      </c>
      <c r="BQ134" s="111">
        <f t="shared" si="103"/>
        <v>9000</v>
      </c>
      <c r="BR134" s="111">
        <f t="shared" si="103"/>
        <v>9000</v>
      </c>
      <c r="BS134" s="111">
        <f t="shared" si="103"/>
        <v>9000</v>
      </c>
      <c r="BT134" s="111">
        <f t="shared" si="103"/>
        <v>9000</v>
      </c>
      <c r="BU134" s="111">
        <f t="shared" si="103"/>
        <v>9000</v>
      </c>
      <c r="BV134" s="111">
        <f t="shared" si="103"/>
        <v>9000</v>
      </c>
      <c r="BW134" s="111">
        <f t="shared" si="103"/>
        <v>9000</v>
      </c>
      <c r="BX134" s="111">
        <f t="shared" si="103"/>
        <v>9000</v>
      </c>
      <c r="BY134" s="111">
        <f t="shared" si="103"/>
        <v>9000</v>
      </c>
    </row>
    <row r="135" outlineLevel="1">
      <c r="A135" s="47"/>
      <c r="B135" s="114" t="s">
        <v>79</v>
      </c>
      <c r="C135" s="115">
        <v>45000.0</v>
      </c>
      <c r="D135" s="116">
        <v>0.2</v>
      </c>
      <c r="E135" s="117">
        <v>44348.0</v>
      </c>
      <c r="F135" s="111"/>
      <c r="G135" s="111"/>
      <c r="H135" s="111"/>
      <c r="I135" s="111"/>
      <c r="J135" s="111"/>
      <c r="K135" s="111"/>
      <c r="L135" s="111"/>
      <c r="M135" s="111"/>
      <c r="N135" s="111"/>
      <c r="O135" s="111"/>
      <c r="P135" s="111"/>
      <c r="Q135" s="111"/>
      <c r="R135" s="111">
        <f t="shared" ref="R135:BY135" si="104">IF(R$4&gt;=$E135,($C135/12)*(1+$D135),0)</f>
        <v>4500</v>
      </c>
      <c r="S135" s="111">
        <f t="shared" si="104"/>
        <v>4500</v>
      </c>
      <c r="T135" s="111">
        <f t="shared" si="104"/>
        <v>4500</v>
      </c>
      <c r="U135" s="111">
        <f t="shared" si="104"/>
        <v>4500</v>
      </c>
      <c r="V135" s="111">
        <f t="shared" si="104"/>
        <v>4500</v>
      </c>
      <c r="W135" s="111">
        <f t="shared" si="104"/>
        <v>4500</v>
      </c>
      <c r="X135" s="111">
        <f t="shared" si="104"/>
        <v>4500</v>
      </c>
      <c r="Y135" s="111">
        <f t="shared" si="104"/>
        <v>4500</v>
      </c>
      <c r="Z135" s="111">
        <f t="shared" si="104"/>
        <v>4500</v>
      </c>
      <c r="AA135" s="111">
        <f t="shared" si="104"/>
        <v>4500</v>
      </c>
      <c r="AB135" s="111">
        <f t="shared" si="104"/>
        <v>4500</v>
      </c>
      <c r="AC135" s="111">
        <f t="shared" si="104"/>
        <v>4500</v>
      </c>
      <c r="AD135" s="111">
        <f t="shared" si="104"/>
        <v>4500</v>
      </c>
      <c r="AE135" s="111">
        <f t="shared" si="104"/>
        <v>4500</v>
      </c>
      <c r="AF135" s="111">
        <f t="shared" si="104"/>
        <v>4500</v>
      </c>
      <c r="AG135" s="111">
        <f t="shared" si="104"/>
        <v>4500</v>
      </c>
      <c r="AH135" s="111">
        <f t="shared" si="104"/>
        <v>4500</v>
      </c>
      <c r="AI135" s="111">
        <f t="shared" si="104"/>
        <v>4500</v>
      </c>
      <c r="AJ135" s="111">
        <f t="shared" si="104"/>
        <v>4500</v>
      </c>
      <c r="AK135" s="111">
        <f t="shared" si="104"/>
        <v>4500</v>
      </c>
      <c r="AL135" s="111">
        <f t="shared" si="104"/>
        <v>4500</v>
      </c>
      <c r="AM135" s="111">
        <f t="shared" si="104"/>
        <v>4500</v>
      </c>
      <c r="AN135" s="111">
        <f t="shared" si="104"/>
        <v>4500</v>
      </c>
      <c r="AO135" s="111">
        <f t="shared" si="104"/>
        <v>4500</v>
      </c>
      <c r="AP135" s="111">
        <f t="shared" si="104"/>
        <v>4500</v>
      </c>
      <c r="AQ135" s="111">
        <f t="shared" si="104"/>
        <v>4500</v>
      </c>
      <c r="AR135" s="111">
        <f t="shared" si="104"/>
        <v>4500</v>
      </c>
      <c r="AS135" s="111">
        <f t="shared" si="104"/>
        <v>4500</v>
      </c>
      <c r="AT135" s="111">
        <f t="shared" si="104"/>
        <v>4500</v>
      </c>
      <c r="AU135" s="111">
        <f t="shared" si="104"/>
        <v>4500</v>
      </c>
      <c r="AV135" s="111">
        <f t="shared" si="104"/>
        <v>4500</v>
      </c>
      <c r="AW135" s="111">
        <f t="shared" si="104"/>
        <v>4500</v>
      </c>
      <c r="AX135" s="111">
        <f t="shared" si="104"/>
        <v>4500</v>
      </c>
      <c r="AY135" s="111">
        <f t="shared" si="104"/>
        <v>4500</v>
      </c>
      <c r="AZ135" s="111">
        <f t="shared" si="104"/>
        <v>4500</v>
      </c>
      <c r="BA135" s="111">
        <f t="shared" si="104"/>
        <v>4500</v>
      </c>
      <c r="BB135" s="111">
        <f t="shared" si="104"/>
        <v>4500</v>
      </c>
      <c r="BC135" s="111">
        <f t="shared" si="104"/>
        <v>4500</v>
      </c>
      <c r="BD135" s="111">
        <f t="shared" si="104"/>
        <v>4500</v>
      </c>
      <c r="BE135" s="111">
        <f t="shared" si="104"/>
        <v>4500</v>
      </c>
      <c r="BF135" s="111">
        <f t="shared" si="104"/>
        <v>4500</v>
      </c>
      <c r="BG135" s="111">
        <f t="shared" si="104"/>
        <v>4500</v>
      </c>
      <c r="BH135" s="111">
        <f t="shared" si="104"/>
        <v>4500</v>
      </c>
      <c r="BI135" s="111">
        <f t="shared" si="104"/>
        <v>4500</v>
      </c>
      <c r="BJ135" s="111">
        <f t="shared" si="104"/>
        <v>4500</v>
      </c>
      <c r="BK135" s="111">
        <f t="shared" si="104"/>
        <v>4500</v>
      </c>
      <c r="BL135" s="111">
        <f t="shared" si="104"/>
        <v>4500</v>
      </c>
      <c r="BM135" s="111">
        <f t="shared" si="104"/>
        <v>4500</v>
      </c>
      <c r="BN135" s="111">
        <f t="shared" si="104"/>
        <v>4500</v>
      </c>
      <c r="BO135" s="111">
        <f t="shared" si="104"/>
        <v>4500</v>
      </c>
      <c r="BP135" s="111">
        <f t="shared" si="104"/>
        <v>4500</v>
      </c>
      <c r="BQ135" s="111">
        <f t="shared" si="104"/>
        <v>4500</v>
      </c>
      <c r="BR135" s="111">
        <f t="shared" si="104"/>
        <v>4500</v>
      </c>
      <c r="BS135" s="111">
        <f t="shared" si="104"/>
        <v>4500</v>
      </c>
      <c r="BT135" s="111">
        <f t="shared" si="104"/>
        <v>4500</v>
      </c>
      <c r="BU135" s="111">
        <f t="shared" si="104"/>
        <v>4500</v>
      </c>
      <c r="BV135" s="111">
        <f t="shared" si="104"/>
        <v>4500</v>
      </c>
      <c r="BW135" s="111">
        <f t="shared" si="104"/>
        <v>4500</v>
      </c>
      <c r="BX135" s="111">
        <f t="shared" si="104"/>
        <v>4500</v>
      </c>
      <c r="BY135" s="111">
        <f t="shared" si="104"/>
        <v>4500</v>
      </c>
    </row>
    <row r="136" outlineLevel="1">
      <c r="A136" s="47"/>
      <c r="B136" s="114" t="s">
        <v>80</v>
      </c>
      <c r="C136" s="115">
        <v>100000.0</v>
      </c>
      <c r="D136" s="116">
        <v>0.2</v>
      </c>
      <c r="E136" s="117">
        <v>43831.0</v>
      </c>
      <c r="F136" s="111"/>
      <c r="G136" s="111"/>
      <c r="H136" s="111"/>
      <c r="I136" s="111"/>
      <c r="J136" s="111"/>
      <c r="K136" s="111"/>
      <c r="L136" s="111"/>
      <c r="M136" s="111"/>
      <c r="N136" s="111"/>
      <c r="O136" s="111"/>
      <c r="P136" s="111"/>
      <c r="Q136" s="111"/>
      <c r="R136" s="111">
        <f t="shared" ref="R136:BY136" si="105">IF(R$4&gt;=$E136,($C136/12)*(1+$D136),0)</f>
        <v>10000</v>
      </c>
      <c r="S136" s="111">
        <f t="shared" si="105"/>
        <v>10000</v>
      </c>
      <c r="T136" s="111">
        <f t="shared" si="105"/>
        <v>10000</v>
      </c>
      <c r="U136" s="111">
        <f t="shared" si="105"/>
        <v>10000</v>
      </c>
      <c r="V136" s="111">
        <f t="shared" si="105"/>
        <v>10000</v>
      </c>
      <c r="W136" s="111">
        <f t="shared" si="105"/>
        <v>10000</v>
      </c>
      <c r="X136" s="111">
        <f t="shared" si="105"/>
        <v>10000</v>
      </c>
      <c r="Y136" s="111">
        <f t="shared" si="105"/>
        <v>10000</v>
      </c>
      <c r="Z136" s="111">
        <f t="shared" si="105"/>
        <v>10000</v>
      </c>
      <c r="AA136" s="111">
        <f t="shared" si="105"/>
        <v>10000</v>
      </c>
      <c r="AB136" s="111">
        <f t="shared" si="105"/>
        <v>10000</v>
      </c>
      <c r="AC136" s="111">
        <f t="shared" si="105"/>
        <v>10000</v>
      </c>
      <c r="AD136" s="111">
        <f t="shared" si="105"/>
        <v>10000</v>
      </c>
      <c r="AE136" s="111">
        <f t="shared" si="105"/>
        <v>10000</v>
      </c>
      <c r="AF136" s="111">
        <f t="shared" si="105"/>
        <v>10000</v>
      </c>
      <c r="AG136" s="111">
        <f t="shared" si="105"/>
        <v>10000</v>
      </c>
      <c r="AH136" s="111">
        <f t="shared" si="105"/>
        <v>10000</v>
      </c>
      <c r="AI136" s="111">
        <f t="shared" si="105"/>
        <v>10000</v>
      </c>
      <c r="AJ136" s="111">
        <f t="shared" si="105"/>
        <v>10000</v>
      </c>
      <c r="AK136" s="111">
        <f t="shared" si="105"/>
        <v>10000</v>
      </c>
      <c r="AL136" s="111">
        <f t="shared" si="105"/>
        <v>10000</v>
      </c>
      <c r="AM136" s="111">
        <f t="shared" si="105"/>
        <v>10000</v>
      </c>
      <c r="AN136" s="111">
        <f t="shared" si="105"/>
        <v>10000</v>
      </c>
      <c r="AO136" s="111">
        <f t="shared" si="105"/>
        <v>10000</v>
      </c>
      <c r="AP136" s="111">
        <f t="shared" si="105"/>
        <v>10000</v>
      </c>
      <c r="AQ136" s="111">
        <f t="shared" si="105"/>
        <v>10000</v>
      </c>
      <c r="AR136" s="111">
        <f t="shared" si="105"/>
        <v>10000</v>
      </c>
      <c r="AS136" s="111">
        <f t="shared" si="105"/>
        <v>10000</v>
      </c>
      <c r="AT136" s="111">
        <f t="shared" si="105"/>
        <v>10000</v>
      </c>
      <c r="AU136" s="111">
        <f t="shared" si="105"/>
        <v>10000</v>
      </c>
      <c r="AV136" s="111">
        <f t="shared" si="105"/>
        <v>10000</v>
      </c>
      <c r="AW136" s="111">
        <f t="shared" si="105"/>
        <v>10000</v>
      </c>
      <c r="AX136" s="111">
        <f t="shared" si="105"/>
        <v>10000</v>
      </c>
      <c r="AY136" s="111">
        <f t="shared" si="105"/>
        <v>10000</v>
      </c>
      <c r="AZ136" s="111">
        <f t="shared" si="105"/>
        <v>10000</v>
      </c>
      <c r="BA136" s="111">
        <f t="shared" si="105"/>
        <v>10000</v>
      </c>
      <c r="BB136" s="111">
        <f t="shared" si="105"/>
        <v>10000</v>
      </c>
      <c r="BC136" s="111">
        <f t="shared" si="105"/>
        <v>10000</v>
      </c>
      <c r="BD136" s="111">
        <f t="shared" si="105"/>
        <v>10000</v>
      </c>
      <c r="BE136" s="111">
        <f t="shared" si="105"/>
        <v>10000</v>
      </c>
      <c r="BF136" s="111">
        <f t="shared" si="105"/>
        <v>10000</v>
      </c>
      <c r="BG136" s="111">
        <f t="shared" si="105"/>
        <v>10000</v>
      </c>
      <c r="BH136" s="111">
        <f t="shared" si="105"/>
        <v>10000</v>
      </c>
      <c r="BI136" s="111">
        <f t="shared" si="105"/>
        <v>10000</v>
      </c>
      <c r="BJ136" s="111">
        <f t="shared" si="105"/>
        <v>10000</v>
      </c>
      <c r="BK136" s="111">
        <f t="shared" si="105"/>
        <v>10000</v>
      </c>
      <c r="BL136" s="111">
        <f t="shared" si="105"/>
        <v>10000</v>
      </c>
      <c r="BM136" s="111">
        <f t="shared" si="105"/>
        <v>10000</v>
      </c>
      <c r="BN136" s="111">
        <f t="shared" si="105"/>
        <v>10000</v>
      </c>
      <c r="BO136" s="111">
        <f t="shared" si="105"/>
        <v>10000</v>
      </c>
      <c r="BP136" s="111">
        <f t="shared" si="105"/>
        <v>10000</v>
      </c>
      <c r="BQ136" s="111">
        <f t="shared" si="105"/>
        <v>10000</v>
      </c>
      <c r="BR136" s="111">
        <f t="shared" si="105"/>
        <v>10000</v>
      </c>
      <c r="BS136" s="111">
        <f t="shared" si="105"/>
        <v>10000</v>
      </c>
      <c r="BT136" s="111">
        <f t="shared" si="105"/>
        <v>10000</v>
      </c>
      <c r="BU136" s="111">
        <f t="shared" si="105"/>
        <v>10000</v>
      </c>
      <c r="BV136" s="111">
        <f t="shared" si="105"/>
        <v>10000</v>
      </c>
      <c r="BW136" s="111">
        <f t="shared" si="105"/>
        <v>10000</v>
      </c>
      <c r="BX136" s="111">
        <f t="shared" si="105"/>
        <v>10000</v>
      </c>
      <c r="BY136" s="111">
        <f t="shared" si="105"/>
        <v>10000</v>
      </c>
    </row>
    <row r="137" outlineLevel="1">
      <c r="A137" s="47"/>
      <c r="B137" s="114" t="s">
        <v>81</v>
      </c>
      <c r="C137" s="115">
        <v>100000.0</v>
      </c>
      <c r="D137" s="116">
        <v>0.2</v>
      </c>
      <c r="E137" s="117">
        <v>43831.0</v>
      </c>
      <c r="F137" s="111"/>
      <c r="G137" s="111"/>
      <c r="H137" s="111"/>
      <c r="I137" s="111"/>
      <c r="J137" s="111"/>
      <c r="K137" s="111"/>
      <c r="L137" s="111"/>
      <c r="M137" s="111"/>
      <c r="N137" s="111"/>
      <c r="O137" s="111"/>
      <c r="P137" s="111"/>
      <c r="Q137" s="111"/>
      <c r="R137" s="111">
        <f t="shared" ref="R137:BY137" si="106">IF(R$4&gt;=$E137,($C137/12)*(1+$D137),0)</f>
        <v>10000</v>
      </c>
      <c r="S137" s="111">
        <f t="shared" si="106"/>
        <v>10000</v>
      </c>
      <c r="T137" s="111">
        <f t="shared" si="106"/>
        <v>10000</v>
      </c>
      <c r="U137" s="111">
        <f t="shared" si="106"/>
        <v>10000</v>
      </c>
      <c r="V137" s="111">
        <f t="shared" si="106"/>
        <v>10000</v>
      </c>
      <c r="W137" s="111">
        <f t="shared" si="106"/>
        <v>10000</v>
      </c>
      <c r="X137" s="111">
        <f t="shared" si="106"/>
        <v>10000</v>
      </c>
      <c r="Y137" s="111">
        <f t="shared" si="106"/>
        <v>10000</v>
      </c>
      <c r="Z137" s="111">
        <f t="shared" si="106"/>
        <v>10000</v>
      </c>
      <c r="AA137" s="111">
        <f t="shared" si="106"/>
        <v>10000</v>
      </c>
      <c r="AB137" s="111">
        <f t="shared" si="106"/>
        <v>10000</v>
      </c>
      <c r="AC137" s="111">
        <f t="shared" si="106"/>
        <v>10000</v>
      </c>
      <c r="AD137" s="111">
        <f t="shared" si="106"/>
        <v>10000</v>
      </c>
      <c r="AE137" s="111">
        <f t="shared" si="106"/>
        <v>10000</v>
      </c>
      <c r="AF137" s="111">
        <f t="shared" si="106"/>
        <v>10000</v>
      </c>
      <c r="AG137" s="111">
        <f t="shared" si="106"/>
        <v>10000</v>
      </c>
      <c r="AH137" s="111">
        <f t="shared" si="106"/>
        <v>10000</v>
      </c>
      <c r="AI137" s="111">
        <f t="shared" si="106"/>
        <v>10000</v>
      </c>
      <c r="AJ137" s="111">
        <f t="shared" si="106"/>
        <v>10000</v>
      </c>
      <c r="AK137" s="111">
        <f t="shared" si="106"/>
        <v>10000</v>
      </c>
      <c r="AL137" s="111">
        <f t="shared" si="106"/>
        <v>10000</v>
      </c>
      <c r="AM137" s="111">
        <f t="shared" si="106"/>
        <v>10000</v>
      </c>
      <c r="AN137" s="111">
        <f t="shared" si="106"/>
        <v>10000</v>
      </c>
      <c r="AO137" s="111">
        <f t="shared" si="106"/>
        <v>10000</v>
      </c>
      <c r="AP137" s="111">
        <f t="shared" si="106"/>
        <v>10000</v>
      </c>
      <c r="AQ137" s="111">
        <f t="shared" si="106"/>
        <v>10000</v>
      </c>
      <c r="AR137" s="111">
        <f t="shared" si="106"/>
        <v>10000</v>
      </c>
      <c r="AS137" s="111">
        <f t="shared" si="106"/>
        <v>10000</v>
      </c>
      <c r="AT137" s="111">
        <f t="shared" si="106"/>
        <v>10000</v>
      </c>
      <c r="AU137" s="111">
        <f t="shared" si="106"/>
        <v>10000</v>
      </c>
      <c r="AV137" s="111">
        <f t="shared" si="106"/>
        <v>10000</v>
      </c>
      <c r="AW137" s="111">
        <f t="shared" si="106"/>
        <v>10000</v>
      </c>
      <c r="AX137" s="111">
        <f t="shared" si="106"/>
        <v>10000</v>
      </c>
      <c r="AY137" s="111">
        <f t="shared" si="106"/>
        <v>10000</v>
      </c>
      <c r="AZ137" s="111">
        <f t="shared" si="106"/>
        <v>10000</v>
      </c>
      <c r="BA137" s="111">
        <f t="shared" si="106"/>
        <v>10000</v>
      </c>
      <c r="BB137" s="111">
        <f t="shared" si="106"/>
        <v>10000</v>
      </c>
      <c r="BC137" s="111">
        <f t="shared" si="106"/>
        <v>10000</v>
      </c>
      <c r="BD137" s="111">
        <f t="shared" si="106"/>
        <v>10000</v>
      </c>
      <c r="BE137" s="111">
        <f t="shared" si="106"/>
        <v>10000</v>
      </c>
      <c r="BF137" s="111">
        <f t="shared" si="106"/>
        <v>10000</v>
      </c>
      <c r="BG137" s="111">
        <f t="shared" si="106"/>
        <v>10000</v>
      </c>
      <c r="BH137" s="111">
        <f t="shared" si="106"/>
        <v>10000</v>
      </c>
      <c r="BI137" s="111">
        <f t="shared" si="106"/>
        <v>10000</v>
      </c>
      <c r="BJ137" s="111">
        <f t="shared" si="106"/>
        <v>10000</v>
      </c>
      <c r="BK137" s="111">
        <f t="shared" si="106"/>
        <v>10000</v>
      </c>
      <c r="BL137" s="111">
        <f t="shared" si="106"/>
        <v>10000</v>
      </c>
      <c r="BM137" s="111">
        <f t="shared" si="106"/>
        <v>10000</v>
      </c>
      <c r="BN137" s="111">
        <f t="shared" si="106"/>
        <v>10000</v>
      </c>
      <c r="BO137" s="111">
        <f t="shared" si="106"/>
        <v>10000</v>
      </c>
      <c r="BP137" s="111">
        <f t="shared" si="106"/>
        <v>10000</v>
      </c>
      <c r="BQ137" s="111">
        <f t="shared" si="106"/>
        <v>10000</v>
      </c>
      <c r="BR137" s="111">
        <f t="shared" si="106"/>
        <v>10000</v>
      </c>
      <c r="BS137" s="111">
        <f t="shared" si="106"/>
        <v>10000</v>
      </c>
      <c r="BT137" s="111">
        <f t="shared" si="106"/>
        <v>10000</v>
      </c>
      <c r="BU137" s="111">
        <f t="shared" si="106"/>
        <v>10000</v>
      </c>
      <c r="BV137" s="111">
        <f t="shared" si="106"/>
        <v>10000</v>
      </c>
      <c r="BW137" s="111">
        <f t="shared" si="106"/>
        <v>10000</v>
      </c>
      <c r="BX137" s="111">
        <f t="shared" si="106"/>
        <v>10000</v>
      </c>
      <c r="BY137" s="111">
        <f t="shared" si="106"/>
        <v>10000</v>
      </c>
    </row>
    <row r="138" outlineLevel="1">
      <c r="A138" s="47"/>
      <c r="B138" s="114" t="s">
        <v>82</v>
      </c>
      <c r="C138" s="115">
        <v>100000.0</v>
      </c>
      <c r="D138" s="116">
        <v>0.2</v>
      </c>
      <c r="E138" s="117">
        <v>44075.0</v>
      </c>
      <c r="F138" s="111"/>
      <c r="G138" s="111"/>
      <c r="H138" s="111"/>
      <c r="I138" s="111"/>
      <c r="J138" s="111"/>
      <c r="K138" s="111"/>
      <c r="L138" s="111"/>
      <c r="M138" s="111"/>
      <c r="N138" s="111"/>
      <c r="O138" s="111"/>
      <c r="P138" s="111"/>
      <c r="Q138" s="111"/>
      <c r="R138" s="111">
        <f t="shared" ref="R138:BY138" si="107">IF(R$4&gt;=$E138,($C138/12)*(1+$D138),0)</f>
        <v>10000</v>
      </c>
      <c r="S138" s="111">
        <f t="shared" si="107"/>
        <v>10000</v>
      </c>
      <c r="T138" s="111">
        <f t="shared" si="107"/>
        <v>10000</v>
      </c>
      <c r="U138" s="111">
        <f t="shared" si="107"/>
        <v>10000</v>
      </c>
      <c r="V138" s="111">
        <f t="shared" si="107"/>
        <v>10000</v>
      </c>
      <c r="W138" s="111">
        <f t="shared" si="107"/>
        <v>10000</v>
      </c>
      <c r="X138" s="111">
        <f t="shared" si="107"/>
        <v>10000</v>
      </c>
      <c r="Y138" s="111">
        <f t="shared" si="107"/>
        <v>10000</v>
      </c>
      <c r="Z138" s="111">
        <f t="shared" si="107"/>
        <v>10000</v>
      </c>
      <c r="AA138" s="111">
        <f t="shared" si="107"/>
        <v>10000</v>
      </c>
      <c r="AB138" s="111">
        <f t="shared" si="107"/>
        <v>10000</v>
      </c>
      <c r="AC138" s="111">
        <f t="shared" si="107"/>
        <v>10000</v>
      </c>
      <c r="AD138" s="111">
        <f t="shared" si="107"/>
        <v>10000</v>
      </c>
      <c r="AE138" s="111">
        <f t="shared" si="107"/>
        <v>10000</v>
      </c>
      <c r="AF138" s="111">
        <f t="shared" si="107"/>
        <v>10000</v>
      </c>
      <c r="AG138" s="111">
        <f t="shared" si="107"/>
        <v>10000</v>
      </c>
      <c r="AH138" s="111">
        <f t="shared" si="107"/>
        <v>10000</v>
      </c>
      <c r="AI138" s="111">
        <f t="shared" si="107"/>
        <v>10000</v>
      </c>
      <c r="AJ138" s="111">
        <f t="shared" si="107"/>
        <v>10000</v>
      </c>
      <c r="AK138" s="111">
        <f t="shared" si="107"/>
        <v>10000</v>
      </c>
      <c r="AL138" s="111">
        <f t="shared" si="107"/>
        <v>10000</v>
      </c>
      <c r="AM138" s="111">
        <f t="shared" si="107"/>
        <v>10000</v>
      </c>
      <c r="AN138" s="111">
        <f t="shared" si="107"/>
        <v>10000</v>
      </c>
      <c r="AO138" s="111">
        <f t="shared" si="107"/>
        <v>10000</v>
      </c>
      <c r="AP138" s="111">
        <f t="shared" si="107"/>
        <v>10000</v>
      </c>
      <c r="AQ138" s="111">
        <f t="shared" si="107"/>
        <v>10000</v>
      </c>
      <c r="AR138" s="111">
        <f t="shared" si="107"/>
        <v>10000</v>
      </c>
      <c r="AS138" s="111">
        <f t="shared" si="107"/>
        <v>10000</v>
      </c>
      <c r="AT138" s="111">
        <f t="shared" si="107"/>
        <v>10000</v>
      </c>
      <c r="AU138" s="111">
        <f t="shared" si="107"/>
        <v>10000</v>
      </c>
      <c r="AV138" s="111">
        <f t="shared" si="107"/>
        <v>10000</v>
      </c>
      <c r="AW138" s="111">
        <f t="shared" si="107"/>
        <v>10000</v>
      </c>
      <c r="AX138" s="111">
        <f t="shared" si="107"/>
        <v>10000</v>
      </c>
      <c r="AY138" s="111">
        <f t="shared" si="107"/>
        <v>10000</v>
      </c>
      <c r="AZ138" s="111">
        <f t="shared" si="107"/>
        <v>10000</v>
      </c>
      <c r="BA138" s="111">
        <f t="shared" si="107"/>
        <v>10000</v>
      </c>
      <c r="BB138" s="111">
        <f t="shared" si="107"/>
        <v>10000</v>
      </c>
      <c r="BC138" s="111">
        <f t="shared" si="107"/>
        <v>10000</v>
      </c>
      <c r="BD138" s="111">
        <f t="shared" si="107"/>
        <v>10000</v>
      </c>
      <c r="BE138" s="111">
        <f t="shared" si="107"/>
        <v>10000</v>
      </c>
      <c r="BF138" s="111">
        <f t="shared" si="107"/>
        <v>10000</v>
      </c>
      <c r="BG138" s="111">
        <f t="shared" si="107"/>
        <v>10000</v>
      </c>
      <c r="BH138" s="111">
        <f t="shared" si="107"/>
        <v>10000</v>
      </c>
      <c r="BI138" s="111">
        <f t="shared" si="107"/>
        <v>10000</v>
      </c>
      <c r="BJ138" s="111">
        <f t="shared" si="107"/>
        <v>10000</v>
      </c>
      <c r="BK138" s="111">
        <f t="shared" si="107"/>
        <v>10000</v>
      </c>
      <c r="BL138" s="111">
        <f t="shared" si="107"/>
        <v>10000</v>
      </c>
      <c r="BM138" s="111">
        <f t="shared" si="107"/>
        <v>10000</v>
      </c>
      <c r="BN138" s="111">
        <f t="shared" si="107"/>
        <v>10000</v>
      </c>
      <c r="BO138" s="111">
        <f t="shared" si="107"/>
        <v>10000</v>
      </c>
      <c r="BP138" s="111">
        <f t="shared" si="107"/>
        <v>10000</v>
      </c>
      <c r="BQ138" s="111">
        <f t="shared" si="107"/>
        <v>10000</v>
      </c>
      <c r="BR138" s="111">
        <f t="shared" si="107"/>
        <v>10000</v>
      </c>
      <c r="BS138" s="111">
        <f t="shared" si="107"/>
        <v>10000</v>
      </c>
      <c r="BT138" s="111">
        <f t="shared" si="107"/>
        <v>10000</v>
      </c>
      <c r="BU138" s="111">
        <f t="shared" si="107"/>
        <v>10000</v>
      </c>
      <c r="BV138" s="111">
        <f t="shared" si="107"/>
        <v>10000</v>
      </c>
      <c r="BW138" s="111">
        <f t="shared" si="107"/>
        <v>10000</v>
      </c>
      <c r="BX138" s="111">
        <f t="shared" si="107"/>
        <v>10000</v>
      </c>
      <c r="BY138" s="111">
        <f t="shared" si="107"/>
        <v>10000</v>
      </c>
    </row>
    <row r="139" outlineLevel="1">
      <c r="A139" s="47"/>
      <c r="B139" s="114" t="s">
        <v>83</v>
      </c>
      <c r="C139" s="115">
        <v>100000.0</v>
      </c>
      <c r="D139" s="116">
        <v>0.2</v>
      </c>
      <c r="E139" s="117">
        <v>43831.0</v>
      </c>
      <c r="F139" s="111"/>
      <c r="G139" s="111"/>
      <c r="H139" s="111"/>
      <c r="I139" s="111"/>
      <c r="J139" s="111"/>
      <c r="K139" s="111"/>
      <c r="L139" s="111"/>
      <c r="M139" s="111"/>
      <c r="N139" s="111"/>
      <c r="O139" s="111"/>
      <c r="P139" s="111"/>
      <c r="Q139" s="111"/>
      <c r="R139" s="111">
        <f t="shared" ref="R139:BY139" si="108">IF(R$4&gt;=$E139,($C139/12)*(1+$D139),0)</f>
        <v>10000</v>
      </c>
      <c r="S139" s="111">
        <f t="shared" si="108"/>
        <v>10000</v>
      </c>
      <c r="T139" s="111">
        <f t="shared" si="108"/>
        <v>10000</v>
      </c>
      <c r="U139" s="111">
        <f t="shared" si="108"/>
        <v>10000</v>
      </c>
      <c r="V139" s="111">
        <f t="shared" si="108"/>
        <v>10000</v>
      </c>
      <c r="W139" s="111">
        <f t="shared" si="108"/>
        <v>10000</v>
      </c>
      <c r="X139" s="111">
        <f t="shared" si="108"/>
        <v>10000</v>
      </c>
      <c r="Y139" s="111">
        <f t="shared" si="108"/>
        <v>10000</v>
      </c>
      <c r="Z139" s="111">
        <f t="shared" si="108"/>
        <v>10000</v>
      </c>
      <c r="AA139" s="111">
        <f t="shared" si="108"/>
        <v>10000</v>
      </c>
      <c r="AB139" s="111">
        <f t="shared" si="108"/>
        <v>10000</v>
      </c>
      <c r="AC139" s="111">
        <f t="shared" si="108"/>
        <v>10000</v>
      </c>
      <c r="AD139" s="111">
        <f t="shared" si="108"/>
        <v>10000</v>
      </c>
      <c r="AE139" s="111">
        <f t="shared" si="108"/>
        <v>10000</v>
      </c>
      <c r="AF139" s="111">
        <f t="shared" si="108"/>
        <v>10000</v>
      </c>
      <c r="AG139" s="111">
        <f t="shared" si="108"/>
        <v>10000</v>
      </c>
      <c r="AH139" s="111">
        <f t="shared" si="108"/>
        <v>10000</v>
      </c>
      <c r="AI139" s="111">
        <f t="shared" si="108"/>
        <v>10000</v>
      </c>
      <c r="AJ139" s="111">
        <f t="shared" si="108"/>
        <v>10000</v>
      </c>
      <c r="AK139" s="111">
        <f t="shared" si="108"/>
        <v>10000</v>
      </c>
      <c r="AL139" s="111">
        <f t="shared" si="108"/>
        <v>10000</v>
      </c>
      <c r="AM139" s="111">
        <f t="shared" si="108"/>
        <v>10000</v>
      </c>
      <c r="AN139" s="111">
        <f t="shared" si="108"/>
        <v>10000</v>
      </c>
      <c r="AO139" s="111">
        <f t="shared" si="108"/>
        <v>10000</v>
      </c>
      <c r="AP139" s="111">
        <f t="shared" si="108"/>
        <v>10000</v>
      </c>
      <c r="AQ139" s="111">
        <f t="shared" si="108"/>
        <v>10000</v>
      </c>
      <c r="AR139" s="111">
        <f t="shared" si="108"/>
        <v>10000</v>
      </c>
      <c r="AS139" s="111">
        <f t="shared" si="108"/>
        <v>10000</v>
      </c>
      <c r="AT139" s="111">
        <f t="shared" si="108"/>
        <v>10000</v>
      </c>
      <c r="AU139" s="111">
        <f t="shared" si="108"/>
        <v>10000</v>
      </c>
      <c r="AV139" s="111">
        <f t="shared" si="108"/>
        <v>10000</v>
      </c>
      <c r="AW139" s="111">
        <f t="shared" si="108"/>
        <v>10000</v>
      </c>
      <c r="AX139" s="111">
        <f t="shared" si="108"/>
        <v>10000</v>
      </c>
      <c r="AY139" s="111">
        <f t="shared" si="108"/>
        <v>10000</v>
      </c>
      <c r="AZ139" s="111">
        <f t="shared" si="108"/>
        <v>10000</v>
      </c>
      <c r="BA139" s="111">
        <f t="shared" si="108"/>
        <v>10000</v>
      </c>
      <c r="BB139" s="111">
        <f t="shared" si="108"/>
        <v>10000</v>
      </c>
      <c r="BC139" s="111">
        <f t="shared" si="108"/>
        <v>10000</v>
      </c>
      <c r="BD139" s="111">
        <f t="shared" si="108"/>
        <v>10000</v>
      </c>
      <c r="BE139" s="111">
        <f t="shared" si="108"/>
        <v>10000</v>
      </c>
      <c r="BF139" s="111">
        <f t="shared" si="108"/>
        <v>10000</v>
      </c>
      <c r="BG139" s="111">
        <f t="shared" si="108"/>
        <v>10000</v>
      </c>
      <c r="BH139" s="111">
        <f t="shared" si="108"/>
        <v>10000</v>
      </c>
      <c r="BI139" s="111">
        <f t="shared" si="108"/>
        <v>10000</v>
      </c>
      <c r="BJ139" s="111">
        <f t="shared" si="108"/>
        <v>10000</v>
      </c>
      <c r="BK139" s="111">
        <f t="shared" si="108"/>
        <v>10000</v>
      </c>
      <c r="BL139" s="111">
        <f t="shared" si="108"/>
        <v>10000</v>
      </c>
      <c r="BM139" s="111">
        <f t="shared" si="108"/>
        <v>10000</v>
      </c>
      <c r="BN139" s="111">
        <f t="shared" si="108"/>
        <v>10000</v>
      </c>
      <c r="BO139" s="111">
        <f t="shared" si="108"/>
        <v>10000</v>
      </c>
      <c r="BP139" s="111">
        <f t="shared" si="108"/>
        <v>10000</v>
      </c>
      <c r="BQ139" s="111">
        <f t="shared" si="108"/>
        <v>10000</v>
      </c>
      <c r="BR139" s="111">
        <f t="shared" si="108"/>
        <v>10000</v>
      </c>
      <c r="BS139" s="111">
        <f t="shared" si="108"/>
        <v>10000</v>
      </c>
      <c r="BT139" s="111">
        <f t="shared" si="108"/>
        <v>10000</v>
      </c>
      <c r="BU139" s="111">
        <f t="shared" si="108"/>
        <v>10000</v>
      </c>
      <c r="BV139" s="111">
        <f t="shared" si="108"/>
        <v>10000</v>
      </c>
      <c r="BW139" s="111">
        <f t="shared" si="108"/>
        <v>10000</v>
      </c>
      <c r="BX139" s="111">
        <f t="shared" si="108"/>
        <v>10000</v>
      </c>
      <c r="BY139" s="111">
        <f t="shared" si="108"/>
        <v>10000</v>
      </c>
    </row>
    <row r="140" outlineLevel="1">
      <c r="A140" s="47"/>
      <c r="B140" s="114" t="s">
        <v>84</v>
      </c>
      <c r="C140" s="115">
        <v>100000.0</v>
      </c>
      <c r="D140" s="116">
        <v>0.2</v>
      </c>
      <c r="E140" s="117">
        <v>43891.0</v>
      </c>
      <c r="F140" s="111"/>
      <c r="G140" s="111"/>
      <c r="H140" s="111"/>
      <c r="I140" s="111"/>
      <c r="J140" s="111"/>
      <c r="K140" s="111"/>
      <c r="L140" s="111"/>
      <c r="M140" s="111"/>
      <c r="N140" s="111"/>
      <c r="O140" s="111"/>
      <c r="P140" s="111"/>
      <c r="Q140" s="111"/>
      <c r="R140" s="111">
        <f t="shared" ref="R140:BY140" si="109">IF(R$4&gt;=$E140,($C140/12)*(1+$D140),0)</f>
        <v>10000</v>
      </c>
      <c r="S140" s="111">
        <f t="shared" si="109"/>
        <v>10000</v>
      </c>
      <c r="T140" s="111">
        <f t="shared" si="109"/>
        <v>10000</v>
      </c>
      <c r="U140" s="111">
        <f t="shared" si="109"/>
        <v>10000</v>
      </c>
      <c r="V140" s="111">
        <f t="shared" si="109"/>
        <v>10000</v>
      </c>
      <c r="W140" s="111">
        <f t="shared" si="109"/>
        <v>10000</v>
      </c>
      <c r="X140" s="111">
        <f t="shared" si="109"/>
        <v>10000</v>
      </c>
      <c r="Y140" s="111">
        <f t="shared" si="109"/>
        <v>10000</v>
      </c>
      <c r="Z140" s="111">
        <f t="shared" si="109"/>
        <v>10000</v>
      </c>
      <c r="AA140" s="111">
        <f t="shared" si="109"/>
        <v>10000</v>
      </c>
      <c r="AB140" s="111">
        <f t="shared" si="109"/>
        <v>10000</v>
      </c>
      <c r="AC140" s="111">
        <f t="shared" si="109"/>
        <v>10000</v>
      </c>
      <c r="AD140" s="111">
        <f t="shared" si="109"/>
        <v>10000</v>
      </c>
      <c r="AE140" s="111">
        <f t="shared" si="109"/>
        <v>10000</v>
      </c>
      <c r="AF140" s="111">
        <f t="shared" si="109"/>
        <v>10000</v>
      </c>
      <c r="AG140" s="111">
        <f t="shared" si="109"/>
        <v>10000</v>
      </c>
      <c r="AH140" s="111">
        <f t="shared" si="109"/>
        <v>10000</v>
      </c>
      <c r="AI140" s="111">
        <f t="shared" si="109"/>
        <v>10000</v>
      </c>
      <c r="AJ140" s="111">
        <f t="shared" si="109"/>
        <v>10000</v>
      </c>
      <c r="AK140" s="111">
        <f t="shared" si="109"/>
        <v>10000</v>
      </c>
      <c r="AL140" s="111">
        <f t="shared" si="109"/>
        <v>10000</v>
      </c>
      <c r="AM140" s="111">
        <f t="shared" si="109"/>
        <v>10000</v>
      </c>
      <c r="AN140" s="111">
        <f t="shared" si="109"/>
        <v>10000</v>
      </c>
      <c r="AO140" s="111">
        <f t="shared" si="109"/>
        <v>10000</v>
      </c>
      <c r="AP140" s="111">
        <f t="shared" si="109"/>
        <v>10000</v>
      </c>
      <c r="AQ140" s="111">
        <f t="shared" si="109"/>
        <v>10000</v>
      </c>
      <c r="AR140" s="111">
        <f t="shared" si="109"/>
        <v>10000</v>
      </c>
      <c r="AS140" s="111">
        <f t="shared" si="109"/>
        <v>10000</v>
      </c>
      <c r="AT140" s="111">
        <f t="shared" si="109"/>
        <v>10000</v>
      </c>
      <c r="AU140" s="111">
        <f t="shared" si="109"/>
        <v>10000</v>
      </c>
      <c r="AV140" s="111">
        <f t="shared" si="109"/>
        <v>10000</v>
      </c>
      <c r="AW140" s="111">
        <f t="shared" si="109"/>
        <v>10000</v>
      </c>
      <c r="AX140" s="111">
        <f t="shared" si="109"/>
        <v>10000</v>
      </c>
      <c r="AY140" s="111">
        <f t="shared" si="109"/>
        <v>10000</v>
      </c>
      <c r="AZ140" s="111">
        <f t="shared" si="109"/>
        <v>10000</v>
      </c>
      <c r="BA140" s="111">
        <f t="shared" si="109"/>
        <v>10000</v>
      </c>
      <c r="BB140" s="111">
        <f t="shared" si="109"/>
        <v>10000</v>
      </c>
      <c r="BC140" s="111">
        <f t="shared" si="109"/>
        <v>10000</v>
      </c>
      <c r="BD140" s="111">
        <f t="shared" si="109"/>
        <v>10000</v>
      </c>
      <c r="BE140" s="111">
        <f t="shared" si="109"/>
        <v>10000</v>
      </c>
      <c r="BF140" s="111">
        <f t="shared" si="109"/>
        <v>10000</v>
      </c>
      <c r="BG140" s="111">
        <f t="shared" si="109"/>
        <v>10000</v>
      </c>
      <c r="BH140" s="111">
        <f t="shared" si="109"/>
        <v>10000</v>
      </c>
      <c r="BI140" s="111">
        <f t="shared" si="109"/>
        <v>10000</v>
      </c>
      <c r="BJ140" s="111">
        <f t="shared" si="109"/>
        <v>10000</v>
      </c>
      <c r="BK140" s="111">
        <f t="shared" si="109"/>
        <v>10000</v>
      </c>
      <c r="BL140" s="111">
        <f t="shared" si="109"/>
        <v>10000</v>
      </c>
      <c r="BM140" s="111">
        <f t="shared" si="109"/>
        <v>10000</v>
      </c>
      <c r="BN140" s="111">
        <f t="shared" si="109"/>
        <v>10000</v>
      </c>
      <c r="BO140" s="111">
        <f t="shared" si="109"/>
        <v>10000</v>
      </c>
      <c r="BP140" s="111">
        <f t="shared" si="109"/>
        <v>10000</v>
      </c>
      <c r="BQ140" s="111">
        <f t="shared" si="109"/>
        <v>10000</v>
      </c>
      <c r="BR140" s="111">
        <f t="shared" si="109"/>
        <v>10000</v>
      </c>
      <c r="BS140" s="111">
        <f t="shared" si="109"/>
        <v>10000</v>
      </c>
      <c r="BT140" s="111">
        <f t="shared" si="109"/>
        <v>10000</v>
      </c>
      <c r="BU140" s="111">
        <f t="shared" si="109"/>
        <v>10000</v>
      </c>
      <c r="BV140" s="111">
        <f t="shared" si="109"/>
        <v>10000</v>
      </c>
      <c r="BW140" s="111">
        <f t="shared" si="109"/>
        <v>10000</v>
      </c>
      <c r="BX140" s="111">
        <f t="shared" si="109"/>
        <v>10000</v>
      </c>
      <c r="BY140" s="111">
        <f t="shared" si="109"/>
        <v>10000</v>
      </c>
    </row>
    <row r="141" outlineLevel="1">
      <c r="A141" s="47"/>
      <c r="B141" s="114" t="s">
        <v>85</v>
      </c>
      <c r="C141" s="115">
        <v>75000.0</v>
      </c>
      <c r="D141" s="116">
        <v>0.2</v>
      </c>
      <c r="E141" s="117">
        <v>43983.0</v>
      </c>
      <c r="F141" s="111"/>
      <c r="G141" s="111"/>
      <c r="H141" s="111"/>
      <c r="I141" s="111"/>
      <c r="J141" s="111"/>
      <c r="K141" s="111"/>
      <c r="L141" s="111"/>
      <c r="M141" s="111"/>
      <c r="N141" s="111"/>
      <c r="O141" s="111"/>
      <c r="P141" s="111"/>
      <c r="Q141" s="111"/>
      <c r="R141" s="111">
        <f t="shared" ref="R141:BY141" si="110">IF(R$4&gt;=$E141,($C141/12)*(1+$D141),0)</f>
        <v>7500</v>
      </c>
      <c r="S141" s="111">
        <f t="shared" si="110"/>
        <v>7500</v>
      </c>
      <c r="T141" s="111">
        <f t="shared" si="110"/>
        <v>7500</v>
      </c>
      <c r="U141" s="111">
        <f t="shared" si="110"/>
        <v>7500</v>
      </c>
      <c r="V141" s="111">
        <f t="shared" si="110"/>
        <v>7500</v>
      </c>
      <c r="W141" s="111">
        <f t="shared" si="110"/>
        <v>7500</v>
      </c>
      <c r="X141" s="111">
        <f t="shared" si="110"/>
        <v>7500</v>
      </c>
      <c r="Y141" s="111">
        <f t="shared" si="110"/>
        <v>7500</v>
      </c>
      <c r="Z141" s="111">
        <f t="shared" si="110"/>
        <v>7500</v>
      </c>
      <c r="AA141" s="111">
        <f t="shared" si="110"/>
        <v>7500</v>
      </c>
      <c r="AB141" s="111">
        <f t="shared" si="110"/>
        <v>7500</v>
      </c>
      <c r="AC141" s="111">
        <f t="shared" si="110"/>
        <v>7500</v>
      </c>
      <c r="AD141" s="111">
        <f t="shared" si="110"/>
        <v>7500</v>
      </c>
      <c r="AE141" s="111">
        <f t="shared" si="110"/>
        <v>7500</v>
      </c>
      <c r="AF141" s="111">
        <f t="shared" si="110"/>
        <v>7500</v>
      </c>
      <c r="AG141" s="111">
        <f t="shared" si="110"/>
        <v>7500</v>
      </c>
      <c r="AH141" s="111">
        <f t="shared" si="110"/>
        <v>7500</v>
      </c>
      <c r="AI141" s="111">
        <f t="shared" si="110"/>
        <v>7500</v>
      </c>
      <c r="AJ141" s="111">
        <f t="shared" si="110"/>
        <v>7500</v>
      </c>
      <c r="AK141" s="111">
        <f t="shared" si="110"/>
        <v>7500</v>
      </c>
      <c r="AL141" s="111">
        <f t="shared" si="110"/>
        <v>7500</v>
      </c>
      <c r="AM141" s="111">
        <f t="shared" si="110"/>
        <v>7500</v>
      </c>
      <c r="AN141" s="111">
        <f t="shared" si="110"/>
        <v>7500</v>
      </c>
      <c r="AO141" s="111">
        <f t="shared" si="110"/>
        <v>7500</v>
      </c>
      <c r="AP141" s="111">
        <f t="shared" si="110"/>
        <v>7500</v>
      </c>
      <c r="AQ141" s="111">
        <f t="shared" si="110"/>
        <v>7500</v>
      </c>
      <c r="AR141" s="111">
        <f t="shared" si="110"/>
        <v>7500</v>
      </c>
      <c r="AS141" s="111">
        <f t="shared" si="110"/>
        <v>7500</v>
      </c>
      <c r="AT141" s="111">
        <f t="shared" si="110"/>
        <v>7500</v>
      </c>
      <c r="AU141" s="111">
        <f t="shared" si="110"/>
        <v>7500</v>
      </c>
      <c r="AV141" s="111">
        <f t="shared" si="110"/>
        <v>7500</v>
      </c>
      <c r="AW141" s="111">
        <f t="shared" si="110"/>
        <v>7500</v>
      </c>
      <c r="AX141" s="111">
        <f t="shared" si="110"/>
        <v>7500</v>
      </c>
      <c r="AY141" s="111">
        <f t="shared" si="110"/>
        <v>7500</v>
      </c>
      <c r="AZ141" s="111">
        <f t="shared" si="110"/>
        <v>7500</v>
      </c>
      <c r="BA141" s="111">
        <f t="shared" si="110"/>
        <v>7500</v>
      </c>
      <c r="BB141" s="111">
        <f t="shared" si="110"/>
        <v>7500</v>
      </c>
      <c r="BC141" s="111">
        <f t="shared" si="110"/>
        <v>7500</v>
      </c>
      <c r="BD141" s="111">
        <f t="shared" si="110"/>
        <v>7500</v>
      </c>
      <c r="BE141" s="111">
        <f t="shared" si="110"/>
        <v>7500</v>
      </c>
      <c r="BF141" s="111">
        <f t="shared" si="110"/>
        <v>7500</v>
      </c>
      <c r="BG141" s="111">
        <f t="shared" si="110"/>
        <v>7500</v>
      </c>
      <c r="BH141" s="111">
        <f t="shared" si="110"/>
        <v>7500</v>
      </c>
      <c r="BI141" s="111">
        <f t="shared" si="110"/>
        <v>7500</v>
      </c>
      <c r="BJ141" s="111">
        <f t="shared" si="110"/>
        <v>7500</v>
      </c>
      <c r="BK141" s="111">
        <f t="shared" si="110"/>
        <v>7500</v>
      </c>
      <c r="BL141" s="111">
        <f t="shared" si="110"/>
        <v>7500</v>
      </c>
      <c r="BM141" s="111">
        <f t="shared" si="110"/>
        <v>7500</v>
      </c>
      <c r="BN141" s="111">
        <f t="shared" si="110"/>
        <v>7500</v>
      </c>
      <c r="BO141" s="111">
        <f t="shared" si="110"/>
        <v>7500</v>
      </c>
      <c r="BP141" s="111">
        <f t="shared" si="110"/>
        <v>7500</v>
      </c>
      <c r="BQ141" s="111">
        <f t="shared" si="110"/>
        <v>7500</v>
      </c>
      <c r="BR141" s="111">
        <f t="shared" si="110"/>
        <v>7500</v>
      </c>
      <c r="BS141" s="111">
        <f t="shared" si="110"/>
        <v>7500</v>
      </c>
      <c r="BT141" s="111">
        <f t="shared" si="110"/>
        <v>7500</v>
      </c>
      <c r="BU141" s="111">
        <f t="shared" si="110"/>
        <v>7500</v>
      </c>
      <c r="BV141" s="111">
        <f t="shared" si="110"/>
        <v>7500</v>
      </c>
      <c r="BW141" s="111">
        <f t="shared" si="110"/>
        <v>7500</v>
      </c>
      <c r="BX141" s="111">
        <f t="shared" si="110"/>
        <v>7500</v>
      </c>
      <c r="BY141" s="111">
        <f t="shared" si="110"/>
        <v>7500</v>
      </c>
    </row>
    <row r="142" outlineLevel="1">
      <c r="A142" s="47"/>
      <c r="B142" s="114" t="s">
        <v>86</v>
      </c>
      <c r="C142" s="115">
        <v>50000.0</v>
      </c>
      <c r="D142" s="116">
        <v>0.2</v>
      </c>
      <c r="E142" s="117">
        <v>44075.0</v>
      </c>
      <c r="F142" s="111"/>
      <c r="G142" s="111"/>
      <c r="H142" s="111"/>
      <c r="I142" s="111"/>
      <c r="J142" s="111"/>
      <c r="K142" s="111"/>
      <c r="L142" s="111"/>
      <c r="M142" s="111"/>
      <c r="N142" s="111"/>
      <c r="O142" s="111"/>
      <c r="P142" s="111"/>
      <c r="Q142" s="111"/>
      <c r="R142" s="111">
        <f t="shared" ref="R142:BY142" si="111">IF(R$4&gt;=$E142,($C142/12)*(1+$D142),0)</f>
        <v>5000</v>
      </c>
      <c r="S142" s="111">
        <f t="shared" si="111"/>
        <v>5000</v>
      </c>
      <c r="T142" s="111">
        <f t="shared" si="111"/>
        <v>5000</v>
      </c>
      <c r="U142" s="111">
        <f t="shared" si="111"/>
        <v>5000</v>
      </c>
      <c r="V142" s="111">
        <f t="shared" si="111"/>
        <v>5000</v>
      </c>
      <c r="W142" s="111">
        <f t="shared" si="111"/>
        <v>5000</v>
      </c>
      <c r="X142" s="111">
        <f t="shared" si="111"/>
        <v>5000</v>
      </c>
      <c r="Y142" s="111">
        <f t="shared" si="111"/>
        <v>5000</v>
      </c>
      <c r="Z142" s="111">
        <f t="shared" si="111"/>
        <v>5000</v>
      </c>
      <c r="AA142" s="111">
        <f t="shared" si="111"/>
        <v>5000</v>
      </c>
      <c r="AB142" s="111">
        <f t="shared" si="111"/>
        <v>5000</v>
      </c>
      <c r="AC142" s="111">
        <f t="shared" si="111"/>
        <v>5000</v>
      </c>
      <c r="AD142" s="111">
        <f t="shared" si="111"/>
        <v>5000</v>
      </c>
      <c r="AE142" s="111">
        <f t="shared" si="111"/>
        <v>5000</v>
      </c>
      <c r="AF142" s="111">
        <f t="shared" si="111"/>
        <v>5000</v>
      </c>
      <c r="AG142" s="111">
        <f t="shared" si="111"/>
        <v>5000</v>
      </c>
      <c r="AH142" s="111">
        <f t="shared" si="111"/>
        <v>5000</v>
      </c>
      <c r="AI142" s="111">
        <f t="shared" si="111"/>
        <v>5000</v>
      </c>
      <c r="AJ142" s="111">
        <f t="shared" si="111"/>
        <v>5000</v>
      </c>
      <c r="AK142" s="111">
        <f t="shared" si="111"/>
        <v>5000</v>
      </c>
      <c r="AL142" s="111">
        <f t="shared" si="111"/>
        <v>5000</v>
      </c>
      <c r="AM142" s="111">
        <f t="shared" si="111"/>
        <v>5000</v>
      </c>
      <c r="AN142" s="111">
        <f t="shared" si="111"/>
        <v>5000</v>
      </c>
      <c r="AO142" s="111">
        <f t="shared" si="111"/>
        <v>5000</v>
      </c>
      <c r="AP142" s="111">
        <f t="shared" si="111"/>
        <v>5000</v>
      </c>
      <c r="AQ142" s="111">
        <f t="shared" si="111"/>
        <v>5000</v>
      </c>
      <c r="AR142" s="111">
        <f t="shared" si="111"/>
        <v>5000</v>
      </c>
      <c r="AS142" s="111">
        <f t="shared" si="111"/>
        <v>5000</v>
      </c>
      <c r="AT142" s="111">
        <f t="shared" si="111"/>
        <v>5000</v>
      </c>
      <c r="AU142" s="111">
        <f t="shared" si="111"/>
        <v>5000</v>
      </c>
      <c r="AV142" s="111">
        <f t="shared" si="111"/>
        <v>5000</v>
      </c>
      <c r="AW142" s="111">
        <f t="shared" si="111"/>
        <v>5000</v>
      </c>
      <c r="AX142" s="111">
        <f t="shared" si="111"/>
        <v>5000</v>
      </c>
      <c r="AY142" s="111">
        <f t="shared" si="111"/>
        <v>5000</v>
      </c>
      <c r="AZ142" s="111">
        <f t="shared" si="111"/>
        <v>5000</v>
      </c>
      <c r="BA142" s="111">
        <f t="shared" si="111"/>
        <v>5000</v>
      </c>
      <c r="BB142" s="111">
        <f t="shared" si="111"/>
        <v>5000</v>
      </c>
      <c r="BC142" s="111">
        <f t="shared" si="111"/>
        <v>5000</v>
      </c>
      <c r="BD142" s="111">
        <f t="shared" si="111"/>
        <v>5000</v>
      </c>
      <c r="BE142" s="111">
        <f t="shared" si="111"/>
        <v>5000</v>
      </c>
      <c r="BF142" s="111">
        <f t="shared" si="111"/>
        <v>5000</v>
      </c>
      <c r="BG142" s="111">
        <f t="shared" si="111"/>
        <v>5000</v>
      </c>
      <c r="BH142" s="111">
        <f t="shared" si="111"/>
        <v>5000</v>
      </c>
      <c r="BI142" s="111">
        <f t="shared" si="111"/>
        <v>5000</v>
      </c>
      <c r="BJ142" s="111">
        <f t="shared" si="111"/>
        <v>5000</v>
      </c>
      <c r="BK142" s="111">
        <f t="shared" si="111"/>
        <v>5000</v>
      </c>
      <c r="BL142" s="111">
        <f t="shared" si="111"/>
        <v>5000</v>
      </c>
      <c r="BM142" s="111">
        <f t="shared" si="111"/>
        <v>5000</v>
      </c>
      <c r="BN142" s="111">
        <f t="shared" si="111"/>
        <v>5000</v>
      </c>
      <c r="BO142" s="111">
        <f t="shared" si="111"/>
        <v>5000</v>
      </c>
      <c r="BP142" s="111">
        <f t="shared" si="111"/>
        <v>5000</v>
      </c>
      <c r="BQ142" s="111">
        <f t="shared" si="111"/>
        <v>5000</v>
      </c>
      <c r="BR142" s="111">
        <f t="shared" si="111"/>
        <v>5000</v>
      </c>
      <c r="BS142" s="111">
        <f t="shared" si="111"/>
        <v>5000</v>
      </c>
      <c r="BT142" s="111">
        <f t="shared" si="111"/>
        <v>5000</v>
      </c>
      <c r="BU142" s="111">
        <f t="shared" si="111"/>
        <v>5000</v>
      </c>
      <c r="BV142" s="111">
        <f t="shared" si="111"/>
        <v>5000</v>
      </c>
      <c r="BW142" s="111">
        <f t="shared" si="111"/>
        <v>5000</v>
      </c>
      <c r="BX142" s="111">
        <f t="shared" si="111"/>
        <v>5000</v>
      </c>
      <c r="BY142" s="111">
        <f t="shared" si="111"/>
        <v>5000</v>
      </c>
    </row>
    <row r="143" outlineLevel="1">
      <c r="A143" s="47"/>
      <c r="B143" s="114" t="s">
        <v>87</v>
      </c>
      <c r="C143" s="115">
        <v>80000.0</v>
      </c>
      <c r="D143" s="116">
        <v>0.2</v>
      </c>
      <c r="E143" s="117">
        <v>44166.0</v>
      </c>
      <c r="F143" s="111"/>
      <c r="G143" s="111"/>
      <c r="H143" s="111"/>
      <c r="I143" s="111"/>
      <c r="J143" s="111"/>
      <c r="K143" s="111"/>
      <c r="L143" s="111"/>
      <c r="M143" s="111"/>
      <c r="N143" s="111"/>
      <c r="O143" s="111"/>
      <c r="P143" s="111"/>
      <c r="Q143" s="111"/>
      <c r="R143" s="111">
        <f t="shared" ref="R143:BY143" si="112">IF(R$4&gt;=$E143,($C143/12)*(1+$D143),0)</f>
        <v>8000</v>
      </c>
      <c r="S143" s="111">
        <f t="shared" si="112"/>
        <v>8000</v>
      </c>
      <c r="T143" s="111">
        <f t="shared" si="112"/>
        <v>8000</v>
      </c>
      <c r="U143" s="111">
        <f t="shared" si="112"/>
        <v>8000</v>
      </c>
      <c r="V143" s="111">
        <f t="shared" si="112"/>
        <v>8000</v>
      </c>
      <c r="W143" s="111">
        <f t="shared" si="112"/>
        <v>8000</v>
      </c>
      <c r="X143" s="111">
        <f t="shared" si="112"/>
        <v>8000</v>
      </c>
      <c r="Y143" s="111">
        <f t="shared" si="112"/>
        <v>8000</v>
      </c>
      <c r="Z143" s="111">
        <f t="shared" si="112"/>
        <v>8000</v>
      </c>
      <c r="AA143" s="111">
        <f t="shared" si="112"/>
        <v>8000</v>
      </c>
      <c r="AB143" s="111">
        <f t="shared" si="112"/>
        <v>8000</v>
      </c>
      <c r="AC143" s="111">
        <f t="shared" si="112"/>
        <v>8000</v>
      </c>
      <c r="AD143" s="111">
        <f t="shared" si="112"/>
        <v>8000</v>
      </c>
      <c r="AE143" s="111">
        <f t="shared" si="112"/>
        <v>8000</v>
      </c>
      <c r="AF143" s="111">
        <f t="shared" si="112"/>
        <v>8000</v>
      </c>
      <c r="AG143" s="111">
        <f t="shared" si="112"/>
        <v>8000</v>
      </c>
      <c r="AH143" s="111">
        <f t="shared" si="112"/>
        <v>8000</v>
      </c>
      <c r="AI143" s="111">
        <f t="shared" si="112"/>
        <v>8000</v>
      </c>
      <c r="AJ143" s="111">
        <f t="shared" si="112"/>
        <v>8000</v>
      </c>
      <c r="AK143" s="111">
        <f t="shared" si="112"/>
        <v>8000</v>
      </c>
      <c r="AL143" s="111">
        <f t="shared" si="112"/>
        <v>8000</v>
      </c>
      <c r="AM143" s="111">
        <f t="shared" si="112"/>
        <v>8000</v>
      </c>
      <c r="AN143" s="111">
        <f t="shared" si="112"/>
        <v>8000</v>
      </c>
      <c r="AO143" s="111">
        <f t="shared" si="112"/>
        <v>8000</v>
      </c>
      <c r="AP143" s="111">
        <f t="shared" si="112"/>
        <v>8000</v>
      </c>
      <c r="AQ143" s="111">
        <f t="shared" si="112"/>
        <v>8000</v>
      </c>
      <c r="AR143" s="111">
        <f t="shared" si="112"/>
        <v>8000</v>
      </c>
      <c r="AS143" s="111">
        <f t="shared" si="112"/>
        <v>8000</v>
      </c>
      <c r="AT143" s="111">
        <f t="shared" si="112"/>
        <v>8000</v>
      </c>
      <c r="AU143" s="111">
        <f t="shared" si="112"/>
        <v>8000</v>
      </c>
      <c r="AV143" s="111">
        <f t="shared" si="112"/>
        <v>8000</v>
      </c>
      <c r="AW143" s="111">
        <f t="shared" si="112"/>
        <v>8000</v>
      </c>
      <c r="AX143" s="111">
        <f t="shared" si="112"/>
        <v>8000</v>
      </c>
      <c r="AY143" s="111">
        <f t="shared" si="112"/>
        <v>8000</v>
      </c>
      <c r="AZ143" s="111">
        <f t="shared" si="112"/>
        <v>8000</v>
      </c>
      <c r="BA143" s="111">
        <f t="shared" si="112"/>
        <v>8000</v>
      </c>
      <c r="BB143" s="111">
        <f t="shared" si="112"/>
        <v>8000</v>
      </c>
      <c r="BC143" s="111">
        <f t="shared" si="112"/>
        <v>8000</v>
      </c>
      <c r="BD143" s="111">
        <f t="shared" si="112"/>
        <v>8000</v>
      </c>
      <c r="BE143" s="111">
        <f t="shared" si="112"/>
        <v>8000</v>
      </c>
      <c r="BF143" s="111">
        <f t="shared" si="112"/>
        <v>8000</v>
      </c>
      <c r="BG143" s="111">
        <f t="shared" si="112"/>
        <v>8000</v>
      </c>
      <c r="BH143" s="111">
        <f t="shared" si="112"/>
        <v>8000</v>
      </c>
      <c r="BI143" s="111">
        <f t="shared" si="112"/>
        <v>8000</v>
      </c>
      <c r="BJ143" s="111">
        <f t="shared" si="112"/>
        <v>8000</v>
      </c>
      <c r="BK143" s="111">
        <f t="shared" si="112"/>
        <v>8000</v>
      </c>
      <c r="BL143" s="111">
        <f t="shared" si="112"/>
        <v>8000</v>
      </c>
      <c r="BM143" s="111">
        <f t="shared" si="112"/>
        <v>8000</v>
      </c>
      <c r="BN143" s="111">
        <f t="shared" si="112"/>
        <v>8000</v>
      </c>
      <c r="BO143" s="111">
        <f t="shared" si="112"/>
        <v>8000</v>
      </c>
      <c r="BP143" s="111">
        <f t="shared" si="112"/>
        <v>8000</v>
      </c>
      <c r="BQ143" s="111">
        <f t="shared" si="112"/>
        <v>8000</v>
      </c>
      <c r="BR143" s="111">
        <f t="shared" si="112"/>
        <v>8000</v>
      </c>
      <c r="BS143" s="111">
        <f t="shared" si="112"/>
        <v>8000</v>
      </c>
      <c r="BT143" s="111">
        <f t="shared" si="112"/>
        <v>8000</v>
      </c>
      <c r="BU143" s="111">
        <f t="shared" si="112"/>
        <v>8000</v>
      </c>
      <c r="BV143" s="111">
        <f t="shared" si="112"/>
        <v>8000</v>
      </c>
      <c r="BW143" s="111">
        <f t="shared" si="112"/>
        <v>8000</v>
      </c>
      <c r="BX143" s="111">
        <f t="shared" si="112"/>
        <v>8000</v>
      </c>
      <c r="BY143" s="111">
        <f t="shared" si="112"/>
        <v>8000</v>
      </c>
    </row>
    <row r="144" outlineLevel="1">
      <c r="A144" s="47"/>
      <c r="B144" s="114" t="s">
        <v>88</v>
      </c>
      <c r="C144" s="115">
        <v>90000.0</v>
      </c>
      <c r="D144" s="116">
        <v>0.2</v>
      </c>
      <c r="E144" s="117">
        <v>44256.0</v>
      </c>
      <c r="F144" s="111"/>
      <c r="G144" s="111"/>
      <c r="H144" s="111"/>
      <c r="I144" s="111"/>
      <c r="J144" s="111"/>
      <c r="K144" s="111"/>
      <c r="L144" s="111"/>
      <c r="M144" s="111"/>
      <c r="N144" s="111"/>
      <c r="O144" s="111"/>
      <c r="P144" s="111"/>
      <c r="Q144" s="111"/>
      <c r="R144" s="111">
        <f t="shared" ref="R144:BY144" si="113">IF(R$4&gt;=$E144,($C144/12)*(1+$D144),0)</f>
        <v>9000</v>
      </c>
      <c r="S144" s="111">
        <f t="shared" si="113"/>
        <v>9000</v>
      </c>
      <c r="T144" s="111">
        <f t="shared" si="113"/>
        <v>9000</v>
      </c>
      <c r="U144" s="111">
        <f t="shared" si="113"/>
        <v>9000</v>
      </c>
      <c r="V144" s="111">
        <f t="shared" si="113"/>
        <v>9000</v>
      </c>
      <c r="W144" s="111">
        <f t="shared" si="113"/>
        <v>9000</v>
      </c>
      <c r="X144" s="111">
        <f t="shared" si="113"/>
        <v>9000</v>
      </c>
      <c r="Y144" s="111">
        <f t="shared" si="113"/>
        <v>9000</v>
      </c>
      <c r="Z144" s="111">
        <f t="shared" si="113"/>
        <v>9000</v>
      </c>
      <c r="AA144" s="111">
        <f t="shared" si="113"/>
        <v>9000</v>
      </c>
      <c r="AB144" s="111">
        <f t="shared" si="113"/>
        <v>9000</v>
      </c>
      <c r="AC144" s="111">
        <f t="shared" si="113"/>
        <v>9000</v>
      </c>
      <c r="AD144" s="111">
        <f t="shared" si="113"/>
        <v>9000</v>
      </c>
      <c r="AE144" s="111">
        <f t="shared" si="113"/>
        <v>9000</v>
      </c>
      <c r="AF144" s="111">
        <f t="shared" si="113"/>
        <v>9000</v>
      </c>
      <c r="AG144" s="111">
        <f t="shared" si="113"/>
        <v>9000</v>
      </c>
      <c r="AH144" s="111">
        <f t="shared" si="113"/>
        <v>9000</v>
      </c>
      <c r="AI144" s="111">
        <f t="shared" si="113"/>
        <v>9000</v>
      </c>
      <c r="AJ144" s="111">
        <f t="shared" si="113"/>
        <v>9000</v>
      </c>
      <c r="AK144" s="111">
        <f t="shared" si="113"/>
        <v>9000</v>
      </c>
      <c r="AL144" s="111">
        <f t="shared" si="113"/>
        <v>9000</v>
      </c>
      <c r="AM144" s="111">
        <f t="shared" si="113"/>
        <v>9000</v>
      </c>
      <c r="AN144" s="111">
        <f t="shared" si="113"/>
        <v>9000</v>
      </c>
      <c r="AO144" s="111">
        <f t="shared" si="113"/>
        <v>9000</v>
      </c>
      <c r="AP144" s="111">
        <f t="shared" si="113"/>
        <v>9000</v>
      </c>
      <c r="AQ144" s="111">
        <f t="shared" si="113"/>
        <v>9000</v>
      </c>
      <c r="AR144" s="111">
        <f t="shared" si="113"/>
        <v>9000</v>
      </c>
      <c r="AS144" s="111">
        <f t="shared" si="113"/>
        <v>9000</v>
      </c>
      <c r="AT144" s="111">
        <f t="shared" si="113"/>
        <v>9000</v>
      </c>
      <c r="AU144" s="111">
        <f t="shared" si="113"/>
        <v>9000</v>
      </c>
      <c r="AV144" s="111">
        <f t="shared" si="113"/>
        <v>9000</v>
      </c>
      <c r="AW144" s="111">
        <f t="shared" si="113"/>
        <v>9000</v>
      </c>
      <c r="AX144" s="111">
        <f t="shared" si="113"/>
        <v>9000</v>
      </c>
      <c r="AY144" s="111">
        <f t="shared" si="113"/>
        <v>9000</v>
      </c>
      <c r="AZ144" s="111">
        <f t="shared" si="113"/>
        <v>9000</v>
      </c>
      <c r="BA144" s="111">
        <f t="shared" si="113"/>
        <v>9000</v>
      </c>
      <c r="BB144" s="111">
        <f t="shared" si="113"/>
        <v>9000</v>
      </c>
      <c r="BC144" s="111">
        <f t="shared" si="113"/>
        <v>9000</v>
      </c>
      <c r="BD144" s="111">
        <f t="shared" si="113"/>
        <v>9000</v>
      </c>
      <c r="BE144" s="111">
        <f t="shared" si="113"/>
        <v>9000</v>
      </c>
      <c r="BF144" s="111">
        <f t="shared" si="113"/>
        <v>9000</v>
      </c>
      <c r="BG144" s="111">
        <f t="shared" si="113"/>
        <v>9000</v>
      </c>
      <c r="BH144" s="111">
        <f t="shared" si="113"/>
        <v>9000</v>
      </c>
      <c r="BI144" s="111">
        <f t="shared" si="113"/>
        <v>9000</v>
      </c>
      <c r="BJ144" s="111">
        <f t="shared" si="113"/>
        <v>9000</v>
      </c>
      <c r="BK144" s="111">
        <f t="shared" si="113"/>
        <v>9000</v>
      </c>
      <c r="BL144" s="111">
        <f t="shared" si="113"/>
        <v>9000</v>
      </c>
      <c r="BM144" s="111">
        <f t="shared" si="113"/>
        <v>9000</v>
      </c>
      <c r="BN144" s="111">
        <f t="shared" si="113"/>
        <v>9000</v>
      </c>
      <c r="BO144" s="111">
        <f t="shared" si="113"/>
        <v>9000</v>
      </c>
      <c r="BP144" s="111">
        <f t="shared" si="113"/>
        <v>9000</v>
      </c>
      <c r="BQ144" s="111">
        <f t="shared" si="113"/>
        <v>9000</v>
      </c>
      <c r="BR144" s="111">
        <f t="shared" si="113"/>
        <v>9000</v>
      </c>
      <c r="BS144" s="111">
        <f t="shared" si="113"/>
        <v>9000</v>
      </c>
      <c r="BT144" s="111">
        <f t="shared" si="113"/>
        <v>9000</v>
      </c>
      <c r="BU144" s="111">
        <f t="shared" si="113"/>
        <v>9000</v>
      </c>
      <c r="BV144" s="111">
        <f t="shared" si="113"/>
        <v>9000</v>
      </c>
      <c r="BW144" s="111">
        <f t="shared" si="113"/>
        <v>9000</v>
      </c>
      <c r="BX144" s="111">
        <f t="shared" si="113"/>
        <v>9000</v>
      </c>
      <c r="BY144" s="111">
        <f t="shared" si="113"/>
        <v>9000</v>
      </c>
    </row>
    <row r="145" outlineLevel="1">
      <c r="A145" s="47"/>
      <c r="B145" s="114" t="s">
        <v>89</v>
      </c>
      <c r="C145" s="115">
        <v>45000.0</v>
      </c>
      <c r="D145" s="116">
        <v>0.2</v>
      </c>
      <c r="E145" s="117">
        <v>44348.0</v>
      </c>
      <c r="F145" s="111"/>
      <c r="G145" s="111"/>
      <c r="H145" s="111"/>
      <c r="I145" s="111"/>
      <c r="J145" s="111"/>
      <c r="K145" s="111"/>
      <c r="L145" s="111"/>
      <c r="M145" s="111"/>
      <c r="N145" s="111"/>
      <c r="O145" s="111"/>
      <c r="P145" s="111"/>
      <c r="Q145" s="111"/>
      <c r="R145" s="111">
        <f t="shared" ref="R145:BY145" si="114">IF(R$4&gt;=$E145,($C145/12)*(1+$D145),0)</f>
        <v>4500</v>
      </c>
      <c r="S145" s="111">
        <f t="shared" si="114"/>
        <v>4500</v>
      </c>
      <c r="T145" s="111">
        <f t="shared" si="114"/>
        <v>4500</v>
      </c>
      <c r="U145" s="111">
        <f t="shared" si="114"/>
        <v>4500</v>
      </c>
      <c r="V145" s="111">
        <f t="shared" si="114"/>
        <v>4500</v>
      </c>
      <c r="W145" s="111">
        <f t="shared" si="114"/>
        <v>4500</v>
      </c>
      <c r="X145" s="111">
        <f t="shared" si="114"/>
        <v>4500</v>
      </c>
      <c r="Y145" s="111">
        <f t="shared" si="114"/>
        <v>4500</v>
      </c>
      <c r="Z145" s="111">
        <f t="shared" si="114"/>
        <v>4500</v>
      </c>
      <c r="AA145" s="111">
        <f t="shared" si="114"/>
        <v>4500</v>
      </c>
      <c r="AB145" s="111">
        <f t="shared" si="114"/>
        <v>4500</v>
      </c>
      <c r="AC145" s="111">
        <f t="shared" si="114"/>
        <v>4500</v>
      </c>
      <c r="AD145" s="111">
        <f t="shared" si="114"/>
        <v>4500</v>
      </c>
      <c r="AE145" s="111">
        <f t="shared" si="114"/>
        <v>4500</v>
      </c>
      <c r="AF145" s="111">
        <f t="shared" si="114"/>
        <v>4500</v>
      </c>
      <c r="AG145" s="111">
        <f t="shared" si="114"/>
        <v>4500</v>
      </c>
      <c r="AH145" s="111">
        <f t="shared" si="114"/>
        <v>4500</v>
      </c>
      <c r="AI145" s="111">
        <f t="shared" si="114"/>
        <v>4500</v>
      </c>
      <c r="AJ145" s="111">
        <f t="shared" si="114"/>
        <v>4500</v>
      </c>
      <c r="AK145" s="111">
        <f t="shared" si="114"/>
        <v>4500</v>
      </c>
      <c r="AL145" s="111">
        <f t="shared" si="114"/>
        <v>4500</v>
      </c>
      <c r="AM145" s="111">
        <f t="shared" si="114"/>
        <v>4500</v>
      </c>
      <c r="AN145" s="111">
        <f t="shared" si="114"/>
        <v>4500</v>
      </c>
      <c r="AO145" s="111">
        <f t="shared" si="114"/>
        <v>4500</v>
      </c>
      <c r="AP145" s="111">
        <f t="shared" si="114"/>
        <v>4500</v>
      </c>
      <c r="AQ145" s="111">
        <f t="shared" si="114"/>
        <v>4500</v>
      </c>
      <c r="AR145" s="111">
        <f t="shared" si="114"/>
        <v>4500</v>
      </c>
      <c r="AS145" s="111">
        <f t="shared" si="114"/>
        <v>4500</v>
      </c>
      <c r="AT145" s="111">
        <f t="shared" si="114"/>
        <v>4500</v>
      </c>
      <c r="AU145" s="111">
        <f t="shared" si="114"/>
        <v>4500</v>
      </c>
      <c r="AV145" s="111">
        <f t="shared" si="114"/>
        <v>4500</v>
      </c>
      <c r="AW145" s="111">
        <f t="shared" si="114"/>
        <v>4500</v>
      </c>
      <c r="AX145" s="111">
        <f t="shared" si="114"/>
        <v>4500</v>
      </c>
      <c r="AY145" s="111">
        <f t="shared" si="114"/>
        <v>4500</v>
      </c>
      <c r="AZ145" s="111">
        <f t="shared" si="114"/>
        <v>4500</v>
      </c>
      <c r="BA145" s="111">
        <f t="shared" si="114"/>
        <v>4500</v>
      </c>
      <c r="BB145" s="111">
        <f t="shared" si="114"/>
        <v>4500</v>
      </c>
      <c r="BC145" s="111">
        <f t="shared" si="114"/>
        <v>4500</v>
      </c>
      <c r="BD145" s="111">
        <f t="shared" si="114"/>
        <v>4500</v>
      </c>
      <c r="BE145" s="111">
        <f t="shared" si="114"/>
        <v>4500</v>
      </c>
      <c r="BF145" s="111">
        <f t="shared" si="114"/>
        <v>4500</v>
      </c>
      <c r="BG145" s="111">
        <f t="shared" si="114"/>
        <v>4500</v>
      </c>
      <c r="BH145" s="111">
        <f t="shared" si="114"/>
        <v>4500</v>
      </c>
      <c r="BI145" s="111">
        <f t="shared" si="114"/>
        <v>4500</v>
      </c>
      <c r="BJ145" s="111">
        <f t="shared" si="114"/>
        <v>4500</v>
      </c>
      <c r="BK145" s="111">
        <f t="shared" si="114"/>
        <v>4500</v>
      </c>
      <c r="BL145" s="111">
        <f t="shared" si="114"/>
        <v>4500</v>
      </c>
      <c r="BM145" s="111">
        <f t="shared" si="114"/>
        <v>4500</v>
      </c>
      <c r="BN145" s="111">
        <f t="shared" si="114"/>
        <v>4500</v>
      </c>
      <c r="BO145" s="111">
        <f t="shared" si="114"/>
        <v>4500</v>
      </c>
      <c r="BP145" s="111">
        <f t="shared" si="114"/>
        <v>4500</v>
      </c>
      <c r="BQ145" s="111">
        <f t="shared" si="114"/>
        <v>4500</v>
      </c>
      <c r="BR145" s="111">
        <f t="shared" si="114"/>
        <v>4500</v>
      </c>
      <c r="BS145" s="111">
        <f t="shared" si="114"/>
        <v>4500</v>
      </c>
      <c r="BT145" s="111">
        <f t="shared" si="114"/>
        <v>4500</v>
      </c>
      <c r="BU145" s="111">
        <f t="shared" si="114"/>
        <v>4500</v>
      </c>
      <c r="BV145" s="111">
        <f t="shared" si="114"/>
        <v>4500</v>
      </c>
      <c r="BW145" s="111">
        <f t="shared" si="114"/>
        <v>4500</v>
      </c>
      <c r="BX145" s="111">
        <f t="shared" si="114"/>
        <v>4500</v>
      </c>
      <c r="BY145" s="111">
        <f t="shared" si="114"/>
        <v>4500</v>
      </c>
    </row>
    <row r="146" outlineLevel="1">
      <c r="A146" s="47"/>
      <c r="B146" s="114" t="s">
        <v>90</v>
      </c>
      <c r="C146" s="115">
        <v>75000.0</v>
      </c>
      <c r="D146" s="116">
        <v>0.2</v>
      </c>
      <c r="E146" s="117">
        <v>43983.0</v>
      </c>
      <c r="F146" s="111"/>
      <c r="G146" s="111"/>
      <c r="H146" s="111"/>
      <c r="I146" s="111"/>
      <c r="J146" s="111"/>
      <c r="K146" s="111"/>
      <c r="L146" s="111"/>
      <c r="M146" s="111"/>
      <c r="N146" s="111"/>
      <c r="O146" s="111"/>
      <c r="P146" s="111"/>
      <c r="Q146" s="111"/>
      <c r="R146" s="111">
        <f t="shared" ref="R146:BY146" si="115">IF(R$4&gt;=$E146,($C146/12)*(1+$D146),0)</f>
        <v>7500</v>
      </c>
      <c r="S146" s="111">
        <f t="shared" si="115"/>
        <v>7500</v>
      </c>
      <c r="T146" s="111">
        <f t="shared" si="115"/>
        <v>7500</v>
      </c>
      <c r="U146" s="111">
        <f t="shared" si="115"/>
        <v>7500</v>
      </c>
      <c r="V146" s="111">
        <f t="shared" si="115"/>
        <v>7500</v>
      </c>
      <c r="W146" s="111">
        <f t="shared" si="115"/>
        <v>7500</v>
      </c>
      <c r="X146" s="111">
        <f t="shared" si="115"/>
        <v>7500</v>
      </c>
      <c r="Y146" s="111">
        <f t="shared" si="115"/>
        <v>7500</v>
      </c>
      <c r="Z146" s="111">
        <f t="shared" si="115"/>
        <v>7500</v>
      </c>
      <c r="AA146" s="111">
        <f t="shared" si="115"/>
        <v>7500</v>
      </c>
      <c r="AB146" s="111">
        <f t="shared" si="115"/>
        <v>7500</v>
      </c>
      <c r="AC146" s="111">
        <f t="shared" si="115"/>
        <v>7500</v>
      </c>
      <c r="AD146" s="111">
        <f t="shared" si="115"/>
        <v>7500</v>
      </c>
      <c r="AE146" s="111">
        <f t="shared" si="115"/>
        <v>7500</v>
      </c>
      <c r="AF146" s="111">
        <f t="shared" si="115"/>
        <v>7500</v>
      </c>
      <c r="AG146" s="111">
        <f t="shared" si="115"/>
        <v>7500</v>
      </c>
      <c r="AH146" s="111">
        <f t="shared" si="115"/>
        <v>7500</v>
      </c>
      <c r="AI146" s="111">
        <f t="shared" si="115"/>
        <v>7500</v>
      </c>
      <c r="AJ146" s="111">
        <f t="shared" si="115"/>
        <v>7500</v>
      </c>
      <c r="AK146" s="111">
        <f t="shared" si="115"/>
        <v>7500</v>
      </c>
      <c r="AL146" s="111">
        <f t="shared" si="115"/>
        <v>7500</v>
      </c>
      <c r="AM146" s="111">
        <f t="shared" si="115"/>
        <v>7500</v>
      </c>
      <c r="AN146" s="111">
        <f t="shared" si="115"/>
        <v>7500</v>
      </c>
      <c r="AO146" s="111">
        <f t="shared" si="115"/>
        <v>7500</v>
      </c>
      <c r="AP146" s="111">
        <f t="shared" si="115"/>
        <v>7500</v>
      </c>
      <c r="AQ146" s="111">
        <f t="shared" si="115"/>
        <v>7500</v>
      </c>
      <c r="AR146" s="111">
        <f t="shared" si="115"/>
        <v>7500</v>
      </c>
      <c r="AS146" s="111">
        <f t="shared" si="115"/>
        <v>7500</v>
      </c>
      <c r="AT146" s="111">
        <f t="shared" si="115"/>
        <v>7500</v>
      </c>
      <c r="AU146" s="111">
        <f t="shared" si="115"/>
        <v>7500</v>
      </c>
      <c r="AV146" s="111">
        <f t="shared" si="115"/>
        <v>7500</v>
      </c>
      <c r="AW146" s="111">
        <f t="shared" si="115"/>
        <v>7500</v>
      </c>
      <c r="AX146" s="111">
        <f t="shared" si="115"/>
        <v>7500</v>
      </c>
      <c r="AY146" s="111">
        <f t="shared" si="115"/>
        <v>7500</v>
      </c>
      <c r="AZ146" s="111">
        <f t="shared" si="115"/>
        <v>7500</v>
      </c>
      <c r="BA146" s="111">
        <f t="shared" si="115"/>
        <v>7500</v>
      </c>
      <c r="BB146" s="111">
        <f t="shared" si="115"/>
        <v>7500</v>
      </c>
      <c r="BC146" s="111">
        <f t="shared" si="115"/>
        <v>7500</v>
      </c>
      <c r="BD146" s="111">
        <f t="shared" si="115"/>
        <v>7500</v>
      </c>
      <c r="BE146" s="111">
        <f t="shared" si="115"/>
        <v>7500</v>
      </c>
      <c r="BF146" s="111">
        <f t="shared" si="115"/>
        <v>7500</v>
      </c>
      <c r="BG146" s="111">
        <f t="shared" si="115"/>
        <v>7500</v>
      </c>
      <c r="BH146" s="111">
        <f t="shared" si="115"/>
        <v>7500</v>
      </c>
      <c r="BI146" s="111">
        <f t="shared" si="115"/>
        <v>7500</v>
      </c>
      <c r="BJ146" s="111">
        <f t="shared" si="115"/>
        <v>7500</v>
      </c>
      <c r="BK146" s="111">
        <f t="shared" si="115"/>
        <v>7500</v>
      </c>
      <c r="BL146" s="111">
        <f t="shared" si="115"/>
        <v>7500</v>
      </c>
      <c r="BM146" s="111">
        <f t="shared" si="115"/>
        <v>7500</v>
      </c>
      <c r="BN146" s="111">
        <f t="shared" si="115"/>
        <v>7500</v>
      </c>
      <c r="BO146" s="111">
        <f t="shared" si="115"/>
        <v>7500</v>
      </c>
      <c r="BP146" s="111">
        <f t="shared" si="115"/>
        <v>7500</v>
      </c>
      <c r="BQ146" s="111">
        <f t="shared" si="115"/>
        <v>7500</v>
      </c>
      <c r="BR146" s="111">
        <f t="shared" si="115"/>
        <v>7500</v>
      </c>
      <c r="BS146" s="111">
        <f t="shared" si="115"/>
        <v>7500</v>
      </c>
      <c r="BT146" s="111">
        <f t="shared" si="115"/>
        <v>7500</v>
      </c>
      <c r="BU146" s="111">
        <f t="shared" si="115"/>
        <v>7500</v>
      </c>
      <c r="BV146" s="111">
        <f t="shared" si="115"/>
        <v>7500</v>
      </c>
      <c r="BW146" s="111">
        <f t="shared" si="115"/>
        <v>7500</v>
      </c>
      <c r="BX146" s="111">
        <f t="shared" si="115"/>
        <v>7500</v>
      </c>
      <c r="BY146" s="111">
        <f t="shared" si="115"/>
        <v>7500</v>
      </c>
    </row>
    <row r="147" outlineLevel="1">
      <c r="A147" s="47"/>
      <c r="B147" s="114" t="s">
        <v>91</v>
      </c>
      <c r="C147" s="115">
        <v>50000.0</v>
      </c>
      <c r="D147" s="116">
        <v>0.2</v>
      </c>
      <c r="E147" s="117">
        <v>44075.0</v>
      </c>
      <c r="F147" s="111"/>
      <c r="G147" s="111"/>
      <c r="H147" s="111"/>
      <c r="I147" s="111"/>
      <c r="J147" s="111"/>
      <c r="K147" s="111"/>
      <c r="L147" s="111"/>
      <c r="M147" s="111"/>
      <c r="N147" s="111"/>
      <c r="O147" s="111"/>
      <c r="P147" s="111"/>
      <c r="Q147" s="111"/>
      <c r="R147" s="111">
        <f t="shared" ref="R147:BY147" si="116">IF(R$4&gt;=$E147,($C147/12)*(1+$D147),0)</f>
        <v>5000</v>
      </c>
      <c r="S147" s="111">
        <f t="shared" si="116"/>
        <v>5000</v>
      </c>
      <c r="T147" s="111">
        <f t="shared" si="116"/>
        <v>5000</v>
      </c>
      <c r="U147" s="111">
        <f t="shared" si="116"/>
        <v>5000</v>
      </c>
      <c r="V147" s="111">
        <f t="shared" si="116"/>
        <v>5000</v>
      </c>
      <c r="W147" s="111">
        <f t="shared" si="116"/>
        <v>5000</v>
      </c>
      <c r="X147" s="111">
        <f t="shared" si="116"/>
        <v>5000</v>
      </c>
      <c r="Y147" s="111">
        <f t="shared" si="116"/>
        <v>5000</v>
      </c>
      <c r="Z147" s="111">
        <f t="shared" si="116"/>
        <v>5000</v>
      </c>
      <c r="AA147" s="111">
        <f t="shared" si="116"/>
        <v>5000</v>
      </c>
      <c r="AB147" s="111">
        <f t="shared" si="116"/>
        <v>5000</v>
      </c>
      <c r="AC147" s="111">
        <f t="shared" si="116"/>
        <v>5000</v>
      </c>
      <c r="AD147" s="111">
        <f t="shared" si="116"/>
        <v>5000</v>
      </c>
      <c r="AE147" s="111">
        <f t="shared" si="116"/>
        <v>5000</v>
      </c>
      <c r="AF147" s="111">
        <f t="shared" si="116"/>
        <v>5000</v>
      </c>
      <c r="AG147" s="111">
        <f t="shared" si="116"/>
        <v>5000</v>
      </c>
      <c r="AH147" s="111">
        <f t="shared" si="116"/>
        <v>5000</v>
      </c>
      <c r="AI147" s="111">
        <f t="shared" si="116"/>
        <v>5000</v>
      </c>
      <c r="AJ147" s="111">
        <f t="shared" si="116"/>
        <v>5000</v>
      </c>
      <c r="AK147" s="111">
        <f t="shared" si="116"/>
        <v>5000</v>
      </c>
      <c r="AL147" s="111">
        <f t="shared" si="116"/>
        <v>5000</v>
      </c>
      <c r="AM147" s="111">
        <f t="shared" si="116"/>
        <v>5000</v>
      </c>
      <c r="AN147" s="111">
        <f t="shared" si="116"/>
        <v>5000</v>
      </c>
      <c r="AO147" s="111">
        <f t="shared" si="116"/>
        <v>5000</v>
      </c>
      <c r="AP147" s="111">
        <f t="shared" si="116"/>
        <v>5000</v>
      </c>
      <c r="AQ147" s="111">
        <f t="shared" si="116"/>
        <v>5000</v>
      </c>
      <c r="AR147" s="111">
        <f t="shared" si="116"/>
        <v>5000</v>
      </c>
      <c r="AS147" s="111">
        <f t="shared" si="116"/>
        <v>5000</v>
      </c>
      <c r="AT147" s="111">
        <f t="shared" si="116"/>
        <v>5000</v>
      </c>
      <c r="AU147" s="111">
        <f t="shared" si="116"/>
        <v>5000</v>
      </c>
      <c r="AV147" s="111">
        <f t="shared" si="116"/>
        <v>5000</v>
      </c>
      <c r="AW147" s="111">
        <f t="shared" si="116"/>
        <v>5000</v>
      </c>
      <c r="AX147" s="111">
        <f t="shared" si="116"/>
        <v>5000</v>
      </c>
      <c r="AY147" s="111">
        <f t="shared" si="116"/>
        <v>5000</v>
      </c>
      <c r="AZ147" s="111">
        <f t="shared" si="116"/>
        <v>5000</v>
      </c>
      <c r="BA147" s="111">
        <f t="shared" si="116"/>
        <v>5000</v>
      </c>
      <c r="BB147" s="111">
        <f t="shared" si="116"/>
        <v>5000</v>
      </c>
      <c r="BC147" s="111">
        <f t="shared" si="116"/>
        <v>5000</v>
      </c>
      <c r="BD147" s="111">
        <f t="shared" si="116"/>
        <v>5000</v>
      </c>
      <c r="BE147" s="111">
        <f t="shared" si="116"/>
        <v>5000</v>
      </c>
      <c r="BF147" s="111">
        <f t="shared" si="116"/>
        <v>5000</v>
      </c>
      <c r="BG147" s="111">
        <f t="shared" si="116"/>
        <v>5000</v>
      </c>
      <c r="BH147" s="111">
        <f t="shared" si="116"/>
        <v>5000</v>
      </c>
      <c r="BI147" s="111">
        <f t="shared" si="116"/>
        <v>5000</v>
      </c>
      <c r="BJ147" s="111">
        <f t="shared" si="116"/>
        <v>5000</v>
      </c>
      <c r="BK147" s="111">
        <f t="shared" si="116"/>
        <v>5000</v>
      </c>
      <c r="BL147" s="111">
        <f t="shared" si="116"/>
        <v>5000</v>
      </c>
      <c r="BM147" s="111">
        <f t="shared" si="116"/>
        <v>5000</v>
      </c>
      <c r="BN147" s="111">
        <f t="shared" si="116"/>
        <v>5000</v>
      </c>
      <c r="BO147" s="111">
        <f t="shared" si="116"/>
        <v>5000</v>
      </c>
      <c r="BP147" s="111">
        <f t="shared" si="116"/>
        <v>5000</v>
      </c>
      <c r="BQ147" s="111">
        <f t="shared" si="116"/>
        <v>5000</v>
      </c>
      <c r="BR147" s="111">
        <f t="shared" si="116"/>
        <v>5000</v>
      </c>
      <c r="BS147" s="111">
        <f t="shared" si="116"/>
        <v>5000</v>
      </c>
      <c r="BT147" s="111">
        <f t="shared" si="116"/>
        <v>5000</v>
      </c>
      <c r="BU147" s="111">
        <f t="shared" si="116"/>
        <v>5000</v>
      </c>
      <c r="BV147" s="111">
        <f t="shared" si="116"/>
        <v>5000</v>
      </c>
      <c r="BW147" s="111">
        <f t="shared" si="116"/>
        <v>5000</v>
      </c>
      <c r="BX147" s="111">
        <f t="shared" si="116"/>
        <v>5000</v>
      </c>
      <c r="BY147" s="111">
        <f t="shared" si="116"/>
        <v>5000</v>
      </c>
    </row>
    <row r="148" outlineLevel="1">
      <c r="A148" s="47"/>
      <c r="B148" s="114" t="s">
        <v>92</v>
      </c>
      <c r="C148" s="115">
        <v>80000.0</v>
      </c>
      <c r="D148" s="116">
        <v>0.2</v>
      </c>
      <c r="E148" s="117">
        <v>44166.0</v>
      </c>
      <c r="F148" s="111"/>
      <c r="G148" s="111"/>
      <c r="H148" s="111"/>
      <c r="I148" s="111"/>
      <c r="J148" s="111"/>
      <c r="K148" s="111"/>
      <c r="L148" s="111"/>
      <c r="M148" s="111"/>
      <c r="N148" s="111"/>
      <c r="O148" s="111"/>
      <c r="P148" s="111"/>
      <c r="Q148" s="111"/>
      <c r="R148" s="111">
        <f t="shared" ref="R148:BY148" si="117">IF(R$4&gt;=$E148,($C148/12)*(1+$D148),0)</f>
        <v>8000</v>
      </c>
      <c r="S148" s="111">
        <f t="shared" si="117"/>
        <v>8000</v>
      </c>
      <c r="T148" s="111">
        <f t="shared" si="117"/>
        <v>8000</v>
      </c>
      <c r="U148" s="111">
        <f t="shared" si="117"/>
        <v>8000</v>
      </c>
      <c r="V148" s="111">
        <f t="shared" si="117"/>
        <v>8000</v>
      </c>
      <c r="W148" s="111">
        <f t="shared" si="117"/>
        <v>8000</v>
      </c>
      <c r="X148" s="111">
        <f t="shared" si="117"/>
        <v>8000</v>
      </c>
      <c r="Y148" s="111">
        <f t="shared" si="117"/>
        <v>8000</v>
      </c>
      <c r="Z148" s="111">
        <f t="shared" si="117"/>
        <v>8000</v>
      </c>
      <c r="AA148" s="111">
        <f t="shared" si="117"/>
        <v>8000</v>
      </c>
      <c r="AB148" s="111">
        <f t="shared" si="117"/>
        <v>8000</v>
      </c>
      <c r="AC148" s="111">
        <f t="shared" si="117"/>
        <v>8000</v>
      </c>
      <c r="AD148" s="111">
        <f t="shared" si="117"/>
        <v>8000</v>
      </c>
      <c r="AE148" s="111">
        <f t="shared" si="117"/>
        <v>8000</v>
      </c>
      <c r="AF148" s="111">
        <f t="shared" si="117"/>
        <v>8000</v>
      </c>
      <c r="AG148" s="111">
        <f t="shared" si="117"/>
        <v>8000</v>
      </c>
      <c r="AH148" s="111">
        <f t="shared" si="117"/>
        <v>8000</v>
      </c>
      <c r="AI148" s="111">
        <f t="shared" si="117"/>
        <v>8000</v>
      </c>
      <c r="AJ148" s="111">
        <f t="shared" si="117"/>
        <v>8000</v>
      </c>
      <c r="AK148" s="111">
        <f t="shared" si="117"/>
        <v>8000</v>
      </c>
      <c r="AL148" s="111">
        <f t="shared" si="117"/>
        <v>8000</v>
      </c>
      <c r="AM148" s="111">
        <f t="shared" si="117"/>
        <v>8000</v>
      </c>
      <c r="AN148" s="111">
        <f t="shared" si="117"/>
        <v>8000</v>
      </c>
      <c r="AO148" s="111">
        <f t="shared" si="117"/>
        <v>8000</v>
      </c>
      <c r="AP148" s="111">
        <f t="shared" si="117"/>
        <v>8000</v>
      </c>
      <c r="AQ148" s="111">
        <f t="shared" si="117"/>
        <v>8000</v>
      </c>
      <c r="AR148" s="111">
        <f t="shared" si="117"/>
        <v>8000</v>
      </c>
      <c r="AS148" s="111">
        <f t="shared" si="117"/>
        <v>8000</v>
      </c>
      <c r="AT148" s="111">
        <f t="shared" si="117"/>
        <v>8000</v>
      </c>
      <c r="AU148" s="111">
        <f t="shared" si="117"/>
        <v>8000</v>
      </c>
      <c r="AV148" s="111">
        <f t="shared" si="117"/>
        <v>8000</v>
      </c>
      <c r="AW148" s="111">
        <f t="shared" si="117"/>
        <v>8000</v>
      </c>
      <c r="AX148" s="111">
        <f t="shared" si="117"/>
        <v>8000</v>
      </c>
      <c r="AY148" s="111">
        <f t="shared" si="117"/>
        <v>8000</v>
      </c>
      <c r="AZ148" s="111">
        <f t="shared" si="117"/>
        <v>8000</v>
      </c>
      <c r="BA148" s="111">
        <f t="shared" si="117"/>
        <v>8000</v>
      </c>
      <c r="BB148" s="111">
        <f t="shared" si="117"/>
        <v>8000</v>
      </c>
      <c r="BC148" s="111">
        <f t="shared" si="117"/>
        <v>8000</v>
      </c>
      <c r="BD148" s="111">
        <f t="shared" si="117"/>
        <v>8000</v>
      </c>
      <c r="BE148" s="111">
        <f t="shared" si="117"/>
        <v>8000</v>
      </c>
      <c r="BF148" s="111">
        <f t="shared" si="117"/>
        <v>8000</v>
      </c>
      <c r="BG148" s="111">
        <f t="shared" si="117"/>
        <v>8000</v>
      </c>
      <c r="BH148" s="111">
        <f t="shared" si="117"/>
        <v>8000</v>
      </c>
      <c r="BI148" s="111">
        <f t="shared" si="117"/>
        <v>8000</v>
      </c>
      <c r="BJ148" s="111">
        <f t="shared" si="117"/>
        <v>8000</v>
      </c>
      <c r="BK148" s="111">
        <f t="shared" si="117"/>
        <v>8000</v>
      </c>
      <c r="BL148" s="111">
        <f t="shared" si="117"/>
        <v>8000</v>
      </c>
      <c r="BM148" s="111">
        <f t="shared" si="117"/>
        <v>8000</v>
      </c>
      <c r="BN148" s="111">
        <f t="shared" si="117"/>
        <v>8000</v>
      </c>
      <c r="BO148" s="111">
        <f t="shared" si="117"/>
        <v>8000</v>
      </c>
      <c r="BP148" s="111">
        <f t="shared" si="117"/>
        <v>8000</v>
      </c>
      <c r="BQ148" s="111">
        <f t="shared" si="117"/>
        <v>8000</v>
      </c>
      <c r="BR148" s="111">
        <f t="shared" si="117"/>
        <v>8000</v>
      </c>
      <c r="BS148" s="111">
        <f t="shared" si="117"/>
        <v>8000</v>
      </c>
      <c r="BT148" s="111">
        <f t="shared" si="117"/>
        <v>8000</v>
      </c>
      <c r="BU148" s="111">
        <f t="shared" si="117"/>
        <v>8000</v>
      </c>
      <c r="BV148" s="111">
        <f t="shared" si="117"/>
        <v>8000</v>
      </c>
      <c r="BW148" s="111">
        <f t="shared" si="117"/>
        <v>8000</v>
      </c>
      <c r="BX148" s="111">
        <f t="shared" si="117"/>
        <v>8000</v>
      </c>
      <c r="BY148" s="111">
        <f t="shared" si="117"/>
        <v>8000</v>
      </c>
    </row>
    <row r="149" outlineLevel="1">
      <c r="A149" s="47"/>
      <c r="B149" s="114" t="s">
        <v>93</v>
      </c>
      <c r="C149" s="115">
        <v>90000.0</v>
      </c>
      <c r="D149" s="116">
        <v>0.2</v>
      </c>
      <c r="E149" s="117">
        <v>44256.0</v>
      </c>
      <c r="F149" s="111"/>
      <c r="G149" s="111"/>
      <c r="H149" s="111"/>
      <c r="I149" s="111"/>
      <c r="J149" s="111"/>
      <c r="K149" s="111"/>
      <c r="L149" s="111"/>
      <c r="M149" s="111"/>
      <c r="N149" s="111"/>
      <c r="O149" s="111"/>
      <c r="P149" s="111"/>
      <c r="Q149" s="111"/>
      <c r="R149" s="111">
        <f t="shared" ref="R149:BY149" si="118">IF(R$4&gt;=$E149,($C149/12)*(1+$D149),0)</f>
        <v>9000</v>
      </c>
      <c r="S149" s="111">
        <f t="shared" si="118"/>
        <v>9000</v>
      </c>
      <c r="T149" s="111">
        <f t="shared" si="118"/>
        <v>9000</v>
      </c>
      <c r="U149" s="111">
        <f t="shared" si="118"/>
        <v>9000</v>
      </c>
      <c r="V149" s="111">
        <f t="shared" si="118"/>
        <v>9000</v>
      </c>
      <c r="W149" s="111">
        <f t="shared" si="118"/>
        <v>9000</v>
      </c>
      <c r="X149" s="111">
        <f t="shared" si="118"/>
        <v>9000</v>
      </c>
      <c r="Y149" s="111">
        <f t="shared" si="118"/>
        <v>9000</v>
      </c>
      <c r="Z149" s="111">
        <f t="shared" si="118"/>
        <v>9000</v>
      </c>
      <c r="AA149" s="111">
        <f t="shared" si="118"/>
        <v>9000</v>
      </c>
      <c r="AB149" s="111">
        <f t="shared" si="118"/>
        <v>9000</v>
      </c>
      <c r="AC149" s="111">
        <f t="shared" si="118"/>
        <v>9000</v>
      </c>
      <c r="AD149" s="111">
        <f t="shared" si="118"/>
        <v>9000</v>
      </c>
      <c r="AE149" s="111">
        <f t="shared" si="118"/>
        <v>9000</v>
      </c>
      <c r="AF149" s="111">
        <f t="shared" si="118"/>
        <v>9000</v>
      </c>
      <c r="AG149" s="111">
        <f t="shared" si="118"/>
        <v>9000</v>
      </c>
      <c r="AH149" s="111">
        <f t="shared" si="118"/>
        <v>9000</v>
      </c>
      <c r="AI149" s="111">
        <f t="shared" si="118"/>
        <v>9000</v>
      </c>
      <c r="AJ149" s="111">
        <f t="shared" si="118"/>
        <v>9000</v>
      </c>
      <c r="AK149" s="111">
        <f t="shared" si="118"/>
        <v>9000</v>
      </c>
      <c r="AL149" s="111">
        <f t="shared" si="118"/>
        <v>9000</v>
      </c>
      <c r="AM149" s="111">
        <f t="shared" si="118"/>
        <v>9000</v>
      </c>
      <c r="AN149" s="111">
        <f t="shared" si="118"/>
        <v>9000</v>
      </c>
      <c r="AO149" s="111">
        <f t="shared" si="118"/>
        <v>9000</v>
      </c>
      <c r="AP149" s="111">
        <f t="shared" si="118"/>
        <v>9000</v>
      </c>
      <c r="AQ149" s="111">
        <f t="shared" si="118"/>
        <v>9000</v>
      </c>
      <c r="AR149" s="111">
        <f t="shared" si="118"/>
        <v>9000</v>
      </c>
      <c r="AS149" s="111">
        <f t="shared" si="118"/>
        <v>9000</v>
      </c>
      <c r="AT149" s="111">
        <f t="shared" si="118"/>
        <v>9000</v>
      </c>
      <c r="AU149" s="111">
        <f t="shared" si="118"/>
        <v>9000</v>
      </c>
      <c r="AV149" s="111">
        <f t="shared" si="118"/>
        <v>9000</v>
      </c>
      <c r="AW149" s="111">
        <f t="shared" si="118"/>
        <v>9000</v>
      </c>
      <c r="AX149" s="111">
        <f t="shared" si="118"/>
        <v>9000</v>
      </c>
      <c r="AY149" s="111">
        <f t="shared" si="118"/>
        <v>9000</v>
      </c>
      <c r="AZ149" s="111">
        <f t="shared" si="118"/>
        <v>9000</v>
      </c>
      <c r="BA149" s="111">
        <f t="shared" si="118"/>
        <v>9000</v>
      </c>
      <c r="BB149" s="111">
        <f t="shared" si="118"/>
        <v>9000</v>
      </c>
      <c r="BC149" s="111">
        <f t="shared" si="118"/>
        <v>9000</v>
      </c>
      <c r="BD149" s="111">
        <f t="shared" si="118"/>
        <v>9000</v>
      </c>
      <c r="BE149" s="111">
        <f t="shared" si="118"/>
        <v>9000</v>
      </c>
      <c r="BF149" s="111">
        <f t="shared" si="118"/>
        <v>9000</v>
      </c>
      <c r="BG149" s="111">
        <f t="shared" si="118"/>
        <v>9000</v>
      </c>
      <c r="BH149" s="111">
        <f t="shared" si="118"/>
        <v>9000</v>
      </c>
      <c r="BI149" s="111">
        <f t="shared" si="118"/>
        <v>9000</v>
      </c>
      <c r="BJ149" s="111">
        <f t="shared" si="118"/>
        <v>9000</v>
      </c>
      <c r="BK149" s="111">
        <f t="shared" si="118"/>
        <v>9000</v>
      </c>
      <c r="BL149" s="111">
        <f t="shared" si="118"/>
        <v>9000</v>
      </c>
      <c r="BM149" s="111">
        <f t="shared" si="118"/>
        <v>9000</v>
      </c>
      <c r="BN149" s="111">
        <f t="shared" si="118"/>
        <v>9000</v>
      </c>
      <c r="BO149" s="111">
        <f t="shared" si="118"/>
        <v>9000</v>
      </c>
      <c r="BP149" s="111">
        <f t="shared" si="118"/>
        <v>9000</v>
      </c>
      <c r="BQ149" s="111">
        <f t="shared" si="118"/>
        <v>9000</v>
      </c>
      <c r="BR149" s="111">
        <f t="shared" si="118"/>
        <v>9000</v>
      </c>
      <c r="BS149" s="111">
        <f t="shared" si="118"/>
        <v>9000</v>
      </c>
      <c r="BT149" s="111">
        <f t="shared" si="118"/>
        <v>9000</v>
      </c>
      <c r="BU149" s="111">
        <f t="shared" si="118"/>
        <v>9000</v>
      </c>
      <c r="BV149" s="111">
        <f t="shared" si="118"/>
        <v>9000</v>
      </c>
      <c r="BW149" s="111">
        <f t="shared" si="118"/>
        <v>9000</v>
      </c>
      <c r="BX149" s="111">
        <f t="shared" si="118"/>
        <v>9000</v>
      </c>
      <c r="BY149" s="111">
        <f t="shared" si="118"/>
        <v>9000</v>
      </c>
    </row>
    <row r="150" outlineLevel="1">
      <c r="A150" s="47"/>
      <c r="B150" s="114" t="s">
        <v>94</v>
      </c>
      <c r="C150" s="115">
        <v>45000.0</v>
      </c>
      <c r="D150" s="116">
        <v>0.2</v>
      </c>
      <c r="E150" s="117">
        <v>44348.0</v>
      </c>
      <c r="F150" s="111"/>
      <c r="G150" s="111"/>
      <c r="H150" s="111"/>
      <c r="I150" s="111"/>
      <c r="J150" s="111"/>
      <c r="K150" s="111"/>
      <c r="L150" s="111"/>
      <c r="M150" s="111"/>
      <c r="N150" s="111"/>
      <c r="O150" s="111"/>
      <c r="P150" s="111"/>
      <c r="Q150" s="111"/>
      <c r="R150" s="111">
        <f t="shared" ref="R150:BY150" si="119">IF(R$4&gt;=$E150,($C150/12)*(1+$D150),0)</f>
        <v>4500</v>
      </c>
      <c r="S150" s="111">
        <f t="shared" si="119"/>
        <v>4500</v>
      </c>
      <c r="T150" s="111">
        <f t="shared" si="119"/>
        <v>4500</v>
      </c>
      <c r="U150" s="111">
        <f t="shared" si="119"/>
        <v>4500</v>
      </c>
      <c r="V150" s="111">
        <f t="shared" si="119"/>
        <v>4500</v>
      </c>
      <c r="W150" s="111">
        <f t="shared" si="119"/>
        <v>4500</v>
      </c>
      <c r="X150" s="111">
        <f t="shared" si="119"/>
        <v>4500</v>
      </c>
      <c r="Y150" s="111">
        <f t="shared" si="119"/>
        <v>4500</v>
      </c>
      <c r="Z150" s="111">
        <f t="shared" si="119"/>
        <v>4500</v>
      </c>
      <c r="AA150" s="111">
        <f t="shared" si="119"/>
        <v>4500</v>
      </c>
      <c r="AB150" s="111">
        <f t="shared" si="119"/>
        <v>4500</v>
      </c>
      <c r="AC150" s="111">
        <f t="shared" si="119"/>
        <v>4500</v>
      </c>
      <c r="AD150" s="111">
        <f t="shared" si="119"/>
        <v>4500</v>
      </c>
      <c r="AE150" s="111">
        <f t="shared" si="119"/>
        <v>4500</v>
      </c>
      <c r="AF150" s="111">
        <f t="shared" si="119"/>
        <v>4500</v>
      </c>
      <c r="AG150" s="111">
        <f t="shared" si="119"/>
        <v>4500</v>
      </c>
      <c r="AH150" s="111">
        <f t="shared" si="119"/>
        <v>4500</v>
      </c>
      <c r="AI150" s="111">
        <f t="shared" si="119"/>
        <v>4500</v>
      </c>
      <c r="AJ150" s="111">
        <f t="shared" si="119"/>
        <v>4500</v>
      </c>
      <c r="AK150" s="111">
        <f t="shared" si="119"/>
        <v>4500</v>
      </c>
      <c r="AL150" s="111">
        <f t="shared" si="119"/>
        <v>4500</v>
      </c>
      <c r="AM150" s="111">
        <f t="shared" si="119"/>
        <v>4500</v>
      </c>
      <c r="AN150" s="111">
        <f t="shared" si="119"/>
        <v>4500</v>
      </c>
      <c r="AO150" s="111">
        <f t="shared" si="119"/>
        <v>4500</v>
      </c>
      <c r="AP150" s="111">
        <f t="shared" si="119"/>
        <v>4500</v>
      </c>
      <c r="AQ150" s="111">
        <f t="shared" si="119"/>
        <v>4500</v>
      </c>
      <c r="AR150" s="111">
        <f t="shared" si="119"/>
        <v>4500</v>
      </c>
      <c r="AS150" s="111">
        <f t="shared" si="119"/>
        <v>4500</v>
      </c>
      <c r="AT150" s="111">
        <f t="shared" si="119"/>
        <v>4500</v>
      </c>
      <c r="AU150" s="111">
        <f t="shared" si="119"/>
        <v>4500</v>
      </c>
      <c r="AV150" s="111">
        <f t="shared" si="119"/>
        <v>4500</v>
      </c>
      <c r="AW150" s="111">
        <f t="shared" si="119"/>
        <v>4500</v>
      </c>
      <c r="AX150" s="111">
        <f t="shared" si="119"/>
        <v>4500</v>
      </c>
      <c r="AY150" s="111">
        <f t="shared" si="119"/>
        <v>4500</v>
      </c>
      <c r="AZ150" s="111">
        <f t="shared" si="119"/>
        <v>4500</v>
      </c>
      <c r="BA150" s="111">
        <f t="shared" si="119"/>
        <v>4500</v>
      </c>
      <c r="BB150" s="111">
        <f t="shared" si="119"/>
        <v>4500</v>
      </c>
      <c r="BC150" s="111">
        <f t="shared" si="119"/>
        <v>4500</v>
      </c>
      <c r="BD150" s="111">
        <f t="shared" si="119"/>
        <v>4500</v>
      </c>
      <c r="BE150" s="111">
        <f t="shared" si="119"/>
        <v>4500</v>
      </c>
      <c r="BF150" s="111">
        <f t="shared" si="119"/>
        <v>4500</v>
      </c>
      <c r="BG150" s="111">
        <f t="shared" si="119"/>
        <v>4500</v>
      </c>
      <c r="BH150" s="111">
        <f t="shared" si="119"/>
        <v>4500</v>
      </c>
      <c r="BI150" s="111">
        <f t="shared" si="119"/>
        <v>4500</v>
      </c>
      <c r="BJ150" s="111">
        <f t="shared" si="119"/>
        <v>4500</v>
      </c>
      <c r="BK150" s="111">
        <f t="shared" si="119"/>
        <v>4500</v>
      </c>
      <c r="BL150" s="111">
        <f t="shared" si="119"/>
        <v>4500</v>
      </c>
      <c r="BM150" s="111">
        <f t="shared" si="119"/>
        <v>4500</v>
      </c>
      <c r="BN150" s="111">
        <f t="shared" si="119"/>
        <v>4500</v>
      </c>
      <c r="BO150" s="111">
        <f t="shared" si="119"/>
        <v>4500</v>
      </c>
      <c r="BP150" s="111">
        <f t="shared" si="119"/>
        <v>4500</v>
      </c>
      <c r="BQ150" s="111">
        <f t="shared" si="119"/>
        <v>4500</v>
      </c>
      <c r="BR150" s="111">
        <f t="shared" si="119"/>
        <v>4500</v>
      </c>
      <c r="BS150" s="111">
        <f t="shared" si="119"/>
        <v>4500</v>
      </c>
      <c r="BT150" s="111">
        <f t="shared" si="119"/>
        <v>4500</v>
      </c>
      <c r="BU150" s="111">
        <f t="shared" si="119"/>
        <v>4500</v>
      </c>
      <c r="BV150" s="111">
        <f t="shared" si="119"/>
        <v>4500</v>
      </c>
      <c r="BW150" s="111">
        <f t="shared" si="119"/>
        <v>4500</v>
      </c>
      <c r="BX150" s="111">
        <f t="shared" si="119"/>
        <v>4500</v>
      </c>
      <c r="BY150" s="111">
        <f t="shared" si="119"/>
        <v>4500</v>
      </c>
    </row>
    <row r="151">
      <c r="A151" s="47"/>
      <c r="B151" s="47"/>
      <c r="C151" s="47"/>
      <c r="D151" s="47"/>
      <c r="E151" s="47"/>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c r="BY151" s="111"/>
    </row>
    <row r="152">
      <c r="A152" s="47"/>
      <c r="B152" s="48" t="s">
        <v>95</v>
      </c>
      <c r="C152" s="49"/>
      <c r="D152" s="49"/>
      <c r="E152" s="49"/>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row>
    <row r="153" outlineLevel="1">
      <c r="A153" s="47"/>
      <c r="B153" s="47"/>
      <c r="C153" s="47"/>
      <c r="D153" s="47"/>
      <c r="E153" s="47"/>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row>
    <row r="154" outlineLevel="1">
      <c r="A154" s="47"/>
      <c r="B154" s="65" t="s">
        <v>96</v>
      </c>
      <c r="C154" s="113" t="s">
        <v>97</v>
      </c>
      <c r="D154" s="47"/>
      <c r="E154" s="47"/>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row>
    <row r="155" outlineLevel="1">
      <c r="A155" s="47"/>
      <c r="B155" s="118" t="s">
        <v>98</v>
      </c>
      <c r="C155" s="119">
        <v>0.02</v>
      </c>
      <c r="D155" s="47"/>
      <c r="E155" s="47"/>
      <c r="F155" s="111"/>
      <c r="G155" s="111"/>
      <c r="H155" s="111"/>
      <c r="I155" s="111"/>
      <c r="J155" s="111"/>
      <c r="K155" s="111"/>
      <c r="L155" s="111"/>
      <c r="M155" s="111"/>
      <c r="N155" s="111"/>
      <c r="O155" s="111"/>
      <c r="P155" s="111"/>
      <c r="Q155" s="111"/>
      <c r="R155" s="111">
        <f>Financials!F$8*$C155</f>
        <v>95.25</v>
      </c>
      <c r="S155" s="111">
        <f>Financials!G$8*$C155</f>
        <v>192.67875</v>
      </c>
      <c r="T155" s="111">
        <f>Financials!H$8*$C155</f>
        <v>290.1401813</v>
      </c>
      <c r="U155" s="111">
        <f>Financials!I$8*$C155</f>
        <v>387.6021027</v>
      </c>
      <c r="V155" s="111">
        <f>Financials!J$8*$C155</f>
        <v>485.0640315</v>
      </c>
      <c r="W155" s="111">
        <f>Financials!K$8*$C155</f>
        <v>582.5259605</v>
      </c>
      <c r="X155" s="111">
        <f>Financials!L$8*$C155</f>
        <v>679.9878894</v>
      </c>
      <c r="Y155" s="111">
        <f>Financials!M$8*$C155</f>
        <v>777.4498183</v>
      </c>
      <c r="Z155" s="111">
        <f>Financials!N$8*$C155</f>
        <v>874.9117473</v>
      </c>
      <c r="AA155" s="111">
        <f>Financials!O$8*$C155</f>
        <v>972.3736762</v>
      </c>
      <c r="AB155" s="111">
        <f>Financials!P$8*$C155</f>
        <v>1069.835605</v>
      </c>
      <c r="AC155" s="111">
        <f>Financials!Q$8*$C155</f>
        <v>1167.297534</v>
      </c>
      <c r="AD155" s="111">
        <f>Financials!R$8*$C155</f>
        <v>1245.709463</v>
      </c>
      <c r="AE155" s="111">
        <f>Financials!S$8*$C155</f>
        <v>1323.685642</v>
      </c>
      <c r="AF155" s="111">
        <f>Financials!T$8*$C155</f>
        <v>1401.655285</v>
      </c>
      <c r="AG155" s="111">
        <f>Financials!U$8*$C155</f>
        <v>1479.624829</v>
      </c>
      <c r="AH155" s="111">
        <f>Financials!V$8*$C155</f>
        <v>1557.594372</v>
      </c>
      <c r="AI155" s="111">
        <f>Financials!W$8*$C155</f>
        <v>1635.563916</v>
      </c>
      <c r="AJ155" s="111">
        <f>Financials!X$8*$C155</f>
        <v>1713.533459</v>
      </c>
      <c r="AK155" s="111">
        <f>Financials!Y$8*$C155</f>
        <v>1791.503002</v>
      </c>
      <c r="AL155" s="111">
        <f>Financials!Z$8*$C155</f>
        <v>1869.472545</v>
      </c>
      <c r="AM155" s="111">
        <f>Financials!AA$8*$C155</f>
        <v>1947.442088</v>
      </c>
      <c r="AN155" s="111">
        <f>Financials!AB$8*$C155</f>
        <v>2025.411631</v>
      </c>
      <c r="AO155" s="111">
        <f>Financials!AC$8*$C155</f>
        <v>2103.381174</v>
      </c>
      <c r="AP155" s="111">
        <f>Financials!AD$8*$C155</f>
        <v>2166.110718</v>
      </c>
      <c r="AQ155" s="111">
        <f>Financials!AE$8*$C155</f>
        <v>2228.491661</v>
      </c>
      <c r="AR155" s="111">
        <f>Financials!AF$8*$C155</f>
        <v>2290.867375</v>
      </c>
      <c r="AS155" s="111">
        <f>Financials!AG$8*$C155</f>
        <v>2353.243011</v>
      </c>
      <c r="AT155" s="111">
        <f>Financials!AH$8*$C155</f>
        <v>2415.618645</v>
      </c>
      <c r="AU155" s="111">
        <f>Financials!AI$8*$C155</f>
        <v>2477.99428</v>
      </c>
      <c r="AV155" s="111">
        <f>Financials!AJ$8*$C155</f>
        <v>2540.369914</v>
      </c>
      <c r="AW155" s="111">
        <f>Financials!AK$8*$C155</f>
        <v>2602.745549</v>
      </c>
      <c r="AX155" s="111">
        <f>Financials!AL$8*$C155</f>
        <v>2665.121183</v>
      </c>
      <c r="AY155" s="111">
        <f>Financials!AM$8*$C155</f>
        <v>2727.496818</v>
      </c>
      <c r="AZ155" s="111">
        <f>Financials!AN$8*$C155</f>
        <v>2789.872452</v>
      </c>
      <c r="BA155" s="111">
        <f>Financials!AO$8*$C155</f>
        <v>2852.248087</v>
      </c>
      <c r="BB155" s="111">
        <f>Financials!AP$8*$C155</f>
        <v>2902.431721</v>
      </c>
      <c r="BC155" s="111">
        <f>Financials!AQ$8*$C155</f>
        <v>2952.336476</v>
      </c>
      <c r="BD155" s="111">
        <f>Financials!AR$8*$C155</f>
        <v>3002.237047</v>
      </c>
      <c r="BE155" s="111">
        <f>Financials!AS$8*$C155</f>
        <v>3052.137556</v>
      </c>
      <c r="BF155" s="111">
        <f>Financials!AT$8*$C155</f>
        <v>3102.038063</v>
      </c>
      <c r="BG155" s="111">
        <f>Financials!AU$8*$C155</f>
        <v>3151.938571</v>
      </c>
      <c r="BH155" s="111">
        <f>Financials!AV$8*$C155</f>
        <v>3201.839079</v>
      </c>
      <c r="BI155" s="111">
        <f>Financials!AW$8*$C155</f>
        <v>3251.739586</v>
      </c>
      <c r="BJ155" s="111">
        <f>Financials!AX$8*$C155</f>
        <v>3301.640094</v>
      </c>
      <c r="BK155" s="111">
        <f>Financials!AY$8*$C155</f>
        <v>3351.540601</v>
      </c>
      <c r="BL155" s="111">
        <f>Financials!AZ$8*$C155</f>
        <v>3401.441109</v>
      </c>
      <c r="BM155" s="111">
        <f>Financials!BA$8*$C155</f>
        <v>3451.341617</v>
      </c>
      <c r="BN155" s="111">
        <f>Financials!BB$8*$C155</f>
        <v>3491.488524</v>
      </c>
      <c r="BO155" s="111">
        <f>Financials!BC$8*$C155</f>
        <v>3531.412328</v>
      </c>
      <c r="BP155" s="111">
        <f>Financials!BD$8*$C155</f>
        <v>3571.332785</v>
      </c>
      <c r="BQ155" s="111">
        <f>Financials!BE$8*$C155</f>
        <v>3611.253192</v>
      </c>
      <c r="BR155" s="111">
        <f>Financials!BF$8*$C155</f>
        <v>3651.173598</v>
      </c>
      <c r="BS155" s="111">
        <f>Financials!BG$8*$C155</f>
        <v>3691.094004</v>
      </c>
      <c r="BT155" s="111">
        <f>Financials!BH$8*$C155</f>
        <v>3731.01441</v>
      </c>
      <c r="BU155" s="111">
        <f>Financials!BI$8*$C155</f>
        <v>3770.934816</v>
      </c>
      <c r="BV155" s="111">
        <f>Financials!BJ$8*$C155</f>
        <v>3810.855222</v>
      </c>
      <c r="BW155" s="111">
        <f>Financials!BK$8*$C155</f>
        <v>3850.775628</v>
      </c>
      <c r="BX155" s="111">
        <f>Financials!BL$8*$C155</f>
        <v>3890.696034</v>
      </c>
      <c r="BY155" s="111">
        <f>Financials!BM$8*$C155</f>
        <v>3930.616441</v>
      </c>
    </row>
    <row r="156" outlineLevel="1">
      <c r="A156" s="47"/>
      <c r="B156" s="118" t="s">
        <v>99</v>
      </c>
      <c r="C156" s="119">
        <v>0.03</v>
      </c>
      <c r="D156" s="47"/>
      <c r="E156" s="47"/>
      <c r="F156" s="111"/>
      <c r="G156" s="111"/>
      <c r="H156" s="111"/>
      <c r="I156" s="111"/>
      <c r="J156" s="111"/>
      <c r="K156" s="111"/>
      <c r="L156" s="111"/>
      <c r="M156" s="111"/>
      <c r="N156" s="111"/>
      <c r="O156" s="111"/>
      <c r="P156" s="111"/>
      <c r="Q156" s="111"/>
      <c r="R156" s="111">
        <f>Financials!F$8*$C156</f>
        <v>142.875</v>
      </c>
      <c r="S156" s="111">
        <f>Financials!G$8*$C156</f>
        <v>289.018125</v>
      </c>
      <c r="T156" s="111">
        <f>Financials!H$8*$C156</f>
        <v>435.2102719</v>
      </c>
      <c r="U156" s="111">
        <f>Financials!I$8*$C156</f>
        <v>581.4031541</v>
      </c>
      <c r="V156" s="111">
        <f>Financials!J$8*$C156</f>
        <v>727.5960473</v>
      </c>
      <c r="W156" s="111">
        <f>Financials!K$8*$C156</f>
        <v>873.7889407</v>
      </c>
      <c r="X156" s="111">
        <f>Financials!L$8*$C156</f>
        <v>1019.981834</v>
      </c>
      <c r="Y156" s="111">
        <f>Financials!M$8*$C156</f>
        <v>1166.174728</v>
      </c>
      <c r="Z156" s="111">
        <f>Financials!N$8*$C156</f>
        <v>1312.367621</v>
      </c>
      <c r="AA156" s="111">
        <f>Financials!O$8*$C156</f>
        <v>1458.560514</v>
      </c>
      <c r="AB156" s="111">
        <f>Financials!P$8*$C156</f>
        <v>1604.753408</v>
      </c>
      <c r="AC156" s="111">
        <f>Financials!Q$8*$C156</f>
        <v>1750.946301</v>
      </c>
      <c r="AD156" s="111">
        <f>Financials!R$8*$C156</f>
        <v>1868.564195</v>
      </c>
      <c r="AE156" s="111">
        <f>Financials!S$8*$C156</f>
        <v>1985.528463</v>
      </c>
      <c r="AF156" s="111">
        <f>Financials!T$8*$C156</f>
        <v>2102.482927</v>
      </c>
      <c r="AG156" s="111">
        <f>Financials!U$8*$C156</f>
        <v>2219.437244</v>
      </c>
      <c r="AH156" s="111">
        <f>Financials!V$8*$C156</f>
        <v>2336.391559</v>
      </c>
      <c r="AI156" s="111">
        <f>Financials!W$8*$C156</f>
        <v>2453.345873</v>
      </c>
      <c r="AJ156" s="111">
        <f>Financials!X$8*$C156</f>
        <v>2570.300188</v>
      </c>
      <c r="AK156" s="111">
        <f>Financials!Y$8*$C156</f>
        <v>2687.254503</v>
      </c>
      <c r="AL156" s="111">
        <f>Financials!Z$8*$C156</f>
        <v>2804.208818</v>
      </c>
      <c r="AM156" s="111">
        <f>Financials!AA$8*$C156</f>
        <v>2921.163132</v>
      </c>
      <c r="AN156" s="111">
        <f>Financials!AB$8*$C156</f>
        <v>3038.117447</v>
      </c>
      <c r="AO156" s="111">
        <f>Financials!AC$8*$C156</f>
        <v>3155.071762</v>
      </c>
      <c r="AP156" s="111">
        <f>Financials!AD$8*$C156</f>
        <v>3249.166076</v>
      </c>
      <c r="AQ156" s="111">
        <f>Financials!AE$8*$C156</f>
        <v>3342.737491</v>
      </c>
      <c r="AR156" s="111">
        <f>Financials!AF$8*$C156</f>
        <v>3436.301062</v>
      </c>
      <c r="AS156" s="111">
        <f>Financials!AG$8*$C156</f>
        <v>3529.864516</v>
      </c>
      <c r="AT156" s="111">
        <f>Financials!AH$8*$C156</f>
        <v>3623.427968</v>
      </c>
      <c r="AU156" s="111">
        <f>Financials!AI$8*$C156</f>
        <v>3716.99142</v>
      </c>
      <c r="AV156" s="111">
        <f>Financials!AJ$8*$C156</f>
        <v>3810.554871</v>
      </c>
      <c r="AW156" s="111">
        <f>Financials!AK$8*$C156</f>
        <v>3904.118323</v>
      </c>
      <c r="AX156" s="111">
        <f>Financials!AL$8*$C156</f>
        <v>3997.681775</v>
      </c>
      <c r="AY156" s="111">
        <f>Financials!AM$8*$C156</f>
        <v>4091.245227</v>
      </c>
      <c r="AZ156" s="111">
        <f>Financials!AN$8*$C156</f>
        <v>4184.808678</v>
      </c>
      <c r="BA156" s="111">
        <f>Financials!AO$8*$C156</f>
        <v>4278.37213</v>
      </c>
      <c r="BB156" s="111">
        <f>Financials!AP$8*$C156</f>
        <v>4353.647582</v>
      </c>
      <c r="BC156" s="111">
        <f>Financials!AQ$8*$C156</f>
        <v>4428.504714</v>
      </c>
      <c r="BD156" s="111">
        <f>Financials!AR$8*$C156</f>
        <v>4503.355571</v>
      </c>
      <c r="BE156" s="111">
        <f>Financials!AS$8*$C156</f>
        <v>4578.206334</v>
      </c>
      <c r="BF156" s="111">
        <f>Financials!AT$8*$C156</f>
        <v>4653.057095</v>
      </c>
      <c r="BG156" s="111">
        <f>Financials!AU$8*$C156</f>
        <v>4727.907856</v>
      </c>
      <c r="BH156" s="111">
        <f>Financials!AV$8*$C156</f>
        <v>4802.758618</v>
      </c>
      <c r="BI156" s="111">
        <f>Financials!AW$8*$C156</f>
        <v>4877.609379</v>
      </c>
      <c r="BJ156" s="111">
        <f>Financials!AX$8*$C156</f>
        <v>4952.460141</v>
      </c>
      <c r="BK156" s="111">
        <f>Financials!AY$8*$C156</f>
        <v>5027.310902</v>
      </c>
      <c r="BL156" s="111">
        <f>Financials!AZ$8*$C156</f>
        <v>5102.161664</v>
      </c>
      <c r="BM156" s="111">
        <f>Financials!BA$8*$C156</f>
        <v>5177.012425</v>
      </c>
      <c r="BN156" s="111">
        <f>Financials!BB$8*$C156</f>
        <v>5237.232786</v>
      </c>
      <c r="BO156" s="111">
        <f>Financials!BC$8*$C156</f>
        <v>5297.118492</v>
      </c>
      <c r="BP156" s="111">
        <f>Financials!BD$8*$C156</f>
        <v>5356.999177</v>
      </c>
      <c r="BQ156" s="111">
        <f>Financials!BE$8*$C156</f>
        <v>5416.879788</v>
      </c>
      <c r="BR156" s="111">
        <f>Financials!BF$8*$C156</f>
        <v>5476.760397</v>
      </c>
      <c r="BS156" s="111">
        <f>Financials!BG$8*$C156</f>
        <v>5536.641006</v>
      </c>
      <c r="BT156" s="111">
        <f>Financials!BH$8*$C156</f>
        <v>5596.521615</v>
      </c>
      <c r="BU156" s="111">
        <f>Financials!BI$8*$C156</f>
        <v>5656.402224</v>
      </c>
      <c r="BV156" s="111">
        <f>Financials!BJ$8*$C156</f>
        <v>5716.282833</v>
      </c>
      <c r="BW156" s="111">
        <f>Financials!BK$8*$C156</f>
        <v>5776.163443</v>
      </c>
      <c r="BX156" s="111">
        <f>Financials!BL$8*$C156</f>
        <v>5836.044052</v>
      </c>
      <c r="BY156" s="111">
        <f>Financials!BM$8*$C156</f>
        <v>5895.924661</v>
      </c>
    </row>
    <row r="157" outlineLevel="1">
      <c r="A157" s="47"/>
      <c r="B157" s="120" t="s">
        <v>100</v>
      </c>
      <c r="C157" s="119">
        <v>0.05</v>
      </c>
      <c r="D157" s="47"/>
      <c r="E157" s="47"/>
      <c r="F157" s="111"/>
      <c r="G157" s="111"/>
      <c r="H157" s="111"/>
      <c r="I157" s="111"/>
      <c r="J157" s="111"/>
      <c r="K157" s="111"/>
      <c r="L157" s="111"/>
      <c r="M157" s="111"/>
      <c r="N157" s="111"/>
      <c r="O157" s="111"/>
      <c r="P157" s="111"/>
      <c r="Q157" s="111"/>
      <c r="R157" s="111">
        <f>Financials!F$8*$C157</f>
        <v>238.125</v>
      </c>
      <c r="S157" s="111">
        <f>Financials!G$8*$C157</f>
        <v>481.696875</v>
      </c>
      <c r="T157" s="111">
        <f>Financials!H$8*$C157</f>
        <v>725.3504531</v>
      </c>
      <c r="U157" s="111">
        <f>Financials!I$8*$C157</f>
        <v>969.0052568</v>
      </c>
      <c r="V157" s="111">
        <f>Financials!J$8*$C157</f>
        <v>1212.660079</v>
      </c>
      <c r="W157" s="111">
        <f>Financials!K$8*$C157</f>
        <v>1456.314901</v>
      </c>
      <c r="X157" s="111">
        <f>Financials!L$8*$C157</f>
        <v>1699.969724</v>
      </c>
      <c r="Y157" s="111">
        <f>Financials!M$8*$C157</f>
        <v>1943.624546</v>
      </c>
      <c r="Z157" s="111">
        <f>Financials!N$8*$C157</f>
        <v>2187.279368</v>
      </c>
      <c r="AA157" s="111">
        <f>Financials!O$8*$C157</f>
        <v>2430.934191</v>
      </c>
      <c r="AB157" s="111">
        <f>Financials!P$8*$C157</f>
        <v>2674.589013</v>
      </c>
      <c r="AC157" s="111">
        <f>Financials!Q$8*$C157</f>
        <v>2918.243835</v>
      </c>
      <c r="AD157" s="111">
        <f>Financials!R$8*$C157</f>
        <v>3114.273658</v>
      </c>
      <c r="AE157" s="111">
        <f>Financials!S$8*$C157</f>
        <v>3309.214105</v>
      </c>
      <c r="AF157" s="111">
        <f>Financials!T$8*$C157</f>
        <v>3504.138212</v>
      </c>
      <c r="AG157" s="111">
        <f>Financials!U$8*$C157</f>
        <v>3699.062073</v>
      </c>
      <c r="AH157" s="111">
        <f>Financials!V$8*$C157</f>
        <v>3893.985931</v>
      </c>
      <c r="AI157" s="111">
        <f>Financials!W$8*$C157</f>
        <v>4088.909789</v>
      </c>
      <c r="AJ157" s="111">
        <f>Financials!X$8*$C157</f>
        <v>4283.833647</v>
      </c>
      <c r="AK157" s="111">
        <f>Financials!Y$8*$C157</f>
        <v>4478.757505</v>
      </c>
      <c r="AL157" s="111">
        <f>Financials!Z$8*$C157</f>
        <v>4673.681363</v>
      </c>
      <c r="AM157" s="111">
        <f>Financials!AA$8*$C157</f>
        <v>4868.60522</v>
      </c>
      <c r="AN157" s="111">
        <f>Financials!AB$8*$C157</f>
        <v>5063.529078</v>
      </c>
      <c r="AO157" s="111">
        <f>Financials!AC$8*$C157</f>
        <v>5258.452936</v>
      </c>
      <c r="AP157" s="111">
        <f>Financials!AD$8*$C157</f>
        <v>5415.276794</v>
      </c>
      <c r="AQ157" s="111">
        <f>Financials!AE$8*$C157</f>
        <v>5571.229152</v>
      </c>
      <c r="AR157" s="111">
        <f>Financials!AF$8*$C157</f>
        <v>5727.168437</v>
      </c>
      <c r="AS157" s="111">
        <f>Financials!AG$8*$C157</f>
        <v>5883.107527</v>
      </c>
      <c r="AT157" s="111">
        <f>Financials!AH$8*$C157</f>
        <v>6039.046613</v>
      </c>
      <c r="AU157" s="111">
        <f>Financials!AI$8*$C157</f>
        <v>6194.985699</v>
      </c>
      <c r="AV157" s="111">
        <f>Financials!AJ$8*$C157</f>
        <v>6350.924785</v>
      </c>
      <c r="AW157" s="111">
        <f>Financials!AK$8*$C157</f>
        <v>6506.863872</v>
      </c>
      <c r="AX157" s="111">
        <f>Financials!AL$8*$C157</f>
        <v>6662.802958</v>
      </c>
      <c r="AY157" s="111">
        <f>Financials!AM$8*$C157</f>
        <v>6818.742044</v>
      </c>
      <c r="AZ157" s="111">
        <f>Financials!AN$8*$C157</f>
        <v>6974.681131</v>
      </c>
      <c r="BA157" s="111">
        <f>Financials!AO$8*$C157</f>
        <v>7130.620217</v>
      </c>
      <c r="BB157" s="111">
        <f>Financials!AP$8*$C157</f>
        <v>7256.079303</v>
      </c>
      <c r="BC157" s="111">
        <f>Financials!AQ$8*$C157</f>
        <v>7380.84119</v>
      </c>
      <c r="BD157" s="111">
        <f>Financials!AR$8*$C157</f>
        <v>7505.592618</v>
      </c>
      <c r="BE157" s="111">
        <f>Financials!AS$8*$C157</f>
        <v>7630.343889</v>
      </c>
      <c r="BF157" s="111">
        <f>Financials!AT$8*$C157</f>
        <v>7755.095158</v>
      </c>
      <c r="BG157" s="111">
        <f>Financials!AU$8*$C157</f>
        <v>7879.846427</v>
      </c>
      <c r="BH157" s="111">
        <f>Financials!AV$8*$C157</f>
        <v>8004.597696</v>
      </c>
      <c r="BI157" s="111">
        <f>Financials!AW$8*$C157</f>
        <v>8129.348965</v>
      </c>
      <c r="BJ157" s="111">
        <f>Financials!AX$8*$C157</f>
        <v>8254.100234</v>
      </c>
      <c r="BK157" s="111">
        <f>Financials!AY$8*$C157</f>
        <v>8378.851504</v>
      </c>
      <c r="BL157" s="111">
        <f>Financials!AZ$8*$C157</f>
        <v>8503.602773</v>
      </c>
      <c r="BM157" s="111">
        <f>Financials!BA$8*$C157</f>
        <v>8628.354042</v>
      </c>
      <c r="BN157" s="111">
        <f>Financials!BB$8*$C157</f>
        <v>8728.721311</v>
      </c>
      <c r="BO157" s="111">
        <f>Financials!BC$8*$C157</f>
        <v>8828.53082</v>
      </c>
      <c r="BP157" s="111">
        <f>Financials!BD$8*$C157</f>
        <v>8928.331962</v>
      </c>
      <c r="BQ157" s="111">
        <f>Financials!BE$8*$C157</f>
        <v>9028.132979</v>
      </c>
      <c r="BR157" s="111">
        <f>Financials!BF$8*$C157</f>
        <v>9127.933995</v>
      </c>
      <c r="BS157" s="111">
        <f>Financials!BG$8*$C157</f>
        <v>9227.73501</v>
      </c>
      <c r="BT157" s="111">
        <f>Financials!BH$8*$C157</f>
        <v>9327.536025</v>
      </c>
      <c r="BU157" s="111">
        <f>Financials!BI$8*$C157</f>
        <v>9427.33704</v>
      </c>
      <c r="BV157" s="111">
        <f>Financials!BJ$8*$C157</f>
        <v>9527.138056</v>
      </c>
      <c r="BW157" s="111">
        <f>Financials!BK$8*$C157</f>
        <v>9626.939071</v>
      </c>
      <c r="BX157" s="111">
        <f>Financials!BL$8*$C157</f>
        <v>9726.740086</v>
      </c>
      <c r="BY157" s="111">
        <f>Financials!BM$8*$C157</f>
        <v>9826.541101</v>
      </c>
    </row>
    <row r="158" outlineLevel="1">
      <c r="A158" s="47"/>
      <c r="B158" s="120" t="s">
        <v>101</v>
      </c>
      <c r="C158" s="119">
        <v>0.05</v>
      </c>
      <c r="D158" s="47"/>
      <c r="E158" s="47"/>
      <c r="F158" s="111"/>
      <c r="G158" s="111"/>
      <c r="H158" s="111"/>
      <c r="I158" s="111"/>
      <c r="J158" s="111"/>
      <c r="K158" s="111"/>
      <c r="L158" s="111"/>
      <c r="M158" s="111"/>
      <c r="N158" s="111"/>
      <c r="O158" s="111"/>
      <c r="P158" s="111"/>
      <c r="Q158" s="111"/>
      <c r="R158" s="111">
        <f>Financials!F$8*$C158</f>
        <v>238.125</v>
      </c>
      <c r="S158" s="111">
        <f>Financials!G$8*$C158</f>
        <v>481.696875</v>
      </c>
      <c r="T158" s="111">
        <f>Financials!H$8*$C158</f>
        <v>725.3504531</v>
      </c>
      <c r="U158" s="111">
        <f>Financials!I$8*$C158</f>
        <v>969.0052568</v>
      </c>
      <c r="V158" s="111">
        <f>Financials!J$8*$C158</f>
        <v>1212.660079</v>
      </c>
      <c r="W158" s="111">
        <f>Financials!K$8*$C158</f>
        <v>1456.314901</v>
      </c>
      <c r="X158" s="111">
        <f>Financials!L$8*$C158</f>
        <v>1699.969724</v>
      </c>
      <c r="Y158" s="111">
        <f>Financials!M$8*$C158</f>
        <v>1943.624546</v>
      </c>
      <c r="Z158" s="111">
        <f>Financials!N$8*$C158</f>
        <v>2187.279368</v>
      </c>
      <c r="AA158" s="111">
        <f>Financials!O$8*$C158</f>
        <v>2430.934191</v>
      </c>
      <c r="AB158" s="111">
        <f>Financials!P$8*$C158</f>
        <v>2674.589013</v>
      </c>
      <c r="AC158" s="111">
        <f>Financials!Q$8*$C158</f>
        <v>2918.243835</v>
      </c>
      <c r="AD158" s="111">
        <f>Financials!R$8*$C158</f>
        <v>3114.273658</v>
      </c>
      <c r="AE158" s="111">
        <f>Financials!S$8*$C158</f>
        <v>3309.214105</v>
      </c>
      <c r="AF158" s="111">
        <f>Financials!T$8*$C158</f>
        <v>3504.138212</v>
      </c>
      <c r="AG158" s="111">
        <f>Financials!U$8*$C158</f>
        <v>3699.062073</v>
      </c>
      <c r="AH158" s="111">
        <f>Financials!V$8*$C158</f>
        <v>3893.985931</v>
      </c>
      <c r="AI158" s="111">
        <f>Financials!W$8*$C158</f>
        <v>4088.909789</v>
      </c>
      <c r="AJ158" s="111">
        <f>Financials!X$8*$C158</f>
        <v>4283.833647</v>
      </c>
      <c r="AK158" s="111">
        <f>Financials!Y$8*$C158</f>
        <v>4478.757505</v>
      </c>
      <c r="AL158" s="111">
        <f>Financials!Z$8*$C158</f>
        <v>4673.681363</v>
      </c>
      <c r="AM158" s="111">
        <f>Financials!AA$8*$C158</f>
        <v>4868.60522</v>
      </c>
      <c r="AN158" s="111">
        <f>Financials!AB$8*$C158</f>
        <v>5063.529078</v>
      </c>
      <c r="AO158" s="111">
        <f>Financials!AC$8*$C158</f>
        <v>5258.452936</v>
      </c>
      <c r="AP158" s="111">
        <f>Financials!AD$8*$C158</f>
        <v>5415.276794</v>
      </c>
      <c r="AQ158" s="111">
        <f>Financials!AE$8*$C158</f>
        <v>5571.229152</v>
      </c>
      <c r="AR158" s="111">
        <f>Financials!AF$8*$C158</f>
        <v>5727.168437</v>
      </c>
      <c r="AS158" s="111">
        <f>Financials!AG$8*$C158</f>
        <v>5883.107527</v>
      </c>
      <c r="AT158" s="111">
        <f>Financials!AH$8*$C158</f>
        <v>6039.046613</v>
      </c>
      <c r="AU158" s="111">
        <f>Financials!AI$8*$C158</f>
        <v>6194.985699</v>
      </c>
      <c r="AV158" s="111">
        <f>Financials!AJ$8*$C158</f>
        <v>6350.924785</v>
      </c>
      <c r="AW158" s="111">
        <f>Financials!AK$8*$C158</f>
        <v>6506.863872</v>
      </c>
      <c r="AX158" s="111">
        <f>Financials!AL$8*$C158</f>
        <v>6662.802958</v>
      </c>
      <c r="AY158" s="111">
        <f>Financials!AM$8*$C158</f>
        <v>6818.742044</v>
      </c>
      <c r="AZ158" s="111">
        <f>Financials!AN$8*$C158</f>
        <v>6974.681131</v>
      </c>
      <c r="BA158" s="111">
        <f>Financials!AO$8*$C158</f>
        <v>7130.620217</v>
      </c>
      <c r="BB158" s="111">
        <f>Financials!AP$8*$C158</f>
        <v>7256.079303</v>
      </c>
      <c r="BC158" s="111">
        <f>Financials!AQ$8*$C158</f>
        <v>7380.84119</v>
      </c>
      <c r="BD158" s="111">
        <f>Financials!AR$8*$C158</f>
        <v>7505.592618</v>
      </c>
      <c r="BE158" s="111">
        <f>Financials!AS$8*$C158</f>
        <v>7630.343889</v>
      </c>
      <c r="BF158" s="111">
        <f>Financials!AT$8*$C158</f>
        <v>7755.095158</v>
      </c>
      <c r="BG158" s="111">
        <f>Financials!AU$8*$C158</f>
        <v>7879.846427</v>
      </c>
      <c r="BH158" s="111">
        <f>Financials!AV$8*$C158</f>
        <v>8004.597696</v>
      </c>
      <c r="BI158" s="111">
        <f>Financials!AW$8*$C158</f>
        <v>8129.348965</v>
      </c>
      <c r="BJ158" s="111">
        <f>Financials!AX$8*$C158</f>
        <v>8254.100234</v>
      </c>
      <c r="BK158" s="111">
        <f>Financials!AY$8*$C158</f>
        <v>8378.851504</v>
      </c>
      <c r="BL158" s="111">
        <f>Financials!AZ$8*$C158</f>
        <v>8503.602773</v>
      </c>
      <c r="BM158" s="111">
        <f>Financials!BA$8*$C158</f>
        <v>8628.354042</v>
      </c>
      <c r="BN158" s="111">
        <f>Financials!BB$8*$C158</f>
        <v>8728.721311</v>
      </c>
      <c r="BO158" s="111">
        <f>Financials!BC$8*$C158</f>
        <v>8828.53082</v>
      </c>
      <c r="BP158" s="111">
        <f>Financials!BD$8*$C158</f>
        <v>8928.331962</v>
      </c>
      <c r="BQ158" s="111">
        <f>Financials!BE$8*$C158</f>
        <v>9028.132979</v>
      </c>
      <c r="BR158" s="111">
        <f>Financials!BF$8*$C158</f>
        <v>9127.933995</v>
      </c>
      <c r="BS158" s="111">
        <f>Financials!BG$8*$C158</f>
        <v>9227.73501</v>
      </c>
      <c r="BT158" s="111">
        <f>Financials!BH$8*$C158</f>
        <v>9327.536025</v>
      </c>
      <c r="BU158" s="111">
        <f>Financials!BI$8*$C158</f>
        <v>9427.33704</v>
      </c>
      <c r="BV158" s="111">
        <f>Financials!BJ$8*$C158</f>
        <v>9527.138056</v>
      </c>
      <c r="BW158" s="111">
        <f>Financials!BK$8*$C158</f>
        <v>9626.939071</v>
      </c>
      <c r="BX158" s="111">
        <f>Financials!BL$8*$C158</f>
        <v>9726.740086</v>
      </c>
      <c r="BY158" s="111">
        <f>Financials!BM$8*$C158</f>
        <v>9826.541101</v>
      </c>
    </row>
    <row r="159" outlineLevel="1">
      <c r="A159" s="47"/>
      <c r="B159" s="120" t="s">
        <v>102</v>
      </c>
      <c r="C159" s="119">
        <v>0.05</v>
      </c>
      <c r="D159" s="47"/>
      <c r="E159" s="47"/>
      <c r="F159" s="111"/>
      <c r="G159" s="111"/>
      <c r="H159" s="111"/>
      <c r="I159" s="111"/>
      <c r="J159" s="111"/>
      <c r="K159" s="111"/>
      <c r="L159" s="111"/>
      <c r="M159" s="111"/>
      <c r="N159" s="111"/>
      <c r="O159" s="111"/>
      <c r="P159" s="111"/>
      <c r="Q159" s="111"/>
      <c r="R159" s="111">
        <f>Financials!F$8*$C159</f>
        <v>238.125</v>
      </c>
      <c r="S159" s="111">
        <f>Financials!G$8*$C159</f>
        <v>481.696875</v>
      </c>
      <c r="T159" s="111">
        <f>Financials!H$8*$C159</f>
        <v>725.3504531</v>
      </c>
      <c r="U159" s="111">
        <f>Financials!I$8*$C159</f>
        <v>969.0052568</v>
      </c>
      <c r="V159" s="111">
        <f>Financials!J$8*$C159</f>
        <v>1212.660079</v>
      </c>
      <c r="W159" s="111">
        <f>Financials!K$8*$C159</f>
        <v>1456.314901</v>
      </c>
      <c r="X159" s="111">
        <f>Financials!L$8*$C159</f>
        <v>1699.969724</v>
      </c>
      <c r="Y159" s="111">
        <f>Financials!M$8*$C159</f>
        <v>1943.624546</v>
      </c>
      <c r="Z159" s="111">
        <f>Financials!N$8*$C159</f>
        <v>2187.279368</v>
      </c>
      <c r="AA159" s="111">
        <f>Financials!O$8*$C159</f>
        <v>2430.934191</v>
      </c>
      <c r="AB159" s="111">
        <f>Financials!P$8*$C159</f>
        <v>2674.589013</v>
      </c>
      <c r="AC159" s="111">
        <f>Financials!Q$8*$C159</f>
        <v>2918.243835</v>
      </c>
      <c r="AD159" s="111">
        <f>Financials!R$8*$C159</f>
        <v>3114.273658</v>
      </c>
      <c r="AE159" s="111">
        <f>Financials!S$8*$C159</f>
        <v>3309.214105</v>
      </c>
      <c r="AF159" s="111">
        <f>Financials!T$8*$C159</f>
        <v>3504.138212</v>
      </c>
      <c r="AG159" s="111">
        <f>Financials!U$8*$C159</f>
        <v>3699.062073</v>
      </c>
      <c r="AH159" s="111">
        <f>Financials!V$8*$C159</f>
        <v>3893.985931</v>
      </c>
      <c r="AI159" s="111">
        <f>Financials!W$8*$C159</f>
        <v>4088.909789</v>
      </c>
      <c r="AJ159" s="111">
        <f>Financials!X$8*$C159</f>
        <v>4283.833647</v>
      </c>
      <c r="AK159" s="111">
        <f>Financials!Y$8*$C159</f>
        <v>4478.757505</v>
      </c>
      <c r="AL159" s="111">
        <f>Financials!Z$8*$C159</f>
        <v>4673.681363</v>
      </c>
      <c r="AM159" s="111">
        <f>Financials!AA$8*$C159</f>
        <v>4868.60522</v>
      </c>
      <c r="AN159" s="111">
        <f>Financials!AB$8*$C159</f>
        <v>5063.529078</v>
      </c>
      <c r="AO159" s="111">
        <f>Financials!AC$8*$C159</f>
        <v>5258.452936</v>
      </c>
      <c r="AP159" s="111">
        <f>Financials!AD$8*$C159</f>
        <v>5415.276794</v>
      </c>
      <c r="AQ159" s="111">
        <f>Financials!AE$8*$C159</f>
        <v>5571.229152</v>
      </c>
      <c r="AR159" s="111">
        <f>Financials!AF$8*$C159</f>
        <v>5727.168437</v>
      </c>
      <c r="AS159" s="111">
        <f>Financials!AG$8*$C159</f>
        <v>5883.107527</v>
      </c>
      <c r="AT159" s="111">
        <f>Financials!AH$8*$C159</f>
        <v>6039.046613</v>
      </c>
      <c r="AU159" s="111">
        <f>Financials!AI$8*$C159</f>
        <v>6194.985699</v>
      </c>
      <c r="AV159" s="111">
        <f>Financials!AJ$8*$C159</f>
        <v>6350.924785</v>
      </c>
      <c r="AW159" s="111">
        <f>Financials!AK$8*$C159</f>
        <v>6506.863872</v>
      </c>
      <c r="AX159" s="111">
        <f>Financials!AL$8*$C159</f>
        <v>6662.802958</v>
      </c>
      <c r="AY159" s="111">
        <f>Financials!AM$8*$C159</f>
        <v>6818.742044</v>
      </c>
      <c r="AZ159" s="111">
        <f>Financials!AN$8*$C159</f>
        <v>6974.681131</v>
      </c>
      <c r="BA159" s="111">
        <f>Financials!AO$8*$C159</f>
        <v>7130.620217</v>
      </c>
      <c r="BB159" s="111">
        <f>Financials!AP$8*$C159</f>
        <v>7256.079303</v>
      </c>
      <c r="BC159" s="111">
        <f>Financials!AQ$8*$C159</f>
        <v>7380.84119</v>
      </c>
      <c r="BD159" s="111">
        <f>Financials!AR$8*$C159</f>
        <v>7505.592618</v>
      </c>
      <c r="BE159" s="111">
        <f>Financials!AS$8*$C159</f>
        <v>7630.343889</v>
      </c>
      <c r="BF159" s="111">
        <f>Financials!AT$8*$C159</f>
        <v>7755.095158</v>
      </c>
      <c r="BG159" s="111">
        <f>Financials!AU$8*$C159</f>
        <v>7879.846427</v>
      </c>
      <c r="BH159" s="111">
        <f>Financials!AV$8*$C159</f>
        <v>8004.597696</v>
      </c>
      <c r="BI159" s="111">
        <f>Financials!AW$8*$C159</f>
        <v>8129.348965</v>
      </c>
      <c r="BJ159" s="111">
        <f>Financials!AX$8*$C159</f>
        <v>8254.100234</v>
      </c>
      <c r="BK159" s="111">
        <f>Financials!AY$8*$C159</f>
        <v>8378.851504</v>
      </c>
      <c r="BL159" s="111">
        <f>Financials!AZ$8*$C159</f>
        <v>8503.602773</v>
      </c>
      <c r="BM159" s="111">
        <f>Financials!BA$8*$C159</f>
        <v>8628.354042</v>
      </c>
      <c r="BN159" s="111">
        <f>Financials!BB$8*$C159</f>
        <v>8728.721311</v>
      </c>
      <c r="BO159" s="111">
        <f>Financials!BC$8*$C159</f>
        <v>8828.53082</v>
      </c>
      <c r="BP159" s="111">
        <f>Financials!BD$8*$C159</f>
        <v>8928.331962</v>
      </c>
      <c r="BQ159" s="111">
        <f>Financials!BE$8*$C159</f>
        <v>9028.132979</v>
      </c>
      <c r="BR159" s="111">
        <f>Financials!BF$8*$C159</f>
        <v>9127.933995</v>
      </c>
      <c r="BS159" s="111">
        <f>Financials!BG$8*$C159</f>
        <v>9227.73501</v>
      </c>
      <c r="BT159" s="111">
        <f>Financials!BH$8*$C159</f>
        <v>9327.536025</v>
      </c>
      <c r="BU159" s="111">
        <f>Financials!BI$8*$C159</f>
        <v>9427.33704</v>
      </c>
      <c r="BV159" s="111">
        <f>Financials!BJ$8*$C159</f>
        <v>9527.138056</v>
      </c>
      <c r="BW159" s="111">
        <f>Financials!BK$8*$C159</f>
        <v>9626.939071</v>
      </c>
      <c r="BX159" s="111">
        <f>Financials!BL$8*$C159</f>
        <v>9726.740086</v>
      </c>
      <c r="BY159" s="111">
        <f>Financials!BM$8*$C159</f>
        <v>9826.541101</v>
      </c>
    </row>
    <row r="160" outlineLevel="1">
      <c r="A160" s="47"/>
      <c r="B160" s="120" t="s">
        <v>103</v>
      </c>
      <c r="C160" s="119">
        <v>0.05</v>
      </c>
      <c r="D160" s="47"/>
      <c r="E160" s="47"/>
      <c r="F160" s="111"/>
      <c r="G160" s="111"/>
      <c r="H160" s="111"/>
      <c r="I160" s="111"/>
      <c r="J160" s="111"/>
      <c r="K160" s="111"/>
      <c r="L160" s="111"/>
      <c r="M160" s="111"/>
      <c r="N160" s="111"/>
      <c r="O160" s="111"/>
      <c r="P160" s="111"/>
      <c r="Q160" s="111"/>
      <c r="R160" s="111">
        <f>Financials!F$8*$C160</f>
        <v>238.125</v>
      </c>
      <c r="S160" s="111">
        <f>Financials!G$8*$C160</f>
        <v>481.696875</v>
      </c>
      <c r="T160" s="111">
        <f>Financials!H$8*$C160</f>
        <v>725.3504531</v>
      </c>
      <c r="U160" s="111">
        <f>Financials!I$8*$C160</f>
        <v>969.0052568</v>
      </c>
      <c r="V160" s="111">
        <f>Financials!J$8*$C160</f>
        <v>1212.660079</v>
      </c>
      <c r="W160" s="111">
        <f>Financials!K$8*$C160</f>
        <v>1456.314901</v>
      </c>
      <c r="X160" s="111">
        <f>Financials!L$8*$C160</f>
        <v>1699.969724</v>
      </c>
      <c r="Y160" s="111">
        <f>Financials!M$8*$C160</f>
        <v>1943.624546</v>
      </c>
      <c r="Z160" s="111">
        <f>Financials!N$8*$C160</f>
        <v>2187.279368</v>
      </c>
      <c r="AA160" s="111">
        <f>Financials!O$8*$C160</f>
        <v>2430.934191</v>
      </c>
      <c r="AB160" s="111">
        <f>Financials!P$8*$C160</f>
        <v>2674.589013</v>
      </c>
      <c r="AC160" s="111">
        <f>Financials!Q$8*$C160</f>
        <v>2918.243835</v>
      </c>
      <c r="AD160" s="111">
        <f>Financials!R$8*$C160</f>
        <v>3114.273658</v>
      </c>
      <c r="AE160" s="111">
        <f>Financials!S$8*$C160</f>
        <v>3309.214105</v>
      </c>
      <c r="AF160" s="111">
        <f>Financials!T$8*$C160</f>
        <v>3504.138212</v>
      </c>
      <c r="AG160" s="111">
        <f>Financials!U$8*$C160</f>
        <v>3699.062073</v>
      </c>
      <c r="AH160" s="111">
        <f>Financials!V$8*$C160</f>
        <v>3893.985931</v>
      </c>
      <c r="AI160" s="111">
        <f>Financials!W$8*$C160</f>
        <v>4088.909789</v>
      </c>
      <c r="AJ160" s="111">
        <f>Financials!X$8*$C160</f>
        <v>4283.833647</v>
      </c>
      <c r="AK160" s="111">
        <f>Financials!Y$8*$C160</f>
        <v>4478.757505</v>
      </c>
      <c r="AL160" s="111">
        <f>Financials!Z$8*$C160</f>
        <v>4673.681363</v>
      </c>
      <c r="AM160" s="111">
        <f>Financials!AA$8*$C160</f>
        <v>4868.60522</v>
      </c>
      <c r="AN160" s="111">
        <f>Financials!AB$8*$C160</f>
        <v>5063.529078</v>
      </c>
      <c r="AO160" s="111">
        <f>Financials!AC$8*$C160</f>
        <v>5258.452936</v>
      </c>
      <c r="AP160" s="111">
        <f>Financials!AD$8*$C160</f>
        <v>5415.276794</v>
      </c>
      <c r="AQ160" s="111">
        <f>Financials!AE$8*$C160</f>
        <v>5571.229152</v>
      </c>
      <c r="AR160" s="111">
        <f>Financials!AF$8*$C160</f>
        <v>5727.168437</v>
      </c>
      <c r="AS160" s="111">
        <f>Financials!AG$8*$C160</f>
        <v>5883.107527</v>
      </c>
      <c r="AT160" s="111">
        <f>Financials!AH$8*$C160</f>
        <v>6039.046613</v>
      </c>
      <c r="AU160" s="111">
        <f>Financials!AI$8*$C160</f>
        <v>6194.985699</v>
      </c>
      <c r="AV160" s="111">
        <f>Financials!AJ$8*$C160</f>
        <v>6350.924785</v>
      </c>
      <c r="AW160" s="111">
        <f>Financials!AK$8*$C160</f>
        <v>6506.863872</v>
      </c>
      <c r="AX160" s="111">
        <f>Financials!AL$8*$C160</f>
        <v>6662.802958</v>
      </c>
      <c r="AY160" s="111">
        <f>Financials!AM$8*$C160</f>
        <v>6818.742044</v>
      </c>
      <c r="AZ160" s="111">
        <f>Financials!AN$8*$C160</f>
        <v>6974.681131</v>
      </c>
      <c r="BA160" s="111">
        <f>Financials!AO$8*$C160</f>
        <v>7130.620217</v>
      </c>
      <c r="BB160" s="111">
        <f>Financials!AP$8*$C160</f>
        <v>7256.079303</v>
      </c>
      <c r="BC160" s="111">
        <f>Financials!AQ$8*$C160</f>
        <v>7380.84119</v>
      </c>
      <c r="BD160" s="111">
        <f>Financials!AR$8*$C160</f>
        <v>7505.592618</v>
      </c>
      <c r="BE160" s="111">
        <f>Financials!AS$8*$C160</f>
        <v>7630.343889</v>
      </c>
      <c r="BF160" s="111">
        <f>Financials!AT$8*$C160</f>
        <v>7755.095158</v>
      </c>
      <c r="BG160" s="111">
        <f>Financials!AU$8*$C160</f>
        <v>7879.846427</v>
      </c>
      <c r="BH160" s="111">
        <f>Financials!AV$8*$C160</f>
        <v>8004.597696</v>
      </c>
      <c r="BI160" s="111">
        <f>Financials!AW$8*$C160</f>
        <v>8129.348965</v>
      </c>
      <c r="BJ160" s="111">
        <f>Financials!AX$8*$C160</f>
        <v>8254.100234</v>
      </c>
      <c r="BK160" s="111">
        <f>Financials!AY$8*$C160</f>
        <v>8378.851504</v>
      </c>
      <c r="BL160" s="111">
        <f>Financials!AZ$8*$C160</f>
        <v>8503.602773</v>
      </c>
      <c r="BM160" s="111">
        <f>Financials!BA$8*$C160</f>
        <v>8628.354042</v>
      </c>
      <c r="BN160" s="111">
        <f>Financials!BB$8*$C160</f>
        <v>8728.721311</v>
      </c>
      <c r="BO160" s="111">
        <f>Financials!BC$8*$C160</f>
        <v>8828.53082</v>
      </c>
      <c r="BP160" s="111">
        <f>Financials!BD$8*$C160</f>
        <v>8928.331962</v>
      </c>
      <c r="BQ160" s="111">
        <f>Financials!BE$8*$C160</f>
        <v>9028.132979</v>
      </c>
      <c r="BR160" s="111">
        <f>Financials!BF$8*$C160</f>
        <v>9127.933995</v>
      </c>
      <c r="BS160" s="111">
        <f>Financials!BG$8*$C160</f>
        <v>9227.73501</v>
      </c>
      <c r="BT160" s="111">
        <f>Financials!BH$8*$C160</f>
        <v>9327.536025</v>
      </c>
      <c r="BU160" s="111">
        <f>Financials!BI$8*$C160</f>
        <v>9427.33704</v>
      </c>
      <c r="BV160" s="111">
        <f>Financials!BJ$8*$C160</f>
        <v>9527.138056</v>
      </c>
      <c r="BW160" s="111">
        <f>Financials!BK$8*$C160</f>
        <v>9626.939071</v>
      </c>
      <c r="BX160" s="111">
        <f>Financials!BL$8*$C160</f>
        <v>9726.740086</v>
      </c>
      <c r="BY160" s="111">
        <f>Financials!BM$8*$C160</f>
        <v>9826.541101</v>
      </c>
    </row>
    <row r="161" outlineLevel="1">
      <c r="A161" s="47"/>
      <c r="B161" s="120" t="s">
        <v>104</v>
      </c>
      <c r="C161" s="119">
        <v>0.05</v>
      </c>
      <c r="D161" s="47"/>
      <c r="E161" s="47"/>
      <c r="F161" s="111"/>
      <c r="G161" s="111"/>
      <c r="H161" s="111"/>
      <c r="I161" s="111"/>
      <c r="J161" s="111"/>
      <c r="K161" s="111"/>
      <c r="L161" s="111"/>
      <c r="M161" s="111"/>
      <c r="N161" s="111"/>
      <c r="O161" s="111"/>
      <c r="P161" s="111"/>
      <c r="Q161" s="111"/>
      <c r="R161" s="111">
        <f>Financials!F$8*$C161</f>
        <v>238.125</v>
      </c>
      <c r="S161" s="111">
        <f>Financials!G$8*$C161</f>
        <v>481.696875</v>
      </c>
      <c r="T161" s="111">
        <f>Financials!H$8*$C161</f>
        <v>725.3504531</v>
      </c>
      <c r="U161" s="111">
        <f>Financials!I$8*$C161</f>
        <v>969.0052568</v>
      </c>
      <c r="V161" s="111">
        <f>Financials!J$8*$C161</f>
        <v>1212.660079</v>
      </c>
      <c r="W161" s="111">
        <f>Financials!K$8*$C161</f>
        <v>1456.314901</v>
      </c>
      <c r="X161" s="111">
        <f>Financials!L$8*$C161</f>
        <v>1699.969724</v>
      </c>
      <c r="Y161" s="111">
        <f>Financials!M$8*$C161</f>
        <v>1943.624546</v>
      </c>
      <c r="Z161" s="111">
        <f>Financials!N$8*$C161</f>
        <v>2187.279368</v>
      </c>
      <c r="AA161" s="111">
        <f>Financials!O$8*$C161</f>
        <v>2430.934191</v>
      </c>
      <c r="AB161" s="111">
        <f>Financials!P$8*$C161</f>
        <v>2674.589013</v>
      </c>
      <c r="AC161" s="111">
        <f>Financials!Q$8*$C161</f>
        <v>2918.243835</v>
      </c>
      <c r="AD161" s="111">
        <f>Financials!R$8*$C161</f>
        <v>3114.273658</v>
      </c>
      <c r="AE161" s="111">
        <f>Financials!S$8*$C161</f>
        <v>3309.214105</v>
      </c>
      <c r="AF161" s="111">
        <f>Financials!T$8*$C161</f>
        <v>3504.138212</v>
      </c>
      <c r="AG161" s="111">
        <f>Financials!U$8*$C161</f>
        <v>3699.062073</v>
      </c>
      <c r="AH161" s="111">
        <f>Financials!V$8*$C161</f>
        <v>3893.985931</v>
      </c>
      <c r="AI161" s="111">
        <f>Financials!W$8*$C161</f>
        <v>4088.909789</v>
      </c>
      <c r="AJ161" s="111">
        <f>Financials!X$8*$C161</f>
        <v>4283.833647</v>
      </c>
      <c r="AK161" s="111">
        <f>Financials!Y$8*$C161</f>
        <v>4478.757505</v>
      </c>
      <c r="AL161" s="111">
        <f>Financials!Z$8*$C161</f>
        <v>4673.681363</v>
      </c>
      <c r="AM161" s="111">
        <f>Financials!AA$8*$C161</f>
        <v>4868.60522</v>
      </c>
      <c r="AN161" s="111">
        <f>Financials!AB$8*$C161</f>
        <v>5063.529078</v>
      </c>
      <c r="AO161" s="111">
        <f>Financials!AC$8*$C161</f>
        <v>5258.452936</v>
      </c>
      <c r="AP161" s="111">
        <f>Financials!AD$8*$C161</f>
        <v>5415.276794</v>
      </c>
      <c r="AQ161" s="111">
        <f>Financials!AE$8*$C161</f>
        <v>5571.229152</v>
      </c>
      <c r="AR161" s="111">
        <f>Financials!AF$8*$C161</f>
        <v>5727.168437</v>
      </c>
      <c r="AS161" s="111">
        <f>Financials!AG$8*$C161</f>
        <v>5883.107527</v>
      </c>
      <c r="AT161" s="111">
        <f>Financials!AH$8*$C161</f>
        <v>6039.046613</v>
      </c>
      <c r="AU161" s="111">
        <f>Financials!AI$8*$C161</f>
        <v>6194.985699</v>
      </c>
      <c r="AV161" s="111">
        <f>Financials!AJ$8*$C161</f>
        <v>6350.924785</v>
      </c>
      <c r="AW161" s="111">
        <f>Financials!AK$8*$C161</f>
        <v>6506.863872</v>
      </c>
      <c r="AX161" s="111">
        <f>Financials!AL$8*$C161</f>
        <v>6662.802958</v>
      </c>
      <c r="AY161" s="111">
        <f>Financials!AM$8*$C161</f>
        <v>6818.742044</v>
      </c>
      <c r="AZ161" s="111">
        <f>Financials!AN$8*$C161</f>
        <v>6974.681131</v>
      </c>
      <c r="BA161" s="111">
        <f>Financials!AO$8*$C161</f>
        <v>7130.620217</v>
      </c>
      <c r="BB161" s="111">
        <f>Financials!AP$8*$C161</f>
        <v>7256.079303</v>
      </c>
      <c r="BC161" s="111">
        <f>Financials!AQ$8*$C161</f>
        <v>7380.84119</v>
      </c>
      <c r="BD161" s="111">
        <f>Financials!AR$8*$C161</f>
        <v>7505.592618</v>
      </c>
      <c r="BE161" s="111">
        <f>Financials!AS$8*$C161</f>
        <v>7630.343889</v>
      </c>
      <c r="BF161" s="111">
        <f>Financials!AT$8*$C161</f>
        <v>7755.095158</v>
      </c>
      <c r="BG161" s="111">
        <f>Financials!AU$8*$C161</f>
        <v>7879.846427</v>
      </c>
      <c r="BH161" s="111">
        <f>Financials!AV$8*$C161</f>
        <v>8004.597696</v>
      </c>
      <c r="BI161" s="111">
        <f>Financials!AW$8*$C161</f>
        <v>8129.348965</v>
      </c>
      <c r="BJ161" s="111">
        <f>Financials!AX$8*$C161</f>
        <v>8254.100234</v>
      </c>
      <c r="BK161" s="111">
        <f>Financials!AY$8*$C161</f>
        <v>8378.851504</v>
      </c>
      <c r="BL161" s="111">
        <f>Financials!AZ$8*$C161</f>
        <v>8503.602773</v>
      </c>
      <c r="BM161" s="111">
        <f>Financials!BA$8*$C161</f>
        <v>8628.354042</v>
      </c>
      <c r="BN161" s="111">
        <f>Financials!BB$8*$C161</f>
        <v>8728.721311</v>
      </c>
      <c r="BO161" s="111">
        <f>Financials!BC$8*$C161</f>
        <v>8828.53082</v>
      </c>
      <c r="BP161" s="111">
        <f>Financials!BD$8*$C161</f>
        <v>8928.331962</v>
      </c>
      <c r="BQ161" s="111">
        <f>Financials!BE$8*$C161</f>
        <v>9028.132979</v>
      </c>
      <c r="BR161" s="111">
        <f>Financials!BF$8*$C161</f>
        <v>9127.933995</v>
      </c>
      <c r="BS161" s="111">
        <f>Financials!BG$8*$C161</f>
        <v>9227.73501</v>
      </c>
      <c r="BT161" s="111">
        <f>Financials!BH$8*$C161</f>
        <v>9327.536025</v>
      </c>
      <c r="BU161" s="111">
        <f>Financials!BI$8*$C161</f>
        <v>9427.33704</v>
      </c>
      <c r="BV161" s="111">
        <f>Financials!BJ$8*$C161</f>
        <v>9527.138056</v>
      </c>
      <c r="BW161" s="111">
        <f>Financials!BK$8*$C161</f>
        <v>9626.939071</v>
      </c>
      <c r="BX161" s="111">
        <f>Financials!BL$8*$C161</f>
        <v>9726.740086</v>
      </c>
      <c r="BY161" s="111">
        <f>Financials!BM$8*$C161</f>
        <v>9826.541101</v>
      </c>
    </row>
    <row r="162" outlineLevel="1">
      <c r="A162" s="47"/>
      <c r="B162" s="121" t="s">
        <v>105</v>
      </c>
      <c r="C162" s="122">
        <v>0.05</v>
      </c>
      <c r="D162" s="61"/>
      <c r="E162" s="61"/>
      <c r="F162" s="123"/>
      <c r="G162" s="123"/>
      <c r="H162" s="123"/>
      <c r="I162" s="123"/>
      <c r="J162" s="123"/>
      <c r="K162" s="123"/>
      <c r="L162" s="123"/>
      <c r="M162" s="123"/>
      <c r="N162" s="123"/>
      <c r="O162" s="123"/>
      <c r="P162" s="123"/>
      <c r="Q162" s="123"/>
      <c r="R162" s="123">
        <f>Financials!F$8*$C162</f>
        <v>238.125</v>
      </c>
      <c r="S162" s="123">
        <f>Financials!G$8*$C162</f>
        <v>481.696875</v>
      </c>
      <c r="T162" s="123">
        <f>Financials!H$8*$C162</f>
        <v>725.3504531</v>
      </c>
      <c r="U162" s="123">
        <f>Financials!I$8*$C162</f>
        <v>969.0052568</v>
      </c>
      <c r="V162" s="123">
        <f>Financials!J$8*$C162</f>
        <v>1212.660079</v>
      </c>
      <c r="W162" s="123">
        <f>Financials!K$8*$C162</f>
        <v>1456.314901</v>
      </c>
      <c r="X162" s="123">
        <f>Financials!L$8*$C162</f>
        <v>1699.969724</v>
      </c>
      <c r="Y162" s="123">
        <f>Financials!M$8*$C162</f>
        <v>1943.624546</v>
      </c>
      <c r="Z162" s="123">
        <f>Financials!N$8*$C162</f>
        <v>2187.279368</v>
      </c>
      <c r="AA162" s="123">
        <f>Financials!O$8*$C162</f>
        <v>2430.934191</v>
      </c>
      <c r="AB162" s="123">
        <f>Financials!P$8*$C162</f>
        <v>2674.589013</v>
      </c>
      <c r="AC162" s="123">
        <f>Financials!Q$8*$C162</f>
        <v>2918.243835</v>
      </c>
      <c r="AD162" s="123">
        <f>Financials!R$8*$C162</f>
        <v>3114.273658</v>
      </c>
      <c r="AE162" s="123">
        <f>Financials!S$8*$C162</f>
        <v>3309.214105</v>
      </c>
      <c r="AF162" s="123">
        <f>Financials!T$8*$C162</f>
        <v>3504.138212</v>
      </c>
      <c r="AG162" s="123">
        <f>Financials!U$8*$C162</f>
        <v>3699.062073</v>
      </c>
      <c r="AH162" s="123">
        <f>Financials!V$8*$C162</f>
        <v>3893.985931</v>
      </c>
      <c r="AI162" s="123">
        <f>Financials!W$8*$C162</f>
        <v>4088.909789</v>
      </c>
      <c r="AJ162" s="123">
        <f>Financials!X$8*$C162</f>
        <v>4283.833647</v>
      </c>
      <c r="AK162" s="123">
        <f>Financials!Y$8*$C162</f>
        <v>4478.757505</v>
      </c>
      <c r="AL162" s="123">
        <f>Financials!Z$8*$C162</f>
        <v>4673.681363</v>
      </c>
      <c r="AM162" s="123">
        <f>Financials!AA$8*$C162</f>
        <v>4868.60522</v>
      </c>
      <c r="AN162" s="123">
        <f>Financials!AB$8*$C162</f>
        <v>5063.529078</v>
      </c>
      <c r="AO162" s="123">
        <f>Financials!AC$8*$C162</f>
        <v>5258.452936</v>
      </c>
      <c r="AP162" s="123">
        <f>Financials!AD$8*$C162</f>
        <v>5415.276794</v>
      </c>
      <c r="AQ162" s="123">
        <f>Financials!AE$8*$C162</f>
        <v>5571.229152</v>
      </c>
      <c r="AR162" s="123">
        <f>Financials!AF$8*$C162</f>
        <v>5727.168437</v>
      </c>
      <c r="AS162" s="123">
        <f>Financials!AG$8*$C162</f>
        <v>5883.107527</v>
      </c>
      <c r="AT162" s="123">
        <f>Financials!AH$8*$C162</f>
        <v>6039.046613</v>
      </c>
      <c r="AU162" s="123">
        <f>Financials!AI$8*$C162</f>
        <v>6194.985699</v>
      </c>
      <c r="AV162" s="123">
        <f>Financials!AJ$8*$C162</f>
        <v>6350.924785</v>
      </c>
      <c r="AW162" s="123">
        <f>Financials!AK$8*$C162</f>
        <v>6506.863872</v>
      </c>
      <c r="AX162" s="123">
        <f>Financials!AL$8*$C162</f>
        <v>6662.802958</v>
      </c>
      <c r="AY162" s="123">
        <f>Financials!AM$8*$C162</f>
        <v>6818.742044</v>
      </c>
      <c r="AZ162" s="123">
        <f>Financials!AN$8*$C162</f>
        <v>6974.681131</v>
      </c>
      <c r="BA162" s="123">
        <f>Financials!AO$8*$C162</f>
        <v>7130.620217</v>
      </c>
      <c r="BB162" s="123">
        <f>Financials!AP$8*$C162</f>
        <v>7256.079303</v>
      </c>
      <c r="BC162" s="123">
        <f>Financials!AQ$8*$C162</f>
        <v>7380.84119</v>
      </c>
      <c r="BD162" s="123">
        <f>Financials!AR$8*$C162</f>
        <v>7505.592618</v>
      </c>
      <c r="BE162" s="123">
        <f>Financials!AS$8*$C162</f>
        <v>7630.343889</v>
      </c>
      <c r="BF162" s="123">
        <f>Financials!AT$8*$C162</f>
        <v>7755.095158</v>
      </c>
      <c r="BG162" s="123">
        <f>Financials!AU$8*$C162</f>
        <v>7879.846427</v>
      </c>
      <c r="BH162" s="123">
        <f>Financials!AV$8*$C162</f>
        <v>8004.597696</v>
      </c>
      <c r="BI162" s="123">
        <f>Financials!AW$8*$C162</f>
        <v>8129.348965</v>
      </c>
      <c r="BJ162" s="123">
        <f>Financials!AX$8*$C162</f>
        <v>8254.100234</v>
      </c>
      <c r="BK162" s="123">
        <f>Financials!AY$8*$C162</f>
        <v>8378.851504</v>
      </c>
      <c r="BL162" s="123">
        <f>Financials!AZ$8*$C162</f>
        <v>8503.602773</v>
      </c>
      <c r="BM162" s="123">
        <f>Financials!BA$8*$C162</f>
        <v>8628.354042</v>
      </c>
      <c r="BN162" s="123">
        <f>Financials!BB$8*$C162</f>
        <v>8728.721311</v>
      </c>
      <c r="BO162" s="123">
        <f>Financials!BC$8*$C162</f>
        <v>8828.53082</v>
      </c>
      <c r="BP162" s="123">
        <f>Financials!BD$8*$C162</f>
        <v>8928.331962</v>
      </c>
      <c r="BQ162" s="123">
        <f>Financials!BE$8*$C162</f>
        <v>9028.132979</v>
      </c>
      <c r="BR162" s="123">
        <f>Financials!BF$8*$C162</f>
        <v>9127.933995</v>
      </c>
      <c r="BS162" s="123">
        <f>Financials!BG$8*$C162</f>
        <v>9227.73501</v>
      </c>
      <c r="BT162" s="123">
        <f>Financials!BH$8*$C162</f>
        <v>9327.536025</v>
      </c>
      <c r="BU162" s="123">
        <f>Financials!BI$8*$C162</f>
        <v>9427.33704</v>
      </c>
      <c r="BV162" s="123">
        <f>Financials!BJ$8*$C162</f>
        <v>9527.138056</v>
      </c>
      <c r="BW162" s="123">
        <f>Financials!BK$8*$C162</f>
        <v>9626.939071</v>
      </c>
      <c r="BX162" s="123">
        <f>Financials!BL$8*$C162</f>
        <v>9726.740086</v>
      </c>
      <c r="BY162" s="123">
        <f>Financials!BM$8*$C162</f>
        <v>9826.541101</v>
      </c>
    </row>
    <row r="163" outlineLevel="1">
      <c r="A163" s="124"/>
      <c r="B163" s="125" t="s">
        <v>106</v>
      </c>
      <c r="C163" s="124"/>
      <c r="D163" s="124"/>
      <c r="E163" s="124"/>
      <c r="F163" s="124"/>
      <c r="G163" s="126"/>
      <c r="H163" s="126"/>
      <c r="I163" s="126"/>
      <c r="J163" s="126"/>
      <c r="K163" s="126"/>
      <c r="L163" s="126"/>
      <c r="M163" s="126"/>
      <c r="N163" s="126"/>
      <c r="O163" s="126"/>
      <c r="P163" s="126"/>
      <c r="Q163" s="126"/>
      <c r="R163" s="126">
        <f t="shared" ref="R163:BY163" si="120">sum(R155:R162)</f>
        <v>1666.875</v>
      </c>
      <c r="S163" s="126">
        <f t="shared" si="120"/>
        <v>3371.878125</v>
      </c>
      <c r="T163" s="126">
        <f t="shared" si="120"/>
        <v>5077.453172</v>
      </c>
      <c r="U163" s="126">
        <f t="shared" si="120"/>
        <v>6783.036798</v>
      </c>
      <c r="V163" s="126">
        <f t="shared" si="120"/>
        <v>8488.620552</v>
      </c>
      <c r="W163" s="126">
        <f t="shared" si="120"/>
        <v>10194.20431</v>
      </c>
      <c r="X163" s="126">
        <f t="shared" si="120"/>
        <v>11899.78806</v>
      </c>
      <c r="Y163" s="126">
        <f t="shared" si="120"/>
        <v>13605.37182</v>
      </c>
      <c r="Z163" s="126">
        <f t="shared" si="120"/>
        <v>15310.95558</v>
      </c>
      <c r="AA163" s="126">
        <f t="shared" si="120"/>
        <v>17016.53933</v>
      </c>
      <c r="AB163" s="126">
        <f t="shared" si="120"/>
        <v>18722.12309</v>
      </c>
      <c r="AC163" s="126">
        <f t="shared" si="120"/>
        <v>20427.70685</v>
      </c>
      <c r="AD163" s="126">
        <f t="shared" si="120"/>
        <v>21799.9156</v>
      </c>
      <c r="AE163" s="126">
        <f t="shared" si="120"/>
        <v>23164.49873</v>
      </c>
      <c r="AF163" s="126">
        <f t="shared" si="120"/>
        <v>24528.96748</v>
      </c>
      <c r="AG163" s="126">
        <f t="shared" si="120"/>
        <v>25893.43451</v>
      </c>
      <c r="AH163" s="126">
        <f t="shared" si="120"/>
        <v>27257.90152</v>
      </c>
      <c r="AI163" s="126">
        <f t="shared" si="120"/>
        <v>28622.36852</v>
      </c>
      <c r="AJ163" s="126">
        <f t="shared" si="120"/>
        <v>29986.83553</v>
      </c>
      <c r="AK163" s="126">
        <f t="shared" si="120"/>
        <v>31351.30253</v>
      </c>
      <c r="AL163" s="126">
        <f t="shared" si="120"/>
        <v>32715.76954</v>
      </c>
      <c r="AM163" s="126">
        <f t="shared" si="120"/>
        <v>34080.23654</v>
      </c>
      <c r="AN163" s="126">
        <f t="shared" si="120"/>
        <v>35444.70355</v>
      </c>
      <c r="AO163" s="126">
        <f t="shared" si="120"/>
        <v>36809.17055</v>
      </c>
      <c r="AP163" s="126">
        <f t="shared" si="120"/>
        <v>37906.93756</v>
      </c>
      <c r="AQ163" s="126">
        <f t="shared" si="120"/>
        <v>38998.60406</v>
      </c>
      <c r="AR163" s="126">
        <f t="shared" si="120"/>
        <v>40090.17906</v>
      </c>
      <c r="AS163" s="126">
        <f t="shared" si="120"/>
        <v>41181.75269</v>
      </c>
      <c r="AT163" s="126">
        <f t="shared" si="120"/>
        <v>42273.32629</v>
      </c>
      <c r="AU163" s="126">
        <f t="shared" si="120"/>
        <v>43364.89989</v>
      </c>
      <c r="AV163" s="126">
        <f t="shared" si="120"/>
        <v>44456.4735</v>
      </c>
      <c r="AW163" s="126">
        <f t="shared" si="120"/>
        <v>45548.0471</v>
      </c>
      <c r="AX163" s="126">
        <f t="shared" si="120"/>
        <v>46639.62071</v>
      </c>
      <c r="AY163" s="126">
        <f t="shared" si="120"/>
        <v>47731.19431</v>
      </c>
      <c r="AZ163" s="126">
        <f t="shared" si="120"/>
        <v>48822.76791</v>
      </c>
      <c r="BA163" s="126">
        <f t="shared" si="120"/>
        <v>49914.34152</v>
      </c>
      <c r="BB163" s="126">
        <f t="shared" si="120"/>
        <v>50792.55512</v>
      </c>
      <c r="BC163" s="126">
        <f t="shared" si="120"/>
        <v>51665.88833</v>
      </c>
      <c r="BD163" s="126">
        <f t="shared" si="120"/>
        <v>52539.14832</v>
      </c>
      <c r="BE163" s="126">
        <f t="shared" si="120"/>
        <v>53412.40722</v>
      </c>
      <c r="BF163" s="126">
        <f t="shared" si="120"/>
        <v>54285.66611</v>
      </c>
      <c r="BG163" s="126">
        <f t="shared" si="120"/>
        <v>55158.92499</v>
      </c>
      <c r="BH163" s="126">
        <f t="shared" si="120"/>
        <v>56032.18387</v>
      </c>
      <c r="BI163" s="126">
        <f t="shared" si="120"/>
        <v>56905.44276</v>
      </c>
      <c r="BJ163" s="126">
        <f t="shared" si="120"/>
        <v>57778.70164</v>
      </c>
      <c r="BK163" s="126">
        <f t="shared" si="120"/>
        <v>58651.96052</v>
      </c>
      <c r="BL163" s="126">
        <f t="shared" si="120"/>
        <v>59525.21941</v>
      </c>
      <c r="BM163" s="126">
        <f t="shared" si="120"/>
        <v>60398.47829</v>
      </c>
      <c r="BN163" s="126">
        <f t="shared" si="120"/>
        <v>61101.04917</v>
      </c>
      <c r="BO163" s="126">
        <f t="shared" si="120"/>
        <v>61799.71574</v>
      </c>
      <c r="BP163" s="126">
        <f t="shared" si="120"/>
        <v>62498.32374</v>
      </c>
      <c r="BQ163" s="126">
        <f t="shared" si="120"/>
        <v>63196.93086</v>
      </c>
      <c r="BR163" s="126">
        <f t="shared" si="120"/>
        <v>63895.53796</v>
      </c>
      <c r="BS163" s="126">
        <f t="shared" si="120"/>
        <v>64594.14507</v>
      </c>
      <c r="BT163" s="126">
        <f t="shared" si="120"/>
        <v>65292.75218</v>
      </c>
      <c r="BU163" s="126">
        <f t="shared" si="120"/>
        <v>65991.35928</v>
      </c>
      <c r="BV163" s="126">
        <f t="shared" si="120"/>
        <v>66689.96639</v>
      </c>
      <c r="BW163" s="126">
        <f t="shared" si="120"/>
        <v>67388.5735</v>
      </c>
      <c r="BX163" s="126">
        <f t="shared" si="120"/>
        <v>68087.1806</v>
      </c>
      <c r="BY163" s="126">
        <f t="shared" si="120"/>
        <v>68785.78771</v>
      </c>
    </row>
    <row r="164" outlineLevel="1">
      <c r="A164" s="47"/>
      <c r="B164" s="65"/>
      <c r="C164" s="47"/>
      <c r="D164" s="47"/>
      <c r="E164" s="47"/>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c r="BY164" s="111"/>
    </row>
    <row r="165" outlineLevel="1">
      <c r="A165" s="47"/>
      <c r="B165" s="65" t="s">
        <v>107</v>
      </c>
      <c r="C165" s="65"/>
      <c r="D165" s="113"/>
      <c r="E165" s="47"/>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c r="BY165" s="111"/>
    </row>
    <row r="166" outlineLevel="1">
      <c r="A166" s="66"/>
      <c r="B166" s="114" t="s">
        <v>108</v>
      </c>
      <c r="C166" s="115">
        <v>2500.0</v>
      </c>
      <c r="D166" s="127"/>
      <c r="E166" s="66"/>
      <c r="F166" s="111"/>
      <c r="G166" s="128"/>
      <c r="H166" s="111"/>
      <c r="I166" s="111"/>
      <c r="J166" s="111"/>
      <c r="K166" s="111"/>
      <c r="L166" s="111"/>
      <c r="M166" s="111"/>
      <c r="N166" s="111"/>
      <c r="O166" s="111"/>
      <c r="P166" s="111"/>
      <c r="Q166" s="111"/>
      <c r="R166" s="111">
        <f t="shared" ref="R166:R173" si="122">C166</f>
        <v>2500</v>
      </c>
      <c r="S166" s="111">
        <f t="shared" ref="S166:BY166" si="121">R166</f>
        <v>2500</v>
      </c>
      <c r="T166" s="111">
        <f t="shared" si="121"/>
        <v>2500</v>
      </c>
      <c r="U166" s="111">
        <f t="shared" si="121"/>
        <v>2500</v>
      </c>
      <c r="V166" s="111">
        <f t="shared" si="121"/>
        <v>2500</v>
      </c>
      <c r="W166" s="111">
        <f t="shared" si="121"/>
        <v>2500</v>
      </c>
      <c r="X166" s="111">
        <f t="shared" si="121"/>
        <v>2500</v>
      </c>
      <c r="Y166" s="111">
        <f t="shared" si="121"/>
        <v>2500</v>
      </c>
      <c r="Z166" s="111">
        <f t="shared" si="121"/>
        <v>2500</v>
      </c>
      <c r="AA166" s="111">
        <f t="shared" si="121"/>
        <v>2500</v>
      </c>
      <c r="AB166" s="111">
        <f t="shared" si="121"/>
        <v>2500</v>
      </c>
      <c r="AC166" s="111">
        <f t="shared" si="121"/>
        <v>2500</v>
      </c>
      <c r="AD166" s="111">
        <f t="shared" si="121"/>
        <v>2500</v>
      </c>
      <c r="AE166" s="111">
        <f t="shared" si="121"/>
        <v>2500</v>
      </c>
      <c r="AF166" s="111">
        <f t="shared" si="121"/>
        <v>2500</v>
      </c>
      <c r="AG166" s="111">
        <f t="shared" si="121"/>
        <v>2500</v>
      </c>
      <c r="AH166" s="111">
        <f t="shared" si="121"/>
        <v>2500</v>
      </c>
      <c r="AI166" s="111">
        <f t="shared" si="121"/>
        <v>2500</v>
      </c>
      <c r="AJ166" s="111">
        <f t="shared" si="121"/>
        <v>2500</v>
      </c>
      <c r="AK166" s="111">
        <f t="shared" si="121"/>
        <v>2500</v>
      </c>
      <c r="AL166" s="111">
        <f t="shared" si="121"/>
        <v>2500</v>
      </c>
      <c r="AM166" s="111">
        <f t="shared" si="121"/>
        <v>2500</v>
      </c>
      <c r="AN166" s="111">
        <f t="shared" si="121"/>
        <v>2500</v>
      </c>
      <c r="AO166" s="111">
        <f t="shared" si="121"/>
        <v>2500</v>
      </c>
      <c r="AP166" s="111">
        <f t="shared" si="121"/>
        <v>2500</v>
      </c>
      <c r="AQ166" s="111">
        <f t="shared" si="121"/>
        <v>2500</v>
      </c>
      <c r="AR166" s="111">
        <f t="shared" si="121"/>
        <v>2500</v>
      </c>
      <c r="AS166" s="111">
        <f t="shared" si="121"/>
        <v>2500</v>
      </c>
      <c r="AT166" s="111">
        <f t="shared" si="121"/>
        <v>2500</v>
      </c>
      <c r="AU166" s="111">
        <f t="shared" si="121"/>
        <v>2500</v>
      </c>
      <c r="AV166" s="111">
        <f t="shared" si="121"/>
        <v>2500</v>
      </c>
      <c r="AW166" s="111">
        <f t="shared" si="121"/>
        <v>2500</v>
      </c>
      <c r="AX166" s="111">
        <f t="shared" si="121"/>
        <v>2500</v>
      </c>
      <c r="AY166" s="111">
        <f t="shared" si="121"/>
        <v>2500</v>
      </c>
      <c r="AZ166" s="111">
        <f t="shared" si="121"/>
        <v>2500</v>
      </c>
      <c r="BA166" s="111">
        <f t="shared" si="121"/>
        <v>2500</v>
      </c>
      <c r="BB166" s="111">
        <f t="shared" si="121"/>
        <v>2500</v>
      </c>
      <c r="BC166" s="111">
        <f t="shared" si="121"/>
        <v>2500</v>
      </c>
      <c r="BD166" s="111">
        <f t="shared" si="121"/>
        <v>2500</v>
      </c>
      <c r="BE166" s="111">
        <f t="shared" si="121"/>
        <v>2500</v>
      </c>
      <c r="BF166" s="111">
        <f t="shared" si="121"/>
        <v>2500</v>
      </c>
      <c r="BG166" s="111">
        <f t="shared" si="121"/>
        <v>2500</v>
      </c>
      <c r="BH166" s="111">
        <f t="shared" si="121"/>
        <v>2500</v>
      </c>
      <c r="BI166" s="111">
        <f t="shared" si="121"/>
        <v>2500</v>
      </c>
      <c r="BJ166" s="111">
        <f t="shared" si="121"/>
        <v>2500</v>
      </c>
      <c r="BK166" s="111">
        <f t="shared" si="121"/>
        <v>2500</v>
      </c>
      <c r="BL166" s="111">
        <f t="shared" si="121"/>
        <v>2500</v>
      </c>
      <c r="BM166" s="111">
        <f t="shared" si="121"/>
        <v>2500</v>
      </c>
      <c r="BN166" s="111">
        <f t="shared" si="121"/>
        <v>2500</v>
      </c>
      <c r="BO166" s="111">
        <f t="shared" si="121"/>
        <v>2500</v>
      </c>
      <c r="BP166" s="111">
        <f t="shared" si="121"/>
        <v>2500</v>
      </c>
      <c r="BQ166" s="111">
        <f t="shared" si="121"/>
        <v>2500</v>
      </c>
      <c r="BR166" s="111">
        <f t="shared" si="121"/>
        <v>2500</v>
      </c>
      <c r="BS166" s="111">
        <f t="shared" si="121"/>
        <v>2500</v>
      </c>
      <c r="BT166" s="111">
        <f t="shared" si="121"/>
        <v>2500</v>
      </c>
      <c r="BU166" s="111">
        <f t="shared" si="121"/>
        <v>2500</v>
      </c>
      <c r="BV166" s="111">
        <f t="shared" si="121"/>
        <v>2500</v>
      </c>
      <c r="BW166" s="111">
        <f t="shared" si="121"/>
        <v>2500</v>
      </c>
      <c r="BX166" s="111">
        <f t="shared" si="121"/>
        <v>2500</v>
      </c>
      <c r="BY166" s="111">
        <f t="shared" si="121"/>
        <v>2500</v>
      </c>
    </row>
    <row r="167" outlineLevel="1">
      <c r="A167" s="66"/>
      <c r="B167" s="114" t="s">
        <v>109</v>
      </c>
      <c r="C167" s="115">
        <v>2500.0</v>
      </c>
      <c r="D167" s="127"/>
      <c r="E167" s="66"/>
      <c r="F167" s="111"/>
      <c r="G167" s="128"/>
      <c r="H167" s="111"/>
      <c r="I167" s="111"/>
      <c r="J167" s="111"/>
      <c r="K167" s="111"/>
      <c r="L167" s="111"/>
      <c r="M167" s="111"/>
      <c r="N167" s="111"/>
      <c r="O167" s="111"/>
      <c r="P167" s="111"/>
      <c r="Q167" s="111"/>
      <c r="R167" s="111">
        <f t="shared" si="122"/>
        <v>2500</v>
      </c>
      <c r="S167" s="111">
        <f t="shared" ref="S167:BY167" si="123">R167</f>
        <v>2500</v>
      </c>
      <c r="T167" s="111">
        <f t="shared" si="123"/>
        <v>2500</v>
      </c>
      <c r="U167" s="111">
        <f t="shared" si="123"/>
        <v>2500</v>
      </c>
      <c r="V167" s="111">
        <f t="shared" si="123"/>
        <v>2500</v>
      </c>
      <c r="W167" s="111">
        <f t="shared" si="123"/>
        <v>2500</v>
      </c>
      <c r="X167" s="111">
        <f t="shared" si="123"/>
        <v>2500</v>
      </c>
      <c r="Y167" s="111">
        <f t="shared" si="123"/>
        <v>2500</v>
      </c>
      <c r="Z167" s="111">
        <f t="shared" si="123"/>
        <v>2500</v>
      </c>
      <c r="AA167" s="111">
        <f t="shared" si="123"/>
        <v>2500</v>
      </c>
      <c r="AB167" s="111">
        <f t="shared" si="123"/>
        <v>2500</v>
      </c>
      <c r="AC167" s="111">
        <f t="shared" si="123"/>
        <v>2500</v>
      </c>
      <c r="AD167" s="111">
        <f t="shared" si="123"/>
        <v>2500</v>
      </c>
      <c r="AE167" s="111">
        <f t="shared" si="123"/>
        <v>2500</v>
      </c>
      <c r="AF167" s="111">
        <f t="shared" si="123"/>
        <v>2500</v>
      </c>
      <c r="AG167" s="111">
        <f t="shared" si="123"/>
        <v>2500</v>
      </c>
      <c r="AH167" s="111">
        <f t="shared" si="123"/>
        <v>2500</v>
      </c>
      <c r="AI167" s="111">
        <f t="shared" si="123"/>
        <v>2500</v>
      </c>
      <c r="AJ167" s="111">
        <f t="shared" si="123"/>
        <v>2500</v>
      </c>
      <c r="AK167" s="111">
        <f t="shared" si="123"/>
        <v>2500</v>
      </c>
      <c r="AL167" s="111">
        <f t="shared" si="123"/>
        <v>2500</v>
      </c>
      <c r="AM167" s="111">
        <f t="shared" si="123"/>
        <v>2500</v>
      </c>
      <c r="AN167" s="111">
        <f t="shared" si="123"/>
        <v>2500</v>
      </c>
      <c r="AO167" s="111">
        <f t="shared" si="123"/>
        <v>2500</v>
      </c>
      <c r="AP167" s="111">
        <f t="shared" si="123"/>
        <v>2500</v>
      </c>
      <c r="AQ167" s="111">
        <f t="shared" si="123"/>
        <v>2500</v>
      </c>
      <c r="AR167" s="111">
        <f t="shared" si="123"/>
        <v>2500</v>
      </c>
      <c r="AS167" s="111">
        <f t="shared" si="123"/>
        <v>2500</v>
      </c>
      <c r="AT167" s="111">
        <f t="shared" si="123"/>
        <v>2500</v>
      </c>
      <c r="AU167" s="111">
        <f t="shared" si="123"/>
        <v>2500</v>
      </c>
      <c r="AV167" s="111">
        <f t="shared" si="123"/>
        <v>2500</v>
      </c>
      <c r="AW167" s="111">
        <f t="shared" si="123"/>
        <v>2500</v>
      </c>
      <c r="AX167" s="111">
        <f t="shared" si="123"/>
        <v>2500</v>
      </c>
      <c r="AY167" s="111">
        <f t="shared" si="123"/>
        <v>2500</v>
      </c>
      <c r="AZ167" s="111">
        <f t="shared" si="123"/>
        <v>2500</v>
      </c>
      <c r="BA167" s="111">
        <f t="shared" si="123"/>
        <v>2500</v>
      </c>
      <c r="BB167" s="111">
        <f t="shared" si="123"/>
        <v>2500</v>
      </c>
      <c r="BC167" s="111">
        <f t="shared" si="123"/>
        <v>2500</v>
      </c>
      <c r="BD167" s="111">
        <f t="shared" si="123"/>
        <v>2500</v>
      </c>
      <c r="BE167" s="111">
        <f t="shared" si="123"/>
        <v>2500</v>
      </c>
      <c r="BF167" s="111">
        <f t="shared" si="123"/>
        <v>2500</v>
      </c>
      <c r="BG167" s="111">
        <f t="shared" si="123"/>
        <v>2500</v>
      </c>
      <c r="BH167" s="111">
        <f t="shared" si="123"/>
        <v>2500</v>
      </c>
      <c r="BI167" s="111">
        <f t="shared" si="123"/>
        <v>2500</v>
      </c>
      <c r="BJ167" s="111">
        <f t="shared" si="123"/>
        <v>2500</v>
      </c>
      <c r="BK167" s="111">
        <f t="shared" si="123"/>
        <v>2500</v>
      </c>
      <c r="BL167" s="111">
        <f t="shared" si="123"/>
        <v>2500</v>
      </c>
      <c r="BM167" s="111">
        <f t="shared" si="123"/>
        <v>2500</v>
      </c>
      <c r="BN167" s="111">
        <f t="shared" si="123"/>
        <v>2500</v>
      </c>
      <c r="BO167" s="111">
        <f t="shared" si="123"/>
        <v>2500</v>
      </c>
      <c r="BP167" s="111">
        <f t="shared" si="123"/>
        <v>2500</v>
      </c>
      <c r="BQ167" s="111">
        <f t="shared" si="123"/>
        <v>2500</v>
      </c>
      <c r="BR167" s="111">
        <f t="shared" si="123"/>
        <v>2500</v>
      </c>
      <c r="BS167" s="111">
        <f t="shared" si="123"/>
        <v>2500</v>
      </c>
      <c r="BT167" s="111">
        <f t="shared" si="123"/>
        <v>2500</v>
      </c>
      <c r="BU167" s="111">
        <f t="shared" si="123"/>
        <v>2500</v>
      </c>
      <c r="BV167" s="111">
        <f t="shared" si="123"/>
        <v>2500</v>
      </c>
      <c r="BW167" s="111">
        <f t="shared" si="123"/>
        <v>2500</v>
      </c>
      <c r="BX167" s="111">
        <f t="shared" si="123"/>
        <v>2500</v>
      </c>
      <c r="BY167" s="111">
        <f t="shared" si="123"/>
        <v>2500</v>
      </c>
    </row>
    <row r="168" outlineLevel="1">
      <c r="A168" s="66"/>
      <c r="B168" s="114" t="s">
        <v>110</v>
      </c>
      <c r="C168" s="115">
        <v>2500.0</v>
      </c>
      <c r="D168" s="66"/>
      <c r="E168" s="66"/>
      <c r="F168" s="111"/>
      <c r="G168" s="128"/>
      <c r="H168" s="111"/>
      <c r="I168" s="111"/>
      <c r="J168" s="111"/>
      <c r="K168" s="111"/>
      <c r="L168" s="111"/>
      <c r="M168" s="111"/>
      <c r="N168" s="111"/>
      <c r="O168" s="111"/>
      <c r="P168" s="111"/>
      <c r="Q168" s="111"/>
      <c r="R168" s="111">
        <f t="shared" si="122"/>
        <v>2500</v>
      </c>
      <c r="S168" s="111">
        <f t="shared" ref="S168:BY168" si="124">R168</f>
        <v>2500</v>
      </c>
      <c r="T168" s="111">
        <f t="shared" si="124"/>
        <v>2500</v>
      </c>
      <c r="U168" s="111">
        <f t="shared" si="124"/>
        <v>2500</v>
      </c>
      <c r="V168" s="111">
        <f t="shared" si="124"/>
        <v>2500</v>
      </c>
      <c r="W168" s="111">
        <f t="shared" si="124"/>
        <v>2500</v>
      </c>
      <c r="X168" s="111">
        <f t="shared" si="124"/>
        <v>2500</v>
      </c>
      <c r="Y168" s="111">
        <f t="shared" si="124"/>
        <v>2500</v>
      </c>
      <c r="Z168" s="111">
        <f t="shared" si="124"/>
        <v>2500</v>
      </c>
      <c r="AA168" s="111">
        <f t="shared" si="124"/>
        <v>2500</v>
      </c>
      <c r="AB168" s="111">
        <f t="shared" si="124"/>
        <v>2500</v>
      </c>
      <c r="AC168" s="111">
        <f t="shared" si="124"/>
        <v>2500</v>
      </c>
      <c r="AD168" s="111">
        <f t="shared" si="124"/>
        <v>2500</v>
      </c>
      <c r="AE168" s="111">
        <f t="shared" si="124"/>
        <v>2500</v>
      </c>
      <c r="AF168" s="111">
        <f t="shared" si="124"/>
        <v>2500</v>
      </c>
      <c r="AG168" s="111">
        <f t="shared" si="124"/>
        <v>2500</v>
      </c>
      <c r="AH168" s="111">
        <f t="shared" si="124"/>
        <v>2500</v>
      </c>
      <c r="AI168" s="111">
        <f t="shared" si="124"/>
        <v>2500</v>
      </c>
      <c r="AJ168" s="111">
        <f t="shared" si="124"/>
        <v>2500</v>
      </c>
      <c r="AK168" s="111">
        <f t="shared" si="124"/>
        <v>2500</v>
      </c>
      <c r="AL168" s="111">
        <f t="shared" si="124"/>
        <v>2500</v>
      </c>
      <c r="AM168" s="111">
        <f t="shared" si="124"/>
        <v>2500</v>
      </c>
      <c r="AN168" s="111">
        <f t="shared" si="124"/>
        <v>2500</v>
      </c>
      <c r="AO168" s="111">
        <f t="shared" si="124"/>
        <v>2500</v>
      </c>
      <c r="AP168" s="111">
        <f t="shared" si="124"/>
        <v>2500</v>
      </c>
      <c r="AQ168" s="111">
        <f t="shared" si="124"/>
        <v>2500</v>
      </c>
      <c r="AR168" s="111">
        <f t="shared" si="124"/>
        <v>2500</v>
      </c>
      <c r="AS168" s="111">
        <f t="shared" si="124"/>
        <v>2500</v>
      </c>
      <c r="AT168" s="111">
        <f t="shared" si="124"/>
        <v>2500</v>
      </c>
      <c r="AU168" s="111">
        <f t="shared" si="124"/>
        <v>2500</v>
      </c>
      <c r="AV168" s="111">
        <f t="shared" si="124"/>
        <v>2500</v>
      </c>
      <c r="AW168" s="111">
        <f t="shared" si="124"/>
        <v>2500</v>
      </c>
      <c r="AX168" s="111">
        <f t="shared" si="124"/>
        <v>2500</v>
      </c>
      <c r="AY168" s="111">
        <f t="shared" si="124"/>
        <v>2500</v>
      </c>
      <c r="AZ168" s="111">
        <f t="shared" si="124"/>
        <v>2500</v>
      </c>
      <c r="BA168" s="111">
        <f t="shared" si="124"/>
        <v>2500</v>
      </c>
      <c r="BB168" s="111">
        <f t="shared" si="124"/>
        <v>2500</v>
      </c>
      <c r="BC168" s="111">
        <f t="shared" si="124"/>
        <v>2500</v>
      </c>
      <c r="BD168" s="111">
        <f t="shared" si="124"/>
        <v>2500</v>
      </c>
      <c r="BE168" s="111">
        <f t="shared" si="124"/>
        <v>2500</v>
      </c>
      <c r="BF168" s="111">
        <f t="shared" si="124"/>
        <v>2500</v>
      </c>
      <c r="BG168" s="111">
        <f t="shared" si="124"/>
        <v>2500</v>
      </c>
      <c r="BH168" s="111">
        <f t="shared" si="124"/>
        <v>2500</v>
      </c>
      <c r="BI168" s="111">
        <f t="shared" si="124"/>
        <v>2500</v>
      </c>
      <c r="BJ168" s="111">
        <f t="shared" si="124"/>
        <v>2500</v>
      </c>
      <c r="BK168" s="111">
        <f t="shared" si="124"/>
        <v>2500</v>
      </c>
      <c r="BL168" s="111">
        <f t="shared" si="124"/>
        <v>2500</v>
      </c>
      <c r="BM168" s="111">
        <f t="shared" si="124"/>
        <v>2500</v>
      </c>
      <c r="BN168" s="111">
        <f t="shared" si="124"/>
        <v>2500</v>
      </c>
      <c r="BO168" s="111">
        <f t="shared" si="124"/>
        <v>2500</v>
      </c>
      <c r="BP168" s="111">
        <f t="shared" si="124"/>
        <v>2500</v>
      </c>
      <c r="BQ168" s="111">
        <f t="shared" si="124"/>
        <v>2500</v>
      </c>
      <c r="BR168" s="111">
        <f t="shared" si="124"/>
        <v>2500</v>
      </c>
      <c r="BS168" s="111">
        <f t="shared" si="124"/>
        <v>2500</v>
      </c>
      <c r="BT168" s="111">
        <f t="shared" si="124"/>
        <v>2500</v>
      </c>
      <c r="BU168" s="111">
        <f t="shared" si="124"/>
        <v>2500</v>
      </c>
      <c r="BV168" s="111">
        <f t="shared" si="124"/>
        <v>2500</v>
      </c>
      <c r="BW168" s="111">
        <f t="shared" si="124"/>
        <v>2500</v>
      </c>
      <c r="BX168" s="111">
        <f t="shared" si="124"/>
        <v>2500</v>
      </c>
      <c r="BY168" s="111">
        <f t="shared" si="124"/>
        <v>2500</v>
      </c>
    </row>
    <row r="169" outlineLevel="1">
      <c r="A169" s="66"/>
      <c r="B169" s="114" t="s">
        <v>111</v>
      </c>
      <c r="C169" s="115">
        <v>2500.0</v>
      </c>
      <c r="D169" s="66"/>
      <c r="E169" s="66"/>
      <c r="F169" s="111"/>
      <c r="G169" s="128"/>
      <c r="H169" s="111"/>
      <c r="I169" s="111"/>
      <c r="J169" s="111"/>
      <c r="K169" s="111"/>
      <c r="L169" s="111"/>
      <c r="M169" s="111"/>
      <c r="N169" s="111"/>
      <c r="O169" s="111"/>
      <c r="P169" s="111"/>
      <c r="Q169" s="111"/>
      <c r="R169" s="111">
        <f t="shared" si="122"/>
        <v>2500</v>
      </c>
      <c r="S169" s="111">
        <f t="shared" ref="S169:BY169" si="125">R169</f>
        <v>2500</v>
      </c>
      <c r="T169" s="111">
        <f t="shared" si="125"/>
        <v>2500</v>
      </c>
      <c r="U169" s="111">
        <f t="shared" si="125"/>
        <v>2500</v>
      </c>
      <c r="V169" s="111">
        <f t="shared" si="125"/>
        <v>2500</v>
      </c>
      <c r="W169" s="111">
        <f t="shared" si="125"/>
        <v>2500</v>
      </c>
      <c r="X169" s="111">
        <f t="shared" si="125"/>
        <v>2500</v>
      </c>
      <c r="Y169" s="111">
        <f t="shared" si="125"/>
        <v>2500</v>
      </c>
      <c r="Z169" s="111">
        <f t="shared" si="125"/>
        <v>2500</v>
      </c>
      <c r="AA169" s="111">
        <f t="shared" si="125"/>
        <v>2500</v>
      </c>
      <c r="AB169" s="111">
        <f t="shared" si="125"/>
        <v>2500</v>
      </c>
      <c r="AC169" s="111">
        <f t="shared" si="125"/>
        <v>2500</v>
      </c>
      <c r="AD169" s="111">
        <f t="shared" si="125"/>
        <v>2500</v>
      </c>
      <c r="AE169" s="111">
        <f t="shared" si="125"/>
        <v>2500</v>
      </c>
      <c r="AF169" s="111">
        <f t="shared" si="125"/>
        <v>2500</v>
      </c>
      <c r="AG169" s="111">
        <f t="shared" si="125"/>
        <v>2500</v>
      </c>
      <c r="AH169" s="111">
        <f t="shared" si="125"/>
        <v>2500</v>
      </c>
      <c r="AI169" s="111">
        <f t="shared" si="125"/>
        <v>2500</v>
      </c>
      <c r="AJ169" s="111">
        <f t="shared" si="125"/>
        <v>2500</v>
      </c>
      <c r="AK169" s="111">
        <f t="shared" si="125"/>
        <v>2500</v>
      </c>
      <c r="AL169" s="111">
        <f t="shared" si="125"/>
        <v>2500</v>
      </c>
      <c r="AM169" s="111">
        <f t="shared" si="125"/>
        <v>2500</v>
      </c>
      <c r="AN169" s="111">
        <f t="shared" si="125"/>
        <v>2500</v>
      </c>
      <c r="AO169" s="111">
        <f t="shared" si="125"/>
        <v>2500</v>
      </c>
      <c r="AP169" s="111">
        <f t="shared" si="125"/>
        <v>2500</v>
      </c>
      <c r="AQ169" s="111">
        <f t="shared" si="125"/>
        <v>2500</v>
      </c>
      <c r="AR169" s="111">
        <f t="shared" si="125"/>
        <v>2500</v>
      </c>
      <c r="AS169" s="111">
        <f t="shared" si="125"/>
        <v>2500</v>
      </c>
      <c r="AT169" s="111">
        <f t="shared" si="125"/>
        <v>2500</v>
      </c>
      <c r="AU169" s="111">
        <f t="shared" si="125"/>
        <v>2500</v>
      </c>
      <c r="AV169" s="111">
        <f t="shared" si="125"/>
        <v>2500</v>
      </c>
      <c r="AW169" s="111">
        <f t="shared" si="125"/>
        <v>2500</v>
      </c>
      <c r="AX169" s="111">
        <f t="shared" si="125"/>
        <v>2500</v>
      </c>
      <c r="AY169" s="111">
        <f t="shared" si="125"/>
        <v>2500</v>
      </c>
      <c r="AZ169" s="111">
        <f t="shared" si="125"/>
        <v>2500</v>
      </c>
      <c r="BA169" s="111">
        <f t="shared" si="125"/>
        <v>2500</v>
      </c>
      <c r="BB169" s="111">
        <f t="shared" si="125"/>
        <v>2500</v>
      </c>
      <c r="BC169" s="111">
        <f t="shared" si="125"/>
        <v>2500</v>
      </c>
      <c r="BD169" s="111">
        <f t="shared" si="125"/>
        <v>2500</v>
      </c>
      <c r="BE169" s="111">
        <f t="shared" si="125"/>
        <v>2500</v>
      </c>
      <c r="BF169" s="111">
        <f t="shared" si="125"/>
        <v>2500</v>
      </c>
      <c r="BG169" s="111">
        <f t="shared" si="125"/>
        <v>2500</v>
      </c>
      <c r="BH169" s="111">
        <f t="shared" si="125"/>
        <v>2500</v>
      </c>
      <c r="BI169" s="111">
        <f t="shared" si="125"/>
        <v>2500</v>
      </c>
      <c r="BJ169" s="111">
        <f t="shared" si="125"/>
        <v>2500</v>
      </c>
      <c r="BK169" s="111">
        <f t="shared" si="125"/>
        <v>2500</v>
      </c>
      <c r="BL169" s="111">
        <f t="shared" si="125"/>
        <v>2500</v>
      </c>
      <c r="BM169" s="111">
        <f t="shared" si="125"/>
        <v>2500</v>
      </c>
      <c r="BN169" s="111">
        <f t="shared" si="125"/>
        <v>2500</v>
      </c>
      <c r="BO169" s="111">
        <f t="shared" si="125"/>
        <v>2500</v>
      </c>
      <c r="BP169" s="111">
        <f t="shared" si="125"/>
        <v>2500</v>
      </c>
      <c r="BQ169" s="111">
        <f t="shared" si="125"/>
        <v>2500</v>
      </c>
      <c r="BR169" s="111">
        <f t="shared" si="125"/>
        <v>2500</v>
      </c>
      <c r="BS169" s="111">
        <f t="shared" si="125"/>
        <v>2500</v>
      </c>
      <c r="BT169" s="111">
        <f t="shared" si="125"/>
        <v>2500</v>
      </c>
      <c r="BU169" s="111">
        <f t="shared" si="125"/>
        <v>2500</v>
      </c>
      <c r="BV169" s="111">
        <f t="shared" si="125"/>
        <v>2500</v>
      </c>
      <c r="BW169" s="111">
        <f t="shared" si="125"/>
        <v>2500</v>
      </c>
      <c r="BX169" s="111">
        <f t="shared" si="125"/>
        <v>2500</v>
      </c>
      <c r="BY169" s="111">
        <f t="shared" si="125"/>
        <v>2500</v>
      </c>
    </row>
    <row r="170" outlineLevel="1">
      <c r="A170" s="66"/>
      <c r="B170" s="114" t="s">
        <v>112</v>
      </c>
      <c r="C170" s="115">
        <v>2500.0</v>
      </c>
      <c r="D170" s="66"/>
      <c r="E170" s="66"/>
      <c r="F170" s="111"/>
      <c r="G170" s="128"/>
      <c r="H170" s="111"/>
      <c r="I170" s="111"/>
      <c r="J170" s="111"/>
      <c r="K170" s="111"/>
      <c r="L170" s="111"/>
      <c r="M170" s="111"/>
      <c r="N170" s="111"/>
      <c r="O170" s="111"/>
      <c r="P170" s="111"/>
      <c r="Q170" s="111"/>
      <c r="R170" s="111">
        <f t="shared" si="122"/>
        <v>2500</v>
      </c>
      <c r="S170" s="111">
        <f t="shared" ref="S170:BY170" si="126">R170</f>
        <v>2500</v>
      </c>
      <c r="T170" s="111">
        <f t="shared" si="126"/>
        <v>2500</v>
      </c>
      <c r="U170" s="111">
        <f t="shared" si="126"/>
        <v>2500</v>
      </c>
      <c r="V170" s="111">
        <f t="shared" si="126"/>
        <v>2500</v>
      </c>
      <c r="W170" s="111">
        <f t="shared" si="126"/>
        <v>2500</v>
      </c>
      <c r="X170" s="111">
        <f t="shared" si="126"/>
        <v>2500</v>
      </c>
      <c r="Y170" s="111">
        <f t="shared" si="126"/>
        <v>2500</v>
      </c>
      <c r="Z170" s="111">
        <f t="shared" si="126"/>
        <v>2500</v>
      </c>
      <c r="AA170" s="111">
        <f t="shared" si="126"/>
        <v>2500</v>
      </c>
      <c r="AB170" s="111">
        <f t="shared" si="126"/>
        <v>2500</v>
      </c>
      <c r="AC170" s="111">
        <f t="shared" si="126"/>
        <v>2500</v>
      </c>
      <c r="AD170" s="111">
        <f t="shared" si="126"/>
        <v>2500</v>
      </c>
      <c r="AE170" s="111">
        <f t="shared" si="126"/>
        <v>2500</v>
      </c>
      <c r="AF170" s="111">
        <f t="shared" si="126"/>
        <v>2500</v>
      </c>
      <c r="AG170" s="111">
        <f t="shared" si="126"/>
        <v>2500</v>
      </c>
      <c r="AH170" s="111">
        <f t="shared" si="126"/>
        <v>2500</v>
      </c>
      <c r="AI170" s="111">
        <f t="shared" si="126"/>
        <v>2500</v>
      </c>
      <c r="AJ170" s="111">
        <f t="shared" si="126"/>
        <v>2500</v>
      </c>
      <c r="AK170" s="111">
        <f t="shared" si="126"/>
        <v>2500</v>
      </c>
      <c r="AL170" s="111">
        <f t="shared" si="126"/>
        <v>2500</v>
      </c>
      <c r="AM170" s="111">
        <f t="shared" si="126"/>
        <v>2500</v>
      </c>
      <c r="AN170" s="111">
        <f t="shared" si="126"/>
        <v>2500</v>
      </c>
      <c r="AO170" s="111">
        <f t="shared" si="126"/>
        <v>2500</v>
      </c>
      <c r="AP170" s="111">
        <f t="shared" si="126"/>
        <v>2500</v>
      </c>
      <c r="AQ170" s="111">
        <f t="shared" si="126"/>
        <v>2500</v>
      </c>
      <c r="AR170" s="111">
        <f t="shared" si="126"/>
        <v>2500</v>
      </c>
      <c r="AS170" s="111">
        <f t="shared" si="126"/>
        <v>2500</v>
      </c>
      <c r="AT170" s="111">
        <f t="shared" si="126"/>
        <v>2500</v>
      </c>
      <c r="AU170" s="111">
        <f t="shared" si="126"/>
        <v>2500</v>
      </c>
      <c r="AV170" s="111">
        <f t="shared" si="126"/>
        <v>2500</v>
      </c>
      <c r="AW170" s="111">
        <f t="shared" si="126"/>
        <v>2500</v>
      </c>
      <c r="AX170" s="111">
        <f t="shared" si="126"/>
        <v>2500</v>
      </c>
      <c r="AY170" s="111">
        <f t="shared" si="126"/>
        <v>2500</v>
      </c>
      <c r="AZ170" s="111">
        <f t="shared" si="126"/>
        <v>2500</v>
      </c>
      <c r="BA170" s="111">
        <f t="shared" si="126"/>
        <v>2500</v>
      </c>
      <c r="BB170" s="111">
        <f t="shared" si="126"/>
        <v>2500</v>
      </c>
      <c r="BC170" s="111">
        <f t="shared" si="126"/>
        <v>2500</v>
      </c>
      <c r="BD170" s="111">
        <f t="shared" si="126"/>
        <v>2500</v>
      </c>
      <c r="BE170" s="111">
        <f t="shared" si="126"/>
        <v>2500</v>
      </c>
      <c r="BF170" s="111">
        <f t="shared" si="126"/>
        <v>2500</v>
      </c>
      <c r="BG170" s="111">
        <f t="shared" si="126"/>
        <v>2500</v>
      </c>
      <c r="BH170" s="111">
        <f t="shared" si="126"/>
        <v>2500</v>
      </c>
      <c r="BI170" s="111">
        <f t="shared" si="126"/>
        <v>2500</v>
      </c>
      <c r="BJ170" s="111">
        <f t="shared" si="126"/>
        <v>2500</v>
      </c>
      <c r="BK170" s="111">
        <f t="shared" si="126"/>
        <v>2500</v>
      </c>
      <c r="BL170" s="111">
        <f t="shared" si="126"/>
        <v>2500</v>
      </c>
      <c r="BM170" s="111">
        <f t="shared" si="126"/>
        <v>2500</v>
      </c>
      <c r="BN170" s="111">
        <f t="shared" si="126"/>
        <v>2500</v>
      </c>
      <c r="BO170" s="111">
        <f t="shared" si="126"/>
        <v>2500</v>
      </c>
      <c r="BP170" s="111">
        <f t="shared" si="126"/>
        <v>2500</v>
      </c>
      <c r="BQ170" s="111">
        <f t="shared" si="126"/>
        <v>2500</v>
      </c>
      <c r="BR170" s="111">
        <f t="shared" si="126"/>
        <v>2500</v>
      </c>
      <c r="BS170" s="111">
        <f t="shared" si="126"/>
        <v>2500</v>
      </c>
      <c r="BT170" s="111">
        <f t="shared" si="126"/>
        <v>2500</v>
      </c>
      <c r="BU170" s="111">
        <f t="shared" si="126"/>
        <v>2500</v>
      </c>
      <c r="BV170" s="111">
        <f t="shared" si="126"/>
        <v>2500</v>
      </c>
      <c r="BW170" s="111">
        <f t="shared" si="126"/>
        <v>2500</v>
      </c>
      <c r="BX170" s="111">
        <f t="shared" si="126"/>
        <v>2500</v>
      </c>
      <c r="BY170" s="111">
        <f t="shared" si="126"/>
        <v>2500</v>
      </c>
    </row>
    <row r="171" outlineLevel="1">
      <c r="A171" s="66"/>
      <c r="B171" s="114" t="s">
        <v>113</v>
      </c>
      <c r="C171" s="115">
        <v>2500.0</v>
      </c>
      <c r="D171" s="66"/>
      <c r="E171" s="66"/>
      <c r="F171" s="111"/>
      <c r="G171" s="128"/>
      <c r="H171" s="111"/>
      <c r="I171" s="111"/>
      <c r="J171" s="111"/>
      <c r="K171" s="111"/>
      <c r="L171" s="111"/>
      <c r="M171" s="111"/>
      <c r="N171" s="111"/>
      <c r="O171" s="111"/>
      <c r="P171" s="111"/>
      <c r="Q171" s="111"/>
      <c r="R171" s="111">
        <f t="shared" si="122"/>
        <v>2500</v>
      </c>
      <c r="S171" s="111">
        <f t="shared" ref="S171:BY171" si="127">R171</f>
        <v>2500</v>
      </c>
      <c r="T171" s="111">
        <f t="shared" si="127"/>
        <v>2500</v>
      </c>
      <c r="U171" s="111">
        <f t="shared" si="127"/>
        <v>2500</v>
      </c>
      <c r="V171" s="111">
        <f t="shared" si="127"/>
        <v>2500</v>
      </c>
      <c r="W171" s="111">
        <f t="shared" si="127"/>
        <v>2500</v>
      </c>
      <c r="X171" s="111">
        <f t="shared" si="127"/>
        <v>2500</v>
      </c>
      <c r="Y171" s="111">
        <f t="shared" si="127"/>
        <v>2500</v>
      </c>
      <c r="Z171" s="111">
        <f t="shared" si="127"/>
        <v>2500</v>
      </c>
      <c r="AA171" s="111">
        <f t="shared" si="127"/>
        <v>2500</v>
      </c>
      <c r="AB171" s="111">
        <f t="shared" si="127"/>
        <v>2500</v>
      </c>
      <c r="AC171" s="111">
        <f t="shared" si="127"/>
        <v>2500</v>
      </c>
      <c r="AD171" s="111">
        <f t="shared" si="127"/>
        <v>2500</v>
      </c>
      <c r="AE171" s="111">
        <f t="shared" si="127"/>
        <v>2500</v>
      </c>
      <c r="AF171" s="111">
        <f t="shared" si="127"/>
        <v>2500</v>
      </c>
      <c r="AG171" s="111">
        <f t="shared" si="127"/>
        <v>2500</v>
      </c>
      <c r="AH171" s="111">
        <f t="shared" si="127"/>
        <v>2500</v>
      </c>
      <c r="AI171" s="111">
        <f t="shared" si="127"/>
        <v>2500</v>
      </c>
      <c r="AJ171" s="111">
        <f t="shared" si="127"/>
        <v>2500</v>
      </c>
      <c r="AK171" s="111">
        <f t="shared" si="127"/>
        <v>2500</v>
      </c>
      <c r="AL171" s="111">
        <f t="shared" si="127"/>
        <v>2500</v>
      </c>
      <c r="AM171" s="111">
        <f t="shared" si="127"/>
        <v>2500</v>
      </c>
      <c r="AN171" s="111">
        <f t="shared" si="127"/>
        <v>2500</v>
      </c>
      <c r="AO171" s="111">
        <f t="shared" si="127"/>
        <v>2500</v>
      </c>
      <c r="AP171" s="111">
        <f t="shared" si="127"/>
        <v>2500</v>
      </c>
      <c r="AQ171" s="111">
        <f t="shared" si="127"/>
        <v>2500</v>
      </c>
      <c r="AR171" s="111">
        <f t="shared" si="127"/>
        <v>2500</v>
      </c>
      <c r="AS171" s="111">
        <f t="shared" si="127"/>
        <v>2500</v>
      </c>
      <c r="AT171" s="111">
        <f t="shared" si="127"/>
        <v>2500</v>
      </c>
      <c r="AU171" s="111">
        <f t="shared" si="127"/>
        <v>2500</v>
      </c>
      <c r="AV171" s="111">
        <f t="shared" si="127"/>
        <v>2500</v>
      </c>
      <c r="AW171" s="111">
        <f t="shared" si="127"/>
        <v>2500</v>
      </c>
      <c r="AX171" s="111">
        <f t="shared" si="127"/>
        <v>2500</v>
      </c>
      <c r="AY171" s="111">
        <f t="shared" si="127"/>
        <v>2500</v>
      </c>
      <c r="AZ171" s="111">
        <f t="shared" si="127"/>
        <v>2500</v>
      </c>
      <c r="BA171" s="111">
        <f t="shared" si="127"/>
        <v>2500</v>
      </c>
      <c r="BB171" s="111">
        <f t="shared" si="127"/>
        <v>2500</v>
      </c>
      <c r="BC171" s="111">
        <f t="shared" si="127"/>
        <v>2500</v>
      </c>
      <c r="BD171" s="111">
        <f t="shared" si="127"/>
        <v>2500</v>
      </c>
      <c r="BE171" s="111">
        <f t="shared" si="127"/>
        <v>2500</v>
      </c>
      <c r="BF171" s="111">
        <f t="shared" si="127"/>
        <v>2500</v>
      </c>
      <c r="BG171" s="111">
        <f t="shared" si="127"/>
        <v>2500</v>
      </c>
      <c r="BH171" s="111">
        <f t="shared" si="127"/>
        <v>2500</v>
      </c>
      <c r="BI171" s="111">
        <f t="shared" si="127"/>
        <v>2500</v>
      </c>
      <c r="BJ171" s="111">
        <f t="shared" si="127"/>
        <v>2500</v>
      </c>
      <c r="BK171" s="111">
        <f t="shared" si="127"/>
        <v>2500</v>
      </c>
      <c r="BL171" s="111">
        <f t="shared" si="127"/>
        <v>2500</v>
      </c>
      <c r="BM171" s="111">
        <f t="shared" si="127"/>
        <v>2500</v>
      </c>
      <c r="BN171" s="111">
        <f t="shared" si="127"/>
        <v>2500</v>
      </c>
      <c r="BO171" s="111">
        <f t="shared" si="127"/>
        <v>2500</v>
      </c>
      <c r="BP171" s="111">
        <f t="shared" si="127"/>
        <v>2500</v>
      </c>
      <c r="BQ171" s="111">
        <f t="shared" si="127"/>
        <v>2500</v>
      </c>
      <c r="BR171" s="111">
        <f t="shared" si="127"/>
        <v>2500</v>
      </c>
      <c r="BS171" s="111">
        <f t="shared" si="127"/>
        <v>2500</v>
      </c>
      <c r="BT171" s="111">
        <f t="shared" si="127"/>
        <v>2500</v>
      </c>
      <c r="BU171" s="111">
        <f t="shared" si="127"/>
        <v>2500</v>
      </c>
      <c r="BV171" s="111">
        <f t="shared" si="127"/>
        <v>2500</v>
      </c>
      <c r="BW171" s="111">
        <f t="shared" si="127"/>
        <v>2500</v>
      </c>
      <c r="BX171" s="111">
        <f t="shared" si="127"/>
        <v>2500</v>
      </c>
      <c r="BY171" s="111">
        <f t="shared" si="127"/>
        <v>2500</v>
      </c>
    </row>
    <row r="172" outlineLevel="1">
      <c r="A172" s="66"/>
      <c r="B172" s="114" t="s">
        <v>114</v>
      </c>
      <c r="C172" s="115">
        <v>2500.0</v>
      </c>
      <c r="D172" s="66"/>
      <c r="E172" s="66"/>
      <c r="F172" s="111"/>
      <c r="G172" s="128"/>
      <c r="H172" s="111"/>
      <c r="I172" s="111"/>
      <c r="J172" s="111"/>
      <c r="K172" s="111"/>
      <c r="L172" s="111"/>
      <c r="M172" s="111"/>
      <c r="N172" s="111"/>
      <c r="O172" s="111"/>
      <c r="P172" s="111"/>
      <c r="Q172" s="111"/>
      <c r="R172" s="111">
        <f t="shared" si="122"/>
        <v>2500</v>
      </c>
      <c r="S172" s="111">
        <f t="shared" ref="S172:BY172" si="128">R172</f>
        <v>2500</v>
      </c>
      <c r="T172" s="111">
        <f t="shared" si="128"/>
        <v>2500</v>
      </c>
      <c r="U172" s="111">
        <f t="shared" si="128"/>
        <v>2500</v>
      </c>
      <c r="V172" s="111">
        <f t="shared" si="128"/>
        <v>2500</v>
      </c>
      <c r="W172" s="111">
        <f t="shared" si="128"/>
        <v>2500</v>
      </c>
      <c r="X172" s="111">
        <f t="shared" si="128"/>
        <v>2500</v>
      </c>
      <c r="Y172" s="111">
        <f t="shared" si="128"/>
        <v>2500</v>
      </c>
      <c r="Z172" s="111">
        <f t="shared" si="128"/>
        <v>2500</v>
      </c>
      <c r="AA172" s="111">
        <f t="shared" si="128"/>
        <v>2500</v>
      </c>
      <c r="AB172" s="111">
        <f t="shared" si="128"/>
        <v>2500</v>
      </c>
      <c r="AC172" s="111">
        <f t="shared" si="128"/>
        <v>2500</v>
      </c>
      <c r="AD172" s="111">
        <f t="shared" si="128"/>
        <v>2500</v>
      </c>
      <c r="AE172" s="111">
        <f t="shared" si="128"/>
        <v>2500</v>
      </c>
      <c r="AF172" s="111">
        <f t="shared" si="128"/>
        <v>2500</v>
      </c>
      <c r="AG172" s="111">
        <f t="shared" si="128"/>
        <v>2500</v>
      </c>
      <c r="AH172" s="111">
        <f t="shared" si="128"/>
        <v>2500</v>
      </c>
      <c r="AI172" s="111">
        <f t="shared" si="128"/>
        <v>2500</v>
      </c>
      <c r="AJ172" s="111">
        <f t="shared" si="128"/>
        <v>2500</v>
      </c>
      <c r="AK172" s="111">
        <f t="shared" si="128"/>
        <v>2500</v>
      </c>
      <c r="AL172" s="111">
        <f t="shared" si="128"/>
        <v>2500</v>
      </c>
      <c r="AM172" s="111">
        <f t="shared" si="128"/>
        <v>2500</v>
      </c>
      <c r="AN172" s="111">
        <f t="shared" si="128"/>
        <v>2500</v>
      </c>
      <c r="AO172" s="111">
        <f t="shared" si="128"/>
        <v>2500</v>
      </c>
      <c r="AP172" s="111">
        <f t="shared" si="128"/>
        <v>2500</v>
      </c>
      <c r="AQ172" s="111">
        <f t="shared" si="128"/>
        <v>2500</v>
      </c>
      <c r="AR172" s="111">
        <f t="shared" si="128"/>
        <v>2500</v>
      </c>
      <c r="AS172" s="111">
        <f t="shared" si="128"/>
        <v>2500</v>
      </c>
      <c r="AT172" s="111">
        <f t="shared" si="128"/>
        <v>2500</v>
      </c>
      <c r="AU172" s="111">
        <f t="shared" si="128"/>
        <v>2500</v>
      </c>
      <c r="AV172" s="111">
        <f t="shared" si="128"/>
        <v>2500</v>
      </c>
      <c r="AW172" s="111">
        <f t="shared" si="128"/>
        <v>2500</v>
      </c>
      <c r="AX172" s="111">
        <f t="shared" si="128"/>
        <v>2500</v>
      </c>
      <c r="AY172" s="111">
        <f t="shared" si="128"/>
        <v>2500</v>
      </c>
      <c r="AZ172" s="111">
        <f t="shared" si="128"/>
        <v>2500</v>
      </c>
      <c r="BA172" s="111">
        <f t="shared" si="128"/>
        <v>2500</v>
      </c>
      <c r="BB172" s="111">
        <f t="shared" si="128"/>
        <v>2500</v>
      </c>
      <c r="BC172" s="111">
        <f t="shared" si="128"/>
        <v>2500</v>
      </c>
      <c r="BD172" s="111">
        <f t="shared" si="128"/>
        <v>2500</v>
      </c>
      <c r="BE172" s="111">
        <f t="shared" si="128"/>
        <v>2500</v>
      </c>
      <c r="BF172" s="111">
        <f t="shared" si="128"/>
        <v>2500</v>
      </c>
      <c r="BG172" s="111">
        <f t="shared" si="128"/>
        <v>2500</v>
      </c>
      <c r="BH172" s="111">
        <f t="shared" si="128"/>
        <v>2500</v>
      </c>
      <c r="BI172" s="111">
        <f t="shared" si="128"/>
        <v>2500</v>
      </c>
      <c r="BJ172" s="111">
        <f t="shared" si="128"/>
        <v>2500</v>
      </c>
      <c r="BK172" s="111">
        <f t="shared" si="128"/>
        <v>2500</v>
      </c>
      <c r="BL172" s="111">
        <f t="shared" si="128"/>
        <v>2500</v>
      </c>
      <c r="BM172" s="111">
        <f t="shared" si="128"/>
        <v>2500</v>
      </c>
      <c r="BN172" s="111">
        <f t="shared" si="128"/>
        <v>2500</v>
      </c>
      <c r="BO172" s="111">
        <f t="shared" si="128"/>
        <v>2500</v>
      </c>
      <c r="BP172" s="111">
        <f t="shared" si="128"/>
        <v>2500</v>
      </c>
      <c r="BQ172" s="111">
        <f t="shared" si="128"/>
        <v>2500</v>
      </c>
      <c r="BR172" s="111">
        <f t="shared" si="128"/>
        <v>2500</v>
      </c>
      <c r="BS172" s="111">
        <f t="shared" si="128"/>
        <v>2500</v>
      </c>
      <c r="BT172" s="111">
        <f t="shared" si="128"/>
        <v>2500</v>
      </c>
      <c r="BU172" s="111">
        <f t="shared" si="128"/>
        <v>2500</v>
      </c>
      <c r="BV172" s="111">
        <f t="shared" si="128"/>
        <v>2500</v>
      </c>
      <c r="BW172" s="111">
        <f t="shared" si="128"/>
        <v>2500</v>
      </c>
      <c r="BX172" s="111">
        <f t="shared" si="128"/>
        <v>2500</v>
      </c>
      <c r="BY172" s="111">
        <f t="shared" si="128"/>
        <v>2500</v>
      </c>
    </row>
    <row r="173" outlineLevel="1">
      <c r="A173" s="66"/>
      <c r="B173" s="129" t="s">
        <v>115</v>
      </c>
      <c r="C173" s="130">
        <v>2500.0</v>
      </c>
      <c r="D173" s="131"/>
      <c r="E173" s="131"/>
      <c r="F173" s="123"/>
      <c r="G173" s="132"/>
      <c r="H173" s="123"/>
      <c r="I173" s="123"/>
      <c r="J173" s="123"/>
      <c r="K173" s="123"/>
      <c r="L173" s="123"/>
      <c r="M173" s="123"/>
      <c r="N173" s="123"/>
      <c r="O173" s="123"/>
      <c r="P173" s="123"/>
      <c r="Q173" s="123"/>
      <c r="R173" s="123">
        <f t="shared" si="122"/>
        <v>2500</v>
      </c>
      <c r="S173" s="123">
        <f t="shared" ref="S173:BY173" si="129">R173</f>
        <v>2500</v>
      </c>
      <c r="T173" s="123">
        <f t="shared" si="129"/>
        <v>2500</v>
      </c>
      <c r="U173" s="123">
        <f t="shared" si="129"/>
        <v>2500</v>
      </c>
      <c r="V173" s="123">
        <f t="shared" si="129"/>
        <v>2500</v>
      </c>
      <c r="W173" s="123">
        <f t="shared" si="129"/>
        <v>2500</v>
      </c>
      <c r="X173" s="123">
        <f t="shared" si="129"/>
        <v>2500</v>
      </c>
      <c r="Y173" s="123">
        <f t="shared" si="129"/>
        <v>2500</v>
      </c>
      <c r="Z173" s="123">
        <f t="shared" si="129"/>
        <v>2500</v>
      </c>
      <c r="AA173" s="123">
        <f t="shared" si="129"/>
        <v>2500</v>
      </c>
      <c r="AB173" s="123">
        <f t="shared" si="129"/>
        <v>2500</v>
      </c>
      <c r="AC173" s="123">
        <f t="shared" si="129"/>
        <v>2500</v>
      </c>
      <c r="AD173" s="123">
        <f t="shared" si="129"/>
        <v>2500</v>
      </c>
      <c r="AE173" s="123">
        <f t="shared" si="129"/>
        <v>2500</v>
      </c>
      <c r="AF173" s="123">
        <f t="shared" si="129"/>
        <v>2500</v>
      </c>
      <c r="AG173" s="123">
        <f t="shared" si="129"/>
        <v>2500</v>
      </c>
      <c r="AH173" s="123">
        <f t="shared" si="129"/>
        <v>2500</v>
      </c>
      <c r="AI173" s="123">
        <f t="shared" si="129"/>
        <v>2500</v>
      </c>
      <c r="AJ173" s="123">
        <f t="shared" si="129"/>
        <v>2500</v>
      </c>
      <c r="AK173" s="123">
        <f t="shared" si="129"/>
        <v>2500</v>
      </c>
      <c r="AL173" s="123">
        <f t="shared" si="129"/>
        <v>2500</v>
      </c>
      <c r="AM173" s="123">
        <f t="shared" si="129"/>
        <v>2500</v>
      </c>
      <c r="AN173" s="123">
        <f t="shared" si="129"/>
        <v>2500</v>
      </c>
      <c r="AO173" s="123">
        <f t="shared" si="129"/>
        <v>2500</v>
      </c>
      <c r="AP173" s="123">
        <f t="shared" si="129"/>
        <v>2500</v>
      </c>
      <c r="AQ173" s="123">
        <f t="shared" si="129"/>
        <v>2500</v>
      </c>
      <c r="AR173" s="123">
        <f t="shared" si="129"/>
        <v>2500</v>
      </c>
      <c r="AS173" s="123">
        <f t="shared" si="129"/>
        <v>2500</v>
      </c>
      <c r="AT173" s="123">
        <f t="shared" si="129"/>
        <v>2500</v>
      </c>
      <c r="AU173" s="123">
        <f t="shared" si="129"/>
        <v>2500</v>
      </c>
      <c r="AV173" s="123">
        <f t="shared" si="129"/>
        <v>2500</v>
      </c>
      <c r="AW173" s="123">
        <f t="shared" si="129"/>
        <v>2500</v>
      </c>
      <c r="AX173" s="123">
        <f t="shared" si="129"/>
        <v>2500</v>
      </c>
      <c r="AY173" s="123">
        <f t="shared" si="129"/>
        <v>2500</v>
      </c>
      <c r="AZ173" s="123">
        <f t="shared" si="129"/>
        <v>2500</v>
      </c>
      <c r="BA173" s="123">
        <f t="shared" si="129"/>
        <v>2500</v>
      </c>
      <c r="BB173" s="123">
        <f t="shared" si="129"/>
        <v>2500</v>
      </c>
      <c r="BC173" s="123">
        <f t="shared" si="129"/>
        <v>2500</v>
      </c>
      <c r="BD173" s="123">
        <f t="shared" si="129"/>
        <v>2500</v>
      </c>
      <c r="BE173" s="123">
        <f t="shared" si="129"/>
        <v>2500</v>
      </c>
      <c r="BF173" s="123">
        <f t="shared" si="129"/>
        <v>2500</v>
      </c>
      <c r="BG173" s="123">
        <f t="shared" si="129"/>
        <v>2500</v>
      </c>
      <c r="BH173" s="123">
        <f t="shared" si="129"/>
        <v>2500</v>
      </c>
      <c r="BI173" s="123">
        <f t="shared" si="129"/>
        <v>2500</v>
      </c>
      <c r="BJ173" s="123">
        <f t="shared" si="129"/>
        <v>2500</v>
      </c>
      <c r="BK173" s="123">
        <f t="shared" si="129"/>
        <v>2500</v>
      </c>
      <c r="BL173" s="123">
        <f t="shared" si="129"/>
        <v>2500</v>
      </c>
      <c r="BM173" s="123">
        <f t="shared" si="129"/>
        <v>2500</v>
      </c>
      <c r="BN173" s="123">
        <f t="shared" si="129"/>
        <v>2500</v>
      </c>
      <c r="BO173" s="123">
        <f t="shared" si="129"/>
        <v>2500</v>
      </c>
      <c r="BP173" s="123">
        <f t="shared" si="129"/>
        <v>2500</v>
      </c>
      <c r="BQ173" s="123">
        <f t="shared" si="129"/>
        <v>2500</v>
      </c>
      <c r="BR173" s="123">
        <f t="shared" si="129"/>
        <v>2500</v>
      </c>
      <c r="BS173" s="123">
        <f t="shared" si="129"/>
        <v>2500</v>
      </c>
      <c r="BT173" s="123">
        <f t="shared" si="129"/>
        <v>2500</v>
      </c>
      <c r="BU173" s="123">
        <f t="shared" si="129"/>
        <v>2500</v>
      </c>
      <c r="BV173" s="123">
        <f t="shared" si="129"/>
        <v>2500</v>
      </c>
      <c r="BW173" s="123">
        <f t="shared" si="129"/>
        <v>2500</v>
      </c>
      <c r="BX173" s="123">
        <f t="shared" si="129"/>
        <v>2500</v>
      </c>
      <c r="BY173" s="123">
        <f t="shared" si="129"/>
        <v>2500</v>
      </c>
    </row>
    <row r="174" outlineLevel="1">
      <c r="A174" s="133"/>
      <c r="B174" s="134" t="s">
        <v>106</v>
      </c>
      <c r="C174" s="133"/>
      <c r="D174" s="133"/>
      <c r="E174" s="133"/>
      <c r="F174" s="133"/>
      <c r="G174" s="135"/>
      <c r="H174" s="135"/>
      <c r="I174" s="135"/>
      <c r="J174" s="135"/>
      <c r="K174" s="135"/>
      <c r="L174" s="135"/>
      <c r="M174" s="135"/>
      <c r="N174" s="135"/>
      <c r="O174" s="135"/>
      <c r="P174" s="135"/>
      <c r="Q174" s="135"/>
      <c r="R174" s="135">
        <f t="shared" ref="R174:BY174" si="130">sum(R166:R173)</f>
        <v>20000</v>
      </c>
      <c r="S174" s="135">
        <f t="shared" si="130"/>
        <v>20000</v>
      </c>
      <c r="T174" s="135">
        <f t="shared" si="130"/>
        <v>20000</v>
      </c>
      <c r="U174" s="135">
        <f t="shared" si="130"/>
        <v>20000</v>
      </c>
      <c r="V174" s="135">
        <f t="shared" si="130"/>
        <v>20000</v>
      </c>
      <c r="W174" s="135">
        <f t="shared" si="130"/>
        <v>20000</v>
      </c>
      <c r="X174" s="135">
        <f t="shared" si="130"/>
        <v>20000</v>
      </c>
      <c r="Y174" s="135">
        <f t="shared" si="130"/>
        <v>20000</v>
      </c>
      <c r="Z174" s="135">
        <f t="shared" si="130"/>
        <v>20000</v>
      </c>
      <c r="AA174" s="135">
        <f t="shared" si="130"/>
        <v>20000</v>
      </c>
      <c r="AB174" s="135">
        <f t="shared" si="130"/>
        <v>20000</v>
      </c>
      <c r="AC174" s="135">
        <f t="shared" si="130"/>
        <v>20000</v>
      </c>
      <c r="AD174" s="135">
        <f t="shared" si="130"/>
        <v>20000</v>
      </c>
      <c r="AE174" s="135">
        <f t="shared" si="130"/>
        <v>20000</v>
      </c>
      <c r="AF174" s="135">
        <f t="shared" si="130"/>
        <v>20000</v>
      </c>
      <c r="AG174" s="135">
        <f t="shared" si="130"/>
        <v>20000</v>
      </c>
      <c r="AH174" s="135">
        <f t="shared" si="130"/>
        <v>20000</v>
      </c>
      <c r="AI174" s="135">
        <f t="shared" si="130"/>
        <v>20000</v>
      </c>
      <c r="AJ174" s="135">
        <f t="shared" si="130"/>
        <v>20000</v>
      </c>
      <c r="AK174" s="135">
        <f t="shared" si="130"/>
        <v>20000</v>
      </c>
      <c r="AL174" s="135">
        <f t="shared" si="130"/>
        <v>20000</v>
      </c>
      <c r="AM174" s="135">
        <f t="shared" si="130"/>
        <v>20000</v>
      </c>
      <c r="AN174" s="135">
        <f t="shared" si="130"/>
        <v>20000</v>
      </c>
      <c r="AO174" s="135">
        <f t="shared" si="130"/>
        <v>20000</v>
      </c>
      <c r="AP174" s="135">
        <f t="shared" si="130"/>
        <v>20000</v>
      </c>
      <c r="AQ174" s="135">
        <f t="shared" si="130"/>
        <v>20000</v>
      </c>
      <c r="AR174" s="135">
        <f t="shared" si="130"/>
        <v>20000</v>
      </c>
      <c r="AS174" s="135">
        <f t="shared" si="130"/>
        <v>20000</v>
      </c>
      <c r="AT174" s="135">
        <f t="shared" si="130"/>
        <v>20000</v>
      </c>
      <c r="AU174" s="135">
        <f t="shared" si="130"/>
        <v>20000</v>
      </c>
      <c r="AV174" s="135">
        <f t="shared" si="130"/>
        <v>20000</v>
      </c>
      <c r="AW174" s="135">
        <f t="shared" si="130"/>
        <v>20000</v>
      </c>
      <c r="AX174" s="135">
        <f t="shared" si="130"/>
        <v>20000</v>
      </c>
      <c r="AY174" s="135">
        <f t="shared" si="130"/>
        <v>20000</v>
      </c>
      <c r="AZ174" s="135">
        <f t="shared" si="130"/>
        <v>20000</v>
      </c>
      <c r="BA174" s="135">
        <f t="shared" si="130"/>
        <v>20000</v>
      </c>
      <c r="BB174" s="135">
        <f t="shared" si="130"/>
        <v>20000</v>
      </c>
      <c r="BC174" s="135">
        <f t="shared" si="130"/>
        <v>20000</v>
      </c>
      <c r="BD174" s="135">
        <f t="shared" si="130"/>
        <v>20000</v>
      </c>
      <c r="BE174" s="135">
        <f t="shared" si="130"/>
        <v>20000</v>
      </c>
      <c r="BF174" s="135">
        <f t="shared" si="130"/>
        <v>20000</v>
      </c>
      <c r="BG174" s="135">
        <f t="shared" si="130"/>
        <v>20000</v>
      </c>
      <c r="BH174" s="135">
        <f t="shared" si="130"/>
        <v>20000</v>
      </c>
      <c r="BI174" s="135">
        <f t="shared" si="130"/>
        <v>20000</v>
      </c>
      <c r="BJ174" s="135">
        <f t="shared" si="130"/>
        <v>20000</v>
      </c>
      <c r="BK174" s="135">
        <f t="shared" si="130"/>
        <v>20000</v>
      </c>
      <c r="BL174" s="135">
        <f t="shared" si="130"/>
        <v>20000</v>
      </c>
      <c r="BM174" s="135">
        <f t="shared" si="130"/>
        <v>20000</v>
      </c>
      <c r="BN174" s="135">
        <f t="shared" si="130"/>
        <v>20000</v>
      </c>
      <c r="BO174" s="135">
        <f t="shared" si="130"/>
        <v>20000</v>
      </c>
      <c r="BP174" s="135">
        <f t="shared" si="130"/>
        <v>20000</v>
      </c>
      <c r="BQ174" s="135">
        <f t="shared" si="130"/>
        <v>20000</v>
      </c>
      <c r="BR174" s="135">
        <f t="shared" si="130"/>
        <v>20000</v>
      </c>
      <c r="BS174" s="135">
        <f t="shared" si="130"/>
        <v>20000</v>
      </c>
      <c r="BT174" s="135">
        <f t="shared" si="130"/>
        <v>20000</v>
      </c>
      <c r="BU174" s="135">
        <f t="shared" si="130"/>
        <v>20000</v>
      </c>
      <c r="BV174" s="135">
        <f t="shared" si="130"/>
        <v>20000</v>
      </c>
      <c r="BW174" s="135">
        <f t="shared" si="130"/>
        <v>20000</v>
      </c>
      <c r="BX174" s="135">
        <f t="shared" si="130"/>
        <v>20000</v>
      </c>
      <c r="BY174" s="135">
        <f t="shared" si="130"/>
        <v>20000</v>
      </c>
    </row>
    <row r="175" outlineLevel="1">
      <c r="A175" s="47"/>
      <c r="B175" s="47"/>
      <c r="C175" s="47"/>
      <c r="D175" s="66"/>
      <c r="E175" s="66"/>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c r="BY175" s="111"/>
    </row>
    <row r="176" outlineLevel="1">
      <c r="A176" s="47"/>
      <c r="B176" s="136" t="s">
        <v>116</v>
      </c>
      <c r="C176" s="113" t="s">
        <v>97</v>
      </c>
      <c r="D176" s="137"/>
      <c r="E176" s="66"/>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c r="BY176" s="111"/>
    </row>
    <row r="177" outlineLevel="1">
      <c r="A177" s="47"/>
      <c r="B177" s="118" t="s">
        <v>117</v>
      </c>
      <c r="C177" s="119">
        <v>0.08</v>
      </c>
      <c r="D177" s="66"/>
      <c r="E177" s="66"/>
      <c r="F177" s="111"/>
      <c r="G177" s="111"/>
      <c r="H177" s="111"/>
      <c r="I177" s="111"/>
      <c r="J177" s="111"/>
      <c r="K177" s="111"/>
      <c r="L177" s="111"/>
      <c r="M177" s="111"/>
      <c r="N177" s="111"/>
      <c r="O177" s="111"/>
      <c r="P177" s="111"/>
      <c r="Q177" s="111"/>
      <c r="R177" s="111">
        <f>Financials!F$8*$C177</f>
        <v>381</v>
      </c>
      <c r="S177" s="111">
        <f>Financials!G$8*$C177</f>
        <v>770.715</v>
      </c>
      <c r="T177" s="111">
        <f>Financials!H$8*$C177</f>
        <v>1160.560725</v>
      </c>
      <c r="U177" s="111">
        <f>Financials!I$8*$C177</f>
        <v>1550.408411</v>
      </c>
      <c r="V177" s="111">
        <f>Financials!J$8*$C177</f>
        <v>1940.256126</v>
      </c>
      <c r="W177" s="111">
        <f>Financials!K$8*$C177</f>
        <v>2330.103842</v>
      </c>
      <c r="X177" s="111">
        <f>Financials!L$8*$C177</f>
        <v>2719.951558</v>
      </c>
      <c r="Y177" s="111">
        <f>Financials!M$8*$C177</f>
        <v>3109.799273</v>
      </c>
      <c r="Z177" s="111">
        <f>Financials!N$8*$C177</f>
        <v>3499.646989</v>
      </c>
      <c r="AA177" s="111">
        <f>Financials!O$8*$C177</f>
        <v>3889.494705</v>
      </c>
      <c r="AB177" s="111">
        <f>Financials!P$8*$C177</f>
        <v>4279.342421</v>
      </c>
      <c r="AC177" s="111">
        <f>Financials!Q$8*$C177</f>
        <v>4669.190136</v>
      </c>
      <c r="AD177" s="111">
        <f>Financials!R$8*$C177</f>
        <v>4982.837852</v>
      </c>
      <c r="AE177" s="111">
        <f>Financials!S$8*$C177</f>
        <v>5294.742568</v>
      </c>
      <c r="AF177" s="111">
        <f>Financials!T$8*$C177</f>
        <v>5606.621139</v>
      </c>
      <c r="AG177" s="111">
        <f>Financials!U$8*$C177</f>
        <v>5918.499317</v>
      </c>
      <c r="AH177" s="111">
        <f>Financials!V$8*$C177</f>
        <v>6230.37749</v>
      </c>
      <c r="AI177" s="111">
        <f>Financials!W$8*$C177</f>
        <v>6542.255662</v>
      </c>
      <c r="AJ177" s="111">
        <f>Financials!X$8*$C177</f>
        <v>6854.133835</v>
      </c>
      <c r="AK177" s="111">
        <f>Financials!Y$8*$C177</f>
        <v>7166.012008</v>
      </c>
      <c r="AL177" s="111">
        <f>Financials!Z$8*$C177</f>
        <v>7477.89018</v>
      </c>
      <c r="AM177" s="111">
        <f>Financials!AA$8*$C177</f>
        <v>7789.768353</v>
      </c>
      <c r="AN177" s="111">
        <f>Financials!AB$8*$C177</f>
        <v>8101.646525</v>
      </c>
      <c r="AO177" s="111">
        <f>Financials!AC$8*$C177</f>
        <v>8413.524698</v>
      </c>
      <c r="AP177" s="111">
        <f>Financials!AD$8*$C177</f>
        <v>8664.44287</v>
      </c>
      <c r="AQ177" s="111">
        <f>Financials!AE$8*$C177</f>
        <v>8913.966643</v>
      </c>
      <c r="AR177" s="111">
        <f>Financials!AF$8*$C177</f>
        <v>9163.4695</v>
      </c>
      <c r="AS177" s="111">
        <f>Financials!AG$8*$C177</f>
        <v>9412.972042</v>
      </c>
      <c r="AT177" s="111">
        <f>Financials!AH$8*$C177</f>
        <v>9662.474581</v>
      </c>
      <c r="AU177" s="111">
        <f>Financials!AI$8*$C177</f>
        <v>9911.977119</v>
      </c>
      <c r="AV177" s="111">
        <f>Financials!AJ$8*$C177</f>
        <v>10161.47966</v>
      </c>
      <c r="AW177" s="111">
        <f>Financials!AK$8*$C177</f>
        <v>10410.98219</v>
      </c>
      <c r="AX177" s="111">
        <f>Financials!AL$8*$C177</f>
        <v>10660.48473</v>
      </c>
      <c r="AY177" s="111">
        <f>Financials!AM$8*$C177</f>
        <v>10909.98727</v>
      </c>
      <c r="AZ177" s="111">
        <f>Financials!AN$8*$C177</f>
        <v>11159.48981</v>
      </c>
      <c r="BA177" s="111">
        <f>Financials!AO$8*$C177</f>
        <v>11408.99235</v>
      </c>
      <c r="BB177" s="111">
        <f>Financials!AP$8*$C177</f>
        <v>11609.72689</v>
      </c>
      <c r="BC177" s="111">
        <f>Financials!AQ$8*$C177</f>
        <v>11809.3459</v>
      </c>
      <c r="BD177" s="111">
        <f>Financials!AR$8*$C177</f>
        <v>12008.94819</v>
      </c>
      <c r="BE177" s="111">
        <f>Financials!AS$8*$C177</f>
        <v>12208.55022</v>
      </c>
      <c r="BF177" s="111">
        <f>Financials!AT$8*$C177</f>
        <v>12408.15225</v>
      </c>
      <c r="BG177" s="111">
        <f>Financials!AU$8*$C177</f>
        <v>12607.75428</v>
      </c>
      <c r="BH177" s="111">
        <f>Financials!AV$8*$C177</f>
        <v>12807.35631</v>
      </c>
      <c r="BI177" s="111">
        <f>Financials!AW$8*$C177</f>
        <v>13006.95834</v>
      </c>
      <c r="BJ177" s="111">
        <f>Financials!AX$8*$C177</f>
        <v>13206.56038</v>
      </c>
      <c r="BK177" s="111">
        <f>Financials!AY$8*$C177</f>
        <v>13406.16241</v>
      </c>
      <c r="BL177" s="111">
        <f>Financials!AZ$8*$C177</f>
        <v>13605.76444</v>
      </c>
      <c r="BM177" s="111">
        <f>Financials!BA$8*$C177</f>
        <v>13805.36647</v>
      </c>
      <c r="BN177" s="111">
        <f>Financials!BB$8*$C177</f>
        <v>13965.9541</v>
      </c>
      <c r="BO177" s="111">
        <f>Financials!BC$8*$C177</f>
        <v>14125.64931</v>
      </c>
      <c r="BP177" s="111">
        <f>Financials!BD$8*$C177</f>
        <v>14285.33114</v>
      </c>
      <c r="BQ177" s="111">
        <f>Financials!BE$8*$C177</f>
        <v>14445.01277</v>
      </c>
      <c r="BR177" s="111">
        <f>Financials!BF$8*$C177</f>
        <v>14604.69439</v>
      </c>
      <c r="BS177" s="111">
        <f>Financials!BG$8*$C177</f>
        <v>14764.37602</v>
      </c>
      <c r="BT177" s="111">
        <f>Financials!BH$8*$C177</f>
        <v>14924.05764</v>
      </c>
      <c r="BU177" s="111">
        <f>Financials!BI$8*$C177</f>
        <v>15083.73926</v>
      </c>
      <c r="BV177" s="111">
        <f>Financials!BJ$8*$C177</f>
        <v>15243.42089</v>
      </c>
      <c r="BW177" s="111">
        <f>Financials!BK$8*$C177</f>
        <v>15403.10251</v>
      </c>
      <c r="BX177" s="111">
        <f>Financials!BL$8*$C177</f>
        <v>15562.78414</v>
      </c>
      <c r="BY177" s="111">
        <f>Financials!BM$8*$C177</f>
        <v>15722.46576</v>
      </c>
    </row>
    <row r="178" outlineLevel="1">
      <c r="A178" s="47"/>
      <c r="B178" s="121" t="s">
        <v>118</v>
      </c>
      <c r="C178" s="130">
        <v>10000.0</v>
      </c>
      <c r="D178" s="131"/>
      <c r="E178" s="131"/>
      <c r="F178" s="123"/>
      <c r="G178" s="132"/>
      <c r="H178" s="123"/>
      <c r="I178" s="123"/>
      <c r="J178" s="123"/>
      <c r="K178" s="123"/>
      <c r="L178" s="123"/>
      <c r="M178" s="123"/>
      <c r="N178" s="123"/>
      <c r="O178" s="123"/>
      <c r="P178" s="123"/>
      <c r="Q178" s="123"/>
      <c r="R178" s="123">
        <f>C178</f>
        <v>10000</v>
      </c>
      <c r="S178" s="123">
        <f t="shared" ref="S178:BY178" si="131">R178</f>
        <v>10000</v>
      </c>
      <c r="T178" s="123">
        <f t="shared" si="131"/>
        <v>10000</v>
      </c>
      <c r="U178" s="123">
        <f t="shared" si="131"/>
        <v>10000</v>
      </c>
      <c r="V178" s="123">
        <f t="shared" si="131"/>
        <v>10000</v>
      </c>
      <c r="W178" s="123">
        <f t="shared" si="131"/>
        <v>10000</v>
      </c>
      <c r="X178" s="123">
        <f t="shared" si="131"/>
        <v>10000</v>
      </c>
      <c r="Y178" s="123">
        <f t="shared" si="131"/>
        <v>10000</v>
      </c>
      <c r="Z178" s="123">
        <f t="shared" si="131"/>
        <v>10000</v>
      </c>
      <c r="AA178" s="123">
        <f t="shared" si="131"/>
        <v>10000</v>
      </c>
      <c r="AB178" s="123">
        <f t="shared" si="131"/>
        <v>10000</v>
      </c>
      <c r="AC178" s="123">
        <f t="shared" si="131"/>
        <v>10000</v>
      </c>
      <c r="AD178" s="123">
        <f t="shared" si="131"/>
        <v>10000</v>
      </c>
      <c r="AE178" s="123">
        <f t="shared" si="131"/>
        <v>10000</v>
      </c>
      <c r="AF178" s="123">
        <f t="shared" si="131"/>
        <v>10000</v>
      </c>
      <c r="AG178" s="123">
        <f t="shared" si="131"/>
        <v>10000</v>
      </c>
      <c r="AH178" s="123">
        <f t="shared" si="131"/>
        <v>10000</v>
      </c>
      <c r="AI178" s="123">
        <f t="shared" si="131"/>
        <v>10000</v>
      </c>
      <c r="AJ178" s="123">
        <f t="shared" si="131"/>
        <v>10000</v>
      </c>
      <c r="AK178" s="123">
        <f t="shared" si="131"/>
        <v>10000</v>
      </c>
      <c r="AL178" s="123">
        <f t="shared" si="131"/>
        <v>10000</v>
      </c>
      <c r="AM178" s="123">
        <f t="shared" si="131"/>
        <v>10000</v>
      </c>
      <c r="AN178" s="123">
        <f t="shared" si="131"/>
        <v>10000</v>
      </c>
      <c r="AO178" s="123">
        <f t="shared" si="131"/>
        <v>10000</v>
      </c>
      <c r="AP178" s="123">
        <f t="shared" si="131"/>
        <v>10000</v>
      </c>
      <c r="AQ178" s="123">
        <f t="shared" si="131"/>
        <v>10000</v>
      </c>
      <c r="AR178" s="123">
        <f t="shared" si="131"/>
        <v>10000</v>
      </c>
      <c r="AS178" s="123">
        <f t="shared" si="131"/>
        <v>10000</v>
      </c>
      <c r="AT178" s="123">
        <f t="shared" si="131"/>
        <v>10000</v>
      </c>
      <c r="AU178" s="123">
        <f t="shared" si="131"/>
        <v>10000</v>
      </c>
      <c r="AV178" s="123">
        <f t="shared" si="131"/>
        <v>10000</v>
      </c>
      <c r="AW178" s="123">
        <f t="shared" si="131"/>
        <v>10000</v>
      </c>
      <c r="AX178" s="123">
        <f t="shared" si="131"/>
        <v>10000</v>
      </c>
      <c r="AY178" s="123">
        <f t="shared" si="131"/>
        <v>10000</v>
      </c>
      <c r="AZ178" s="123">
        <f t="shared" si="131"/>
        <v>10000</v>
      </c>
      <c r="BA178" s="123">
        <f t="shared" si="131"/>
        <v>10000</v>
      </c>
      <c r="BB178" s="123">
        <f t="shared" si="131"/>
        <v>10000</v>
      </c>
      <c r="BC178" s="123">
        <f t="shared" si="131"/>
        <v>10000</v>
      </c>
      <c r="BD178" s="123">
        <f t="shared" si="131"/>
        <v>10000</v>
      </c>
      <c r="BE178" s="123">
        <f t="shared" si="131"/>
        <v>10000</v>
      </c>
      <c r="BF178" s="123">
        <f t="shared" si="131"/>
        <v>10000</v>
      </c>
      <c r="BG178" s="123">
        <f t="shared" si="131"/>
        <v>10000</v>
      </c>
      <c r="BH178" s="123">
        <f t="shared" si="131"/>
        <v>10000</v>
      </c>
      <c r="BI178" s="123">
        <f t="shared" si="131"/>
        <v>10000</v>
      </c>
      <c r="BJ178" s="123">
        <f t="shared" si="131"/>
        <v>10000</v>
      </c>
      <c r="BK178" s="123">
        <f t="shared" si="131"/>
        <v>10000</v>
      </c>
      <c r="BL178" s="123">
        <f t="shared" si="131"/>
        <v>10000</v>
      </c>
      <c r="BM178" s="123">
        <f t="shared" si="131"/>
        <v>10000</v>
      </c>
      <c r="BN178" s="123">
        <f t="shared" si="131"/>
        <v>10000</v>
      </c>
      <c r="BO178" s="123">
        <f t="shared" si="131"/>
        <v>10000</v>
      </c>
      <c r="BP178" s="123">
        <f t="shared" si="131"/>
        <v>10000</v>
      </c>
      <c r="BQ178" s="123">
        <f t="shared" si="131"/>
        <v>10000</v>
      </c>
      <c r="BR178" s="123">
        <f t="shared" si="131"/>
        <v>10000</v>
      </c>
      <c r="BS178" s="123">
        <f t="shared" si="131"/>
        <v>10000</v>
      </c>
      <c r="BT178" s="123">
        <f t="shared" si="131"/>
        <v>10000</v>
      </c>
      <c r="BU178" s="123">
        <f t="shared" si="131"/>
        <v>10000</v>
      </c>
      <c r="BV178" s="123">
        <f t="shared" si="131"/>
        <v>10000</v>
      </c>
      <c r="BW178" s="123">
        <f t="shared" si="131"/>
        <v>10000</v>
      </c>
      <c r="BX178" s="123">
        <f t="shared" si="131"/>
        <v>10000</v>
      </c>
      <c r="BY178" s="123">
        <f t="shared" si="131"/>
        <v>10000</v>
      </c>
    </row>
    <row r="179" outlineLevel="1">
      <c r="A179" s="133"/>
      <c r="B179" s="138" t="s">
        <v>106</v>
      </c>
      <c r="C179" s="133"/>
      <c r="D179" s="133"/>
      <c r="E179" s="133"/>
      <c r="F179" s="133"/>
      <c r="G179" s="135"/>
      <c r="H179" s="135"/>
      <c r="I179" s="135"/>
      <c r="J179" s="135"/>
      <c r="K179" s="135"/>
      <c r="L179" s="135"/>
      <c r="M179" s="135"/>
      <c r="N179" s="135"/>
      <c r="O179" s="135"/>
      <c r="P179" s="135"/>
      <c r="Q179" s="135"/>
      <c r="R179" s="135">
        <f t="shared" ref="R179:BY179" si="132">sum(R177:R178)</f>
        <v>10381</v>
      </c>
      <c r="S179" s="135">
        <f t="shared" si="132"/>
        <v>10770.715</v>
      </c>
      <c r="T179" s="135">
        <f t="shared" si="132"/>
        <v>11160.56073</v>
      </c>
      <c r="U179" s="135">
        <f t="shared" si="132"/>
        <v>11550.40841</v>
      </c>
      <c r="V179" s="135">
        <f t="shared" si="132"/>
        <v>11940.25613</v>
      </c>
      <c r="W179" s="135">
        <f t="shared" si="132"/>
        <v>12330.10384</v>
      </c>
      <c r="X179" s="135">
        <f t="shared" si="132"/>
        <v>12719.95156</v>
      </c>
      <c r="Y179" s="135">
        <f t="shared" si="132"/>
        <v>13109.79927</v>
      </c>
      <c r="Z179" s="135">
        <f t="shared" si="132"/>
        <v>13499.64699</v>
      </c>
      <c r="AA179" s="135">
        <f t="shared" si="132"/>
        <v>13889.4947</v>
      </c>
      <c r="AB179" s="135">
        <f t="shared" si="132"/>
        <v>14279.34242</v>
      </c>
      <c r="AC179" s="135">
        <f t="shared" si="132"/>
        <v>14669.19014</v>
      </c>
      <c r="AD179" s="135">
        <f t="shared" si="132"/>
        <v>14982.83785</v>
      </c>
      <c r="AE179" s="135">
        <f t="shared" si="132"/>
        <v>15294.74257</v>
      </c>
      <c r="AF179" s="135">
        <f t="shared" si="132"/>
        <v>15606.62114</v>
      </c>
      <c r="AG179" s="135">
        <f t="shared" si="132"/>
        <v>15918.49932</v>
      </c>
      <c r="AH179" s="135">
        <f t="shared" si="132"/>
        <v>16230.37749</v>
      </c>
      <c r="AI179" s="135">
        <f t="shared" si="132"/>
        <v>16542.25566</v>
      </c>
      <c r="AJ179" s="135">
        <f t="shared" si="132"/>
        <v>16854.13383</v>
      </c>
      <c r="AK179" s="135">
        <f t="shared" si="132"/>
        <v>17166.01201</v>
      </c>
      <c r="AL179" s="135">
        <f t="shared" si="132"/>
        <v>17477.89018</v>
      </c>
      <c r="AM179" s="135">
        <f t="shared" si="132"/>
        <v>17789.76835</v>
      </c>
      <c r="AN179" s="135">
        <f t="shared" si="132"/>
        <v>18101.64653</v>
      </c>
      <c r="AO179" s="135">
        <f t="shared" si="132"/>
        <v>18413.5247</v>
      </c>
      <c r="AP179" s="135">
        <f t="shared" si="132"/>
        <v>18664.44287</v>
      </c>
      <c r="AQ179" s="135">
        <f t="shared" si="132"/>
        <v>18913.96664</v>
      </c>
      <c r="AR179" s="135">
        <f t="shared" si="132"/>
        <v>19163.4695</v>
      </c>
      <c r="AS179" s="135">
        <f t="shared" si="132"/>
        <v>19412.97204</v>
      </c>
      <c r="AT179" s="135">
        <f t="shared" si="132"/>
        <v>19662.47458</v>
      </c>
      <c r="AU179" s="135">
        <f t="shared" si="132"/>
        <v>19911.97712</v>
      </c>
      <c r="AV179" s="135">
        <f t="shared" si="132"/>
        <v>20161.47966</v>
      </c>
      <c r="AW179" s="135">
        <f t="shared" si="132"/>
        <v>20410.98219</v>
      </c>
      <c r="AX179" s="135">
        <f t="shared" si="132"/>
        <v>20660.48473</v>
      </c>
      <c r="AY179" s="135">
        <f t="shared" si="132"/>
        <v>20909.98727</v>
      </c>
      <c r="AZ179" s="135">
        <f t="shared" si="132"/>
        <v>21159.48981</v>
      </c>
      <c r="BA179" s="135">
        <f t="shared" si="132"/>
        <v>21408.99235</v>
      </c>
      <c r="BB179" s="135">
        <f t="shared" si="132"/>
        <v>21609.72689</v>
      </c>
      <c r="BC179" s="135">
        <f t="shared" si="132"/>
        <v>21809.3459</v>
      </c>
      <c r="BD179" s="135">
        <f t="shared" si="132"/>
        <v>22008.94819</v>
      </c>
      <c r="BE179" s="135">
        <f t="shared" si="132"/>
        <v>22208.55022</v>
      </c>
      <c r="BF179" s="135">
        <f t="shared" si="132"/>
        <v>22408.15225</v>
      </c>
      <c r="BG179" s="135">
        <f t="shared" si="132"/>
        <v>22607.75428</v>
      </c>
      <c r="BH179" s="135">
        <f t="shared" si="132"/>
        <v>22807.35631</v>
      </c>
      <c r="BI179" s="135">
        <f t="shared" si="132"/>
        <v>23006.95834</v>
      </c>
      <c r="BJ179" s="135">
        <f t="shared" si="132"/>
        <v>23206.56038</v>
      </c>
      <c r="BK179" s="135">
        <f t="shared" si="132"/>
        <v>23406.16241</v>
      </c>
      <c r="BL179" s="135">
        <f t="shared" si="132"/>
        <v>23605.76444</v>
      </c>
      <c r="BM179" s="135">
        <f t="shared" si="132"/>
        <v>23805.36647</v>
      </c>
      <c r="BN179" s="135">
        <f t="shared" si="132"/>
        <v>23965.9541</v>
      </c>
      <c r="BO179" s="135">
        <f t="shared" si="132"/>
        <v>24125.64931</v>
      </c>
      <c r="BP179" s="135">
        <f t="shared" si="132"/>
        <v>24285.33114</v>
      </c>
      <c r="BQ179" s="135">
        <f t="shared" si="132"/>
        <v>24445.01277</v>
      </c>
      <c r="BR179" s="135">
        <f t="shared" si="132"/>
        <v>24604.69439</v>
      </c>
      <c r="BS179" s="135">
        <f t="shared" si="132"/>
        <v>24764.37602</v>
      </c>
      <c r="BT179" s="135">
        <f t="shared" si="132"/>
        <v>24924.05764</v>
      </c>
      <c r="BU179" s="135">
        <f t="shared" si="132"/>
        <v>25083.73926</v>
      </c>
      <c r="BV179" s="135">
        <f t="shared" si="132"/>
        <v>25243.42089</v>
      </c>
      <c r="BW179" s="135">
        <f t="shared" si="132"/>
        <v>25403.10251</v>
      </c>
      <c r="BX179" s="135">
        <f t="shared" si="132"/>
        <v>25562.78414</v>
      </c>
      <c r="BY179" s="135">
        <f t="shared" si="132"/>
        <v>25722.46576</v>
      </c>
    </row>
    <row r="180" outlineLevel="1">
      <c r="A180" s="47"/>
      <c r="B180" s="139"/>
      <c r="C180" s="47"/>
      <c r="D180" s="66"/>
      <c r="E180" s="66"/>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c r="BY180" s="111"/>
    </row>
    <row r="181" outlineLevel="1">
      <c r="A181" s="47"/>
      <c r="B181" s="136" t="s">
        <v>119</v>
      </c>
      <c r="C181" s="65"/>
      <c r="D181" s="137"/>
      <c r="E181" s="66"/>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c r="BY181" s="111"/>
    </row>
    <row r="182" outlineLevel="1">
      <c r="A182" s="47"/>
      <c r="B182" s="118" t="s">
        <v>120</v>
      </c>
      <c r="C182" s="115">
        <v>2500.0</v>
      </c>
      <c r="D182" s="127"/>
      <c r="E182" s="66"/>
      <c r="F182" s="111"/>
      <c r="G182" s="128"/>
      <c r="H182" s="111"/>
      <c r="I182" s="111"/>
      <c r="J182" s="111"/>
      <c r="K182" s="111"/>
      <c r="L182" s="111"/>
      <c r="M182" s="111"/>
      <c r="N182" s="111"/>
      <c r="O182" s="111"/>
      <c r="P182" s="111"/>
      <c r="Q182" s="111"/>
      <c r="R182" s="111">
        <f t="shared" ref="R182:R184" si="134">C182</f>
        <v>2500</v>
      </c>
      <c r="S182" s="111">
        <f t="shared" ref="S182:BY182" si="133">R182</f>
        <v>2500</v>
      </c>
      <c r="T182" s="111">
        <f t="shared" si="133"/>
        <v>2500</v>
      </c>
      <c r="U182" s="111">
        <f t="shared" si="133"/>
        <v>2500</v>
      </c>
      <c r="V182" s="111">
        <f t="shared" si="133"/>
        <v>2500</v>
      </c>
      <c r="W182" s="111">
        <f t="shared" si="133"/>
        <v>2500</v>
      </c>
      <c r="X182" s="111">
        <f t="shared" si="133"/>
        <v>2500</v>
      </c>
      <c r="Y182" s="111">
        <f t="shared" si="133"/>
        <v>2500</v>
      </c>
      <c r="Z182" s="111">
        <f t="shared" si="133"/>
        <v>2500</v>
      </c>
      <c r="AA182" s="111">
        <f t="shared" si="133"/>
        <v>2500</v>
      </c>
      <c r="AB182" s="111">
        <f t="shared" si="133"/>
        <v>2500</v>
      </c>
      <c r="AC182" s="111">
        <f t="shared" si="133"/>
        <v>2500</v>
      </c>
      <c r="AD182" s="111">
        <f t="shared" si="133"/>
        <v>2500</v>
      </c>
      <c r="AE182" s="111">
        <f t="shared" si="133"/>
        <v>2500</v>
      </c>
      <c r="AF182" s="111">
        <f t="shared" si="133"/>
        <v>2500</v>
      </c>
      <c r="AG182" s="111">
        <f t="shared" si="133"/>
        <v>2500</v>
      </c>
      <c r="AH182" s="111">
        <f t="shared" si="133"/>
        <v>2500</v>
      </c>
      <c r="AI182" s="111">
        <f t="shared" si="133"/>
        <v>2500</v>
      </c>
      <c r="AJ182" s="111">
        <f t="shared" si="133"/>
        <v>2500</v>
      </c>
      <c r="AK182" s="111">
        <f t="shared" si="133"/>
        <v>2500</v>
      </c>
      <c r="AL182" s="111">
        <f t="shared" si="133"/>
        <v>2500</v>
      </c>
      <c r="AM182" s="111">
        <f t="shared" si="133"/>
        <v>2500</v>
      </c>
      <c r="AN182" s="111">
        <f t="shared" si="133"/>
        <v>2500</v>
      </c>
      <c r="AO182" s="111">
        <f t="shared" si="133"/>
        <v>2500</v>
      </c>
      <c r="AP182" s="111">
        <f t="shared" si="133"/>
        <v>2500</v>
      </c>
      <c r="AQ182" s="111">
        <f t="shared" si="133"/>
        <v>2500</v>
      </c>
      <c r="AR182" s="111">
        <f t="shared" si="133"/>
        <v>2500</v>
      </c>
      <c r="AS182" s="111">
        <f t="shared" si="133"/>
        <v>2500</v>
      </c>
      <c r="AT182" s="111">
        <f t="shared" si="133"/>
        <v>2500</v>
      </c>
      <c r="AU182" s="111">
        <f t="shared" si="133"/>
        <v>2500</v>
      </c>
      <c r="AV182" s="111">
        <f t="shared" si="133"/>
        <v>2500</v>
      </c>
      <c r="AW182" s="111">
        <f t="shared" si="133"/>
        <v>2500</v>
      </c>
      <c r="AX182" s="111">
        <f t="shared" si="133"/>
        <v>2500</v>
      </c>
      <c r="AY182" s="111">
        <f t="shared" si="133"/>
        <v>2500</v>
      </c>
      <c r="AZ182" s="111">
        <f t="shared" si="133"/>
        <v>2500</v>
      </c>
      <c r="BA182" s="111">
        <f t="shared" si="133"/>
        <v>2500</v>
      </c>
      <c r="BB182" s="111">
        <f t="shared" si="133"/>
        <v>2500</v>
      </c>
      <c r="BC182" s="111">
        <f t="shared" si="133"/>
        <v>2500</v>
      </c>
      <c r="BD182" s="111">
        <f t="shared" si="133"/>
        <v>2500</v>
      </c>
      <c r="BE182" s="111">
        <f t="shared" si="133"/>
        <v>2500</v>
      </c>
      <c r="BF182" s="111">
        <f t="shared" si="133"/>
        <v>2500</v>
      </c>
      <c r="BG182" s="111">
        <f t="shared" si="133"/>
        <v>2500</v>
      </c>
      <c r="BH182" s="111">
        <f t="shared" si="133"/>
        <v>2500</v>
      </c>
      <c r="BI182" s="111">
        <f t="shared" si="133"/>
        <v>2500</v>
      </c>
      <c r="BJ182" s="111">
        <f t="shared" si="133"/>
        <v>2500</v>
      </c>
      <c r="BK182" s="111">
        <f t="shared" si="133"/>
        <v>2500</v>
      </c>
      <c r="BL182" s="111">
        <f t="shared" si="133"/>
        <v>2500</v>
      </c>
      <c r="BM182" s="111">
        <f t="shared" si="133"/>
        <v>2500</v>
      </c>
      <c r="BN182" s="111">
        <f t="shared" si="133"/>
        <v>2500</v>
      </c>
      <c r="BO182" s="111">
        <f t="shared" si="133"/>
        <v>2500</v>
      </c>
      <c r="BP182" s="111">
        <f t="shared" si="133"/>
        <v>2500</v>
      </c>
      <c r="BQ182" s="111">
        <f t="shared" si="133"/>
        <v>2500</v>
      </c>
      <c r="BR182" s="111">
        <f t="shared" si="133"/>
        <v>2500</v>
      </c>
      <c r="BS182" s="111">
        <f t="shared" si="133"/>
        <v>2500</v>
      </c>
      <c r="BT182" s="111">
        <f t="shared" si="133"/>
        <v>2500</v>
      </c>
      <c r="BU182" s="111">
        <f t="shared" si="133"/>
        <v>2500</v>
      </c>
      <c r="BV182" s="111">
        <f t="shared" si="133"/>
        <v>2500</v>
      </c>
      <c r="BW182" s="111">
        <f t="shared" si="133"/>
        <v>2500</v>
      </c>
      <c r="BX182" s="111">
        <f t="shared" si="133"/>
        <v>2500</v>
      </c>
      <c r="BY182" s="111">
        <f t="shared" si="133"/>
        <v>2500</v>
      </c>
    </row>
    <row r="183" outlineLevel="1">
      <c r="A183" s="47"/>
      <c r="B183" s="118" t="s">
        <v>121</v>
      </c>
      <c r="C183" s="115">
        <v>1000.0</v>
      </c>
      <c r="D183" s="127"/>
      <c r="E183" s="66"/>
      <c r="F183" s="111"/>
      <c r="G183" s="128"/>
      <c r="H183" s="111"/>
      <c r="I183" s="111"/>
      <c r="J183" s="111"/>
      <c r="K183" s="111"/>
      <c r="L183" s="111"/>
      <c r="M183" s="111"/>
      <c r="N183" s="111"/>
      <c r="O183" s="111"/>
      <c r="P183" s="111"/>
      <c r="Q183" s="111"/>
      <c r="R183" s="111">
        <f t="shared" si="134"/>
        <v>1000</v>
      </c>
      <c r="S183" s="111">
        <f t="shared" ref="S183:BY183" si="135">R183</f>
        <v>1000</v>
      </c>
      <c r="T183" s="111">
        <f t="shared" si="135"/>
        <v>1000</v>
      </c>
      <c r="U183" s="111">
        <f t="shared" si="135"/>
        <v>1000</v>
      </c>
      <c r="V183" s="111">
        <f t="shared" si="135"/>
        <v>1000</v>
      </c>
      <c r="W183" s="111">
        <f t="shared" si="135"/>
        <v>1000</v>
      </c>
      <c r="X183" s="111">
        <f t="shared" si="135"/>
        <v>1000</v>
      </c>
      <c r="Y183" s="111">
        <f t="shared" si="135"/>
        <v>1000</v>
      </c>
      <c r="Z183" s="111">
        <f t="shared" si="135"/>
        <v>1000</v>
      </c>
      <c r="AA183" s="111">
        <f t="shared" si="135"/>
        <v>1000</v>
      </c>
      <c r="AB183" s="111">
        <f t="shared" si="135"/>
        <v>1000</v>
      </c>
      <c r="AC183" s="111">
        <f t="shared" si="135"/>
        <v>1000</v>
      </c>
      <c r="AD183" s="111">
        <f t="shared" si="135"/>
        <v>1000</v>
      </c>
      <c r="AE183" s="111">
        <f t="shared" si="135"/>
        <v>1000</v>
      </c>
      <c r="AF183" s="111">
        <f t="shared" si="135"/>
        <v>1000</v>
      </c>
      <c r="AG183" s="111">
        <f t="shared" si="135"/>
        <v>1000</v>
      </c>
      <c r="AH183" s="111">
        <f t="shared" si="135"/>
        <v>1000</v>
      </c>
      <c r="AI183" s="111">
        <f t="shared" si="135"/>
        <v>1000</v>
      </c>
      <c r="AJ183" s="111">
        <f t="shared" si="135"/>
        <v>1000</v>
      </c>
      <c r="AK183" s="111">
        <f t="shared" si="135"/>
        <v>1000</v>
      </c>
      <c r="AL183" s="111">
        <f t="shared" si="135"/>
        <v>1000</v>
      </c>
      <c r="AM183" s="111">
        <f t="shared" si="135"/>
        <v>1000</v>
      </c>
      <c r="AN183" s="111">
        <f t="shared" si="135"/>
        <v>1000</v>
      </c>
      <c r="AO183" s="111">
        <f t="shared" si="135"/>
        <v>1000</v>
      </c>
      <c r="AP183" s="111">
        <f t="shared" si="135"/>
        <v>1000</v>
      </c>
      <c r="AQ183" s="111">
        <f t="shared" si="135"/>
        <v>1000</v>
      </c>
      <c r="AR183" s="111">
        <f t="shared" si="135"/>
        <v>1000</v>
      </c>
      <c r="AS183" s="111">
        <f t="shared" si="135"/>
        <v>1000</v>
      </c>
      <c r="AT183" s="111">
        <f t="shared" si="135"/>
        <v>1000</v>
      </c>
      <c r="AU183" s="111">
        <f t="shared" si="135"/>
        <v>1000</v>
      </c>
      <c r="AV183" s="111">
        <f t="shared" si="135"/>
        <v>1000</v>
      </c>
      <c r="AW183" s="111">
        <f t="shared" si="135"/>
        <v>1000</v>
      </c>
      <c r="AX183" s="111">
        <f t="shared" si="135"/>
        <v>1000</v>
      </c>
      <c r="AY183" s="111">
        <f t="shared" si="135"/>
        <v>1000</v>
      </c>
      <c r="AZ183" s="111">
        <f t="shared" si="135"/>
        <v>1000</v>
      </c>
      <c r="BA183" s="111">
        <f t="shared" si="135"/>
        <v>1000</v>
      </c>
      <c r="BB183" s="111">
        <f t="shared" si="135"/>
        <v>1000</v>
      </c>
      <c r="BC183" s="111">
        <f t="shared" si="135"/>
        <v>1000</v>
      </c>
      <c r="BD183" s="111">
        <f t="shared" si="135"/>
        <v>1000</v>
      </c>
      <c r="BE183" s="111">
        <f t="shared" si="135"/>
        <v>1000</v>
      </c>
      <c r="BF183" s="111">
        <f t="shared" si="135"/>
        <v>1000</v>
      </c>
      <c r="BG183" s="111">
        <f t="shared" si="135"/>
        <v>1000</v>
      </c>
      <c r="BH183" s="111">
        <f t="shared" si="135"/>
        <v>1000</v>
      </c>
      <c r="BI183" s="111">
        <f t="shared" si="135"/>
        <v>1000</v>
      </c>
      <c r="BJ183" s="111">
        <f t="shared" si="135"/>
        <v>1000</v>
      </c>
      <c r="BK183" s="111">
        <f t="shared" si="135"/>
        <v>1000</v>
      </c>
      <c r="BL183" s="111">
        <f t="shared" si="135"/>
        <v>1000</v>
      </c>
      <c r="BM183" s="111">
        <f t="shared" si="135"/>
        <v>1000</v>
      </c>
      <c r="BN183" s="111">
        <f t="shared" si="135"/>
        <v>1000</v>
      </c>
      <c r="BO183" s="111">
        <f t="shared" si="135"/>
        <v>1000</v>
      </c>
      <c r="BP183" s="111">
        <f t="shared" si="135"/>
        <v>1000</v>
      </c>
      <c r="BQ183" s="111">
        <f t="shared" si="135"/>
        <v>1000</v>
      </c>
      <c r="BR183" s="111">
        <f t="shared" si="135"/>
        <v>1000</v>
      </c>
      <c r="BS183" s="111">
        <f t="shared" si="135"/>
        <v>1000</v>
      </c>
      <c r="BT183" s="111">
        <f t="shared" si="135"/>
        <v>1000</v>
      </c>
      <c r="BU183" s="111">
        <f t="shared" si="135"/>
        <v>1000</v>
      </c>
      <c r="BV183" s="111">
        <f t="shared" si="135"/>
        <v>1000</v>
      </c>
      <c r="BW183" s="111">
        <f t="shared" si="135"/>
        <v>1000</v>
      </c>
      <c r="BX183" s="111">
        <f t="shared" si="135"/>
        <v>1000</v>
      </c>
      <c r="BY183" s="111">
        <f t="shared" si="135"/>
        <v>1000</v>
      </c>
    </row>
    <row r="184" outlineLevel="1">
      <c r="A184" s="47"/>
      <c r="B184" s="121" t="s">
        <v>122</v>
      </c>
      <c r="C184" s="130">
        <v>2000.0</v>
      </c>
      <c r="D184" s="131"/>
      <c r="E184" s="131"/>
      <c r="F184" s="123"/>
      <c r="G184" s="132"/>
      <c r="H184" s="123"/>
      <c r="I184" s="123"/>
      <c r="J184" s="123"/>
      <c r="K184" s="123"/>
      <c r="L184" s="123"/>
      <c r="M184" s="123"/>
      <c r="N184" s="123"/>
      <c r="O184" s="123"/>
      <c r="P184" s="123"/>
      <c r="Q184" s="123"/>
      <c r="R184" s="123">
        <f t="shared" si="134"/>
        <v>2000</v>
      </c>
      <c r="S184" s="123">
        <f t="shared" ref="S184:BY184" si="136">R184</f>
        <v>2000</v>
      </c>
      <c r="T184" s="123">
        <f t="shared" si="136"/>
        <v>2000</v>
      </c>
      <c r="U184" s="123">
        <f t="shared" si="136"/>
        <v>2000</v>
      </c>
      <c r="V184" s="123">
        <f t="shared" si="136"/>
        <v>2000</v>
      </c>
      <c r="W184" s="123">
        <f t="shared" si="136"/>
        <v>2000</v>
      </c>
      <c r="X184" s="123">
        <f t="shared" si="136"/>
        <v>2000</v>
      </c>
      <c r="Y184" s="123">
        <f t="shared" si="136"/>
        <v>2000</v>
      </c>
      <c r="Z184" s="123">
        <f t="shared" si="136"/>
        <v>2000</v>
      </c>
      <c r="AA184" s="123">
        <f t="shared" si="136"/>
        <v>2000</v>
      </c>
      <c r="AB184" s="123">
        <f t="shared" si="136"/>
        <v>2000</v>
      </c>
      <c r="AC184" s="123">
        <f t="shared" si="136"/>
        <v>2000</v>
      </c>
      <c r="AD184" s="123">
        <f t="shared" si="136"/>
        <v>2000</v>
      </c>
      <c r="AE184" s="123">
        <f t="shared" si="136"/>
        <v>2000</v>
      </c>
      <c r="AF184" s="123">
        <f t="shared" si="136"/>
        <v>2000</v>
      </c>
      <c r="AG184" s="123">
        <f t="shared" si="136"/>
        <v>2000</v>
      </c>
      <c r="AH184" s="123">
        <f t="shared" si="136"/>
        <v>2000</v>
      </c>
      <c r="AI184" s="123">
        <f t="shared" si="136"/>
        <v>2000</v>
      </c>
      <c r="AJ184" s="123">
        <f t="shared" si="136"/>
        <v>2000</v>
      </c>
      <c r="AK184" s="123">
        <f t="shared" si="136"/>
        <v>2000</v>
      </c>
      <c r="AL184" s="123">
        <f t="shared" si="136"/>
        <v>2000</v>
      </c>
      <c r="AM184" s="123">
        <f t="shared" si="136"/>
        <v>2000</v>
      </c>
      <c r="AN184" s="123">
        <f t="shared" si="136"/>
        <v>2000</v>
      </c>
      <c r="AO184" s="123">
        <f t="shared" si="136"/>
        <v>2000</v>
      </c>
      <c r="AP184" s="123">
        <f t="shared" si="136"/>
        <v>2000</v>
      </c>
      <c r="AQ184" s="123">
        <f t="shared" si="136"/>
        <v>2000</v>
      </c>
      <c r="AR184" s="123">
        <f t="shared" si="136"/>
        <v>2000</v>
      </c>
      <c r="AS184" s="123">
        <f t="shared" si="136"/>
        <v>2000</v>
      </c>
      <c r="AT184" s="123">
        <f t="shared" si="136"/>
        <v>2000</v>
      </c>
      <c r="AU184" s="123">
        <f t="shared" si="136"/>
        <v>2000</v>
      </c>
      <c r="AV184" s="123">
        <f t="shared" si="136"/>
        <v>2000</v>
      </c>
      <c r="AW184" s="123">
        <f t="shared" si="136"/>
        <v>2000</v>
      </c>
      <c r="AX184" s="123">
        <f t="shared" si="136"/>
        <v>2000</v>
      </c>
      <c r="AY184" s="123">
        <f t="shared" si="136"/>
        <v>2000</v>
      </c>
      <c r="AZ184" s="123">
        <f t="shared" si="136"/>
        <v>2000</v>
      </c>
      <c r="BA184" s="123">
        <f t="shared" si="136"/>
        <v>2000</v>
      </c>
      <c r="BB184" s="123">
        <f t="shared" si="136"/>
        <v>2000</v>
      </c>
      <c r="BC184" s="123">
        <f t="shared" si="136"/>
        <v>2000</v>
      </c>
      <c r="BD184" s="123">
        <f t="shared" si="136"/>
        <v>2000</v>
      </c>
      <c r="BE184" s="123">
        <f t="shared" si="136"/>
        <v>2000</v>
      </c>
      <c r="BF184" s="123">
        <f t="shared" si="136"/>
        <v>2000</v>
      </c>
      <c r="BG184" s="123">
        <f t="shared" si="136"/>
        <v>2000</v>
      </c>
      <c r="BH184" s="123">
        <f t="shared" si="136"/>
        <v>2000</v>
      </c>
      <c r="BI184" s="123">
        <f t="shared" si="136"/>
        <v>2000</v>
      </c>
      <c r="BJ184" s="123">
        <f t="shared" si="136"/>
        <v>2000</v>
      </c>
      <c r="BK184" s="123">
        <f t="shared" si="136"/>
        <v>2000</v>
      </c>
      <c r="BL184" s="123">
        <f t="shared" si="136"/>
        <v>2000</v>
      </c>
      <c r="BM184" s="123">
        <f t="shared" si="136"/>
        <v>2000</v>
      </c>
      <c r="BN184" s="123">
        <f t="shared" si="136"/>
        <v>2000</v>
      </c>
      <c r="BO184" s="123">
        <f t="shared" si="136"/>
        <v>2000</v>
      </c>
      <c r="BP184" s="123">
        <f t="shared" si="136"/>
        <v>2000</v>
      </c>
      <c r="BQ184" s="123">
        <f t="shared" si="136"/>
        <v>2000</v>
      </c>
      <c r="BR184" s="123">
        <f t="shared" si="136"/>
        <v>2000</v>
      </c>
      <c r="BS184" s="123">
        <f t="shared" si="136"/>
        <v>2000</v>
      </c>
      <c r="BT184" s="123">
        <f t="shared" si="136"/>
        <v>2000</v>
      </c>
      <c r="BU184" s="123">
        <f t="shared" si="136"/>
        <v>2000</v>
      </c>
      <c r="BV184" s="123">
        <f t="shared" si="136"/>
        <v>2000</v>
      </c>
      <c r="BW184" s="123">
        <f t="shared" si="136"/>
        <v>2000</v>
      </c>
      <c r="BX184" s="123">
        <f t="shared" si="136"/>
        <v>2000</v>
      </c>
      <c r="BY184" s="123">
        <f t="shared" si="136"/>
        <v>2000</v>
      </c>
    </row>
    <row r="185" outlineLevel="1">
      <c r="A185" s="133"/>
      <c r="B185" s="138" t="s">
        <v>106</v>
      </c>
      <c r="C185" s="133"/>
      <c r="D185" s="133"/>
      <c r="E185" s="133"/>
      <c r="F185" s="133"/>
      <c r="G185" s="135"/>
      <c r="H185" s="135"/>
      <c r="I185" s="135"/>
      <c r="J185" s="135"/>
      <c r="K185" s="135"/>
      <c r="L185" s="135"/>
      <c r="M185" s="135"/>
      <c r="N185" s="135"/>
      <c r="O185" s="135"/>
      <c r="P185" s="135"/>
      <c r="Q185" s="135"/>
      <c r="R185" s="135">
        <f t="shared" ref="R185:BY185" si="137">sum(R182:R184)</f>
        <v>5500</v>
      </c>
      <c r="S185" s="135">
        <f t="shared" si="137"/>
        <v>5500</v>
      </c>
      <c r="T185" s="135">
        <f t="shared" si="137"/>
        <v>5500</v>
      </c>
      <c r="U185" s="135">
        <f t="shared" si="137"/>
        <v>5500</v>
      </c>
      <c r="V185" s="135">
        <f t="shared" si="137"/>
        <v>5500</v>
      </c>
      <c r="W185" s="135">
        <f t="shared" si="137"/>
        <v>5500</v>
      </c>
      <c r="X185" s="135">
        <f t="shared" si="137"/>
        <v>5500</v>
      </c>
      <c r="Y185" s="135">
        <f t="shared" si="137"/>
        <v>5500</v>
      </c>
      <c r="Z185" s="135">
        <f t="shared" si="137"/>
        <v>5500</v>
      </c>
      <c r="AA185" s="135">
        <f t="shared" si="137"/>
        <v>5500</v>
      </c>
      <c r="AB185" s="135">
        <f t="shared" si="137"/>
        <v>5500</v>
      </c>
      <c r="AC185" s="135">
        <f t="shared" si="137"/>
        <v>5500</v>
      </c>
      <c r="AD185" s="135">
        <f t="shared" si="137"/>
        <v>5500</v>
      </c>
      <c r="AE185" s="135">
        <f t="shared" si="137"/>
        <v>5500</v>
      </c>
      <c r="AF185" s="135">
        <f t="shared" si="137"/>
        <v>5500</v>
      </c>
      <c r="AG185" s="135">
        <f t="shared" si="137"/>
        <v>5500</v>
      </c>
      <c r="AH185" s="135">
        <f t="shared" si="137"/>
        <v>5500</v>
      </c>
      <c r="AI185" s="135">
        <f t="shared" si="137"/>
        <v>5500</v>
      </c>
      <c r="AJ185" s="135">
        <f t="shared" si="137"/>
        <v>5500</v>
      </c>
      <c r="AK185" s="135">
        <f t="shared" si="137"/>
        <v>5500</v>
      </c>
      <c r="AL185" s="135">
        <f t="shared" si="137"/>
        <v>5500</v>
      </c>
      <c r="AM185" s="135">
        <f t="shared" si="137"/>
        <v>5500</v>
      </c>
      <c r="AN185" s="135">
        <f t="shared" si="137"/>
        <v>5500</v>
      </c>
      <c r="AO185" s="135">
        <f t="shared" si="137"/>
        <v>5500</v>
      </c>
      <c r="AP185" s="135">
        <f t="shared" si="137"/>
        <v>5500</v>
      </c>
      <c r="AQ185" s="135">
        <f t="shared" si="137"/>
        <v>5500</v>
      </c>
      <c r="AR185" s="135">
        <f t="shared" si="137"/>
        <v>5500</v>
      </c>
      <c r="AS185" s="135">
        <f t="shared" si="137"/>
        <v>5500</v>
      </c>
      <c r="AT185" s="135">
        <f t="shared" si="137"/>
        <v>5500</v>
      </c>
      <c r="AU185" s="135">
        <f t="shared" si="137"/>
        <v>5500</v>
      </c>
      <c r="AV185" s="135">
        <f t="shared" si="137"/>
        <v>5500</v>
      </c>
      <c r="AW185" s="135">
        <f t="shared" si="137"/>
        <v>5500</v>
      </c>
      <c r="AX185" s="135">
        <f t="shared" si="137"/>
        <v>5500</v>
      </c>
      <c r="AY185" s="135">
        <f t="shared" si="137"/>
        <v>5500</v>
      </c>
      <c r="AZ185" s="135">
        <f t="shared" si="137"/>
        <v>5500</v>
      </c>
      <c r="BA185" s="135">
        <f t="shared" si="137"/>
        <v>5500</v>
      </c>
      <c r="BB185" s="135">
        <f t="shared" si="137"/>
        <v>5500</v>
      </c>
      <c r="BC185" s="135">
        <f t="shared" si="137"/>
        <v>5500</v>
      </c>
      <c r="BD185" s="135">
        <f t="shared" si="137"/>
        <v>5500</v>
      </c>
      <c r="BE185" s="135">
        <f t="shared" si="137"/>
        <v>5500</v>
      </c>
      <c r="BF185" s="135">
        <f t="shared" si="137"/>
        <v>5500</v>
      </c>
      <c r="BG185" s="135">
        <f t="shared" si="137"/>
        <v>5500</v>
      </c>
      <c r="BH185" s="135">
        <f t="shared" si="137"/>
        <v>5500</v>
      </c>
      <c r="BI185" s="135">
        <f t="shared" si="137"/>
        <v>5500</v>
      </c>
      <c r="BJ185" s="135">
        <f t="shared" si="137"/>
        <v>5500</v>
      </c>
      <c r="BK185" s="135">
        <f t="shared" si="137"/>
        <v>5500</v>
      </c>
      <c r="BL185" s="135">
        <f t="shared" si="137"/>
        <v>5500</v>
      </c>
      <c r="BM185" s="135">
        <f t="shared" si="137"/>
        <v>5500</v>
      </c>
      <c r="BN185" s="135">
        <f t="shared" si="137"/>
        <v>5500</v>
      </c>
      <c r="BO185" s="135">
        <f t="shared" si="137"/>
        <v>5500</v>
      </c>
      <c r="BP185" s="135">
        <f t="shared" si="137"/>
        <v>5500</v>
      </c>
      <c r="BQ185" s="135">
        <f t="shared" si="137"/>
        <v>5500</v>
      </c>
      <c r="BR185" s="135">
        <f t="shared" si="137"/>
        <v>5500</v>
      </c>
      <c r="BS185" s="135">
        <f t="shared" si="137"/>
        <v>5500</v>
      </c>
      <c r="BT185" s="135">
        <f t="shared" si="137"/>
        <v>5500</v>
      </c>
      <c r="BU185" s="135">
        <f t="shared" si="137"/>
        <v>5500</v>
      </c>
      <c r="BV185" s="135">
        <f t="shared" si="137"/>
        <v>5500</v>
      </c>
      <c r="BW185" s="135">
        <f t="shared" si="137"/>
        <v>5500</v>
      </c>
      <c r="BX185" s="135">
        <f t="shared" si="137"/>
        <v>5500</v>
      </c>
      <c r="BY185" s="135">
        <f t="shared" si="137"/>
        <v>5500</v>
      </c>
    </row>
    <row r="186" outlineLevel="1">
      <c r="A186" s="47"/>
      <c r="B186" s="139"/>
      <c r="C186" s="47"/>
      <c r="D186" s="66"/>
      <c r="E186" s="66"/>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c r="BY186" s="111"/>
    </row>
    <row r="187" outlineLevel="1">
      <c r="A187" s="47"/>
      <c r="B187" s="136" t="s">
        <v>122</v>
      </c>
      <c r="C187" s="113" t="s">
        <v>97</v>
      </c>
      <c r="D187" s="66"/>
      <c r="E187" s="66"/>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c r="BY187" s="111"/>
    </row>
    <row r="188" outlineLevel="1">
      <c r="A188" s="47"/>
      <c r="B188" s="118" t="s">
        <v>123</v>
      </c>
      <c r="C188" s="116">
        <v>0.1</v>
      </c>
      <c r="D188" s="66"/>
      <c r="E188" s="66"/>
      <c r="F188" s="111"/>
      <c r="G188" s="111"/>
      <c r="H188" s="111"/>
      <c r="I188" s="111"/>
      <c r="J188" s="111"/>
      <c r="K188" s="111"/>
      <c r="L188" s="111"/>
      <c r="M188" s="111"/>
      <c r="N188" s="111"/>
      <c r="O188" s="111"/>
      <c r="P188" s="111"/>
      <c r="Q188" s="111"/>
      <c r="R188" s="111">
        <f>Financials!F$8*$C188</f>
        <v>476.25</v>
      </c>
      <c r="S188" s="111">
        <f>Financials!G$8*$C188</f>
        <v>963.39375</v>
      </c>
      <c r="T188" s="111">
        <f>Financials!H$8*$C188</f>
        <v>1450.700906</v>
      </c>
      <c r="U188" s="111">
        <f>Financials!I$8*$C188</f>
        <v>1938.010514</v>
      </c>
      <c r="V188" s="111">
        <f>Financials!J$8*$C188</f>
        <v>2425.320158</v>
      </c>
      <c r="W188" s="111">
        <f>Financials!K$8*$C188</f>
        <v>2912.629802</v>
      </c>
      <c r="X188" s="111">
        <f>Financials!L$8*$C188</f>
        <v>3399.939447</v>
      </c>
      <c r="Y188" s="111">
        <f>Financials!M$8*$C188</f>
        <v>3887.249092</v>
      </c>
      <c r="Z188" s="111">
        <f>Financials!N$8*$C188</f>
        <v>4374.558736</v>
      </c>
      <c r="AA188" s="111">
        <f>Financials!O$8*$C188</f>
        <v>4861.868381</v>
      </c>
      <c r="AB188" s="111">
        <f>Financials!P$8*$C188</f>
        <v>5349.178026</v>
      </c>
      <c r="AC188" s="111">
        <f>Financials!Q$8*$C188</f>
        <v>5836.48767</v>
      </c>
      <c r="AD188" s="111">
        <f>Financials!R$8*$C188</f>
        <v>6228.547315</v>
      </c>
      <c r="AE188" s="111">
        <f>Financials!S$8*$C188</f>
        <v>6618.42821</v>
      </c>
      <c r="AF188" s="111">
        <f>Financials!T$8*$C188</f>
        <v>7008.276423</v>
      </c>
      <c r="AG188" s="111">
        <f>Financials!U$8*$C188</f>
        <v>7398.124146</v>
      </c>
      <c r="AH188" s="111">
        <f>Financials!V$8*$C188</f>
        <v>7787.971862</v>
      </c>
      <c r="AI188" s="111">
        <f>Financials!W$8*$C188</f>
        <v>8177.819578</v>
      </c>
      <c r="AJ188" s="111">
        <f>Financials!X$8*$C188</f>
        <v>8567.667294</v>
      </c>
      <c r="AK188" s="111">
        <f>Financials!Y$8*$C188</f>
        <v>8957.515009</v>
      </c>
      <c r="AL188" s="111">
        <f>Financials!Z$8*$C188</f>
        <v>9347.362725</v>
      </c>
      <c r="AM188" s="111">
        <f>Financials!AA$8*$C188</f>
        <v>9737.210441</v>
      </c>
      <c r="AN188" s="111">
        <f>Financials!AB$8*$C188</f>
        <v>10127.05816</v>
      </c>
      <c r="AO188" s="111">
        <f>Financials!AC$8*$C188</f>
        <v>10516.90587</v>
      </c>
      <c r="AP188" s="111">
        <f>Financials!AD$8*$C188</f>
        <v>10830.55359</v>
      </c>
      <c r="AQ188" s="111">
        <f>Financials!AE$8*$C188</f>
        <v>11142.4583</v>
      </c>
      <c r="AR188" s="111">
        <f>Financials!AF$8*$C188</f>
        <v>11454.33687</v>
      </c>
      <c r="AS188" s="111">
        <f>Financials!AG$8*$C188</f>
        <v>11766.21505</v>
      </c>
      <c r="AT188" s="111">
        <f>Financials!AH$8*$C188</f>
        <v>12078.09323</v>
      </c>
      <c r="AU188" s="111">
        <f>Financials!AI$8*$C188</f>
        <v>12389.9714</v>
      </c>
      <c r="AV188" s="111">
        <f>Financials!AJ$8*$C188</f>
        <v>12701.84957</v>
      </c>
      <c r="AW188" s="111">
        <f>Financials!AK$8*$C188</f>
        <v>13013.72774</v>
      </c>
      <c r="AX188" s="111">
        <f>Financials!AL$8*$C188</f>
        <v>13325.60592</v>
      </c>
      <c r="AY188" s="111">
        <f>Financials!AM$8*$C188</f>
        <v>13637.48409</v>
      </c>
      <c r="AZ188" s="111">
        <f>Financials!AN$8*$C188</f>
        <v>13949.36226</v>
      </c>
      <c r="BA188" s="111">
        <f>Financials!AO$8*$C188</f>
        <v>14261.24043</v>
      </c>
      <c r="BB188" s="111">
        <f>Financials!AP$8*$C188</f>
        <v>14512.15861</v>
      </c>
      <c r="BC188" s="111">
        <f>Financials!AQ$8*$C188</f>
        <v>14761.68238</v>
      </c>
      <c r="BD188" s="111">
        <f>Financials!AR$8*$C188</f>
        <v>15011.18524</v>
      </c>
      <c r="BE188" s="111">
        <f>Financials!AS$8*$C188</f>
        <v>15260.68778</v>
      </c>
      <c r="BF188" s="111">
        <f>Financials!AT$8*$C188</f>
        <v>15510.19032</v>
      </c>
      <c r="BG188" s="111">
        <f>Financials!AU$8*$C188</f>
        <v>15759.69285</v>
      </c>
      <c r="BH188" s="111">
        <f>Financials!AV$8*$C188</f>
        <v>16009.19539</v>
      </c>
      <c r="BI188" s="111">
        <f>Financials!AW$8*$C188</f>
        <v>16258.69793</v>
      </c>
      <c r="BJ188" s="111">
        <f>Financials!AX$8*$C188</f>
        <v>16508.20047</v>
      </c>
      <c r="BK188" s="111">
        <f>Financials!AY$8*$C188</f>
        <v>16757.70301</v>
      </c>
      <c r="BL188" s="111">
        <f>Financials!AZ$8*$C188</f>
        <v>17007.20555</v>
      </c>
      <c r="BM188" s="111">
        <f>Financials!BA$8*$C188</f>
        <v>17256.70808</v>
      </c>
      <c r="BN188" s="111">
        <f>Financials!BB$8*$C188</f>
        <v>17457.44262</v>
      </c>
      <c r="BO188" s="111">
        <f>Financials!BC$8*$C188</f>
        <v>17657.06164</v>
      </c>
      <c r="BP188" s="111">
        <f>Financials!BD$8*$C188</f>
        <v>17856.66392</v>
      </c>
      <c r="BQ188" s="111">
        <f>Financials!BE$8*$C188</f>
        <v>18056.26596</v>
      </c>
      <c r="BR188" s="111">
        <f>Financials!BF$8*$C188</f>
        <v>18255.86799</v>
      </c>
      <c r="BS188" s="111">
        <f>Financials!BG$8*$C188</f>
        <v>18455.47002</v>
      </c>
      <c r="BT188" s="111">
        <f>Financials!BH$8*$C188</f>
        <v>18655.07205</v>
      </c>
      <c r="BU188" s="111">
        <f>Financials!BI$8*$C188</f>
        <v>18854.67408</v>
      </c>
      <c r="BV188" s="111">
        <f>Financials!BJ$8*$C188</f>
        <v>19054.27611</v>
      </c>
      <c r="BW188" s="111">
        <f>Financials!BK$8*$C188</f>
        <v>19253.87814</v>
      </c>
      <c r="BX188" s="111">
        <f>Financials!BL$8*$C188</f>
        <v>19453.48017</v>
      </c>
      <c r="BY188" s="111">
        <f>Financials!BM$8*$C188</f>
        <v>19653.0822</v>
      </c>
    </row>
    <row r="189" outlineLevel="1">
      <c r="A189" s="47"/>
      <c r="B189" s="39"/>
      <c r="C189" s="47"/>
      <c r="D189" s="47"/>
      <c r="E189" s="47"/>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c r="BY189" s="111"/>
    </row>
    <row r="190" outlineLevel="1">
      <c r="A190" s="47"/>
      <c r="B190" s="39" t="s">
        <v>124</v>
      </c>
      <c r="C190" s="116">
        <v>0.27</v>
      </c>
      <c r="D190" s="47"/>
      <c r="E190" s="47"/>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c r="BY190" s="111"/>
    </row>
    <row r="191" outlineLevel="1">
      <c r="A191" s="47"/>
      <c r="B191" s="47"/>
      <c r="C191" s="47"/>
      <c r="D191" s="47"/>
      <c r="E191" s="47"/>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row>
    <row r="192" outlineLevel="1">
      <c r="A192" s="47"/>
      <c r="B192" s="109" t="s">
        <v>64</v>
      </c>
      <c r="C192" s="47"/>
      <c r="D192" s="47"/>
      <c r="E192" s="47"/>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row>
    <row r="193">
      <c r="A193" s="47"/>
      <c r="B193" s="98"/>
      <c r="C193" s="47"/>
      <c r="D193" s="47"/>
      <c r="E193" s="47"/>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row>
    <row r="194" collapsed="1">
      <c r="A194" s="47"/>
      <c r="B194" s="48" t="s">
        <v>125</v>
      </c>
      <c r="C194" s="49"/>
      <c r="D194" s="49"/>
      <c r="E194" s="49"/>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row>
    <row r="195" hidden="1" outlineLevel="1">
      <c r="A195" s="39" t="s">
        <v>126</v>
      </c>
      <c r="B195" s="47"/>
      <c r="C195" s="47"/>
      <c r="D195" s="47"/>
      <c r="E195" s="47"/>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row>
    <row r="196" hidden="1" outlineLevel="1">
      <c r="A196" s="47"/>
      <c r="B196" s="140" t="s">
        <v>127</v>
      </c>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c r="AL196" s="141"/>
      <c r="AM196" s="141"/>
      <c r="AN196" s="141"/>
      <c r="AO196" s="141"/>
      <c r="AP196" s="141"/>
      <c r="AQ196" s="141"/>
      <c r="AR196" s="141"/>
      <c r="AS196" s="141"/>
      <c r="AT196" s="141"/>
      <c r="AU196" s="141"/>
      <c r="AV196" s="141"/>
      <c r="AW196" s="141"/>
      <c r="AX196" s="141"/>
      <c r="AY196" s="141"/>
      <c r="AZ196" s="141"/>
      <c r="BA196" s="141"/>
      <c r="BB196" s="141"/>
      <c r="BC196" s="141"/>
      <c r="BD196" s="141"/>
      <c r="BE196" s="141"/>
      <c r="BF196" s="141"/>
      <c r="BG196" s="141"/>
      <c r="BH196" s="141"/>
      <c r="BI196" s="141"/>
      <c r="BJ196" s="141"/>
      <c r="BK196" s="141"/>
      <c r="BL196" s="141"/>
      <c r="BM196" s="141"/>
      <c r="BN196" s="141"/>
      <c r="BO196" s="141"/>
      <c r="BP196" s="141"/>
      <c r="BQ196" s="141"/>
      <c r="BR196" s="141"/>
      <c r="BS196" s="141"/>
      <c r="BT196" s="141"/>
      <c r="BU196" s="141"/>
      <c r="BV196" s="141"/>
      <c r="BW196" s="141"/>
      <c r="BX196" s="141"/>
      <c r="BY196" s="141"/>
    </row>
    <row r="197" hidden="1" outlineLevel="1">
      <c r="A197" s="47"/>
      <c r="B197" s="39"/>
      <c r="C197" s="47"/>
      <c r="D197" s="47"/>
      <c r="E197" s="47"/>
      <c r="F197" s="142"/>
      <c r="G197" s="142"/>
      <c r="H197" s="142"/>
      <c r="I197" s="142"/>
      <c r="J197" s="142"/>
      <c r="K197" s="142"/>
      <c r="L197" s="142"/>
      <c r="M197" s="142"/>
      <c r="N197" s="142"/>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c r="AY197" s="142"/>
      <c r="AZ197" s="142"/>
      <c r="BA197" s="142"/>
      <c r="BB197" s="142"/>
      <c r="BC197" s="142"/>
      <c r="BD197" s="142"/>
      <c r="BE197" s="142"/>
      <c r="BF197" s="142"/>
      <c r="BG197" s="142"/>
      <c r="BH197" s="142"/>
      <c r="BI197" s="142"/>
      <c r="BJ197" s="142"/>
      <c r="BK197" s="142"/>
      <c r="BL197" s="142"/>
      <c r="BM197" s="142"/>
      <c r="BN197" s="142"/>
      <c r="BO197" s="142"/>
      <c r="BP197" s="142"/>
      <c r="BQ197" s="142"/>
      <c r="BR197" s="142"/>
      <c r="BS197" s="142"/>
      <c r="BT197" s="142"/>
      <c r="BU197" s="142"/>
      <c r="BV197" s="142"/>
      <c r="BW197" s="142"/>
      <c r="BX197" s="142"/>
      <c r="BY197" s="142"/>
    </row>
    <row r="198" hidden="1" outlineLevel="1">
      <c r="A198" s="66"/>
      <c r="B198" s="67" t="s">
        <v>128</v>
      </c>
      <c r="C198" s="143">
        <v>500000.0</v>
      </c>
      <c r="D198" s="66"/>
      <c r="E198" s="66"/>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42"/>
      <c r="BP198" s="142"/>
      <c r="BQ198" s="142"/>
      <c r="BR198" s="142"/>
      <c r="BS198" s="142"/>
      <c r="BT198" s="142"/>
      <c r="BU198" s="142"/>
      <c r="BV198" s="142"/>
      <c r="BW198" s="142"/>
      <c r="BX198" s="142"/>
      <c r="BY198" s="142"/>
    </row>
    <row r="199" hidden="1" outlineLevel="1">
      <c r="A199" s="47"/>
      <c r="B199" s="39"/>
      <c r="C199" s="47"/>
      <c r="D199" s="47"/>
      <c r="E199" s="47"/>
      <c r="F199" s="142"/>
      <c r="G199" s="142"/>
      <c r="H199" s="142"/>
      <c r="I199" s="142"/>
      <c r="J199" s="142"/>
      <c r="K199" s="142"/>
      <c r="L199" s="142"/>
      <c r="M199" s="142"/>
      <c r="N199" s="142"/>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c r="AY199" s="142"/>
      <c r="AZ199" s="142"/>
      <c r="BA199" s="142"/>
      <c r="BB199" s="142"/>
      <c r="BC199" s="142"/>
      <c r="BD199" s="142"/>
      <c r="BE199" s="142"/>
      <c r="BF199" s="142"/>
      <c r="BG199" s="142"/>
      <c r="BH199" s="142"/>
      <c r="BI199" s="142"/>
      <c r="BJ199" s="142"/>
      <c r="BK199" s="142"/>
      <c r="BL199" s="142"/>
      <c r="BM199" s="142"/>
      <c r="BN199" s="142"/>
      <c r="BO199" s="142"/>
      <c r="BP199" s="142"/>
      <c r="BQ199" s="142"/>
      <c r="BR199" s="142"/>
      <c r="BS199" s="142"/>
      <c r="BT199" s="142"/>
      <c r="BU199" s="142"/>
      <c r="BV199" s="142"/>
      <c r="BW199" s="142"/>
      <c r="BX199" s="142"/>
      <c r="BY199" s="142"/>
    </row>
    <row r="200" hidden="1" outlineLevel="1">
      <c r="A200" s="47"/>
      <c r="B200" s="136" t="s">
        <v>129</v>
      </c>
      <c r="C200" s="144">
        <v>15.0</v>
      </c>
      <c r="D200" s="39" t="s">
        <v>130</v>
      </c>
      <c r="E200" s="47"/>
      <c r="F200" s="145"/>
      <c r="G200" s="145"/>
      <c r="H200" s="145"/>
      <c r="I200" s="145"/>
      <c r="J200" s="145"/>
      <c r="K200" s="145"/>
      <c r="L200" s="145"/>
      <c r="M200" s="145"/>
      <c r="N200" s="145"/>
      <c r="O200" s="145"/>
      <c r="P200" s="145"/>
      <c r="Q200" s="145"/>
      <c r="R200" s="145">
        <f>sum(Financials!F8)*($C200/30)</f>
        <v>2381.25</v>
      </c>
      <c r="S200" s="145">
        <f>sum(Financials!G8)*($C200/30)</f>
        <v>4816.96875</v>
      </c>
      <c r="T200" s="145">
        <f>sum(Financials!H8)*($C200/30)</f>
        <v>7253.504531</v>
      </c>
      <c r="U200" s="145">
        <f>sum(Financials!I8)*($C200/30)</f>
        <v>9690.052568</v>
      </c>
      <c r="V200" s="145">
        <f>sum(Financials!J8)*($C200/30)</f>
        <v>12126.60079</v>
      </c>
      <c r="W200" s="145">
        <f>sum(Financials!K8)*($C200/30)</f>
        <v>14563.14901</v>
      </c>
      <c r="X200" s="145">
        <f>sum(Financials!L8)*($C200/30)</f>
        <v>16999.69724</v>
      </c>
      <c r="Y200" s="145">
        <f>sum(Financials!M8)*($C200/30)</f>
        <v>19436.24546</v>
      </c>
      <c r="Z200" s="145">
        <f>sum(Financials!N8)*($C200/30)</f>
        <v>21872.79368</v>
      </c>
      <c r="AA200" s="145">
        <f>sum(Financials!O8)*($C200/30)</f>
        <v>24309.34191</v>
      </c>
      <c r="AB200" s="145">
        <f>sum(Financials!P8)*($C200/30)</f>
        <v>26745.89013</v>
      </c>
      <c r="AC200" s="145">
        <f>sum(Financials!Q8)*($C200/30)</f>
        <v>29182.43835</v>
      </c>
      <c r="AD200" s="145">
        <f>sum(Financials!R8)*($C200/30)</f>
        <v>31142.73658</v>
      </c>
      <c r="AE200" s="145">
        <f>sum(Financials!S8)*($C200/30)</f>
        <v>33092.14105</v>
      </c>
      <c r="AF200" s="145">
        <f>sum(Financials!T8)*($C200/30)</f>
        <v>35041.38212</v>
      </c>
      <c r="AG200" s="145">
        <f>sum(Financials!U8)*($C200/30)</f>
        <v>36990.62073</v>
      </c>
      <c r="AH200" s="145">
        <f>sum(Financials!V8)*($C200/30)</f>
        <v>38939.85931</v>
      </c>
      <c r="AI200" s="145">
        <f>sum(Financials!W8)*($C200/30)</f>
        <v>40889.09789</v>
      </c>
      <c r="AJ200" s="145">
        <f>sum(Financials!X8)*($C200/30)</f>
        <v>42838.33647</v>
      </c>
      <c r="AK200" s="145">
        <f>sum(Financials!Y8)*($C200/30)</f>
        <v>44787.57505</v>
      </c>
      <c r="AL200" s="145">
        <f>sum(Financials!Z8)*($C200/30)</f>
        <v>46736.81363</v>
      </c>
      <c r="AM200" s="145">
        <f>sum(Financials!AA8)*($C200/30)</f>
        <v>48686.0522</v>
      </c>
      <c r="AN200" s="145">
        <f>sum(Financials!AB8)*($C200/30)</f>
        <v>50635.29078</v>
      </c>
      <c r="AO200" s="145">
        <f>sum(Financials!AC8)*($C200/30)</f>
        <v>52584.52936</v>
      </c>
      <c r="AP200" s="145">
        <f>sum(Financials!AD8)*($C200/30)</f>
        <v>54152.76794</v>
      </c>
      <c r="AQ200" s="145">
        <f>sum(Financials!AE8)*($C200/30)</f>
        <v>55712.29152</v>
      </c>
      <c r="AR200" s="145">
        <f>sum(Financials!AF8)*($C200/30)</f>
        <v>57271.68437</v>
      </c>
      <c r="AS200" s="145">
        <f>sum(Financials!AG8)*($C200/30)</f>
        <v>58831.07527</v>
      </c>
      <c r="AT200" s="145">
        <f>sum(Financials!AH8)*($C200/30)</f>
        <v>60390.46613</v>
      </c>
      <c r="AU200" s="145">
        <f>sum(Financials!AI8)*($C200/30)</f>
        <v>61949.85699</v>
      </c>
      <c r="AV200" s="145">
        <f>sum(Financials!AJ8)*($C200/30)</f>
        <v>63509.24785</v>
      </c>
      <c r="AW200" s="145">
        <f>sum(Financials!AK8)*($C200/30)</f>
        <v>65068.63872</v>
      </c>
      <c r="AX200" s="145">
        <f>sum(Financials!AL8)*($C200/30)</f>
        <v>66628.02958</v>
      </c>
      <c r="AY200" s="145">
        <f>sum(Financials!AM8)*($C200/30)</f>
        <v>68187.42044</v>
      </c>
      <c r="AZ200" s="145">
        <f>sum(Financials!AN8)*($C200/30)</f>
        <v>69746.81131</v>
      </c>
      <c r="BA200" s="145">
        <f>sum(Financials!AO8)*($C200/30)</f>
        <v>71306.20217</v>
      </c>
      <c r="BB200" s="145">
        <f>sum(Financials!AP8)*($C200/30)</f>
        <v>72560.79303</v>
      </c>
      <c r="BC200" s="145">
        <f>sum(Financials!AQ8)*($C200/30)</f>
        <v>73808.4119</v>
      </c>
      <c r="BD200" s="145">
        <f>sum(Financials!AR8)*($C200/30)</f>
        <v>75055.92618</v>
      </c>
      <c r="BE200" s="145">
        <f>sum(Financials!AS8)*($C200/30)</f>
        <v>76303.43889</v>
      </c>
      <c r="BF200" s="145">
        <f>sum(Financials!AT8)*($C200/30)</f>
        <v>77550.95158</v>
      </c>
      <c r="BG200" s="145">
        <f>sum(Financials!AU8)*($C200/30)</f>
        <v>78798.46427</v>
      </c>
      <c r="BH200" s="145">
        <f>sum(Financials!AV8)*($C200/30)</f>
        <v>80045.97696</v>
      </c>
      <c r="BI200" s="145">
        <f>sum(Financials!AW8)*($C200/30)</f>
        <v>81293.48965</v>
      </c>
      <c r="BJ200" s="145">
        <f>sum(Financials!AX8)*($C200/30)</f>
        <v>82541.00234</v>
      </c>
      <c r="BK200" s="145">
        <f>sum(Financials!AY8)*($C200/30)</f>
        <v>83788.51504</v>
      </c>
      <c r="BL200" s="145">
        <f>sum(Financials!AZ8)*($C200/30)</f>
        <v>85036.02773</v>
      </c>
      <c r="BM200" s="145">
        <f>sum(Financials!BA8)*($C200/30)</f>
        <v>86283.54042</v>
      </c>
      <c r="BN200" s="145">
        <f>sum(Financials!BB8)*($C200/30)</f>
        <v>87287.21311</v>
      </c>
      <c r="BO200" s="145">
        <f>sum(Financials!BC8)*($C200/30)</f>
        <v>88285.3082</v>
      </c>
      <c r="BP200" s="145">
        <f>sum(Financials!BD8)*($C200/30)</f>
        <v>89283.31962</v>
      </c>
      <c r="BQ200" s="145">
        <f>sum(Financials!BE8)*($C200/30)</f>
        <v>90281.32979</v>
      </c>
      <c r="BR200" s="145">
        <f>sum(Financials!BF8)*($C200/30)</f>
        <v>91279.33995</v>
      </c>
      <c r="BS200" s="145">
        <f>sum(Financials!BG8)*($C200/30)</f>
        <v>92277.3501</v>
      </c>
      <c r="BT200" s="145">
        <f>sum(Financials!BH8)*($C200/30)</f>
        <v>93275.36025</v>
      </c>
      <c r="BU200" s="145">
        <f>sum(Financials!BI8)*($C200/30)</f>
        <v>94273.3704</v>
      </c>
      <c r="BV200" s="145">
        <f>sum(Financials!BJ8)*($C200/30)</f>
        <v>95271.38056</v>
      </c>
      <c r="BW200" s="145">
        <f>sum(Financials!BK8)*($C200/30)</f>
        <v>96269.39071</v>
      </c>
      <c r="BX200" s="145">
        <f>sum(Financials!BL8)*($C200/30)</f>
        <v>97267.40086</v>
      </c>
      <c r="BY200" s="145">
        <f>sum(Financials!BM8)*($C200/30)</f>
        <v>98265.41101</v>
      </c>
    </row>
    <row r="201" hidden="1" outlineLevel="1">
      <c r="A201" s="47"/>
      <c r="B201" s="47"/>
      <c r="C201" s="47"/>
      <c r="D201" s="47"/>
      <c r="E201" s="47"/>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c r="BY201" s="111"/>
    </row>
    <row r="202" hidden="1" outlineLevel="1">
      <c r="A202" s="47"/>
      <c r="B202" s="146" t="s">
        <v>131</v>
      </c>
      <c r="C202" s="147" t="s">
        <v>132</v>
      </c>
      <c r="D202" s="147" t="s">
        <v>133</v>
      </c>
      <c r="E202" s="147" t="s">
        <v>134</v>
      </c>
      <c r="F202" s="47"/>
      <c r="G202" s="139"/>
      <c r="H202" s="142"/>
      <c r="I202" s="142"/>
      <c r="J202" s="142"/>
      <c r="K202" s="142"/>
      <c r="L202" s="142"/>
      <c r="M202" s="142"/>
      <c r="N202" s="142"/>
      <c r="O202" s="142"/>
      <c r="P202" s="142"/>
      <c r="Q202" s="142"/>
      <c r="R202" s="142" t="s">
        <v>135</v>
      </c>
      <c r="S202" s="142"/>
      <c r="T202" s="142"/>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c r="AY202" s="142"/>
      <c r="AZ202" s="142"/>
      <c r="BA202" s="142"/>
      <c r="BB202" s="142"/>
      <c r="BC202" s="142"/>
      <c r="BD202" s="142"/>
      <c r="BE202" s="142"/>
      <c r="BF202" s="142"/>
      <c r="BG202" s="142"/>
      <c r="BH202" s="142"/>
      <c r="BI202" s="142"/>
      <c r="BJ202" s="142"/>
      <c r="BK202" s="142"/>
      <c r="BL202" s="142"/>
      <c r="BM202" s="142"/>
      <c r="BN202" s="142"/>
      <c r="BO202" s="111"/>
      <c r="BP202" s="111"/>
      <c r="BQ202" s="111"/>
      <c r="BR202" s="111"/>
      <c r="BS202" s="111"/>
      <c r="BT202" s="111"/>
      <c r="BU202" s="111"/>
      <c r="BV202" s="111"/>
      <c r="BW202" s="111"/>
      <c r="BX202" s="111"/>
      <c r="BY202" s="111"/>
    </row>
    <row r="203" hidden="1" outlineLevel="1">
      <c r="A203" s="47"/>
      <c r="B203" s="120" t="s">
        <v>136</v>
      </c>
      <c r="C203" s="115">
        <v>0.0</v>
      </c>
      <c r="D203" s="148">
        <v>44562.0</v>
      </c>
      <c r="E203" s="149">
        <v>5.0</v>
      </c>
      <c r="F203" s="111"/>
      <c r="G203" s="142"/>
      <c r="H203" s="142"/>
      <c r="I203" s="142"/>
      <c r="J203" s="142"/>
      <c r="K203" s="142"/>
      <c r="L203" s="142"/>
      <c r="M203" s="142"/>
      <c r="N203" s="142"/>
      <c r="O203" s="142"/>
      <c r="P203" s="142"/>
      <c r="Q203" s="142"/>
      <c r="R203" s="142">
        <f t="shared" ref="R203:BY203" si="138">if(R$4&gt;=$D203,$C203,0)</f>
        <v>0</v>
      </c>
      <c r="S203" s="142">
        <f t="shared" si="138"/>
        <v>0</v>
      </c>
      <c r="T203" s="142">
        <f t="shared" si="138"/>
        <v>0</v>
      </c>
      <c r="U203" s="142">
        <f t="shared" si="138"/>
        <v>0</v>
      </c>
      <c r="V203" s="142">
        <f t="shared" si="138"/>
        <v>0</v>
      </c>
      <c r="W203" s="142">
        <f t="shared" si="138"/>
        <v>0</v>
      </c>
      <c r="X203" s="142">
        <f t="shared" si="138"/>
        <v>0</v>
      </c>
      <c r="Y203" s="142">
        <f t="shared" si="138"/>
        <v>0</v>
      </c>
      <c r="Z203" s="142">
        <f t="shared" si="138"/>
        <v>0</v>
      </c>
      <c r="AA203" s="142">
        <f t="shared" si="138"/>
        <v>0</v>
      </c>
      <c r="AB203" s="142">
        <f t="shared" si="138"/>
        <v>0</v>
      </c>
      <c r="AC203" s="142">
        <f t="shared" si="138"/>
        <v>0</v>
      </c>
      <c r="AD203" s="142">
        <f t="shared" si="138"/>
        <v>0</v>
      </c>
      <c r="AE203" s="142">
        <f t="shared" si="138"/>
        <v>0</v>
      </c>
      <c r="AF203" s="142">
        <f t="shared" si="138"/>
        <v>0</v>
      </c>
      <c r="AG203" s="142">
        <f t="shared" si="138"/>
        <v>0</v>
      </c>
      <c r="AH203" s="142">
        <f t="shared" si="138"/>
        <v>0</v>
      </c>
      <c r="AI203" s="142">
        <f t="shared" si="138"/>
        <v>0</v>
      </c>
      <c r="AJ203" s="142">
        <f t="shared" si="138"/>
        <v>0</v>
      </c>
      <c r="AK203" s="142">
        <f t="shared" si="138"/>
        <v>0</v>
      </c>
      <c r="AL203" s="142">
        <f t="shared" si="138"/>
        <v>0</v>
      </c>
      <c r="AM203" s="142">
        <f t="shared" si="138"/>
        <v>0</v>
      </c>
      <c r="AN203" s="142">
        <f t="shared" si="138"/>
        <v>0</v>
      </c>
      <c r="AO203" s="142">
        <f t="shared" si="138"/>
        <v>0</v>
      </c>
      <c r="AP203" s="142">
        <f t="shared" si="138"/>
        <v>0</v>
      </c>
      <c r="AQ203" s="142">
        <f t="shared" si="138"/>
        <v>0</v>
      </c>
      <c r="AR203" s="142">
        <f t="shared" si="138"/>
        <v>0</v>
      </c>
      <c r="AS203" s="142">
        <f t="shared" si="138"/>
        <v>0</v>
      </c>
      <c r="AT203" s="142">
        <f t="shared" si="138"/>
        <v>0</v>
      </c>
      <c r="AU203" s="142">
        <f t="shared" si="138"/>
        <v>0</v>
      </c>
      <c r="AV203" s="142">
        <f t="shared" si="138"/>
        <v>0</v>
      </c>
      <c r="AW203" s="142">
        <f t="shared" si="138"/>
        <v>0</v>
      </c>
      <c r="AX203" s="142">
        <f t="shared" si="138"/>
        <v>0</v>
      </c>
      <c r="AY203" s="142">
        <f t="shared" si="138"/>
        <v>0</v>
      </c>
      <c r="AZ203" s="142">
        <f t="shared" si="138"/>
        <v>0</v>
      </c>
      <c r="BA203" s="142">
        <f t="shared" si="138"/>
        <v>0</v>
      </c>
      <c r="BB203" s="142">
        <f t="shared" si="138"/>
        <v>0</v>
      </c>
      <c r="BC203" s="142">
        <f t="shared" si="138"/>
        <v>0</v>
      </c>
      <c r="BD203" s="142">
        <f t="shared" si="138"/>
        <v>0</v>
      </c>
      <c r="BE203" s="142">
        <f t="shared" si="138"/>
        <v>0</v>
      </c>
      <c r="BF203" s="142">
        <f t="shared" si="138"/>
        <v>0</v>
      </c>
      <c r="BG203" s="142">
        <f t="shared" si="138"/>
        <v>0</v>
      </c>
      <c r="BH203" s="142">
        <f t="shared" si="138"/>
        <v>0</v>
      </c>
      <c r="BI203" s="142">
        <f t="shared" si="138"/>
        <v>0</v>
      </c>
      <c r="BJ203" s="142">
        <f t="shared" si="138"/>
        <v>0</v>
      </c>
      <c r="BK203" s="142">
        <f t="shared" si="138"/>
        <v>0</v>
      </c>
      <c r="BL203" s="142">
        <f t="shared" si="138"/>
        <v>0</v>
      </c>
      <c r="BM203" s="142">
        <f t="shared" si="138"/>
        <v>0</v>
      </c>
      <c r="BN203" s="142">
        <f t="shared" si="138"/>
        <v>0</v>
      </c>
      <c r="BO203" s="111">
        <f t="shared" si="138"/>
        <v>0</v>
      </c>
      <c r="BP203" s="111">
        <f t="shared" si="138"/>
        <v>0</v>
      </c>
      <c r="BQ203" s="111">
        <f t="shared" si="138"/>
        <v>0</v>
      </c>
      <c r="BR203" s="111">
        <f t="shared" si="138"/>
        <v>0</v>
      </c>
      <c r="BS203" s="111">
        <f t="shared" si="138"/>
        <v>0</v>
      </c>
      <c r="BT203" s="111">
        <f t="shared" si="138"/>
        <v>0</v>
      </c>
      <c r="BU203" s="111">
        <f t="shared" si="138"/>
        <v>0</v>
      </c>
      <c r="BV203" s="111">
        <f t="shared" si="138"/>
        <v>0</v>
      </c>
      <c r="BW203" s="111">
        <f t="shared" si="138"/>
        <v>0</v>
      </c>
      <c r="BX203" s="111">
        <f t="shared" si="138"/>
        <v>0</v>
      </c>
      <c r="BY203" s="111">
        <f t="shared" si="138"/>
        <v>0</v>
      </c>
    </row>
    <row r="204" hidden="1" outlineLevel="1">
      <c r="A204" s="47"/>
      <c r="B204" s="120" t="s">
        <v>137</v>
      </c>
      <c r="C204" s="115">
        <v>0.0</v>
      </c>
      <c r="D204" s="148">
        <v>44562.0</v>
      </c>
      <c r="E204" s="149">
        <v>5.0</v>
      </c>
      <c r="F204" s="111"/>
      <c r="G204" s="142"/>
      <c r="H204" s="142"/>
      <c r="I204" s="142"/>
      <c r="J204" s="142"/>
      <c r="K204" s="142"/>
      <c r="L204" s="142"/>
      <c r="M204" s="142"/>
      <c r="N204" s="142"/>
      <c r="O204" s="142"/>
      <c r="P204" s="142"/>
      <c r="Q204" s="142"/>
      <c r="R204" s="142">
        <f t="shared" ref="R204:BY204" si="139">if(R$4&gt;=$D204,$C204,0)</f>
        <v>0</v>
      </c>
      <c r="S204" s="142">
        <f t="shared" si="139"/>
        <v>0</v>
      </c>
      <c r="T204" s="142">
        <f t="shared" si="139"/>
        <v>0</v>
      </c>
      <c r="U204" s="142">
        <f t="shared" si="139"/>
        <v>0</v>
      </c>
      <c r="V204" s="142">
        <f t="shared" si="139"/>
        <v>0</v>
      </c>
      <c r="W204" s="142">
        <f t="shared" si="139"/>
        <v>0</v>
      </c>
      <c r="X204" s="142">
        <f t="shared" si="139"/>
        <v>0</v>
      </c>
      <c r="Y204" s="142">
        <f t="shared" si="139"/>
        <v>0</v>
      </c>
      <c r="Z204" s="142">
        <f t="shared" si="139"/>
        <v>0</v>
      </c>
      <c r="AA204" s="142">
        <f t="shared" si="139"/>
        <v>0</v>
      </c>
      <c r="AB204" s="142">
        <f t="shared" si="139"/>
        <v>0</v>
      </c>
      <c r="AC204" s="142">
        <f t="shared" si="139"/>
        <v>0</v>
      </c>
      <c r="AD204" s="142">
        <f t="shared" si="139"/>
        <v>0</v>
      </c>
      <c r="AE204" s="142">
        <f t="shared" si="139"/>
        <v>0</v>
      </c>
      <c r="AF204" s="142">
        <f t="shared" si="139"/>
        <v>0</v>
      </c>
      <c r="AG204" s="142">
        <f t="shared" si="139"/>
        <v>0</v>
      </c>
      <c r="AH204" s="142">
        <f t="shared" si="139"/>
        <v>0</v>
      </c>
      <c r="AI204" s="142">
        <f t="shared" si="139"/>
        <v>0</v>
      </c>
      <c r="AJ204" s="142">
        <f t="shared" si="139"/>
        <v>0</v>
      </c>
      <c r="AK204" s="142">
        <f t="shared" si="139"/>
        <v>0</v>
      </c>
      <c r="AL204" s="142">
        <f t="shared" si="139"/>
        <v>0</v>
      </c>
      <c r="AM204" s="142">
        <f t="shared" si="139"/>
        <v>0</v>
      </c>
      <c r="AN204" s="142">
        <f t="shared" si="139"/>
        <v>0</v>
      </c>
      <c r="AO204" s="142">
        <f t="shared" si="139"/>
        <v>0</v>
      </c>
      <c r="AP204" s="142">
        <f t="shared" si="139"/>
        <v>0</v>
      </c>
      <c r="AQ204" s="142">
        <f t="shared" si="139"/>
        <v>0</v>
      </c>
      <c r="AR204" s="142">
        <f t="shared" si="139"/>
        <v>0</v>
      </c>
      <c r="AS204" s="142">
        <f t="shared" si="139"/>
        <v>0</v>
      </c>
      <c r="AT204" s="142">
        <f t="shared" si="139"/>
        <v>0</v>
      </c>
      <c r="AU204" s="142">
        <f t="shared" si="139"/>
        <v>0</v>
      </c>
      <c r="AV204" s="142">
        <f t="shared" si="139"/>
        <v>0</v>
      </c>
      <c r="AW204" s="142">
        <f t="shared" si="139"/>
        <v>0</v>
      </c>
      <c r="AX204" s="142">
        <f t="shared" si="139"/>
        <v>0</v>
      </c>
      <c r="AY204" s="142">
        <f t="shared" si="139"/>
        <v>0</v>
      </c>
      <c r="AZ204" s="142">
        <f t="shared" si="139"/>
        <v>0</v>
      </c>
      <c r="BA204" s="142">
        <f t="shared" si="139"/>
        <v>0</v>
      </c>
      <c r="BB204" s="142">
        <f t="shared" si="139"/>
        <v>0</v>
      </c>
      <c r="BC204" s="142">
        <f t="shared" si="139"/>
        <v>0</v>
      </c>
      <c r="BD204" s="142">
        <f t="shared" si="139"/>
        <v>0</v>
      </c>
      <c r="BE204" s="142">
        <f t="shared" si="139"/>
        <v>0</v>
      </c>
      <c r="BF204" s="142">
        <f t="shared" si="139"/>
        <v>0</v>
      </c>
      <c r="BG204" s="142">
        <f t="shared" si="139"/>
        <v>0</v>
      </c>
      <c r="BH204" s="142">
        <f t="shared" si="139"/>
        <v>0</v>
      </c>
      <c r="BI204" s="142">
        <f t="shared" si="139"/>
        <v>0</v>
      </c>
      <c r="BJ204" s="142">
        <f t="shared" si="139"/>
        <v>0</v>
      </c>
      <c r="BK204" s="142">
        <f t="shared" si="139"/>
        <v>0</v>
      </c>
      <c r="BL204" s="142">
        <f t="shared" si="139"/>
        <v>0</v>
      </c>
      <c r="BM204" s="142">
        <f t="shared" si="139"/>
        <v>0</v>
      </c>
      <c r="BN204" s="142">
        <f t="shared" si="139"/>
        <v>0</v>
      </c>
      <c r="BO204" s="111">
        <f t="shared" si="139"/>
        <v>0</v>
      </c>
      <c r="BP204" s="111">
        <f t="shared" si="139"/>
        <v>0</v>
      </c>
      <c r="BQ204" s="111">
        <f t="shared" si="139"/>
        <v>0</v>
      </c>
      <c r="BR204" s="111">
        <f t="shared" si="139"/>
        <v>0</v>
      </c>
      <c r="BS204" s="111">
        <f t="shared" si="139"/>
        <v>0</v>
      </c>
      <c r="BT204" s="111">
        <f t="shared" si="139"/>
        <v>0</v>
      </c>
      <c r="BU204" s="111">
        <f t="shared" si="139"/>
        <v>0</v>
      </c>
      <c r="BV204" s="111">
        <f t="shared" si="139"/>
        <v>0</v>
      </c>
      <c r="BW204" s="111">
        <f t="shared" si="139"/>
        <v>0</v>
      </c>
      <c r="BX204" s="111">
        <f t="shared" si="139"/>
        <v>0</v>
      </c>
      <c r="BY204" s="111">
        <f t="shared" si="139"/>
        <v>0</v>
      </c>
    </row>
    <row r="205" hidden="1" outlineLevel="1">
      <c r="A205" s="47"/>
      <c r="B205" s="120" t="s">
        <v>138</v>
      </c>
      <c r="C205" s="115">
        <v>0.0</v>
      </c>
      <c r="D205" s="148">
        <v>44562.0</v>
      </c>
      <c r="E205" s="149">
        <v>5.0</v>
      </c>
      <c r="F205" s="111"/>
      <c r="G205" s="142"/>
      <c r="H205" s="142"/>
      <c r="I205" s="142"/>
      <c r="J205" s="142"/>
      <c r="K205" s="142"/>
      <c r="L205" s="142"/>
      <c r="M205" s="142"/>
      <c r="N205" s="142"/>
      <c r="O205" s="142"/>
      <c r="P205" s="142"/>
      <c r="Q205" s="142"/>
      <c r="R205" s="142">
        <f t="shared" ref="R205:BY205" si="140">if(R$4&gt;=$D205,$C205,0)</f>
        <v>0</v>
      </c>
      <c r="S205" s="142">
        <f t="shared" si="140"/>
        <v>0</v>
      </c>
      <c r="T205" s="142">
        <f t="shared" si="140"/>
        <v>0</v>
      </c>
      <c r="U205" s="142">
        <f t="shared" si="140"/>
        <v>0</v>
      </c>
      <c r="V205" s="142">
        <f t="shared" si="140"/>
        <v>0</v>
      </c>
      <c r="W205" s="142">
        <f t="shared" si="140"/>
        <v>0</v>
      </c>
      <c r="X205" s="142">
        <f t="shared" si="140"/>
        <v>0</v>
      </c>
      <c r="Y205" s="142">
        <f t="shared" si="140"/>
        <v>0</v>
      </c>
      <c r="Z205" s="142">
        <f t="shared" si="140"/>
        <v>0</v>
      </c>
      <c r="AA205" s="142">
        <f t="shared" si="140"/>
        <v>0</v>
      </c>
      <c r="AB205" s="142">
        <f t="shared" si="140"/>
        <v>0</v>
      </c>
      <c r="AC205" s="142">
        <f t="shared" si="140"/>
        <v>0</v>
      </c>
      <c r="AD205" s="142">
        <f t="shared" si="140"/>
        <v>0</v>
      </c>
      <c r="AE205" s="142">
        <f t="shared" si="140"/>
        <v>0</v>
      </c>
      <c r="AF205" s="142">
        <f t="shared" si="140"/>
        <v>0</v>
      </c>
      <c r="AG205" s="142">
        <f t="shared" si="140"/>
        <v>0</v>
      </c>
      <c r="AH205" s="142">
        <f t="shared" si="140"/>
        <v>0</v>
      </c>
      <c r="AI205" s="142">
        <f t="shared" si="140"/>
        <v>0</v>
      </c>
      <c r="AJ205" s="142">
        <f t="shared" si="140"/>
        <v>0</v>
      </c>
      <c r="AK205" s="142">
        <f t="shared" si="140"/>
        <v>0</v>
      </c>
      <c r="AL205" s="142">
        <f t="shared" si="140"/>
        <v>0</v>
      </c>
      <c r="AM205" s="142">
        <f t="shared" si="140"/>
        <v>0</v>
      </c>
      <c r="AN205" s="142">
        <f t="shared" si="140"/>
        <v>0</v>
      </c>
      <c r="AO205" s="142">
        <f t="shared" si="140"/>
        <v>0</v>
      </c>
      <c r="AP205" s="142">
        <f t="shared" si="140"/>
        <v>0</v>
      </c>
      <c r="AQ205" s="142">
        <f t="shared" si="140"/>
        <v>0</v>
      </c>
      <c r="AR205" s="142">
        <f t="shared" si="140"/>
        <v>0</v>
      </c>
      <c r="AS205" s="142">
        <f t="shared" si="140"/>
        <v>0</v>
      </c>
      <c r="AT205" s="142">
        <f t="shared" si="140"/>
        <v>0</v>
      </c>
      <c r="AU205" s="142">
        <f t="shared" si="140"/>
        <v>0</v>
      </c>
      <c r="AV205" s="142">
        <f t="shared" si="140"/>
        <v>0</v>
      </c>
      <c r="AW205" s="142">
        <f t="shared" si="140"/>
        <v>0</v>
      </c>
      <c r="AX205" s="142">
        <f t="shared" si="140"/>
        <v>0</v>
      </c>
      <c r="AY205" s="142">
        <f t="shared" si="140"/>
        <v>0</v>
      </c>
      <c r="AZ205" s="142">
        <f t="shared" si="140"/>
        <v>0</v>
      </c>
      <c r="BA205" s="142">
        <f t="shared" si="140"/>
        <v>0</v>
      </c>
      <c r="BB205" s="142">
        <f t="shared" si="140"/>
        <v>0</v>
      </c>
      <c r="BC205" s="142">
        <f t="shared" si="140"/>
        <v>0</v>
      </c>
      <c r="BD205" s="142">
        <f t="shared" si="140"/>
        <v>0</v>
      </c>
      <c r="BE205" s="142">
        <f t="shared" si="140"/>
        <v>0</v>
      </c>
      <c r="BF205" s="142">
        <f t="shared" si="140"/>
        <v>0</v>
      </c>
      <c r="BG205" s="142">
        <f t="shared" si="140"/>
        <v>0</v>
      </c>
      <c r="BH205" s="142">
        <f t="shared" si="140"/>
        <v>0</v>
      </c>
      <c r="BI205" s="142">
        <f t="shared" si="140"/>
        <v>0</v>
      </c>
      <c r="BJ205" s="142">
        <f t="shared" si="140"/>
        <v>0</v>
      </c>
      <c r="BK205" s="142">
        <f t="shared" si="140"/>
        <v>0</v>
      </c>
      <c r="BL205" s="142">
        <f t="shared" si="140"/>
        <v>0</v>
      </c>
      <c r="BM205" s="142">
        <f t="shared" si="140"/>
        <v>0</v>
      </c>
      <c r="BN205" s="142">
        <f t="shared" si="140"/>
        <v>0</v>
      </c>
      <c r="BO205" s="111">
        <f t="shared" si="140"/>
        <v>0</v>
      </c>
      <c r="BP205" s="111">
        <f t="shared" si="140"/>
        <v>0</v>
      </c>
      <c r="BQ205" s="111">
        <f t="shared" si="140"/>
        <v>0</v>
      </c>
      <c r="BR205" s="111">
        <f t="shared" si="140"/>
        <v>0</v>
      </c>
      <c r="BS205" s="111">
        <f t="shared" si="140"/>
        <v>0</v>
      </c>
      <c r="BT205" s="111">
        <f t="shared" si="140"/>
        <v>0</v>
      </c>
      <c r="BU205" s="111">
        <f t="shared" si="140"/>
        <v>0</v>
      </c>
      <c r="BV205" s="111">
        <f t="shared" si="140"/>
        <v>0</v>
      </c>
      <c r="BW205" s="111">
        <f t="shared" si="140"/>
        <v>0</v>
      </c>
      <c r="BX205" s="111">
        <f t="shared" si="140"/>
        <v>0</v>
      </c>
      <c r="BY205" s="111">
        <f t="shared" si="140"/>
        <v>0</v>
      </c>
    </row>
    <row r="206" hidden="1" outlineLevel="1">
      <c r="A206" s="47"/>
      <c r="B206" s="120" t="s">
        <v>139</v>
      </c>
      <c r="C206" s="115">
        <v>0.0</v>
      </c>
      <c r="D206" s="148">
        <v>44562.0</v>
      </c>
      <c r="E206" s="149">
        <v>5.0</v>
      </c>
      <c r="F206" s="111"/>
      <c r="G206" s="142"/>
      <c r="H206" s="142"/>
      <c r="I206" s="142"/>
      <c r="J206" s="142"/>
      <c r="K206" s="142"/>
      <c r="L206" s="142"/>
      <c r="M206" s="142"/>
      <c r="N206" s="142"/>
      <c r="O206" s="142"/>
      <c r="P206" s="142"/>
      <c r="Q206" s="142"/>
      <c r="R206" s="142">
        <f t="shared" ref="R206:BY206" si="141">if(R$4&gt;=$D206,$C206,0)</f>
        <v>0</v>
      </c>
      <c r="S206" s="142">
        <f t="shared" si="141"/>
        <v>0</v>
      </c>
      <c r="T206" s="142">
        <f t="shared" si="141"/>
        <v>0</v>
      </c>
      <c r="U206" s="142">
        <f t="shared" si="141"/>
        <v>0</v>
      </c>
      <c r="V206" s="142">
        <f t="shared" si="141"/>
        <v>0</v>
      </c>
      <c r="W206" s="142">
        <f t="shared" si="141"/>
        <v>0</v>
      </c>
      <c r="X206" s="142">
        <f t="shared" si="141"/>
        <v>0</v>
      </c>
      <c r="Y206" s="142">
        <f t="shared" si="141"/>
        <v>0</v>
      </c>
      <c r="Z206" s="142">
        <f t="shared" si="141"/>
        <v>0</v>
      </c>
      <c r="AA206" s="142">
        <f t="shared" si="141"/>
        <v>0</v>
      </c>
      <c r="AB206" s="142">
        <f t="shared" si="141"/>
        <v>0</v>
      </c>
      <c r="AC206" s="142">
        <f t="shared" si="141"/>
        <v>0</v>
      </c>
      <c r="AD206" s="142">
        <f t="shared" si="141"/>
        <v>0</v>
      </c>
      <c r="AE206" s="142">
        <f t="shared" si="141"/>
        <v>0</v>
      </c>
      <c r="AF206" s="142">
        <f t="shared" si="141"/>
        <v>0</v>
      </c>
      <c r="AG206" s="142">
        <f t="shared" si="141"/>
        <v>0</v>
      </c>
      <c r="AH206" s="142">
        <f t="shared" si="141"/>
        <v>0</v>
      </c>
      <c r="AI206" s="142">
        <f t="shared" si="141"/>
        <v>0</v>
      </c>
      <c r="AJ206" s="142">
        <f t="shared" si="141"/>
        <v>0</v>
      </c>
      <c r="AK206" s="142">
        <f t="shared" si="141"/>
        <v>0</v>
      </c>
      <c r="AL206" s="142">
        <f t="shared" si="141"/>
        <v>0</v>
      </c>
      <c r="AM206" s="142">
        <f t="shared" si="141"/>
        <v>0</v>
      </c>
      <c r="AN206" s="142">
        <f t="shared" si="141"/>
        <v>0</v>
      </c>
      <c r="AO206" s="142">
        <f t="shared" si="141"/>
        <v>0</v>
      </c>
      <c r="AP206" s="142">
        <f t="shared" si="141"/>
        <v>0</v>
      </c>
      <c r="AQ206" s="142">
        <f t="shared" si="141"/>
        <v>0</v>
      </c>
      <c r="AR206" s="142">
        <f t="shared" si="141"/>
        <v>0</v>
      </c>
      <c r="AS206" s="142">
        <f t="shared" si="141"/>
        <v>0</v>
      </c>
      <c r="AT206" s="142">
        <f t="shared" si="141"/>
        <v>0</v>
      </c>
      <c r="AU206" s="142">
        <f t="shared" si="141"/>
        <v>0</v>
      </c>
      <c r="AV206" s="142">
        <f t="shared" si="141"/>
        <v>0</v>
      </c>
      <c r="AW206" s="142">
        <f t="shared" si="141"/>
        <v>0</v>
      </c>
      <c r="AX206" s="142">
        <f t="shared" si="141"/>
        <v>0</v>
      </c>
      <c r="AY206" s="142">
        <f t="shared" si="141"/>
        <v>0</v>
      </c>
      <c r="AZ206" s="142">
        <f t="shared" si="141"/>
        <v>0</v>
      </c>
      <c r="BA206" s="142">
        <f t="shared" si="141"/>
        <v>0</v>
      </c>
      <c r="BB206" s="142">
        <f t="shared" si="141"/>
        <v>0</v>
      </c>
      <c r="BC206" s="142">
        <f t="shared" si="141"/>
        <v>0</v>
      </c>
      <c r="BD206" s="142">
        <f t="shared" si="141"/>
        <v>0</v>
      </c>
      <c r="BE206" s="142">
        <f t="shared" si="141"/>
        <v>0</v>
      </c>
      <c r="BF206" s="142">
        <f t="shared" si="141"/>
        <v>0</v>
      </c>
      <c r="BG206" s="142">
        <f t="shared" si="141"/>
        <v>0</v>
      </c>
      <c r="BH206" s="142">
        <f t="shared" si="141"/>
        <v>0</v>
      </c>
      <c r="BI206" s="142">
        <f t="shared" si="141"/>
        <v>0</v>
      </c>
      <c r="BJ206" s="142">
        <f t="shared" si="141"/>
        <v>0</v>
      </c>
      <c r="BK206" s="142">
        <f t="shared" si="141"/>
        <v>0</v>
      </c>
      <c r="BL206" s="142">
        <f t="shared" si="141"/>
        <v>0</v>
      </c>
      <c r="BM206" s="142">
        <f t="shared" si="141"/>
        <v>0</v>
      </c>
      <c r="BN206" s="142">
        <f t="shared" si="141"/>
        <v>0</v>
      </c>
      <c r="BO206" s="111">
        <f t="shared" si="141"/>
        <v>0</v>
      </c>
      <c r="BP206" s="111">
        <f t="shared" si="141"/>
        <v>0</v>
      </c>
      <c r="BQ206" s="111">
        <f t="shared" si="141"/>
        <v>0</v>
      </c>
      <c r="BR206" s="111">
        <f t="shared" si="141"/>
        <v>0</v>
      </c>
      <c r="BS206" s="111">
        <f t="shared" si="141"/>
        <v>0</v>
      </c>
      <c r="BT206" s="111">
        <f t="shared" si="141"/>
        <v>0</v>
      </c>
      <c r="BU206" s="111">
        <f t="shared" si="141"/>
        <v>0</v>
      </c>
      <c r="BV206" s="111">
        <f t="shared" si="141"/>
        <v>0</v>
      </c>
      <c r="BW206" s="111">
        <f t="shared" si="141"/>
        <v>0</v>
      </c>
      <c r="BX206" s="111">
        <f t="shared" si="141"/>
        <v>0</v>
      </c>
      <c r="BY206" s="111">
        <f t="shared" si="141"/>
        <v>0</v>
      </c>
    </row>
    <row r="207" hidden="1" outlineLevel="1">
      <c r="A207" s="47"/>
      <c r="B207" s="39"/>
      <c r="C207" s="47"/>
      <c r="D207" s="47"/>
      <c r="E207" s="47"/>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c r="BY207" s="111"/>
    </row>
    <row r="208" hidden="1" outlineLevel="1">
      <c r="A208" s="47"/>
      <c r="B208" s="39"/>
      <c r="C208" s="47"/>
      <c r="D208" s="47"/>
      <c r="E208" s="47"/>
      <c r="F208" s="47"/>
      <c r="G208" s="47"/>
      <c r="H208" s="111"/>
      <c r="I208" s="111"/>
      <c r="J208" s="111"/>
      <c r="K208" s="111"/>
      <c r="L208" s="111"/>
      <c r="M208" s="111"/>
      <c r="N208" s="111"/>
      <c r="O208" s="111"/>
      <c r="P208" s="111"/>
      <c r="Q208" s="111"/>
      <c r="R208" s="111" t="s">
        <v>140</v>
      </c>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c r="BY208" s="111"/>
    </row>
    <row r="209" hidden="1" outlineLevel="1">
      <c r="A209" s="66"/>
      <c r="B209" s="67" t="str">
        <f t="shared" ref="B209:B212" si="143">B203</f>
        <v>Asset 1</v>
      </c>
      <c r="C209" s="66"/>
      <c r="D209" s="66"/>
      <c r="E209" s="66"/>
      <c r="F209" s="111"/>
      <c r="G209" s="111"/>
      <c r="H209" s="111"/>
      <c r="I209" s="111"/>
      <c r="J209" s="111"/>
      <c r="K209" s="111"/>
      <c r="L209" s="111"/>
      <c r="M209" s="111"/>
      <c r="N209" s="111"/>
      <c r="O209" s="111"/>
      <c r="P209" s="111"/>
      <c r="Q209" s="111"/>
      <c r="R209" s="111">
        <f t="shared" ref="R209:R212" si="144">MIN(E209+ IF(R$4&gt;=$D203,$C203/($E203*12),0),$C203)</f>
        <v>0</v>
      </c>
      <c r="S209" s="111">
        <f t="shared" ref="S209:BY209" si="142">MIN(R209+ IF(S$4&gt;=$D203,$C203/($E203*12),0),$C203)</f>
        <v>0</v>
      </c>
      <c r="T209" s="111">
        <f t="shared" si="142"/>
        <v>0</v>
      </c>
      <c r="U209" s="111">
        <f t="shared" si="142"/>
        <v>0</v>
      </c>
      <c r="V209" s="111">
        <f t="shared" si="142"/>
        <v>0</v>
      </c>
      <c r="W209" s="111">
        <f t="shared" si="142"/>
        <v>0</v>
      </c>
      <c r="X209" s="111">
        <f t="shared" si="142"/>
        <v>0</v>
      </c>
      <c r="Y209" s="111">
        <f t="shared" si="142"/>
        <v>0</v>
      </c>
      <c r="Z209" s="111">
        <f t="shared" si="142"/>
        <v>0</v>
      </c>
      <c r="AA209" s="111">
        <f t="shared" si="142"/>
        <v>0</v>
      </c>
      <c r="AB209" s="111">
        <f t="shared" si="142"/>
        <v>0</v>
      </c>
      <c r="AC209" s="111">
        <f t="shared" si="142"/>
        <v>0</v>
      </c>
      <c r="AD209" s="111">
        <f t="shared" si="142"/>
        <v>0</v>
      </c>
      <c r="AE209" s="111">
        <f t="shared" si="142"/>
        <v>0</v>
      </c>
      <c r="AF209" s="111">
        <f t="shared" si="142"/>
        <v>0</v>
      </c>
      <c r="AG209" s="111">
        <f t="shared" si="142"/>
        <v>0</v>
      </c>
      <c r="AH209" s="111">
        <f t="shared" si="142"/>
        <v>0</v>
      </c>
      <c r="AI209" s="111">
        <f t="shared" si="142"/>
        <v>0</v>
      </c>
      <c r="AJ209" s="111">
        <f t="shared" si="142"/>
        <v>0</v>
      </c>
      <c r="AK209" s="111">
        <f t="shared" si="142"/>
        <v>0</v>
      </c>
      <c r="AL209" s="111">
        <f t="shared" si="142"/>
        <v>0</v>
      </c>
      <c r="AM209" s="111">
        <f t="shared" si="142"/>
        <v>0</v>
      </c>
      <c r="AN209" s="111">
        <f t="shared" si="142"/>
        <v>0</v>
      </c>
      <c r="AO209" s="111">
        <f t="shared" si="142"/>
        <v>0</v>
      </c>
      <c r="AP209" s="111">
        <f t="shared" si="142"/>
        <v>0</v>
      </c>
      <c r="AQ209" s="111">
        <f t="shared" si="142"/>
        <v>0</v>
      </c>
      <c r="AR209" s="111">
        <f t="shared" si="142"/>
        <v>0</v>
      </c>
      <c r="AS209" s="111">
        <f t="shared" si="142"/>
        <v>0</v>
      </c>
      <c r="AT209" s="111">
        <f t="shared" si="142"/>
        <v>0</v>
      </c>
      <c r="AU209" s="111">
        <f t="shared" si="142"/>
        <v>0</v>
      </c>
      <c r="AV209" s="111">
        <f t="shared" si="142"/>
        <v>0</v>
      </c>
      <c r="AW209" s="111">
        <f t="shared" si="142"/>
        <v>0</v>
      </c>
      <c r="AX209" s="111">
        <f t="shared" si="142"/>
        <v>0</v>
      </c>
      <c r="AY209" s="111">
        <f t="shared" si="142"/>
        <v>0</v>
      </c>
      <c r="AZ209" s="111">
        <f t="shared" si="142"/>
        <v>0</v>
      </c>
      <c r="BA209" s="111">
        <f t="shared" si="142"/>
        <v>0</v>
      </c>
      <c r="BB209" s="111">
        <f t="shared" si="142"/>
        <v>0</v>
      </c>
      <c r="BC209" s="111">
        <f t="shared" si="142"/>
        <v>0</v>
      </c>
      <c r="BD209" s="111">
        <f t="shared" si="142"/>
        <v>0</v>
      </c>
      <c r="BE209" s="111">
        <f t="shared" si="142"/>
        <v>0</v>
      </c>
      <c r="BF209" s="111">
        <f t="shared" si="142"/>
        <v>0</v>
      </c>
      <c r="BG209" s="111">
        <f t="shared" si="142"/>
        <v>0</v>
      </c>
      <c r="BH209" s="111">
        <f t="shared" si="142"/>
        <v>0</v>
      </c>
      <c r="BI209" s="111">
        <f t="shared" si="142"/>
        <v>0</v>
      </c>
      <c r="BJ209" s="111">
        <f t="shared" si="142"/>
        <v>0</v>
      </c>
      <c r="BK209" s="111">
        <f t="shared" si="142"/>
        <v>0</v>
      </c>
      <c r="BL209" s="111">
        <f t="shared" si="142"/>
        <v>0</v>
      </c>
      <c r="BM209" s="111">
        <f t="shared" si="142"/>
        <v>0</v>
      </c>
      <c r="BN209" s="111">
        <f t="shared" si="142"/>
        <v>0</v>
      </c>
      <c r="BO209" s="111">
        <f t="shared" si="142"/>
        <v>0</v>
      </c>
      <c r="BP209" s="111">
        <f t="shared" si="142"/>
        <v>0</v>
      </c>
      <c r="BQ209" s="111">
        <f t="shared" si="142"/>
        <v>0</v>
      </c>
      <c r="BR209" s="111">
        <f t="shared" si="142"/>
        <v>0</v>
      </c>
      <c r="BS209" s="111">
        <f t="shared" si="142"/>
        <v>0</v>
      </c>
      <c r="BT209" s="111">
        <f t="shared" si="142"/>
        <v>0</v>
      </c>
      <c r="BU209" s="111">
        <f t="shared" si="142"/>
        <v>0</v>
      </c>
      <c r="BV209" s="111">
        <f t="shared" si="142"/>
        <v>0</v>
      </c>
      <c r="BW209" s="111">
        <f t="shared" si="142"/>
        <v>0</v>
      </c>
      <c r="BX209" s="111">
        <f t="shared" si="142"/>
        <v>0</v>
      </c>
      <c r="BY209" s="111">
        <f t="shared" si="142"/>
        <v>0</v>
      </c>
    </row>
    <row r="210" hidden="1" outlineLevel="1">
      <c r="A210" s="66"/>
      <c r="B210" s="67" t="str">
        <f t="shared" si="143"/>
        <v>Asset 2</v>
      </c>
      <c r="C210" s="66"/>
      <c r="D210" s="66"/>
      <c r="E210" s="66"/>
      <c r="F210" s="111"/>
      <c r="G210" s="111"/>
      <c r="H210" s="111"/>
      <c r="I210" s="111"/>
      <c r="J210" s="111"/>
      <c r="K210" s="111"/>
      <c r="L210" s="111"/>
      <c r="M210" s="111"/>
      <c r="N210" s="111"/>
      <c r="O210" s="111"/>
      <c r="P210" s="111"/>
      <c r="Q210" s="111"/>
      <c r="R210" s="111">
        <f t="shared" si="144"/>
        <v>0</v>
      </c>
      <c r="S210" s="111">
        <f t="shared" ref="S210:BY210" si="145">MIN(R210+ IF(S$4&gt;=$D204,$C204/($E204*12),0),$C204)</f>
        <v>0</v>
      </c>
      <c r="T210" s="111">
        <f t="shared" si="145"/>
        <v>0</v>
      </c>
      <c r="U210" s="111">
        <f t="shared" si="145"/>
        <v>0</v>
      </c>
      <c r="V210" s="111">
        <f t="shared" si="145"/>
        <v>0</v>
      </c>
      <c r="W210" s="111">
        <f t="shared" si="145"/>
        <v>0</v>
      </c>
      <c r="X210" s="111">
        <f t="shared" si="145"/>
        <v>0</v>
      </c>
      <c r="Y210" s="111">
        <f t="shared" si="145"/>
        <v>0</v>
      </c>
      <c r="Z210" s="111">
        <f t="shared" si="145"/>
        <v>0</v>
      </c>
      <c r="AA210" s="111">
        <f t="shared" si="145"/>
        <v>0</v>
      </c>
      <c r="AB210" s="111">
        <f t="shared" si="145"/>
        <v>0</v>
      </c>
      <c r="AC210" s="111">
        <f t="shared" si="145"/>
        <v>0</v>
      </c>
      <c r="AD210" s="111">
        <f t="shared" si="145"/>
        <v>0</v>
      </c>
      <c r="AE210" s="111">
        <f t="shared" si="145"/>
        <v>0</v>
      </c>
      <c r="AF210" s="111">
        <f t="shared" si="145"/>
        <v>0</v>
      </c>
      <c r="AG210" s="111">
        <f t="shared" si="145"/>
        <v>0</v>
      </c>
      <c r="AH210" s="111">
        <f t="shared" si="145"/>
        <v>0</v>
      </c>
      <c r="AI210" s="111">
        <f t="shared" si="145"/>
        <v>0</v>
      </c>
      <c r="AJ210" s="111">
        <f t="shared" si="145"/>
        <v>0</v>
      </c>
      <c r="AK210" s="111">
        <f t="shared" si="145"/>
        <v>0</v>
      </c>
      <c r="AL210" s="111">
        <f t="shared" si="145"/>
        <v>0</v>
      </c>
      <c r="AM210" s="111">
        <f t="shared" si="145"/>
        <v>0</v>
      </c>
      <c r="AN210" s="111">
        <f t="shared" si="145"/>
        <v>0</v>
      </c>
      <c r="AO210" s="111">
        <f t="shared" si="145"/>
        <v>0</v>
      </c>
      <c r="AP210" s="111">
        <f t="shared" si="145"/>
        <v>0</v>
      </c>
      <c r="AQ210" s="111">
        <f t="shared" si="145"/>
        <v>0</v>
      </c>
      <c r="AR210" s="111">
        <f t="shared" si="145"/>
        <v>0</v>
      </c>
      <c r="AS210" s="111">
        <f t="shared" si="145"/>
        <v>0</v>
      </c>
      <c r="AT210" s="111">
        <f t="shared" si="145"/>
        <v>0</v>
      </c>
      <c r="AU210" s="111">
        <f t="shared" si="145"/>
        <v>0</v>
      </c>
      <c r="AV210" s="111">
        <f t="shared" si="145"/>
        <v>0</v>
      </c>
      <c r="AW210" s="111">
        <f t="shared" si="145"/>
        <v>0</v>
      </c>
      <c r="AX210" s="111">
        <f t="shared" si="145"/>
        <v>0</v>
      </c>
      <c r="AY210" s="111">
        <f t="shared" si="145"/>
        <v>0</v>
      </c>
      <c r="AZ210" s="111">
        <f t="shared" si="145"/>
        <v>0</v>
      </c>
      <c r="BA210" s="111">
        <f t="shared" si="145"/>
        <v>0</v>
      </c>
      <c r="BB210" s="111">
        <f t="shared" si="145"/>
        <v>0</v>
      </c>
      <c r="BC210" s="111">
        <f t="shared" si="145"/>
        <v>0</v>
      </c>
      <c r="BD210" s="111">
        <f t="shared" si="145"/>
        <v>0</v>
      </c>
      <c r="BE210" s="111">
        <f t="shared" si="145"/>
        <v>0</v>
      </c>
      <c r="BF210" s="111">
        <f t="shared" si="145"/>
        <v>0</v>
      </c>
      <c r="BG210" s="111">
        <f t="shared" si="145"/>
        <v>0</v>
      </c>
      <c r="BH210" s="111">
        <f t="shared" si="145"/>
        <v>0</v>
      </c>
      <c r="BI210" s="111">
        <f t="shared" si="145"/>
        <v>0</v>
      </c>
      <c r="BJ210" s="111">
        <f t="shared" si="145"/>
        <v>0</v>
      </c>
      <c r="BK210" s="111">
        <f t="shared" si="145"/>
        <v>0</v>
      </c>
      <c r="BL210" s="111">
        <f t="shared" si="145"/>
        <v>0</v>
      </c>
      <c r="BM210" s="111">
        <f t="shared" si="145"/>
        <v>0</v>
      </c>
      <c r="BN210" s="111">
        <f t="shared" si="145"/>
        <v>0</v>
      </c>
      <c r="BO210" s="111">
        <f t="shared" si="145"/>
        <v>0</v>
      </c>
      <c r="BP210" s="111">
        <f t="shared" si="145"/>
        <v>0</v>
      </c>
      <c r="BQ210" s="111">
        <f t="shared" si="145"/>
        <v>0</v>
      </c>
      <c r="BR210" s="111">
        <f t="shared" si="145"/>
        <v>0</v>
      </c>
      <c r="BS210" s="111">
        <f t="shared" si="145"/>
        <v>0</v>
      </c>
      <c r="BT210" s="111">
        <f t="shared" si="145"/>
        <v>0</v>
      </c>
      <c r="BU210" s="111">
        <f t="shared" si="145"/>
        <v>0</v>
      </c>
      <c r="BV210" s="111">
        <f t="shared" si="145"/>
        <v>0</v>
      </c>
      <c r="BW210" s="111">
        <f t="shared" si="145"/>
        <v>0</v>
      </c>
      <c r="BX210" s="111">
        <f t="shared" si="145"/>
        <v>0</v>
      </c>
      <c r="BY210" s="111">
        <f t="shared" si="145"/>
        <v>0</v>
      </c>
    </row>
    <row r="211" hidden="1" outlineLevel="1">
      <c r="A211" s="66"/>
      <c r="B211" s="67" t="str">
        <f t="shared" si="143"/>
        <v>Asset 3</v>
      </c>
      <c r="C211" s="66"/>
      <c r="D211" s="66"/>
      <c r="E211" s="66"/>
      <c r="F211" s="111"/>
      <c r="G211" s="111"/>
      <c r="H211" s="111"/>
      <c r="I211" s="111"/>
      <c r="J211" s="111"/>
      <c r="K211" s="111"/>
      <c r="L211" s="111"/>
      <c r="M211" s="111"/>
      <c r="N211" s="111"/>
      <c r="O211" s="111"/>
      <c r="P211" s="111"/>
      <c r="Q211" s="111"/>
      <c r="R211" s="111">
        <f t="shared" si="144"/>
        <v>0</v>
      </c>
      <c r="S211" s="111">
        <f t="shared" ref="S211:BY211" si="146">MIN(R211+ IF(S$4&gt;=$D205,$C205/($E205*12),0),$C205)</f>
        <v>0</v>
      </c>
      <c r="T211" s="111">
        <f t="shared" si="146"/>
        <v>0</v>
      </c>
      <c r="U211" s="111">
        <f t="shared" si="146"/>
        <v>0</v>
      </c>
      <c r="V211" s="111">
        <f t="shared" si="146"/>
        <v>0</v>
      </c>
      <c r="W211" s="111">
        <f t="shared" si="146"/>
        <v>0</v>
      </c>
      <c r="X211" s="111">
        <f t="shared" si="146"/>
        <v>0</v>
      </c>
      <c r="Y211" s="111">
        <f t="shared" si="146"/>
        <v>0</v>
      </c>
      <c r="Z211" s="111">
        <f t="shared" si="146"/>
        <v>0</v>
      </c>
      <c r="AA211" s="111">
        <f t="shared" si="146"/>
        <v>0</v>
      </c>
      <c r="AB211" s="111">
        <f t="shared" si="146"/>
        <v>0</v>
      </c>
      <c r="AC211" s="111">
        <f t="shared" si="146"/>
        <v>0</v>
      </c>
      <c r="AD211" s="111">
        <f t="shared" si="146"/>
        <v>0</v>
      </c>
      <c r="AE211" s="111">
        <f t="shared" si="146"/>
        <v>0</v>
      </c>
      <c r="AF211" s="111">
        <f t="shared" si="146"/>
        <v>0</v>
      </c>
      <c r="AG211" s="111">
        <f t="shared" si="146"/>
        <v>0</v>
      </c>
      <c r="AH211" s="111">
        <f t="shared" si="146"/>
        <v>0</v>
      </c>
      <c r="AI211" s="111">
        <f t="shared" si="146"/>
        <v>0</v>
      </c>
      <c r="AJ211" s="111">
        <f t="shared" si="146"/>
        <v>0</v>
      </c>
      <c r="AK211" s="111">
        <f t="shared" si="146"/>
        <v>0</v>
      </c>
      <c r="AL211" s="111">
        <f t="shared" si="146"/>
        <v>0</v>
      </c>
      <c r="AM211" s="111">
        <f t="shared" si="146"/>
        <v>0</v>
      </c>
      <c r="AN211" s="111">
        <f t="shared" si="146"/>
        <v>0</v>
      </c>
      <c r="AO211" s="111">
        <f t="shared" si="146"/>
        <v>0</v>
      </c>
      <c r="AP211" s="111">
        <f t="shared" si="146"/>
        <v>0</v>
      </c>
      <c r="AQ211" s="111">
        <f t="shared" si="146"/>
        <v>0</v>
      </c>
      <c r="AR211" s="111">
        <f t="shared" si="146"/>
        <v>0</v>
      </c>
      <c r="AS211" s="111">
        <f t="shared" si="146"/>
        <v>0</v>
      </c>
      <c r="AT211" s="111">
        <f t="shared" si="146"/>
        <v>0</v>
      </c>
      <c r="AU211" s="111">
        <f t="shared" si="146"/>
        <v>0</v>
      </c>
      <c r="AV211" s="111">
        <f t="shared" si="146"/>
        <v>0</v>
      </c>
      <c r="AW211" s="111">
        <f t="shared" si="146"/>
        <v>0</v>
      </c>
      <c r="AX211" s="111">
        <f t="shared" si="146"/>
        <v>0</v>
      </c>
      <c r="AY211" s="111">
        <f t="shared" si="146"/>
        <v>0</v>
      </c>
      <c r="AZ211" s="111">
        <f t="shared" si="146"/>
        <v>0</v>
      </c>
      <c r="BA211" s="111">
        <f t="shared" si="146"/>
        <v>0</v>
      </c>
      <c r="BB211" s="111">
        <f t="shared" si="146"/>
        <v>0</v>
      </c>
      <c r="BC211" s="111">
        <f t="shared" si="146"/>
        <v>0</v>
      </c>
      <c r="BD211" s="111">
        <f t="shared" si="146"/>
        <v>0</v>
      </c>
      <c r="BE211" s="111">
        <f t="shared" si="146"/>
        <v>0</v>
      </c>
      <c r="BF211" s="111">
        <f t="shared" si="146"/>
        <v>0</v>
      </c>
      <c r="BG211" s="111">
        <f t="shared" si="146"/>
        <v>0</v>
      </c>
      <c r="BH211" s="111">
        <f t="shared" si="146"/>
        <v>0</v>
      </c>
      <c r="BI211" s="111">
        <f t="shared" si="146"/>
        <v>0</v>
      </c>
      <c r="BJ211" s="111">
        <f t="shared" si="146"/>
        <v>0</v>
      </c>
      <c r="BK211" s="111">
        <f t="shared" si="146"/>
        <v>0</v>
      </c>
      <c r="BL211" s="111">
        <f t="shared" si="146"/>
        <v>0</v>
      </c>
      <c r="BM211" s="111">
        <f t="shared" si="146"/>
        <v>0</v>
      </c>
      <c r="BN211" s="111">
        <f t="shared" si="146"/>
        <v>0</v>
      </c>
      <c r="BO211" s="111">
        <f t="shared" si="146"/>
        <v>0</v>
      </c>
      <c r="BP211" s="111">
        <f t="shared" si="146"/>
        <v>0</v>
      </c>
      <c r="BQ211" s="111">
        <f t="shared" si="146"/>
        <v>0</v>
      </c>
      <c r="BR211" s="111">
        <f t="shared" si="146"/>
        <v>0</v>
      </c>
      <c r="BS211" s="111">
        <f t="shared" si="146"/>
        <v>0</v>
      </c>
      <c r="BT211" s="111">
        <f t="shared" si="146"/>
        <v>0</v>
      </c>
      <c r="BU211" s="111">
        <f t="shared" si="146"/>
        <v>0</v>
      </c>
      <c r="BV211" s="111">
        <f t="shared" si="146"/>
        <v>0</v>
      </c>
      <c r="BW211" s="111">
        <f t="shared" si="146"/>
        <v>0</v>
      </c>
      <c r="BX211" s="111">
        <f t="shared" si="146"/>
        <v>0</v>
      </c>
      <c r="BY211" s="111">
        <f t="shared" si="146"/>
        <v>0</v>
      </c>
    </row>
    <row r="212" hidden="1" outlineLevel="1">
      <c r="A212" s="66"/>
      <c r="B212" s="67" t="str">
        <f t="shared" si="143"/>
        <v>Asset 4</v>
      </c>
      <c r="C212" s="66"/>
      <c r="D212" s="66"/>
      <c r="E212" s="66"/>
      <c r="F212" s="111"/>
      <c r="G212" s="111"/>
      <c r="H212" s="111"/>
      <c r="I212" s="111"/>
      <c r="J212" s="111"/>
      <c r="K212" s="111"/>
      <c r="L212" s="111"/>
      <c r="M212" s="111"/>
      <c r="N212" s="111"/>
      <c r="O212" s="111"/>
      <c r="P212" s="111"/>
      <c r="Q212" s="111"/>
      <c r="R212" s="111">
        <f t="shared" si="144"/>
        <v>0</v>
      </c>
      <c r="S212" s="111">
        <f t="shared" ref="S212:BY212" si="147">MIN(R212+ IF(S$4&gt;=$D206,$C206/($E206*12),0),$C206)</f>
        <v>0</v>
      </c>
      <c r="T212" s="111">
        <f t="shared" si="147"/>
        <v>0</v>
      </c>
      <c r="U212" s="111">
        <f t="shared" si="147"/>
        <v>0</v>
      </c>
      <c r="V212" s="111">
        <f t="shared" si="147"/>
        <v>0</v>
      </c>
      <c r="W212" s="111">
        <f t="shared" si="147"/>
        <v>0</v>
      </c>
      <c r="X212" s="111">
        <f t="shared" si="147"/>
        <v>0</v>
      </c>
      <c r="Y212" s="111">
        <f t="shared" si="147"/>
        <v>0</v>
      </c>
      <c r="Z212" s="111">
        <f t="shared" si="147"/>
        <v>0</v>
      </c>
      <c r="AA212" s="111">
        <f t="shared" si="147"/>
        <v>0</v>
      </c>
      <c r="AB212" s="111">
        <f t="shared" si="147"/>
        <v>0</v>
      </c>
      <c r="AC212" s="111">
        <f t="shared" si="147"/>
        <v>0</v>
      </c>
      <c r="AD212" s="111">
        <f t="shared" si="147"/>
        <v>0</v>
      </c>
      <c r="AE212" s="111">
        <f t="shared" si="147"/>
        <v>0</v>
      </c>
      <c r="AF212" s="111">
        <f t="shared" si="147"/>
        <v>0</v>
      </c>
      <c r="AG212" s="111">
        <f t="shared" si="147"/>
        <v>0</v>
      </c>
      <c r="AH212" s="111">
        <f t="shared" si="147"/>
        <v>0</v>
      </c>
      <c r="AI212" s="111">
        <f t="shared" si="147"/>
        <v>0</v>
      </c>
      <c r="AJ212" s="111">
        <f t="shared" si="147"/>
        <v>0</v>
      </c>
      <c r="AK212" s="111">
        <f t="shared" si="147"/>
        <v>0</v>
      </c>
      <c r="AL212" s="111">
        <f t="shared" si="147"/>
        <v>0</v>
      </c>
      <c r="AM212" s="111">
        <f t="shared" si="147"/>
        <v>0</v>
      </c>
      <c r="AN212" s="111">
        <f t="shared" si="147"/>
        <v>0</v>
      </c>
      <c r="AO212" s="111">
        <f t="shared" si="147"/>
        <v>0</v>
      </c>
      <c r="AP212" s="111">
        <f t="shared" si="147"/>
        <v>0</v>
      </c>
      <c r="AQ212" s="111">
        <f t="shared" si="147"/>
        <v>0</v>
      </c>
      <c r="AR212" s="111">
        <f t="shared" si="147"/>
        <v>0</v>
      </c>
      <c r="AS212" s="111">
        <f t="shared" si="147"/>
        <v>0</v>
      </c>
      <c r="AT212" s="111">
        <f t="shared" si="147"/>
        <v>0</v>
      </c>
      <c r="AU212" s="111">
        <f t="shared" si="147"/>
        <v>0</v>
      </c>
      <c r="AV212" s="111">
        <f t="shared" si="147"/>
        <v>0</v>
      </c>
      <c r="AW212" s="111">
        <f t="shared" si="147"/>
        <v>0</v>
      </c>
      <c r="AX212" s="111">
        <f t="shared" si="147"/>
        <v>0</v>
      </c>
      <c r="AY212" s="111">
        <f t="shared" si="147"/>
        <v>0</v>
      </c>
      <c r="AZ212" s="111">
        <f t="shared" si="147"/>
        <v>0</v>
      </c>
      <c r="BA212" s="111">
        <f t="shared" si="147"/>
        <v>0</v>
      </c>
      <c r="BB212" s="111">
        <f t="shared" si="147"/>
        <v>0</v>
      </c>
      <c r="BC212" s="111">
        <f t="shared" si="147"/>
        <v>0</v>
      </c>
      <c r="BD212" s="111">
        <f t="shared" si="147"/>
        <v>0</v>
      </c>
      <c r="BE212" s="111">
        <f t="shared" si="147"/>
        <v>0</v>
      </c>
      <c r="BF212" s="111">
        <f t="shared" si="147"/>
        <v>0</v>
      </c>
      <c r="BG212" s="111">
        <f t="shared" si="147"/>
        <v>0</v>
      </c>
      <c r="BH212" s="111">
        <f t="shared" si="147"/>
        <v>0</v>
      </c>
      <c r="BI212" s="111">
        <f t="shared" si="147"/>
        <v>0</v>
      </c>
      <c r="BJ212" s="111">
        <f t="shared" si="147"/>
        <v>0</v>
      </c>
      <c r="BK212" s="111">
        <f t="shared" si="147"/>
        <v>0</v>
      </c>
      <c r="BL212" s="111">
        <f t="shared" si="147"/>
        <v>0</v>
      </c>
      <c r="BM212" s="111">
        <f t="shared" si="147"/>
        <v>0</v>
      </c>
      <c r="BN212" s="111">
        <f t="shared" si="147"/>
        <v>0</v>
      </c>
      <c r="BO212" s="111">
        <f t="shared" si="147"/>
        <v>0</v>
      </c>
      <c r="BP212" s="111">
        <f t="shared" si="147"/>
        <v>0</v>
      </c>
      <c r="BQ212" s="111">
        <f t="shared" si="147"/>
        <v>0</v>
      </c>
      <c r="BR212" s="111">
        <f t="shared" si="147"/>
        <v>0</v>
      </c>
      <c r="BS212" s="111">
        <f t="shared" si="147"/>
        <v>0</v>
      </c>
      <c r="BT212" s="111">
        <f t="shared" si="147"/>
        <v>0</v>
      </c>
      <c r="BU212" s="111">
        <f t="shared" si="147"/>
        <v>0</v>
      </c>
      <c r="BV212" s="111">
        <f t="shared" si="147"/>
        <v>0</v>
      </c>
      <c r="BW212" s="111">
        <f t="shared" si="147"/>
        <v>0</v>
      </c>
      <c r="BX212" s="111">
        <f t="shared" si="147"/>
        <v>0</v>
      </c>
      <c r="BY212" s="111">
        <f t="shared" si="147"/>
        <v>0</v>
      </c>
    </row>
    <row r="213" hidden="1" outlineLevel="1">
      <c r="A213" s="47"/>
      <c r="B213" s="39"/>
      <c r="C213" s="47"/>
      <c r="D213" s="47"/>
      <c r="E213" s="47"/>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c r="BY213" s="111"/>
    </row>
    <row r="214" hidden="1" outlineLevel="1">
      <c r="A214" s="47"/>
      <c r="B214" s="140" t="s">
        <v>141</v>
      </c>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1"/>
      <c r="AM214" s="141"/>
      <c r="AN214" s="141"/>
      <c r="AO214" s="141"/>
      <c r="AP214" s="141"/>
      <c r="AQ214" s="141"/>
      <c r="AR214" s="141"/>
      <c r="AS214" s="141"/>
      <c r="AT214" s="141"/>
      <c r="AU214" s="141"/>
      <c r="AV214" s="141"/>
      <c r="AW214" s="141"/>
      <c r="AX214" s="141"/>
      <c r="AY214" s="141"/>
      <c r="AZ214" s="141"/>
      <c r="BA214" s="141"/>
      <c r="BB214" s="141"/>
      <c r="BC214" s="141"/>
      <c r="BD214" s="141"/>
      <c r="BE214" s="141"/>
      <c r="BF214" s="141"/>
      <c r="BG214" s="141"/>
      <c r="BH214" s="141"/>
      <c r="BI214" s="141"/>
      <c r="BJ214" s="141"/>
      <c r="BK214" s="141"/>
      <c r="BL214" s="141"/>
      <c r="BM214" s="141"/>
      <c r="BN214" s="141"/>
      <c r="BO214" s="141"/>
      <c r="BP214" s="141"/>
      <c r="BQ214" s="141"/>
      <c r="BR214" s="141"/>
      <c r="BS214" s="141"/>
      <c r="BT214" s="141"/>
      <c r="BU214" s="141"/>
      <c r="BV214" s="141"/>
      <c r="BW214" s="141"/>
      <c r="BX214" s="141"/>
      <c r="BY214" s="141"/>
    </row>
    <row r="215" hidden="1" outlineLevel="1">
      <c r="A215" s="47"/>
      <c r="B215" s="39"/>
      <c r="C215" s="47"/>
      <c r="D215" s="47"/>
      <c r="E215" s="47"/>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c r="BY215" s="111"/>
    </row>
    <row r="216" hidden="1" outlineLevel="1">
      <c r="A216" s="47"/>
      <c r="B216" s="136" t="s">
        <v>142</v>
      </c>
      <c r="C216" s="150">
        <v>15.0</v>
      </c>
      <c r="D216" s="39" t="s">
        <v>143</v>
      </c>
      <c r="E216" s="47"/>
      <c r="F216" s="145"/>
      <c r="G216" s="145"/>
      <c r="H216" s="145"/>
      <c r="I216" s="145"/>
      <c r="J216" s="145"/>
      <c r="K216" s="145"/>
      <c r="L216" s="145"/>
      <c r="M216" s="145"/>
      <c r="N216" s="145"/>
      <c r="O216" s="145"/>
      <c r="P216" s="145"/>
      <c r="Q216" s="145"/>
      <c r="R216" s="145">
        <f t="shared" ref="R216:BY216" si="148">SUM(R163,R174,R179,R185,R188)*$C216/30</f>
        <v>19012.0625</v>
      </c>
      <c r="S216" s="145">
        <f t="shared" si="148"/>
        <v>20302.99344</v>
      </c>
      <c r="T216" s="145">
        <f t="shared" si="148"/>
        <v>21594.3574</v>
      </c>
      <c r="U216" s="145">
        <f t="shared" si="148"/>
        <v>22885.72786</v>
      </c>
      <c r="V216" s="145">
        <f t="shared" si="148"/>
        <v>24177.09842</v>
      </c>
      <c r="W216" s="145">
        <f t="shared" si="148"/>
        <v>25468.46898</v>
      </c>
      <c r="X216" s="145">
        <f t="shared" si="148"/>
        <v>26759.83953</v>
      </c>
      <c r="Y216" s="145">
        <f t="shared" si="148"/>
        <v>28051.21009</v>
      </c>
      <c r="Z216" s="145">
        <f t="shared" si="148"/>
        <v>29342.58065</v>
      </c>
      <c r="AA216" s="145">
        <f t="shared" si="148"/>
        <v>30633.95121</v>
      </c>
      <c r="AB216" s="145">
        <f t="shared" si="148"/>
        <v>31925.32177</v>
      </c>
      <c r="AC216" s="145">
        <f t="shared" si="148"/>
        <v>33216.69233</v>
      </c>
      <c r="AD216" s="145">
        <f t="shared" si="148"/>
        <v>34255.65038</v>
      </c>
      <c r="AE216" s="145">
        <f t="shared" si="148"/>
        <v>35288.83476</v>
      </c>
      <c r="AF216" s="145">
        <f t="shared" si="148"/>
        <v>36321.93252</v>
      </c>
      <c r="AG216" s="145">
        <f t="shared" si="148"/>
        <v>37355.02899</v>
      </c>
      <c r="AH216" s="145">
        <f t="shared" si="148"/>
        <v>38388.12543</v>
      </c>
      <c r="AI216" s="145">
        <f t="shared" si="148"/>
        <v>39421.22188</v>
      </c>
      <c r="AJ216" s="145">
        <f t="shared" si="148"/>
        <v>40454.31833</v>
      </c>
      <c r="AK216" s="145">
        <f t="shared" si="148"/>
        <v>41487.41477</v>
      </c>
      <c r="AL216" s="145">
        <f t="shared" si="148"/>
        <v>42520.51122</v>
      </c>
      <c r="AM216" s="145">
        <f t="shared" si="148"/>
        <v>43553.60767</v>
      </c>
      <c r="AN216" s="145">
        <f t="shared" si="148"/>
        <v>44586.70412</v>
      </c>
      <c r="AO216" s="145">
        <f t="shared" si="148"/>
        <v>45619.80056</v>
      </c>
      <c r="AP216" s="145">
        <f t="shared" si="148"/>
        <v>46450.96701</v>
      </c>
      <c r="AQ216" s="145">
        <f t="shared" si="148"/>
        <v>47277.51451</v>
      </c>
      <c r="AR216" s="145">
        <f t="shared" si="148"/>
        <v>48103.99272</v>
      </c>
      <c r="AS216" s="145">
        <f t="shared" si="148"/>
        <v>48930.46989</v>
      </c>
      <c r="AT216" s="145">
        <f t="shared" si="148"/>
        <v>49756.94705</v>
      </c>
      <c r="AU216" s="145">
        <f t="shared" si="148"/>
        <v>50583.42421</v>
      </c>
      <c r="AV216" s="145">
        <f t="shared" si="148"/>
        <v>51409.90136</v>
      </c>
      <c r="AW216" s="145">
        <f t="shared" si="148"/>
        <v>52236.37852</v>
      </c>
      <c r="AX216" s="145">
        <f t="shared" si="148"/>
        <v>53062.85568</v>
      </c>
      <c r="AY216" s="145">
        <f t="shared" si="148"/>
        <v>53889.33284</v>
      </c>
      <c r="AZ216" s="145">
        <f t="shared" si="148"/>
        <v>54715.80999</v>
      </c>
      <c r="BA216" s="145">
        <f t="shared" si="148"/>
        <v>55542.28715</v>
      </c>
      <c r="BB216" s="145">
        <f t="shared" si="148"/>
        <v>56207.22031</v>
      </c>
      <c r="BC216" s="145">
        <f t="shared" si="148"/>
        <v>56868.4583</v>
      </c>
      <c r="BD216" s="145">
        <f t="shared" si="148"/>
        <v>57529.64087</v>
      </c>
      <c r="BE216" s="145">
        <f t="shared" si="148"/>
        <v>58190.82261</v>
      </c>
      <c r="BF216" s="145">
        <f t="shared" si="148"/>
        <v>58852.00434</v>
      </c>
      <c r="BG216" s="145">
        <f t="shared" si="148"/>
        <v>59513.18607</v>
      </c>
      <c r="BH216" s="145">
        <f t="shared" si="148"/>
        <v>60174.36779</v>
      </c>
      <c r="BI216" s="145">
        <f t="shared" si="148"/>
        <v>60835.54952</v>
      </c>
      <c r="BJ216" s="145">
        <f t="shared" si="148"/>
        <v>61496.73124</v>
      </c>
      <c r="BK216" s="145">
        <f t="shared" si="148"/>
        <v>62157.91297</v>
      </c>
      <c r="BL216" s="145">
        <f t="shared" si="148"/>
        <v>62819.09469</v>
      </c>
      <c r="BM216" s="145">
        <f t="shared" si="148"/>
        <v>63480.27642</v>
      </c>
      <c r="BN216" s="145">
        <f t="shared" si="148"/>
        <v>64012.22295</v>
      </c>
      <c r="BO216" s="145">
        <f t="shared" si="148"/>
        <v>64541.21334</v>
      </c>
      <c r="BP216" s="145">
        <f t="shared" si="148"/>
        <v>65070.1594</v>
      </c>
      <c r="BQ216" s="145">
        <f t="shared" si="148"/>
        <v>65599.10479</v>
      </c>
      <c r="BR216" s="145">
        <f t="shared" si="148"/>
        <v>66128.05017</v>
      </c>
      <c r="BS216" s="145">
        <f t="shared" si="148"/>
        <v>66656.99555</v>
      </c>
      <c r="BT216" s="145">
        <f t="shared" si="148"/>
        <v>67185.94093</v>
      </c>
      <c r="BU216" s="145">
        <f t="shared" si="148"/>
        <v>67714.88631</v>
      </c>
      <c r="BV216" s="145">
        <f t="shared" si="148"/>
        <v>68243.83169</v>
      </c>
      <c r="BW216" s="145">
        <f t="shared" si="148"/>
        <v>68772.77708</v>
      </c>
      <c r="BX216" s="145">
        <f t="shared" si="148"/>
        <v>69301.72246</v>
      </c>
      <c r="BY216" s="145">
        <f t="shared" si="148"/>
        <v>69830.66784</v>
      </c>
    </row>
    <row r="217" hidden="1" outlineLevel="1">
      <c r="A217" s="47"/>
      <c r="B217" s="47"/>
      <c r="C217" s="47"/>
      <c r="D217" s="47"/>
      <c r="E217" s="47"/>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c r="BY217" s="111"/>
    </row>
    <row r="218" hidden="1" outlineLevel="1">
      <c r="A218" s="151"/>
      <c r="B218" s="136" t="s">
        <v>144</v>
      </c>
      <c r="C218" s="151"/>
      <c r="D218" s="151"/>
      <c r="E218" s="151"/>
      <c r="F218" s="152"/>
      <c r="G218" s="152"/>
      <c r="H218" s="152"/>
      <c r="I218" s="152"/>
      <c r="J218" s="152"/>
      <c r="K218" s="152"/>
      <c r="L218" s="152"/>
      <c r="M218" s="152"/>
      <c r="N218" s="152"/>
      <c r="O218" s="152"/>
      <c r="P218" s="152"/>
      <c r="Q218" s="152"/>
      <c r="R218" s="145">
        <f t="shared" ref="R218:BY218" si="149">((R87-R88)+(R102-R103)+(R117-R118))+Q218</f>
        <v>52387.5</v>
      </c>
      <c r="S218" s="145">
        <f t="shared" si="149"/>
        <v>101210.8125</v>
      </c>
      <c r="T218" s="145">
        <f t="shared" si="149"/>
        <v>145180.6622</v>
      </c>
      <c r="U218" s="145">
        <f t="shared" si="149"/>
        <v>184277.7099</v>
      </c>
      <c r="V218" s="145">
        <f t="shared" si="149"/>
        <v>218501.6656</v>
      </c>
      <c r="W218" s="145">
        <f t="shared" si="149"/>
        <v>247852.525</v>
      </c>
      <c r="X218" s="145">
        <f t="shared" si="149"/>
        <v>272330.2879</v>
      </c>
      <c r="Y218" s="145">
        <f t="shared" si="149"/>
        <v>291934.9543</v>
      </c>
      <c r="Z218" s="145">
        <f t="shared" si="149"/>
        <v>306666.5243</v>
      </c>
      <c r="AA218" s="145">
        <f t="shared" si="149"/>
        <v>316524.9979</v>
      </c>
      <c r="AB218" s="145">
        <f t="shared" si="149"/>
        <v>321510.375</v>
      </c>
      <c r="AC218" s="145">
        <f t="shared" si="149"/>
        <v>321622.6556</v>
      </c>
      <c r="AD218" s="145">
        <f t="shared" si="149"/>
        <v>363534.3398</v>
      </c>
      <c r="AE218" s="145">
        <f t="shared" si="149"/>
        <v>402593.0151</v>
      </c>
      <c r="AF218" s="145">
        <f t="shared" si="149"/>
        <v>437768.8952</v>
      </c>
      <c r="AG218" s="145">
        <f t="shared" si="149"/>
        <v>469046.5334</v>
      </c>
      <c r="AH218" s="145">
        <f t="shared" si="149"/>
        <v>496425.698</v>
      </c>
      <c r="AI218" s="145">
        <f t="shared" si="149"/>
        <v>519906.3855</v>
      </c>
      <c r="AJ218" s="145">
        <f t="shared" si="149"/>
        <v>539488.5958</v>
      </c>
      <c r="AK218" s="145">
        <f t="shared" si="149"/>
        <v>555172.3289</v>
      </c>
      <c r="AL218" s="145">
        <f t="shared" si="149"/>
        <v>566957.5849</v>
      </c>
      <c r="AM218" s="145">
        <f t="shared" si="149"/>
        <v>574844.3638</v>
      </c>
      <c r="AN218" s="145">
        <f t="shared" si="149"/>
        <v>578832.6655</v>
      </c>
      <c r="AO218" s="145">
        <f t="shared" si="149"/>
        <v>578922.49</v>
      </c>
      <c r="AP218" s="145">
        <f t="shared" si="149"/>
        <v>612451.8373</v>
      </c>
      <c r="AQ218" s="145">
        <f t="shared" si="149"/>
        <v>643698.7776</v>
      </c>
      <c r="AR218" s="145">
        <f t="shared" si="149"/>
        <v>671839.4817</v>
      </c>
      <c r="AS218" s="145">
        <f t="shared" si="149"/>
        <v>696861.5922</v>
      </c>
      <c r="AT218" s="145">
        <f t="shared" si="149"/>
        <v>718764.9239</v>
      </c>
      <c r="AU218" s="145">
        <f t="shared" si="149"/>
        <v>737549.4739</v>
      </c>
      <c r="AV218" s="145">
        <f t="shared" si="149"/>
        <v>753215.2421</v>
      </c>
      <c r="AW218" s="145">
        <f t="shared" si="149"/>
        <v>765762.2286</v>
      </c>
      <c r="AX218" s="145">
        <f t="shared" si="149"/>
        <v>775190.4334</v>
      </c>
      <c r="AY218" s="145">
        <f t="shared" si="149"/>
        <v>781499.8565</v>
      </c>
      <c r="AZ218" s="145">
        <f t="shared" si="149"/>
        <v>784690.4978</v>
      </c>
      <c r="BA218" s="145">
        <f t="shared" si="149"/>
        <v>784762.3575</v>
      </c>
      <c r="BB218" s="145">
        <f t="shared" si="149"/>
        <v>811585.8354</v>
      </c>
      <c r="BC218" s="145">
        <f t="shared" si="149"/>
        <v>836583.3875</v>
      </c>
      <c r="BD218" s="145">
        <f t="shared" si="149"/>
        <v>859095.9508</v>
      </c>
      <c r="BE218" s="145">
        <f t="shared" si="149"/>
        <v>879113.6393</v>
      </c>
      <c r="BF218" s="145">
        <f t="shared" si="149"/>
        <v>896636.3046</v>
      </c>
      <c r="BG218" s="145">
        <f t="shared" si="149"/>
        <v>911663.9446</v>
      </c>
      <c r="BH218" s="145">
        <f t="shared" si="149"/>
        <v>924196.5592</v>
      </c>
      <c r="BI218" s="145">
        <f t="shared" si="149"/>
        <v>934234.1484</v>
      </c>
      <c r="BJ218" s="145">
        <f t="shared" si="149"/>
        <v>941776.7122</v>
      </c>
      <c r="BK218" s="145">
        <f t="shared" si="149"/>
        <v>946824.2507</v>
      </c>
      <c r="BL218" s="145">
        <f t="shared" si="149"/>
        <v>949376.7638</v>
      </c>
      <c r="BM218" s="145">
        <f t="shared" si="149"/>
        <v>949434.2515</v>
      </c>
      <c r="BN218" s="145">
        <f t="shared" si="149"/>
        <v>970893.0338</v>
      </c>
      <c r="BO218" s="145">
        <f t="shared" si="149"/>
        <v>990891.0755</v>
      </c>
      <c r="BP218" s="145">
        <f t="shared" si="149"/>
        <v>1008901.126</v>
      </c>
      <c r="BQ218" s="145">
        <f t="shared" si="149"/>
        <v>1024915.277</v>
      </c>
      <c r="BR218" s="145">
        <f t="shared" si="149"/>
        <v>1038933.409</v>
      </c>
      <c r="BS218" s="145">
        <f t="shared" si="149"/>
        <v>1050955.521</v>
      </c>
      <c r="BT218" s="145">
        <f t="shared" si="149"/>
        <v>1060981.613</v>
      </c>
      <c r="BU218" s="145">
        <f t="shared" si="149"/>
        <v>1069011.684</v>
      </c>
      <c r="BV218" s="145">
        <f t="shared" si="149"/>
        <v>1075045.735</v>
      </c>
      <c r="BW218" s="145">
        <f t="shared" si="149"/>
        <v>1079083.766</v>
      </c>
      <c r="BX218" s="145">
        <f t="shared" si="149"/>
        <v>1081125.776</v>
      </c>
      <c r="BY218" s="145">
        <f t="shared" si="149"/>
        <v>1081171.767</v>
      </c>
    </row>
    <row r="219" hidden="1" outlineLevel="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111"/>
      <c r="BP219" s="111"/>
      <c r="BQ219" s="111"/>
      <c r="BR219" s="111"/>
      <c r="BS219" s="111"/>
      <c r="BT219" s="111"/>
      <c r="BU219" s="111"/>
      <c r="BV219" s="111"/>
      <c r="BW219" s="111"/>
      <c r="BX219" s="111"/>
      <c r="BY219" s="111"/>
    </row>
    <row r="220" hidden="1" outlineLevel="1">
      <c r="A220" s="47"/>
      <c r="B220" s="140" t="s">
        <v>145</v>
      </c>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141"/>
      <c r="AG220" s="141"/>
      <c r="AH220" s="141"/>
      <c r="AI220" s="141"/>
      <c r="AJ220" s="141"/>
      <c r="AK220" s="141"/>
      <c r="AL220" s="141"/>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c r="BQ220" s="141"/>
      <c r="BR220" s="141"/>
      <c r="BS220" s="141"/>
      <c r="BT220" s="141"/>
      <c r="BU220" s="141"/>
      <c r="BV220" s="141"/>
      <c r="BW220" s="141"/>
      <c r="BX220" s="141"/>
      <c r="BY220" s="141"/>
    </row>
    <row r="221" hidden="1" outlineLevel="1">
      <c r="A221" s="47"/>
      <c r="B221" s="39"/>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111"/>
      <c r="BP221" s="111"/>
      <c r="BQ221" s="111"/>
      <c r="BR221" s="111"/>
      <c r="BS221" s="111"/>
      <c r="BT221" s="111"/>
      <c r="BU221" s="111"/>
      <c r="BV221" s="111"/>
      <c r="BW221" s="111"/>
      <c r="BX221" s="111"/>
      <c r="BY221" s="111"/>
    </row>
    <row r="222" hidden="1" outlineLevel="1">
      <c r="A222" s="47"/>
      <c r="B222" s="39" t="s">
        <v>146</v>
      </c>
      <c r="C222" s="115">
        <v>120000.0</v>
      </c>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111"/>
      <c r="BP222" s="111"/>
      <c r="BQ222" s="111"/>
      <c r="BR222" s="111"/>
      <c r="BS222" s="111"/>
      <c r="BT222" s="111"/>
      <c r="BU222" s="111"/>
      <c r="BV222" s="111"/>
      <c r="BW222" s="111"/>
      <c r="BX222" s="111"/>
      <c r="BY222" s="111"/>
    </row>
    <row r="223" hidden="1" outlineLevel="1">
      <c r="A223" s="47"/>
      <c r="B223" s="39" t="s">
        <v>147</v>
      </c>
      <c r="C223" s="119">
        <v>0.09</v>
      </c>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111"/>
      <c r="BP223" s="111"/>
      <c r="BQ223" s="111"/>
      <c r="BR223" s="111"/>
      <c r="BS223" s="111"/>
      <c r="BT223" s="111"/>
      <c r="BU223" s="111"/>
      <c r="BV223" s="111"/>
      <c r="BW223" s="111"/>
      <c r="BX223" s="111"/>
      <c r="BY223" s="111"/>
    </row>
    <row r="224" hidden="1" outlineLevel="1">
      <c r="A224" s="47"/>
      <c r="B224" s="153"/>
      <c r="C224" s="39"/>
      <c r="D224" s="39"/>
      <c r="E224" s="154"/>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row>
    <row r="225" hidden="1" outlineLevel="1">
      <c r="A225" s="47"/>
      <c r="B225" s="155" t="s">
        <v>148</v>
      </c>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c r="AC225" s="156"/>
      <c r="AD225" s="156"/>
      <c r="AE225" s="156"/>
      <c r="AF225" s="156"/>
      <c r="AG225" s="156"/>
      <c r="AH225" s="156"/>
      <c r="AI225" s="156"/>
      <c r="AJ225" s="156"/>
      <c r="AK225" s="156"/>
      <c r="AL225" s="156"/>
      <c r="AM225" s="156"/>
      <c r="AN225" s="156"/>
      <c r="AO225" s="156"/>
      <c r="AP225" s="156"/>
      <c r="AQ225" s="156"/>
      <c r="AR225" s="156"/>
      <c r="AS225" s="156"/>
      <c r="AT225" s="156"/>
      <c r="AU225" s="156"/>
      <c r="AV225" s="156"/>
      <c r="AW225" s="156"/>
      <c r="AX225" s="156"/>
      <c r="AY225" s="156"/>
      <c r="AZ225" s="156"/>
      <c r="BA225" s="156"/>
      <c r="BB225" s="156"/>
      <c r="BC225" s="156"/>
      <c r="BD225" s="156"/>
      <c r="BE225" s="156"/>
      <c r="BF225" s="156"/>
      <c r="BG225" s="156"/>
      <c r="BH225" s="156"/>
      <c r="BI225" s="156"/>
      <c r="BJ225" s="156"/>
      <c r="BK225" s="156"/>
      <c r="BL225" s="156"/>
      <c r="BM225" s="156"/>
      <c r="BN225" s="156"/>
      <c r="BO225" s="47"/>
      <c r="BP225" s="47"/>
      <c r="BQ225" s="47"/>
      <c r="BR225" s="47"/>
      <c r="BS225" s="47"/>
      <c r="BT225" s="47"/>
      <c r="BU225" s="47"/>
      <c r="BV225" s="47"/>
      <c r="BW225" s="47"/>
      <c r="BX225" s="47"/>
      <c r="BY225" s="47"/>
    </row>
    <row r="226" hidden="1" outlineLevel="1">
      <c r="A226" s="47"/>
      <c r="B226" s="67" t="s">
        <v>149</v>
      </c>
      <c r="C226" s="67" t="s">
        <v>150</v>
      </c>
      <c r="D226" s="67" t="s">
        <v>151</v>
      </c>
      <c r="E226" s="157"/>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47"/>
      <c r="BP226" s="47"/>
      <c r="BQ226" s="47"/>
      <c r="BR226" s="47"/>
      <c r="BS226" s="47"/>
      <c r="BT226" s="47"/>
      <c r="BU226" s="47"/>
      <c r="BV226" s="47"/>
      <c r="BW226" s="47"/>
      <c r="BX226" s="47"/>
      <c r="BY226" s="47"/>
    </row>
    <row r="227" hidden="1" outlineLevel="1">
      <c r="A227" s="47"/>
      <c r="B227" s="120" t="s">
        <v>152</v>
      </c>
      <c r="C227" s="68">
        <v>0.0</v>
      </c>
      <c r="D227" s="158">
        <v>44562.0</v>
      </c>
      <c r="E227" s="66"/>
      <c r="F227" s="111"/>
      <c r="G227" s="111"/>
      <c r="H227" s="111"/>
      <c r="I227" s="111"/>
      <c r="J227" s="111"/>
      <c r="K227" s="111"/>
      <c r="L227" s="111"/>
      <c r="M227" s="111"/>
      <c r="N227" s="111"/>
      <c r="O227" s="111"/>
      <c r="P227" s="111"/>
      <c r="Q227" s="111"/>
      <c r="R227" s="111">
        <f t="shared" ref="R227:BY227" si="150">IF(AND(Month(R$4)=Month($D227),Year(R$4)=Year($D227)),$C227,0)</f>
        <v>0</v>
      </c>
      <c r="S227" s="111">
        <f t="shared" si="150"/>
        <v>0</v>
      </c>
      <c r="T227" s="111">
        <f t="shared" si="150"/>
        <v>0</v>
      </c>
      <c r="U227" s="111">
        <f t="shared" si="150"/>
        <v>0</v>
      </c>
      <c r="V227" s="111">
        <f t="shared" si="150"/>
        <v>0</v>
      </c>
      <c r="W227" s="111">
        <f t="shared" si="150"/>
        <v>0</v>
      </c>
      <c r="X227" s="111">
        <f t="shared" si="150"/>
        <v>0</v>
      </c>
      <c r="Y227" s="111">
        <f t="shared" si="150"/>
        <v>0</v>
      </c>
      <c r="Z227" s="111">
        <f t="shared" si="150"/>
        <v>0</v>
      </c>
      <c r="AA227" s="111">
        <f t="shared" si="150"/>
        <v>0</v>
      </c>
      <c r="AB227" s="111">
        <f t="shared" si="150"/>
        <v>0</v>
      </c>
      <c r="AC227" s="111">
        <f t="shared" si="150"/>
        <v>0</v>
      </c>
      <c r="AD227" s="111">
        <f t="shared" si="150"/>
        <v>0</v>
      </c>
      <c r="AE227" s="111">
        <f t="shared" si="150"/>
        <v>0</v>
      </c>
      <c r="AF227" s="111">
        <f t="shared" si="150"/>
        <v>0</v>
      </c>
      <c r="AG227" s="111">
        <f t="shared" si="150"/>
        <v>0</v>
      </c>
      <c r="AH227" s="111">
        <f t="shared" si="150"/>
        <v>0</v>
      </c>
      <c r="AI227" s="111">
        <f t="shared" si="150"/>
        <v>0</v>
      </c>
      <c r="AJ227" s="111">
        <f t="shared" si="150"/>
        <v>0</v>
      </c>
      <c r="AK227" s="111">
        <f t="shared" si="150"/>
        <v>0</v>
      </c>
      <c r="AL227" s="111">
        <f t="shared" si="150"/>
        <v>0</v>
      </c>
      <c r="AM227" s="111">
        <f t="shared" si="150"/>
        <v>0</v>
      </c>
      <c r="AN227" s="111">
        <f t="shared" si="150"/>
        <v>0</v>
      </c>
      <c r="AO227" s="111">
        <f t="shared" si="150"/>
        <v>0</v>
      </c>
      <c r="AP227" s="111">
        <f t="shared" si="150"/>
        <v>0</v>
      </c>
      <c r="AQ227" s="111">
        <f t="shared" si="150"/>
        <v>0</v>
      </c>
      <c r="AR227" s="111">
        <f t="shared" si="150"/>
        <v>0</v>
      </c>
      <c r="AS227" s="111">
        <f t="shared" si="150"/>
        <v>0</v>
      </c>
      <c r="AT227" s="111">
        <f t="shared" si="150"/>
        <v>0</v>
      </c>
      <c r="AU227" s="111">
        <f t="shared" si="150"/>
        <v>0</v>
      </c>
      <c r="AV227" s="111">
        <f t="shared" si="150"/>
        <v>0</v>
      </c>
      <c r="AW227" s="111">
        <f t="shared" si="150"/>
        <v>0</v>
      </c>
      <c r="AX227" s="111">
        <f t="shared" si="150"/>
        <v>0</v>
      </c>
      <c r="AY227" s="111">
        <f t="shared" si="150"/>
        <v>0</v>
      </c>
      <c r="AZ227" s="111">
        <f t="shared" si="150"/>
        <v>0</v>
      </c>
      <c r="BA227" s="111">
        <f t="shared" si="150"/>
        <v>0</v>
      </c>
      <c r="BB227" s="111">
        <f t="shared" si="150"/>
        <v>0</v>
      </c>
      <c r="BC227" s="111">
        <f t="shared" si="150"/>
        <v>0</v>
      </c>
      <c r="BD227" s="111">
        <f t="shared" si="150"/>
        <v>0</v>
      </c>
      <c r="BE227" s="111">
        <f t="shared" si="150"/>
        <v>0</v>
      </c>
      <c r="BF227" s="111">
        <f t="shared" si="150"/>
        <v>0</v>
      </c>
      <c r="BG227" s="111">
        <f t="shared" si="150"/>
        <v>0</v>
      </c>
      <c r="BH227" s="111">
        <f t="shared" si="150"/>
        <v>0</v>
      </c>
      <c r="BI227" s="111">
        <f t="shared" si="150"/>
        <v>0</v>
      </c>
      <c r="BJ227" s="111">
        <f t="shared" si="150"/>
        <v>0</v>
      </c>
      <c r="BK227" s="111">
        <f t="shared" si="150"/>
        <v>0</v>
      </c>
      <c r="BL227" s="111">
        <f t="shared" si="150"/>
        <v>0</v>
      </c>
      <c r="BM227" s="111">
        <f t="shared" si="150"/>
        <v>0</v>
      </c>
      <c r="BN227" s="111">
        <f t="shared" si="150"/>
        <v>0</v>
      </c>
      <c r="BO227" s="111">
        <f t="shared" si="150"/>
        <v>0</v>
      </c>
      <c r="BP227" s="111">
        <f t="shared" si="150"/>
        <v>0</v>
      </c>
      <c r="BQ227" s="111">
        <f t="shared" si="150"/>
        <v>0</v>
      </c>
      <c r="BR227" s="111">
        <f t="shared" si="150"/>
        <v>0</v>
      </c>
      <c r="BS227" s="111">
        <f t="shared" si="150"/>
        <v>0</v>
      </c>
      <c r="BT227" s="111">
        <f t="shared" si="150"/>
        <v>0</v>
      </c>
      <c r="BU227" s="111">
        <f t="shared" si="150"/>
        <v>0</v>
      </c>
      <c r="BV227" s="111">
        <f t="shared" si="150"/>
        <v>0</v>
      </c>
      <c r="BW227" s="111">
        <f t="shared" si="150"/>
        <v>0</v>
      </c>
      <c r="BX227" s="111">
        <f t="shared" si="150"/>
        <v>0</v>
      </c>
      <c r="BY227" s="111">
        <f t="shared" si="150"/>
        <v>0</v>
      </c>
    </row>
    <row r="228" hidden="1" outlineLevel="1">
      <c r="A228" s="47"/>
      <c r="B228" s="120" t="s">
        <v>153</v>
      </c>
      <c r="C228" s="68">
        <v>0.0</v>
      </c>
      <c r="D228" s="158"/>
      <c r="E228" s="66"/>
      <c r="F228" s="111"/>
      <c r="G228" s="111"/>
      <c r="H228" s="111"/>
      <c r="I228" s="111"/>
      <c r="J228" s="111"/>
      <c r="K228" s="111"/>
      <c r="L228" s="111"/>
      <c r="M228" s="111"/>
      <c r="N228" s="111"/>
      <c r="O228" s="111"/>
      <c r="P228" s="111"/>
      <c r="Q228" s="111"/>
      <c r="R228" s="111">
        <f t="shared" ref="R228:BY228" si="151">IF(AND(Month(R$4)=Month($D228),Year(R$4)=Year($D228)),$C228,0)</f>
        <v>0</v>
      </c>
      <c r="S228" s="111">
        <f t="shared" si="151"/>
        <v>0</v>
      </c>
      <c r="T228" s="111">
        <f t="shared" si="151"/>
        <v>0</v>
      </c>
      <c r="U228" s="111">
        <f t="shared" si="151"/>
        <v>0</v>
      </c>
      <c r="V228" s="111">
        <f t="shared" si="151"/>
        <v>0</v>
      </c>
      <c r="W228" s="111">
        <f t="shared" si="151"/>
        <v>0</v>
      </c>
      <c r="X228" s="111">
        <f t="shared" si="151"/>
        <v>0</v>
      </c>
      <c r="Y228" s="111">
        <f t="shared" si="151"/>
        <v>0</v>
      </c>
      <c r="Z228" s="111">
        <f t="shared" si="151"/>
        <v>0</v>
      </c>
      <c r="AA228" s="111">
        <f t="shared" si="151"/>
        <v>0</v>
      </c>
      <c r="AB228" s="111">
        <f t="shared" si="151"/>
        <v>0</v>
      </c>
      <c r="AC228" s="111">
        <f t="shared" si="151"/>
        <v>0</v>
      </c>
      <c r="AD228" s="111">
        <f t="shared" si="151"/>
        <v>0</v>
      </c>
      <c r="AE228" s="111">
        <f t="shared" si="151"/>
        <v>0</v>
      </c>
      <c r="AF228" s="111">
        <f t="shared" si="151"/>
        <v>0</v>
      </c>
      <c r="AG228" s="111">
        <f t="shared" si="151"/>
        <v>0</v>
      </c>
      <c r="AH228" s="111">
        <f t="shared" si="151"/>
        <v>0</v>
      </c>
      <c r="AI228" s="111">
        <f t="shared" si="151"/>
        <v>0</v>
      </c>
      <c r="AJ228" s="111">
        <f t="shared" si="151"/>
        <v>0</v>
      </c>
      <c r="AK228" s="111">
        <f t="shared" si="151"/>
        <v>0</v>
      </c>
      <c r="AL228" s="111">
        <f t="shared" si="151"/>
        <v>0</v>
      </c>
      <c r="AM228" s="111">
        <f t="shared" si="151"/>
        <v>0</v>
      </c>
      <c r="AN228" s="111">
        <f t="shared" si="151"/>
        <v>0</v>
      </c>
      <c r="AO228" s="111">
        <f t="shared" si="151"/>
        <v>0</v>
      </c>
      <c r="AP228" s="111">
        <f t="shared" si="151"/>
        <v>0</v>
      </c>
      <c r="AQ228" s="111">
        <f t="shared" si="151"/>
        <v>0</v>
      </c>
      <c r="AR228" s="111">
        <f t="shared" si="151"/>
        <v>0</v>
      </c>
      <c r="AS228" s="111">
        <f t="shared" si="151"/>
        <v>0</v>
      </c>
      <c r="AT228" s="111">
        <f t="shared" si="151"/>
        <v>0</v>
      </c>
      <c r="AU228" s="111">
        <f t="shared" si="151"/>
        <v>0</v>
      </c>
      <c r="AV228" s="111">
        <f t="shared" si="151"/>
        <v>0</v>
      </c>
      <c r="AW228" s="111">
        <f t="shared" si="151"/>
        <v>0</v>
      </c>
      <c r="AX228" s="111">
        <f t="shared" si="151"/>
        <v>0</v>
      </c>
      <c r="AY228" s="111">
        <f t="shared" si="151"/>
        <v>0</v>
      </c>
      <c r="AZ228" s="111">
        <f t="shared" si="151"/>
        <v>0</v>
      </c>
      <c r="BA228" s="111">
        <f t="shared" si="151"/>
        <v>0</v>
      </c>
      <c r="BB228" s="111">
        <f t="shared" si="151"/>
        <v>0</v>
      </c>
      <c r="BC228" s="111">
        <f t="shared" si="151"/>
        <v>0</v>
      </c>
      <c r="BD228" s="111">
        <f t="shared" si="151"/>
        <v>0</v>
      </c>
      <c r="BE228" s="111">
        <f t="shared" si="151"/>
        <v>0</v>
      </c>
      <c r="BF228" s="111">
        <f t="shared" si="151"/>
        <v>0</v>
      </c>
      <c r="BG228" s="111">
        <f t="shared" si="151"/>
        <v>0</v>
      </c>
      <c r="BH228" s="111">
        <f t="shared" si="151"/>
        <v>0</v>
      </c>
      <c r="BI228" s="111">
        <f t="shared" si="151"/>
        <v>0</v>
      </c>
      <c r="BJ228" s="111">
        <f t="shared" si="151"/>
        <v>0</v>
      </c>
      <c r="BK228" s="111">
        <f t="shared" si="151"/>
        <v>0</v>
      </c>
      <c r="BL228" s="111">
        <f t="shared" si="151"/>
        <v>0</v>
      </c>
      <c r="BM228" s="111">
        <f t="shared" si="151"/>
        <v>0</v>
      </c>
      <c r="BN228" s="111">
        <f t="shared" si="151"/>
        <v>0</v>
      </c>
      <c r="BO228" s="111">
        <f t="shared" si="151"/>
        <v>0</v>
      </c>
      <c r="BP228" s="111">
        <f t="shared" si="151"/>
        <v>0</v>
      </c>
      <c r="BQ228" s="111">
        <f t="shared" si="151"/>
        <v>0</v>
      </c>
      <c r="BR228" s="111">
        <f t="shared" si="151"/>
        <v>0</v>
      </c>
      <c r="BS228" s="111">
        <f t="shared" si="151"/>
        <v>0</v>
      </c>
      <c r="BT228" s="111">
        <f t="shared" si="151"/>
        <v>0</v>
      </c>
      <c r="BU228" s="111">
        <f t="shared" si="151"/>
        <v>0</v>
      </c>
      <c r="BV228" s="111">
        <f t="shared" si="151"/>
        <v>0</v>
      </c>
      <c r="BW228" s="111">
        <f t="shared" si="151"/>
        <v>0</v>
      </c>
      <c r="BX228" s="111">
        <f t="shared" si="151"/>
        <v>0</v>
      </c>
      <c r="BY228" s="111">
        <f t="shared" si="151"/>
        <v>0</v>
      </c>
    </row>
    <row r="229" hidden="1" outlineLevel="1">
      <c r="A229" s="47"/>
      <c r="B229" s="120" t="s">
        <v>154</v>
      </c>
      <c r="C229" s="68">
        <v>0.0</v>
      </c>
      <c r="D229" s="158"/>
      <c r="E229" s="66"/>
      <c r="F229" s="111"/>
      <c r="G229" s="111"/>
      <c r="H229" s="111"/>
      <c r="I229" s="111"/>
      <c r="J229" s="111"/>
      <c r="K229" s="111"/>
      <c r="L229" s="111"/>
      <c r="M229" s="111"/>
      <c r="N229" s="111"/>
      <c r="O229" s="111"/>
      <c r="P229" s="111"/>
      <c r="Q229" s="111"/>
      <c r="R229" s="111">
        <f t="shared" ref="R229:BY229" si="152">IF(AND(Month(R$4)=Month($D229),Year(R$4)=Year($D229)),$C229,0)</f>
        <v>0</v>
      </c>
      <c r="S229" s="111">
        <f t="shared" si="152"/>
        <v>0</v>
      </c>
      <c r="T229" s="111">
        <f t="shared" si="152"/>
        <v>0</v>
      </c>
      <c r="U229" s="111">
        <f t="shared" si="152"/>
        <v>0</v>
      </c>
      <c r="V229" s="111">
        <f t="shared" si="152"/>
        <v>0</v>
      </c>
      <c r="W229" s="111">
        <f t="shared" si="152"/>
        <v>0</v>
      </c>
      <c r="X229" s="111">
        <f t="shared" si="152"/>
        <v>0</v>
      </c>
      <c r="Y229" s="111">
        <f t="shared" si="152"/>
        <v>0</v>
      </c>
      <c r="Z229" s="111">
        <f t="shared" si="152"/>
        <v>0</v>
      </c>
      <c r="AA229" s="111">
        <f t="shared" si="152"/>
        <v>0</v>
      </c>
      <c r="AB229" s="111">
        <f t="shared" si="152"/>
        <v>0</v>
      </c>
      <c r="AC229" s="111">
        <f t="shared" si="152"/>
        <v>0</v>
      </c>
      <c r="AD229" s="111">
        <f t="shared" si="152"/>
        <v>0</v>
      </c>
      <c r="AE229" s="111">
        <f t="shared" si="152"/>
        <v>0</v>
      </c>
      <c r="AF229" s="111">
        <f t="shared" si="152"/>
        <v>0</v>
      </c>
      <c r="AG229" s="111">
        <f t="shared" si="152"/>
        <v>0</v>
      </c>
      <c r="AH229" s="111">
        <f t="shared" si="152"/>
        <v>0</v>
      </c>
      <c r="AI229" s="111">
        <f t="shared" si="152"/>
        <v>0</v>
      </c>
      <c r="AJ229" s="111">
        <f t="shared" si="152"/>
        <v>0</v>
      </c>
      <c r="AK229" s="111">
        <f t="shared" si="152"/>
        <v>0</v>
      </c>
      <c r="AL229" s="111">
        <f t="shared" si="152"/>
        <v>0</v>
      </c>
      <c r="AM229" s="111">
        <f t="shared" si="152"/>
        <v>0</v>
      </c>
      <c r="AN229" s="111">
        <f t="shared" si="152"/>
        <v>0</v>
      </c>
      <c r="AO229" s="111">
        <f t="shared" si="152"/>
        <v>0</v>
      </c>
      <c r="AP229" s="111">
        <f t="shared" si="152"/>
        <v>0</v>
      </c>
      <c r="AQ229" s="111">
        <f t="shared" si="152"/>
        <v>0</v>
      </c>
      <c r="AR229" s="111">
        <f t="shared" si="152"/>
        <v>0</v>
      </c>
      <c r="AS229" s="111">
        <f t="shared" si="152"/>
        <v>0</v>
      </c>
      <c r="AT229" s="111">
        <f t="shared" si="152"/>
        <v>0</v>
      </c>
      <c r="AU229" s="111">
        <f t="shared" si="152"/>
        <v>0</v>
      </c>
      <c r="AV229" s="111">
        <f t="shared" si="152"/>
        <v>0</v>
      </c>
      <c r="AW229" s="111">
        <f t="shared" si="152"/>
        <v>0</v>
      </c>
      <c r="AX229" s="111">
        <f t="shared" si="152"/>
        <v>0</v>
      </c>
      <c r="AY229" s="111">
        <f t="shared" si="152"/>
        <v>0</v>
      </c>
      <c r="AZ229" s="111">
        <f t="shared" si="152"/>
        <v>0</v>
      </c>
      <c r="BA229" s="111">
        <f t="shared" si="152"/>
        <v>0</v>
      </c>
      <c r="BB229" s="111">
        <f t="shared" si="152"/>
        <v>0</v>
      </c>
      <c r="BC229" s="111">
        <f t="shared" si="152"/>
        <v>0</v>
      </c>
      <c r="BD229" s="111">
        <f t="shared" si="152"/>
        <v>0</v>
      </c>
      <c r="BE229" s="111">
        <f t="shared" si="152"/>
        <v>0</v>
      </c>
      <c r="BF229" s="111">
        <f t="shared" si="152"/>
        <v>0</v>
      </c>
      <c r="BG229" s="111">
        <f t="shared" si="152"/>
        <v>0</v>
      </c>
      <c r="BH229" s="111">
        <f t="shared" si="152"/>
        <v>0</v>
      </c>
      <c r="BI229" s="111">
        <f t="shared" si="152"/>
        <v>0</v>
      </c>
      <c r="BJ229" s="111">
        <f t="shared" si="152"/>
        <v>0</v>
      </c>
      <c r="BK229" s="111">
        <f t="shared" si="152"/>
        <v>0</v>
      </c>
      <c r="BL229" s="111">
        <f t="shared" si="152"/>
        <v>0</v>
      </c>
      <c r="BM229" s="111">
        <f t="shared" si="152"/>
        <v>0</v>
      </c>
      <c r="BN229" s="111">
        <f t="shared" si="152"/>
        <v>0</v>
      </c>
      <c r="BO229" s="111">
        <f t="shared" si="152"/>
        <v>0</v>
      </c>
      <c r="BP229" s="111">
        <f t="shared" si="152"/>
        <v>0</v>
      </c>
      <c r="BQ229" s="111">
        <f t="shared" si="152"/>
        <v>0</v>
      </c>
      <c r="BR229" s="111">
        <f t="shared" si="152"/>
        <v>0</v>
      </c>
      <c r="BS229" s="111">
        <f t="shared" si="152"/>
        <v>0</v>
      </c>
      <c r="BT229" s="111">
        <f t="shared" si="152"/>
        <v>0</v>
      </c>
      <c r="BU229" s="111">
        <f t="shared" si="152"/>
        <v>0</v>
      </c>
      <c r="BV229" s="111">
        <f t="shared" si="152"/>
        <v>0</v>
      </c>
      <c r="BW229" s="111">
        <f t="shared" si="152"/>
        <v>0</v>
      </c>
      <c r="BX229" s="111">
        <f t="shared" si="152"/>
        <v>0</v>
      </c>
      <c r="BY229" s="111">
        <f t="shared" si="152"/>
        <v>0</v>
      </c>
    </row>
    <row r="230" hidden="1" outlineLevel="1">
      <c r="A230" s="47"/>
      <c r="B230" s="120" t="s">
        <v>154</v>
      </c>
      <c r="C230" s="68">
        <v>0.0</v>
      </c>
      <c r="D230" s="158"/>
      <c r="E230" s="66"/>
      <c r="F230" s="111"/>
      <c r="G230" s="111"/>
      <c r="H230" s="111"/>
      <c r="I230" s="111"/>
      <c r="J230" s="111"/>
      <c r="K230" s="111"/>
      <c r="L230" s="111"/>
      <c r="M230" s="111"/>
      <c r="N230" s="111"/>
      <c r="O230" s="111"/>
      <c r="P230" s="111"/>
      <c r="Q230" s="111"/>
      <c r="R230" s="111">
        <f t="shared" ref="R230:BY230" si="153">IF(AND(Month(R$4)=Month($D230),Year(R$4)=Year($D230)),$C230,0)</f>
        <v>0</v>
      </c>
      <c r="S230" s="111">
        <f t="shared" si="153"/>
        <v>0</v>
      </c>
      <c r="T230" s="111">
        <f t="shared" si="153"/>
        <v>0</v>
      </c>
      <c r="U230" s="111">
        <f t="shared" si="153"/>
        <v>0</v>
      </c>
      <c r="V230" s="111">
        <f t="shared" si="153"/>
        <v>0</v>
      </c>
      <c r="W230" s="111">
        <f t="shared" si="153"/>
        <v>0</v>
      </c>
      <c r="X230" s="111">
        <f t="shared" si="153"/>
        <v>0</v>
      </c>
      <c r="Y230" s="111">
        <f t="shared" si="153"/>
        <v>0</v>
      </c>
      <c r="Z230" s="111">
        <f t="shared" si="153"/>
        <v>0</v>
      </c>
      <c r="AA230" s="111">
        <f t="shared" si="153"/>
        <v>0</v>
      </c>
      <c r="AB230" s="111">
        <f t="shared" si="153"/>
        <v>0</v>
      </c>
      <c r="AC230" s="111">
        <f t="shared" si="153"/>
        <v>0</v>
      </c>
      <c r="AD230" s="111">
        <f t="shared" si="153"/>
        <v>0</v>
      </c>
      <c r="AE230" s="111">
        <f t="shared" si="153"/>
        <v>0</v>
      </c>
      <c r="AF230" s="111">
        <f t="shared" si="153"/>
        <v>0</v>
      </c>
      <c r="AG230" s="111">
        <f t="shared" si="153"/>
        <v>0</v>
      </c>
      <c r="AH230" s="111">
        <f t="shared" si="153"/>
        <v>0</v>
      </c>
      <c r="AI230" s="111">
        <f t="shared" si="153"/>
        <v>0</v>
      </c>
      <c r="AJ230" s="111">
        <f t="shared" si="153"/>
        <v>0</v>
      </c>
      <c r="AK230" s="111">
        <f t="shared" si="153"/>
        <v>0</v>
      </c>
      <c r="AL230" s="111">
        <f t="shared" si="153"/>
        <v>0</v>
      </c>
      <c r="AM230" s="111">
        <f t="shared" si="153"/>
        <v>0</v>
      </c>
      <c r="AN230" s="111">
        <f t="shared" si="153"/>
        <v>0</v>
      </c>
      <c r="AO230" s="111">
        <f t="shared" si="153"/>
        <v>0</v>
      </c>
      <c r="AP230" s="111">
        <f t="shared" si="153"/>
        <v>0</v>
      </c>
      <c r="AQ230" s="111">
        <f t="shared" si="153"/>
        <v>0</v>
      </c>
      <c r="AR230" s="111">
        <f t="shared" si="153"/>
        <v>0</v>
      </c>
      <c r="AS230" s="111">
        <f t="shared" si="153"/>
        <v>0</v>
      </c>
      <c r="AT230" s="111">
        <f t="shared" si="153"/>
        <v>0</v>
      </c>
      <c r="AU230" s="111">
        <f t="shared" si="153"/>
        <v>0</v>
      </c>
      <c r="AV230" s="111">
        <f t="shared" si="153"/>
        <v>0</v>
      </c>
      <c r="AW230" s="111">
        <f t="shared" si="153"/>
        <v>0</v>
      </c>
      <c r="AX230" s="111">
        <f t="shared" si="153"/>
        <v>0</v>
      </c>
      <c r="AY230" s="111">
        <f t="shared" si="153"/>
        <v>0</v>
      </c>
      <c r="AZ230" s="111">
        <f t="shared" si="153"/>
        <v>0</v>
      </c>
      <c r="BA230" s="111">
        <f t="shared" si="153"/>
        <v>0</v>
      </c>
      <c r="BB230" s="111">
        <f t="shared" si="153"/>
        <v>0</v>
      </c>
      <c r="BC230" s="111">
        <f t="shared" si="153"/>
        <v>0</v>
      </c>
      <c r="BD230" s="111">
        <f t="shared" si="153"/>
        <v>0</v>
      </c>
      <c r="BE230" s="111">
        <f t="shared" si="153"/>
        <v>0</v>
      </c>
      <c r="BF230" s="111">
        <f t="shared" si="153"/>
        <v>0</v>
      </c>
      <c r="BG230" s="111">
        <f t="shared" si="153"/>
        <v>0</v>
      </c>
      <c r="BH230" s="111">
        <f t="shared" si="153"/>
        <v>0</v>
      </c>
      <c r="BI230" s="111">
        <f t="shared" si="153"/>
        <v>0</v>
      </c>
      <c r="BJ230" s="111">
        <f t="shared" si="153"/>
        <v>0</v>
      </c>
      <c r="BK230" s="111">
        <f t="shared" si="153"/>
        <v>0</v>
      </c>
      <c r="BL230" s="111">
        <f t="shared" si="153"/>
        <v>0</v>
      </c>
      <c r="BM230" s="111">
        <f t="shared" si="153"/>
        <v>0</v>
      </c>
      <c r="BN230" s="111">
        <f t="shared" si="153"/>
        <v>0</v>
      </c>
      <c r="BO230" s="111">
        <f t="shared" si="153"/>
        <v>0</v>
      </c>
      <c r="BP230" s="111">
        <f t="shared" si="153"/>
        <v>0</v>
      </c>
      <c r="BQ230" s="111">
        <f t="shared" si="153"/>
        <v>0</v>
      </c>
      <c r="BR230" s="111">
        <f t="shared" si="153"/>
        <v>0</v>
      </c>
      <c r="BS230" s="111">
        <f t="shared" si="153"/>
        <v>0</v>
      </c>
      <c r="BT230" s="111">
        <f t="shared" si="153"/>
        <v>0</v>
      </c>
      <c r="BU230" s="111">
        <f t="shared" si="153"/>
        <v>0</v>
      </c>
      <c r="BV230" s="111">
        <f t="shared" si="153"/>
        <v>0</v>
      </c>
      <c r="BW230" s="111">
        <f t="shared" si="153"/>
        <v>0</v>
      </c>
      <c r="BX230" s="111">
        <f t="shared" si="153"/>
        <v>0</v>
      </c>
      <c r="BY230" s="111">
        <f t="shared" si="153"/>
        <v>0</v>
      </c>
    </row>
    <row r="231" hidden="1" outlineLevel="1">
      <c r="A231" s="47"/>
      <c r="B231" s="47"/>
      <c r="C231" s="47"/>
      <c r="D231" s="47"/>
      <c r="E231" s="47"/>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c r="BY231" s="111"/>
    </row>
    <row r="232" hidden="1" outlineLevel="1">
      <c r="A232" s="47"/>
      <c r="B232" s="65" t="s">
        <v>148</v>
      </c>
      <c r="C232" s="81"/>
      <c r="D232" s="81"/>
      <c r="E232" s="81"/>
      <c r="F232" s="145"/>
      <c r="G232" s="145"/>
      <c r="H232" s="145"/>
      <c r="I232" s="145"/>
      <c r="J232" s="145"/>
      <c r="K232" s="145"/>
      <c r="L232" s="145"/>
      <c r="M232" s="145"/>
      <c r="N232" s="145"/>
      <c r="O232" s="145"/>
      <c r="P232" s="145"/>
      <c r="Q232" s="145"/>
      <c r="R232" s="145">
        <f>SUM(R227:R230)</f>
        <v>0</v>
      </c>
      <c r="S232" s="145">
        <f t="shared" ref="S232:BY232" si="154">R232+sum(S227:S230)</f>
        <v>0</v>
      </c>
      <c r="T232" s="145">
        <f t="shared" si="154"/>
        <v>0</v>
      </c>
      <c r="U232" s="145">
        <f t="shared" si="154"/>
        <v>0</v>
      </c>
      <c r="V232" s="145">
        <f t="shared" si="154"/>
        <v>0</v>
      </c>
      <c r="W232" s="145">
        <f t="shared" si="154"/>
        <v>0</v>
      </c>
      <c r="X232" s="145">
        <f t="shared" si="154"/>
        <v>0</v>
      </c>
      <c r="Y232" s="145">
        <f t="shared" si="154"/>
        <v>0</v>
      </c>
      <c r="Z232" s="145">
        <f t="shared" si="154"/>
        <v>0</v>
      </c>
      <c r="AA232" s="145">
        <f t="shared" si="154"/>
        <v>0</v>
      </c>
      <c r="AB232" s="145">
        <f t="shared" si="154"/>
        <v>0</v>
      </c>
      <c r="AC232" s="145">
        <f t="shared" si="154"/>
        <v>0</v>
      </c>
      <c r="AD232" s="145">
        <f t="shared" si="154"/>
        <v>0</v>
      </c>
      <c r="AE232" s="145">
        <f t="shared" si="154"/>
        <v>0</v>
      </c>
      <c r="AF232" s="145">
        <f t="shared" si="154"/>
        <v>0</v>
      </c>
      <c r="AG232" s="145">
        <f t="shared" si="154"/>
        <v>0</v>
      </c>
      <c r="AH232" s="145">
        <f t="shared" si="154"/>
        <v>0</v>
      </c>
      <c r="AI232" s="145">
        <f t="shared" si="154"/>
        <v>0</v>
      </c>
      <c r="AJ232" s="145">
        <f t="shared" si="154"/>
        <v>0</v>
      </c>
      <c r="AK232" s="145">
        <f t="shared" si="154"/>
        <v>0</v>
      </c>
      <c r="AL232" s="145">
        <f t="shared" si="154"/>
        <v>0</v>
      </c>
      <c r="AM232" s="145">
        <f t="shared" si="154"/>
        <v>0</v>
      </c>
      <c r="AN232" s="145">
        <f t="shared" si="154"/>
        <v>0</v>
      </c>
      <c r="AO232" s="145">
        <f t="shared" si="154"/>
        <v>0</v>
      </c>
      <c r="AP232" s="145">
        <f t="shared" si="154"/>
        <v>0</v>
      </c>
      <c r="AQ232" s="145">
        <f t="shared" si="154"/>
        <v>0</v>
      </c>
      <c r="AR232" s="145">
        <f t="shared" si="154"/>
        <v>0</v>
      </c>
      <c r="AS232" s="145">
        <f t="shared" si="154"/>
        <v>0</v>
      </c>
      <c r="AT232" s="145">
        <f t="shared" si="154"/>
        <v>0</v>
      </c>
      <c r="AU232" s="145">
        <f t="shared" si="154"/>
        <v>0</v>
      </c>
      <c r="AV232" s="145">
        <f t="shared" si="154"/>
        <v>0</v>
      </c>
      <c r="AW232" s="145">
        <f t="shared" si="154"/>
        <v>0</v>
      </c>
      <c r="AX232" s="145">
        <f t="shared" si="154"/>
        <v>0</v>
      </c>
      <c r="AY232" s="145">
        <f t="shared" si="154"/>
        <v>0</v>
      </c>
      <c r="AZ232" s="145">
        <f t="shared" si="154"/>
        <v>0</v>
      </c>
      <c r="BA232" s="145">
        <f t="shared" si="154"/>
        <v>0</v>
      </c>
      <c r="BB232" s="145">
        <f t="shared" si="154"/>
        <v>0</v>
      </c>
      <c r="BC232" s="145">
        <f t="shared" si="154"/>
        <v>0</v>
      </c>
      <c r="BD232" s="145">
        <f t="shared" si="154"/>
        <v>0</v>
      </c>
      <c r="BE232" s="145">
        <f t="shared" si="154"/>
        <v>0</v>
      </c>
      <c r="BF232" s="145">
        <f t="shared" si="154"/>
        <v>0</v>
      </c>
      <c r="BG232" s="145">
        <f t="shared" si="154"/>
        <v>0</v>
      </c>
      <c r="BH232" s="145">
        <f t="shared" si="154"/>
        <v>0</v>
      </c>
      <c r="BI232" s="145">
        <f t="shared" si="154"/>
        <v>0</v>
      </c>
      <c r="BJ232" s="145">
        <f t="shared" si="154"/>
        <v>0</v>
      </c>
      <c r="BK232" s="145">
        <f t="shared" si="154"/>
        <v>0</v>
      </c>
      <c r="BL232" s="145">
        <f t="shared" si="154"/>
        <v>0</v>
      </c>
      <c r="BM232" s="145">
        <f t="shared" si="154"/>
        <v>0</v>
      </c>
      <c r="BN232" s="145">
        <f t="shared" si="154"/>
        <v>0</v>
      </c>
      <c r="BO232" s="145">
        <f t="shared" si="154"/>
        <v>0</v>
      </c>
      <c r="BP232" s="145">
        <f t="shared" si="154"/>
        <v>0</v>
      </c>
      <c r="BQ232" s="145">
        <f t="shared" si="154"/>
        <v>0</v>
      </c>
      <c r="BR232" s="145">
        <f t="shared" si="154"/>
        <v>0</v>
      </c>
      <c r="BS232" s="145">
        <f t="shared" si="154"/>
        <v>0</v>
      </c>
      <c r="BT232" s="145">
        <f t="shared" si="154"/>
        <v>0</v>
      </c>
      <c r="BU232" s="145">
        <f t="shared" si="154"/>
        <v>0</v>
      </c>
      <c r="BV232" s="145">
        <f t="shared" si="154"/>
        <v>0</v>
      </c>
      <c r="BW232" s="145">
        <f t="shared" si="154"/>
        <v>0</v>
      </c>
      <c r="BX232" s="145">
        <f t="shared" si="154"/>
        <v>0</v>
      </c>
      <c r="BY232" s="145">
        <f t="shared" si="154"/>
        <v>0</v>
      </c>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c r="BP555" s="43"/>
      <c r="BQ555" s="43"/>
      <c r="BR555" s="43"/>
      <c r="BS555" s="43"/>
      <c r="BT555" s="43"/>
      <c r="BU555" s="43"/>
      <c r="BV555" s="43"/>
      <c r="BW555" s="43"/>
      <c r="BX555" s="43"/>
      <c r="BY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c r="BP561" s="43"/>
      <c r="BQ561" s="43"/>
      <c r="BR561" s="43"/>
      <c r="BS561" s="43"/>
      <c r="BT561" s="43"/>
      <c r="BU561" s="43"/>
      <c r="BV561" s="43"/>
      <c r="BW561" s="43"/>
      <c r="BX561" s="43"/>
      <c r="BY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3"/>
      <c r="BV569" s="43"/>
      <c r="BW569" s="43"/>
      <c r="BX569" s="43"/>
      <c r="BY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3"/>
      <c r="BV601" s="43"/>
      <c r="BW601" s="43"/>
      <c r="BX601" s="43"/>
      <c r="BY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c r="BP748" s="43"/>
      <c r="BQ748" s="43"/>
      <c r="BR748" s="43"/>
      <c r="BS748" s="43"/>
      <c r="BT748" s="43"/>
      <c r="BU748" s="43"/>
      <c r="BV748" s="43"/>
      <c r="BW748" s="43"/>
      <c r="BX748" s="43"/>
      <c r="BY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c r="BP750" s="43"/>
      <c r="BQ750" s="43"/>
      <c r="BR750" s="43"/>
      <c r="BS750" s="43"/>
      <c r="BT750" s="43"/>
      <c r="BU750" s="43"/>
      <c r="BV750" s="43"/>
      <c r="BW750" s="43"/>
      <c r="BX750" s="43"/>
      <c r="BY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3"/>
      <c r="BY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c r="BP754" s="43"/>
      <c r="BQ754" s="43"/>
      <c r="BR754" s="43"/>
      <c r="BS754" s="43"/>
      <c r="BT754" s="43"/>
      <c r="BU754" s="43"/>
      <c r="BV754" s="43"/>
      <c r="BW754" s="43"/>
      <c r="BX754" s="43"/>
      <c r="BY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c r="BP755" s="43"/>
      <c r="BQ755" s="43"/>
      <c r="BR755" s="43"/>
      <c r="BS755" s="43"/>
      <c r="BT755" s="43"/>
      <c r="BU755" s="43"/>
      <c r="BV755" s="43"/>
      <c r="BW755" s="43"/>
      <c r="BX755" s="43"/>
      <c r="BY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c r="BP756" s="43"/>
      <c r="BQ756" s="43"/>
      <c r="BR756" s="43"/>
      <c r="BS756" s="43"/>
      <c r="BT756" s="43"/>
      <c r="BU756" s="43"/>
      <c r="BV756" s="43"/>
      <c r="BW756" s="43"/>
      <c r="BX756" s="43"/>
      <c r="BY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c r="BP757" s="43"/>
      <c r="BQ757" s="43"/>
      <c r="BR757" s="43"/>
      <c r="BS757" s="43"/>
      <c r="BT757" s="43"/>
      <c r="BU757" s="43"/>
      <c r="BV757" s="43"/>
      <c r="BW757" s="43"/>
      <c r="BX757" s="43"/>
      <c r="BY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c r="BP758" s="43"/>
      <c r="BQ758" s="43"/>
      <c r="BR758" s="43"/>
      <c r="BS758" s="43"/>
      <c r="BT758" s="43"/>
      <c r="BU758" s="43"/>
      <c r="BV758" s="43"/>
      <c r="BW758" s="43"/>
      <c r="BX758" s="43"/>
      <c r="BY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c r="BP760" s="43"/>
      <c r="BQ760" s="43"/>
      <c r="BR760" s="43"/>
      <c r="BS760" s="43"/>
      <c r="BT760" s="43"/>
      <c r="BU760" s="43"/>
      <c r="BV760" s="43"/>
      <c r="BW760" s="43"/>
      <c r="BX760" s="43"/>
      <c r="BY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c r="BP762" s="43"/>
      <c r="BQ762" s="43"/>
      <c r="BR762" s="43"/>
      <c r="BS762" s="43"/>
      <c r="BT762" s="43"/>
      <c r="BU762" s="43"/>
      <c r="BV762" s="43"/>
      <c r="BW762" s="43"/>
      <c r="BX762" s="43"/>
      <c r="BY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3"/>
      <c r="BY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c r="BP765" s="43"/>
      <c r="BQ765" s="43"/>
      <c r="BR765" s="43"/>
      <c r="BS765" s="43"/>
      <c r="BT765" s="43"/>
      <c r="BU765" s="43"/>
      <c r="BV765" s="43"/>
      <c r="BW765" s="43"/>
      <c r="BX765" s="43"/>
      <c r="BY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c r="BP767" s="43"/>
      <c r="BQ767" s="43"/>
      <c r="BR767" s="43"/>
      <c r="BS767" s="43"/>
      <c r="BT767" s="43"/>
      <c r="BU767" s="43"/>
      <c r="BV767" s="43"/>
      <c r="BW767" s="43"/>
      <c r="BX767" s="43"/>
      <c r="BY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c r="BP769" s="43"/>
      <c r="BQ769" s="43"/>
      <c r="BR769" s="43"/>
      <c r="BS769" s="43"/>
      <c r="BT769" s="43"/>
      <c r="BU769" s="43"/>
      <c r="BV769" s="43"/>
      <c r="BW769" s="43"/>
      <c r="BX769" s="43"/>
      <c r="BY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c r="BP771" s="43"/>
      <c r="BQ771" s="43"/>
      <c r="BR771" s="43"/>
      <c r="BS771" s="43"/>
      <c r="BT771" s="43"/>
      <c r="BU771" s="43"/>
      <c r="BV771" s="43"/>
      <c r="BW771" s="43"/>
      <c r="BX771" s="43"/>
      <c r="BY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c r="BP773" s="43"/>
      <c r="BQ773" s="43"/>
      <c r="BR773" s="43"/>
      <c r="BS773" s="43"/>
      <c r="BT773" s="43"/>
      <c r="BU773" s="43"/>
      <c r="BV773" s="43"/>
      <c r="BW773" s="43"/>
      <c r="BX773" s="43"/>
      <c r="BY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c r="BP775" s="43"/>
      <c r="BQ775" s="43"/>
      <c r="BR775" s="43"/>
      <c r="BS775" s="43"/>
      <c r="BT775" s="43"/>
      <c r="BU775" s="43"/>
      <c r="BV775" s="43"/>
      <c r="BW775" s="43"/>
      <c r="BX775" s="43"/>
      <c r="BY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c r="BP777" s="43"/>
      <c r="BQ777" s="43"/>
      <c r="BR777" s="43"/>
      <c r="BS777" s="43"/>
      <c r="BT777" s="43"/>
      <c r="BU777" s="43"/>
      <c r="BV777" s="43"/>
      <c r="BW777" s="43"/>
      <c r="BX777" s="43"/>
      <c r="BY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c r="BP779" s="43"/>
      <c r="BQ779" s="43"/>
      <c r="BR779" s="43"/>
      <c r="BS779" s="43"/>
      <c r="BT779" s="43"/>
      <c r="BU779" s="43"/>
      <c r="BV779" s="43"/>
      <c r="BW779" s="43"/>
      <c r="BX779" s="43"/>
      <c r="BY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c r="BP781" s="43"/>
      <c r="BQ781" s="43"/>
      <c r="BR781" s="43"/>
      <c r="BS781" s="43"/>
      <c r="BT781" s="43"/>
      <c r="BU781" s="43"/>
      <c r="BV781" s="43"/>
      <c r="BW781" s="43"/>
      <c r="BX781" s="43"/>
      <c r="BY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c r="BP783" s="43"/>
      <c r="BQ783" s="43"/>
      <c r="BR783" s="43"/>
      <c r="BS783" s="43"/>
      <c r="BT783" s="43"/>
      <c r="BU783" s="43"/>
      <c r="BV783" s="43"/>
      <c r="BW783" s="43"/>
      <c r="BX783" s="43"/>
      <c r="BY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3"/>
      <c r="BY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c r="BP788" s="43"/>
      <c r="BQ788" s="43"/>
      <c r="BR788" s="43"/>
      <c r="BS788" s="43"/>
      <c r="BT788" s="43"/>
      <c r="BU788" s="43"/>
      <c r="BV788" s="43"/>
      <c r="BW788" s="43"/>
      <c r="BX788" s="43"/>
      <c r="BY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c r="BP789" s="43"/>
      <c r="BQ789" s="43"/>
      <c r="BR789" s="43"/>
      <c r="BS789" s="43"/>
      <c r="BT789" s="43"/>
      <c r="BU789" s="43"/>
      <c r="BV789" s="43"/>
      <c r="BW789" s="43"/>
      <c r="BX789" s="43"/>
      <c r="BY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3"/>
      <c r="BY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c r="BP793" s="43"/>
      <c r="BQ793" s="43"/>
      <c r="BR793" s="43"/>
      <c r="BS793" s="43"/>
      <c r="BT793" s="43"/>
      <c r="BU793" s="43"/>
      <c r="BV793" s="43"/>
      <c r="BW793" s="43"/>
      <c r="BX793" s="43"/>
      <c r="BY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c r="BP795" s="43"/>
      <c r="BQ795" s="43"/>
      <c r="BR795" s="43"/>
      <c r="BS795" s="43"/>
      <c r="BT795" s="43"/>
      <c r="BU795" s="43"/>
      <c r="BV795" s="43"/>
      <c r="BW795" s="43"/>
      <c r="BX795" s="43"/>
      <c r="BY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c r="BP799" s="43"/>
      <c r="BQ799" s="43"/>
      <c r="BR799" s="43"/>
      <c r="BS799" s="43"/>
      <c r="BT799" s="43"/>
      <c r="BU799" s="43"/>
      <c r="BV799" s="43"/>
      <c r="BW799" s="43"/>
      <c r="BX799" s="43"/>
      <c r="BY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c r="BP801" s="43"/>
      <c r="BQ801" s="43"/>
      <c r="BR801" s="43"/>
      <c r="BS801" s="43"/>
      <c r="BT801" s="43"/>
      <c r="BU801" s="43"/>
      <c r="BV801" s="43"/>
      <c r="BW801" s="43"/>
      <c r="BX801" s="43"/>
      <c r="BY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c r="BP802" s="43"/>
      <c r="BQ802" s="43"/>
      <c r="BR802" s="43"/>
      <c r="BS802" s="43"/>
      <c r="BT802" s="43"/>
      <c r="BU802" s="43"/>
      <c r="BV802" s="43"/>
      <c r="BW802" s="43"/>
      <c r="BX802" s="43"/>
      <c r="BY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3"/>
      <c r="BY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c r="BP805" s="43"/>
      <c r="BQ805" s="43"/>
      <c r="BR805" s="43"/>
      <c r="BS805" s="43"/>
      <c r="BT805" s="43"/>
      <c r="BU805" s="43"/>
      <c r="BV805" s="43"/>
      <c r="BW805" s="43"/>
      <c r="BX805" s="43"/>
      <c r="BY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c r="BP807" s="43"/>
      <c r="BQ807" s="43"/>
      <c r="BR807" s="43"/>
      <c r="BS807" s="43"/>
      <c r="BT807" s="43"/>
      <c r="BU807" s="43"/>
      <c r="BV807" s="43"/>
      <c r="BW807" s="43"/>
      <c r="BX807" s="43"/>
      <c r="BY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c r="BP809" s="43"/>
      <c r="BQ809" s="43"/>
      <c r="BR809" s="43"/>
      <c r="BS809" s="43"/>
      <c r="BT809" s="43"/>
      <c r="BU809" s="43"/>
      <c r="BV809" s="43"/>
      <c r="BW809" s="43"/>
      <c r="BX809" s="43"/>
      <c r="BY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3"/>
      <c r="BY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c r="BP813" s="43"/>
      <c r="BQ813" s="43"/>
      <c r="BR813" s="43"/>
      <c r="BS813" s="43"/>
      <c r="BT813" s="43"/>
      <c r="BU813" s="43"/>
      <c r="BV813" s="43"/>
      <c r="BW813" s="43"/>
      <c r="BX813" s="43"/>
      <c r="BY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c r="BP815" s="43"/>
      <c r="BQ815" s="43"/>
      <c r="BR815" s="43"/>
      <c r="BS815" s="43"/>
      <c r="BT815" s="43"/>
      <c r="BU815" s="43"/>
      <c r="BV815" s="43"/>
      <c r="BW815" s="43"/>
      <c r="BX815" s="43"/>
      <c r="BY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3"/>
      <c r="BY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c r="BP819" s="43"/>
      <c r="BQ819" s="43"/>
      <c r="BR819" s="43"/>
      <c r="BS819" s="43"/>
      <c r="BT819" s="43"/>
      <c r="BU819" s="43"/>
      <c r="BV819" s="43"/>
      <c r="BW819" s="43"/>
      <c r="BX819" s="43"/>
      <c r="BY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c r="BP821" s="43"/>
      <c r="BQ821" s="43"/>
      <c r="BR821" s="43"/>
      <c r="BS821" s="43"/>
      <c r="BT821" s="43"/>
      <c r="BU821" s="43"/>
      <c r="BV821" s="43"/>
      <c r="BW821" s="43"/>
      <c r="BX821" s="43"/>
      <c r="BY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c r="BP822" s="43"/>
      <c r="BQ822" s="43"/>
      <c r="BR822" s="43"/>
      <c r="BS822" s="43"/>
      <c r="BT822" s="43"/>
      <c r="BU822" s="43"/>
      <c r="BV822" s="43"/>
      <c r="BW822" s="43"/>
      <c r="BX822" s="43"/>
      <c r="BY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c r="BP823" s="43"/>
      <c r="BQ823" s="43"/>
      <c r="BR823" s="43"/>
      <c r="BS823" s="43"/>
      <c r="BT823" s="43"/>
      <c r="BU823" s="43"/>
      <c r="BV823" s="43"/>
      <c r="BW823" s="43"/>
      <c r="BX823" s="43"/>
      <c r="BY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c r="BP825" s="43"/>
      <c r="BQ825" s="43"/>
      <c r="BR825" s="43"/>
      <c r="BS825" s="43"/>
      <c r="BT825" s="43"/>
      <c r="BU825" s="43"/>
      <c r="BV825" s="43"/>
      <c r="BW825" s="43"/>
      <c r="BX825" s="43"/>
      <c r="BY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c r="BP827" s="43"/>
      <c r="BQ827" s="43"/>
      <c r="BR827" s="43"/>
      <c r="BS827" s="43"/>
      <c r="BT827" s="43"/>
      <c r="BU827" s="43"/>
      <c r="BV827" s="43"/>
      <c r="BW827" s="43"/>
      <c r="BX827" s="43"/>
      <c r="BY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c r="BP829" s="43"/>
      <c r="BQ829" s="43"/>
      <c r="BR829" s="43"/>
      <c r="BS829" s="43"/>
      <c r="BT829" s="43"/>
      <c r="BU829" s="43"/>
      <c r="BV829" s="43"/>
      <c r="BW829" s="43"/>
      <c r="BX829" s="43"/>
      <c r="BY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c r="BP831" s="43"/>
      <c r="BQ831" s="43"/>
      <c r="BR831" s="43"/>
      <c r="BS831" s="43"/>
      <c r="BT831" s="43"/>
      <c r="BU831" s="43"/>
      <c r="BV831" s="43"/>
      <c r="BW831" s="43"/>
      <c r="BX831" s="43"/>
      <c r="BY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c r="BP833" s="43"/>
      <c r="BQ833" s="43"/>
      <c r="BR833" s="43"/>
      <c r="BS833" s="43"/>
      <c r="BT833" s="43"/>
      <c r="BU833" s="43"/>
      <c r="BV833" s="43"/>
      <c r="BW833" s="43"/>
      <c r="BX833" s="43"/>
      <c r="BY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3"/>
      <c r="BY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c r="BP837" s="43"/>
      <c r="BQ837" s="43"/>
      <c r="BR837" s="43"/>
      <c r="BS837" s="43"/>
      <c r="BT837" s="43"/>
      <c r="BU837" s="43"/>
      <c r="BV837" s="43"/>
      <c r="BW837" s="43"/>
      <c r="BX837" s="43"/>
      <c r="BY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c r="BP839" s="43"/>
      <c r="BQ839" s="43"/>
      <c r="BR839" s="43"/>
      <c r="BS839" s="43"/>
      <c r="BT839" s="43"/>
      <c r="BU839" s="43"/>
      <c r="BV839" s="43"/>
      <c r="BW839" s="43"/>
      <c r="BX839" s="43"/>
      <c r="BY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c r="BP841" s="43"/>
      <c r="BQ841" s="43"/>
      <c r="BR841" s="43"/>
      <c r="BS841" s="43"/>
      <c r="BT841" s="43"/>
      <c r="BU841" s="43"/>
      <c r="BV841" s="43"/>
      <c r="BW841" s="43"/>
      <c r="BX841" s="43"/>
      <c r="BY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c r="BP843" s="43"/>
      <c r="BQ843" s="43"/>
      <c r="BR843" s="43"/>
      <c r="BS843" s="43"/>
      <c r="BT843" s="43"/>
      <c r="BU843" s="43"/>
      <c r="BV843" s="43"/>
      <c r="BW843" s="43"/>
      <c r="BX843" s="43"/>
      <c r="BY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c r="BP844" s="43"/>
      <c r="BQ844" s="43"/>
      <c r="BR844" s="43"/>
      <c r="BS844" s="43"/>
      <c r="BT844" s="43"/>
      <c r="BU844" s="43"/>
      <c r="BV844" s="43"/>
      <c r="BW844" s="43"/>
      <c r="BX844" s="43"/>
      <c r="BY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c r="BP846" s="43"/>
      <c r="BQ846" s="43"/>
      <c r="BR846" s="43"/>
      <c r="BS846" s="43"/>
      <c r="BT846" s="43"/>
      <c r="BU846" s="43"/>
      <c r="BV846" s="43"/>
      <c r="BW846" s="43"/>
      <c r="BX846" s="43"/>
      <c r="BY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3"/>
      <c r="BY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c r="BP850" s="43"/>
      <c r="BQ850" s="43"/>
      <c r="BR850" s="43"/>
      <c r="BS850" s="43"/>
      <c r="BT850" s="43"/>
      <c r="BU850" s="43"/>
      <c r="BV850" s="43"/>
      <c r="BW850" s="43"/>
      <c r="BX850" s="43"/>
      <c r="BY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3"/>
      <c r="BY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c r="BP856" s="43"/>
      <c r="BQ856" s="43"/>
      <c r="BR856" s="43"/>
      <c r="BS856" s="43"/>
      <c r="BT856" s="43"/>
      <c r="BU856" s="43"/>
      <c r="BV856" s="43"/>
      <c r="BW856" s="43"/>
      <c r="BX856" s="43"/>
      <c r="BY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3"/>
      <c r="BY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c r="BP859" s="43"/>
      <c r="BQ859" s="43"/>
      <c r="BR859" s="43"/>
      <c r="BS859" s="43"/>
      <c r="BT859" s="43"/>
      <c r="BU859" s="43"/>
      <c r="BV859" s="43"/>
      <c r="BW859" s="43"/>
      <c r="BX859" s="43"/>
      <c r="BY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c r="BP860" s="43"/>
      <c r="BQ860" s="43"/>
      <c r="BR860" s="43"/>
      <c r="BS860" s="43"/>
      <c r="BT860" s="43"/>
      <c r="BU860" s="43"/>
      <c r="BV860" s="43"/>
      <c r="BW860" s="43"/>
      <c r="BX860" s="43"/>
      <c r="BY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c r="BP861" s="43"/>
      <c r="BQ861" s="43"/>
      <c r="BR861" s="43"/>
      <c r="BS861" s="43"/>
      <c r="BT861" s="43"/>
      <c r="BU861" s="43"/>
      <c r="BV861" s="43"/>
      <c r="BW861" s="43"/>
      <c r="BX861" s="43"/>
      <c r="BY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3"/>
      <c r="BY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c r="BP863" s="43"/>
      <c r="BQ863" s="43"/>
      <c r="BR863" s="43"/>
      <c r="BS863" s="43"/>
      <c r="BT863" s="43"/>
      <c r="BU863" s="43"/>
      <c r="BV863" s="43"/>
      <c r="BW863" s="43"/>
      <c r="BX863" s="43"/>
      <c r="BY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c r="BP864" s="43"/>
      <c r="BQ864" s="43"/>
      <c r="BR864" s="43"/>
      <c r="BS864" s="43"/>
      <c r="BT864" s="43"/>
      <c r="BU864" s="43"/>
      <c r="BV864" s="43"/>
      <c r="BW864" s="43"/>
      <c r="BX864" s="43"/>
      <c r="BY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c r="BP865" s="43"/>
      <c r="BQ865" s="43"/>
      <c r="BR865" s="43"/>
      <c r="BS865" s="43"/>
      <c r="BT865" s="43"/>
      <c r="BU865" s="43"/>
      <c r="BV865" s="43"/>
      <c r="BW865" s="43"/>
      <c r="BX865" s="43"/>
      <c r="BY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3"/>
      <c r="BY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c r="BP867" s="43"/>
      <c r="BQ867" s="43"/>
      <c r="BR867" s="43"/>
      <c r="BS867" s="43"/>
      <c r="BT867" s="43"/>
      <c r="BU867" s="43"/>
      <c r="BV867" s="43"/>
      <c r="BW867" s="43"/>
      <c r="BX867" s="43"/>
      <c r="BY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c r="BP868" s="43"/>
      <c r="BQ868" s="43"/>
      <c r="BR868" s="43"/>
      <c r="BS868" s="43"/>
      <c r="BT868" s="43"/>
      <c r="BU868" s="43"/>
      <c r="BV868" s="43"/>
      <c r="BW868" s="43"/>
      <c r="BX868" s="43"/>
      <c r="BY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c r="BP869" s="43"/>
      <c r="BQ869" s="43"/>
      <c r="BR869" s="43"/>
      <c r="BS869" s="43"/>
      <c r="BT869" s="43"/>
      <c r="BU869" s="43"/>
      <c r="BV869" s="43"/>
      <c r="BW869" s="43"/>
      <c r="BX869" s="43"/>
      <c r="BY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c r="BP870" s="43"/>
      <c r="BQ870" s="43"/>
      <c r="BR870" s="43"/>
      <c r="BS870" s="43"/>
      <c r="BT870" s="43"/>
      <c r="BU870" s="43"/>
      <c r="BV870" s="43"/>
      <c r="BW870" s="43"/>
      <c r="BX870" s="43"/>
      <c r="BY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c r="BP871" s="43"/>
      <c r="BQ871" s="43"/>
      <c r="BR871" s="43"/>
      <c r="BS871" s="43"/>
      <c r="BT871" s="43"/>
      <c r="BU871" s="43"/>
      <c r="BV871" s="43"/>
      <c r="BW871" s="43"/>
      <c r="BX871" s="43"/>
      <c r="BY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c r="BT872" s="43"/>
      <c r="BU872" s="43"/>
      <c r="BV872" s="43"/>
      <c r="BW872" s="43"/>
      <c r="BX872" s="43"/>
      <c r="BY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c r="BP873" s="43"/>
      <c r="BQ873" s="43"/>
      <c r="BR873" s="43"/>
      <c r="BS873" s="43"/>
      <c r="BT873" s="43"/>
      <c r="BU873" s="43"/>
      <c r="BV873" s="43"/>
      <c r="BW873" s="43"/>
      <c r="BX873" s="43"/>
      <c r="BY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3"/>
      <c r="BY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c r="BP875" s="43"/>
      <c r="BQ875" s="43"/>
      <c r="BR875" s="43"/>
      <c r="BS875" s="43"/>
      <c r="BT875" s="43"/>
      <c r="BU875" s="43"/>
      <c r="BV875" s="43"/>
      <c r="BW875" s="43"/>
      <c r="BX875" s="43"/>
      <c r="BY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c r="BP877" s="43"/>
      <c r="BQ877" s="43"/>
      <c r="BR877" s="43"/>
      <c r="BS877" s="43"/>
      <c r="BT877" s="43"/>
      <c r="BU877" s="43"/>
      <c r="BV877" s="43"/>
      <c r="BW877" s="43"/>
      <c r="BX877" s="43"/>
      <c r="BY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c r="BP878" s="43"/>
      <c r="BQ878" s="43"/>
      <c r="BR878" s="43"/>
      <c r="BS878" s="43"/>
      <c r="BT878" s="43"/>
      <c r="BU878" s="43"/>
      <c r="BV878" s="43"/>
      <c r="BW878" s="43"/>
      <c r="BX878" s="43"/>
      <c r="BY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c r="BP879" s="43"/>
      <c r="BQ879" s="43"/>
      <c r="BR879" s="43"/>
      <c r="BS879" s="43"/>
      <c r="BT879" s="43"/>
      <c r="BU879" s="43"/>
      <c r="BV879" s="43"/>
      <c r="BW879" s="43"/>
      <c r="BX879" s="43"/>
      <c r="BY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3"/>
      <c r="BY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c r="BP881" s="43"/>
      <c r="BQ881" s="43"/>
      <c r="BR881" s="43"/>
      <c r="BS881" s="43"/>
      <c r="BT881" s="43"/>
      <c r="BU881" s="43"/>
      <c r="BV881" s="43"/>
      <c r="BW881" s="43"/>
      <c r="BX881" s="43"/>
      <c r="BY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c r="BP882" s="43"/>
      <c r="BQ882" s="43"/>
      <c r="BR882" s="43"/>
      <c r="BS882" s="43"/>
      <c r="BT882" s="43"/>
      <c r="BU882" s="43"/>
      <c r="BV882" s="43"/>
      <c r="BW882" s="43"/>
      <c r="BX882" s="43"/>
      <c r="BY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c r="BP883" s="43"/>
      <c r="BQ883" s="43"/>
      <c r="BR883" s="43"/>
      <c r="BS883" s="43"/>
      <c r="BT883" s="43"/>
      <c r="BU883" s="43"/>
      <c r="BV883" s="43"/>
      <c r="BW883" s="43"/>
      <c r="BX883" s="43"/>
      <c r="BY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c r="BP884" s="43"/>
      <c r="BQ884" s="43"/>
      <c r="BR884" s="43"/>
      <c r="BS884" s="43"/>
      <c r="BT884" s="43"/>
      <c r="BU884" s="43"/>
      <c r="BV884" s="43"/>
      <c r="BW884" s="43"/>
      <c r="BX884" s="43"/>
      <c r="BY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c r="BP885" s="43"/>
      <c r="BQ885" s="43"/>
      <c r="BR885" s="43"/>
      <c r="BS885" s="43"/>
      <c r="BT885" s="43"/>
      <c r="BU885" s="43"/>
      <c r="BV885" s="43"/>
      <c r="BW885" s="43"/>
      <c r="BX885" s="43"/>
      <c r="BY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3"/>
      <c r="BY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c r="BP887" s="43"/>
      <c r="BQ887" s="43"/>
      <c r="BR887" s="43"/>
      <c r="BS887" s="43"/>
      <c r="BT887" s="43"/>
      <c r="BU887" s="43"/>
      <c r="BV887" s="43"/>
      <c r="BW887" s="43"/>
      <c r="BX887" s="43"/>
      <c r="BY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c r="BP888" s="43"/>
      <c r="BQ888" s="43"/>
      <c r="BR888" s="43"/>
      <c r="BS888" s="43"/>
      <c r="BT888" s="43"/>
      <c r="BU888" s="43"/>
      <c r="BV888" s="43"/>
      <c r="BW888" s="43"/>
      <c r="BX888" s="43"/>
      <c r="BY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c r="BP889" s="43"/>
      <c r="BQ889" s="43"/>
      <c r="BR889" s="43"/>
      <c r="BS889" s="43"/>
      <c r="BT889" s="43"/>
      <c r="BU889" s="43"/>
      <c r="BV889" s="43"/>
      <c r="BW889" s="43"/>
      <c r="BX889" s="43"/>
      <c r="BY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c r="BP890" s="43"/>
      <c r="BQ890" s="43"/>
      <c r="BR890" s="43"/>
      <c r="BS890" s="43"/>
      <c r="BT890" s="43"/>
      <c r="BU890" s="43"/>
      <c r="BV890" s="43"/>
      <c r="BW890" s="43"/>
      <c r="BX890" s="43"/>
      <c r="BY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3"/>
      <c r="BY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c r="BP892" s="43"/>
      <c r="BQ892" s="43"/>
      <c r="BR892" s="43"/>
      <c r="BS892" s="43"/>
      <c r="BT892" s="43"/>
      <c r="BU892" s="43"/>
      <c r="BV892" s="43"/>
      <c r="BW892" s="43"/>
      <c r="BX892" s="43"/>
      <c r="BY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c r="BP893" s="43"/>
      <c r="BQ893" s="43"/>
      <c r="BR893" s="43"/>
      <c r="BS893" s="43"/>
      <c r="BT893" s="43"/>
      <c r="BU893" s="43"/>
      <c r="BV893" s="43"/>
      <c r="BW893" s="43"/>
      <c r="BX893" s="43"/>
      <c r="BY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c r="BP894" s="43"/>
      <c r="BQ894" s="43"/>
      <c r="BR894" s="43"/>
      <c r="BS894" s="43"/>
      <c r="BT894" s="43"/>
      <c r="BU894" s="43"/>
      <c r="BV894" s="43"/>
      <c r="BW894" s="43"/>
      <c r="BX894" s="43"/>
      <c r="BY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c r="BP895" s="43"/>
      <c r="BQ895" s="43"/>
      <c r="BR895" s="43"/>
      <c r="BS895" s="43"/>
      <c r="BT895" s="43"/>
      <c r="BU895" s="43"/>
      <c r="BV895" s="43"/>
      <c r="BW895" s="43"/>
      <c r="BX895" s="43"/>
      <c r="BY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c r="BP896" s="43"/>
      <c r="BQ896" s="43"/>
      <c r="BR896" s="43"/>
      <c r="BS896" s="43"/>
      <c r="BT896" s="43"/>
      <c r="BU896" s="43"/>
      <c r="BV896" s="43"/>
      <c r="BW896" s="43"/>
      <c r="BX896" s="43"/>
      <c r="BY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c r="BP897" s="43"/>
      <c r="BQ897" s="43"/>
      <c r="BR897" s="43"/>
      <c r="BS897" s="43"/>
      <c r="BT897" s="43"/>
      <c r="BU897" s="43"/>
      <c r="BV897" s="43"/>
      <c r="BW897" s="43"/>
      <c r="BX897" s="43"/>
      <c r="BY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c r="BP898" s="43"/>
      <c r="BQ898" s="43"/>
      <c r="BR898" s="43"/>
      <c r="BS898" s="43"/>
      <c r="BT898" s="43"/>
      <c r="BU898" s="43"/>
      <c r="BV898" s="43"/>
      <c r="BW898" s="43"/>
      <c r="BX898" s="43"/>
      <c r="BY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c r="BP899" s="43"/>
      <c r="BQ899" s="43"/>
      <c r="BR899" s="43"/>
      <c r="BS899" s="43"/>
      <c r="BT899" s="43"/>
      <c r="BU899" s="43"/>
      <c r="BV899" s="43"/>
      <c r="BW899" s="43"/>
      <c r="BX899" s="43"/>
      <c r="BY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c r="BP900" s="43"/>
      <c r="BQ900" s="43"/>
      <c r="BR900" s="43"/>
      <c r="BS900" s="43"/>
      <c r="BT900" s="43"/>
      <c r="BU900" s="43"/>
      <c r="BV900" s="43"/>
      <c r="BW900" s="43"/>
      <c r="BX900" s="43"/>
      <c r="BY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c r="BP901" s="43"/>
      <c r="BQ901" s="43"/>
      <c r="BR901" s="43"/>
      <c r="BS901" s="43"/>
      <c r="BT901" s="43"/>
      <c r="BU901" s="43"/>
      <c r="BV901" s="43"/>
      <c r="BW901" s="43"/>
      <c r="BX901" s="43"/>
      <c r="BY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c r="BP902" s="43"/>
      <c r="BQ902" s="43"/>
      <c r="BR902" s="43"/>
      <c r="BS902" s="43"/>
      <c r="BT902" s="43"/>
      <c r="BU902" s="43"/>
      <c r="BV902" s="43"/>
      <c r="BW902" s="43"/>
      <c r="BX902" s="43"/>
      <c r="BY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c r="BP903" s="43"/>
      <c r="BQ903" s="43"/>
      <c r="BR903" s="43"/>
      <c r="BS903" s="43"/>
      <c r="BT903" s="43"/>
      <c r="BU903" s="43"/>
      <c r="BV903" s="43"/>
      <c r="BW903" s="43"/>
      <c r="BX903" s="43"/>
      <c r="BY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c r="BP904" s="43"/>
      <c r="BQ904" s="43"/>
      <c r="BR904" s="43"/>
      <c r="BS904" s="43"/>
      <c r="BT904" s="43"/>
      <c r="BU904" s="43"/>
      <c r="BV904" s="43"/>
      <c r="BW904" s="43"/>
      <c r="BX904" s="43"/>
      <c r="BY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c r="BP905" s="43"/>
      <c r="BQ905" s="43"/>
      <c r="BR905" s="43"/>
      <c r="BS905" s="43"/>
      <c r="BT905" s="43"/>
      <c r="BU905" s="43"/>
      <c r="BV905" s="43"/>
      <c r="BW905" s="43"/>
      <c r="BX905" s="43"/>
      <c r="BY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c r="BP906" s="43"/>
      <c r="BQ906" s="43"/>
      <c r="BR906" s="43"/>
      <c r="BS906" s="43"/>
      <c r="BT906" s="43"/>
      <c r="BU906" s="43"/>
      <c r="BV906" s="43"/>
      <c r="BW906" s="43"/>
      <c r="BX906" s="43"/>
      <c r="BY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c r="BP907" s="43"/>
      <c r="BQ907" s="43"/>
      <c r="BR907" s="43"/>
      <c r="BS907" s="43"/>
      <c r="BT907" s="43"/>
      <c r="BU907" s="43"/>
      <c r="BV907" s="43"/>
      <c r="BW907" s="43"/>
      <c r="BX907" s="43"/>
      <c r="BY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c r="BP909" s="43"/>
      <c r="BQ909" s="43"/>
      <c r="BR909" s="43"/>
      <c r="BS909" s="43"/>
      <c r="BT909" s="43"/>
      <c r="BU909" s="43"/>
      <c r="BV909" s="43"/>
      <c r="BW909" s="43"/>
      <c r="BX909" s="43"/>
      <c r="BY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c r="BP910" s="43"/>
      <c r="BQ910" s="43"/>
      <c r="BR910" s="43"/>
      <c r="BS910" s="43"/>
      <c r="BT910" s="43"/>
      <c r="BU910" s="43"/>
      <c r="BV910" s="43"/>
      <c r="BW910" s="43"/>
      <c r="BX910" s="43"/>
      <c r="BY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c r="BP911" s="43"/>
      <c r="BQ911" s="43"/>
      <c r="BR911" s="43"/>
      <c r="BS911" s="43"/>
      <c r="BT911" s="43"/>
      <c r="BU911" s="43"/>
      <c r="BV911" s="43"/>
      <c r="BW911" s="43"/>
      <c r="BX911" s="43"/>
      <c r="BY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c r="BP912" s="43"/>
      <c r="BQ912" s="43"/>
      <c r="BR912" s="43"/>
      <c r="BS912" s="43"/>
      <c r="BT912" s="43"/>
      <c r="BU912" s="43"/>
      <c r="BV912" s="43"/>
      <c r="BW912" s="43"/>
      <c r="BX912" s="43"/>
      <c r="BY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c r="BP913" s="43"/>
      <c r="BQ913" s="43"/>
      <c r="BR913" s="43"/>
      <c r="BS913" s="43"/>
      <c r="BT913" s="43"/>
      <c r="BU913" s="43"/>
      <c r="BV913" s="43"/>
      <c r="BW913" s="43"/>
      <c r="BX913" s="43"/>
      <c r="BY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c r="BP914" s="43"/>
      <c r="BQ914" s="43"/>
      <c r="BR914" s="43"/>
      <c r="BS914" s="43"/>
      <c r="BT914" s="43"/>
      <c r="BU914" s="43"/>
      <c r="BV914" s="43"/>
      <c r="BW914" s="43"/>
      <c r="BX914" s="43"/>
      <c r="BY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c r="BP915" s="43"/>
      <c r="BQ915" s="43"/>
      <c r="BR915" s="43"/>
      <c r="BS915" s="43"/>
      <c r="BT915" s="43"/>
      <c r="BU915" s="43"/>
      <c r="BV915" s="43"/>
      <c r="BW915" s="43"/>
      <c r="BX915" s="43"/>
      <c r="BY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c r="BP916" s="43"/>
      <c r="BQ916" s="43"/>
      <c r="BR916" s="43"/>
      <c r="BS916" s="43"/>
      <c r="BT916" s="43"/>
      <c r="BU916" s="43"/>
      <c r="BV916" s="43"/>
      <c r="BW916" s="43"/>
      <c r="BX916" s="43"/>
      <c r="BY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c r="BP917" s="43"/>
      <c r="BQ917" s="43"/>
      <c r="BR917" s="43"/>
      <c r="BS917" s="43"/>
      <c r="BT917" s="43"/>
      <c r="BU917" s="43"/>
      <c r="BV917" s="43"/>
      <c r="BW917" s="43"/>
      <c r="BX917" s="43"/>
      <c r="BY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c r="BP918" s="43"/>
      <c r="BQ918" s="43"/>
      <c r="BR918" s="43"/>
      <c r="BS918" s="43"/>
      <c r="BT918" s="43"/>
      <c r="BU918" s="43"/>
      <c r="BV918" s="43"/>
      <c r="BW918" s="43"/>
      <c r="BX918" s="43"/>
      <c r="BY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c r="BP919" s="43"/>
      <c r="BQ919" s="43"/>
      <c r="BR919" s="43"/>
      <c r="BS919" s="43"/>
      <c r="BT919" s="43"/>
      <c r="BU919" s="43"/>
      <c r="BV919" s="43"/>
      <c r="BW919" s="43"/>
      <c r="BX919" s="43"/>
      <c r="BY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c r="BP920" s="43"/>
      <c r="BQ920" s="43"/>
      <c r="BR920" s="43"/>
      <c r="BS920" s="43"/>
      <c r="BT920" s="43"/>
      <c r="BU920" s="43"/>
      <c r="BV920" s="43"/>
      <c r="BW920" s="43"/>
      <c r="BX920" s="43"/>
      <c r="BY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c r="BP921" s="43"/>
      <c r="BQ921" s="43"/>
      <c r="BR921" s="43"/>
      <c r="BS921" s="43"/>
      <c r="BT921" s="43"/>
      <c r="BU921" s="43"/>
      <c r="BV921" s="43"/>
      <c r="BW921" s="43"/>
      <c r="BX921" s="43"/>
      <c r="BY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c r="BP922" s="43"/>
      <c r="BQ922" s="43"/>
      <c r="BR922" s="43"/>
      <c r="BS922" s="43"/>
      <c r="BT922" s="43"/>
      <c r="BU922" s="43"/>
      <c r="BV922" s="43"/>
      <c r="BW922" s="43"/>
      <c r="BX922" s="43"/>
      <c r="BY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c r="BP923" s="43"/>
      <c r="BQ923" s="43"/>
      <c r="BR923" s="43"/>
      <c r="BS923" s="43"/>
      <c r="BT923" s="43"/>
      <c r="BU923" s="43"/>
      <c r="BV923" s="43"/>
      <c r="BW923" s="43"/>
      <c r="BX923" s="43"/>
      <c r="BY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c r="BO924" s="43"/>
      <c r="BP924" s="43"/>
      <c r="BQ924" s="43"/>
      <c r="BR924" s="43"/>
      <c r="BS924" s="43"/>
      <c r="BT924" s="43"/>
      <c r="BU924" s="43"/>
      <c r="BV924" s="43"/>
      <c r="BW924" s="43"/>
      <c r="BX924" s="43"/>
      <c r="BY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c r="BO925" s="43"/>
      <c r="BP925" s="43"/>
      <c r="BQ925" s="43"/>
      <c r="BR925" s="43"/>
      <c r="BS925" s="43"/>
      <c r="BT925" s="43"/>
      <c r="BU925" s="43"/>
      <c r="BV925" s="43"/>
      <c r="BW925" s="43"/>
      <c r="BX925" s="43"/>
      <c r="BY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c r="BO926" s="43"/>
      <c r="BP926" s="43"/>
      <c r="BQ926" s="43"/>
      <c r="BR926" s="43"/>
      <c r="BS926" s="43"/>
      <c r="BT926" s="43"/>
      <c r="BU926" s="43"/>
      <c r="BV926" s="43"/>
      <c r="BW926" s="43"/>
      <c r="BX926" s="43"/>
      <c r="BY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c r="BO927" s="43"/>
      <c r="BP927" s="43"/>
      <c r="BQ927" s="43"/>
      <c r="BR927" s="43"/>
      <c r="BS927" s="43"/>
      <c r="BT927" s="43"/>
      <c r="BU927" s="43"/>
      <c r="BV927" s="43"/>
      <c r="BW927" s="43"/>
      <c r="BX927" s="43"/>
      <c r="BY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c r="BO928" s="43"/>
      <c r="BP928" s="43"/>
      <c r="BQ928" s="43"/>
      <c r="BR928" s="43"/>
      <c r="BS928" s="43"/>
      <c r="BT928" s="43"/>
      <c r="BU928" s="43"/>
      <c r="BV928" s="43"/>
      <c r="BW928" s="43"/>
      <c r="BX928" s="43"/>
      <c r="BY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c r="BO929" s="43"/>
      <c r="BP929" s="43"/>
      <c r="BQ929" s="43"/>
      <c r="BR929" s="43"/>
      <c r="BS929" s="43"/>
      <c r="BT929" s="43"/>
      <c r="BU929" s="43"/>
      <c r="BV929" s="43"/>
      <c r="BW929" s="43"/>
      <c r="BX929" s="43"/>
      <c r="BY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c r="BO930" s="43"/>
      <c r="BP930" s="43"/>
      <c r="BQ930" s="43"/>
      <c r="BR930" s="43"/>
      <c r="BS930" s="43"/>
      <c r="BT930" s="43"/>
      <c r="BU930" s="43"/>
      <c r="BV930" s="43"/>
      <c r="BW930" s="43"/>
      <c r="BX930" s="43"/>
      <c r="BY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c r="BO931" s="43"/>
      <c r="BP931" s="43"/>
      <c r="BQ931" s="43"/>
      <c r="BR931" s="43"/>
      <c r="BS931" s="43"/>
      <c r="BT931" s="43"/>
      <c r="BU931" s="43"/>
      <c r="BV931" s="43"/>
      <c r="BW931" s="43"/>
      <c r="BX931" s="43"/>
      <c r="BY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c r="BO932" s="43"/>
      <c r="BP932" s="43"/>
      <c r="BQ932" s="43"/>
      <c r="BR932" s="43"/>
      <c r="BS932" s="43"/>
      <c r="BT932" s="43"/>
      <c r="BU932" s="43"/>
      <c r="BV932" s="43"/>
      <c r="BW932" s="43"/>
      <c r="BX932" s="43"/>
      <c r="BY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c r="BO933" s="43"/>
      <c r="BP933" s="43"/>
      <c r="BQ933" s="43"/>
      <c r="BR933" s="43"/>
      <c r="BS933" s="43"/>
      <c r="BT933" s="43"/>
      <c r="BU933" s="43"/>
      <c r="BV933" s="43"/>
      <c r="BW933" s="43"/>
      <c r="BX933" s="43"/>
      <c r="BY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c r="BO934" s="43"/>
      <c r="BP934" s="43"/>
      <c r="BQ934" s="43"/>
      <c r="BR934" s="43"/>
      <c r="BS934" s="43"/>
      <c r="BT934" s="43"/>
      <c r="BU934" s="43"/>
      <c r="BV934" s="43"/>
      <c r="BW934" s="43"/>
      <c r="BX934" s="43"/>
      <c r="BY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c r="BO935" s="43"/>
      <c r="BP935" s="43"/>
      <c r="BQ935" s="43"/>
      <c r="BR935" s="43"/>
      <c r="BS935" s="43"/>
      <c r="BT935" s="43"/>
      <c r="BU935" s="43"/>
      <c r="BV935" s="43"/>
      <c r="BW935" s="43"/>
      <c r="BX935" s="43"/>
      <c r="BY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c r="BO936" s="43"/>
      <c r="BP936" s="43"/>
      <c r="BQ936" s="43"/>
      <c r="BR936" s="43"/>
      <c r="BS936" s="43"/>
      <c r="BT936" s="43"/>
      <c r="BU936" s="43"/>
      <c r="BV936" s="43"/>
      <c r="BW936" s="43"/>
      <c r="BX936" s="43"/>
      <c r="BY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c r="BO937" s="43"/>
      <c r="BP937" s="43"/>
      <c r="BQ937" s="43"/>
      <c r="BR937" s="43"/>
      <c r="BS937" s="43"/>
      <c r="BT937" s="43"/>
      <c r="BU937" s="43"/>
      <c r="BV937" s="43"/>
      <c r="BW937" s="43"/>
      <c r="BX937" s="43"/>
      <c r="BY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c r="BO938" s="43"/>
      <c r="BP938" s="43"/>
      <c r="BQ938" s="43"/>
      <c r="BR938" s="43"/>
      <c r="BS938" s="43"/>
      <c r="BT938" s="43"/>
      <c r="BU938" s="43"/>
      <c r="BV938" s="43"/>
      <c r="BW938" s="43"/>
      <c r="BX938" s="43"/>
      <c r="BY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c r="BO939" s="43"/>
      <c r="BP939" s="43"/>
      <c r="BQ939" s="43"/>
      <c r="BR939" s="43"/>
      <c r="BS939" s="43"/>
      <c r="BT939" s="43"/>
      <c r="BU939" s="43"/>
      <c r="BV939" s="43"/>
      <c r="BW939" s="43"/>
      <c r="BX939" s="43"/>
      <c r="BY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c r="BO940" s="43"/>
      <c r="BP940" s="43"/>
      <c r="BQ940" s="43"/>
      <c r="BR940" s="43"/>
      <c r="BS940" s="43"/>
      <c r="BT940" s="43"/>
      <c r="BU940" s="43"/>
      <c r="BV940" s="43"/>
      <c r="BW940" s="43"/>
      <c r="BX940" s="43"/>
      <c r="BY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c r="BO941" s="43"/>
      <c r="BP941" s="43"/>
      <c r="BQ941" s="43"/>
      <c r="BR941" s="43"/>
      <c r="BS941" s="43"/>
      <c r="BT941" s="43"/>
      <c r="BU941" s="43"/>
      <c r="BV941" s="43"/>
      <c r="BW941" s="43"/>
      <c r="BX941" s="43"/>
      <c r="BY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c r="BO942" s="43"/>
      <c r="BP942" s="43"/>
      <c r="BQ942" s="43"/>
      <c r="BR942" s="43"/>
      <c r="BS942" s="43"/>
      <c r="BT942" s="43"/>
      <c r="BU942" s="43"/>
      <c r="BV942" s="43"/>
      <c r="BW942" s="43"/>
      <c r="BX942" s="43"/>
      <c r="BY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c r="BO943" s="43"/>
      <c r="BP943" s="43"/>
      <c r="BQ943" s="43"/>
      <c r="BR943" s="43"/>
      <c r="BS943" s="43"/>
      <c r="BT943" s="43"/>
      <c r="BU943" s="43"/>
      <c r="BV943" s="43"/>
      <c r="BW943" s="43"/>
      <c r="BX943" s="43"/>
      <c r="BY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c r="BO944" s="43"/>
      <c r="BP944" s="43"/>
      <c r="BQ944" s="43"/>
      <c r="BR944" s="43"/>
      <c r="BS944" s="43"/>
      <c r="BT944" s="43"/>
      <c r="BU944" s="43"/>
      <c r="BV944" s="43"/>
      <c r="BW944" s="43"/>
      <c r="BX944" s="43"/>
      <c r="BY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c r="BO945" s="43"/>
      <c r="BP945" s="43"/>
      <c r="BQ945" s="43"/>
      <c r="BR945" s="43"/>
      <c r="BS945" s="43"/>
      <c r="BT945" s="43"/>
      <c r="BU945" s="43"/>
      <c r="BV945" s="43"/>
      <c r="BW945" s="43"/>
      <c r="BX945" s="43"/>
      <c r="BY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c r="BO946" s="43"/>
      <c r="BP946" s="43"/>
      <c r="BQ946" s="43"/>
      <c r="BR946" s="43"/>
      <c r="BS946" s="43"/>
      <c r="BT946" s="43"/>
      <c r="BU946" s="43"/>
      <c r="BV946" s="43"/>
      <c r="BW946" s="43"/>
      <c r="BX946" s="43"/>
      <c r="BY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c r="BO947" s="43"/>
      <c r="BP947" s="43"/>
      <c r="BQ947" s="43"/>
      <c r="BR947" s="43"/>
      <c r="BS947" s="43"/>
      <c r="BT947" s="43"/>
      <c r="BU947" s="43"/>
      <c r="BV947" s="43"/>
      <c r="BW947" s="43"/>
      <c r="BX947" s="43"/>
      <c r="BY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c r="BO948" s="43"/>
      <c r="BP948" s="43"/>
      <c r="BQ948" s="43"/>
      <c r="BR948" s="43"/>
      <c r="BS948" s="43"/>
      <c r="BT948" s="43"/>
      <c r="BU948" s="43"/>
      <c r="BV948" s="43"/>
      <c r="BW948" s="43"/>
      <c r="BX948" s="43"/>
      <c r="BY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c r="BO949" s="43"/>
      <c r="BP949" s="43"/>
      <c r="BQ949" s="43"/>
      <c r="BR949" s="43"/>
      <c r="BS949" s="43"/>
      <c r="BT949" s="43"/>
      <c r="BU949" s="43"/>
      <c r="BV949" s="43"/>
      <c r="BW949" s="43"/>
      <c r="BX949" s="43"/>
      <c r="BY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c r="BO950" s="43"/>
      <c r="BP950" s="43"/>
      <c r="BQ950" s="43"/>
      <c r="BR950" s="43"/>
      <c r="BS950" s="43"/>
      <c r="BT950" s="43"/>
      <c r="BU950" s="43"/>
      <c r="BV950" s="43"/>
      <c r="BW950" s="43"/>
      <c r="BX950" s="43"/>
      <c r="BY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c r="BO951" s="43"/>
      <c r="BP951" s="43"/>
      <c r="BQ951" s="43"/>
      <c r="BR951" s="43"/>
      <c r="BS951" s="43"/>
      <c r="BT951" s="43"/>
      <c r="BU951" s="43"/>
      <c r="BV951" s="43"/>
      <c r="BW951" s="43"/>
      <c r="BX951" s="43"/>
      <c r="BY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c r="BO952" s="43"/>
      <c r="BP952" s="43"/>
      <c r="BQ952" s="43"/>
      <c r="BR952" s="43"/>
      <c r="BS952" s="43"/>
      <c r="BT952" s="43"/>
      <c r="BU952" s="43"/>
      <c r="BV952" s="43"/>
      <c r="BW952" s="43"/>
      <c r="BX952" s="43"/>
      <c r="BY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c r="BO953" s="43"/>
      <c r="BP953" s="43"/>
      <c r="BQ953" s="43"/>
      <c r="BR953" s="43"/>
      <c r="BS953" s="43"/>
      <c r="BT953" s="43"/>
      <c r="BU953" s="43"/>
      <c r="BV953" s="43"/>
      <c r="BW953" s="43"/>
      <c r="BX953" s="43"/>
      <c r="BY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c r="BO954" s="43"/>
      <c r="BP954" s="43"/>
      <c r="BQ954" s="43"/>
      <c r="BR954" s="43"/>
      <c r="BS954" s="43"/>
      <c r="BT954" s="43"/>
      <c r="BU954" s="43"/>
      <c r="BV954" s="43"/>
      <c r="BW954" s="43"/>
      <c r="BX954" s="43"/>
      <c r="BY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c r="BO955" s="43"/>
      <c r="BP955" s="43"/>
      <c r="BQ955" s="43"/>
      <c r="BR955" s="43"/>
      <c r="BS955" s="43"/>
      <c r="BT955" s="43"/>
      <c r="BU955" s="43"/>
      <c r="BV955" s="43"/>
      <c r="BW955" s="43"/>
      <c r="BX955" s="43"/>
      <c r="BY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c r="BO956" s="43"/>
      <c r="BP956" s="43"/>
      <c r="BQ956" s="43"/>
      <c r="BR956" s="43"/>
      <c r="BS956" s="43"/>
      <c r="BT956" s="43"/>
      <c r="BU956" s="43"/>
      <c r="BV956" s="43"/>
      <c r="BW956" s="43"/>
      <c r="BX956" s="43"/>
      <c r="BY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c r="BO957" s="43"/>
      <c r="BP957" s="43"/>
      <c r="BQ957" s="43"/>
      <c r="BR957" s="43"/>
      <c r="BS957" s="43"/>
      <c r="BT957" s="43"/>
      <c r="BU957" s="43"/>
      <c r="BV957" s="43"/>
      <c r="BW957" s="43"/>
      <c r="BX957" s="43"/>
      <c r="BY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c r="BO958" s="43"/>
      <c r="BP958" s="43"/>
      <c r="BQ958" s="43"/>
      <c r="BR958" s="43"/>
      <c r="BS958" s="43"/>
      <c r="BT958" s="43"/>
      <c r="BU958" s="43"/>
      <c r="BV958" s="43"/>
      <c r="BW958" s="43"/>
      <c r="BX958" s="43"/>
      <c r="BY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c r="BO959" s="43"/>
      <c r="BP959" s="43"/>
      <c r="BQ959" s="43"/>
      <c r="BR959" s="43"/>
      <c r="BS959" s="43"/>
      <c r="BT959" s="43"/>
      <c r="BU959" s="43"/>
      <c r="BV959" s="43"/>
      <c r="BW959" s="43"/>
      <c r="BX959" s="43"/>
      <c r="BY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c r="BO960" s="43"/>
      <c r="BP960" s="43"/>
      <c r="BQ960" s="43"/>
      <c r="BR960" s="43"/>
      <c r="BS960" s="43"/>
      <c r="BT960" s="43"/>
      <c r="BU960" s="43"/>
      <c r="BV960" s="43"/>
      <c r="BW960" s="43"/>
      <c r="BX960" s="43"/>
      <c r="BY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c r="BO961" s="43"/>
      <c r="BP961" s="43"/>
      <c r="BQ961" s="43"/>
      <c r="BR961" s="43"/>
      <c r="BS961" s="43"/>
      <c r="BT961" s="43"/>
      <c r="BU961" s="43"/>
      <c r="BV961" s="43"/>
      <c r="BW961" s="43"/>
      <c r="BX961" s="43"/>
      <c r="BY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c r="BP962" s="43"/>
      <c r="BQ962" s="43"/>
      <c r="BR962" s="43"/>
      <c r="BS962" s="43"/>
      <c r="BT962" s="43"/>
      <c r="BU962" s="43"/>
      <c r="BV962" s="43"/>
      <c r="BW962" s="43"/>
      <c r="BX962" s="43"/>
      <c r="BY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c r="BP963" s="43"/>
      <c r="BQ963" s="43"/>
      <c r="BR963" s="43"/>
      <c r="BS963" s="43"/>
      <c r="BT963" s="43"/>
      <c r="BU963" s="43"/>
      <c r="BV963" s="43"/>
      <c r="BW963" s="43"/>
      <c r="BX963" s="43"/>
      <c r="BY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c r="BP964" s="43"/>
      <c r="BQ964" s="43"/>
      <c r="BR964" s="43"/>
      <c r="BS964" s="43"/>
      <c r="BT964" s="43"/>
      <c r="BU964" s="43"/>
      <c r="BV964" s="43"/>
      <c r="BW964" s="43"/>
      <c r="BX964" s="43"/>
      <c r="BY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c r="BP965" s="43"/>
      <c r="BQ965" s="43"/>
      <c r="BR965" s="43"/>
      <c r="BS965" s="43"/>
      <c r="BT965" s="43"/>
      <c r="BU965" s="43"/>
      <c r="BV965" s="43"/>
      <c r="BW965" s="43"/>
      <c r="BX965" s="43"/>
      <c r="BY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c r="BP966" s="43"/>
      <c r="BQ966" s="43"/>
      <c r="BR966" s="43"/>
      <c r="BS966" s="43"/>
      <c r="BT966" s="43"/>
      <c r="BU966" s="43"/>
      <c r="BV966" s="43"/>
      <c r="BW966" s="43"/>
      <c r="BX966" s="43"/>
      <c r="BY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c r="BP967" s="43"/>
      <c r="BQ967" s="43"/>
      <c r="BR967" s="43"/>
      <c r="BS967" s="43"/>
      <c r="BT967" s="43"/>
      <c r="BU967" s="43"/>
      <c r="BV967" s="43"/>
      <c r="BW967" s="43"/>
      <c r="BX967" s="43"/>
      <c r="BY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c r="BP968" s="43"/>
      <c r="BQ968" s="43"/>
      <c r="BR968" s="43"/>
      <c r="BS968" s="43"/>
      <c r="BT968" s="43"/>
      <c r="BU968" s="43"/>
      <c r="BV968" s="43"/>
      <c r="BW968" s="43"/>
      <c r="BX968" s="43"/>
      <c r="BY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c r="BO969" s="43"/>
      <c r="BP969" s="43"/>
      <c r="BQ969" s="43"/>
      <c r="BR969" s="43"/>
      <c r="BS969" s="43"/>
      <c r="BT969" s="43"/>
      <c r="BU969" s="43"/>
      <c r="BV969" s="43"/>
      <c r="BW969" s="43"/>
      <c r="BX969" s="43"/>
      <c r="BY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c r="BO970" s="43"/>
      <c r="BP970" s="43"/>
      <c r="BQ970" s="43"/>
      <c r="BR970" s="43"/>
      <c r="BS970" s="43"/>
      <c r="BT970" s="43"/>
      <c r="BU970" s="43"/>
      <c r="BV970" s="43"/>
      <c r="BW970" s="43"/>
      <c r="BX970" s="43"/>
      <c r="BY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c r="BO971" s="43"/>
      <c r="BP971" s="43"/>
      <c r="BQ971" s="43"/>
      <c r="BR971" s="43"/>
      <c r="BS971" s="43"/>
      <c r="BT971" s="43"/>
      <c r="BU971" s="43"/>
      <c r="BV971" s="43"/>
      <c r="BW971" s="43"/>
      <c r="BX971" s="43"/>
      <c r="BY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c r="BO972" s="43"/>
      <c r="BP972" s="43"/>
      <c r="BQ972" s="43"/>
      <c r="BR972" s="43"/>
      <c r="BS972" s="43"/>
      <c r="BT972" s="43"/>
      <c r="BU972" s="43"/>
      <c r="BV972" s="43"/>
      <c r="BW972" s="43"/>
      <c r="BX972" s="43"/>
      <c r="BY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c r="BO973" s="43"/>
      <c r="BP973" s="43"/>
      <c r="BQ973" s="43"/>
      <c r="BR973" s="43"/>
      <c r="BS973" s="43"/>
      <c r="BT973" s="43"/>
      <c r="BU973" s="43"/>
      <c r="BV973" s="43"/>
      <c r="BW973" s="43"/>
      <c r="BX973" s="43"/>
      <c r="BY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c r="BO974" s="43"/>
      <c r="BP974" s="43"/>
      <c r="BQ974" s="43"/>
      <c r="BR974" s="43"/>
      <c r="BS974" s="43"/>
      <c r="BT974" s="43"/>
      <c r="BU974" s="43"/>
      <c r="BV974" s="43"/>
      <c r="BW974" s="43"/>
      <c r="BX974" s="43"/>
      <c r="BY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c r="BO975" s="43"/>
      <c r="BP975" s="43"/>
      <c r="BQ975" s="43"/>
      <c r="BR975" s="43"/>
      <c r="BS975" s="43"/>
      <c r="BT975" s="43"/>
      <c r="BU975" s="43"/>
      <c r="BV975" s="43"/>
      <c r="BW975" s="43"/>
      <c r="BX975" s="43"/>
      <c r="BY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c r="BO976" s="43"/>
      <c r="BP976" s="43"/>
      <c r="BQ976" s="43"/>
      <c r="BR976" s="43"/>
      <c r="BS976" s="43"/>
      <c r="BT976" s="43"/>
      <c r="BU976" s="43"/>
      <c r="BV976" s="43"/>
      <c r="BW976" s="43"/>
      <c r="BX976" s="43"/>
      <c r="BY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c r="BO977" s="43"/>
      <c r="BP977" s="43"/>
      <c r="BQ977" s="43"/>
      <c r="BR977" s="43"/>
      <c r="BS977" s="43"/>
      <c r="BT977" s="43"/>
      <c r="BU977" s="43"/>
      <c r="BV977" s="43"/>
      <c r="BW977" s="43"/>
      <c r="BX977" s="43"/>
      <c r="BY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c r="BO978" s="43"/>
      <c r="BP978" s="43"/>
      <c r="BQ978" s="43"/>
      <c r="BR978" s="43"/>
      <c r="BS978" s="43"/>
      <c r="BT978" s="43"/>
      <c r="BU978" s="43"/>
      <c r="BV978" s="43"/>
      <c r="BW978" s="43"/>
      <c r="BX978" s="43"/>
      <c r="BY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c r="BO979" s="43"/>
      <c r="BP979" s="43"/>
      <c r="BQ979" s="43"/>
      <c r="BR979" s="43"/>
      <c r="BS979" s="43"/>
      <c r="BT979" s="43"/>
      <c r="BU979" s="43"/>
      <c r="BV979" s="43"/>
      <c r="BW979" s="43"/>
      <c r="BX979" s="43"/>
      <c r="BY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c r="BO980" s="43"/>
      <c r="BP980" s="43"/>
      <c r="BQ980" s="43"/>
      <c r="BR980" s="43"/>
      <c r="BS980" s="43"/>
      <c r="BT980" s="43"/>
      <c r="BU980" s="43"/>
      <c r="BV980" s="43"/>
      <c r="BW980" s="43"/>
      <c r="BX980" s="43"/>
      <c r="BY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c r="BO981" s="43"/>
      <c r="BP981" s="43"/>
      <c r="BQ981" s="43"/>
      <c r="BR981" s="43"/>
      <c r="BS981" s="43"/>
      <c r="BT981" s="43"/>
      <c r="BU981" s="43"/>
      <c r="BV981" s="43"/>
      <c r="BW981" s="43"/>
      <c r="BX981" s="43"/>
      <c r="BY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c r="BO982" s="43"/>
      <c r="BP982" s="43"/>
      <c r="BQ982" s="43"/>
      <c r="BR982" s="43"/>
      <c r="BS982" s="43"/>
      <c r="BT982" s="43"/>
      <c r="BU982" s="43"/>
      <c r="BV982" s="43"/>
      <c r="BW982" s="43"/>
      <c r="BX982" s="43"/>
      <c r="BY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c r="BO983" s="43"/>
      <c r="BP983" s="43"/>
      <c r="BQ983" s="43"/>
      <c r="BR983" s="43"/>
      <c r="BS983" s="43"/>
      <c r="BT983" s="43"/>
      <c r="BU983" s="43"/>
      <c r="BV983" s="43"/>
      <c r="BW983" s="43"/>
      <c r="BX983" s="43"/>
      <c r="BY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c r="BO984" s="43"/>
      <c r="BP984" s="43"/>
      <c r="BQ984" s="43"/>
      <c r="BR984" s="43"/>
      <c r="BS984" s="43"/>
      <c r="BT984" s="43"/>
      <c r="BU984" s="43"/>
      <c r="BV984" s="43"/>
      <c r="BW984" s="43"/>
      <c r="BX984" s="43"/>
      <c r="BY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c r="BO985" s="43"/>
      <c r="BP985" s="43"/>
      <c r="BQ985" s="43"/>
      <c r="BR985" s="43"/>
      <c r="BS985" s="43"/>
      <c r="BT985" s="43"/>
      <c r="BU985" s="43"/>
      <c r="BV985" s="43"/>
      <c r="BW985" s="43"/>
      <c r="BX985" s="43"/>
      <c r="BY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c r="BO986" s="43"/>
      <c r="BP986" s="43"/>
      <c r="BQ986" s="43"/>
      <c r="BR986" s="43"/>
      <c r="BS986" s="43"/>
      <c r="BT986" s="43"/>
      <c r="BU986" s="43"/>
      <c r="BV986" s="43"/>
      <c r="BW986" s="43"/>
      <c r="BX986" s="43"/>
      <c r="BY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c r="BO987" s="43"/>
      <c r="BP987" s="43"/>
      <c r="BQ987" s="43"/>
      <c r="BR987" s="43"/>
      <c r="BS987" s="43"/>
      <c r="BT987" s="43"/>
      <c r="BU987" s="43"/>
      <c r="BV987" s="43"/>
      <c r="BW987" s="43"/>
      <c r="BX987" s="43"/>
      <c r="BY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c r="BO988" s="43"/>
      <c r="BP988" s="43"/>
      <c r="BQ988" s="43"/>
      <c r="BR988" s="43"/>
      <c r="BS988" s="43"/>
      <c r="BT988" s="43"/>
      <c r="BU988" s="43"/>
      <c r="BV988" s="43"/>
      <c r="BW988" s="43"/>
      <c r="BX988" s="43"/>
      <c r="BY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c r="BO989" s="43"/>
      <c r="BP989" s="43"/>
      <c r="BQ989" s="43"/>
      <c r="BR989" s="43"/>
      <c r="BS989" s="43"/>
      <c r="BT989" s="43"/>
      <c r="BU989" s="43"/>
      <c r="BV989" s="43"/>
      <c r="BW989" s="43"/>
      <c r="BX989" s="43"/>
      <c r="BY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c r="BO990" s="43"/>
      <c r="BP990" s="43"/>
      <c r="BQ990" s="43"/>
      <c r="BR990" s="43"/>
      <c r="BS990" s="43"/>
      <c r="BT990" s="43"/>
      <c r="BU990" s="43"/>
      <c r="BV990" s="43"/>
      <c r="BW990" s="43"/>
      <c r="BX990" s="43"/>
      <c r="BY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c r="BO991" s="43"/>
      <c r="BP991" s="43"/>
      <c r="BQ991" s="43"/>
      <c r="BR991" s="43"/>
      <c r="BS991" s="43"/>
      <c r="BT991" s="43"/>
      <c r="BU991" s="43"/>
      <c r="BV991" s="43"/>
      <c r="BW991" s="43"/>
      <c r="BX991" s="43"/>
      <c r="BY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c r="BO992" s="43"/>
      <c r="BP992" s="43"/>
      <c r="BQ992" s="43"/>
      <c r="BR992" s="43"/>
      <c r="BS992" s="43"/>
      <c r="BT992" s="43"/>
      <c r="BU992" s="43"/>
      <c r="BV992" s="43"/>
      <c r="BW992" s="43"/>
      <c r="BX992" s="43"/>
      <c r="BY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c r="BO993" s="43"/>
      <c r="BP993" s="43"/>
      <c r="BQ993" s="43"/>
      <c r="BR993" s="43"/>
      <c r="BS993" s="43"/>
      <c r="BT993" s="43"/>
      <c r="BU993" s="43"/>
      <c r="BV993" s="43"/>
      <c r="BW993" s="43"/>
      <c r="BX993" s="43"/>
      <c r="BY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c r="BO994" s="43"/>
      <c r="BP994" s="43"/>
      <c r="BQ994" s="43"/>
      <c r="BR994" s="43"/>
      <c r="BS994" s="43"/>
      <c r="BT994" s="43"/>
      <c r="BU994" s="43"/>
      <c r="BV994" s="43"/>
      <c r="BW994" s="43"/>
      <c r="BX994" s="43"/>
      <c r="BY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c r="BO995" s="43"/>
      <c r="BP995" s="43"/>
      <c r="BQ995" s="43"/>
      <c r="BR995" s="43"/>
      <c r="BS995" s="43"/>
      <c r="BT995" s="43"/>
      <c r="BU995" s="43"/>
      <c r="BV995" s="43"/>
      <c r="BW995" s="43"/>
      <c r="BX995" s="43"/>
      <c r="BY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c r="BO996" s="43"/>
      <c r="BP996" s="43"/>
      <c r="BQ996" s="43"/>
      <c r="BR996" s="43"/>
      <c r="BS996" s="43"/>
      <c r="BT996" s="43"/>
      <c r="BU996" s="43"/>
      <c r="BV996" s="43"/>
      <c r="BW996" s="43"/>
      <c r="BX996" s="43"/>
      <c r="BY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c r="BO997" s="43"/>
      <c r="BP997" s="43"/>
      <c r="BQ997" s="43"/>
      <c r="BR997" s="43"/>
      <c r="BS997" s="43"/>
      <c r="BT997" s="43"/>
      <c r="BU997" s="43"/>
      <c r="BV997" s="43"/>
      <c r="BW997" s="43"/>
      <c r="BX997" s="43"/>
      <c r="BY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c r="BO998" s="43"/>
      <c r="BP998" s="43"/>
      <c r="BQ998" s="43"/>
      <c r="BR998" s="43"/>
      <c r="BS998" s="43"/>
      <c r="BT998" s="43"/>
      <c r="BU998" s="43"/>
      <c r="BV998" s="43"/>
      <c r="BW998" s="43"/>
      <c r="BX998" s="43"/>
      <c r="BY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c r="BO999" s="43"/>
      <c r="BP999" s="43"/>
      <c r="BQ999" s="43"/>
      <c r="BR999" s="43"/>
      <c r="BS999" s="43"/>
      <c r="BT999" s="43"/>
      <c r="BU999" s="43"/>
      <c r="BV999" s="43"/>
      <c r="BW999" s="43"/>
      <c r="BX999" s="43"/>
      <c r="BY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c r="BO1000" s="43"/>
      <c r="BP1000" s="43"/>
      <c r="BQ1000" s="43"/>
      <c r="BR1000" s="43"/>
      <c r="BS1000" s="43"/>
      <c r="BT1000" s="43"/>
      <c r="BU1000" s="43"/>
      <c r="BV1000" s="43"/>
      <c r="BW1000" s="43"/>
      <c r="BX1000" s="43"/>
      <c r="BY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c r="BO1001" s="43"/>
      <c r="BP1001" s="43"/>
      <c r="BQ1001" s="43"/>
      <c r="BR1001" s="43"/>
      <c r="BS1001" s="43"/>
      <c r="BT1001" s="43"/>
      <c r="BU1001" s="43"/>
      <c r="BV1001" s="43"/>
      <c r="BW1001" s="43"/>
      <c r="BX1001" s="43"/>
      <c r="BY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c r="BO1002" s="43"/>
      <c r="BP1002" s="43"/>
      <c r="BQ1002" s="43"/>
      <c r="BR1002" s="43"/>
      <c r="BS1002" s="43"/>
      <c r="BT1002" s="43"/>
      <c r="BU1002" s="43"/>
      <c r="BV1002" s="43"/>
      <c r="BW1002" s="43"/>
      <c r="BX1002" s="43"/>
      <c r="BY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c r="BO1003" s="43"/>
      <c r="BP1003" s="43"/>
      <c r="BQ1003" s="43"/>
      <c r="BR1003" s="43"/>
      <c r="BS1003" s="43"/>
      <c r="BT1003" s="43"/>
      <c r="BU1003" s="43"/>
      <c r="BV1003" s="43"/>
      <c r="BW1003" s="43"/>
      <c r="BX1003" s="43"/>
      <c r="BY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c r="BO1004" s="43"/>
      <c r="BP1004" s="43"/>
      <c r="BQ1004" s="43"/>
      <c r="BR1004" s="43"/>
      <c r="BS1004" s="43"/>
      <c r="BT1004" s="43"/>
      <c r="BU1004" s="43"/>
      <c r="BV1004" s="43"/>
      <c r="BW1004" s="43"/>
      <c r="BX1004" s="43"/>
      <c r="BY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c r="BO1005" s="43"/>
      <c r="BP1005" s="43"/>
      <c r="BQ1005" s="43"/>
      <c r="BR1005" s="43"/>
      <c r="BS1005" s="43"/>
      <c r="BT1005" s="43"/>
      <c r="BU1005" s="43"/>
      <c r="BV1005" s="43"/>
      <c r="BW1005" s="43"/>
      <c r="BX1005" s="43"/>
      <c r="BY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c r="BO1006" s="43"/>
      <c r="BP1006" s="43"/>
      <c r="BQ1006" s="43"/>
      <c r="BR1006" s="43"/>
      <c r="BS1006" s="43"/>
      <c r="BT1006" s="43"/>
      <c r="BU1006" s="43"/>
      <c r="BV1006" s="43"/>
      <c r="BW1006" s="43"/>
      <c r="BX1006" s="43"/>
      <c r="BY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c r="BO1007" s="43"/>
      <c r="BP1007" s="43"/>
      <c r="BQ1007" s="43"/>
      <c r="BR1007" s="43"/>
      <c r="BS1007" s="43"/>
      <c r="BT1007" s="43"/>
      <c r="BU1007" s="43"/>
      <c r="BV1007" s="43"/>
      <c r="BW1007" s="43"/>
      <c r="BX1007" s="43"/>
      <c r="BY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c r="BO1008" s="43"/>
      <c r="BP1008" s="43"/>
      <c r="BQ1008" s="43"/>
      <c r="BR1008" s="43"/>
      <c r="BS1008" s="43"/>
      <c r="BT1008" s="43"/>
      <c r="BU1008" s="43"/>
      <c r="BV1008" s="43"/>
      <c r="BW1008" s="43"/>
      <c r="BX1008" s="43"/>
      <c r="BY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c r="BO1009" s="43"/>
      <c r="BP1009" s="43"/>
      <c r="BQ1009" s="43"/>
      <c r="BR1009" s="43"/>
      <c r="BS1009" s="43"/>
      <c r="BT1009" s="43"/>
      <c r="BU1009" s="43"/>
      <c r="BV1009" s="43"/>
      <c r="BW1009" s="43"/>
      <c r="BX1009" s="43"/>
      <c r="BY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c r="BO1010" s="43"/>
      <c r="BP1010" s="43"/>
      <c r="BQ1010" s="43"/>
      <c r="BR1010" s="43"/>
      <c r="BS1010" s="43"/>
      <c r="BT1010" s="43"/>
      <c r="BU1010" s="43"/>
      <c r="BV1010" s="43"/>
      <c r="BW1010" s="43"/>
      <c r="BX1010" s="43"/>
      <c r="BY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c r="BO1011" s="43"/>
      <c r="BP1011" s="43"/>
      <c r="BQ1011" s="43"/>
      <c r="BR1011" s="43"/>
      <c r="BS1011" s="43"/>
      <c r="BT1011" s="43"/>
      <c r="BU1011" s="43"/>
      <c r="BV1011" s="43"/>
      <c r="BW1011" s="43"/>
      <c r="BX1011" s="43"/>
      <c r="BY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c r="BO1012" s="43"/>
      <c r="BP1012" s="43"/>
      <c r="BQ1012" s="43"/>
      <c r="BR1012" s="43"/>
      <c r="BS1012" s="43"/>
      <c r="BT1012" s="43"/>
      <c r="BU1012" s="43"/>
      <c r="BV1012" s="43"/>
      <c r="BW1012" s="43"/>
      <c r="BX1012" s="43"/>
      <c r="BY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c r="BO1013" s="43"/>
      <c r="BP1013" s="43"/>
      <c r="BQ1013" s="43"/>
      <c r="BR1013" s="43"/>
      <c r="BS1013" s="43"/>
      <c r="BT1013" s="43"/>
      <c r="BU1013" s="43"/>
      <c r="BV1013" s="43"/>
      <c r="BW1013" s="43"/>
      <c r="BX1013" s="43"/>
      <c r="BY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c r="BO1014" s="43"/>
      <c r="BP1014" s="43"/>
      <c r="BQ1014" s="43"/>
      <c r="BR1014" s="43"/>
      <c r="BS1014" s="43"/>
      <c r="BT1014" s="43"/>
      <c r="BU1014" s="43"/>
      <c r="BV1014" s="43"/>
      <c r="BW1014" s="43"/>
      <c r="BX1014" s="43"/>
      <c r="BY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c r="BO1015" s="43"/>
      <c r="BP1015" s="43"/>
      <c r="BQ1015" s="43"/>
      <c r="BR1015" s="43"/>
      <c r="BS1015" s="43"/>
      <c r="BT1015" s="43"/>
      <c r="BU1015" s="43"/>
      <c r="BV1015" s="43"/>
      <c r="BW1015" s="43"/>
      <c r="BX1015" s="43"/>
      <c r="BY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c r="BO1016" s="43"/>
      <c r="BP1016" s="43"/>
      <c r="BQ1016" s="43"/>
      <c r="BR1016" s="43"/>
      <c r="BS1016" s="43"/>
      <c r="BT1016" s="43"/>
      <c r="BU1016" s="43"/>
      <c r="BV1016" s="43"/>
      <c r="BW1016" s="43"/>
      <c r="BX1016" s="43"/>
      <c r="BY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c r="BO1017" s="43"/>
      <c r="BP1017" s="43"/>
      <c r="BQ1017" s="43"/>
      <c r="BR1017" s="43"/>
      <c r="BS1017" s="43"/>
      <c r="BT1017" s="43"/>
      <c r="BU1017" s="43"/>
      <c r="BV1017" s="43"/>
      <c r="BW1017" s="43"/>
      <c r="BX1017" s="43"/>
      <c r="BY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c r="BO1018" s="43"/>
      <c r="BP1018" s="43"/>
      <c r="BQ1018" s="43"/>
      <c r="BR1018" s="43"/>
      <c r="BS1018" s="43"/>
      <c r="BT1018" s="43"/>
      <c r="BU1018" s="43"/>
      <c r="BV1018" s="43"/>
      <c r="BW1018" s="43"/>
      <c r="BX1018" s="43"/>
      <c r="BY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c r="BO1019" s="43"/>
      <c r="BP1019" s="43"/>
      <c r="BQ1019" s="43"/>
      <c r="BR1019" s="43"/>
      <c r="BS1019" s="43"/>
      <c r="BT1019" s="43"/>
      <c r="BU1019" s="43"/>
      <c r="BV1019" s="43"/>
      <c r="BW1019" s="43"/>
      <c r="BX1019" s="43"/>
      <c r="BY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c r="BO1020" s="43"/>
      <c r="BP1020" s="43"/>
      <c r="BQ1020" s="43"/>
      <c r="BR1020" s="43"/>
      <c r="BS1020" s="43"/>
      <c r="BT1020" s="43"/>
      <c r="BU1020" s="43"/>
      <c r="BV1020" s="43"/>
      <c r="BW1020" s="43"/>
      <c r="BX1020" s="43"/>
      <c r="BY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c r="BO1021" s="43"/>
      <c r="BP1021" s="43"/>
      <c r="BQ1021" s="43"/>
      <c r="BR1021" s="43"/>
      <c r="BS1021" s="43"/>
      <c r="BT1021" s="43"/>
      <c r="BU1021" s="43"/>
      <c r="BV1021" s="43"/>
      <c r="BW1021" s="43"/>
      <c r="BX1021" s="43"/>
      <c r="BY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c r="BO1022" s="43"/>
      <c r="BP1022" s="43"/>
      <c r="BQ1022" s="43"/>
      <c r="BR1022" s="43"/>
      <c r="BS1022" s="43"/>
      <c r="BT1022" s="43"/>
      <c r="BU1022" s="43"/>
      <c r="BV1022" s="43"/>
      <c r="BW1022" s="43"/>
      <c r="BX1022" s="43"/>
      <c r="BY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c r="BO1023" s="43"/>
      <c r="BP1023" s="43"/>
      <c r="BQ1023" s="43"/>
      <c r="BR1023" s="43"/>
      <c r="BS1023" s="43"/>
      <c r="BT1023" s="43"/>
      <c r="BU1023" s="43"/>
      <c r="BV1023" s="43"/>
      <c r="BW1023" s="43"/>
      <c r="BX1023" s="43"/>
      <c r="BY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c r="BO1024" s="43"/>
      <c r="BP1024" s="43"/>
      <c r="BQ1024" s="43"/>
      <c r="BR1024" s="43"/>
      <c r="BS1024" s="43"/>
      <c r="BT1024" s="43"/>
      <c r="BU1024" s="43"/>
      <c r="BV1024" s="43"/>
      <c r="BW1024" s="43"/>
      <c r="BX1024" s="43"/>
      <c r="BY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c r="BO1025" s="43"/>
      <c r="BP1025" s="43"/>
      <c r="BQ1025" s="43"/>
      <c r="BR1025" s="43"/>
      <c r="BS1025" s="43"/>
      <c r="BT1025" s="43"/>
      <c r="BU1025" s="43"/>
      <c r="BV1025" s="43"/>
      <c r="BW1025" s="43"/>
      <c r="BX1025" s="43"/>
      <c r="BY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c r="BO1026" s="43"/>
      <c r="BP1026" s="43"/>
      <c r="BQ1026" s="43"/>
      <c r="BR1026" s="43"/>
      <c r="BS1026" s="43"/>
      <c r="BT1026" s="43"/>
      <c r="BU1026" s="43"/>
      <c r="BV1026" s="43"/>
      <c r="BW1026" s="43"/>
      <c r="BX1026" s="43"/>
      <c r="BY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c r="BO1027" s="43"/>
      <c r="BP1027" s="43"/>
      <c r="BQ1027" s="43"/>
      <c r="BR1027" s="43"/>
      <c r="BS1027" s="43"/>
      <c r="BT1027" s="43"/>
      <c r="BU1027" s="43"/>
      <c r="BV1027" s="43"/>
      <c r="BW1027" s="43"/>
      <c r="BX1027" s="43"/>
      <c r="BY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c r="BO1028" s="43"/>
      <c r="BP1028" s="43"/>
      <c r="BQ1028" s="43"/>
      <c r="BR1028" s="43"/>
      <c r="BS1028" s="43"/>
      <c r="BT1028" s="43"/>
      <c r="BU1028" s="43"/>
      <c r="BV1028" s="43"/>
      <c r="BW1028" s="43"/>
      <c r="BX1028" s="43"/>
      <c r="BY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c r="BO1029" s="43"/>
      <c r="BP1029" s="43"/>
      <c r="BQ1029" s="43"/>
      <c r="BR1029" s="43"/>
      <c r="BS1029" s="43"/>
      <c r="BT1029" s="43"/>
      <c r="BU1029" s="43"/>
      <c r="BV1029" s="43"/>
      <c r="BW1029" s="43"/>
      <c r="BX1029" s="43"/>
      <c r="BY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c r="BO1030" s="43"/>
      <c r="BP1030" s="43"/>
      <c r="BQ1030" s="43"/>
      <c r="BR1030" s="43"/>
      <c r="BS1030" s="43"/>
      <c r="BT1030" s="43"/>
      <c r="BU1030" s="43"/>
      <c r="BV1030" s="43"/>
      <c r="BW1030" s="43"/>
      <c r="BX1030" s="43"/>
      <c r="BY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c r="BO1031" s="43"/>
      <c r="BP1031" s="43"/>
      <c r="BQ1031" s="43"/>
      <c r="BR1031" s="43"/>
      <c r="BS1031" s="43"/>
      <c r="BT1031" s="43"/>
      <c r="BU1031" s="43"/>
      <c r="BV1031" s="43"/>
      <c r="BW1031" s="43"/>
      <c r="BX1031" s="43"/>
      <c r="BY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c r="BO1032" s="43"/>
      <c r="BP1032" s="43"/>
      <c r="BQ1032" s="43"/>
      <c r="BR1032" s="43"/>
      <c r="BS1032" s="43"/>
      <c r="BT1032" s="43"/>
      <c r="BU1032" s="43"/>
      <c r="BV1032" s="43"/>
      <c r="BW1032" s="43"/>
      <c r="BX1032" s="43"/>
      <c r="BY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c r="BO1033" s="43"/>
      <c r="BP1033" s="43"/>
      <c r="BQ1033" s="43"/>
      <c r="BR1033" s="43"/>
      <c r="BS1033" s="43"/>
      <c r="BT1033" s="43"/>
      <c r="BU1033" s="43"/>
      <c r="BV1033" s="43"/>
      <c r="BW1033" s="43"/>
      <c r="BX1033" s="43"/>
      <c r="BY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c r="BO1034" s="43"/>
      <c r="BP1034" s="43"/>
      <c r="BQ1034" s="43"/>
      <c r="BR1034" s="43"/>
      <c r="BS1034" s="43"/>
      <c r="BT1034" s="43"/>
      <c r="BU1034" s="43"/>
      <c r="BV1034" s="43"/>
      <c r="BW1034" s="43"/>
      <c r="BX1034" s="43"/>
      <c r="BY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c r="BO1035" s="43"/>
      <c r="BP1035" s="43"/>
      <c r="BQ1035" s="43"/>
      <c r="BR1035" s="43"/>
      <c r="BS1035" s="43"/>
      <c r="BT1035" s="43"/>
      <c r="BU1035" s="43"/>
      <c r="BV1035" s="43"/>
      <c r="BW1035" s="43"/>
      <c r="BX1035" s="43"/>
      <c r="BY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c r="BO1036" s="43"/>
      <c r="BP1036" s="43"/>
      <c r="BQ1036" s="43"/>
      <c r="BR1036" s="43"/>
      <c r="BS1036" s="43"/>
      <c r="BT1036" s="43"/>
      <c r="BU1036" s="43"/>
      <c r="BV1036" s="43"/>
      <c r="BW1036" s="43"/>
      <c r="BX1036" s="43"/>
      <c r="BY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c r="BO1037" s="43"/>
      <c r="BP1037" s="43"/>
      <c r="BQ1037" s="43"/>
      <c r="BR1037" s="43"/>
      <c r="BS1037" s="43"/>
      <c r="BT1037" s="43"/>
      <c r="BU1037" s="43"/>
      <c r="BV1037" s="43"/>
      <c r="BW1037" s="43"/>
      <c r="BX1037" s="43"/>
      <c r="BY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c r="BO1038" s="43"/>
      <c r="BP1038" s="43"/>
      <c r="BQ1038" s="43"/>
      <c r="BR1038" s="43"/>
      <c r="BS1038" s="43"/>
      <c r="BT1038" s="43"/>
      <c r="BU1038" s="43"/>
      <c r="BV1038" s="43"/>
      <c r="BW1038" s="43"/>
      <c r="BX1038" s="43"/>
      <c r="BY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c r="BO1039" s="43"/>
      <c r="BP1039" s="43"/>
      <c r="BQ1039" s="43"/>
      <c r="BR1039" s="43"/>
      <c r="BS1039" s="43"/>
      <c r="BT1039" s="43"/>
      <c r="BU1039" s="43"/>
      <c r="BV1039" s="43"/>
      <c r="BW1039" s="43"/>
      <c r="BX1039" s="43"/>
      <c r="BY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c r="BO1040" s="43"/>
      <c r="BP1040" s="43"/>
      <c r="BQ1040" s="43"/>
      <c r="BR1040" s="43"/>
      <c r="BS1040" s="43"/>
      <c r="BT1040" s="43"/>
      <c r="BU1040" s="43"/>
      <c r="BV1040" s="43"/>
      <c r="BW1040" s="43"/>
      <c r="BX1040" s="43"/>
      <c r="BY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c r="BO1041" s="43"/>
      <c r="BP1041" s="43"/>
      <c r="BQ1041" s="43"/>
      <c r="BR1041" s="43"/>
      <c r="BS1041" s="43"/>
      <c r="BT1041" s="43"/>
      <c r="BU1041" s="43"/>
      <c r="BV1041" s="43"/>
      <c r="BW1041" s="43"/>
      <c r="BX1041" s="43"/>
      <c r="BY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c r="BO1042" s="43"/>
      <c r="BP1042" s="43"/>
      <c r="BQ1042" s="43"/>
      <c r="BR1042" s="43"/>
      <c r="BS1042" s="43"/>
      <c r="BT1042" s="43"/>
      <c r="BU1042" s="43"/>
      <c r="BV1042" s="43"/>
      <c r="BW1042" s="43"/>
      <c r="BX1042" s="43"/>
      <c r="BY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c r="BO1043" s="43"/>
      <c r="BP1043" s="43"/>
      <c r="BQ1043" s="43"/>
      <c r="BR1043" s="43"/>
      <c r="BS1043" s="43"/>
      <c r="BT1043" s="43"/>
      <c r="BU1043" s="43"/>
      <c r="BV1043" s="43"/>
      <c r="BW1043" s="43"/>
      <c r="BX1043" s="43"/>
      <c r="BY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c r="BO1044" s="43"/>
      <c r="BP1044" s="43"/>
      <c r="BQ1044" s="43"/>
      <c r="BR1044" s="43"/>
      <c r="BS1044" s="43"/>
      <c r="BT1044" s="43"/>
      <c r="BU1044" s="43"/>
      <c r="BV1044" s="43"/>
      <c r="BW1044" s="43"/>
      <c r="BX1044" s="43"/>
      <c r="BY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c r="BO1045" s="43"/>
      <c r="BP1045" s="43"/>
      <c r="BQ1045" s="43"/>
      <c r="BR1045" s="43"/>
      <c r="BS1045" s="43"/>
      <c r="BT1045" s="43"/>
      <c r="BU1045" s="43"/>
      <c r="BV1045" s="43"/>
      <c r="BW1045" s="43"/>
      <c r="BX1045" s="43"/>
      <c r="BY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c r="BO1046" s="43"/>
      <c r="BP1046" s="43"/>
      <c r="BQ1046" s="43"/>
      <c r="BR1046" s="43"/>
      <c r="BS1046" s="43"/>
      <c r="BT1046" s="43"/>
      <c r="BU1046" s="43"/>
      <c r="BV1046" s="43"/>
      <c r="BW1046" s="43"/>
      <c r="BX1046" s="43"/>
      <c r="BY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c r="BO1047" s="43"/>
      <c r="BP1047" s="43"/>
      <c r="BQ1047" s="43"/>
      <c r="BR1047" s="43"/>
      <c r="BS1047" s="43"/>
      <c r="BT1047" s="43"/>
      <c r="BU1047" s="43"/>
      <c r="BV1047" s="43"/>
      <c r="BW1047" s="43"/>
      <c r="BX1047" s="43"/>
      <c r="BY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c r="BO1048" s="43"/>
      <c r="BP1048" s="43"/>
      <c r="BQ1048" s="43"/>
      <c r="BR1048" s="43"/>
      <c r="BS1048" s="43"/>
      <c r="BT1048" s="43"/>
      <c r="BU1048" s="43"/>
      <c r="BV1048" s="43"/>
      <c r="BW1048" s="43"/>
      <c r="BX1048" s="43"/>
      <c r="BY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c r="BO1049" s="43"/>
      <c r="BP1049" s="43"/>
      <c r="BQ1049" s="43"/>
      <c r="BR1049" s="43"/>
      <c r="BS1049" s="43"/>
      <c r="BT1049" s="43"/>
      <c r="BU1049" s="43"/>
      <c r="BV1049" s="43"/>
      <c r="BW1049" s="43"/>
      <c r="BX1049" s="43"/>
      <c r="BY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c r="BO1050" s="43"/>
      <c r="BP1050" s="43"/>
      <c r="BQ1050" s="43"/>
      <c r="BR1050" s="43"/>
      <c r="BS1050" s="43"/>
      <c r="BT1050" s="43"/>
      <c r="BU1050" s="43"/>
      <c r="BV1050" s="43"/>
      <c r="BW1050" s="43"/>
      <c r="BX1050" s="43"/>
      <c r="BY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c r="BO1051" s="43"/>
      <c r="BP1051" s="43"/>
      <c r="BQ1051" s="43"/>
      <c r="BR1051" s="43"/>
      <c r="BS1051" s="43"/>
      <c r="BT1051" s="43"/>
      <c r="BU1051" s="43"/>
      <c r="BV1051" s="43"/>
      <c r="BW1051" s="43"/>
      <c r="BX1051" s="43"/>
      <c r="BY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c r="BO1052" s="43"/>
      <c r="BP1052" s="43"/>
      <c r="BQ1052" s="43"/>
      <c r="BR1052" s="43"/>
      <c r="BS1052" s="43"/>
      <c r="BT1052" s="43"/>
      <c r="BU1052" s="43"/>
      <c r="BV1052" s="43"/>
      <c r="BW1052" s="43"/>
      <c r="BX1052" s="43"/>
      <c r="BY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c r="BO1053" s="43"/>
      <c r="BP1053" s="43"/>
      <c r="BQ1053" s="43"/>
      <c r="BR1053" s="43"/>
      <c r="BS1053" s="43"/>
      <c r="BT1053" s="43"/>
      <c r="BU1053" s="43"/>
      <c r="BV1053" s="43"/>
      <c r="BW1053" s="43"/>
      <c r="BX1053" s="43"/>
      <c r="BY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c r="BO1054" s="43"/>
      <c r="BP1054" s="43"/>
      <c r="BQ1054" s="43"/>
      <c r="BR1054" s="43"/>
      <c r="BS1054" s="43"/>
      <c r="BT1054" s="43"/>
      <c r="BU1054" s="43"/>
      <c r="BV1054" s="43"/>
      <c r="BW1054" s="43"/>
      <c r="BX1054" s="43"/>
      <c r="BY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c r="BO1055" s="43"/>
      <c r="BP1055" s="43"/>
      <c r="BQ1055" s="43"/>
      <c r="BR1055" s="43"/>
      <c r="BS1055" s="43"/>
      <c r="BT1055" s="43"/>
      <c r="BU1055" s="43"/>
      <c r="BV1055" s="43"/>
      <c r="BW1055" s="43"/>
      <c r="BX1055" s="43"/>
      <c r="BY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c r="BO1056" s="43"/>
      <c r="BP1056" s="43"/>
      <c r="BQ1056" s="43"/>
      <c r="BR1056" s="43"/>
      <c r="BS1056" s="43"/>
      <c r="BT1056" s="43"/>
      <c r="BU1056" s="43"/>
      <c r="BV1056" s="43"/>
      <c r="BW1056" s="43"/>
      <c r="BX1056" s="43"/>
      <c r="BY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c r="BO1057" s="43"/>
      <c r="BP1057" s="43"/>
      <c r="BQ1057" s="43"/>
      <c r="BR1057" s="43"/>
      <c r="BS1057" s="43"/>
      <c r="BT1057" s="43"/>
      <c r="BU1057" s="43"/>
      <c r="BV1057" s="43"/>
      <c r="BW1057" s="43"/>
      <c r="BX1057" s="43"/>
      <c r="BY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c r="BO1058" s="43"/>
      <c r="BP1058" s="43"/>
      <c r="BQ1058" s="43"/>
      <c r="BR1058" s="43"/>
      <c r="BS1058" s="43"/>
      <c r="BT1058" s="43"/>
      <c r="BU1058" s="43"/>
      <c r="BV1058" s="43"/>
      <c r="BW1058" s="43"/>
      <c r="BX1058" s="43"/>
      <c r="BY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c r="BO1059" s="43"/>
      <c r="BP1059" s="43"/>
      <c r="BQ1059" s="43"/>
      <c r="BR1059" s="43"/>
      <c r="BS1059" s="43"/>
      <c r="BT1059" s="43"/>
      <c r="BU1059" s="43"/>
      <c r="BV1059" s="43"/>
      <c r="BW1059" s="43"/>
      <c r="BX1059" s="43"/>
      <c r="BY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c r="BO1060" s="43"/>
      <c r="BP1060" s="43"/>
      <c r="BQ1060" s="43"/>
      <c r="BR1060" s="43"/>
      <c r="BS1060" s="43"/>
      <c r="BT1060" s="43"/>
      <c r="BU1060" s="43"/>
      <c r="BV1060" s="43"/>
      <c r="BW1060" s="43"/>
      <c r="BX1060" s="43"/>
      <c r="BY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c r="BO1061" s="43"/>
      <c r="BP1061" s="43"/>
      <c r="BQ1061" s="43"/>
      <c r="BR1061" s="43"/>
      <c r="BS1061" s="43"/>
      <c r="BT1061" s="43"/>
      <c r="BU1061" s="43"/>
      <c r="BV1061" s="43"/>
      <c r="BW1061" s="43"/>
      <c r="BX1061" s="43"/>
      <c r="BY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c r="BO1062" s="43"/>
      <c r="BP1062" s="43"/>
      <c r="BQ1062" s="43"/>
      <c r="BR1062" s="43"/>
      <c r="BS1062" s="43"/>
      <c r="BT1062" s="43"/>
      <c r="BU1062" s="43"/>
      <c r="BV1062" s="43"/>
      <c r="BW1062" s="43"/>
      <c r="BX1062" s="43"/>
      <c r="BY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c r="BO1063" s="43"/>
      <c r="BP1063" s="43"/>
      <c r="BQ1063" s="43"/>
      <c r="BR1063" s="43"/>
      <c r="BS1063" s="43"/>
      <c r="BT1063" s="43"/>
      <c r="BU1063" s="43"/>
      <c r="BV1063" s="43"/>
      <c r="BW1063" s="43"/>
      <c r="BX1063" s="43"/>
      <c r="BY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c r="BO1064" s="43"/>
      <c r="BP1064" s="43"/>
      <c r="BQ1064" s="43"/>
      <c r="BR1064" s="43"/>
      <c r="BS1064" s="43"/>
      <c r="BT1064" s="43"/>
      <c r="BU1064" s="43"/>
      <c r="BV1064" s="43"/>
      <c r="BW1064" s="43"/>
      <c r="BX1064" s="43"/>
      <c r="BY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c r="BO1065" s="43"/>
      <c r="BP1065" s="43"/>
      <c r="BQ1065" s="43"/>
      <c r="BR1065" s="43"/>
      <c r="BS1065" s="43"/>
      <c r="BT1065" s="43"/>
      <c r="BU1065" s="43"/>
      <c r="BV1065" s="43"/>
      <c r="BW1065" s="43"/>
      <c r="BX1065" s="43"/>
      <c r="BY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c r="BO1066" s="43"/>
      <c r="BP1066" s="43"/>
      <c r="BQ1066" s="43"/>
      <c r="BR1066" s="43"/>
      <c r="BS1066" s="43"/>
      <c r="BT1066" s="43"/>
      <c r="BU1066" s="43"/>
      <c r="BV1066" s="43"/>
      <c r="BW1066" s="43"/>
      <c r="BX1066" s="43"/>
      <c r="BY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c r="BO1067" s="43"/>
      <c r="BP1067" s="43"/>
      <c r="BQ1067" s="43"/>
      <c r="BR1067" s="43"/>
      <c r="BS1067" s="43"/>
      <c r="BT1067" s="43"/>
      <c r="BU1067" s="43"/>
      <c r="BV1067" s="43"/>
      <c r="BW1067" s="43"/>
      <c r="BX1067" s="43"/>
      <c r="BY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c r="BO1068" s="43"/>
      <c r="BP1068" s="43"/>
      <c r="BQ1068" s="43"/>
      <c r="BR1068" s="43"/>
      <c r="BS1068" s="43"/>
      <c r="BT1068" s="43"/>
      <c r="BU1068" s="43"/>
      <c r="BV1068" s="43"/>
      <c r="BW1068" s="43"/>
      <c r="BX1068" s="43"/>
      <c r="BY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c r="BO1069" s="43"/>
      <c r="BP1069" s="43"/>
      <c r="BQ1069" s="43"/>
      <c r="BR1069" s="43"/>
      <c r="BS1069" s="43"/>
      <c r="BT1069" s="43"/>
      <c r="BU1069" s="43"/>
      <c r="BV1069" s="43"/>
      <c r="BW1069" s="43"/>
      <c r="BX1069" s="43"/>
      <c r="BY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c r="BO1070" s="43"/>
      <c r="BP1070" s="43"/>
      <c r="BQ1070" s="43"/>
      <c r="BR1070" s="43"/>
      <c r="BS1070" s="43"/>
      <c r="BT1070" s="43"/>
      <c r="BU1070" s="43"/>
      <c r="BV1070" s="43"/>
      <c r="BW1070" s="43"/>
      <c r="BX1070" s="43"/>
      <c r="BY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c r="BO1071" s="43"/>
      <c r="BP1071" s="43"/>
      <c r="BQ1071" s="43"/>
      <c r="BR1071" s="43"/>
      <c r="BS1071" s="43"/>
      <c r="BT1071" s="43"/>
      <c r="BU1071" s="43"/>
      <c r="BV1071" s="43"/>
      <c r="BW1071" s="43"/>
      <c r="BX1071" s="43"/>
      <c r="BY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c r="BO1072" s="43"/>
      <c r="BP1072" s="43"/>
      <c r="BQ1072" s="43"/>
      <c r="BR1072" s="43"/>
      <c r="BS1072" s="43"/>
      <c r="BT1072" s="43"/>
      <c r="BU1072" s="43"/>
      <c r="BV1072" s="43"/>
      <c r="BW1072" s="43"/>
      <c r="BX1072" s="43"/>
      <c r="BY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c r="BO1073" s="43"/>
      <c r="BP1073" s="43"/>
      <c r="BQ1073" s="43"/>
      <c r="BR1073" s="43"/>
      <c r="BS1073" s="43"/>
      <c r="BT1073" s="43"/>
      <c r="BU1073" s="43"/>
      <c r="BV1073" s="43"/>
      <c r="BW1073" s="43"/>
      <c r="BX1073" s="43"/>
      <c r="BY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c r="BO1074" s="43"/>
      <c r="BP1074" s="43"/>
      <c r="BQ1074" s="43"/>
      <c r="BR1074" s="43"/>
      <c r="BS1074" s="43"/>
      <c r="BT1074" s="43"/>
      <c r="BU1074" s="43"/>
      <c r="BV1074" s="43"/>
      <c r="BW1074" s="43"/>
      <c r="BX1074" s="43"/>
      <c r="BY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c r="BO1075" s="43"/>
      <c r="BP1075" s="43"/>
      <c r="BQ1075" s="43"/>
      <c r="BR1075" s="43"/>
      <c r="BS1075" s="43"/>
      <c r="BT1075" s="43"/>
      <c r="BU1075" s="43"/>
      <c r="BV1075" s="43"/>
      <c r="BW1075" s="43"/>
      <c r="BX1075" s="43"/>
      <c r="BY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c r="BO1076" s="43"/>
      <c r="BP1076" s="43"/>
      <c r="BQ1076" s="43"/>
      <c r="BR1076" s="43"/>
      <c r="BS1076" s="43"/>
      <c r="BT1076" s="43"/>
      <c r="BU1076" s="43"/>
      <c r="BV1076" s="43"/>
      <c r="BW1076" s="43"/>
      <c r="BX1076" s="43"/>
      <c r="BY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c r="BO1077" s="43"/>
      <c r="BP1077" s="43"/>
      <c r="BQ1077" s="43"/>
      <c r="BR1077" s="43"/>
      <c r="BS1077" s="43"/>
      <c r="BT1077" s="43"/>
      <c r="BU1077" s="43"/>
      <c r="BV1077" s="43"/>
      <c r="BW1077" s="43"/>
      <c r="BX1077" s="43"/>
      <c r="BY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c r="BO1078" s="43"/>
      <c r="BP1078" s="43"/>
      <c r="BQ1078" s="43"/>
      <c r="BR1078" s="43"/>
      <c r="BS1078" s="43"/>
      <c r="BT1078" s="43"/>
      <c r="BU1078" s="43"/>
      <c r="BV1078" s="43"/>
      <c r="BW1078" s="43"/>
      <c r="BX1078" s="43"/>
      <c r="BY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c r="BO1079" s="43"/>
      <c r="BP1079" s="43"/>
      <c r="BQ1079" s="43"/>
      <c r="BR1079" s="43"/>
      <c r="BS1079" s="43"/>
      <c r="BT1079" s="43"/>
      <c r="BU1079" s="43"/>
      <c r="BV1079" s="43"/>
      <c r="BW1079" s="43"/>
      <c r="BX1079" s="43"/>
      <c r="BY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c r="BO1080" s="43"/>
      <c r="BP1080" s="43"/>
      <c r="BQ1080" s="43"/>
      <c r="BR1080" s="43"/>
      <c r="BS1080" s="43"/>
      <c r="BT1080" s="43"/>
      <c r="BU1080" s="43"/>
      <c r="BV1080" s="43"/>
      <c r="BW1080" s="43"/>
      <c r="BX1080" s="43"/>
      <c r="BY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c r="BO1081" s="43"/>
      <c r="BP1081" s="43"/>
      <c r="BQ1081" s="43"/>
      <c r="BR1081" s="43"/>
      <c r="BS1081" s="43"/>
      <c r="BT1081" s="43"/>
      <c r="BU1081" s="43"/>
      <c r="BV1081" s="43"/>
      <c r="BW1081" s="43"/>
      <c r="BX1081" s="43"/>
      <c r="BY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c r="BO1082" s="43"/>
      <c r="BP1082" s="43"/>
      <c r="BQ1082" s="43"/>
      <c r="BR1082" s="43"/>
      <c r="BS1082" s="43"/>
      <c r="BT1082" s="43"/>
      <c r="BU1082" s="43"/>
      <c r="BV1082" s="43"/>
      <c r="BW1082" s="43"/>
      <c r="BX1082" s="43"/>
      <c r="BY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c r="BO1083" s="43"/>
      <c r="BP1083" s="43"/>
      <c r="BQ1083" s="43"/>
      <c r="BR1083" s="43"/>
      <c r="BS1083" s="43"/>
      <c r="BT1083" s="43"/>
      <c r="BU1083" s="43"/>
      <c r="BV1083" s="43"/>
      <c r="BW1083" s="43"/>
      <c r="BX1083" s="43"/>
      <c r="BY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c r="BO1084" s="43"/>
      <c r="BP1084" s="43"/>
      <c r="BQ1084" s="43"/>
      <c r="BR1084" s="43"/>
      <c r="BS1084" s="43"/>
      <c r="BT1084" s="43"/>
      <c r="BU1084" s="43"/>
      <c r="BV1084" s="43"/>
      <c r="BW1084" s="43"/>
      <c r="BX1084" s="43"/>
      <c r="BY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c r="BO1085" s="43"/>
      <c r="BP1085" s="43"/>
      <c r="BQ1085" s="43"/>
      <c r="BR1085" s="43"/>
      <c r="BS1085" s="43"/>
      <c r="BT1085" s="43"/>
      <c r="BU1085" s="43"/>
      <c r="BV1085" s="43"/>
      <c r="BW1085" s="43"/>
      <c r="BX1085" s="43"/>
      <c r="BY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c r="BO1086" s="43"/>
      <c r="BP1086" s="43"/>
      <c r="BQ1086" s="43"/>
      <c r="BR1086" s="43"/>
      <c r="BS1086" s="43"/>
      <c r="BT1086" s="43"/>
      <c r="BU1086" s="43"/>
      <c r="BV1086" s="43"/>
      <c r="BW1086" s="43"/>
      <c r="BX1086" s="43"/>
      <c r="BY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c r="BO1087" s="43"/>
      <c r="BP1087" s="43"/>
      <c r="BQ1087" s="43"/>
      <c r="BR1087" s="43"/>
      <c r="BS1087" s="43"/>
      <c r="BT1087" s="43"/>
      <c r="BU1087" s="43"/>
      <c r="BV1087" s="43"/>
      <c r="BW1087" s="43"/>
      <c r="BX1087" s="43"/>
      <c r="BY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c r="BO1088" s="43"/>
      <c r="BP1088" s="43"/>
      <c r="BQ1088" s="43"/>
      <c r="BR1088" s="43"/>
      <c r="BS1088" s="43"/>
      <c r="BT1088" s="43"/>
      <c r="BU1088" s="43"/>
      <c r="BV1088" s="43"/>
      <c r="BW1088" s="43"/>
      <c r="BX1088" s="43"/>
      <c r="BY1088" s="43"/>
    </row>
    <row r="1089">
      <c r="A1089" s="47"/>
      <c r="B1089" s="47"/>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c r="BO1089" s="43"/>
      <c r="BP1089" s="43"/>
      <c r="BQ1089" s="43"/>
      <c r="BR1089" s="43"/>
      <c r="BS1089" s="43"/>
      <c r="BT1089" s="43"/>
      <c r="BU1089" s="43"/>
      <c r="BV1089" s="43"/>
      <c r="BW1089" s="43"/>
      <c r="BX1089" s="43"/>
      <c r="BY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c r="BO1090" s="43"/>
      <c r="BP1090" s="43"/>
      <c r="BQ1090" s="43"/>
      <c r="BR1090" s="43"/>
      <c r="BS1090" s="43"/>
      <c r="BT1090" s="43"/>
      <c r="BU1090" s="43"/>
      <c r="BV1090" s="43"/>
      <c r="BW1090" s="43"/>
      <c r="BX1090" s="43"/>
      <c r="BY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c r="BO1091" s="43"/>
      <c r="BP1091" s="43"/>
      <c r="BQ1091" s="43"/>
      <c r="BR1091" s="43"/>
      <c r="BS1091" s="43"/>
      <c r="BT1091" s="43"/>
      <c r="BU1091" s="43"/>
      <c r="BV1091" s="43"/>
      <c r="BW1091" s="43"/>
      <c r="BX1091" s="43"/>
      <c r="BY1091" s="43"/>
    </row>
    <row r="1092">
      <c r="A1092" s="47"/>
      <c r="B1092" s="47"/>
      <c r="C1092" s="47"/>
      <c r="D1092" s="47"/>
      <c r="E1092" s="47"/>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c r="BO1092" s="43"/>
      <c r="BP1092" s="43"/>
      <c r="BQ1092" s="43"/>
      <c r="BR1092" s="43"/>
      <c r="BS1092" s="43"/>
      <c r="BT1092" s="43"/>
      <c r="BU1092" s="43"/>
      <c r="BV1092" s="43"/>
      <c r="BW1092" s="43"/>
      <c r="BX1092" s="43"/>
      <c r="BY1092" s="43"/>
    </row>
    <row r="1093">
      <c r="A1093" s="47"/>
      <c r="B1093" s="47"/>
      <c r="C1093" s="47"/>
      <c r="D1093" s="47"/>
      <c r="E1093" s="47"/>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c r="BO1093" s="43"/>
      <c r="BP1093" s="43"/>
      <c r="BQ1093" s="43"/>
      <c r="BR1093" s="43"/>
      <c r="BS1093" s="43"/>
      <c r="BT1093" s="43"/>
      <c r="BU1093" s="43"/>
      <c r="BV1093" s="43"/>
      <c r="BW1093" s="43"/>
      <c r="BX1093" s="43"/>
      <c r="BY1093" s="43"/>
    </row>
    <row r="1094">
      <c r="A1094" s="47"/>
      <c r="B1094" s="47"/>
      <c r="C1094" s="47"/>
      <c r="D1094" s="47"/>
      <c r="E1094" s="47"/>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c r="BO1094" s="43"/>
      <c r="BP1094" s="43"/>
      <c r="BQ1094" s="43"/>
      <c r="BR1094" s="43"/>
      <c r="BS1094" s="43"/>
      <c r="BT1094" s="43"/>
      <c r="BU1094" s="43"/>
      <c r="BV1094" s="43"/>
      <c r="BW1094" s="43"/>
      <c r="BX1094" s="43"/>
      <c r="BY1094" s="43"/>
    </row>
    <row r="1095">
      <c r="A1095" s="47"/>
      <c r="B1095" s="47"/>
      <c r="C1095" s="47"/>
      <c r="D1095" s="47"/>
      <c r="E1095" s="47"/>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c r="BO1095" s="43"/>
      <c r="BP1095" s="43"/>
      <c r="BQ1095" s="43"/>
      <c r="BR1095" s="43"/>
      <c r="BS1095" s="43"/>
      <c r="BT1095" s="43"/>
      <c r="BU1095" s="43"/>
      <c r="BV1095" s="43"/>
      <c r="BW1095" s="43"/>
      <c r="BX1095" s="43"/>
      <c r="BY1095" s="43"/>
    </row>
    <row r="1096">
      <c r="A1096" s="47"/>
      <c r="B1096" s="47"/>
      <c r="C1096" s="47"/>
      <c r="D1096" s="47"/>
      <c r="E1096" s="47"/>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c r="BO1096" s="43"/>
      <c r="BP1096" s="43"/>
      <c r="BQ1096" s="43"/>
      <c r="BR1096" s="43"/>
      <c r="BS1096" s="43"/>
      <c r="BT1096" s="43"/>
      <c r="BU1096" s="43"/>
      <c r="BV1096" s="43"/>
      <c r="BW1096" s="43"/>
      <c r="BX1096" s="43"/>
      <c r="BY1096" s="43"/>
    </row>
    <row r="1097">
      <c r="A1097" s="47"/>
      <c r="B1097" s="47"/>
      <c r="C1097" s="47"/>
      <c r="D1097" s="47"/>
      <c r="E1097" s="47"/>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3"/>
      <c r="AZ1097" s="43"/>
      <c r="BA1097" s="43"/>
      <c r="BB1097" s="43"/>
      <c r="BC1097" s="43"/>
      <c r="BD1097" s="43"/>
      <c r="BE1097" s="43"/>
      <c r="BF1097" s="43"/>
      <c r="BG1097" s="43"/>
      <c r="BH1097" s="43"/>
      <c r="BI1097" s="43"/>
      <c r="BJ1097" s="43"/>
      <c r="BK1097" s="43"/>
      <c r="BL1097" s="43"/>
      <c r="BM1097" s="43"/>
      <c r="BN1097" s="43"/>
      <c r="BO1097" s="43"/>
      <c r="BP1097" s="43"/>
      <c r="BQ1097" s="43"/>
      <c r="BR1097" s="43"/>
      <c r="BS1097" s="43"/>
      <c r="BT1097" s="43"/>
      <c r="BU1097" s="43"/>
      <c r="BV1097" s="43"/>
      <c r="BW1097" s="43"/>
      <c r="BX1097" s="43"/>
      <c r="BY1097" s="43"/>
    </row>
    <row r="1098">
      <c r="A1098" s="47"/>
      <c r="B1098" s="47"/>
      <c r="C1098" s="47"/>
      <c r="D1098" s="47"/>
      <c r="E1098" s="47"/>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c r="BO1098" s="43"/>
      <c r="BP1098" s="43"/>
      <c r="BQ1098" s="43"/>
      <c r="BR1098" s="43"/>
      <c r="BS1098" s="43"/>
      <c r="BT1098" s="43"/>
      <c r="BU1098" s="43"/>
      <c r="BV1098" s="43"/>
      <c r="BW1098" s="43"/>
      <c r="BX1098" s="43"/>
      <c r="BY1098" s="43"/>
    </row>
    <row r="1099">
      <c r="A1099" s="47"/>
      <c r="B1099" s="47"/>
      <c r="C1099" s="47"/>
      <c r="D1099" s="47"/>
      <c r="E1099" s="47"/>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3"/>
      <c r="AZ1099" s="43"/>
      <c r="BA1099" s="43"/>
      <c r="BB1099" s="43"/>
      <c r="BC1099" s="43"/>
      <c r="BD1099" s="43"/>
      <c r="BE1099" s="43"/>
      <c r="BF1099" s="43"/>
      <c r="BG1099" s="43"/>
      <c r="BH1099" s="43"/>
      <c r="BI1099" s="43"/>
      <c r="BJ1099" s="43"/>
      <c r="BK1099" s="43"/>
      <c r="BL1099" s="43"/>
      <c r="BM1099" s="43"/>
      <c r="BN1099" s="43"/>
      <c r="BO1099" s="43"/>
      <c r="BP1099" s="43"/>
      <c r="BQ1099" s="43"/>
      <c r="BR1099" s="43"/>
      <c r="BS1099" s="43"/>
      <c r="BT1099" s="43"/>
      <c r="BU1099" s="43"/>
      <c r="BV1099" s="43"/>
      <c r="BW1099" s="43"/>
      <c r="BX1099" s="43"/>
      <c r="BY1099" s="43"/>
    </row>
    <row r="1100">
      <c r="A1100" s="47"/>
      <c r="B1100" s="47"/>
      <c r="C1100" s="47"/>
      <c r="D1100" s="47"/>
      <c r="E1100" s="47"/>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3"/>
      <c r="AZ1100" s="43"/>
      <c r="BA1100" s="43"/>
      <c r="BB1100" s="43"/>
      <c r="BC1100" s="43"/>
      <c r="BD1100" s="43"/>
      <c r="BE1100" s="43"/>
      <c r="BF1100" s="43"/>
      <c r="BG1100" s="43"/>
      <c r="BH1100" s="43"/>
      <c r="BI1100" s="43"/>
      <c r="BJ1100" s="43"/>
      <c r="BK1100" s="43"/>
      <c r="BL1100" s="43"/>
      <c r="BM1100" s="43"/>
      <c r="BN1100" s="43"/>
      <c r="BO1100" s="43"/>
      <c r="BP1100" s="43"/>
      <c r="BQ1100" s="43"/>
      <c r="BR1100" s="43"/>
      <c r="BS1100" s="43"/>
      <c r="BT1100" s="43"/>
      <c r="BU1100" s="43"/>
      <c r="BV1100" s="43"/>
      <c r="BW1100" s="43"/>
      <c r="BX1100" s="43"/>
      <c r="BY1100" s="43"/>
    </row>
    <row r="1101">
      <c r="A1101" s="47"/>
      <c r="B1101" s="47"/>
      <c r="C1101" s="47"/>
      <c r="D1101" s="47"/>
      <c r="E1101" s="47"/>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3"/>
      <c r="AZ1101" s="43"/>
      <c r="BA1101" s="43"/>
      <c r="BB1101" s="43"/>
      <c r="BC1101" s="43"/>
      <c r="BD1101" s="43"/>
      <c r="BE1101" s="43"/>
      <c r="BF1101" s="43"/>
      <c r="BG1101" s="43"/>
      <c r="BH1101" s="43"/>
      <c r="BI1101" s="43"/>
      <c r="BJ1101" s="43"/>
      <c r="BK1101" s="43"/>
      <c r="BL1101" s="43"/>
      <c r="BM1101" s="43"/>
      <c r="BN1101" s="43"/>
      <c r="BO1101" s="43"/>
      <c r="BP1101" s="43"/>
      <c r="BQ1101" s="43"/>
      <c r="BR1101" s="43"/>
      <c r="BS1101" s="43"/>
      <c r="BT1101" s="43"/>
      <c r="BU1101" s="43"/>
      <c r="BV1101" s="43"/>
      <c r="BW1101" s="43"/>
      <c r="BX1101" s="43"/>
      <c r="BY1101" s="43"/>
    </row>
    <row r="1102">
      <c r="A1102" s="47"/>
      <c r="B1102" s="47"/>
      <c r="C1102" s="47"/>
      <c r="D1102" s="47"/>
      <c r="E1102" s="47"/>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3"/>
      <c r="AZ1102" s="43"/>
      <c r="BA1102" s="43"/>
      <c r="BB1102" s="43"/>
      <c r="BC1102" s="43"/>
      <c r="BD1102" s="43"/>
      <c r="BE1102" s="43"/>
      <c r="BF1102" s="43"/>
      <c r="BG1102" s="43"/>
      <c r="BH1102" s="43"/>
      <c r="BI1102" s="43"/>
      <c r="BJ1102" s="43"/>
      <c r="BK1102" s="43"/>
      <c r="BL1102" s="43"/>
      <c r="BM1102" s="43"/>
      <c r="BN1102" s="43"/>
      <c r="BO1102" s="43"/>
      <c r="BP1102" s="43"/>
      <c r="BQ1102" s="43"/>
      <c r="BR1102" s="43"/>
      <c r="BS1102" s="43"/>
      <c r="BT1102" s="43"/>
      <c r="BU1102" s="43"/>
      <c r="BV1102" s="43"/>
      <c r="BW1102" s="43"/>
      <c r="BX1102" s="43"/>
      <c r="BY1102" s="43"/>
    </row>
    <row r="1103">
      <c r="A1103" s="47"/>
      <c r="B1103" s="47"/>
      <c r="C1103" s="47"/>
      <c r="D1103" s="47"/>
      <c r="E1103" s="47"/>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3"/>
      <c r="AZ1103" s="43"/>
      <c r="BA1103" s="43"/>
      <c r="BB1103" s="43"/>
      <c r="BC1103" s="43"/>
      <c r="BD1103" s="43"/>
      <c r="BE1103" s="43"/>
      <c r="BF1103" s="43"/>
      <c r="BG1103" s="43"/>
      <c r="BH1103" s="43"/>
      <c r="BI1103" s="43"/>
      <c r="BJ1103" s="43"/>
      <c r="BK1103" s="43"/>
      <c r="BL1103" s="43"/>
      <c r="BM1103" s="43"/>
      <c r="BN1103" s="43"/>
      <c r="BO1103" s="43"/>
      <c r="BP1103" s="43"/>
      <c r="BQ1103" s="43"/>
      <c r="BR1103" s="43"/>
      <c r="BS1103" s="43"/>
      <c r="BT1103" s="43"/>
      <c r="BU1103" s="43"/>
      <c r="BV1103" s="43"/>
      <c r="BW1103" s="43"/>
      <c r="BX1103" s="43"/>
      <c r="BY1103" s="43"/>
    </row>
    <row r="1104">
      <c r="A1104" s="47"/>
      <c r="B1104" s="47"/>
      <c r="C1104" s="47"/>
      <c r="D1104" s="47"/>
      <c r="E1104" s="47"/>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3"/>
      <c r="AZ1104" s="43"/>
      <c r="BA1104" s="43"/>
      <c r="BB1104" s="43"/>
      <c r="BC1104" s="43"/>
      <c r="BD1104" s="43"/>
      <c r="BE1104" s="43"/>
      <c r="BF1104" s="43"/>
      <c r="BG1104" s="43"/>
      <c r="BH1104" s="43"/>
      <c r="BI1104" s="43"/>
      <c r="BJ1104" s="43"/>
      <c r="BK1104" s="43"/>
      <c r="BL1104" s="43"/>
      <c r="BM1104" s="43"/>
      <c r="BN1104" s="43"/>
      <c r="BO1104" s="43"/>
      <c r="BP1104" s="43"/>
      <c r="BQ1104" s="43"/>
      <c r="BR1104" s="43"/>
      <c r="BS1104" s="43"/>
      <c r="BT1104" s="43"/>
      <c r="BU1104" s="43"/>
      <c r="BV1104" s="43"/>
      <c r="BW1104" s="43"/>
      <c r="BX1104" s="43"/>
      <c r="BY1104" s="43"/>
    </row>
    <row r="1105">
      <c r="A1105" s="47"/>
      <c r="B1105" s="47"/>
      <c r="C1105" s="47"/>
      <c r="D1105" s="47"/>
      <c r="E1105" s="47"/>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3"/>
      <c r="AZ1105" s="43"/>
      <c r="BA1105" s="43"/>
      <c r="BB1105" s="43"/>
      <c r="BC1105" s="43"/>
      <c r="BD1105" s="43"/>
      <c r="BE1105" s="43"/>
      <c r="BF1105" s="43"/>
      <c r="BG1105" s="43"/>
      <c r="BH1105" s="43"/>
      <c r="BI1105" s="43"/>
      <c r="BJ1105" s="43"/>
      <c r="BK1105" s="43"/>
      <c r="BL1105" s="43"/>
      <c r="BM1105" s="43"/>
      <c r="BN1105" s="43"/>
      <c r="BO1105" s="43"/>
      <c r="BP1105" s="43"/>
      <c r="BQ1105" s="43"/>
      <c r="BR1105" s="43"/>
      <c r="BS1105" s="43"/>
      <c r="BT1105" s="43"/>
      <c r="BU1105" s="43"/>
      <c r="BV1105" s="43"/>
      <c r="BW1105" s="43"/>
      <c r="BX1105" s="43"/>
      <c r="BY1105" s="43"/>
    </row>
    <row r="1106">
      <c r="A1106" s="47"/>
      <c r="B1106" s="47"/>
      <c r="C1106" s="47"/>
      <c r="D1106" s="47"/>
      <c r="E1106" s="47"/>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3"/>
      <c r="AZ1106" s="43"/>
      <c r="BA1106" s="43"/>
      <c r="BB1106" s="43"/>
      <c r="BC1106" s="43"/>
      <c r="BD1106" s="43"/>
      <c r="BE1106" s="43"/>
      <c r="BF1106" s="43"/>
      <c r="BG1106" s="43"/>
      <c r="BH1106" s="43"/>
      <c r="BI1106" s="43"/>
      <c r="BJ1106" s="43"/>
      <c r="BK1106" s="43"/>
      <c r="BL1106" s="43"/>
      <c r="BM1106" s="43"/>
      <c r="BN1106" s="43"/>
      <c r="BO1106" s="43"/>
      <c r="BP1106" s="43"/>
      <c r="BQ1106" s="43"/>
      <c r="BR1106" s="43"/>
      <c r="BS1106" s="43"/>
      <c r="BT1106" s="43"/>
      <c r="BU1106" s="43"/>
      <c r="BV1106" s="43"/>
      <c r="BW1106" s="43"/>
      <c r="BX1106" s="43"/>
      <c r="BY1106" s="43"/>
    </row>
    <row r="1107">
      <c r="A1107" s="47"/>
      <c r="B1107" s="47"/>
      <c r="C1107" s="47"/>
      <c r="D1107" s="47"/>
      <c r="E1107" s="47"/>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3"/>
      <c r="AZ1107" s="43"/>
      <c r="BA1107" s="43"/>
      <c r="BB1107" s="43"/>
      <c r="BC1107" s="43"/>
      <c r="BD1107" s="43"/>
      <c r="BE1107" s="43"/>
      <c r="BF1107" s="43"/>
      <c r="BG1107" s="43"/>
      <c r="BH1107" s="43"/>
      <c r="BI1107" s="43"/>
      <c r="BJ1107" s="43"/>
      <c r="BK1107" s="43"/>
      <c r="BL1107" s="43"/>
      <c r="BM1107" s="43"/>
      <c r="BN1107" s="43"/>
      <c r="BO1107" s="43"/>
      <c r="BP1107" s="43"/>
      <c r="BQ1107" s="43"/>
      <c r="BR1107" s="43"/>
      <c r="BS1107" s="43"/>
      <c r="BT1107" s="43"/>
      <c r="BU1107" s="43"/>
      <c r="BV1107" s="43"/>
      <c r="BW1107" s="43"/>
      <c r="BX1107" s="43"/>
      <c r="BY1107" s="43"/>
    </row>
    <row r="1108">
      <c r="A1108" s="47"/>
      <c r="B1108" s="47"/>
      <c r="C1108" s="47"/>
      <c r="D1108" s="47"/>
      <c r="E1108" s="47"/>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3"/>
      <c r="AZ1108" s="43"/>
      <c r="BA1108" s="43"/>
      <c r="BB1108" s="43"/>
      <c r="BC1108" s="43"/>
      <c r="BD1108" s="43"/>
      <c r="BE1108" s="43"/>
      <c r="BF1108" s="43"/>
      <c r="BG1108" s="43"/>
      <c r="BH1108" s="43"/>
      <c r="BI1108" s="43"/>
      <c r="BJ1108" s="43"/>
      <c r="BK1108" s="43"/>
      <c r="BL1108" s="43"/>
      <c r="BM1108" s="43"/>
      <c r="BN1108" s="43"/>
      <c r="BO1108" s="43"/>
      <c r="BP1108" s="43"/>
      <c r="BQ1108" s="43"/>
      <c r="BR1108" s="43"/>
      <c r="BS1108" s="43"/>
      <c r="BT1108" s="43"/>
      <c r="BU1108" s="43"/>
      <c r="BV1108" s="43"/>
      <c r="BW1108" s="43"/>
      <c r="BX1108" s="43"/>
      <c r="BY1108" s="43"/>
    </row>
    <row r="1109">
      <c r="A1109" s="47"/>
      <c r="B1109" s="47"/>
      <c r="C1109" s="47"/>
      <c r="D1109" s="47"/>
      <c r="E1109" s="47"/>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3"/>
      <c r="AZ1109" s="43"/>
      <c r="BA1109" s="43"/>
      <c r="BB1109" s="43"/>
      <c r="BC1109" s="43"/>
      <c r="BD1109" s="43"/>
      <c r="BE1109" s="43"/>
      <c r="BF1109" s="43"/>
      <c r="BG1109" s="43"/>
      <c r="BH1109" s="43"/>
      <c r="BI1109" s="43"/>
      <c r="BJ1109" s="43"/>
      <c r="BK1109" s="43"/>
      <c r="BL1109" s="43"/>
      <c r="BM1109" s="43"/>
      <c r="BN1109" s="43"/>
      <c r="BO1109" s="43"/>
      <c r="BP1109" s="43"/>
      <c r="BQ1109" s="43"/>
      <c r="BR1109" s="43"/>
      <c r="BS1109" s="43"/>
      <c r="BT1109" s="43"/>
      <c r="BU1109" s="43"/>
      <c r="BV1109" s="43"/>
      <c r="BW1109" s="43"/>
      <c r="BX1109" s="43"/>
      <c r="BY1109" s="43"/>
    </row>
    <row r="1110">
      <c r="A1110" s="47"/>
      <c r="B1110" s="47"/>
      <c r="C1110" s="47"/>
      <c r="D1110" s="47"/>
      <c r="E1110" s="47"/>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3"/>
      <c r="AZ1110" s="43"/>
      <c r="BA1110" s="43"/>
      <c r="BB1110" s="43"/>
      <c r="BC1110" s="43"/>
      <c r="BD1110" s="43"/>
      <c r="BE1110" s="43"/>
      <c r="BF1110" s="43"/>
      <c r="BG1110" s="43"/>
      <c r="BH1110" s="43"/>
      <c r="BI1110" s="43"/>
      <c r="BJ1110" s="43"/>
      <c r="BK1110" s="43"/>
      <c r="BL1110" s="43"/>
      <c r="BM1110" s="43"/>
      <c r="BN1110" s="43"/>
      <c r="BO1110" s="43"/>
      <c r="BP1110" s="43"/>
      <c r="BQ1110" s="43"/>
      <c r="BR1110" s="43"/>
      <c r="BS1110" s="43"/>
      <c r="BT1110" s="43"/>
      <c r="BU1110" s="43"/>
      <c r="BV1110" s="43"/>
      <c r="BW1110" s="43"/>
      <c r="BX1110" s="43"/>
      <c r="BY1110" s="43"/>
    </row>
    <row r="1111">
      <c r="A1111" s="47"/>
      <c r="B1111" s="47"/>
      <c r="C1111" s="47"/>
      <c r="D1111" s="47"/>
      <c r="E1111" s="47"/>
      <c r="F1111" s="43"/>
      <c r="G1111" s="43"/>
      <c r="H1111" s="43"/>
      <c r="I1111" s="43"/>
      <c r="J1111" s="43"/>
      <c r="K1111" s="43"/>
      <c r="L1111" s="43"/>
      <c r="M1111" s="43"/>
      <c r="N1111" s="43"/>
      <c r="O1111" s="43"/>
      <c r="P1111" s="43"/>
      <c r="Q1111" s="43"/>
      <c r="R1111" s="43"/>
      <c r="S1111" s="43"/>
      <c r="T1111" s="43"/>
      <c r="U1111" s="43"/>
      <c r="V1111" s="43"/>
      <c r="W1111" s="43"/>
      <c r="X1111" s="43"/>
      <c r="Y1111" s="43"/>
      <c r="Z1111" s="43"/>
      <c r="AA1111" s="43"/>
      <c r="AB1111" s="43"/>
      <c r="AC1111" s="43"/>
      <c r="AD1111" s="43"/>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3"/>
      <c r="AZ1111" s="43"/>
      <c r="BA1111" s="43"/>
      <c r="BB1111" s="43"/>
      <c r="BC1111" s="43"/>
      <c r="BD1111" s="43"/>
      <c r="BE1111" s="43"/>
      <c r="BF1111" s="43"/>
      <c r="BG1111" s="43"/>
      <c r="BH1111" s="43"/>
      <c r="BI1111" s="43"/>
      <c r="BJ1111" s="43"/>
      <c r="BK1111" s="43"/>
      <c r="BL1111" s="43"/>
      <c r="BM1111" s="43"/>
      <c r="BN1111" s="43"/>
      <c r="BO1111" s="43"/>
      <c r="BP1111" s="43"/>
      <c r="BQ1111" s="43"/>
      <c r="BR1111" s="43"/>
      <c r="BS1111" s="43"/>
      <c r="BT1111" s="43"/>
      <c r="BU1111" s="43"/>
      <c r="BV1111" s="43"/>
      <c r="BW1111" s="43"/>
      <c r="BX1111" s="43"/>
      <c r="BY1111" s="43"/>
    </row>
    <row r="1112">
      <c r="A1112" s="47"/>
      <c r="B1112" s="47"/>
      <c r="C1112" s="47"/>
      <c r="D1112" s="47"/>
      <c r="E1112" s="47"/>
      <c r="F1112" s="43"/>
      <c r="G1112" s="43"/>
      <c r="H1112" s="43"/>
      <c r="I1112" s="43"/>
      <c r="J1112" s="43"/>
      <c r="K1112" s="43"/>
      <c r="L1112" s="43"/>
      <c r="M1112" s="43"/>
      <c r="N1112" s="43"/>
      <c r="O1112" s="43"/>
      <c r="P1112" s="43"/>
      <c r="Q1112" s="43"/>
      <c r="R1112" s="43"/>
      <c r="S1112" s="43"/>
      <c r="T1112" s="43"/>
      <c r="U1112" s="43"/>
      <c r="V1112" s="43"/>
      <c r="W1112" s="43"/>
      <c r="X1112" s="43"/>
      <c r="Y1112" s="43"/>
      <c r="Z1112" s="43"/>
      <c r="AA1112" s="43"/>
      <c r="AB1112" s="43"/>
      <c r="AC1112" s="43"/>
      <c r="AD1112" s="43"/>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3"/>
      <c r="AZ1112" s="43"/>
      <c r="BA1112" s="43"/>
      <c r="BB1112" s="43"/>
      <c r="BC1112" s="43"/>
      <c r="BD1112" s="43"/>
      <c r="BE1112" s="43"/>
      <c r="BF1112" s="43"/>
      <c r="BG1112" s="43"/>
      <c r="BH1112" s="43"/>
      <c r="BI1112" s="43"/>
      <c r="BJ1112" s="43"/>
      <c r="BK1112" s="43"/>
      <c r="BL1112" s="43"/>
      <c r="BM1112" s="43"/>
      <c r="BN1112" s="43"/>
      <c r="BO1112" s="43"/>
      <c r="BP1112" s="43"/>
      <c r="BQ1112" s="43"/>
      <c r="BR1112" s="43"/>
      <c r="BS1112" s="43"/>
      <c r="BT1112" s="43"/>
      <c r="BU1112" s="43"/>
      <c r="BV1112" s="43"/>
      <c r="BW1112" s="43"/>
      <c r="BX1112" s="43"/>
      <c r="BY1112" s="43"/>
    </row>
    <row r="1113">
      <c r="A1113" s="47"/>
      <c r="B1113" s="47"/>
      <c r="C1113" s="47"/>
      <c r="D1113" s="47"/>
      <c r="E1113" s="47"/>
      <c r="F1113" s="43"/>
      <c r="G1113" s="43"/>
      <c r="H1113" s="43"/>
      <c r="I1113" s="43"/>
      <c r="J1113" s="43"/>
      <c r="K1113" s="43"/>
      <c r="L1113" s="43"/>
      <c r="M1113" s="43"/>
      <c r="N1113" s="43"/>
      <c r="O1113" s="43"/>
      <c r="P1113" s="43"/>
      <c r="Q1113" s="43"/>
      <c r="R1113" s="43"/>
      <c r="S1113" s="43"/>
      <c r="T1113" s="43"/>
      <c r="U1113" s="43"/>
      <c r="V1113" s="43"/>
      <c r="W1113" s="43"/>
      <c r="X1113" s="43"/>
      <c r="Y1113" s="43"/>
      <c r="Z1113" s="43"/>
      <c r="AA1113" s="43"/>
      <c r="AB1113" s="43"/>
      <c r="AC1113" s="43"/>
      <c r="AD1113" s="43"/>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3"/>
      <c r="AZ1113" s="43"/>
      <c r="BA1113" s="43"/>
      <c r="BB1113" s="43"/>
      <c r="BC1113" s="43"/>
      <c r="BD1113" s="43"/>
      <c r="BE1113" s="43"/>
      <c r="BF1113" s="43"/>
      <c r="BG1113" s="43"/>
      <c r="BH1113" s="43"/>
      <c r="BI1113" s="43"/>
      <c r="BJ1113" s="43"/>
      <c r="BK1113" s="43"/>
      <c r="BL1113" s="43"/>
      <c r="BM1113" s="43"/>
      <c r="BN1113" s="43"/>
      <c r="BO1113" s="43"/>
      <c r="BP1113" s="43"/>
      <c r="BQ1113" s="43"/>
      <c r="BR1113" s="43"/>
      <c r="BS1113" s="43"/>
      <c r="BT1113" s="43"/>
      <c r="BU1113" s="43"/>
      <c r="BV1113" s="43"/>
      <c r="BW1113" s="43"/>
      <c r="BX1113" s="43"/>
      <c r="BY1113" s="43"/>
    </row>
    <row r="1114">
      <c r="A1114" s="47"/>
      <c r="B1114" s="47"/>
      <c r="C1114" s="47"/>
      <c r="D1114" s="47"/>
      <c r="E1114" s="47"/>
      <c r="F1114" s="43"/>
      <c r="G1114" s="43"/>
      <c r="H1114" s="43"/>
      <c r="I1114" s="43"/>
      <c r="J1114" s="43"/>
      <c r="K1114" s="43"/>
      <c r="L1114" s="43"/>
      <c r="M1114" s="43"/>
      <c r="N1114" s="43"/>
      <c r="O1114" s="43"/>
      <c r="P1114" s="43"/>
      <c r="Q1114" s="43"/>
      <c r="R1114" s="43"/>
      <c r="S1114" s="43"/>
      <c r="T1114" s="43"/>
      <c r="U1114" s="43"/>
      <c r="V1114" s="43"/>
      <c r="W1114" s="43"/>
      <c r="X1114" s="43"/>
      <c r="Y1114" s="43"/>
      <c r="Z1114" s="43"/>
      <c r="AA1114" s="43"/>
      <c r="AB1114" s="43"/>
      <c r="AC1114" s="43"/>
      <c r="AD1114" s="43"/>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3"/>
      <c r="AZ1114" s="43"/>
      <c r="BA1114" s="43"/>
      <c r="BB1114" s="43"/>
      <c r="BC1114" s="43"/>
      <c r="BD1114" s="43"/>
      <c r="BE1114" s="43"/>
      <c r="BF1114" s="43"/>
      <c r="BG1114" s="43"/>
      <c r="BH1114" s="43"/>
      <c r="BI1114" s="43"/>
      <c r="BJ1114" s="43"/>
      <c r="BK1114" s="43"/>
      <c r="BL1114" s="43"/>
      <c r="BM1114" s="43"/>
      <c r="BN1114" s="43"/>
      <c r="BO1114" s="43"/>
      <c r="BP1114" s="43"/>
      <c r="BQ1114" s="43"/>
      <c r="BR1114" s="43"/>
      <c r="BS1114" s="43"/>
      <c r="BT1114" s="43"/>
      <c r="BU1114" s="43"/>
      <c r="BV1114" s="43"/>
      <c r="BW1114" s="43"/>
      <c r="BX1114" s="43"/>
      <c r="BY1114" s="43"/>
    </row>
    <row r="1115">
      <c r="A1115" s="47"/>
      <c r="B1115" s="47"/>
      <c r="C1115" s="47"/>
      <c r="D1115" s="47"/>
      <c r="E1115" s="47"/>
      <c r="F1115" s="43"/>
      <c r="G1115" s="43"/>
      <c r="H1115" s="43"/>
      <c r="I1115" s="43"/>
      <c r="J1115" s="43"/>
      <c r="K1115" s="43"/>
      <c r="L1115" s="43"/>
      <c r="M1115" s="43"/>
      <c r="N1115" s="43"/>
      <c r="O1115" s="43"/>
      <c r="P1115" s="43"/>
      <c r="Q1115" s="43"/>
      <c r="R1115" s="43"/>
      <c r="S1115" s="43"/>
      <c r="T1115" s="43"/>
      <c r="U1115" s="43"/>
      <c r="V1115" s="43"/>
      <c r="W1115" s="43"/>
      <c r="X1115" s="43"/>
      <c r="Y1115" s="43"/>
      <c r="Z1115" s="43"/>
      <c r="AA1115" s="43"/>
      <c r="AB1115" s="43"/>
      <c r="AC1115" s="43"/>
      <c r="AD1115" s="43"/>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3"/>
      <c r="AZ1115" s="43"/>
      <c r="BA1115" s="43"/>
      <c r="BB1115" s="43"/>
      <c r="BC1115" s="43"/>
      <c r="BD1115" s="43"/>
      <c r="BE1115" s="43"/>
      <c r="BF1115" s="43"/>
      <c r="BG1115" s="43"/>
      <c r="BH1115" s="43"/>
      <c r="BI1115" s="43"/>
      <c r="BJ1115" s="43"/>
      <c r="BK1115" s="43"/>
      <c r="BL1115" s="43"/>
      <c r="BM1115" s="43"/>
      <c r="BN1115" s="43"/>
      <c r="BO1115" s="43"/>
      <c r="BP1115" s="43"/>
      <c r="BQ1115" s="43"/>
      <c r="BR1115" s="43"/>
      <c r="BS1115" s="43"/>
      <c r="BT1115" s="43"/>
      <c r="BU1115" s="43"/>
      <c r="BV1115" s="43"/>
      <c r="BW1115" s="43"/>
      <c r="BX1115" s="43"/>
      <c r="BY1115" s="43"/>
    </row>
    <row r="1116">
      <c r="A1116" s="47"/>
      <c r="B1116" s="47"/>
      <c r="C1116" s="47"/>
      <c r="D1116" s="47"/>
      <c r="E1116" s="47"/>
      <c r="F1116" s="43"/>
      <c r="G1116" s="43"/>
      <c r="H1116" s="43"/>
      <c r="I1116" s="43"/>
      <c r="J1116" s="43"/>
      <c r="K1116" s="43"/>
      <c r="L1116" s="43"/>
      <c r="M1116" s="43"/>
      <c r="N1116" s="43"/>
      <c r="O1116" s="43"/>
      <c r="P1116" s="43"/>
      <c r="Q1116" s="43"/>
      <c r="R1116" s="43"/>
      <c r="S1116" s="43"/>
      <c r="T1116" s="43"/>
      <c r="U1116" s="43"/>
      <c r="V1116" s="43"/>
      <c r="W1116" s="43"/>
      <c r="X1116" s="43"/>
      <c r="Y1116" s="43"/>
      <c r="Z1116" s="43"/>
      <c r="AA1116" s="43"/>
      <c r="AB1116" s="43"/>
      <c r="AC1116" s="43"/>
      <c r="AD1116" s="43"/>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3"/>
      <c r="AZ1116" s="43"/>
      <c r="BA1116" s="43"/>
      <c r="BB1116" s="43"/>
      <c r="BC1116" s="43"/>
      <c r="BD1116" s="43"/>
      <c r="BE1116" s="43"/>
      <c r="BF1116" s="43"/>
      <c r="BG1116" s="43"/>
      <c r="BH1116" s="43"/>
      <c r="BI1116" s="43"/>
      <c r="BJ1116" s="43"/>
      <c r="BK1116" s="43"/>
      <c r="BL1116" s="43"/>
      <c r="BM1116" s="43"/>
      <c r="BN1116" s="43"/>
      <c r="BO1116" s="43"/>
      <c r="BP1116" s="43"/>
      <c r="BQ1116" s="43"/>
      <c r="BR1116" s="43"/>
      <c r="BS1116" s="43"/>
      <c r="BT1116" s="43"/>
      <c r="BU1116" s="43"/>
      <c r="BV1116" s="43"/>
      <c r="BW1116" s="43"/>
      <c r="BX1116" s="43"/>
      <c r="BY1116" s="43"/>
    </row>
    <row r="1117">
      <c r="A1117" s="47"/>
      <c r="B1117" s="47"/>
      <c r="C1117" s="47"/>
      <c r="D1117" s="47"/>
      <c r="E1117" s="47"/>
      <c r="F1117" s="43"/>
      <c r="G1117" s="43"/>
      <c r="H1117" s="43"/>
      <c r="I1117" s="43"/>
      <c r="J1117" s="43"/>
      <c r="K1117" s="43"/>
      <c r="L1117" s="43"/>
      <c r="M1117" s="43"/>
      <c r="N1117" s="43"/>
      <c r="O1117" s="43"/>
      <c r="P1117" s="43"/>
      <c r="Q1117" s="43"/>
      <c r="R1117" s="43"/>
      <c r="S1117" s="43"/>
      <c r="T1117" s="43"/>
      <c r="U1117" s="43"/>
      <c r="V1117" s="43"/>
      <c r="W1117" s="43"/>
      <c r="X1117" s="43"/>
      <c r="Y1117" s="43"/>
      <c r="Z1117" s="43"/>
      <c r="AA1117" s="43"/>
      <c r="AB1117" s="43"/>
      <c r="AC1117" s="43"/>
      <c r="AD1117" s="43"/>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3"/>
      <c r="AZ1117" s="43"/>
      <c r="BA1117" s="43"/>
      <c r="BB1117" s="43"/>
      <c r="BC1117" s="43"/>
      <c r="BD1117" s="43"/>
      <c r="BE1117" s="43"/>
      <c r="BF1117" s="43"/>
      <c r="BG1117" s="43"/>
      <c r="BH1117" s="43"/>
      <c r="BI1117" s="43"/>
      <c r="BJ1117" s="43"/>
      <c r="BK1117" s="43"/>
      <c r="BL1117" s="43"/>
      <c r="BM1117" s="43"/>
      <c r="BN1117" s="43"/>
      <c r="BO1117" s="43"/>
      <c r="BP1117" s="43"/>
      <c r="BQ1117" s="43"/>
      <c r="BR1117" s="43"/>
      <c r="BS1117" s="43"/>
      <c r="BT1117" s="43"/>
      <c r="BU1117" s="43"/>
      <c r="BV1117" s="43"/>
      <c r="BW1117" s="43"/>
      <c r="BX1117" s="43"/>
      <c r="BY1117" s="43"/>
    </row>
    <row r="1118">
      <c r="A1118" s="47"/>
      <c r="B1118" s="47"/>
      <c r="C1118" s="47"/>
      <c r="D1118" s="47"/>
      <c r="E1118" s="47"/>
      <c r="F1118" s="43"/>
      <c r="G1118" s="43"/>
      <c r="H1118" s="43"/>
      <c r="I1118" s="43"/>
      <c r="J1118" s="43"/>
      <c r="K1118" s="43"/>
      <c r="L1118" s="43"/>
      <c r="M1118" s="43"/>
      <c r="N1118" s="43"/>
      <c r="O1118" s="43"/>
      <c r="P1118" s="43"/>
      <c r="Q1118" s="43"/>
      <c r="R1118" s="43"/>
      <c r="S1118" s="43"/>
      <c r="T1118" s="43"/>
      <c r="U1118" s="43"/>
      <c r="V1118" s="43"/>
      <c r="W1118" s="43"/>
      <c r="X1118" s="43"/>
      <c r="Y1118" s="43"/>
      <c r="Z1118" s="43"/>
      <c r="AA1118" s="43"/>
      <c r="AB1118" s="43"/>
      <c r="AC1118" s="43"/>
      <c r="AD1118" s="43"/>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3"/>
      <c r="AZ1118" s="43"/>
      <c r="BA1118" s="43"/>
      <c r="BB1118" s="43"/>
      <c r="BC1118" s="43"/>
      <c r="BD1118" s="43"/>
      <c r="BE1118" s="43"/>
      <c r="BF1118" s="43"/>
      <c r="BG1118" s="43"/>
      <c r="BH1118" s="43"/>
      <c r="BI1118" s="43"/>
      <c r="BJ1118" s="43"/>
      <c r="BK1118" s="43"/>
      <c r="BL1118" s="43"/>
      <c r="BM1118" s="43"/>
      <c r="BN1118" s="43"/>
      <c r="BO1118" s="43"/>
      <c r="BP1118" s="43"/>
      <c r="BQ1118" s="43"/>
      <c r="BR1118" s="43"/>
      <c r="BS1118" s="43"/>
      <c r="BT1118" s="43"/>
      <c r="BU1118" s="43"/>
      <c r="BV1118" s="43"/>
      <c r="BW1118" s="43"/>
      <c r="BX1118" s="43"/>
      <c r="BY1118" s="43"/>
    </row>
    <row r="1119">
      <c r="A1119" s="47"/>
      <c r="B1119" s="47"/>
      <c r="C1119" s="47"/>
      <c r="D1119" s="47"/>
      <c r="E1119" s="47"/>
      <c r="F1119" s="43"/>
      <c r="G1119" s="43"/>
      <c r="H1119" s="43"/>
      <c r="I1119" s="43"/>
      <c r="J1119" s="43"/>
      <c r="K1119" s="43"/>
      <c r="L1119" s="43"/>
      <c r="M1119" s="43"/>
      <c r="N1119" s="43"/>
      <c r="O1119" s="43"/>
      <c r="P1119" s="43"/>
      <c r="Q1119" s="43"/>
      <c r="R1119" s="43"/>
      <c r="S1119" s="43"/>
      <c r="T1119" s="43"/>
      <c r="U1119" s="43"/>
      <c r="V1119" s="43"/>
      <c r="W1119" s="43"/>
      <c r="X1119" s="43"/>
      <c r="Y1119" s="43"/>
      <c r="Z1119" s="43"/>
      <c r="AA1119" s="43"/>
      <c r="AB1119" s="43"/>
      <c r="AC1119" s="43"/>
      <c r="AD1119" s="43"/>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3"/>
      <c r="AZ1119" s="43"/>
      <c r="BA1119" s="43"/>
      <c r="BB1119" s="43"/>
      <c r="BC1119" s="43"/>
      <c r="BD1119" s="43"/>
      <c r="BE1119" s="43"/>
      <c r="BF1119" s="43"/>
      <c r="BG1119" s="43"/>
      <c r="BH1119" s="43"/>
      <c r="BI1119" s="43"/>
      <c r="BJ1119" s="43"/>
      <c r="BK1119" s="43"/>
      <c r="BL1119" s="43"/>
      <c r="BM1119" s="43"/>
      <c r="BN1119" s="43"/>
      <c r="BO1119" s="43"/>
      <c r="BP1119" s="43"/>
      <c r="BQ1119" s="43"/>
      <c r="BR1119" s="43"/>
      <c r="BS1119" s="43"/>
      <c r="BT1119" s="43"/>
      <c r="BU1119" s="43"/>
      <c r="BV1119" s="43"/>
      <c r="BW1119" s="43"/>
      <c r="BX1119" s="43"/>
      <c r="BY1119" s="43"/>
    </row>
    <row r="1120">
      <c r="A1120" s="47"/>
      <c r="B1120" s="39" t="s">
        <v>155</v>
      </c>
      <c r="C1120" s="47"/>
      <c r="D1120" s="47"/>
      <c r="E1120" s="47"/>
      <c r="F1120" s="43"/>
      <c r="G1120" s="43"/>
      <c r="H1120" s="43"/>
      <c r="I1120" s="43"/>
      <c r="J1120" s="43"/>
      <c r="K1120" s="43"/>
      <c r="L1120" s="43"/>
      <c r="M1120" s="43"/>
      <c r="N1120" s="43"/>
      <c r="O1120" s="43"/>
      <c r="P1120" s="43"/>
      <c r="Q1120" s="43"/>
      <c r="R1120" s="43"/>
      <c r="S1120" s="43"/>
      <c r="T1120" s="43"/>
      <c r="U1120" s="43"/>
      <c r="V1120" s="43"/>
      <c r="W1120" s="43"/>
      <c r="X1120" s="43"/>
      <c r="Y1120" s="43"/>
      <c r="Z1120" s="43"/>
      <c r="AA1120" s="43"/>
      <c r="AB1120" s="43"/>
      <c r="AC1120" s="43"/>
      <c r="AD1120" s="43"/>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3"/>
      <c r="AZ1120" s="43"/>
      <c r="BA1120" s="43"/>
      <c r="BB1120" s="43"/>
      <c r="BC1120" s="43"/>
      <c r="BD1120" s="43"/>
      <c r="BE1120" s="43"/>
      <c r="BF1120" s="43"/>
      <c r="BG1120" s="43"/>
      <c r="BH1120" s="43"/>
      <c r="BI1120" s="43"/>
      <c r="BJ1120" s="43"/>
      <c r="BK1120" s="43"/>
      <c r="BL1120" s="43"/>
      <c r="BM1120" s="43"/>
      <c r="BN1120" s="43"/>
      <c r="BO1120" s="43"/>
      <c r="BP1120" s="43"/>
      <c r="BQ1120" s="43"/>
      <c r="BR1120" s="43"/>
      <c r="BS1120" s="43"/>
      <c r="BT1120" s="43"/>
      <c r="BU1120" s="43"/>
      <c r="BV1120" s="43"/>
      <c r="BW1120" s="43"/>
      <c r="BX1120" s="43"/>
      <c r="BY1120" s="43"/>
    </row>
    <row r="1121">
      <c r="A1121" s="47"/>
      <c r="B1121" s="47"/>
      <c r="C1121" s="47"/>
      <c r="D1121" s="47"/>
      <c r="E1121" s="47"/>
      <c r="F1121" s="43"/>
      <c r="G1121" s="43"/>
      <c r="H1121" s="43"/>
      <c r="I1121" s="43"/>
      <c r="J1121" s="43"/>
      <c r="K1121" s="43"/>
      <c r="L1121" s="43"/>
      <c r="M1121" s="43"/>
      <c r="N1121" s="43"/>
      <c r="O1121" s="43"/>
      <c r="P1121" s="43"/>
      <c r="Q1121" s="43"/>
      <c r="R1121" s="43"/>
      <c r="S1121" s="43"/>
      <c r="T1121" s="43"/>
      <c r="U1121" s="43"/>
      <c r="V1121" s="43"/>
      <c r="W1121" s="43"/>
      <c r="X1121" s="43"/>
      <c r="Y1121" s="43"/>
      <c r="Z1121" s="43"/>
      <c r="AA1121" s="43"/>
      <c r="AB1121" s="43"/>
      <c r="AC1121" s="43"/>
      <c r="AD1121" s="43"/>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3"/>
      <c r="AZ1121" s="43"/>
      <c r="BA1121" s="43"/>
      <c r="BB1121" s="43"/>
      <c r="BC1121" s="43"/>
      <c r="BD1121" s="43"/>
      <c r="BE1121" s="43"/>
      <c r="BF1121" s="43"/>
      <c r="BG1121" s="43"/>
      <c r="BH1121" s="43"/>
      <c r="BI1121" s="43"/>
      <c r="BJ1121" s="43"/>
      <c r="BK1121" s="43"/>
      <c r="BL1121" s="43"/>
      <c r="BM1121" s="43"/>
      <c r="BN1121" s="43"/>
      <c r="BO1121" s="43"/>
      <c r="BP1121" s="43"/>
      <c r="BQ1121" s="43"/>
      <c r="BR1121" s="43"/>
      <c r="BS1121" s="43"/>
      <c r="BT1121" s="43"/>
      <c r="BU1121" s="43"/>
      <c r="BV1121" s="43"/>
      <c r="BW1121" s="43"/>
      <c r="BX1121" s="43"/>
      <c r="BY1121" s="43"/>
    </row>
    <row r="1122">
      <c r="A1122" s="47"/>
      <c r="B1122" s="47"/>
      <c r="C1122" s="47"/>
      <c r="D1122" s="47"/>
      <c r="E1122" s="47"/>
      <c r="F1122" s="43"/>
      <c r="G1122" s="43"/>
      <c r="H1122" s="43"/>
      <c r="I1122" s="43"/>
      <c r="J1122" s="43"/>
      <c r="K1122" s="43"/>
      <c r="L1122" s="43"/>
      <c r="M1122" s="43"/>
      <c r="N1122" s="43"/>
      <c r="O1122" s="43"/>
      <c r="P1122" s="43"/>
      <c r="Q1122" s="43"/>
      <c r="R1122" s="43"/>
      <c r="S1122" s="43"/>
      <c r="T1122" s="43"/>
      <c r="U1122" s="43"/>
      <c r="V1122" s="43"/>
      <c r="W1122" s="43"/>
      <c r="X1122" s="43"/>
      <c r="Y1122" s="43"/>
      <c r="Z1122" s="43"/>
      <c r="AA1122" s="43"/>
      <c r="AB1122" s="43"/>
      <c r="AC1122" s="43"/>
      <c r="AD1122" s="43"/>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3"/>
      <c r="AZ1122" s="43"/>
      <c r="BA1122" s="43"/>
      <c r="BB1122" s="43"/>
      <c r="BC1122" s="43"/>
      <c r="BD1122" s="43"/>
      <c r="BE1122" s="43"/>
      <c r="BF1122" s="43"/>
      <c r="BG1122" s="43"/>
      <c r="BH1122" s="43"/>
      <c r="BI1122" s="43"/>
      <c r="BJ1122" s="43"/>
      <c r="BK1122" s="43"/>
      <c r="BL1122" s="43"/>
      <c r="BM1122" s="43"/>
      <c r="BN1122" s="43"/>
      <c r="BO1122" s="43"/>
      <c r="BP1122" s="43"/>
      <c r="BQ1122" s="43"/>
      <c r="BR1122" s="43"/>
      <c r="BS1122" s="43"/>
      <c r="BT1122" s="43"/>
      <c r="BU1122" s="43"/>
      <c r="BV1122" s="43"/>
      <c r="BW1122" s="43"/>
      <c r="BX1122" s="43"/>
      <c r="BY1122"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59"/>
      <c r="B1" s="159" t="s">
        <v>8</v>
      </c>
      <c r="C1" s="160"/>
      <c r="D1" s="160"/>
      <c r="E1" s="160"/>
      <c r="F1" s="160">
        <v>1.0</v>
      </c>
      <c r="G1" s="160">
        <v>1.0</v>
      </c>
      <c r="H1" s="160">
        <v>1.0</v>
      </c>
      <c r="I1" s="160">
        <v>1.0</v>
      </c>
      <c r="J1" s="160">
        <v>1.0</v>
      </c>
      <c r="K1" s="160">
        <v>1.0</v>
      </c>
      <c r="L1" s="160">
        <v>1.0</v>
      </c>
      <c r="M1" s="160">
        <v>1.0</v>
      </c>
      <c r="N1" s="160">
        <v>1.0</v>
      </c>
      <c r="O1" s="160">
        <v>1.0</v>
      </c>
      <c r="P1" s="160">
        <v>1.0</v>
      </c>
      <c r="Q1" s="160">
        <v>1.0</v>
      </c>
      <c r="R1" s="160">
        <f t="shared" ref="R1:BM1" si="1">F1+1</f>
        <v>2</v>
      </c>
      <c r="S1" s="160">
        <f t="shared" si="1"/>
        <v>2</v>
      </c>
      <c r="T1" s="160">
        <f t="shared" si="1"/>
        <v>2</v>
      </c>
      <c r="U1" s="160">
        <f t="shared" si="1"/>
        <v>2</v>
      </c>
      <c r="V1" s="160">
        <f t="shared" si="1"/>
        <v>2</v>
      </c>
      <c r="W1" s="160">
        <f t="shared" si="1"/>
        <v>2</v>
      </c>
      <c r="X1" s="160">
        <f t="shared" si="1"/>
        <v>2</v>
      </c>
      <c r="Y1" s="160">
        <f t="shared" si="1"/>
        <v>2</v>
      </c>
      <c r="Z1" s="160">
        <f t="shared" si="1"/>
        <v>2</v>
      </c>
      <c r="AA1" s="160">
        <f t="shared" si="1"/>
        <v>2</v>
      </c>
      <c r="AB1" s="160">
        <f t="shared" si="1"/>
        <v>2</v>
      </c>
      <c r="AC1" s="160">
        <f t="shared" si="1"/>
        <v>2</v>
      </c>
      <c r="AD1" s="160">
        <f t="shared" si="1"/>
        <v>3</v>
      </c>
      <c r="AE1" s="160">
        <f t="shared" si="1"/>
        <v>3</v>
      </c>
      <c r="AF1" s="160">
        <f t="shared" si="1"/>
        <v>3</v>
      </c>
      <c r="AG1" s="160">
        <f t="shared" si="1"/>
        <v>3</v>
      </c>
      <c r="AH1" s="160">
        <f t="shared" si="1"/>
        <v>3</v>
      </c>
      <c r="AI1" s="160">
        <f t="shared" si="1"/>
        <v>3</v>
      </c>
      <c r="AJ1" s="160">
        <f t="shared" si="1"/>
        <v>3</v>
      </c>
      <c r="AK1" s="160">
        <f t="shared" si="1"/>
        <v>3</v>
      </c>
      <c r="AL1" s="160">
        <f t="shared" si="1"/>
        <v>3</v>
      </c>
      <c r="AM1" s="160">
        <f t="shared" si="1"/>
        <v>3</v>
      </c>
      <c r="AN1" s="160">
        <f t="shared" si="1"/>
        <v>3</v>
      </c>
      <c r="AO1" s="160">
        <f t="shared" si="1"/>
        <v>3</v>
      </c>
      <c r="AP1" s="160">
        <f t="shared" si="1"/>
        <v>4</v>
      </c>
      <c r="AQ1" s="160">
        <f t="shared" si="1"/>
        <v>4</v>
      </c>
      <c r="AR1" s="160">
        <f t="shared" si="1"/>
        <v>4</v>
      </c>
      <c r="AS1" s="160">
        <f t="shared" si="1"/>
        <v>4</v>
      </c>
      <c r="AT1" s="160">
        <f t="shared" si="1"/>
        <v>4</v>
      </c>
      <c r="AU1" s="160">
        <f t="shared" si="1"/>
        <v>4</v>
      </c>
      <c r="AV1" s="160">
        <f t="shared" si="1"/>
        <v>4</v>
      </c>
      <c r="AW1" s="160">
        <f t="shared" si="1"/>
        <v>4</v>
      </c>
      <c r="AX1" s="160">
        <f t="shared" si="1"/>
        <v>4</v>
      </c>
      <c r="AY1" s="160">
        <f t="shared" si="1"/>
        <v>4</v>
      </c>
      <c r="AZ1" s="160">
        <f t="shared" si="1"/>
        <v>4</v>
      </c>
      <c r="BA1" s="160">
        <f t="shared" si="1"/>
        <v>4</v>
      </c>
      <c r="BB1" s="160">
        <f t="shared" si="1"/>
        <v>5</v>
      </c>
      <c r="BC1" s="160">
        <f t="shared" si="1"/>
        <v>5</v>
      </c>
      <c r="BD1" s="160">
        <f t="shared" si="1"/>
        <v>5</v>
      </c>
      <c r="BE1" s="160">
        <f t="shared" si="1"/>
        <v>5</v>
      </c>
      <c r="BF1" s="160">
        <f t="shared" si="1"/>
        <v>5</v>
      </c>
      <c r="BG1" s="160">
        <f t="shared" si="1"/>
        <v>5</v>
      </c>
      <c r="BH1" s="160">
        <f t="shared" si="1"/>
        <v>5</v>
      </c>
      <c r="BI1" s="160">
        <f t="shared" si="1"/>
        <v>5</v>
      </c>
      <c r="BJ1" s="160">
        <f t="shared" si="1"/>
        <v>5</v>
      </c>
      <c r="BK1" s="160">
        <f t="shared" si="1"/>
        <v>5</v>
      </c>
      <c r="BL1" s="160">
        <f t="shared" si="1"/>
        <v>5</v>
      </c>
      <c r="BM1" s="160">
        <f t="shared" si="1"/>
        <v>5</v>
      </c>
      <c r="BN1" s="160"/>
    </row>
    <row r="2">
      <c r="A2" s="159"/>
      <c r="B2" s="159" t="s">
        <v>9</v>
      </c>
      <c r="C2" s="161"/>
      <c r="D2" s="161"/>
      <c r="E2" s="161"/>
      <c r="F2" s="161">
        <f t="shared" ref="F2:BM2" si="2">YEAR(F4)</f>
        <v>2023</v>
      </c>
      <c r="G2" s="161">
        <f t="shared" si="2"/>
        <v>2023</v>
      </c>
      <c r="H2" s="161">
        <f t="shared" si="2"/>
        <v>2023</v>
      </c>
      <c r="I2" s="161">
        <f t="shared" si="2"/>
        <v>2023</v>
      </c>
      <c r="J2" s="161">
        <f t="shared" si="2"/>
        <v>2023</v>
      </c>
      <c r="K2" s="161">
        <f t="shared" si="2"/>
        <v>2023</v>
      </c>
      <c r="L2" s="161">
        <f t="shared" si="2"/>
        <v>2023</v>
      </c>
      <c r="M2" s="161">
        <f t="shared" si="2"/>
        <v>2023</v>
      </c>
      <c r="N2" s="161">
        <f t="shared" si="2"/>
        <v>2023</v>
      </c>
      <c r="O2" s="161">
        <f t="shared" si="2"/>
        <v>2023</v>
      </c>
      <c r="P2" s="161">
        <f t="shared" si="2"/>
        <v>2023</v>
      </c>
      <c r="Q2" s="161">
        <f t="shared" si="2"/>
        <v>2023</v>
      </c>
      <c r="R2" s="161">
        <f t="shared" si="2"/>
        <v>2024</v>
      </c>
      <c r="S2" s="161">
        <f t="shared" si="2"/>
        <v>2024</v>
      </c>
      <c r="T2" s="161">
        <f t="shared" si="2"/>
        <v>2024</v>
      </c>
      <c r="U2" s="161">
        <f t="shared" si="2"/>
        <v>2024</v>
      </c>
      <c r="V2" s="161">
        <f t="shared" si="2"/>
        <v>2024</v>
      </c>
      <c r="W2" s="161">
        <f t="shared" si="2"/>
        <v>2024</v>
      </c>
      <c r="X2" s="161">
        <f t="shared" si="2"/>
        <v>2024</v>
      </c>
      <c r="Y2" s="161">
        <f t="shared" si="2"/>
        <v>2024</v>
      </c>
      <c r="Z2" s="161">
        <f t="shared" si="2"/>
        <v>2024</v>
      </c>
      <c r="AA2" s="161">
        <f t="shared" si="2"/>
        <v>2024</v>
      </c>
      <c r="AB2" s="161">
        <f t="shared" si="2"/>
        <v>2024</v>
      </c>
      <c r="AC2" s="161">
        <f t="shared" si="2"/>
        <v>2024</v>
      </c>
      <c r="AD2" s="161">
        <f t="shared" si="2"/>
        <v>2025</v>
      </c>
      <c r="AE2" s="161">
        <f t="shared" si="2"/>
        <v>2025</v>
      </c>
      <c r="AF2" s="161">
        <f t="shared" si="2"/>
        <v>2025</v>
      </c>
      <c r="AG2" s="161">
        <f t="shared" si="2"/>
        <v>2025</v>
      </c>
      <c r="AH2" s="161">
        <f t="shared" si="2"/>
        <v>2025</v>
      </c>
      <c r="AI2" s="161">
        <f t="shared" si="2"/>
        <v>2025</v>
      </c>
      <c r="AJ2" s="161">
        <f t="shared" si="2"/>
        <v>2025</v>
      </c>
      <c r="AK2" s="161">
        <f t="shared" si="2"/>
        <v>2025</v>
      </c>
      <c r="AL2" s="161">
        <f t="shared" si="2"/>
        <v>2025</v>
      </c>
      <c r="AM2" s="161">
        <f t="shared" si="2"/>
        <v>2025</v>
      </c>
      <c r="AN2" s="161">
        <f t="shared" si="2"/>
        <v>2025</v>
      </c>
      <c r="AO2" s="161">
        <f t="shared" si="2"/>
        <v>2025</v>
      </c>
      <c r="AP2" s="161">
        <f t="shared" si="2"/>
        <v>2026</v>
      </c>
      <c r="AQ2" s="161">
        <f t="shared" si="2"/>
        <v>2026</v>
      </c>
      <c r="AR2" s="161">
        <f t="shared" si="2"/>
        <v>2026</v>
      </c>
      <c r="AS2" s="161">
        <f t="shared" si="2"/>
        <v>2026</v>
      </c>
      <c r="AT2" s="161">
        <f t="shared" si="2"/>
        <v>2026</v>
      </c>
      <c r="AU2" s="161">
        <f t="shared" si="2"/>
        <v>2026</v>
      </c>
      <c r="AV2" s="161">
        <f t="shared" si="2"/>
        <v>2026</v>
      </c>
      <c r="AW2" s="161">
        <f t="shared" si="2"/>
        <v>2026</v>
      </c>
      <c r="AX2" s="161">
        <f t="shared" si="2"/>
        <v>2026</v>
      </c>
      <c r="AY2" s="161">
        <f t="shared" si="2"/>
        <v>2026</v>
      </c>
      <c r="AZ2" s="161">
        <f t="shared" si="2"/>
        <v>2026</v>
      </c>
      <c r="BA2" s="161">
        <f t="shared" si="2"/>
        <v>2026</v>
      </c>
      <c r="BB2" s="161">
        <f t="shared" si="2"/>
        <v>2027</v>
      </c>
      <c r="BC2" s="161">
        <f t="shared" si="2"/>
        <v>2027</v>
      </c>
      <c r="BD2" s="161">
        <f t="shared" si="2"/>
        <v>2027</v>
      </c>
      <c r="BE2" s="161">
        <f t="shared" si="2"/>
        <v>2027</v>
      </c>
      <c r="BF2" s="161">
        <f t="shared" si="2"/>
        <v>2027</v>
      </c>
      <c r="BG2" s="161">
        <f t="shared" si="2"/>
        <v>2027</v>
      </c>
      <c r="BH2" s="161">
        <f t="shared" si="2"/>
        <v>2027</v>
      </c>
      <c r="BI2" s="161">
        <f t="shared" si="2"/>
        <v>2027</v>
      </c>
      <c r="BJ2" s="161">
        <f t="shared" si="2"/>
        <v>2027</v>
      </c>
      <c r="BK2" s="161">
        <f t="shared" si="2"/>
        <v>2027</v>
      </c>
      <c r="BL2" s="161">
        <f t="shared" si="2"/>
        <v>2027</v>
      </c>
      <c r="BM2" s="161">
        <f t="shared" si="2"/>
        <v>2027</v>
      </c>
      <c r="BN2" s="160"/>
    </row>
    <row r="3">
      <c r="A3" s="159"/>
      <c r="B3" s="159" t="s">
        <v>10</v>
      </c>
      <c r="C3" s="160"/>
      <c r="D3" s="160"/>
      <c r="E3" s="160"/>
      <c r="F3" s="160">
        <v>1.0</v>
      </c>
      <c r="G3" s="161">
        <f t="shared" ref="G3:BM3" si="3">F3+1</f>
        <v>2</v>
      </c>
      <c r="H3" s="161">
        <f t="shared" si="3"/>
        <v>3</v>
      </c>
      <c r="I3" s="161">
        <f t="shared" si="3"/>
        <v>4</v>
      </c>
      <c r="J3" s="161">
        <f t="shared" si="3"/>
        <v>5</v>
      </c>
      <c r="K3" s="161">
        <f t="shared" si="3"/>
        <v>6</v>
      </c>
      <c r="L3" s="161">
        <f t="shared" si="3"/>
        <v>7</v>
      </c>
      <c r="M3" s="161">
        <f t="shared" si="3"/>
        <v>8</v>
      </c>
      <c r="N3" s="161">
        <f t="shared" si="3"/>
        <v>9</v>
      </c>
      <c r="O3" s="161">
        <f t="shared" si="3"/>
        <v>10</v>
      </c>
      <c r="P3" s="161">
        <f t="shared" si="3"/>
        <v>11</v>
      </c>
      <c r="Q3" s="161">
        <f t="shared" si="3"/>
        <v>12</v>
      </c>
      <c r="R3" s="161">
        <f t="shared" si="3"/>
        <v>13</v>
      </c>
      <c r="S3" s="161">
        <f t="shared" si="3"/>
        <v>14</v>
      </c>
      <c r="T3" s="161">
        <f t="shared" si="3"/>
        <v>15</v>
      </c>
      <c r="U3" s="161">
        <f t="shared" si="3"/>
        <v>16</v>
      </c>
      <c r="V3" s="161">
        <f t="shared" si="3"/>
        <v>17</v>
      </c>
      <c r="W3" s="161">
        <f t="shared" si="3"/>
        <v>18</v>
      </c>
      <c r="X3" s="161">
        <f t="shared" si="3"/>
        <v>19</v>
      </c>
      <c r="Y3" s="161">
        <f t="shared" si="3"/>
        <v>20</v>
      </c>
      <c r="Z3" s="161">
        <f t="shared" si="3"/>
        <v>21</v>
      </c>
      <c r="AA3" s="161">
        <f t="shared" si="3"/>
        <v>22</v>
      </c>
      <c r="AB3" s="161">
        <f t="shared" si="3"/>
        <v>23</v>
      </c>
      <c r="AC3" s="161">
        <f t="shared" si="3"/>
        <v>24</v>
      </c>
      <c r="AD3" s="161">
        <f t="shared" si="3"/>
        <v>25</v>
      </c>
      <c r="AE3" s="161">
        <f t="shared" si="3"/>
        <v>26</v>
      </c>
      <c r="AF3" s="161">
        <f t="shared" si="3"/>
        <v>27</v>
      </c>
      <c r="AG3" s="161">
        <f t="shared" si="3"/>
        <v>28</v>
      </c>
      <c r="AH3" s="161">
        <f t="shared" si="3"/>
        <v>29</v>
      </c>
      <c r="AI3" s="161">
        <f t="shared" si="3"/>
        <v>30</v>
      </c>
      <c r="AJ3" s="161">
        <f t="shared" si="3"/>
        <v>31</v>
      </c>
      <c r="AK3" s="161">
        <f t="shared" si="3"/>
        <v>32</v>
      </c>
      <c r="AL3" s="161">
        <f t="shared" si="3"/>
        <v>33</v>
      </c>
      <c r="AM3" s="161">
        <f t="shared" si="3"/>
        <v>34</v>
      </c>
      <c r="AN3" s="161">
        <f t="shared" si="3"/>
        <v>35</v>
      </c>
      <c r="AO3" s="161">
        <f t="shared" si="3"/>
        <v>36</v>
      </c>
      <c r="AP3" s="161">
        <f t="shared" si="3"/>
        <v>37</v>
      </c>
      <c r="AQ3" s="161">
        <f t="shared" si="3"/>
        <v>38</v>
      </c>
      <c r="AR3" s="161">
        <f t="shared" si="3"/>
        <v>39</v>
      </c>
      <c r="AS3" s="161">
        <f t="shared" si="3"/>
        <v>40</v>
      </c>
      <c r="AT3" s="161">
        <f t="shared" si="3"/>
        <v>41</v>
      </c>
      <c r="AU3" s="161">
        <f t="shared" si="3"/>
        <v>42</v>
      </c>
      <c r="AV3" s="161">
        <f t="shared" si="3"/>
        <v>43</v>
      </c>
      <c r="AW3" s="161">
        <f t="shared" si="3"/>
        <v>44</v>
      </c>
      <c r="AX3" s="161">
        <f t="shared" si="3"/>
        <v>45</v>
      </c>
      <c r="AY3" s="161">
        <f t="shared" si="3"/>
        <v>46</v>
      </c>
      <c r="AZ3" s="161">
        <f t="shared" si="3"/>
        <v>47</v>
      </c>
      <c r="BA3" s="161">
        <f t="shared" si="3"/>
        <v>48</v>
      </c>
      <c r="BB3" s="161">
        <f t="shared" si="3"/>
        <v>49</v>
      </c>
      <c r="BC3" s="161">
        <f t="shared" si="3"/>
        <v>50</v>
      </c>
      <c r="BD3" s="161">
        <f t="shared" si="3"/>
        <v>51</v>
      </c>
      <c r="BE3" s="161">
        <f t="shared" si="3"/>
        <v>52</v>
      </c>
      <c r="BF3" s="161">
        <f t="shared" si="3"/>
        <v>53</v>
      </c>
      <c r="BG3" s="161">
        <f t="shared" si="3"/>
        <v>54</v>
      </c>
      <c r="BH3" s="161">
        <f t="shared" si="3"/>
        <v>55</v>
      </c>
      <c r="BI3" s="161">
        <f t="shared" si="3"/>
        <v>56</v>
      </c>
      <c r="BJ3" s="161">
        <f t="shared" si="3"/>
        <v>57</v>
      </c>
      <c r="BK3" s="161">
        <f t="shared" si="3"/>
        <v>58</v>
      </c>
      <c r="BL3" s="161">
        <f t="shared" si="3"/>
        <v>59</v>
      </c>
      <c r="BM3" s="161">
        <f t="shared" si="3"/>
        <v>60</v>
      </c>
      <c r="BN3" s="160"/>
    </row>
    <row r="4">
      <c r="A4" s="159"/>
      <c r="B4" s="159" t="s">
        <v>11</v>
      </c>
      <c r="C4" s="160"/>
      <c r="D4" s="160"/>
      <c r="E4" s="160"/>
      <c r="F4" s="162">
        <f>Assumptions!R4</f>
        <v>44957</v>
      </c>
      <c r="G4" s="162">
        <f t="shared" ref="G4:BM4" si="4">EOMONTH(F4,1)</f>
        <v>44985</v>
      </c>
      <c r="H4" s="162">
        <f t="shared" si="4"/>
        <v>45016</v>
      </c>
      <c r="I4" s="162">
        <f t="shared" si="4"/>
        <v>45046</v>
      </c>
      <c r="J4" s="162">
        <f t="shared" si="4"/>
        <v>45077</v>
      </c>
      <c r="K4" s="162">
        <f t="shared" si="4"/>
        <v>45107</v>
      </c>
      <c r="L4" s="162">
        <f t="shared" si="4"/>
        <v>45138</v>
      </c>
      <c r="M4" s="162">
        <f t="shared" si="4"/>
        <v>45169</v>
      </c>
      <c r="N4" s="162">
        <f t="shared" si="4"/>
        <v>45199</v>
      </c>
      <c r="O4" s="162">
        <f t="shared" si="4"/>
        <v>45230</v>
      </c>
      <c r="P4" s="162">
        <f t="shared" si="4"/>
        <v>45260</v>
      </c>
      <c r="Q4" s="162">
        <f t="shared" si="4"/>
        <v>45291</v>
      </c>
      <c r="R4" s="162">
        <f t="shared" si="4"/>
        <v>45322</v>
      </c>
      <c r="S4" s="162">
        <f t="shared" si="4"/>
        <v>45351</v>
      </c>
      <c r="T4" s="162">
        <f t="shared" si="4"/>
        <v>45382</v>
      </c>
      <c r="U4" s="162">
        <f t="shared" si="4"/>
        <v>45412</v>
      </c>
      <c r="V4" s="162">
        <f t="shared" si="4"/>
        <v>45443</v>
      </c>
      <c r="W4" s="162">
        <f t="shared" si="4"/>
        <v>45473</v>
      </c>
      <c r="X4" s="162">
        <f t="shared" si="4"/>
        <v>45504</v>
      </c>
      <c r="Y4" s="162">
        <f t="shared" si="4"/>
        <v>45535</v>
      </c>
      <c r="Z4" s="162">
        <f t="shared" si="4"/>
        <v>45565</v>
      </c>
      <c r="AA4" s="162">
        <f t="shared" si="4"/>
        <v>45596</v>
      </c>
      <c r="AB4" s="162">
        <f t="shared" si="4"/>
        <v>45626</v>
      </c>
      <c r="AC4" s="162">
        <f t="shared" si="4"/>
        <v>45657</v>
      </c>
      <c r="AD4" s="162">
        <f t="shared" si="4"/>
        <v>45688</v>
      </c>
      <c r="AE4" s="162">
        <f t="shared" si="4"/>
        <v>45716</v>
      </c>
      <c r="AF4" s="162">
        <f t="shared" si="4"/>
        <v>45747</v>
      </c>
      <c r="AG4" s="162">
        <f t="shared" si="4"/>
        <v>45777</v>
      </c>
      <c r="AH4" s="162">
        <f t="shared" si="4"/>
        <v>45808</v>
      </c>
      <c r="AI4" s="162">
        <f t="shared" si="4"/>
        <v>45838</v>
      </c>
      <c r="AJ4" s="162">
        <f t="shared" si="4"/>
        <v>45869</v>
      </c>
      <c r="AK4" s="162">
        <f t="shared" si="4"/>
        <v>45900</v>
      </c>
      <c r="AL4" s="162">
        <f t="shared" si="4"/>
        <v>45930</v>
      </c>
      <c r="AM4" s="162">
        <f t="shared" si="4"/>
        <v>45961</v>
      </c>
      <c r="AN4" s="162">
        <f t="shared" si="4"/>
        <v>45991</v>
      </c>
      <c r="AO4" s="162">
        <f t="shared" si="4"/>
        <v>46022</v>
      </c>
      <c r="AP4" s="162">
        <f t="shared" si="4"/>
        <v>46053</v>
      </c>
      <c r="AQ4" s="162">
        <f t="shared" si="4"/>
        <v>46081</v>
      </c>
      <c r="AR4" s="162">
        <f t="shared" si="4"/>
        <v>46112</v>
      </c>
      <c r="AS4" s="162">
        <f t="shared" si="4"/>
        <v>46142</v>
      </c>
      <c r="AT4" s="162">
        <f t="shared" si="4"/>
        <v>46173</v>
      </c>
      <c r="AU4" s="162">
        <f t="shared" si="4"/>
        <v>46203</v>
      </c>
      <c r="AV4" s="162">
        <f t="shared" si="4"/>
        <v>46234</v>
      </c>
      <c r="AW4" s="162">
        <f t="shared" si="4"/>
        <v>46265</v>
      </c>
      <c r="AX4" s="162">
        <f t="shared" si="4"/>
        <v>46295</v>
      </c>
      <c r="AY4" s="162">
        <f t="shared" si="4"/>
        <v>46326</v>
      </c>
      <c r="AZ4" s="162">
        <f t="shared" si="4"/>
        <v>46356</v>
      </c>
      <c r="BA4" s="162">
        <f t="shared" si="4"/>
        <v>46387</v>
      </c>
      <c r="BB4" s="162">
        <f t="shared" si="4"/>
        <v>46418</v>
      </c>
      <c r="BC4" s="162">
        <f t="shared" si="4"/>
        <v>46446</v>
      </c>
      <c r="BD4" s="162">
        <f t="shared" si="4"/>
        <v>46477</v>
      </c>
      <c r="BE4" s="162">
        <f t="shared" si="4"/>
        <v>46507</v>
      </c>
      <c r="BF4" s="162">
        <f t="shared" si="4"/>
        <v>46538</v>
      </c>
      <c r="BG4" s="162">
        <f t="shared" si="4"/>
        <v>46568</v>
      </c>
      <c r="BH4" s="162">
        <f t="shared" si="4"/>
        <v>46599</v>
      </c>
      <c r="BI4" s="162">
        <f t="shared" si="4"/>
        <v>46630</v>
      </c>
      <c r="BJ4" s="162">
        <f t="shared" si="4"/>
        <v>46660</v>
      </c>
      <c r="BK4" s="162">
        <f t="shared" si="4"/>
        <v>46691</v>
      </c>
      <c r="BL4" s="162">
        <f t="shared" si="4"/>
        <v>46721</v>
      </c>
      <c r="BM4" s="162">
        <f t="shared" si="4"/>
        <v>46752</v>
      </c>
      <c r="BN4" s="160"/>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0"/>
    </row>
    <row r="6">
      <c r="A6" s="30"/>
      <c r="B6" s="163" t="s">
        <v>156</v>
      </c>
      <c r="C6" s="164"/>
      <c r="D6" s="164"/>
      <c r="E6" s="164"/>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164"/>
      <c r="BA6" s="164"/>
      <c r="BB6" s="164"/>
      <c r="BC6" s="164"/>
      <c r="BD6" s="164"/>
      <c r="BE6" s="164"/>
      <c r="BF6" s="164"/>
      <c r="BG6" s="164"/>
      <c r="BH6" s="164"/>
      <c r="BI6" s="164"/>
      <c r="BJ6" s="164"/>
      <c r="BK6" s="164"/>
      <c r="BL6" s="164"/>
      <c r="BM6" s="164"/>
      <c r="BN6" s="160"/>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65"/>
      <c r="B8" s="166" t="s">
        <v>157</v>
      </c>
      <c r="C8" s="167"/>
      <c r="D8" s="167"/>
      <c r="E8" s="167"/>
      <c r="F8" s="167">
        <f t="shared" ref="F8:BM8" si="5">sum(F9:F11)</f>
        <v>4762.5</v>
      </c>
      <c r="G8" s="167">
        <f t="shared" si="5"/>
        <v>9633.9375</v>
      </c>
      <c r="H8" s="167">
        <f t="shared" si="5"/>
        <v>14507.00906</v>
      </c>
      <c r="I8" s="167">
        <f t="shared" si="5"/>
        <v>19380.10514</v>
      </c>
      <c r="J8" s="167">
        <f t="shared" si="5"/>
        <v>24253.20158</v>
      </c>
      <c r="K8" s="167">
        <f t="shared" si="5"/>
        <v>29126.29802</v>
      </c>
      <c r="L8" s="167">
        <f t="shared" si="5"/>
        <v>33999.39447</v>
      </c>
      <c r="M8" s="167">
        <f t="shared" si="5"/>
        <v>38872.49092</v>
      </c>
      <c r="N8" s="167">
        <f t="shared" si="5"/>
        <v>43745.58736</v>
      </c>
      <c r="O8" s="167">
        <f t="shared" si="5"/>
        <v>48618.68381</v>
      </c>
      <c r="P8" s="167">
        <f t="shared" si="5"/>
        <v>53491.78026</v>
      </c>
      <c r="Q8" s="167">
        <f t="shared" si="5"/>
        <v>58364.8767</v>
      </c>
      <c r="R8" s="167">
        <f t="shared" si="5"/>
        <v>62285.47315</v>
      </c>
      <c r="S8" s="167">
        <f t="shared" si="5"/>
        <v>66184.2821</v>
      </c>
      <c r="T8" s="167">
        <f t="shared" si="5"/>
        <v>70082.76423</v>
      </c>
      <c r="U8" s="167">
        <f t="shared" si="5"/>
        <v>73981.24146</v>
      </c>
      <c r="V8" s="167">
        <f t="shared" si="5"/>
        <v>77879.71862</v>
      </c>
      <c r="W8" s="167">
        <f t="shared" si="5"/>
        <v>81778.19578</v>
      </c>
      <c r="X8" s="167">
        <f t="shared" si="5"/>
        <v>85676.67294</v>
      </c>
      <c r="Y8" s="167">
        <f t="shared" si="5"/>
        <v>89575.15009</v>
      </c>
      <c r="Z8" s="167">
        <f t="shared" si="5"/>
        <v>93473.62725</v>
      </c>
      <c r="AA8" s="167">
        <f t="shared" si="5"/>
        <v>97372.10441</v>
      </c>
      <c r="AB8" s="167">
        <f t="shared" si="5"/>
        <v>101270.5816</v>
      </c>
      <c r="AC8" s="167">
        <f t="shared" si="5"/>
        <v>105169.0587</v>
      </c>
      <c r="AD8" s="167">
        <f t="shared" si="5"/>
        <v>108305.5359</v>
      </c>
      <c r="AE8" s="167">
        <f t="shared" si="5"/>
        <v>111424.583</v>
      </c>
      <c r="AF8" s="167">
        <f t="shared" si="5"/>
        <v>114543.3687</v>
      </c>
      <c r="AG8" s="167">
        <f t="shared" si="5"/>
        <v>117662.1505</v>
      </c>
      <c r="AH8" s="167">
        <f t="shared" si="5"/>
        <v>120780.9323</v>
      </c>
      <c r="AI8" s="167">
        <f t="shared" si="5"/>
        <v>123899.714</v>
      </c>
      <c r="AJ8" s="167">
        <f t="shared" si="5"/>
        <v>127018.4957</v>
      </c>
      <c r="AK8" s="167">
        <f t="shared" si="5"/>
        <v>130137.2774</v>
      </c>
      <c r="AL8" s="167">
        <f t="shared" si="5"/>
        <v>133256.0592</v>
      </c>
      <c r="AM8" s="167">
        <f t="shared" si="5"/>
        <v>136374.8409</v>
      </c>
      <c r="AN8" s="167">
        <f t="shared" si="5"/>
        <v>139493.6226</v>
      </c>
      <c r="AO8" s="167">
        <f t="shared" si="5"/>
        <v>142612.4043</v>
      </c>
      <c r="AP8" s="167">
        <f t="shared" si="5"/>
        <v>145121.5861</v>
      </c>
      <c r="AQ8" s="167">
        <f t="shared" si="5"/>
        <v>147616.8238</v>
      </c>
      <c r="AR8" s="167">
        <f t="shared" si="5"/>
        <v>150111.8524</v>
      </c>
      <c r="AS8" s="167">
        <f t="shared" si="5"/>
        <v>152606.8778</v>
      </c>
      <c r="AT8" s="167">
        <f t="shared" si="5"/>
        <v>155101.9032</v>
      </c>
      <c r="AU8" s="167">
        <f t="shared" si="5"/>
        <v>157596.9285</v>
      </c>
      <c r="AV8" s="167">
        <f t="shared" si="5"/>
        <v>160091.9539</v>
      </c>
      <c r="AW8" s="167">
        <f t="shared" si="5"/>
        <v>162586.9793</v>
      </c>
      <c r="AX8" s="167">
        <f t="shared" si="5"/>
        <v>165082.0047</v>
      </c>
      <c r="AY8" s="167">
        <f t="shared" si="5"/>
        <v>167577.0301</v>
      </c>
      <c r="AZ8" s="167">
        <f t="shared" si="5"/>
        <v>170072.0555</v>
      </c>
      <c r="BA8" s="167">
        <f t="shared" si="5"/>
        <v>172567.0808</v>
      </c>
      <c r="BB8" s="167">
        <f t="shared" si="5"/>
        <v>174574.4262</v>
      </c>
      <c r="BC8" s="167">
        <f t="shared" si="5"/>
        <v>176570.6164</v>
      </c>
      <c r="BD8" s="167">
        <f t="shared" si="5"/>
        <v>178566.6392</v>
      </c>
      <c r="BE8" s="167">
        <f t="shared" si="5"/>
        <v>180562.6596</v>
      </c>
      <c r="BF8" s="167">
        <f t="shared" si="5"/>
        <v>182558.6799</v>
      </c>
      <c r="BG8" s="167">
        <f t="shared" si="5"/>
        <v>184554.7002</v>
      </c>
      <c r="BH8" s="167">
        <f t="shared" si="5"/>
        <v>186550.7205</v>
      </c>
      <c r="BI8" s="167">
        <f t="shared" si="5"/>
        <v>188546.7408</v>
      </c>
      <c r="BJ8" s="167">
        <f t="shared" si="5"/>
        <v>190542.7611</v>
      </c>
      <c r="BK8" s="167">
        <f t="shared" si="5"/>
        <v>192538.7814</v>
      </c>
      <c r="BL8" s="167">
        <f t="shared" si="5"/>
        <v>194534.8017</v>
      </c>
      <c r="BM8" s="167">
        <f t="shared" si="5"/>
        <v>196530.822</v>
      </c>
      <c r="BN8" s="165"/>
    </row>
    <row r="9" outlineLevel="1">
      <c r="A9" s="165"/>
      <c r="B9" s="165" t="str">
        <f>Assumptions!B75</f>
        <v>Annual SaaS Tier 1</v>
      </c>
      <c r="C9" s="165"/>
      <c r="D9" s="165"/>
      <c r="E9" s="165"/>
      <c r="F9" s="165">
        <f>Assumptions!R88</f>
        <v>1322.916667</v>
      </c>
      <c r="G9" s="165">
        <f>Assumptions!S88</f>
        <v>2676.09375</v>
      </c>
      <c r="H9" s="165">
        <f>Assumptions!T88</f>
        <v>4029.72474</v>
      </c>
      <c r="I9" s="165">
        <f>Assumptions!U88</f>
        <v>5383.362538</v>
      </c>
      <c r="J9" s="165">
        <f>Assumptions!V88</f>
        <v>6737.000438</v>
      </c>
      <c r="K9" s="165">
        <f>Assumptions!W88</f>
        <v>8090.63834</v>
      </c>
      <c r="L9" s="165">
        <f>Assumptions!X88</f>
        <v>9444.276242</v>
      </c>
      <c r="M9" s="165">
        <f>Assumptions!Y88</f>
        <v>10797.91414</v>
      </c>
      <c r="N9" s="165">
        <f>Assumptions!Z88</f>
        <v>12151.55205</v>
      </c>
      <c r="O9" s="165">
        <f>Assumptions!AA88</f>
        <v>13505.18995</v>
      </c>
      <c r="P9" s="165">
        <f>Assumptions!AB88</f>
        <v>14858.82785</v>
      </c>
      <c r="Q9" s="165">
        <f>Assumptions!AC88</f>
        <v>16212.46575</v>
      </c>
      <c r="R9" s="165">
        <f>Assumptions!AD88</f>
        <v>17301.52032</v>
      </c>
      <c r="S9" s="165">
        <f>Assumptions!AE88</f>
        <v>18384.5228</v>
      </c>
      <c r="T9" s="165">
        <f>Assumptions!AF88</f>
        <v>19467.43451</v>
      </c>
      <c r="U9" s="165">
        <f>Assumptions!AG88</f>
        <v>20550.34485</v>
      </c>
      <c r="V9" s="165">
        <f>Assumptions!AH88</f>
        <v>21633.25517</v>
      </c>
      <c r="W9" s="165">
        <f>Assumptions!AI88</f>
        <v>22716.16549</v>
      </c>
      <c r="X9" s="165">
        <f>Assumptions!AJ88</f>
        <v>23799.07582</v>
      </c>
      <c r="Y9" s="165">
        <f>Assumptions!AK88</f>
        <v>24881.98614</v>
      </c>
      <c r="Z9" s="165">
        <f>Assumptions!AL88</f>
        <v>25964.89646</v>
      </c>
      <c r="AA9" s="165">
        <f>Assumptions!AM88</f>
        <v>27047.80678</v>
      </c>
      <c r="AB9" s="165">
        <f>Assumptions!AN88</f>
        <v>28130.7171</v>
      </c>
      <c r="AC9" s="165">
        <f>Assumptions!AO88</f>
        <v>29213.62742</v>
      </c>
      <c r="AD9" s="165">
        <f>Assumptions!AP88</f>
        <v>30084.87108</v>
      </c>
      <c r="AE9" s="165">
        <f>Assumptions!AQ88</f>
        <v>30951.27307</v>
      </c>
      <c r="AF9" s="165">
        <f>Assumptions!AR88</f>
        <v>31817.60243</v>
      </c>
      <c r="AG9" s="165">
        <f>Assumptions!AS88</f>
        <v>32683.9307</v>
      </c>
      <c r="AH9" s="165">
        <f>Assumptions!AT88</f>
        <v>33550.25896</v>
      </c>
      <c r="AI9" s="165">
        <f>Assumptions!AU88</f>
        <v>34416.58722</v>
      </c>
      <c r="AJ9" s="165">
        <f>Assumptions!AV88</f>
        <v>35282.91547</v>
      </c>
      <c r="AK9" s="165">
        <f>Assumptions!AW88</f>
        <v>36149.24373</v>
      </c>
      <c r="AL9" s="165">
        <f>Assumptions!AX88</f>
        <v>37015.57199</v>
      </c>
      <c r="AM9" s="165">
        <f>Assumptions!AY88</f>
        <v>37881.90025</v>
      </c>
      <c r="AN9" s="165">
        <f>Assumptions!AZ88</f>
        <v>38748.2285</v>
      </c>
      <c r="AO9" s="165">
        <f>Assumptions!BA88</f>
        <v>39614.55676</v>
      </c>
      <c r="AP9" s="165">
        <f>Assumptions!BB88</f>
        <v>40311.55168</v>
      </c>
      <c r="AQ9" s="165">
        <f>Assumptions!BC88</f>
        <v>41004.67328</v>
      </c>
      <c r="AR9" s="165">
        <f>Assumptions!BD88</f>
        <v>41697.73677</v>
      </c>
      <c r="AS9" s="165">
        <f>Assumptions!BE88</f>
        <v>42390.79938</v>
      </c>
      <c r="AT9" s="165">
        <f>Assumptions!BF88</f>
        <v>43083.86199</v>
      </c>
      <c r="AU9" s="165">
        <f>Assumptions!BG88</f>
        <v>43776.9246</v>
      </c>
      <c r="AV9" s="165">
        <f>Assumptions!BH88</f>
        <v>44469.9872</v>
      </c>
      <c r="AW9" s="165">
        <f>Assumptions!BI88</f>
        <v>45163.04981</v>
      </c>
      <c r="AX9" s="165">
        <f>Assumptions!BJ88</f>
        <v>45856.11241</v>
      </c>
      <c r="AY9" s="165">
        <f>Assumptions!BK88</f>
        <v>46549.17502</v>
      </c>
      <c r="AZ9" s="165">
        <f>Assumptions!BL88</f>
        <v>47242.23763</v>
      </c>
      <c r="BA9" s="165">
        <f>Assumptions!BM88</f>
        <v>47935.30023</v>
      </c>
      <c r="BB9" s="165">
        <f>Assumptions!BN88</f>
        <v>48492.89617</v>
      </c>
      <c r="BC9" s="165">
        <f>Assumptions!BO88</f>
        <v>49047.39344</v>
      </c>
      <c r="BD9" s="165">
        <f>Assumptions!BP88</f>
        <v>49601.84423</v>
      </c>
      <c r="BE9" s="165">
        <f>Assumptions!BQ88</f>
        <v>50156.29433</v>
      </c>
      <c r="BF9" s="165">
        <f>Assumptions!BR88</f>
        <v>50710.74441</v>
      </c>
      <c r="BG9" s="165">
        <f>Assumptions!BS88</f>
        <v>51265.1945</v>
      </c>
      <c r="BH9" s="165">
        <f>Assumptions!BT88</f>
        <v>51819.64458</v>
      </c>
      <c r="BI9" s="165">
        <f>Assumptions!BU88</f>
        <v>52374.09467</v>
      </c>
      <c r="BJ9" s="165">
        <f>Assumptions!BV88</f>
        <v>52928.54475</v>
      </c>
      <c r="BK9" s="165">
        <f>Assumptions!BW88</f>
        <v>53482.99484</v>
      </c>
      <c r="BL9" s="165">
        <f>Assumptions!BX88</f>
        <v>54037.44492</v>
      </c>
      <c r="BM9" s="165">
        <f>Assumptions!BY88</f>
        <v>54591.89501</v>
      </c>
      <c r="BN9" s="165" t="str">
        <f>Assumptions!BZ88</f>
        <v/>
      </c>
    </row>
    <row r="10" outlineLevel="1">
      <c r="A10" s="165"/>
      <c r="B10" s="165" t="str">
        <f>Assumptions!B90</f>
        <v>Annual SaaS Tier 2</v>
      </c>
      <c r="C10" s="165"/>
      <c r="D10" s="165"/>
      <c r="E10" s="165"/>
      <c r="F10" s="165">
        <f>Assumptions!R103</f>
        <v>1587.5</v>
      </c>
      <c r="G10" s="165">
        <f>Assumptions!S103</f>
        <v>3211.3125</v>
      </c>
      <c r="H10" s="165">
        <f>Assumptions!T103</f>
        <v>4835.669688</v>
      </c>
      <c r="I10" s="165">
        <f>Assumptions!U103</f>
        <v>6460.035045</v>
      </c>
      <c r="J10" s="165">
        <f>Assumptions!V103</f>
        <v>8084.400526</v>
      </c>
      <c r="K10" s="165">
        <f>Assumptions!W103</f>
        <v>9708.766008</v>
      </c>
      <c r="L10" s="165">
        <f>Assumptions!X103</f>
        <v>11333.13149</v>
      </c>
      <c r="M10" s="165">
        <f>Assumptions!Y103</f>
        <v>12957.49697</v>
      </c>
      <c r="N10" s="165">
        <f>Assumptions!Z103</f>
        <v>14581.86245</v>
      </c>
      <c r="O10" s="165">
        <f>Assumptions!AA103</f>
        <v>16206.22794</v>
      </c>
      <c r="P10" s="165">
        <f>Assumptions!AB103</f>
        <v>17830.59342</v>
      </c>
      <c r="Q10" s="165">
        <f>Assumptions!AC103</f>
        <v>19454.9589</v>
      </c>
      <c r="R10" s="165">
        <f>Assumptions!AD103</f>
        <v>20761.82438</v>
      </c>
      <c r="S10" s="165">
        <f>Assumptions!AE103</f>
        <v>22061.42737</v>
      </c>
      <c r="T10" s="165">
        <f>Assumptions!AF103</f>
        <v>23360.92141</v>
      </c>
      <c r="U10" s="165">
        <f>Assumptions!AG103</f>
        <v>24660.41382</v>
      </c>
      <c r="V10" s="165">
        <f>Assumptions!AH103</f>
        <v>25959.90621</v>
      </c>
      <c r="W10" s="165">
        <f>Assumptions!AI103</f>
        <v>27259.39859</v>
      </c>
      <c r="X10" s="165">
        <f>Assumptions!AJ103</f>
        <v>28558.89098</v>
      </c>
      <c r="Y10" s="165">
        <f>Assumptions!AK103</f>
        <v>29858.38336</v>
      </c>
      <c r="Z10" s="165">
        <f>Assumptions!AL103</f>
        <v>31157.87575</v>
      </c>
      <c r="AA10" s="165">
        <f>Assumptions!AM103</f>
        <v>32457.36814</v>
      </c>
      <c r="AB10" s="165">
        <f>Assumptions!AN103</f>
        <v>33756.86052</v>
      </c>
      <c r="AC10" s="165">
        <f>Assumptions!AO103</f>
        <v>35056.35291</v>
      </c>
      <c r="AD10" s="165">
        <f>Assumptions!AP103</f>
        <v>36101.84529</v>
      </c>
      <c r="AE10" s="165">
        <f>Assumptions!AQ103</f>
        <v>37141.52768</v>
      </c>
      <c r="AF10" s="165">
        <f>Assumptions!AR103</f>
        <v>38181.12292</v>
      </c>
      <c r="AG10" s="165">
        <f>Assumptions!AS103</f>
        <v>39220.71684</v>
      </c>
      <c r="AH10" s="165">
        <f>Assumptions!AT103</f>
        <v>40260.31075</v>
      </c>
      <c r="AI10" s="165">
        <f>Assumptions!AU103</f>
        <v>41299.90466</v>
      </c>
      <c r="AJ10" s="165">
        <f>Assumptions!AV103</f>
        <v>42339.49857</v>
      </c>
      <c r="AK10" s="165">
        <f>Assumptions!AW103</f>
        <v>43379.09248</v>
      </c>
      <c r="AL10" s="165">
        <f>Assumptions!AX103</f>
        <v>44418.68639</v>
      </c>
      <c r="AM10" s="165">
        <f>Assumptions!AY103</f>
        <v>45458.2803</v>
      </c>
      <c r="AN10" s="165">
        <f>Assumptions!AZ103</f>
        <v>46497.8742</v>
      </c>
      <c r="AO10" s="165">
        <f>Assumptions!BA103</f>
        <v>47537.46811</v>
      </c>
      <c r="AP10" s="165">
        <f>Assumptions!BB103</f>
        <v>48373.86202</v>
      </c>
      <c r="AQ10" s="165">
        <f>Assumptions!BC103</f>
        <v>49205.60793</v>
      </c>
      <c r="AR10" s="165">
        <f>Assumptions!BD103</f>
        <v>50037.28412</v>
      </c>
      <c r="AS10" s="165">
        <f>Assumptions!BE103</f>
        <v>50868.95926</v>
      </c>
      <c r="AT10" s="165">
        <f>Assumptions!BF103</f>
        <v>51700.63439</v>
      </c>
      <c r="AU10" s="165">
        <f>Assumptions!BG103</f>
        <v>52532.30952</v>
      </c>
      <c r="AV10" s="165">
        <f>Assumptions!BH103</f>
        <v>53363.98464</v>
      </c>
      <c r="AW10" s="165">
        <f>Assumptions!BI103</f>
        <v>54195.65977</v>
      </c>
      <c r="AX10" s="165">
        <f>Assumptions!BJ103</f>
        <v>55027.3349</v>
      </c>
      <c r="AY10" s="165">
        <f>Assumptions!BK103</f>
        <v>55859.01002</v>
      </c>
      <c r="AZ10" s="165">
        <f>Assumptions!BL103</f>
        <v>56690.68515</v>
      </c>
      <c r="BA10" s="165">
        <f>Assumptions!BM103</f>
        <v>57522.36028</v>
      </c>
      <c r="BB10" s="165">
        <f>Assumptions!BN103</f>
        <v>58191.4754</v>
      </c>
      <c r="BC10" s="165">
        <f>Assumptions!BO103</f>
        <v>58856.87213</v>
      </c>
      <c r="BD10" s="165">
        <f>Assumptions!BP103</f>
        <v>59522.21308</v>
      </c>
      <c r="BE10" s="165">
        <f>Assumptions!BQ103</f>
        <v>60187.5532</v>
      </c>
      <c r="BF10" s="165">
        <f>Assumptions!BR103</f>
        <v>60852.8933</v>
      </c>
      <c r="BG10" s="165">
        <f>Assumptions!BS103</f>
        <v>61518.2334</v>
      </c>
      <c r="BH10" s="165">
        <f>Assumptions!BT103</f>
        <v>62183.5735</v>
      </c>
      <c r="BI10" s="165">
        <f>Assumptions!BU103</f>
        <v>62848.9136</v>
      </c>
      <c r="BJ10" s="165">
        <f>Assumptions!BV103</f>
        <v>63514.2537</v>
      </c>
      <c r="BK10" s="165">
        <f>Assumptions!BW103</f>
        <v>64179.59381</v>
      </c>
      <c r="BL10" s="165">
        <f>Assumptions!BX103</f>
        <v>64844.93391</v>
      </c>
      <c r="BM10" s="165">
        <f>Assumptions!BY103</f>
        <v>65510.27401</v>
      </c>
      <c r="BN10" s="165" t="str">
        <f>Assumptions!BZ103</f>
        <v/>
      </c>
    </row>
    <row r="11" outlineLevel="1">
      <c r="A11" s="165"/>
      <c r="B11" s="165" t="str">
        <f>Assumptions!B105</f>
        <v>Annual SaaS Tier 3</v>
      </c>
      <c r="C11" s="165"/>
      <c r="D11" s="165"/>
      <c r="E11" s="165"/>
      <c r="F11" s="165">
        <f>Assumptions!R118</f>
        <v>1852.083333</v>
      </c>
      <c r="G11" s="165">
        <f>Assumptions!S118</f>
        <v>3746.53125</v>
      </c>
      <c r="H11" s="165">
        <f>Assumptions!T118</f>
        <v>5641.614635</v>
      </c>
      <c r="I11" s="165">
        <f>Assumptions!U118</f>
        <v>7536.707553</v>
      </c>
      <c r="J11" s="165">
        <f>Assumptions!V118</f>
        <v>9431.800613</v>
      </c>
      <c r="K11" s="165">
        <f>Assumptions!W118</f>
        <v>11326.89368</v>
      </c>
      <c r="L11" s="165">
        <f>Assumptions!X118</f>
        <v>13221.98674</v>
      </c>
      <c r="M11" s="165">
        <f>Assumptions!Y118</f>
        <v>15117.0798</v>
      </c>
      <c r="N11" s="165">
        <f>Assumptions!Z118</f>
        <v>17012.17286</v>
      </c>
      <c r="O11" s="165">
        <f>Assumptions!AA118</f>
        <v>18907.26593</v>
      </c>
      <c r="P11" s="165">
        <f>Assumptions!AB118</f>
        <v>20802.35899</v>
      </c>
      <c r="Q11" s="165">
        <f>Assumptions!AC118</f>
        <v>22697.45205</v>
      </c>
      <c r="R11" s="165">
        <f>Assumptions!AD118</f>
        <v>24222.12845</v>
      </c>
      <c r="S11" s="165">
        <f>Assumptions!AE118</f>
        <v>25738.33193</v>
      </c>
      <c r="T11" s="165">
        <f>Assumptions!AF118</f>
        <v>27254.40831</v>
      </c>
      <c r="U11" s="165">
        <f>Assumptions!AG118</f>
        <v>28770.48279</v>
      </c>
      <c r="V11" s="165">
        <f>Assumptions!AH118</f>
        <v>30286.55724</v>
      </c>
      <c r="W11" s="165">
        <f>Assumptions!AI118</f>
        <v>31802.63169</v>
      </c>
      <c r="X11" s="165">
        <f>Assumptions!AJ118</f>
        <v>33318.70614</v>
      </c>
      <c r="Y11" s="165">
        <f>Assumptions!AK118</f>
        <v>34834.78059</v>
      </c>
      <c r="Z11" s="165">
        <f>Assumptions!AL118</f>
        <v>36350.85504</v>
      </c>
      <c r="AA11" s="165">
        <f>Assumptions!AM118</f>
        <v>37866.92949</v>
      </c>
      <c r="AB11" s="165">
        <f>Assumptions!AN118</f>
        <v>39383.00394</v>
      </c>
      <c r="AC11" s="165">
        <f>Assumptions!AO118</f>
        <v>40899.07839</v>
      </c>
      <c r="AD11" s="165">
        <f>Assumptions!AP118</f>
        <v>42118.81951</v>
      </c>
      <c r="AE11" s="165">
        <f>Assumptions!AQ118</f>
        <v>43331.78229</v>
      </c>
      <c r="AF11" s="165">
        <f>Assumptions!AR118</f>
        <v>44544.6434</v>
      </c>
      <c r="AG11" s="165">
        <f>Assumptions!AS118</f>
        <v>45757.50298</v>
      </c>
      <c r="AH11" s="165">
        <f>Assumptions!AT118</f>
        <v>46970.36254</v>
      </c>
      <c r="AI11" s="165">
        <f>Assumptions!AU118</f>
        <v>48183.2221</v>
      </c>
      <c r="AJ11" s="165">
        <f>Assumptions!AV118</f>
        <v>49396.08166</v>
      </c>
      <c r="AK11" s="165">
        <f>Assumptions!AW118</f>
        <v>50608.94122</v>
      </c>
      <c r="AL11" s="165">
        <f>Assumptions!AX118</f>
        <v>51821.80079</v>
      </c>
      <c r="AM11" s="165">
        <f>Assumptions!AY118</f>
        <v>53034.66035</v>
      </c>
      <c r="AN11" s="165">
        <f>Assumptions!AZ118</f>
        <v>54247.51991</v>
      </c>
      <c r="AO11" s="165">
        <f>Assumptions!BA118</f>
        <v>55460.37947</v>
      </c>
      <c r="AP11" s="165">
        <f>Assumptions!BB118</f>
        <v>56436.17236</v>
      </c>
      <c r="AQ11" s="165">
        <f>Assumptions!BC118</f>
        <v>57406.54259</v>
      </c>
      <c r="AR11" s="165">
        <f>Assumptions!BD118</f>
        <v>58376.83147</v>
      </c>
      <c r="AS11" s="165">
        <f>Assumptions!BE118</f>
        <v>59347.11914</v>
      </c>
      <c r="AT11" s="165">
        <f>Assumptions!BF118</f>
        <v>60317.40679</v>
      </c>
      <c r="AU11" s="165">
        <f>Assumptions!BG118</f>
        <v>61287.69444</v>
      </c>
      <c r="AV11" s="165">
        <f>Assumptions!BH118</f>
        <v>62257.98208</v>
      </c>
      <c r="AW11" s="165">
        <f>Assumptions!BI118</f>
        <v>63228.26973</v>
      </c>
      <c r="AX11" s="165">
        <f>Assumptions!BJ118</f>
        <v>64198.55738</v>
      </c>
      <c r="AY11" s="165">
        <f>Assumptions!BK118</f>
        <v>65168.84503</v>
      </c>
      <c r="AZ11" s="165">
        <f>Assumptions!BL118</f>
        <v>66139.13268</v>
      </c>
      <c r="BA11" s="165">
        <f>Assumptions!BM118</f>
        <v>67109.42032</v>
      </c>
      <c r="BB11" s="165">
        <f>Assumptions!BN118</f>
        <v>67890.05464</v>
      </c>
      <c r="BC11" s="165">
        <f>Assumptions!BO118</f>
        <v>68666.35082</v>
      </c>
      <c r="BD11" s="165">
        <f>Assumptions!BP118</f>
        <v>69442.58193</v>
      </c>
      <c r="BE11" s="165">
        <f>Assumptions!BQ118</f>
        <v>70218.81206</v>
      </c>
      <c r="BF11" s="165">
        <f>Assumptions!BR118</f>
        <v>70995.04218</v>
      </c>
      <c r="BG11" s="165">
        <f>Assumptions!BS118</f>
        <v>71771.2723</v>
      </c>
      <c r="BH11" s="165">
        <f>Assumptions!BT118</f>
        <v>72547.50242</v>
      </c>
      <c r="BI11" s="165">
        <f>Assumptions!BU118</f>
        <v>73323.73254</v>
      </c>
      <c r="BJ11" s="165">
        <f>Assumptions!BV118</f>
        <v>74099.96265</v>
      </c>
      <c r="BK11" s="165">
        <f>Assumptions!BW118</f>
        <v>74876.19277</v>
      </c>
      <c r="BL11" s="165">
        <f>Assumptions!BX118</f>
        <v>75652.42289</v>
      </c>
      <c r="BM11" s="165">
        <f>Assumptions!BY118</f>
        <v>76428.65301</v>
      </c>
      <c r="BN11" s="165" t="str">
        <f>Assumptions!BZ118</f>
        <v/>
      </c>
    </row>
    <row r="12" outlineLevel="1">
      <c r="A12" s="165"/>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c r="BL12" s="165"/>
      <c r="BM12" s="165"/>
      <c r="BN12" s="165"/>
    </row>
    <row r="13" outlineLevel="1">
      <c r="A13" s="165"/>
      <c r="B13" s="166" t="s">
        <v>158</v>
      </c>
      <c r="C13" s="167"/>
      <c r="D13" s="167"/>
      <c r="E13" s="167"/>
      <c r="F13" s="167">
        <f>Assumptions!R163</f>
        <v>1666.875</v>
      </c>
      <c r="G13" s="167">
        <f>Assumptions!S163</f>
        <v>3371.878125</v>
      </c>
      <c r="H13" s="167">
        <f>Assumptions!T163</f>
        <v>5077.453172</v>
      </c>
      <c r="I13" s="167">
        <f>Assumptions!U163</f>
        <v>6783.036798</v>
      </c>
      <c r="J13" s="167">
        <f>Assumptions!V163</f>
        <v>8488.620552</v>
      </c>
      <c r="K13" s="167">
        <f>Assumptions!W163</f>
        <v>10194.20431</v>
      </c>
      <c r="L13" s="167">
        <f>Assumptions!X163</f>
        <v>11899.78806</v>
      </c>
      <c r="M13" s="167">
        <f>Assumptions!Y163</f>
        <v>13605.37182</v>
      </c>
      <c r="N13" s="167">
        <f>Assumptions!Z163</f>
        <v>15310.95558</v>
      </c>
      <c r="O13" s="167">
        <f>Assumptions!AA163</f>
        <v>17016.53933</v>
      </c>
      <c r="P13" s="167">
        <f>Assumptions!AB163</f>
        <v>18722.12309</v>
      </c>
      <c r="Q13" s="167">
        <f>Assumptions!AC163</f>
        <v>20427.70685</v>
      </c>
      <c r="R13" s="167">
        <f>Assumptions!AD163</f>
        <v>21799.9156</v>
      </c>
      <c r="S13" s="167">
        <f>Assumptions!AE163</f>
        <v>23164.49873</v>
      </c>
      <c r="T13" s="167">
        <f>Assumptions!AF163</f>
        <v>24528.96748</v>
      </c>
      <c r="U13" s="167">
        <f>Assumptions!AG163</f>
        <v>25893.43451</v>
      </c>
      <c r="V13" s="167">
        <f>Assumptions!AH163</f>
        <v>27257.90152</v>
      </c>
      <c r="W13" s="167">
        <f>Assumptions!AI163</f>
        <v>28622.36852</v>
      </c>
      <c r="X13" s="167">
        <f>Assumptions!AJ163</f>
        <v>29986.83553</v>
      </c>
      <c r="Y13" s="167">
        <f>Assumptions!AK163</f>
        <v>31351.30253</v>
      </c>
      <c r="Z13" s="167">
        <f>Assumptions!AL163</f>
        <v>32715.76954</v>
      </c>
      <c r="AA13" s="167">
        <f>Assumptions!AM163</f>
        <v>34080.23654</v>
      </c>
      <c r="AB13" s="167">
        <f>Assumptions!AN163</f>
        <v>35444.70355</v>
      </c>
      <c r="AC13" s="167">
        <f>Assumptions!AO163</f>
        <v>36809.17055</v>
      </c>
      <c r="AD13" s="167">
        <f>Assumptions!AP163</f>
        <v>37906.93756</v>
      </c>
      <c r="AE13" s="167">
        <f>Assumptions!AQ163</f>
        <v>38998.60406</v>
      </c>
      <c r="AF13" s="167">
        <f>Assumptions!AR163</f>
        <v>40090.17906</v>
      </c>
      <c r="AG13" s="167">
        <f>Assumptions!AS163</f>
        <v>41181.75269</v>
      </c>
      <c r="AH13" s="167">
        <f>Assumptions!AT163</f>
        <v>42273.32629</v>
      </c>
      <c r="AI13" s="167">
        <f>Assumptions!AU163</f>
        <v>43364.89989</v>
      </c>
      <c r="AJ13" s="167">
        <f>Assumptions!AV163</f>
        <v>44456.4735</v>
      </c>
      <c r="AK13" s="167">
        <f>Assumptions!AW163</f>
        <v>45548.0471</v>
      </c>
      <c r="AL13" s="167">
        <f>Assumptions!AX163</f>
        <v>46639.62071</v>
      </c>
      <c r="AM13" s="167">
        <f>Assumptions!AY163</f>
        <v>47731.19431</v>
      </c>
      <c r="AN13" s="167">
        <f>Assumptions!AZ163</f>
        <v>48822.76791</v>
      </c>
      <c r="AO13" s="167">
        <f>Assumptions!BA163</f>
        <v>49914.34152</v>
      </c>
      <c r="AP13" s="167">
        <f>Assumptions!BB163</f>
        <v>50792.55512</v>
      </c>
      <c r="AQ13" s="167">
        <f>Assumptions!BC163</f>
        <v>51665.88833</v>
      </c>
      <c r="AR13" s="167">
        <f>Assumptions!BD163</f>
        <v>52539.14832</v>
      </c>
      <c r="AS13" s="167">
        <f>Assumptions!BE163</f>
        <v>53412.40722</v>
      </c>
      <c r="AT13" s="167">
        <f>Assumptions!BF163</f>
        <v>54285.66611</v>
      </c>
      <c r="AU13" s="167">
        <f>Assumptions!BG163</f>
        <v>55158.92499</v>
      </c>
      <c r="AV13" s="167">
        <f>Assumptions!BH163</f>
        <v>56032.18387</v>
      </c>
      <c r="AW13" s="167">
        <f>Assumptions!BI163</f>
        <v>56905.44276</v>
      </c>
      <c r="AX13" s="167">
        <f>Assumptions!BJ163</f>
        <v>57778.70164</v>
      </c>
      <c r="AY13" s="167">
        <f>Assumptions!BK163</f>
        <v>58651.96052</v>
      </c>
      <c r="AZ13" s="167">
        <f>Assumptions!BL163</f>
        <v>59525.21941</v>
      </c>
      <c r="BA13" s="167">
        <f>Assumptions!BM163</f>
        <v>60398.47829</v>
      </c>
      <c r="BB13" s="167">
        <f>Assumptions!BN163</f>
        <v>61101.04917</v>
      </c>
      <c r="BC13" s="167">
        <f>Assumptions!BO163</f>
        <v>61799.71574</v>
      </c>
      <c r="BD13" s="167">
        <f>Assumptions!BP163</f>
        <v>62498.32374</v>
      </c>
      <c r="BE13" s="167">
        <f>Assumptions!BQ163</f>
        <v>63196.93086</v>
      </c>
      <c r="BF13" s="167">
        <f>Assumptions!BR163</f>
        <v>63895.53796</v>
      </c>
      <c r="BG13" s="167">
        <f>Assumptions!BS163</f>
        <v>64594.14507</v>
      </c>
      <c r="BH13" s="167">
        <f>Assumptions!BT163</f>
        <v>65292.75218</v>
      </c>
      <c r="BI13" s="167">
        <f>Assumptions!BU163</f>
        <v>65991.35928</v>
      </c>
      <c r="BJ13" s="167">
        <f>Assumptions!BV163</f>
        <v>66689.96639</v>
      </c>
      <c r="BK13" s="167">
        <f>Assumptions!BW163</f>
        <v>67388.5735</v>
      </c>
      <c r="BL13" s="167">
        <f>Assumptions!BX163</f>
        <v>68087.1806</v>
      </c>
      <c r="BM13" s="167">
        <f>Assumptions!BY163</f>
        <v>68785.78771</v>
      </c>
      <c r="BN13" s="165"/>
    </row>
    <row r="14" outlineLevel="1">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row>
    <row r="15" outlineLevel="1">
      <c r="A15" s="165"/>
      <c r="B15" s="168" t="s">
        <v>159</v>
      </c>
      <c r="C15" s="169"/>
      <c r="D15" s="169"/>
      <c r="E15" s="169"/>
      <c r="F15" s="170">
        <f t="shared" ref="F15:BM15" si="6">F8-F13</f>
        <v>3095.625</v>
      </c>
      <c r="G15" s="170">
        <f t="shared" si="6"/>
        <v>6262.059375</v>
      </c>
      <c r="H15" s="170">
        <f t="shared" si="6"/>
        <v>9429.555891</v>
      </c>
      <c r="I15" s="170">
        <f t="shared" si="6"/>
        <v>12597.06834</v>
      </c>
      <c r="J15" s="170">
        <f t="shared" si="6"/>
        <v>15764.58103</v>
      </c>
      <c r="K15" s="170">
        <f t="shared" si="6"/>
        <v>18932.09372</v>
      </c>
      <c r="L15" s="170">
        <f t="shared" si="6"/>
        <v>22099.60641</v>
      </c>
      <c r="M15" s="170">
        <f t="shared" si="6"/>
        <v>25267.1191</v>
      </c>
      <c r="N15" s="170">
        <f t="shared" si="6"/>
        <v>28434.63179</v>
      </c>
      <c r="O15" s="170">
        <f t="shared" si="6"/>
        <v>31602.14448</v>
      </c>
      <c r="P15" s="170">
        <f t="shared" si="6"/>
        <v>34769.65717</v>
      </c>
      <c r="Q15" s="170">
        <f t="shared" si="6"/>
        <v>37937.16986</v>
      </c>
      <c r="R15" s="170">
        <f t="shared" si="6"/>
        <v>40485.55755</v>
      </c>
      <c r="S15" s="170">
        <f t="shared" si="6"/>
        <v>43019.78336</v>
      </c>
      <c r="T15" s="170">
        <f t="shared" si="6"/>
        <v>45553.79675</v>
      </c>
      <c r="U15" s="170">
        <f t="shared" si="6"/>
        <v>48087.80695</v>
      </c>
      <c r="V15" s="170">
        <f t="shared" si="6"/>
        <v>50621.8171</v>
      </c>
      <c r="W15" s="170">
        <f t="shared" si="6"/>
        <v>53155.82726</v>
      </c>
      <c r="X15" s="170">
        <f t="shared" si="6"/>
        <v>55689.83741</v>
      </c>
      <c r="Y15" s="170">
        <f t="shared" si="6"/>
        <v>58223.84756</v>
      </c>
      <c r="Z15" s="170">
        <f t="shared" si="6"/>
        <v>60757.85771</v>
      </c>
      <c r="AA15" s="170">
        <f t="shared" si="6"/>
        <v>63291.86787</v>
      </c>
      <c r="AB15" s="170">
        <f t="shared" si="6"/>
        <v>65825.87802</v>
      </c>
      <c r="AC15" s="170">
        <f t="shared" si="6"/>
        <v>68359.88817</v>
      </c>
      <c r="AD15" s="170">
        <f t="shared" si="6"/>
        <v>70398.59832</v>
      </c>
      <c r="AE15" s="170">
        <f t="shared" si="6"/>
        <v>72425.97897</v>
      </c>
      <c r="AF15" s="170">
        <f t="shared" si="6"/>
        <v>74453.18968</v>
      </c>
      <c r="AG15" s="170">
        <f t="shared" si="6"/>
        <v>76480.39785</v>
      </c>
      <c r="AH15" s="170">
        <f t="shared" si="6"/>
        <v>78507.60597</v>
      </c>
      <c r="AI15" s="170">
        <f t="shared" si="6"/>
        <v>80534.81409</v>
      </c>
      <c r="AJ15" s="170">
        <f t="shared" si="6"/>
        <v>82562.02221</v>
      </c>
      <c r="AK15" s="170">
        <f t="shared" si="6"/>
        <v>84589.23033</v>
      </c>
      <c r="AL15" s="170">
        <f t="shared" si="6"/>
        <v>86616.43845</v>
      </c>
      <c r="AM15" s="170">
        <f t="shared" si="6"/>
        <v>88643.64658</v>
      </c>
      <c r="AN15" s="170">
        <f t="shared" si="6"/>
        <v>90670.8547</v>
      </c>
      <c r="AO15" s="170">
        <f t="shared" si="6"/>
        <v>92698.06282</v>
      </c>
      <c r="AP15" s="170">
        <f t="shared" si="6"/>
        <v>94329.03094</v>
      </c>
      <c r="AQ15" s="170">
        <f t="shared" si="6"/>
        <v>95950.93546</v>
      </c>
      <c r="AR15" s="170">
        <f t="shared" si="6"/>
        <v>97572.70403</v>
      </c>
      <c r="AS15" s="170">
        <f t="shared" si="6"/>
        <v>99194.47056</v>
      </c>
      <c r="AT15" s="170">
        <f t="shared" si="6"/>
        <v>100816.2371</v>
      </c>
      <c r="AU15" s="170">
        <f t="shared" si="6"/>
        <v>102438.0036</v>
      </c>
      <c r="AV15" s="170">
        <f t="shared" si="6"/>
        <v>104059.7701</v>
      </c>
      <c r="AW15" s="170">
        <f t="shared" si="6"/>
        <v>105681.5366</v>
      </c>
      <c r="AX15" s="170">
        <f t="shared" si="6"/>
        <v>107303.303</v>
      </c>
      <c r="AY15" s="170">
        <f t="shared" si="6"/>
        <v>108925.0695</v>
      </c>
      <c r="AZ15" s="170">
        <f t="shared" si="6"/>
        <v>110546.836</v>
      </c>
      <c r="BA15" s="170">
        <f t="shared" si="6"/>
        <v>112168.6025</v>
      </c>
      <c r="BB15" s="170">
        <f t="shared" si="6"/>
        <v>113473.377</v>
      </c>
      <c r="BC15" s="170">
        <f t="shared" si="6"/>
        <v>114770.9007</v>
      </c>
      <c r="BD15" s="170">
        <f t="shared" si="6"/>
        <v>116068.3155</v>
      </c>
      <c r="BE15" s="170">
        <f t="shared" si="6"/>
        <v>117365.7287</v>
      </c>
      <c r="BF15" s="170">
        <f t="shared" si="6"/>
        <v>118663.1419</v>
      </c>
      <c r="BG15" s="170">
        <f t="shared" si="6"/>
        <v>119960.5551</v>
      </c>
      <c r="BH15" s="170">
        <f t="shared" si="6"/>
        <v>121257.9683</v>
      </c>
      <c r="BI15" s="170">
        <f t="shared" si="6"/>
        <v>122555.3815</v>
      </c>
      <c r="BJ15" s="170">
        <f t="shared" si="6"/>
        <v>123852.7947</v>
      </c>
      <c r="BK15" s="170">
        <f t="shared" si="6"/>
        <v>125150.2079</v>
      </c>
      <c r="BL15" s="170">
        <f t="shared" si="6"/>
        <v>126447.6211</v>
      </c>
      <c r="BM15" s="170">
        <f t="shared" si="6"/>
        <v>127745.0343</v>
      </c>
      <c r="BN15" s="165"/>
    </row>
    <row r="16" outlineLevel="1">
      <c r="A16" s="171"/>
      <c r="B16" s="172" t="s">
        <v>160</v>
      </c>
      <c r="C16" s="171"/>
      <c r="D16" s="171"/>
      <c r="E16" s="171"/>
      <c r="F16" s="173">
        <f t="shared" ref="F16:BM16" si="7">F15/F8</f>
        <v>0.65</v>
      </c>
      <c r="G16" s="173">
        <f t="shared" si="7"/>
        <v>0.65</v>
      </c>
      <c r="H16" s="173">
        <f t="shared" si="7"/>
        <v>0.65</v>
      </c>
      <c r="I16" s="173">
        <f t="shared" si="7"/>
        <v>0.65</v>
      </c>
      <c r="J16" s="173">
        <f t="shared" si="7"/>
        <v>0.65</v>
      </c>
      <c r="K16" s="173">
        <f t="shared" si="7"/>
        <v>0.65</v>
      </c>
      <c r="L16" s="173">
        <f t="shared" si="7"/>
        <v>0.65</v>
      </c>
      <c r="M16" s="173">
        <f t="shared" si="7"/>
        <v>0.65</v>
      </c>
      <c r="N16" s="173">
        <f t="shared" si="7"/>
        <v>0.65</v>
      </c>
      <c r="O16" s="173">
        <f t="shared" si="7"/>
        <v>0.65</v>
      </c>
      <c r="P16" s="173">
        <f t="shared" si="7"/>
        <v>0.65</v>
      </c>
      <c r="Q16" s="173">
        <f t="shared" si="7"/>
        <v>0.65</v>
      </c>
      <c r="R16" s="173">
        <f t="shared" si="7"/>
        <v>0.65</v>
      </c>
      <c r="S16" s="173">
        <f t="shared" si="7"/>
        <v>0.65</v>
      </c>
      <c r="T16" s="173">
        <f t="shared" si="7"/>
        <v>0.65</v>
      </c>
      <c r="U16" s="173">
        <f t="shared" si="7"/>
        <v>0.65</v>
      </c>
      <c r="V16" s="173">
        <f t="shared" si="7"/>
        <v>0.65</v>
      </c>
      <c r="W16" s="173">
        <f t="shared" si="7"/>
        <v>0.65</v>
      </c>
      <c r="X16" s="173">
        <f t="shared" si="7"/>
        <v>0.65</v>
      </c>
      <c r="Y16" s="173">
        <f t="shared" si="7"/>
        <v>0.65</v>
      </c>
      <c r="Z16" s="173">
        <f t="shared" si="7"/>
        <v>0.65</v>
      </c>
      <c r="AA16" s="173">
        <f t="shared" si="7"/>
        <v>0.65</v>
      </c>
      <c r="AB16" s="173">
        <f t="shared" si="7"/>
        <v>0.65</v>
      </c>
      <c r="AC16" s="173">
        <f t="shared" si="7"/>
        <v>0.65</v>
      </c>
      <c r="AD16" s="173">
        <f t="shared" si="7"/>
        <v>0.65</v>
      </c>
      <c r="AE16" s="173">
        <f t="shared" si="7"/>
        <v>0.65</v>
      </c>
      <c r="AF16" s="173">
        <f t="shared" si="7"/>
        <v>0.65</v>
      </c>
      <c r="AG16" s="173">
        <f t="shared" si="7"/>
        <v>0.65</v>
      </c>
      <c r="AH16" s="173">
        <f t="shared" si="7"/>
        <v>0.65</v>
      </c>
      <c r="AI16" s="173">
        <f t="shared" si="7"/>
        <v>0.65</v>
      </c>
      <c r="AJ16" s="173">
        <f t="shared" si="7"/>
        <v>0.65</v>
      </c>
      <c r="AK16" s="173">
        <f t="shared" si="7"/>
        <v>0.65</v>
      </c>
      <c r="AL16" s="173">
        <f t="shared" si="7"/>
        <v>0.65</v>
      </c>
      <c r="AM16" s="173">
        <f t="shared" si="7"/>
        <v>0.65</v>
      </c>
      <c r="AN16" s="173">
        <f t="shared" si="7"/>
        <v>0.65</v>
      </c>
      <c r="AO16" s="173">
        <f t="shared" si="7"/>
        <v>0.65</v>
      </c>
      <c r="AP16" s="173">
        <f t="shared" si="7"/>
        <v>0.65</v>
      </c>
      <c r="AQ16" s="173">
        <f t="shared" si="7"/>
        <v>0.65</v>
      </c>
      <c r="AR16" s="173">
        <f t="shared" si="7"/>
        <v>0.65</v>
      </c>
      <c r="AS16" s="173">
        <f t="shared" si="7"/>
        <v>0.65</v>
      </c>
      <c r="AT16" s="173">
        <f t="shared" si="7"/>
        <v>0.65</v>
      </c>
      <c r="AU16" s="173">
        <f t="shared" si="7"/>
        <v>0.65</v>
      </c>
      <c r="AV16" s="173">
        <f t="shared" si="7"/>
        <v>0.65</v>
      </c>
      <c r="AW16" s="173">
        <f t="shared" si="7"/>
        <v>0.65</v>
      </c>
      <c r="AX16" s="173">
        <f t="shared" si="7"/>
        <v>0.65</v>
      </c>
      <c r="AY16" s="173">
        <f t="shared" si="7"/>
        <v>0.65</v>
      </c>
      <c r="AZ16" s="173">
        <f t="shared" si="7"/>
        <v>0.65</v>
      </c>
      <c r="BA16" s="173">
        <f t="shared" si="7"/>
        <v>0.65</v>
      </c>
      <c r="BB16" s="173">
        <f t="shared" si="7"/>
        <v>0.65</v>
      </c>
      <c r="BC16" s="173">
        <f t="shared" si="7"/>
        <v>0.65</v>
      </c>
      <c r="BD16" s="173">
        <f t="shared" si="7"/>
        <v>0.65</v>
      </c>
      <c r="BE16" s="173">
        <f t="shared" si="7"/>
        <v>0.65</v>
      </c>
      <c r="BF16" s="173">
        <f t="shared" si="7"/>
        <v>0.65</v>
      </c>
      <c r="BG16" s="173">
        <f t="shared" si="7"/>
        <v>0.65</v>
      </c>
      <c r="BH16" s="173">
        <f t="shared" si="7"/>
        <v>0.65</v>
      </c>
      <c r="BI16" s="173">
        <f t="shared" si="7"/>
        <v>0.65</v>
      </c>
      <c r="BJ16" s="173">
        <f t="shared" si="7"/>
        <v>0.65</v>
      </c>
      <c r="BK16" s="173">
        <f t="shared" si="7"/>
        <v>0.65</v>
      </c>
      <c r="BL16" s="173">
        <f t="shared" si="7"/>
        <v>0.65</v>
      </c>
      <c r="BM16" s="173">
        <f t="shared" si="7"/>
        <v>0.65</v>
      </c>
      <c r="BN16" s="171"/>
    </row>
    <row r="17" outlineLevel="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row>
    <row r="18" outlineLevel="1">
      <c r="A18" s="165"/>
      <c r="B18" s="174" t="s">
        <v>161</v>
      </c>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row>
    <row r="19" outlineLevel="1">
      <c r="A19" s="165"/>
      <c r="B19" s="175" t="s">
        <v>162</v>
      </c>
      <c r="C19" s="165"/>
      <c r="D19" s="165"/>
      <c r="E19" s="165"/>
      <c r="F19" s="165">
        <f>SUM(Assumptions!R126:R150)</f>
        <v>202000</v>
      </c>
      <c r="G19" s="165">
        <f>SUM(Assumptions!S126:S150)</f>
        <v>202000</v>
      </c>
      <c r="H19" s="165">
        <f>SUM(Assumptions!T126:T150)</f>
        <v>202000</v>
      </c>
      <c r="I19" s="165">
        <f>SUM(Assumptions!U126:U150)</f>
        <v>202000</v>
      </c>
      <c r="J19" s="165">
        <f>SUM(Assumptions!V126:V150)</f>
        <v>202000</v>
      </c>
      <c r="K19" s="165">
        <f>SUM(Assumptions!W126:W150)</f>
        <v>202000</v>
      </c>
      <c r="L19" s="165">
        <f>SUM(Assumptions!X126:X150)</f>
        <v>202000</v>
      </c>
      <c r="M19" s="165">
        <f>SUM(Assumptions!Y126:Y150)</f>
        <v>202000</v>
      </c>
      <c r="N19" s="165">
        <f>SUM(Assumptions!Z126:Z150)</f>
        <v>202000</v>
      </c>
      <c r="O19" s="165">
        <f>SUM(Assumptions!AA126:AA150)</f>
        <v>202000</v>
      </c>
      <c r="P19" s="165">
        <f>SUM(Assumptions!AB126:AB150)</f>
        <v>202000</v>
      </c>
      <c r="Q19" s="165">
        <f>SUM(Assumptions!AC126:AC150)</f>
        <v>202000</v>
      </c>
      <c r="R19" s="165">
        <f>SUM(Assumptions!AD126:AD150)</f>
        <v>202000</v>
      </c>
      <c r="S19" s="165">
        <f>SUM(Assumptions!AE126:AE150)</f>
        <v>202000</v>
      </c>
      <c r="T19" s="165">
        <f>SUM(Assumptions!AF126:AF150)</f>
        <v>202000</v>
      </c>
      <c r="U19" s="165">
        <f>SUM(Assumptions!AG126:AG150)</f>
        <v>202000</v>
      </c>
      <c r="V19" s="165">
        <f>SUM(Assumptions!AH126:AH150)</f>
        <v>202000</v>
      </c>
      <c r="W19" s="165">
        <f>SUM(Assumptions!AI126:AI150)</f>
        <v>202000</v>
      </c>
      <c r="X19" s="165">
        <f>SUM(Assumptions!AJ126:AJ150)</f>
        <v>202000</v>
      </c>
      <c r="Y19" s="165">
        <f>SUM(Assumptions!AK126:AK150)</f>
        <v>202000</v>
      </c>
      <c r="Z19" s="165">
        <f>SUM(Assumptions!AL126:AL150)</f>
        <v>202000</v>
      </c>
      <c r="AA19" s="165">
        <f>SUM(Assumptions!AM126:AM150)</f>
        <v>202000</v>
      </c>
      <c r="AB19" s="165">
        <f>SUM(Assumptions!AN126:AN150)</f>
        <v>202000</v>
      </c>
      <c r="AC19" s="165">
        <f>SUM(Assumptions!AO126:AO150)</f>
        <v>202000</v>
      </c>
      <c r="AD19" s="165">
        <f>SUM(Assumptions!AP126:AP150)</f>
        <v>202000</v>
      </c>
      <c r="AE19" s="165">
        <f>SUM(Assumptions!AQ126:AQ150)</f>
        <v>202000</v>
      </c>
      <c r="AF19" s="165">
        <f>SUM(Assumptions!AR126:AR150)</f>
        <v>202000</v>
      </c>
      <c r="AG19" s="165">
        <f>SUM(Assumptions!AS126:AS150)</f>
        <v>202000</v>
      </c>
      <c r="AH19" s="165">
        <f>SUM(Assumptions!AT126:AT150)</f>
        <v>202000</v>
      </c>
      <c r="AI19" s="165">
        <f>SUM(Assumptions!AU126:AU150)</f>
        <v>202000</v>
      </c>
      <c r="AJ19" s="165">
        <f>SUM(Assumptions!AV126:AV150)</f>
        <v>202000</v>
      </c>
      <c r="AK19" s="165">
        <f>SUM(Assumptions!AW126:AW150)</f>
        <v>202000</v>
      </c>
      <c r="AL19" s="165">
        <f>SUM(Assumptions!AX126:AX150)</f>
        <v>202000</v>
      </c>
      <c r="AM19" s="165">
        <f>SUM(Assumptions!AY126:AY150)</f>
        <v>202000</v>
      </c>
      <c r="AN19" s="165">
        <f>SUM(Assumptions!AZ126:AZ150)</f>
        <v>202000</v>
      </c>
      <c r="AO19" s="165">
        <f>SUM(Assumptions!BA126:BA150)</f>
        <v>202000</v>
      </c>
      <c r="AP19" s="165">
        <f>SUM(Assumptions!BB126:BB150)</f>
        <v>202000</v>
      </c>
      <c r="AQ19" s="165">
        <f>SUM(Assumptions!BC126:BC150)</f>
        <v>202000</v>
      </c>
      <c r="AR19" s="165">
        <f>SUM(Assumptions!BD126:BD150)</f>
        <v>202000</v>
      </c>
      <c r="AS19" s="165">
        <f>SUM(Assumptions!BE126:BE150)</f>
        <v>202000</v>
      </c>
      <c r="AT19" s="165">
        <f>SUM(Assumptions!BF126:BF150)</f>
        <v>202000</v>
      </c>
      <c r="AU19" s="165">
        <f>SUM(Assumptions!BG126:BG150)</f>
        <v>202000</v>
      </c>
      <c r="AV19" s="165">
        <f>SUM(Assumptions!BH126:BH150)</f>
        <v>202000</v>
      </c>
      <c r="AW19" s="165">
        <f>SUM(Assumptions!BI126:BI150)</f>
        <v>202000</v>
      </c>
      <c r="AX19" s="165">
        <f>SUM(Assumptions!BJ126:BJ150)</f>
        <v>202000</v>
      </c>
      <c r="AY19" s="165">
        <f>SUM(Assumptions!BK126:BK150)</f>
        <v>202000</v>
      </c>
      <c r="AZ19" s="165">
        <f>SUM(Assumptions!BL126:BL150)</f>
        <v>202000</v>
      </c>
      <c r="BA19" s="165">
        <f>SUM(Assumptions!BM126:BM150)</f>
        <v>202000</v>
      </c>
      <c r="BB19" s="165">
        <f>SUM(Assumptions!BN126:BN150)</f>
        <v>202000</v>
      </c>
      <c r="BC19" s="165">
        <f>SUM(Assumptions!BO126:BO150)</f>
        <v>202000</v>
      </c>
      <c r="BD19" s="165">
        <f>SUM(Assumptions!BP126:BP150)</f>
        <v>202000</v>
      </c>
      <c r="BE19" s="165">
        <f>SUM(Assumptions!BQ126:BQ150)</f>
        <v>202000</v>
      </c>
      <c r="BF19" s="165">
        <f>SUM(Assumptions!BR126:BR150)</f>
        <v>202000</v>
      </c>
      <c r="BG19" s="165">
        <f>SUM(Assumptions!BS126:BS150)</f>
        <v>202000</v>
      </c>
      <c r="BH19" s="165">
        <f>SUM(Assumptions!BT126:BT150)</f>
        <v>202000</v>
      </c>
      <c r="BI19" s="165">
        <f>SUM(Assumptions!BU126:BU150)</f>
        <v>202000</v>
      </c>
      <c r="BJ19" s="165">
        <f>SUM(Assumptions!BV126:BV150)</f>
        <v>202000</v>
      </c>
      <c r="BK19" s="165">
        <f>SUM(Assumptions!BW126:BW150)</f>
        <v>202000</v>
      </c>
      <c r="BL19" s="165">
        <f>SUM(Assumptions!BX126:BX150)</f>
        <v>202000</v>
      </c>
      <c r="BM19" s="165">
        <f>SUM(Assumptions!BY126:BY150)</f>
        <v>202000</v>
      </c>
      <c r="BN19" s="165"/>
    </row>
    <row r="20" outlineLevel="1">
      <c r="A20" s="165"/>
      <c r="B20" s="165" t="str">
        <f>Assumptions!B165</f>
        <v>General &amp; Admin</v>
      </c>
      <c r="C20" s="165"/>
      <c r="D20" s="165"/>
      <c r="E20" s="165"/>
      <c r="F20" s="165">
        <f>sum(Assumptions!R166:R173)</f>
        <v>20000</v>
      </c>
      <c r="G20" s="165">
        <f>sum(Assumptions!S166:S173)</f>
        <v>20000</v>
      </c>
      <c r="H20" s="165">
        <f>sum(Assumptions!T166:T173)</f>
        <v>20000</v>
      </c>
      <c r="I20" s="165">
        <f>sum(Assumptions!U166:U173)</f>
        <v>20000</v>
      </c>
      <c r="J20" s="165">
        <f>sum(Assumptions!V166:V173)</f>
        <v>20000</v>
      </c>
      <c r="K20" s="165">
        <f>sum(Assumptions!W166:W173)</f>
        <v>20000</v>
      </c>
      <c r="L20" s="165">
        <f>sum(Assumptions!X166:X173)</f>
        <v>20000</v>
      </c>
      <c r="M20" s="165">
        <f>sum(Assumptions!Y166:Y173)</f>
        <v>20000</v>
      </c>
      <c r="N20" s="165">
        <f>sum(Assumptions!Z166:Z173)</f>
        <v>20000</v>
      </c>
      <c r="O20" s="165">
        <f>sum(Assumptions!AA166:AA173)</f>
        <v>20000</v>
      </c>
      <c r="P20" s="165">
        <f>sum(Assumptions!AB166:AB173)</f>
        <v>20000</v>
      </c>
      <c r="Q20" s="165">
        <f>sum(Assumptions!AC166:AC173)</f>
        <v>20000</v>
      </c>
      <c r="R20" s="165">
        <f>sum(Assumptions!AD166:AD173)</f>
        <v>20000</v>
      </c>
      <c r="S20" s="165">
        <f>sum(Assumptions!AE166:AE173)</f>
        <v>20000</v>
      </c>
      <c r="T20" s="165">
        <f>sum(Assumptions!AF166:AF173)</f>
        <v>20000</v>
      </c>
      <c r="U20" s="165">
        <f>sum(Assumptions!AG166:AG173)</f>
        <v>20000</v>
      </c>
      <c r="V20" s="165">
        <f>sum(Assumptions!AH166:AH173)</f>
        <v>20000</v>
      </c>
      <c r="W20" s="165">
        <f>sum(Assumptions!AI166:AI173)</f>
        <v>20000</v>
      </c>
      <c r="X20" s="165">
        <f>sum(Assumptions!AJ166:AJ173)</f>
        <v>20000</v>
      </c>
      <c r="Y20" s="165">
        <f>sum(Assumptions!AK166:AK173)</f>
        <v>20000</v>
      </c>
      <c r="Z20" s="165">
        <f>sum(Assumptions!AL166:AL173)</f>
        <v>20000</v>
      </c>
      <c r="AA20" s="165">
        <f>sum(Assumptions!AM166:AM173)</f>
        <v>20000</v>
      </c>
      <c r="AB20" s="165">
        <f>sum(Assumptions!AN166:AN173)</f>
        <v>20000</v>
      </c>
      <c r="AC20" s="165">
        <f>sum(Assumptions!AO166:AO173)</f>
        <v>20000</v>
      </c>
      <c r="AD20" s="165">
        <f>sum(Assumptions!AP166:AP173)</f>
        <v>20000</v>
      </c>
      <c r="AE20" s="165">
        <f>sum(Assumptions!AQ166:AQ173)</f>
        <v>20000</v>
      </c>
      <c r="AF20" s="165">
        <f>sum(Assumptions!AR166:AR173)</f>
        <v>20000</v>
      </c>
      <c r="AG20" s="165">
        <f>sum(Assumptions!AS166:AS173)</f>
        <v>20000</v>
      </c>
      <c r="AH20" s="165">
        <f>sum(Assumptions!AT166:AT173)</f>
        <v>20000</v>
      </c>
      <c r="AI20" s="165">
        <f>sum(Assumptions!AU166:AU173)</f>
        <v>20000</v>
      </c>
      <c r="AJ20" s="165">
        <f>sum(Assumptions!AV166:AV173)</f>
        <v>20000</v>
      </c>
      <c r="AK20" s="165">
        <f>sum(Assumptions!AW166:AW173)</f>
        <v>20000</v>
      </c>
      <c r="AL20" s="165">
        <f>sum(Assumptions!AX166:AX173)</f>
        <v>20000</v>
      </c>
      <c r="AM20" s="165">
        <f>sum(Assumptions!AY166:AY173)</f>
        <v>20000</v>
      </c>
      <c r="AN20" s="165">
        <f>sum(Assumptions!AZ166:AZ173)</f>
        <v>20000</v>
      </c>
      <c r="AO20" s="165">
        <f>sum(Assumptions!BA166:BA173)</f>
        <v>20000</v>
      </c>
      <c r="AP20" s="165">
        <f>sum(Assumptions!BB166:BB173)</f>
        <v>20000</v>
      </c>
      <c r="AQ20" s="165">
        <f>sum(Assumptions!BC166:BC173)</f>
        <v>20000</v>
      </c>
      <c r="AR20" s="165">
        <f>sum(Assumptions!BD166:BD173)</f>
        <v>20000</v>
      </c>
      <c r="AS20" s="165">
        <f>sum(Assumptions!BE166:BE173)</f>
        <v>20000</v>
      </c>
      <c r="AT20" s="165">
        <f>sum(Assumptions!BF166:BF173)</f>
        <v>20000</v>
      </c>
      <c r="AU20" s="165">
        <f>sum(Assumptions!BG166:BG173)</f>
        <v>20000</v>
      </c>
      <c r="AV20" s="165">
        <f>sum(Assumptions!BH166:BH173)</f>
        <v>20000</v>
      </c>
      <c r="AW20" s="165">
        <f>sum(Assumptions!BI166:BI173)</f>
        <v>20000</v>
      </c>
      <c r="AX20" s="165">
        <f>sum(Assumptions!BJ166:BJ173)</f>
        <v>20000</v>
      </c>
      <c r="AY20" s="165">
        <f>sum(Assumptions!BK166:BK173)</f>
        <v>20000</v>
      </c>
      <c r="AZ20" s="165">
        <f>sum(Assumptions!BL166:BL173)</f>
        <v>20000</v>
      </c>
      <c r="BA20" s="165">
        <f>sum(Assumptions!BM166:BM173)</f>
        <v>20000</v>
      </c>
      <c r="BB20" s="165">
        <f>sum(Assumptions!BN166:BN173)</f>
        <v>20000</v>
      </c>
      <c r="BC20" s="165">
        <f>sum(Assumptions!BO166:BO173)</f>
        <v>20000</v>
      </c>
      <c r="BD20" s="165">
        <f>sum(Assumptions!BP166:BP173)</f>
        <v>20000</v>
      </c>
      <c r="BE20" s="165">
        <f>sum(Assumptions!BQ166:BQ173)</f>
        <v>20000</v>
      </c>
      <c r="BF20" s="165">
        <f>sum(Assumptions!BR166:BR173)</f>
        <v>20000</v>
      </c>
      <c r="BG20" s="165">
        <f>sum(Assumptions!BS166:BS173)</f>
        <v>20000</v>
      </c>
      <c r="BH20" s="165">
        <f>sum(Assumptions!BT166:BT173)</f>
        <v>20000</v>
      </c>
      <c r="BI20" s="165">
        <f>sum(Assumptions!BU166:BU173)</f>
        <v>20000</v>
      </c>
      <c r="BJ20" s="165">
        <f>sum(Assumptions!BV166:BV173)</f>
        <v>20000</v>
      </c>
      <c r="BK20" s="165">
        <f>sum(Assumptions!BW166:BW173)</f>
        <v>20000</v>
      </c>
      <c r="BL20" s="165">
        <f>sum(Assumptions!BX166:BX173)</f>
        <v>20000</v>
      </c>
      <c r="BM20" s="165">
        <f>sum(Assumptions!BY166:BY173)</f>
        <v>20000</v>
      </c>
      <c r="BN20" s="165"/>
    </row>
    <row r="21" outlineLevel="1">
      <c r="A21" s="165"/>
      <c r="B21" s="175" t="str">
        <f>Assumptions!B176</f>
        <v>Sales &amp; Marketing</v>
      </c>
      <c r="C21" s="165"/>
      <c r="D21" s="165"/>
      <c r="E21" s="165"/>
      <c r="F21" s="165">
        <f>sum(Assumptions!R177:R178)</f>
        <v>10381</v>
      </c>
      <c r="G21" s="165">
        <f>sum(Assumptions!S177:S178)</f>
        <v>10770.715</v>
      </c>
      <c r="H21" s="165">
        <f>sum(Assumptions!T177:T178)</f>
        <v>11160.56073</v>
      </c>
      <c r="I21" s="165">
        <f>sum(Assumptions!U177:U178)</f>
        <v>11550.40841</v>
      </c>
      <c r="J21" s="165">
        <f>sum(Assumptions!V177:V178)</f>
        <v>11940.25613</v>
      </c>
      <c r="K21" s="165">
        <f>sum(Assumptions!W177:W178)</f>
        <v>12330.10384</v>
      </c>
      <c r="L21" s="165">
        <f>sum(Assumptions!X177:X178)</f>
        <v>12719.95156</v>
      </c>
      <c r="M21" s="165">
        <f>sum(Assumptions!Y177:Y178)</f>
        <v>13109.79927</v>
      </c>
      <c r="N21" s="165">
        <f>sum(Assumptions!Z177:Z178)</f>
        <v>13499.64699</v>
      </c>
      <c r="O21" s="165">
        <f>sum(Assumptions!AA177:AA178)</f>
        <v>13889.4947</v>
      </c>
      <c r="P21" s="165">
        <f>sum(Assumptions!AB177:AB178)</f>
        <v>14279.34242</v>
      </c>
      <c r="Q21" s="165">
        <f>sum(Assumptions!AC177:AC178)</f>
        <v>14669.19014</v>
      </c>
      <c r="R21" s="165">
        <f>sum(Assumptions!AD177:AD178)</f>
        <v>14982.83785</v>
      </c>
      <c r="S21" s="165">
        <f>sum(Assumptions!AE177:AE178)</f>
        <v>15294.74257</v>
      </c>
      <c r="T21" s="165">
        <f>sum(Assumptions!AF177:AF178)</f>
        <v>15606.62114</v>
      </c>
      <c r="U21" s="165">
        <f>sum(Assumptions!AG177:AG178)</f>
        <v>15918.49932</v>
      </c>
      <c r="V21" s="165">
        <f>sum(Assumptions!AH177:AH178)</f>
        <v>16230.37749</v>
      </c>
      <c r="W21" s="165">
        <f>sum(Assumptions!AI177:AI178)</f>
        <v>16542.25566</v>
      </c>
      <c r="X21" s="165">
        <f>sum(Assumptions!AJ177:AJ178)</f>
        <v>16854.13383</v>
      </c>
      <c r="Y21" s="165">
        <f>sum(Assumptions!AK177:AK178)</f>
        <v>17166.01201</v>
      </c>
      <c r="Z21" s="165">
        <f>sum(Assumptions!AL177:AL178)</f>
        <v>17477.89018</v>
      </c>
      <c r="AA21" s="165">
        <f>sum(Assumptions!AM177:AM178)</f>
        <v>17789.76835</v>
      </c>
      <c r="AB21" s="165">
        <f>sum(Assumptions!AN177:AN178)</f>
        <v>18101.64653</v>
      </c>
      <c r="AC21" s="165">
        <f>sum(Assumptions!AO177:AO178)</f>
        <v>18413.5247</v>
      </c>
      <c r="AD21" s="165">
        <f>sum(Assumptions!AP177:AP178)</f>
        <v>18664.44287</v>
      </c>
      <c r="AE21" s="165">
        <f>sum(Assumptions!AQ177:AQ178)</f>
        <v>18913.96664</v>
      </c>
      <c r="AF21" s="165">
        <f>sum(Assumptions!AR177:AR178)</f>
        <v>19163.4695</v>
      </c>
      <c r="AG21" s="165">
        <f>sum(Assumptions!AS177:AS178)</f>
        <v>19412.97204</v>
      </c>
      <c r="AH21" s="165">
        <f>sum(Assumptions!AT177:AT178)</f>
        <v>19662.47458</v>
      </c>
      <c r="AI21" s="165">
        <f>sum(Assumptions!AU177:AU178)</f>
        <v>19911.97712</v>
      </c>
      <c r="AJ21" s="165">
        <f>sum(Assumptions!AV177:AV178)</f>
        <v>20161.47966</v>
      </c>
      <c r="AK21" s="165">
        <f>sum(Assumptions!AW177:AW178)</f>
        <v>20410.98219</v>
      </c>
      <c r="AL21" s="165">
        <f>sum(Assumptions!AX177:AX178)</f>
        <v>20660.48473</v>
      </c>
      <c r="AM21" s="165">
        <f>sum(Assumptions!AY177:AY178)</f>
        <v>20909.98727</v>
      </c>
      <c r="AN21" s="165">
        <f>sum(Assumptions!AZ177:AZ178)</f>
        <v>21159.48981</v>
      </c>
      <c r="AO21" s="165">
        <f>sum(Assumptions!BA177:BA178)</f>
        <v>21408.99235</v>
      </c>
      <c r="AP21" s="165">
        <f>sum(Assumptions!BB177:BB178)</f>
        <v>21609.72689</v>
      </c>
      <c r="AQ21" s="165">
        <f>sum(Assumptions!BC177:BC178)</f>
        <v>21809.3459</v>
      </c>
      <c r="AR21" s="165">
        <f>sum(Assumptions!BD177:BD178)</f>
        <v>22008.94819</v>
      </c>
      <c r="AS21" s="165">
        <f>sum(Assumptions!BE177:BE178)</f>
        <v>22208.55022</v>
      </c>
      <c r="AT21" s="165">
        <f>sum(Assumptions!BF177:BF178)</f>
        <v>22408.15225</v>
      </c>
      <c r="AU21" s="165">
        <f>sum(Assumptions!BG177:BG178)</f>
        <v>22607.75428</v>
      </c>
      <c r="AV21" s="165">
        <f>sum(Assumptions!BH177:BH178)</f>
        <v>22807.35631</v>
      </c>
      <c r="AW21" s="165">
        <f>sum(Assumptions!BI177:BI178)</f>
        <v>23006.95834</v>
      </c>
      <c r="AX21" s="165">
        <f>sum(Assumptions!BJ177:BJ178)</f>
        <v>23206.56038</v>
      </c>
      <c r="AY21" s="165">
        <f>sum(Assumptions!BK177:BK178)</f>
        <v>23406.16241</v>
      </c>
      <c r="AZ21" s="165">
        <f>sum(Assumptions!BL177:BL178)</f>
        <v>23605.76444</v>
      </c>
      <c r="BA21" s="165">
        <f>sum(Assumptions!BM177:BM178)</f>
        <v>23805.36647</v>
      </c>
      <c r="BB21" s="165">
        <f>sum(Assumptions!BN177:BN178)</f>
        <v>23965.9541</v>
      </c>
      <c r="BC21" s="165">
        <f>sum(Assumptions!BO177:BO178)</f>
        <v>24125.64931</v>
      </c>
      <c r="BD21" s="165">
        <f>sum(Assumptions!BP177:BP178)</f>
        <v>24285.33114</v>
      </c>
      <c r="BE21" s="165">
        <f>sum(Assumptions!BQ177:BQ178)</f>
        <v>24445.01277</v>
      </c>
      <c r="BF21" s="165">
        <f>sum(Assumptions!BR177:BR178)</f>
        <v>24604.69439</v>
      </c>
      <c r="BG21" s="165">
        <f>sum(Assumptions!BS177:BS178)</f>
        <v>24764.37602</v>
      </c>
      <c r="BH21" s="165">
        <f>sum(Assumptions!BT177:BT178)</f>
        <v>24924.05764</v>
      </c>
      <c r="BI21" s="165">
        <f>sum(Assumptions!BU177:BU178)</f>
        <v>25083.73926</v>
      </c>
      <c r="BJ21" s="165">
        <f>sum(Assumptions!BV177:BV178)</f>
        <v>25243.42089</v>
      </c>
      <c r="BK21" s="165">
        <f>sum(Assumptions!BW177:BW178)</f>
        <v>25403.10251</v>
      </c>
      <c r="BL21" s="165">
        <f>sum(Assumptions!BX177:BX178)</f>
        <v>25562.78414</v>
      </c>
      <c r="BM21" s="165">
        <f>sum(Assumptions!BY177:BY178)</f>
        <v>25722.46576</v>
      </c>
      <c r="BN21" s="165"/>
    </row>
    <row r="22" outlineLevel="1">
      <c r="A22" s="165"/>
      <c r="B22" s="165" t="str">
        <f>Assumptions!B181</f>
        <v>Professional Fees</v>
      </c>
      <c r="C22" s="165"/>
      <c r="D22" s="165"/>
      <c r="E22" s="165"/>
      <c r="F22" s="165">
        <f>SUM(Assumptions!R182:R184)</f>
        <v>5500</v>
      </c>
      <c r="G22" s="165">
        <f>SUM(Assumptions!S182:S184)</f>
        <v>5500</v>
      </c>
      <c r="H22" s="165">
        <f>SUM(Assumptions!T182:T184)</f>
        <v>5500</v>
      </c>
      <c r="I22" s="165">
        <f>SUM(Assumptions!U182:U184)</f>
        <v>5500</v>
      </c>
      <c r="J22" s="165">
        <f>SUM(Assumptions!V182:V184)</f>
        <v>5500</v>
      </c>
      <c r="K22" s="165">
        <f>SUM(Assumptions!W182:W184)</f>
        <v>5500</v>
      </c>
      <c r="L22" s="165">
        <f>SUM(Assumptions!X182:X184)</f>
        <v>5500</v>
      </c>
      <c r="M22" s="165">
        <f>SUM(Assumptions!Y182:Y184)</f>
        <v>5500</v>
      </c>
      <c r="N22" s="165">
        <f>SUM(Assumptions!Z182:Z184)</f>
        <v>5500</v>
      </c>
      <c r="O22" s="165">
        <f>SUM(Assumptions!AA182:AA184)</f>
        <v>5500</v>
      </c>
      <c r="P22" s="165">
        <f>SUM(Assumptions!AB182:AB184)</f>
        <v>5500</v>
      </c>
      <c r="Q22" s="165">
        <f>SUM(Assumptions!AC182:AC184)</f>
        <v>5500</v>
      </c>
      <c r="R22" s="165">
        <f>SUM(Assumptions!AD182:AD184)</f>
        <v>5500</v>
      </c>
      <c r="S22" s="165">
        <f>SUM(Assumptions!AE182:AE184)</f>
        <v>5500</v>
      </c>
      <c r="T22" s="165">
        <f>SUM(Assumptions!AF182:AF184)</f>
        <v>5500</v>
      </c>
      <c r="U22" s="165">
        <f>SUM(Assumptions!AG182:AG184)</f>
        <v>5500</v>
      </c>
      <c r="V22" s="165">
        <f>SUM(Assumptions!AH182:AH184)</f>
        <v>5500</v>
      </c>
      <c r="W22" s="165">
        <f>SUM(Assumptions!AI182:AI184)</f>
        <v>5500</v>
      </c>
      <c r="X22" s="165">
        <f>SUM(Assumptions!AJ182:AJ184)</f>
        <v>5500</v>
      </c>
      <c r="Y22" s="165">
        <f>SUM(Assumptions!AK182:AK184)</f>
        <v>5500</v>
      </c>
      <c r="Z22" s="165">
        <f>SUM(Assumptions!AL182:AL184)</f>
        <v>5500</v>
      </c>
      <c r="AA22" s="165">
        <f>SUM(Assumptions!AM182:AM184)</f>
        <v>5500</v>
      </c>
      <c r="AB22" s="165">
        <f>SUM(Assumptions!AN182:AN184)</f>
        <v>5500</v>
      </c>
      <c r="AC22" s="165">
        <f>SUM(Assumptions!AO182:AO184)</f>
        <v>5500</v>
      </c>
      <c r="AD22" s="165">
        <f>SUM(Assumptions!AP182:AP184)</f>
        <v>5500</v>
      </c>
      <c r="AE22" s="165">
        <f>SUM(Assumptions!AQ182:AQ184)</f>
        <v>5500</v>
      </c>
      <c r="AF22" s="165">
        <f>SUM(Assumptions!AR182:AR184)</f>
        <v>5500</v>
      </c>
      <c r="AG22" s="165">
        <f>SUM(Assumptions!AS182:AS184)</f>
        <v>5500</v>
      </c>
      <c r="AH22" s="165">
        <f>SUM(Assumptions!AT182:AT184)</f>
        <v>5500</v>
      </c>
      <c r="AI22" s="165">
        <f>SUM(Assumptions!AU182:AU184)</f>
        <v>5500</v>
      </c>
      <c r="AJ22" s="165">
        <f>SUM(Assumptions!AV182:AV184)</f>
        <v>5500</v>
      </c>
      <c r="AK22" s="165">
        <f>SUM(Assumptions!AW182:AW184)</f>
        <v>5500</v>
      </c>
      <c r="AL22" s="165">
        <f>SUM(Assumptions!AX182:AX184)</f>
        <v>5500</v>
      </c>
      <c r="AM22" s="165">
        <f>SUM(Assumptions!AY182:AY184)</f>
        <v>5500</v>
      </c>
      <c r="AN22" s="165">
        <f>SUM(Assumptions!AZ182:AZ184)</f>
        <v>5500</v>
      </c>
      <c r="AO22" s="165">
        <f>SUM(Assumptions!BA182:BA184)</f>
        <v>5500</v>
      </c>
      <c r="AP22" s="165">
        <f>SUM(Assumptions!BB182:BB184)</f>
        <v>5500</v>
      </c>
      <c r="AQ22" s="165">
        <f>SUM(Assumptions!BC182:BC184)</f>
        <v>5500</v>
      </c>
      <c r="AR22" s="165">
        <f>SUM(Assumptions!BD182:BD184)</f>
        <v>5500</v>
      </c>
      <c r="AS22" s="165">
        <f>SUM(Assumptions!BE182:BE184)</f>
        <v>5500</v>
      </c>
      <c r="AT22" s="165">
        <f>SUM(Assumptions!BF182:BF184)</f>
        <v>5500</v>
      </c>
      <c r="AU22" s="165">
        <f>SUM(Assumptions!BG182:BG184)</f>
        <v>5500</v>
      </c>
      <c r="AV22" s="165">
        <f>SUM(Assumptions!BH182:BH184)</f>
        <v>5500</v>
      </c>
      <c r="AW22" s="165">
        <f>SUM(Assumptions!BI182:BI184)</f>
        <v>5500</v>
      </c>
      <c r="AX22" s="165">
        <f>SUM(Assumptions!BJ182:BJ184)</f>
        <v>5500</v>
      </c>
      <c r="AY22" s="165">
        <f>SUM(Assumptions!BK182:BK184)</f>
        <v>5500</v>
      </c>
      <c r="AZ22" s="165">
        <f>SUM(Assumptions!BL182:BL184)</f>
        <v>5500</v>
      </c>
      <c r="BA22" s="165">
        <f>SUM(Assumptions!BM182:BM184)</f>
        <v>5500</v>
      </c>
      <c r="BB22" s="165">
        <f>SUM(Assumptions!BN182:BN184)</f>
        <v>5500</v>
      </c>
      <c r="BC22" s="165">
        <f>SUM(Assumptions!BO182:BO184)</f>
        <v>5500</v>
      </c>
      <c r="BD22" s="165">
        <f>SUM(Assumptions!BP182:BP184)</f>
        <v>5500</v>
      </c>
      <c r="BE22" s="165">
        <f>SUM(Assumptions!BQ182:BQ184)</f>
        <v>5500</v>
      </c>
      <c r="BF22" s="165">
        <f>SUM(Assumptions!BR182:BR184)</f>
        <v>5500</v>
      </c>
      <c r="BG22" s="165">
        <f>SUM(Assumptions!BS182:BS184)</f>
        <v>5500</v>
      </c>
      <c r="BH22" s="165">
        <f>SUM(Assumptions!BT182:BT184)</f>
        <v>5500</v>
      </c>
      <c r="BI22" s="165">
        <f>SUM(Assumptions!BU182:BU184)</f>
        <v>5500</v>
      </c>
      <c r="BJ22" s="165">
        <f>SUM(Assumptions!BV182:BV184)</f>
        <v>5500</v>
      </c>
      <c r="BK22" s="165">
        <f>SUM(Assumptions!BW182:BW184)</f>
        <v>5500</v>
      </c>
      <c r="BL22" s="165">
        <f>SUM(Assumptions!BX182:BX184)</f>
        <v>5500</v>
      </c>
      <c r="BM22" s="165">
        <f>SUM(Assumptions!BY182:BY184)</f>
        <v>5500</v>
      </c>
      <c r="BN22" s="165"/>
    </row>
    <row r="23" outlineLevel="1">
      <c r="A23" s="165"/>
      <c r="B23" s="176" t="str">
        <f>Assumptions!B187</f>
        <v>Other</v>
      </c>
      <c r="C23" s="176"/>
      <c r="D23" s="176"/>
      <c r="E23" s="176"/>
      <c r="F23" s="176">
        <f>Assumptions!R188</f>
        <v>476.25</v>
      </c>
      <c r="G23" s="176">
        <f>Assumptions!S188</f>
        <v>963.39375</v>
      </c>
      <c r="H23" s="176">
        <f>Assumptions!T188</f>
        <v>1450.700906</v>
      </c>
      <c r="I23" s="176">
        <f>Assumptions!U188</f>
        <v>1938.010514</v>
      </c>
      <c r="J23" s="176">
        <f>Assumptions!V188</f>
        <v>2425.320158</v>
      </c>
      <c r="K23" s="176">
        <f>Assumptions!W188</f>
        <v>2912.629802</v>
      </c>
      <c r="L23" s="176">
        <f>Assumptions!X188</f>
        <v>3399.939447</v>
      </c>
      <c r="M23" s="176">
        <f>Assumptions!Y188</f>
        <v>3887.249092</v>
      </c>
      <c r="N23" s="176">
        <f>Assumptions!Z188</f>
        <v>4374.558736</v>
      </c>
      <c r="O23" s="176">
        <f>Assumptions!AA188</f>
        <v>4861.868381</v>
      </c>
      <c r="P23" s="176">
        <f>Assumptions!AB188</f>
        <v>5349.178026</v>
      </c>
      <c r="Q23" s="176">
        <f>Assumptions!AC188</f>
        <v>5836.48767</v>
      </c>
      <c r="R23" s="176">
        <f>Assumptions!AD188</f>
        <v>6228.547315</v>
      </c>
      <c r="S23" s="176">
        <f>Assumptions!AE188</f>
        <v>6618.42821</v>
      </c>
      <c r="T23" s="176">
        <f>Assumptions!AF188</f>
        <v>7008.276423</v>
      </c>
      <c r="U23" s="176">
        <f>Assumptions!AG188</f>
        <v>7398.124146</v>
      </c>
      <c r="V23" s="176">
        <f>Assumptions!AH188</f>
        <v>7787.971862</v>
      </c>
      <c r="W23" s="176">
        <f>Assumptions!AI188</f>
        <v>8177.819578</v>
      </c>
      <c r="X23" s="176">
        <f>Assumptions!AJ188</f>
        <v>8567.667294</v>
      </c>
      <c r="Y23" s="176">
        <f>Assumptions!AK188</f>
        <v>8957.515009</v>
      </c>
      <c r="Z23" s="176">
        <f>Assumptions!AL188</f>
        <v>9347.362725</v>
      </c>
      <c r="AA23" s="176">
        <f>Assumptions!AM188</f>
        <v>9737.210441</v>
      </c>
      <c r="AB23" s="176">
        <f>Assumptions!AN188</f>
        <v>10127.05816</v>
      </c>
      <c r="AC23" s="176">
        <f>Assumptions!AO188</f>
        <v>10516.90587</v>
      </c>
      <c r="AD23" s="176">
        <f>Assumptions!AP188</f>
        <v>10830.55359</v>
      </c>
      <c r="AE23" s="176">
        <f>Assumptions!AQ188</f>
        <v>11142.4583</v>
      </c>
      <c r="AF23" s="176">
        <f>Assumptions!AR188</f>
        <v>11454.33687</v>
      </c>
      <c r="AG23" s="176">
        <f>Assumptions!AS188</f>
        <v>11766.21505</v>
      </c>
      <c r="AH23" s="176">
        <f>Assumptions!AT188</f>
        <v>12078.09323</v>
      </c>
      <c r="AI23" s="176">
        <f>Assumptions!AU188</f>
        <v>12389.9714</v>
      </c>
      <c r="AJ23" s="176">
        <f>Assumptions!AV188</f>
        <v>12701.84957</v>
      </c>
      <c r="AK23" s="176">
        <f>Assumptions!AW188</f>
        <v>13013.72774</v>
      </c>
      <c r="AL23" s="176">
        <f>Assumptions!AX188</f>
        <v>13325.60592</v>
      </c>
      <c r="AM23" s="176">
        <f>Assumptions!AY188</f>
        <v>13637.48409</v>
      </c>
      <c r="AN23" s="176">
        <f>Assumptions!AZ188</f>
        <v>13949.36226</v>
      </c>
      <c r="AO23" s="176">
        <f>Assumptions!BA188</f>
        <v>14261.24043</v>
      </c>
      <c r="AP23" s="176">
        <f>Assumptions!BB188</f>
        <v>14512.15861</v>
      </c>
      <c r="AQ23" s="176">
        <f>Assumptions!BC188</f>
        <v>14761.68238</v>
      </c>
      <c r="AR23" s="176">
        <f>Assumptions!BD188</f>
        <v>15011.18524</v>
      </c>
      <c r="AS23" s="176">
        <f>Assumptions!BE188</f>
        <v>15260.68778</v>
      </c>
      <c r="AT23" s="176">
        <f>Assumptions!BF188</f>
        <v>15510.19032</v>
      </c>
      <c r="AU23" s="176">
        <f>Assumptions!BG188</f>
        <v>15759.69285</v>
      </c>
      <c r="AV23" s="176">
        <f>Assumptions!BH188</f>
        <v>16009.19539</v>
      </c>
      <c r="AW23" s="176">
        <f>Assumptions!BI188</f>
        <v>16258.69793</v>
      </c>
      <c r="AX23" s="176">
        <f>Assumptions!BJ188</f>
        <v>16508.20047</v>
      </c>
      <c r="AY23" s="176">
        <f>Assumptions!BK188</f>
        <v>16757.70301</v>
      </c>
      <c r="AZ23" s="176">
        <f>Assumptions!BL188</f>
        <v>17007.20555</v>
      </c>
      <c r="BA23" s="176">
        <f>Assumptions!BM188</f>
        <v>17256.70808</v>
      </c>
      <c r="BB23" s="176">
        <f>Assumptions!BN188</f>
        <v>17457.44262</v>
      </c>
      <c r="BC23" s="176">
        <f>Assumptions!BO188</f>
        <v>17657.06164</v>
      </c>
      <c r="BD23" s="176">
        <f>Assumptions!BP188</f>
        <v>17856.66392</v>
      </c>
      <c r="BE23" s="176">
        <f>Assumptions!BQ188</f>
        <v>18056.26596</v>
      </c>
      <c r="BF23" s="176">
        <f>Assumptions!BR188</f>
        <v>18255.86799</v>
      </c>
      <c r="BG23" s="176">
        <f>Assumptions!BS188</f>
        <v>18455.47002</v>
      </c>
      <c r="BH23" s="176">
        <f>Assumptions!BT188</f>
        <v>18655.07205</v>
      </c>
      <c r="BI23" s="176">
        <f>Assumptions!BU188</f>
        <v>18854.67408</v>
      </c>
      <c r="BJ23" s="176">
        <f>Assumptions!BV188</f>
        <v>19054.27611</v>
      </c>
      <c r="BK23" s="176">
        <f>Assumptions!BW188</f>
        <v>19253.87814</v>
      </c>
      <c r="BL23" s="176">
        <f>Assumptions!BX188</f>
        <v>19453.48017</v>
      </c>
      <c r="BM23" s="176">
        <f>Assumptions!BY188</f>
        <v>19653.0822</v>
      </c>
      <c r="BN23" s="165"/>
    </row>
    <row r="24" outlineLevel="1">
      <c r="A24" s="165"/>
      <c r="B24" s="174" t="s">
        <v>163</v>
      </c>
      <c r="C24" s="165"/>
      <c r="D24" s="165"/>
      <c r="E24" s="165"/>
      <c r="F24" s="177">
        <f t="shared" ref="F24:BM24" si="8">SUM(F19:F23)</f>
        <v>238357.25</v>
      </c>
      <c r="G24" s="177">
        <f t="shared" si="8"/>
        <v>239234.1088</v>
      </c>
      <c r="H24" s="177">
        <f t="shared" si="8"/>
        <v>240111.2616</v>
      </c>
      <c r="I24" s="177">
        <f t="shared" si="8"/>
        <v>240988.4189</v>
      </c>
      <c r="J24" s="177">
        <f t="shared" si="8"/>
        <v>241865.5763</v>
      </c>
      <c r="K24" s="177">
        <f t="shared" si="8"/>
        <v>242742.7336</v>
      </c>
      <c r="L24" s="177">
        <f t="shared" si="8"/>
        <v>243619.891</v>
      </c>
      <c r="M24" s="177">
        <f t="shared" si="8"/>
        <v>244497.0484</v>
      </c>
      <c r="N24" s="177">
        <f t="shared" si="8"/>
        <v>245374.2057</v>
      </c>
      <c r="O24" s="177">
        <f t="shared" si="8"/>
        <v>246251.3631</v>
      </c>
      <c r="P24" s="177">
        <f t="shared" si="8"/>
        <v>247128.5204</v>
      </c>
      <c r="Q24" s="177">
        <f t="shared" si="8"/>
        <v>248005.6778</v>
      </c>
      <c r="R24" s="177">
        <f t="shared" si="8"/>
        <v>248711.3852</v>
      </c>
      <c r="S24" s="177">
        <f t="shared" si="8"/>
        <v>249413.1708</v>
      </c>
      <c r="T24" s="177">
        <f t="shared" si="8"/>
        <v>250114.8976</v>
      </c>
      <c r="U24" s="177">
        <f t="shared" si="8"/>
        <v>250816.6235</v>
      </c>
      <c r="V24" s="177">
        <f t="shared" si="8"/>
        <v>251518.3494</v>
      </c>
      <c r="W24" s="177">
        <f t="shared" si="8"/>
        <v>252220.0752</v>
      </c>
      <c r="X24" s="177">
        <f t="shared" si="8"/>
        <v>252921.8011</v>
      </c>
      <c r="Y24" s="177">
        <f t="shared" si="8"/>
        <v>253623.527</v>
      </c>
      <c r="Z24" s="177">
        <f t="shared" si="8"/>
        <v>254325.2529</v>
      </c>
      <c r="AA24" s="177">
        <f t="shared" si="8"/>
        <v>255026.9788</v>
      </c>
      <c r="AB24" s="177">
        <f t="shared" si="8"/>
        <v>255728.7047</v>
      </c>
      <c r="AC24" s="177">
        <f t="shared" si="8"/>
        <v>256430.4306</v>
      </c>
      <c r="AD24" s="177">
        <f t="shared" si="8"/>
        <v>256994.9965</v>
      </c>
      <c r="AE24" s="177">
        <f t="shared" si="8"/>
        <v>257556.4249</v>
      </c>
      <c r="AF24" s="177">
        <f t="shared" si="8"/>
        <v>258117.8064</v>
      </c>
      <c r="AG24" s="177">
        <f t="shared" si="8"/>
        <v>258679.1871</v>
      </c>
      <c r="AH24" s="177">
        <f t="shared" si="8"/>
        <v>259240.5678</v>
      </c>
      <c r="AI24" s="177">
        <f t="shared" si="8"/>
        <v>259801.9485</v>
      </c>
      <c r="AJ24" s="177">
        <f t="shared" si="8"/>
        <v>260363.3292</v>
      </c>
      <c r="AK24" s="177">
        <f t="shared" si="8"/>
        <v>260924.7099</v>
      </c>
      <c r="AL24" s="177">
        <f t="shared" si="8"/>
        <v>261486.0906</v>
      </c>
      <c r="AM24" s="177">
        <f t="shared" si="8"/>
        <v>262047.4714</v>
      </c>
      <c r="AN24" s="177">
        <f t="shared" si="8"/>
        <v>262608.8521</v>
      </c>
      <c r="AO24" s="177">
        <f t="shared" si="8"/>
        <v>263170.2328</v>
      </c>
      <c r="AP24" s="177">
        <f t="shared" si="8"/>
        <v>263621.8855</v>
      </c>
      <c r="AQ24" s="177">
        <f t="shared" si="8"/>
        <v>264071.0283</v>
      </c>
      <c r="AR24" s="177">
        <f t="shared" si="8"/>
        <v>264520.1334</v>
      </c>
      <c r="AS24" s="177">
        <f t="shared" si="8"/>
        <v>264969.238</v>
      </c>
      <c r="AT24" s="177">
        <f t="shared" si="8"/>
        <v>265418.3426</v>
      </c>
      <c r="AU24" s="177">
        <f t="shared" si="8"/>
        <v>265867.4471</v>
      </c>
      <c r="AV24" s="177">
        <f t="shared" si="8"/>
        <v>266316.5517</v>
      </c>
      <c r="AW24" s="177">
        <f t="shared" si="8"/>
        <v>266765.6563</v>
      </c>
      <c r="AX24" s="177">
        <f t="shared" si="8"/>
        <v>267214.7608</v>
      </c>
      <c r="AY24" s="177">
        <f t="shared" si="8"/>
        <v>267663.8654</v>
      </c>
      <c r="AZ24" s="177">
        <f t="shared" si="8"/>
        <v>268112.97</v>
      </c>
      <c r="BA24" s="177">
        <f t="shared" si="8"/>
        <v>268562.0745</v>
      </c>
      <c r="BB24" s="177">
        <f t="shared" si="8"/>
        <v>268923.3967</v>
      </c>
      <c r="BC24" s="177">
        <f t="shared" si="8"/>
        <v>269282.711</v>
      </c>
      <c r="BD24" s="177">
        <f t="shared" si="8"/>
        <v>269641.9951</v>
      </c>
      <c r="BE24" s="177">
        <f t="shared" si="8"/>
        <v>270001.2787</v>
      </c>
      <c r="BF24" s="177">
        <f t="shared" si="8"/>
        <v>270360.5624</v>
      </c>
      <c r="BG24" s="177">
        <f t="shared" si="8"/>
        <v>270719.846</v>
      </c>
      <c r="BH24" s="177">
        <f t="shared" si="8"/>
        <v>271079.1297</v>
      </c>
      <c r="BI24" s="177">
        <f t="shared" si="8"/>
        <v>271438.4133</v>
      </c>
      <c r="BJ24" s="177">
        <f t="shared" si="8"/>
        <v>271797.697</v>
      </c>
      <c r="BK24" s="177">
        <f t="shared" si="8"/>
        <v>272156.9807</v>
      </c>
      <c r="BL24" s="177">
        <f t="shared" si="8"/>
        <v>272516.2643</v>
      </c>
      <c r="BM24" s="177">
        <f t="shared" si="8"/>
        <v>272875.548</v>
      </c>
      <c r="BN24" s="165"/>
    </row>
    <row r="25" outlineLevel="1">
      <c r="A25" s="165"/>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c r="BL25" s="165"/>
      <c r="BM25" s="165"/>
      <c r="BN25" s="165"/>
    </row>
    <row r="26" outlineLevel="1">
      <c r="A26" s="165"/>
      <c r="B26" s="168" t="s">
        <v>164</v>
      </c>
      <c r="C26" s="169"/>
      <c r="D26" s="169"/>
      <c r="E26" s="169"/>
      <c r="F26" s="170">
        <f t="shared" ref="F26:BM26" si="9">F15-F24</f>
        <v>-235261.625</v>
      </c>
      <c r="G26" s="170">
        <f t="shared" si="9"/>
        <v>-232972.0494</v>
      </c>
      <c r="H26" s="170">
        <f t="shared" si="9"/>
        <v>-230681.7057</v>
      </c>
      <c r="I26" s="170">
        <f t="shared" si="9"/>
        <v>-228391.3506</v>
      </c>
      <c r="J26" s="170">
        <f t="shared" si="9"/>
        <v>-226100.9953</v>
      </c>
      <c r="K26" s="170">
        <f t="shared" si="9"/>
        <v>-223810.6399</v>
      </c>
      <c r="L26" s="170">
        <f t="shared" si="9"/>
        <v>-221520.2846</v>
      </c>
      <c r="M26" s="170">
        <f t="shared" si="9"/>
        <v>-219229.9293</v>
      </c>
      <c r="N26" s="170">
        <f t="shared" si="9"/>
        <v>-216939.5739</v>
      </c>
      <c r="O26" s="170">
        <f t="shared" si="9"/>
        <v>-214649.2186</v>
      </c>
      <c r="P26" s="170">
        <f t="shared" si="9"/>
        <v>-212358.8633</v>
      </c>
      <c r="Q26" s="170">
        <f t="shared" si="9"/>
        <v>-210068.5079</v>
      </c>
      <c r="R26" s="170">
        <f t="shared" si="9"/>
        <v>-208225.8276</v>
      </c>
      <c r="S26" s="170">
        <f t="shared" si="9"/>
        <v>-206393.3874</v>
      </c>
      <c r="T26" s="170">
        <f t="shared" si="9"/>
        <v>-204561.1008</v>
      </c>
      <c r="U26" s="170">
        <f t="shared" si="9"/>
        <v>-202728.8165</v>
      </c>
      <c r="V26" s="170">
        <f t="shared" si="9"/>
        <v>-200896.5322</v>
      </c>
      <c r="W26" s="170">
        <f t="shared" si="9"/>
        <v>-199064.248</v>
      </c>
      <c r="X26" s="170">
        <f t="shared" si="9"/>
        <v>-197231.9637</v>
      </c>
      <c r="Y26" s="170">
        <f t="shared" si="9"/>
        <v>-195399.6795</v>
      </c>
      <c r="Z26" s="170">
        <f t="shared" si="9"/>
        <v>-193567.3952</v>
      </c>
      <c r="AA26" s="170">
        <f t="shared" si="9"/>
        <v>-191735.1109</v>
      </c>
      <c r="AB26" s="170">
        <f t="shared" si="9"/>
        <v>-189902.8267</v>
      </c>
      <c r="AC26" s="170">
        <f t="shared" si="9"/>
        <v>-188070.5424</v>
      </c>
      <c r="AD26" s="170">
        <f t="shared" si="9"/>
        <v>-186596.3981</v>
      </c>
      <c r="AE26" s="170">
        <f t="shared" si="9"/>
        <v>-185130.446</v>
      </c>
      <c r="AF26" s="170">
        <f t="shared" si="9"/>
        <v>-183664.6167</v>
      </c>
      <c r="AG26" s="170">
        <f t="shared" si="9"/>
        <v>-182198.7893</v>
      </c>
      <c r="AH26" s="170">
        <f t="shared" si="9"/>
        <v>-180732.9618</v>
      </c>
      <c r="AI26" s="170">
        <f t="shared" si="9"/>
        <v>-179267.1344</v>
      </c>
      <c r="AJ26" s="170">
        <f t="shared" si="9"/>
        <v>-177801.307</v>
      </c>
      <c r="AK26" s="170">
        <f t="shared" si="9"/>
        <v>-176335.4796</v>
      </c>
      <c r="AL26" s="170">
        <f t="shared" si="9"/>
        <v>-174869.6522</v>
      </c>
      <c r="AM26" s="170">
        <f t="shared" si="9"/>
        <v>-173403.8248</v>
      </c>
      <c r="AN26" s="170">
        <f t="shared" si="9"/>
        <v>-171937.9974</v>
      </c>
      <c r="AO26" s="170">
        <f t="shared" si="9"/>
        <v>-170472.17</v>
      </c>
      <c r="AP26" s="170">
        <f t="shared" si="9"/>
        <v>-169292.8545</v>
      </c>
      <c r="AQ26" s="170">
        <f t="shared" si="9"/>
        <v>-168120.0928</v>
      </c>
      <c r="AR26" s="170">
        <f t="shared" si="9"/>
        <v>-166947.4294</v>
      </c>
      <c r="AS26" s="170">
        <f t="shared" si="9"/>
        <v>-165774.7674</v>
      </c>
      <c r="AT26" s="170">
        <f t="shared" si="9"/>
        <v>-164602.1055</v>
      </c>
      <c r="AU26" s="170">
        <f t="shared" si="9"/>
        <v>-163429.4436</v>
      </c>
      <c r="AV26" s="170">
        <f t="shared" si="9"/>
        <v>-162256.7817</v>
      </c>
      <c r="AW26" s="170">
        <f t="shared" si="9"/>
        <v>-161084.1197</v>
      </c>
      <c r="AX26" s="170">
        <f t="shared" si="9"/>
        <v>-159911.4578</v>
      </c>
      <c r="AY26" s="170">
        <f t="shared" si="9"/>
        <v>-158738.7959</v>
      </c>
      <c r="AZ26" s="170">
        <f t="shared" si="9"/>
        <v>-157566.1339</v>
      </c>
      <c r="BA26" s="170">
        <f t="shared" si="9"/>
        <v>-156393.472</v>
      </c>
      <c r="BB26" s="170">
        <f t="shared" si="9"/>
        <v>-155450.0197</v>
      </c>
      <c r="BC26" s="170">
        <f t="shared" si="9"/>
        <v>-154511.8103</v>
      </c>
      <c r="BD26" s="170">
        <f t="shared" si="9"/>
        <v>-153573.6796</v>
      </c>
      <c r="BE26" s="170">
        <f t="shared" si="9"/>
        <v>-152635.55</v>
      </c>
      <c r="BF26" s="170">
        <f t="shared" si="9"/>
        <v>-151697.4204</v>
      </c>
      <c r="BG26" s="170">
        <f t="shared" si="9"/>
        <v>-150759.2909</v>
      </c>
      <c r="BH26" s="170">
        <f t="shared" si="9"/>
        <v>-149821.1614</v>
      </c>
      <c r="BI26" s="170">
        <f t="shared" si="9"/>
        <v>-148883.0318</v>
      </c>
      <c r="BJ26" s="170">
        <f t="shared" si="9"/>
        <v>-147944.9023</v>
      </c>
      <c r="BK26" s="170">
        <f t="shared" si="9"/>
        <v>-147006.7727</v>
      </c>
      <c r="BL26" s="170">
        <f t="shared" si="9"/>
        <v>-146068.6432</v>
      </c>
      <c r="BM26" s="170">
        <f t="shared" si="9"/>
        <v>-145130.5136</v>
      </c>
      <c r="BN26" s="165"/>
    </row>
    <row r="27" outlineLevel="1">
      <c r="A27" s="165"/>
      <c r="B27" s="175" t="s">
        <v>165</v>
      </c>
      <c r="C27" s="165"/>
      <c r="D27" s="165"/>
      <c r="E27" s="165"/>
      <c r="F27" s="165">
        <f>SUM(Assumptions!R209:R212)-sum(Assumptions!E209:E212)</f>
        <v>0</v>
      </c>
      <c r="G27" s="165">
        <f>SUM(Assumptions!S209:S212)-sum(Assumptions!R209:R212)</f>
        <v>0</v>
      </c>
      <c r="H27" s="165">
        <f>SUM(Assumptions!T209:T212)-sum(Assumptions!S209:S212)</f>
        <v>0</v>
      </c>
      <c r="I27" s="165">
        <f>SUM(Assumptions!U209:U212)-sum(Assumptions!T209:T212)</f>
        <v>0</v>
      </c>
      <c r="J27" s="165">
        <f>SUM(Assumptions!V209:V212)-sum(Assumptions!U209:U212)</f>
        <v>0</v>
      </c>
      <c r="K27" s="165">
        <f>SUM(Assumptions!W209:W212)-sum(Assumptions!V209:V212)</f>
        <v>0</v>
      </c>
      <c r="L27" s="165">
        <f>SUM(Assumptions!X209:X212)-sum(Assumptions!W209:W212)</f>
        <v>0</v>
      </c>
      <c r="M27" s="165">
        <f>SUM(Assumptions!Y209:Y212)-sum(Assumptions!X209:X212)</f>
        <v>0</v>
      </c>
      <c r="N27" s="165">
        <f>SUM(Assumptions!Z209:Z212)-sum(Assumptions!Y209:Y212)</f>
        <v>0</v>
      </c>
      <c r="O27" s="165">
        <f>SUM(Assumptions!AA209:AA212)-sum(Assumptions!Z209:Z212)</f>
        <v>0</v>
      </c>
      <c r="P27" s="165">
        <f>SUM(Assumptions!AB209:AB212)-sum(Assumptions!AA209:AA212)</f>
        <v>0</v>
      </c>
      <c r="Q27" s="165">
        <f>SUM(Assumptions!AC209:AC212)-sum(Assumptions!AB209:AB212)</f>
        <v>0</v>
      </c>
      <c r="R27" s="165">
        <f>SUM(Assumptions!AD209:AD212)-sum(Assumptions!AC209:AC212)</f>
        <v>0</v>
      </c>
      <c r="S27" s="165">
        <f>SUM(Assumptions!AE209:AE212)-sum(Assumptions!AD209:AD212)</f>
        <v>0</v>
      </c>
      <c r="T27" s="165">
        <f>SUM(Assumptions!AF209:AF212)-sum(Assumptions!AE209:AE212)</f>
        <v>0</v>
      </c>
      <c r="U27" s="165">
        <f>SUM(Assumptions!AG209:AG212)-sum(Assumptions!AF209:AF212)</f>
        <v>0</v>
      </c>
      <c r="V27" s="165">
        <f>SUM(Assumptions!AH209:AH212)-sum(Assumptions!AG209:AG212)</f>
        <v>0</v>
      </c>
      <c r="W27" s="165">
        <f>SUM(Assumptions!AI209:AI212)-sum(Assumptions!AH209:AH212)</f>
        <v>0</v>
      </c>
      <c r="X27" s="165">
        <f>SUM(Assumptions!AJ209:AJ212)-sum(Assumptions!AI209:AI212)</f>
        <v>0</v>
      </c>
      <c r="Y27" s="165">
        <f>SUM(Assumptions!AK209:AK212)-sum(Assumptions!AJ209:AJ212)</f>
        <v>0</v>
      </c>
      <c r="Z27" s="165">
        <f>SUM(Assumptions!AL209:AL212)-sum(Assumptions!AK209:AK212)</f>
        <v>0</v>
      </c>
      <c r="AA27" s="165">
        <f>SUM(Assumptions!AM209:AM212)-sum(Assumptions!AL209:AL212)</f>
        <v>0</v>
      </c>
      <c r="AB27" s="165">
        <f>SUM(Assumptions!AN209:AN212)-sum(Assumptions!AM209:AM212)</f>
        <v>0</v>
      </c>
      <c r="AC27" s="165">
        <f>SUM(Assumptions!AO209:AO212)-sum(Assumptions!AN209:AN212)</f>
        <v>0</v>
      </c>
      <c r="AD27" s="165">
        <f>SUM(Assumptions!AP209:AP212)-sum(Assumptions!AO209:AO212)</f>
        <v>0</v>
      </c>
      <c r="AE27" s="165">
        <f>SUM(Assumptions!AQ209:AQ212)-sum(Assumptions!AP209:AP212)</f>
        <v>0</v>
      </c>
      <c r="AF27" s="165">
        <f>SUM(Assumptions!AR209:AR212)-sum(Assumptions!AQ209:AQ212)</f>
        <v>0</v>
      </c>
      <c r="AG27" s="165">
        <f>SUM(Assumptions!AS209:AS212)-sum(Assumptions!AR209:AR212)</f>
        <v>0</v>
      </c>
      <c r="AH27" s="165">
        <f>SUM(Assumptions!AT209:AT212)-sum(Assumptions!AS209:AS212)</f>
        <v>0</v>
      </c>
      <c r="AI27" s="165">
        <f>SUM(Assumptions!AU209:AU212)-sum(Assumptions!AT209:AT212)</f>
        <v>0</v>
      </c>
      <c r="AJ27" s="165">
        <f>SUM(Assumptions!AV209:AV212)-sum(Assumptions!AU209:AU212)</f>
        <v>0</v>
      </c>
      <c r="AK27" s="165">
        <f>SUM(Assumptions!AW209:AW212)-sum(Assumptions!AV209:AV212)</f>
        <v>0</v>
      </c>
      <c r="AL27" s="165">
        <f>SUM(Assumptions!AX209:AX212)-sum(Assumptions!AW209:AW212)</f>
        <v>0</v>
      </c>
      <c r="AM27" s="165">
        <f>SUM(Assumptions!AY209:AY212)-sum(Assumptions!AX209:AX212)</f>
        <v>0</v>
      </c>
      <c r="AN27" s="165">
        <f>SUM(Assumptions!AZ209:AZ212)-sum(Assumptions!AY209:AY212)</f>
        <v>0</v>
      </c>
      <c r="AO27" s="165">
        <f>SUM(Assumptions!BA209:BA212)-sum(Assumptions!AZ209:AZ212)</f>
        <v>0</v>
      </c>
      <c r="AP27" s="165">
        <f>SUM(Assumptions!BB209:BB212)-sum(Assumptions!BA209:BA212)</f>
        <v>0</v>
      </c>
      <c r="AQ27" s="165">
        <f>SUM(Assumptions!BC209:BC212)-sum(Assumptions!BB209:BB212)</f>
        <v>0</v>
      </c>
      <c r="AR27" s="165">
        <f>SUM(Assumptions!BD209:BD212)-sum(Assumptions!BC209:BC212)</f>
        <v>0</v>
      </c>
      <c r="AS27" s="165">
        <f>SUM(Assumptions!BE209:BE212)-sum(Assumptions!BD209:BD212)</f>
        <v>0</v>
      </c>
      <c r="AT27" s="165">
        <f>SUM(Assumptions!BF209:BF212)-sum(Assumptions!BE209:BE212)</f>
        <v>0</v>
      </c>
      <c r="AU27" s="165">
        <f>SUM(Assumptions!BG209:BG212)-sum(Assumptions!BF209:BF212)</f>
        <v>0</v>
      </c>
      <c r="AV27" s="165">
        <f>SUM(Assumptions!BH209:BH212)-sum(Assumptions!BG209:BG212)</f>
        <v>0</v>
      </c>
      <c r="AW27" s="165">
        <f>SUM(Assumptions!BI209:BI212)-sum(Assumptions!BH209:BH212)</f>
        <v>0</v>
      </c>
      <c r="AX27" s="165">
        <f>SUM(Assumptions!BJ209:BJ212)-sum(Assumptions!BI209:BI212)</f>
        <v>0</v>
      </c>
      <c r="AY27" s="165">
        <f>SUM(Assumptions!BK209:BK212)-sum(Assumptions!BJ209:BJ212)</f>
        <v>0</v>
      </c>
      <c r="AZ27" s="165">
        <f>SUM(Assumptions!BL209:BL212)-sum(Assumptions!BK209:BK212)</f>
        <v>0</v>
      </c>
      <c r="BA27" s="165">
        <f>SUM(Assumptions!BM209:BM212)-sum(Assumptions!BL209:BL212)</f>
        <v>0</v>
      </c>
      <c r="BB27" s="165">
        <f>SUM(Assumptions!BN209:BN212)-sum(Assumptions!BM209:BM212)</f>
        <v>0</v>
      </c>
      <c r="BC27" s="165">
        <f>SUM(Assumptions!BO209:BO212)-sum(Assumptions!BN209:BN212)</f>
        <v>0</v>
      </c>
      <c r="BD27" s="165">
        <f>SUM(Assumptions!BP209:BP212)-sum(Assumptions!BO209:BO212)</f>
        <v>0</v>
      </c>
      <c r="BE27" s="165">
        <f>SUM(Assumptions!BQ209:BQ212)-sum(Assumptions!BP209:BP212)</f>
        <v>0</v>
      </c>
      <c r="BF27" s="165">
        <f>SUM(Assumptions!BR209:BR212)-sum(Assumptions!BQ209:BQ212)</f>
        <v>0</v>
      </c>
      <c r="BG27" s="165">
        <f>SUM(Assumptions!BS209:BS212)-sum(Assumptions!BR209:BR212)</f>
        <v>0</v>
      </c>
      <c r="BH27" s="165">
        <f>SUM(Assumptions!BT209:BT212)-sum(Assumptions!BS209:BS212)</f>
        <v>0</v>
      </c>
      <c r="BI27" s="165">
        <f>SUM(Assumptions!BU209:BU212)-sum(Assumptions!BT209:BT212)</f>
        <v>0</v>
      </c>
      <c r="BJ27" s="165">
        <f>SUM(Assumptions!BV209:BV212)-sum(Assumptions!BU209:BU212)</f>
        <v>0</v>
      </c>
      <c r="BK27" s="165">
        <f>SUM(Assumptions!BW209:BW212)-sum(Assumptions!BV209:BV212)</f>
        <v>0</v>
      </c>
      <c r="BL27" s="165">
        <f>SUM(Assumptions!BX209:BX212)-sum(Assumptions!BW209:BW212)</f>
        <v>0</v>
      </c>
      <c r="BM27" s="165">
        <f>SUM(Assumptions!BY209:BY212)-sum(Assumptions!BX209:BX212)</f>
        <v>0</v>
      </c>
      <c r="BN27" s="165"/>
    </row>
    <row r="28" outlineLevel="1">
      <c r="A28" s="165"/>
      <c r="B28" s="168" t="s">
        <v>166</v>
      </c>
      <c r="C28" s="169"/>
      <c r="D28" s="169"/>
      <c r="E28" s="169"/>
      <c r="F28" s="170">
        <f t="shared" ref="F28:BM28" si="10">F26-F27</f>
        <v>-235261.625</v>
      </c>
      <c r="G28" s="170">
        <f t="shared" si="10"/>
        <v>-232972.0494</v>
      </c>
      <c r="H28" s="170">
        <f t="shared" si="10"/>
        <v>-230681.7057</v>
      </c>
      <c r="I28" s="170">
        <f t="shared" si="10"/>
        <v>-228391.3506</v>
      </c>
      <c r="J28" s="170">
        <f t="shared" si="10"/>
        <v>-226100.9953</v>
      </c>
      <c r="K28" s="170">
        <f t="shared" si="10"/>
        <v>-223810.6399</v>
      </c>
      <c r="L28" s="170">
        <f t="shared" si="10"/>
        <v>-221520.2846</v>
      </c>
      <c r="M28" s="170">
        <f t="shared" si="10"/>
        <v>-219229.9293</v>
      </c>
      <c r="N28" s="170">
        <f t="shared" si="10"/>
        <v>-216939.5739</v>
      </c>
      <c r="O28" s="170">
        <f t="shared" si="10"/>
        <v>-214649.2186</v>
      </c>
      <c r="P28" s="170">
        <f t="shared" si="10"/>
        <v>-212358.8633</v>
      </c>
      <c r="Q28" s="170">
        <f t="shared" si="10"/>
        <v>-210068.5079</v>
      </c>
      <c r="R28" s="170">
        <f t="shared" si="10"/>
        <v>-208225.8276</v>
      </c>
      <c r="S28" s="170">
        <f t="shared" si="10"/>
        <v>-206393.3874</v>
      </c>
      <c r="T28" s="170">
        <f t="shared" si="10"/>
        <v>-204561.1008</v>
      </c>
      <c r="U28" s="170">
        <f t="shared" si="10"/>
        <v>-202728.8165</v>
      </c>
      <c r="V28" s="170">
        <f t="shared" si="10"/>
        <v>-200896.5322</v>
      </c>
      <c r="W28" s="170">
        <f t="shared" si="10"/>
        <v>-199064.248</v>
      </c>
      <c r="X28" s="170">
        <f t="shared" si="10"/>
        <v>-197231.9637</v>
      </c>
      <c r="Y28" s="170">
        <f t="shared" si="10"/>
        <v>-195399.6795</v>
      </c>
      <c r="Z28" s="170">
        <f t="shared" si="10"/>
        <v>-193567.3952</v>
      </c>
      <c r="AA28" s="170">
        <f t="shared" si="10"/>
        <v>-191735.1109</v>
      </c>
      <c r="AB28" s="170">
        <f t="shared" si="10"/>
        <v>-189902.8267</v>
      </c>
      <c r="AC28" s="170">
        <f t="shared" si="10"/>
        <v>-188070.5424</v>
      </c>
      <c r="AD28" s="170">
        <f t="shared" si="10"/>
        <v>-186596.3981</v>
      </c>
      <c r="AE28" s="170">
        <f t="shared" si="10"/>
        <v>-185130.446</v>
      </c>
      <c r="AF28" s="170">
        <f t="shared" si="10"/>
        <v>-183664.6167</v>
      </c>
      <c r="AG28" s="170">
        <f t="shared" si="10"/>
        <v>-182198.7893</v>
      </c>
      <c r="AH28" s="170">
        <f t="shared" si="10"/>
        <v>-180732.9618</v>
      </c>
      <c r="AI28" s="170">
        <f t="shared" si="10"/>
        <v>-179267.1344</v>
      </c>
      <c r="AJ28" s="170">
        <f t="shared" si="10"/>
        <v>-177801.307</v>
      </c>
      <c r="AK28" s="170">
        <f t="shared" si="10"/>
        <v>-176335.4796</v>
      </c>
      <c r="AL28" s="170">
        <f t="shared" si="10"/>
        <v>-174869.6522</v>
      </c>
      <c r="AM28" s="170">
        <f t="shared" si="10"/>
        <v>-173403.8248</v>
      </c>
      <c r="AN28" s="170">
        <f t="shared" si="10"/>
        <v>-171937.9974</v>
      </c>
      <c r="AO28" s="170">
        <f t="shared" si="10"/>
        <v>-170472.17</v>
      </c>
      <c r="AP28" s="170">
        <f t="shared" si="10"/>
        <v>-169292.8545</v>
      </c>
      <c r="AQ28" s="170">
        <f t="shared" si="10"/>
        <v>-168120.0928</v>
      </c>
      <c r="AR28" s="170">
        <f t="shared" si="10"/>
        <v>-166947.4294</v>
      </c>
      <c r="AS28" s="170">
        <f t="shared" si="10"/>
        <v>-165774.7674</v>
      </c>
      <c r="AT28" s="170">
        <f t="shared" si="10"/>
        <v>-164602.1055</v>
      </c>
      <c r="AU28" s="170">
        <f t="shared" si="10"/>
        <v>-163429.4436</v>
      </c>
      <c r="AV28" s="170">
        <f t="shared" si="10"/>
        <v>-162256.7817</v>
      </c>
      <c r="AW28" s="170">
        <f t="shared" si="10"/>
        <v>-161084.1197</v>
      </c>
      <c r="AX28" s="170">
        <f t="shared" si="10"/>
        <v>-159911.4578</v>
      </c>
      <c r="AY28" s="170">
        <f t="shared" si="10"/>
        <v>-158738.7959</v>
      </c>
      <c r="AZ28" s="170">
        <f t="shared" si="10"/>
        <v>-157566.1339</v>
      </c>
      <c r="BA28" s="170">
        <f t="shared" si="10"/>
        <v>-156393.472</v>
      </c>
      <c r="BB28" s="170">
        <f t="shared" si="10"/>
        <v>-155450.0197</v>
      </c>
      <c r="BC28" s="170">
        <f t="shared" si="10"/>
        <v>-154511.8103</v>
      </c>
      <c r="BD28" s="170">
        <f t="shared" si="10"/>
        <v>-153573.6796</v>
      </c>
      <c r="BE28" s="170">
        <f t="shared" si="10"/>
        <v>-152635.55</v>
      </c>
      <c r="BF28" s="170">
        <f t="shared" si="10"/>
        <v>-151697.4204</v>
      </c>
      <c r="BG28" s="170">
        <f t="shared" si="10"/>
        <v>-150759.2909</v>
      </c>
      <c r="BH28" s="170">
        <f t="shared" si="10"/>
        <v>-149821.1614</v>
      </c>
      <c r="BI28" s="170">
        <f t="shared" si="10"/>
        <v>-148883.0318</v>
      </c>
      <c r="BJ28" s="170">
        <f t="shared" si="10"/>
        <v>-147944.9023</v>
      </c>
      <c r="BK28" s="170">
        <f t="shared" si="10"/>
        <v>-147006.7727</v>
      </c>
      <c r="BL28" s="170">
        <f t="shared" si="10"/>
        <v>-146068.6432</v>
      </c>
      <c r="BM28" s="170">
        <f t="shared" si="10"/>
        <v>-145130.5136</v>
      </c>
      <c r="BN28" s="165"/>
    </row>
    <row r="29" outlineLevel="1">
      <c r="A29" s="165"/>
      <c r="B29" s="178" t="s">
        <v>167</v>
      </c>
      <c r="C29" s="176"/>
      <c r="D29" s="176"/>
      <c r="E29" s="176"/>
      <c r="F29" s="176">
        <f>IF(F28&gt;0,F28*Assumptions!$C$190,0)</f>
        <v>0</v>
      </c>
      <c r="G29" s="176">
        <f>IF(G28&gt;0,G28*Assumptions!$C$190,0)</f>
        <v>0</v>
      </c>
      <c r="H29" s="176">
        <f>IF(H28&gt;0,H28*Assumptions!$C$190,0)</f>
        <v>0</v>
      </c>
      <c r="I29" s="176">
        <f>IF(I28&gt;0,I28*Assumptions!$C$190,0)</f>
        <v>0</v>
      </c>
      <c r="J29" s="176">
        <f>IF(J28&gt;0,J28*Assumptions!$C$190,0)</f>
        <v>0</v>
      </c>
      <c r="K29" s="176">
        <f>IF(K28&gt;0,K28*Assumptions!$C$190,0)</f>
        <v>0</v>
      </c>
      <c r="L29" s="176">
        <f>IF(L28&gt;0,L28*Assumptions!$C$190,0)</f>
        <v>0</v>
      </c>
      <c r="M29" s="176">
        <f>IF(M28&gt;0,M28*Assumptions!$C$190,0)</f>
        <v>0</v>
      </c>
      <c r="N29" s="176">
        <f>IF(N28&gt;0,N28*Assumptions!$C$190,0)</f>
        <v>0</v>
      </c>
      <c r="O29" s="176">
        <f>IF(O28&gt;0,O28*Assumptions!$C$190,0)</f>
        <v>0</v>
      </c>
      <c r="P29" s="176">
        <f>IF(P28&gt;0,P28*Assumptions!$C$190,0)</f>
        <v>0</v>
      </c>
      <c r="Q29" s="176">
        <f>IF(Q28&gt;0,Q28*Assumptions!$C$190,0)</f>
        <v>0</v>
      </c>
      <c r="R29" s="176">
        <f>IF(R28&gt;0,R28*Assumptions!$C$190,0)</f>
        <v>0</v>
      </c>
      <c r="S29" s="176">
        <f>IF(S28&gt;0,S28*Assumptions!$C$190,0)</f>
        <v>0</v>
      </c>
      <c r="T29" s="176">
        <f>IF(T28&gt;0,T28*Assumptions!$C$190,0)</f>
        <v>0</v>
      </c>
      <c r="U29" s="176">
        <f>IF(U28&gt;0,U28*Assumptions!$C$190,0)</f>
        <v>0</v>
      </c>
      <c r="V29" s="176">
        <f>IF(V28&gt;0,V28*Assumptions!$C$190,0)</f>
        <v>0</v>
      </c>
      <c r="W29" s="176">
        <f>IF(W28&gt;0,W28*Assumptions!$C$190,0)</f>
        <v>0</v>
      </c>
      <c r="X29" s="176">
        <f>IF(X28&gt;0,X28*Assumptions!$C$190,0)</f>
        <v>0</v>
      </c>
      <c r="Y29" s="176">
        <f>IF(Y28&gt;0,Y28*Assumptions!$C$190,0)</f>
        <v>0</v>
      </c>
      <c r="Z29" s="176">
        <f>IF(Z28&gt;0,Z28*Assumptions!$C$190,0)</f>
        <v>0</v>
      </c>
      <c r="AA29" s="176">
        <f>IF(AA28&gt;0,AA28*Assumptions!$C$190,0)</f>
        <v>0</v>
      </c>
      <c r="AB29" s="176">
        <f>IF(AB28&gt;0,AB28*Assumptions!$C$190,0)</f>
        <v>0</v>
      </c>
      <c r="AC29" s="176">
        <f>IF(AC28&gt;0,AC28*Assumptions!$C$190,0)</f>
        <v>0</v>
      </c>
      <c r="AD29" s="176">
        <f>IF(AD28&gt;0,AD28*Assumptions!$C$190,0)</f>
        <v>0</v>
      </c>
      <c r="AE29" s="176">
        <f>IF(AE28&gt;0,AE28*Assumptions!$C$190,0)</f>
        <v>0</v>
      </c>
      <c r="AF29" s="176">
        <f>IF(AF28&gt;0,AF28*Assumptions!$C$190,0)</f>
        <v>0</v>
      </c>
      <c r="AG29" s="176">
        <f>IF(AG28&gt;0,AG28*Assumptions!$C$190,0)</f>
        <v>0</v>
      </c>
      <c r="AH29" s="176">
        <f>IF(AH28&gt;0,AH28*Assumptions!$C$190,0)</f>
        <v>0</v>
      </c>
      <c r="AI29" s="176">
        <f>IF(AI28&gt;0,AI28*Assumptions!$C$190,0)</f>
        <v>0</v>
      </c>
      <c r="AJ29" s="176">
        <f>IF(AJ28&gt;0,AJ28*Assumptions!$C$190,0)</f>
        <v>0</v>
      </c>
      <c r="AK29" s="176">
        <f>IF(AK28&gt;0,AK28*Assumptions!$C$190,0)</f>
        <v>0</v>
      </c>
      <c r="AL29" s="176">
        <f>IF(AL28&gt;0,AL28*Assumptions!$C$190,0)</f>
        <v>0</v>
      </c>
      <c r="AM29" s="176">
        <f>IF(AM28&gt;0,AM28*Assumptions!$C$190,0)</f>
        <v>0</v>
      </c>
      <c r="AN29" s="176">
        <f>IF(AN28&gt;0,AN28*Assumptions!$C$190,0)</f>
        <v>0</v>
      </c>
      <c r="AO29" s="176">
        <f>IF(AO28&gt;0,AO28*Assumptions!$C$190,0)</f>
        <v>0</v>
      </c>
      <c r="AP29" s="176">
        <f>IF(AP28&gt;0,AP28*Assumptions!$C$190,0)</f>
        <v>0</v>
      </c>
      <c r="AQ29" s="176">
        <f>IF(AQ28&gt;0,AQ28*Assumptions!$C$190,0)</f>
        <v>0</v>
      </c>
      <c r="AR29" s="176">
        <f>IF(AR28&gt;0,AR28*Assumptions!$C$190,0)</f>
        <v>0</v>
      </c>
      <c r="AS29" s="176">
        <f>IF(AS28&gt;0,AS28*Assumptions!$C$190,0)</f>
        <v>0</v>
      </c>
      <c r="AT29" s="176">
        <f>IF(AT28&gt;0,AT28*Assumptions!$C$190,0)</f>
        <v>0</v>
      </c>
      <c r="AU29" s="176">
        <f>IF(AU28&gt;0,AU28*Assumptions!$C$190,0)</f>
        <v>0</v>
      </c>
      <c r="AV29" s="176">
        <f>IF(AV28&gt;0,AV28*Assumptions!$C$190,0)</f>
        <v>0</v>
      </c>
      <c r="AW29" s="176">
        <f>IF(AW28&gt;0,AW28*Assumptions!$C$190,0)</f>
        <v>0</v>
      </c>
      <c r="AX29" s="176">
        <f>IF(AX28&gt;0,AX28*Assumptions!$C$190,0)</f>
        <v>0</v>
      </c>
      <c r="AY29" s="176">
        <f>IF(AY28&gt;0,AY28*Assumptions!$C$190,0)</f>
        <v>0</v>
      </c>
      <c r="AZ29" s="176">
        <f>IF(AZ28&gt;0,AZ28*Assumptions!$C$190,0)</f>
        <v>0</v>
      </c>
      <c r="BA29" s="176">
        <f>IF(BA28&gt;0,BA28*Assumptions!$C$190,0)</f>
        <v>0</v>
      </c>
      <c r="BB29" s="176">
        <f>IF(BB28&gt;0,BB28*Assumptions!$C$190,0)</f>
        <v>0</v>
      </c>
      <c r="BC29" s="176">
        <f>IF(BC28&gt;0,BC28*Assumptions!$C$190,0)</f>
        <v>0</v>
      </c>
      <c r="BD29" s="176">
        <f>IF(BD28&gt;0,BD28*Assumptions!$C$190,0)</f>
        <v>0</v>
      </c>
      <c r="BE29" s="176">
        <f>IF(BE28&gt;0,BE28*Assumptions!$C$190,0)</f>
        <v>0</v>
      </c>
      <c r="BF29" s="176">
        <f>IF(BF28&gt;0,BF28*Assumptions!$C$190,0)</f>
        <v>0</v>
      </c>
      <c r="BG29" s="176">
        <f>IF(BG28&gt;0,BG28*Assumptions!$C$190,0)</f>
        <v>0</v>
      </c>
      <c r="BH29" s="176">
        <f>IF(BH28&gt;0,BH28*Assumptions!$C$190,0)</f>
        <v>0</v>
      </c>
      <c r="BI29" s="176">
        <f>IF(BI28&gt;0,BI28*Assumptions!$C$190,0)</f>
        <v>0</v>
      </c>
      <c r="BJ29" s="176">
        <f>IF(BJ28&gt;0,BJ28*Assumptions!$C$190,0)</f>
        <v>0</v>
      </c>
      <c r="BK29" s="176">
        <f>IF(BK28&gt;0,BK28*Assumptions!$C$190,0)</f>
        <v>0</v>
      </c>
      <c r="BL29" s="176">
        <f>IF(BL28&gt;0,BL28*Assumptions!$C$190,0)</f>
        <v>0</v>
      </c>
      <c r="BM29" s="176">
        <f>IF(BM28&gt;0,BM28*Assumptions!$C$190,0)</f>
        <v>0</v>
      </c>
      <c r="BN29" s="165"/>
    </row>
    <row r="30" outlineLevel="1">
      <c r="A30" s="165"/>
      <c r="B30" s="174" t="s">
        <v>168</v>
      </c>
      <c r="C30" s="165"/>
      <c r="D30" s="165"/>
      <c r="E30" s="165"/>
      <c r="F30" s="177">
        <f t="shared" ref="F30:BM30" si="11">F28-F29</f>
        <v>-235261.625</v>
      </c>
      <c r="G30" s="177">
        <f t="shared" si="11"/>
        <v>-232972.0494</v>
      </c>
      <c r="H30" s="177">
        <f t="shared" si="11"/>
        <v>-230681.7057</v>
      </c>
      <c r="I30" s="177">
        <f t="shared" si="11"/>
        <v>-228391.3506</v>
      </c>
      <c r="J30" s="177">
        <f t="shared" si="11"/>
        <v>-226100.9953</v>
      </c>
      <c r="K30" s="177">
        <f t="shared" si="11"/>
        <v>-223810.6399</v>
      </c>
      <c r="L30" s="177">
        <f t="shared" si="11"/>
        <v>-221520.2846</v>
      </c>
      <c r="M30" s="177">
        <f t="shared" si="11"/>
        <v>-219229.9293</v>
      </c>
      <c r="N30" s="177">
        <f t="shared" si="11"/>
        <v>-216939.5739</v>
      </c>
      <c r="O30" s="177">
        <f t="shared" si="11"/>
        <v>-214649.2186</v>
      </c>
      <c r="P30" s="177">
        <f t="shared" si="11"/>
        <v>-212358.8633</v>
      </c>
      <c r="Q30" s="177">
        <f t="shared" si="11"/>
        <v>-210068.5079</v>
      </c>
      <c r="R30" s="177">
        <f t="shared" si="11"/>
        <v>-208225.8276</v>
      </c>
      <c r="S30" s="177">
        <f t="shared" si="11"/>
        <v>-206393.3874</v>
      </c>
      <c r="T30" s="177">
        <f t="shared" si="11"/>
        <v>-204561.1008</v>
      </c>
      <c r="U30" s="177">
        <f t="shared" si="11"/>
        <v>-202728.8165</v>
      </c>
      <c r="V30" s="177">
        <f t="shared" si="11"/>
        <v>-200896.5322</v>
      </c>
      <c r="W30" s="177">
        <f t="shared" si="11"/>
        <v>-199064.248</v>
      </c>
      <c r="X30" s="177">
        <f t="shared" si="11"/>
        <v>-197231.9637</v>
      </c>
      <c r="Y30" s="177">
        <f t="shared" si="11"/>
        <v>-195399.6795</v>
      </c>
      <c r="Z30" s="177">
        <f t="shared" si="11"/>
        <v>-193567.3952</v>
      </c>
      <c r="AA30" s="177">
        <f t="shared" si="11"/>
        <v>-191735.1109</v>
      </c>
      <c r="AB30" s="177">
        <f t="shared" si="11"/>
        <v>-189902.8267</v>
      </c>
      <c r="AC30" s="177">
        <f t="shared" si="11"/>
        <v>-188070.5424</v>
      </c>
      <c r="AD30" s="177">
        <f t="shared" si="11"/>
        <v>-186596.3981</v>
      </c>
      <c r="AE30" s="177">
        <f t="shared" si="11"/>
        <v>-185130.446</v>
      </c>
      <c r="AF30" s="177">
        <f t="shared" si="11"/>
        <v>-183664.6167</v>
      </c>
      <c r="AG30" s="177">
        <f t="shared" si="11"/>
        <v>-182198.7893</v>
      </c>
      <c r="AH30" s="177">
        <f t="shared" si="11"/>
        <v>-180732.9618</v>
      </c>
      <c r="AI30" s="177">
        <f t="shared" si="11"/>
        <v>-179267.1344</v>
      </c>
      <c r="AJ30" s="177">
        <f t="shared" si="11"/>
        <v>-177801.307</v>
      </c>
      <c r="AK30" s="177">
        <f t="shared" si="11"/>
        <v>-176335.4796</v>
      </c>
      <c r="AL30" s="177">
        <f t="shared" si="11"/>
        <v>-174869.6522</v>
      </c>
      <c r="AM30" s="177">
        <f t="shared" si="11"/>
        <v>-173403.8248</v>
      </c>
      <c r="AN30" s="177">
        <f t="shared" si="11"/>
        <v>-171937.9974</v>
      </c>
      <c r="AO30" s="177">
        <f t="shared" si="11"/>
        <v>-170472.17</v>
      </c>
      <c r="AP30" s="177">
        <f t="shared" si="11"/>
        <v>-169292.8545</v>
      </c>
      <c r="AQ30" s="177">
        <f t="shared" si="11"/>
        <v>-168120.0928</v>
      </c>
      <c r="AR30" s="177">
        <f t="shared" si="11"/>
        <v>-166947.4294</v>
      </c>
      <c r="AS30" s="177">
        <f t="shared" si="11"/>
        <v>-165774.7674</v>
      </c>
      <c r="AT30" s="177">
        <f t="shared" si="11"/>
        <v>-164602.1055</v>
      </c>
      <c r="AU30" s="177">
        <f t="shared" si="11"/>
        <v>-163429.4436</v>
      </c>
      <c r="AV30" s="177">
        <f t="shared" si="11"/>
        <v>-162256.7817</v>
      </c>
      <c r="AW30" s="177">
        <f t="shared" si="11"/>
        <v>-161084.1197</v>
      </c>
      <c r="AX30" s="177">
        <f t="shared" si="11"/>
        <v>-159911.4578</v>
      </c>
      <c r="AY30" s="177">
        <f t="shared" si="11"/>
        <v>-158738.7959</v>
      </c>
      <c r="AZ30" s="177">
        <f t="shared" si="11"/>
        <v>-157566.1339</v>
      </c>
      <c r="BA30" s="177">
        <f t="shared" si="11"/>
        <v>-156393.472</v>
      </c>
      <c r="BB30" s="177">
        <f t="shared" si="11"/>
        <v>-155450.0197</v>
      </c>
      <c r="BC30" s="177">
        <f t="shared" si="11"/>
        <v>-154511.8103</v>
      </c>
      <c r="BD30" s="177">
        <f t="shared" si="11"/>
        <v>-153573.6796</v>
      </c>
      <c r="BE30" s="177">
        <f t="shared" si="11"/>
        <v>-152635.55</v>
      </c>
      <c r="BF30" s="177">
        <f t="shared" si="11"/>
        <v>-151697.4204</v>
      </c>
      <c r="BG30" s="177">
        <f t="shared" si="11"/>
        <v>-150759.2909</v>
      </c>
      <c r="BH30" s="177">
        <f t="shared" si="11"/>
        <v>-149821.1614</v>
      </c>
      <c r="BI30" s="177">
        <f t="shared" si="11"/>
        <v>-148883.0318</v>
      </c>
      <c r="BJ30" s="177">
        <f t="shared" si="11"/>
        <v>-147944.9023</v>
      </c>
      <c r="BK30" s="177">
        <f t="shared" si="11"/>
        <v>-147006.7727</v>
      </c>
      <c r="BL30" s="177">
        <f t="shared" si="11"/>
        <v>-146068.6432</v>
      </c>
      <c r="BM30" s="177">
        <f t="shared" si="11"/>
        <v>-145130.5136</v>
      </c>
      <c r="BN30" s="165"/>
    </row>
    <row r="31" outlineLevel="1">
      <c r="A31" s="30"/>
      <c r="B31" s="179" t="s">
        <v>169</v>
      </c>
      <c r="C31" s="30"/>
      <c r="D31" s="30"/>
      <c r="E31" s="30"/>
      <c r="F31" s="173">
        <f t="shared" ref="F31:BM31" si="12">F30/F8</f>
        <v>-49.3987664</v>
      </c>
      <c r="G31" s="173">
        <f t="shared" si="12"/>
        <v>-24.18243313</v>
      </c>
      <c r="H31" s="173">
        <f t="shared" si="12"/>
        <v>-15.90139668</v>
      </c>
      <c r="I31" s="173">
        <f t="shared" si="12"/>
        <v>-11.78483548</v>
      </c>
      <c r="J31" s="173">
        <f t="shared" si="12"/>
        <v>-9.322521587</v>
      </c>
      <c r="K31" s="173">
        <f t="shared" si="12"/>
        <v>-7.684143029</v>
      </c>
      <c r="L31" s="173">
        <f t="shared" si="12"/>
        <v>-6.515418526</v>
      </c>
      <c r="M31" s="173">
        <f t="shared" si="12"/>
        <v>-5.639719094</v>
      </c>
      <c r="N31" s="173">
        <f t="shared" si="12"/>
        <v>-4.959119011</v>
      </c>
      <c r="O31" s="173">
        <f t="shared" si="12"/>
        <v>-4.414953302</v>
      </c>
      <c r="P31" s="173">
        <f t="shared" si="12"/>
        <v>-3.969934488</v>
      </c>
      <c r="Q31" s="173">
        <f t="shared" si="12"/>
        <v>-3.599228163</v>
      </c>
      <c r="R31" s="173">
        <f t="shared" si="12"/>
        <v>-3.343088157</v>
      </c>
      <c r="S31" s="173">
        <f t="shared" si="12"/>
        <v>-3.118465304</v>
      </c>
      <c r="T31" s="173">
        <f t="shared" si="12"/>
        <v>-2.918850349</v>
      </c>
      <c r="U31" s="173">
        <f t="shared" si="12"/>
        <v>-2.740273244</v>
      </c>
      <c r="V31" s="173">
        <f t="shared" si="12"/>
        <v>-2.579574449</v>
      </c>
      <c r="W31" s="173">
        <f t="shared" si="12"/>
        <v>-2.434197112</v>
      </c>
      <c r="X31" s="173">
        <f t="shared" si="12"/>
        <v>-2.302049752</v>
      </c>
      <c r="Y31" s="173">
        <f t="shared" si="12"/>
        <v>-2.181404991</v>
      </c>
      <c r="Z31" s="173">
        <f t="shared" si="12"/>
        <v>-2.07082362</v>
      </c>
      <c r="AA31" s="173">
        <f t="shared" si="12"/>
        <v>-1.96909692</v>
      </c>
      <c r="AB31" s="173">
        <f t="shared" si="12"/>
        <v>-1.875202292</v>
      </c>
      <c r="AC31" s="173">
        <f t="shared" si="12"/>
        <v>-1.788268762</v>
      </c>
      <c r="AD31" s="173">
        <f t="shared" si="12"/>
        <v>-1.722870365</v>
      </c>
      <c r="AE31" s="173">
        <f t="shared" si="12"/>
        <v>-1.661486549</v>
      </c>
      <c r="AF31" s="173">
        <f t="shared" si="12"/>
        <v>-1.603450455</v>
      </c>
      <c r="AG31" s="173">
        <f t="shared" si="12"/>
        <v>-1.548491069</v>
      </c>
      <c r="AH31" s="173">
        <f t="shared" si="12"/>
        <v>-1.496369985</v>
      </c>
      <c r="AI31" s="173">
        <f t="shared" si="12"/>
        <v>-1.446872867</v>
      </c>
      <c r="AJ31" s="173">
        <f t="shared" si="12"/>
        <v>-1.39980643</v>
      </c>
      <c r="AK31" s="173">
        <f t="shared" si="12"/>
        <v>-1.354995917</v>
      </c>
      <c r="AL31" s="173">
        <f t="shared" si="12"/>
        <v>-1.312282933</v>
      </c>
      <c r="AM31" s="173">
        <f t="shared" si="12"/>
        <v>-1.271523572</v>
      </c>
      <c r="AN31" s="173">
        <f t="shared" si="12"/>
        <v>-1.232586796</v>
      </c>
      <c r="AO31" s="173">
        <f t="shared" si="12"/>
        <v>-1.195353032</v>
      </c>
      <c r="AP31" s="173">
        <f t="shared" si="12"/>
        <v>-1.16655874</v>
      </c>
      <c r="AQ31" s="173">
        <f t="shared" si="12"/>
        <v>-1.138895205</v>
      </c>
      <c r="AR31" s="173">
        <f t="shared" si="12"/>
        <v>-1.112153549</v>
      </c>
      <c r="AS31" s="173">
        <f t="shared" si="12"/>
        <v>-1.086286345</v>
      </c>
      <c r="AT31" s="173">
        <f t="shared" si="12"/>
        <v>-1.061251359</v>
      </c>
      <c r="AU31" s="173">
        <f t="shared" si="12"/>
        <v>-1.037009065</v>
      </c>
      <c r="AV31" s="173">
        <f t="shared" si="12"/>
        <v>-1.013522402</v>
      </c>
      <c r="AW31" s="173">
        <f t="shared" si="12"/>
        <v>-0.9907565809</v>
      </c>
      <c r="AX31" s="173">
        <f t="shared" si="12"/>
        <v>-0.9686789187</v>
      </c>
      <c r="AY31" s="173">
        <f t="shared" si="12"/>
        <v>-0.9472586774</v>
      </c>
      <c r="AZ31" s="173">
        <f t="shared" si="12"/>
        <v>-0.9264669232</v>
      </c>
      <c r="BA31" s="173">
        <f t="shared" si="12"/>
        <v>-0.9062763956</v>
      </c>
      <c r="BB31" s="173">
        <f t="shared" si="12"/>
        <v>-0.8904512709</v>
      </c>
      <c r="BC31" s="173">
        <f t="shared" si="12"/>
        <v>-0.8750709119</v>
      </c>
      <c r="BD31" s="173">
        <f t="shared" si="12"/>
        <v>-0.8600356719</v>
      </c>
      <c r="BE31" s="173">
        <f t="shared" si="12"/>
        <v>-0.8453328631</v>
      </c>
      <c r="BF31" s="173">
        <f t="shared" si="12"/>
        <v>-0.8309515633</v>
      </c>
      <c r="BG31" s="173">
        <f t="shared" si="12"/>
        <v>-0.8168813406</v>
      </c>
      <c r="BH31" s="173">
        <f t="shared" si="12"/>
        <v>-0.8031122097</v>
      </c>
      <c r="BI31" s="173">
        <f t="shared" si="12"/>
        <v>-0.7896346083</v>
      </c>
      <c r="BJ31" s="173">
        <f t="shared" si="12"/>
        <v>-0.7764393746</v>
      </c>
      <c r="BK31" s="173">
        <f t="shared" si="12"/>
        <v>-0.7635177269</v>
      </c>
      <c r="BL31" s="173">
        <f t="shared" si="12"/>
        <v>-0.7508612438</v>
      </c>
      <c r="BM31" s="173">
        <f t="shared" si="12"/>
        <v>-0.7384618461</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63" t="s">
        <v>125</v>
      </c>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0"/>
    </row>
    <row r="34" outlineLevel="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row>
    <row r="35" outlineLevel="1">
      <c r="A35" s="165"/>
      <c r="B35" s="174" t="s">
        <v>127</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row>
    <row r="36" outlineLevel="1">
      <c r="A36" s="165"/>
      <c r="B36" s="180" t="s">
        <v>170</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row>
    <row r="37" outlineLevel="1">
      <c r="A37" s="165"/>
      <c r="B37" s="175" t="s">
        <v>171</v>
      </c>
      <c r="C37" s="165"/>
      <c r="D37" s="165"/>
      <c r="E37" s="165"/>
      <c r="F37" s="165">
        <f t="shared" ref="F37:BM37" si="13">F82</f>
        <v>333756.6875</v>
      </c>
      <c r="G37" s="165">
        <f t="shared" si="13"/>
        <v>148463.1628</v>
      </c>
      <c r="H37" s="165">
        <f t="shared" si="13"/>
        <v>-39393.86506</v>
      </c>
      <c r="I37" s="165">
        <f t="shared" si="13"/>
        <v>-229833.3455</v>
      </c>
      <c r="J37" s="165">
        <f t="shared" si="13"/>
        <v>-422855.5627</v>
      </c>
      <c r="K37" s="165">
        <f t="shared" si="13"/>
        <v>-618460.5209</v>
      </c>
      <c r="L37" s="165">
        <f t="shared" si="13"/>
        <v>-816648.2203</v>
      </c>
      <c r="M37" s="165">
        <f t="shared" si="13"/>
        <v>-1017418.661</v>
      </c>
      <c r="N37" s="165">
        <f t="shared" si="13"/>
        <v>-1220771.842</v>
      </c>
      <c r="O37" s="165">
        <f t="shared" si="13"/>
        <v>-1426707.765</v>
      </c>
      <c r="P37" s="165">
        <f t="shared" si="13"/>
        <v>-1635226.429</v>
      </c>
      <c r="Q37" s="165">
        <f t="shared" si="13"/>
        <v>-1846327.834</v>
      </c>
      <c r="R37" s="165">
        <f t="shared" si="13"/>
        <v>-2013563.318</v>
      </c>
      <c r="S37" s="165">
        <f t="shared" si="13"/>
        <v>-2181814.25</v>
      </c>
      <c r="T37" s="165">
        <f t="shared" si="13"/>
        <v>-2352115.614</v>
      </c>
      <c r="U37" s="165">
        <f t="shared" si="13"/>
        <v>-2524482.934</v>
      </c>
      <c r="V37" s="165">
        <f t="shared" si="13"/>
        <v>-2698916.444</v>
      </c>
      <c r="W37" s="165">
        <f t="shared" si="13"/>
        <v>-2875416.147</v>
      </c>
      <c r="X37" s="165">
        <f t="shared" si="13"/>
        <v>-3053982.042</v>
      </c>
      <c r="Y37" s="165">
        <f t="shared" si="13"/>
        <v>-3234614.131</v>
      </c>
      <c r="Z37" s="165">
        <f t="shared" si="13"/>
        <v>-3417312.412</v>
      </c>
      <c r="AA37" s="165">
        <f t="shared" si="13"/>
        <v>-3602076.886</v>
      </c>
      <c r="AB37" s="165">
        <f t="shared" si="13"/>
        <v>-3788907.553</v>
      </c>
      <c r="AC37" s="165">
        <f t="shared" si="13"/>
        <v>-3977804.413</v>
      </c>
      <c r="AD37" s="165">
        <f t="shared" si="13"/>
        <v>-4131608.536</v>
      </c>
      <c r="AE37" s="165">
        <f t="shared" si="13"/>
        <v>-4286225.018</v>
      </c>
      <c r="AF37" s="165">
        <f t="shared" si="13"/>
        <v>-4442481.845</v>
      </c>
      <c r="AG37" s="165">
        <f t="shared" si="13"/>
        <v>-4600391.438</v>
      </c>
      <c r="AH37" s="165">
        <f t="shared" si="13"/>
        <v>-4759953.982</v>
      </c>
      <c r="AI37" s="165">
        <f t="shared" si="13"/>
        <v>-4921169.48</v>
      </c>
      <c r="AJ37" s="165">
        <f t="shared" si="13"/>
        <v>-5084037.932</v>
      </c>
      <c r="AK37" s="165">
        <f t="shared" si="13"/>
        <v>-5248559.339</v>
      </c>
      <c r="AL37" s="165">
        <f t="shared" si="13"/>
        <v>-5414733.7</v>
      </c>
      <c r="AM37" s="165">
        <f t="shared" si="13"/>
        <v>-5582561.016</v>
      </c>
      <c r="AN37" s="165">
        <f t="shared" si="13"/>
        <v>-5752041.285</v>
      </c>
      <c r="AO37" s="165">
        <f t="shared" si="13"/>
        <v>-5923174.509</v>
      </c>
      <c r="AP37" s="165">
        <f t="shared" si="13"/>
        <v>-6066233.544</v>
      </c>
      <c r="AQ37" s="165">
        <f t="shared" si="13"/>
        <v>-6209942.465</v>
      </c>
      <c r="AR37" s="165">
        <f t="shared" si="13"/>
        <v>-6354963.663</v>
      </c>
      <c r="AS37" s="165">
        <f t="shared" si="13"/>
        <v>-6501307.073</v>
      </c>
      <c r="AT37" s="165">
        <f t="shared" si="13"/>
        <v>-6648972.844</v>
      </c>
      <c r="AU37" s="165">
        <f t="shared" si="13"/>
        <v>-6797960.979</v>
      </c>
      <c r="AV37" s="165">
        <f t="shared" si="13"/>
        <v>-6948271.477</v>
      </c>
      <c r="AW37" s="165">
        <f t="shared" si="13"/>
        <v>-7099904.338</v>
      </c>
      <c r="AX37" s="165">
        <f t="shared" si="13"/>
        <v>-7252859.563</v>
      </c>
      <c r="AY37" s="165">
        <f t="shared" si="13"/>
        <v>-7407137.151</v>
      </c>
      <c r="AZ37" s="165">
        <f t="shared" si="13"/>
        <v>-7562737.103</v>
      </c>
      <c r="BA37" s="165">
        <f t="shared" si="13"/>
        <v>-7719659.419</v>
      </c>
      <c r="BB37" s="165">
        <f t="shared" si="13"/>
        <v>-7854122.382</v>
      </c>
      <c r="BC37" s="165">
        <f t="shared" si="13"/>
        <v>-7989105.255</v>
      </c>
      <c r="BD37" s="165">
        <f t="shared" si="13"/>
        <v>-8125137.95</v>
      </c>
      <c r="BE37" s="165">
        <f t="shared" si="13"/>
        <v>-8262228.414</v>
      </c>
      <c r="BF37" s="165">
        <f t="shared" si="13"/>
        <v>-8400376.767</v>
      </c>
      <c r="BG37" s="165">
        <f t="shared" si="13"/>
        <v>-8539583.01</v>
      </c>
      <c r="BH37" s="165">
        <f t="shared" si="13"/>
        <v>-8679847.145</v>
      </c>
      <c r="BI37" s="165">
        <f t="shared" si="13"/>
        <v>-8821169.17</v>
      </c>
      <c r="BJ37" s="165">
        <f t="shared" si="13"/>
        <v>-8963549.086</v>
      </c>
      <c r="BK37" s="165">
        <f t="shared" si="13"/>
        <v>-9106986.893</v>
      </c>
      <c r="BL37" s="165">
        <f t="shared" si="13"/>
        <v>-9251482.59</v>
      </c>
      <c r="BM37" s="165">
        <f t="shared" si="13"/>
        <v>-9397036.178</v>
      </c>
      <c r="BN37" s="165"/>
    </row>
    <row r="38" outlineLevel="1">
      <c r="A38" s="165"/>
      <c r="B38" s="175" t="s">
        <v>172</v>
      </c>
      <c r="C38" s="165"/>
      <c r="D38" s="165"/>
      <c r="E38" s="165"/>
      <c r="F38" s="165">
        <f>Assumptions!R200</f>
        <v>2381.25</v>
      </c>
      <c r="G38" s="165">
        <f>Assumptions!S200</f>
        <v>4816.96875</v>
      </c>
      <c r="H38" s="165">
        <f>Assumptions!T200</f>
        <v>7253.504531</v>
      </c>
      <c r="I38" s="165">
        <f>Assumptions!U200</f>
        <v>9690.052568</v>
      </c>
      <c r="J38" s="165">
        <f>Assumptions!V200</f>
        <v>12126.60079</v>
      </c>
      <c r="K38" s="165">
        <f>Assumptions!W200</f>
        <v>14563.14901</v>
      </c>
      <c r="L38" s="165">
        <f>Assumptions!X200</f>
        <v>16999.69724</v>
      </c>
      <c r="M38" s="165">
        <f>Assumptions!Y200</f>
        <v>19436.24546</v>
      </c>
      <c r="N38" s="165">
        <f>Assumptions!Z200</f>
        <v>21872.79368</v>
      </c>
      <c r="O38" s="165">
        <f>Assumptions!AA200</f>
        <v>24309.34191</v>
      </c>
      <c r="P38" s="165">
        <f>Assumptions!AB200</f>
        <v>26745.89013</v>
      </c>
      <c r="Q38" s="165">
        <f>Assumptions!AC200</f>
        <v>29182.43835</v>
      </c>
      <c r="R38" s="165">
        <f>Assumptions!AD200</f>
        <v>31142.73658</v>
      </c>
      <c r="S38" s="165">
        <f>Assumptions!AE200</f>
        <v>33092.14105</v>
      </c>
      <c r="T38" s="165">
        <f>Assumptions!AF200</f>
        <v>35041.38212</v>
      </c>
      <c r="U38" s="165">
        <f>Assumptions!AG200</f>
        <v>36990.62073</v>
      </c>
      <c r="V38" s="165">
        <f>Assumptions!AH200</f>
        <v>38939.85931</v>
      </c>
      <c r="W38" s="165">
        <f>Assumptions!AI200</f>
        <v>40889.09789</v>
      </c>
      <c r="X38" s="165">
        <f>Assumptions!AJ200</f>
        <v>42838.33647</v>
      </c>
      <c r="Y38" s="165">
        <f>Assumptions!AK200</f>
        <v>44787.57505</v>
      </c>
      <c r="Z38" s="165">
        <f>Assumptions!AL200</f>
        <v>46736.81363</v>
      </c>
      <c r="AA38" s="165">
        <f>Assumptions!AM200</f>
        <v>48686.0522</v>
      </c>
      <c r="AB38" s="165">
        <f>Assumptions!AN200</f>
        <v>50635.29078</v>
      </c>
      <c r="AC38" s="165">
        <f>Assumptions!AO200</f>
        <v>52584.52936</v>
      </c>
      <c r="AD38" s="165">
        <f>Assumptions!AP200</f>
        <v>54152.76794</v>
      </c>
      <c r="AE38" s="165">
        <f>Assumptions!AQ200</f>
        <v>55712.29152</v>
      </c>
      <c r="AF38" s="165">
        <f>Assumptions!AR200</f>
        <v>57271.68437</v>
      </c>
      <c r="AG38" s="165">
        <f>Assumptions!AS200</f>
        <v>58831.07527</v>
      </c>
      <c r="AH38" s="165">
        <f>Assumptions!AT200</f>
        <v>60390.46613</v>
      </c>
      <c r="AI38" s="165">
        <f>Assumptions!AU200</f>
        <v>61949.85699</v>
      </c>
      <c r="AJ38" s="165">
        <f>Assumptions!AV200</f>
        <v>63509.24785</v>
      </c>
      <c r="AK38" s="165">
        <f>Assumptions!AW200</f>
        <v>65068.63872</v>
      </c>
      <c r="AL38" s="165">
        <f>Assumptions!AX200</f>
        <v>66628.02958</v>
      </c>
      <c r="AM38" s="165">
        <f>Assumptions!AY200</f>
        <v>68187.42044</v>
      </c>
      <c r="AN38" s="165">
        <f>Assumptions!AZ200</f>
        <v>69746.81131</v>
      </c>
      <c r="AO38" s="165">
        <f>Assumptions!BA200</f>
        <v>71306.20217</v>
      </c>
      <c r="AP38" s="165">
        <f>Assumptions!BB200</f>
        <v>72560.79303</v>
      </c>
      <c r="AQ38" s="165">
        <f>Assumptions!BC200</f>
        <v>73808.4119</v>
      </c>
      <c r="AR38" s="165">
        <f>Assumptions!BD200</f>
        <v>75055.92618</v>
      </c>
      <c r="AS38" s="165">
        <f>Assumptions!BE200</f>
        <v>76303.43889</v>
      </c>
      <c r="AT38" s="165">
        <f>Assumptions!BF200</f>
        <v>77550.95158</v>
      </c>
      <c r="AU38" s="165">
        <f>Assumptions!BG200</f>
        <v>78798.46427</v>
      </c>
      <c r="AV38" s="165">
        <f>Assumptions!BH200</f>
        <v>80045.97696</v>
      </c>
      <c r="AW38" s="165">
        <f>Assumptions!BI200</f>
        <v>81293.48965</v>
      </c>
      <c r="AX38" s="165">
        <f>Assumptions!BJ200</f>
        <v>82541.00234</v>
      </c>
      <c r="AY38" s="165">
        <f>Assumptions!BK200</f>
        <v>83788.51504</v>
      </c>
      <c r="AZ38" s="165">
        <f>Assumptions!BL200</f>
        <v>85036.02773</v>
      </c>
      <c r="BA38" s="165">
        <f>Assumptions!BM200</f>
        <v>86283.54042</v>
      </c>
      <c r="BB38" s="165">
        <f>Assumptions!BN200</f>
        <v>87287.21311</v>
      </c>
      <c r="BC38" s="165">
        <f>Assumptions!BO200</f>
        <v>88285.3082</v>
      </c>
      <c r="BD38" s="165">
        <f>Assumptions!BP200</f>
        <v>89283.31962</v>
      </c>
      <c r="BE38" s="165">
        <f>Assumptions!BQ200</f>
        <v>90281.32979</v>
      </c>
      <c r="BF38" s="165">
        <f>Assumptions!BR200</f>
        <v>91279.33995</v>
      </c>
      <c r="BG38" s="165">
        <f>Assumptions!BS200</f>
        <v>92277.3501</v>
      </c>
      <c r="BH38" s="165">
        <f>Assumptions!BT200</f>
        <v>93275.36025</v>
      </c>
      <c r="BI38" s="165">
        <f>Assumptions!BU200</f>
        <v>94273.3704</v>
      </c>
      <c r="BJ38" s="165">
        <f>Assumptions!BV200</f>
        <v>95271.38056</v>
      </c>
      <c r="BK38" s="165">
        <f>Assumptions!BW200</f>
        <v>96269.39071</v>
      </c>
      <c r="BL38" s="165">
        <f>Assumptions!BX200</f>
        <v>97267.40086</v>
      </c>
      <c r="BM38" s="165">
        <f>Assumptions!BY200</f>
        <v>98265.41101</v>
      </c>
      <c r="BN38" s="165"/>
    </row>
    <row r="39" outlineLevel="1">
      <c r="A39" s="165"/>
      <c r="B39" s="181" t="s">
        <v>173</v>
      </c>
      <c r="C39" s="182"/>
      <c r="D39" s="182"/>
      <c r="E39" s="182"/>
      <c r="F39" s="182">
        <f t="shared" ref="F39:BM39" si="14">SUM(F37:F38)</f>
        <v>336137.9375</v>
      </c>
      <c r="G39" s="183">
        <f t="shared" si="14"/>
        <v>153280.1316</v>
      </c>
      <c r="H39" s="183">
        <f t="shared" si="14"/>
        <v>-32140.36053</v>
      </c>
      <c r="I39" s="183">
        <f t="shared" si="14"/>
        <v>-220143.2929</v>
      </c>
      <c r="J39" s="183">
        <f t="shared" si="14"/>
        <v>-410728.9619</v>
      </c>
      <c r="K39" s="183">
        <f t="shared" si="14"/>
        <v>-603897.3719</v>
      </c>
      <c r="L39" s="183">
        <f t="shared" si="14"/>
        <v>-799648.5231</v>
      </c>
      <c r="M39" s="183">
        <f t="shared" si="14"/>
        <v>-997982.4153</v>
      </c>
      <c r="N39" s="183">
        <f t="shared" si="14"/>
        <v>-1198899.049</v>
      </c>
      <c r="O39" s="183">
        <f t="shared" si="14"/>
        <v>-1402398.423</v>
      </c>
      <c r="P39" s="183">
        <f t="shared" si="14"/>
        <v>-1608480.539</v>
      </c>
      <c r="Q39" s="183">
        <f t="shared" si="14"/>
        <v>-1817145.396</v>
      </c>
      <c r="R39" s="183">
        <f t="shared" si="14"/>
        <v>-1982420.581</v>
      </c>
      <c r="S39" s="183">
        <f t="shared" si="14"/>
        <v>-2148722.109</v>
      </c>
      <c r="T39" s="183">
        <f t="shared" si="14"/>
        <v>-2317074.232</v>
      </c>
      <c r="U39" s="183">
        <f t="shared" si="14"/>
        <v>-2487492.313</v>
      </c>
      <c r="V39" s="183">
        <f t="shared" si="14"/>
        <v>-2659976.585</v>
      </c>
      <c r="W39" s="183">
        <f t="shared" si="14"/>
        <v>-2834527.049</v>
      </c>
      <c r="X39" s="183">
        <f t="shared" si="14"/>
        <v>-3011143.706</v>
      </c>
      <c r="Y39" s="183">
        <f t="shared" si="14"/>
        <v>-3189826.556</v>
      </c>
      <c r="Z39" s="183">
        <f t="shared" si="14"/>
        <v>-3370575.598</v>
      </c>
      <c r="AA39" s="183">
        <f t="shared" si="14"/>
        <v>-3553390.834</v>
      </c>
      <c r="AB39" s="183">
        <f t="shared" si="14"/>
        <v>-3738272.263</v>
      </c>
      <c r="AC39" s="183">
        <f t="shared" si="14"/>
        <v>-3925219.884</v>
      </c>
      <c r="AD39" s="183">
        <f t="shared" si="14"/>
        <v>-4077455.768</v>
      </c>
      <c r="AE39" s="183">
        <f t="shared" si="14"/>
        <v>-4230512.727</v>
      </c>
      <c r="AF39" s="183">
        <f t="shared" si="14"/>
        <v>-4385210.161</v>
      </c>
      <c r="AG39" s="183">
        <f t="shared" si="14"/>
        <v>-4541560.362</v>
      </c>
      <c r="AH39" s="183">
        <f t="shared" si="14"/>
        <v>-4699563.515</v>
      </c>
      <c r="AI39" s="183">
        <f t="shared" si="14"/>
        <v>-4859219.623</v>
      </c>
      <c r="AJ39" s="183">
        <f t="shared" si="14"/>
        <v>-5020528.684</v>
      </c>
      <c r="AK39" s="183">
        <f t="shared" si="14"/>
        <v>-5183490.7</v>
      </c>
      <c r="AL39" s="183">
        <f t="shared" si="14"/>
        <v>-5348105.671</v>
      </c>
      <c r="AM39" s="183">
        <f t="shared" si="14"/>
        <v>-5514373.595</v>
      </c>
      <c r="AN39" s="183">
        <f t="shared" si="14"/>
        <v>-5682294.474</v>
      </c>
      <c r="AO39" s="183">
        <f t="shared" si="14"/>
        <v>-5851868.307</v>
      </c>
      <c r="AP39" s="183">
        <f t="shared" si="14"/>
        <v>-5993672.751</v>
      </c>
      <c r="AQ39" s="183">
        <f t="shared" si="14"/>
        <v>-6136134.053</v>
      </c>
      <c r="AR39" s="183">
        <f t="shared" si="14"/>
        <v>-6279907.737</v>
      </c>
      <c r="AS39" s="183">
        <f t="shared" si="14"/>
        <v>-6425003.634</v>
      </c>
      <c r="AT39" s="183">
        <f t="shared" si="14"/>
        <v>-6571421.893</v>
      </c>
      <c r="AU39" s="183">
        <f t="shared" si="14"/>
        <v>-6719162.514</v>
      </c>
      <c r="AV39" s="183">
        <f t="shared" si="14"/>
        <v>-6868225.5</v>
      </c>
      <c r="AW39" s="183">
        <f t="shared" si="14"/>
        <v>-7018610.848</v>
      </c>
      <c r="AX39" s="183">
        <f t="shared" si="14"/>
        <v>-7170318.561</v>
      </c>
      <c r="AY39" s="183">
        <f t="shared" si="14"/>
        <v>-7323348.636</v>
      </c>
      <c r="AZ39" s="183">
        <f t="shared" si="14"/>
        <v>-7477701.076</v>
      </c>
      <c r="BA39" s="183">
        <f t="shared" si="14"/>
        <v>-7633375.878</v>
      </c>
      <c r="BB39" s="183">
        <f t="shared" si="14"/>
        <v>-7766835.169</v>
      </c>
      <c r="BC39" s="183">
        <f t="shared" si="14"/>
        <v>-7900819.947</v>
      </c>
      <c r="BD39" s="183">
        <f t="shared" si="14"/>
        <v>-8035854.63</v>
      </c>
      <c r="BE39" s="183">
        <f t="shared" si="14"/>
        <v>-8171947.084</v>
      </c>
      <c r="BF39" s="183">
        <f t="shared" si="14"/>
        <v>-8309097.427</v>
      </c>
      <c r="BG39" s="183">
        <f t="shared" si="14"/>
        <v>-8447305.66</v>
      </c>
      <c r="BH39" s="183">
        <f t="shared" si="14"/>
        <v>-8586571.785</v>
      </c>
      <c r="BI39" s="183">
        <f t="shared" si="14"/>
        <v>-8726895.8</v>
      </c>
      <c r="BJ39" s="183">
        <f t="shared" si="14"/>
        <v>-8868277.705</v>
      </c>
      <c r="BK39" s="183">
        <f t="shared" si="14"/>
        <v>-9010717.502</v>
      </c>
      <c r="BL39" s="183">
        <f t="shared" si="14"/>
        <v>-9154215.189</v>
      </c>
      <c r="BM39" s="183">
        <f t="shared" si="14"/>
        <v>-9298770.767</v>
      </c>
      <c r="BN39" s="165"/>
    </row>
    <row r="40" outlineLevel="1">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row>
    <row r="41" outlineLevel="1">
      <c r="A41" s="165"/>
      <c r="B41" s="175" t="s">
        <v>131</v>
      </c>
      <c r="C41" s="165"/>
      <c r="D41" s="165"/>
      <c r="E41" s="165"/>
      <c r="F41" s="165">
        <f>SUM(Assumptions!R202:R206)</f>
        <v>0</v>
      </c>
      <c r="G41" s="165">
        <f>SUM(Assumptions!S202:S206)</f>
        <v>0</v>
      </c>
      <c r="H41" s="165">
        <f>SUM(Assumptions!T202:T206)</f>
        <v>0</v>
      </c>
      <c r="I41" s="165">
        <f>SUM(Assumptions!U202:U206)</f>
        <v>0</v>
      </c>
      <c r="J41" s="165">
        <f>SUM(Assumptions!V202:V206)</f>
        <v>0</v>
      </c>
      <c r="K41" s="165">
        <f>SUM(Assumptions!W202:W206)</f>
        <v>0</v>
      </c>
      <c r="L41" s="165">
        <f>SUM(Assumptions!X202:X206)</f>
        <v>0</v>
      </c>
      <c r="M41" s="165">
        <f>SUM(Assumptions!Y202:Y206)</f>
        <v>0</v>
      </c>
      <c r="N41" s="165">
        <f>SUM(Assumptions!Z202:Z206)</f>
        <v>0</v>
      </c>
      <c r="O41" s="165">
        <f>SUM(Assumptions!AA202:AA206)</f>
        <v>0</v>
      </c>
      <c r="P41" s="165">
        <f>SUM(Assumptions!AB202:AB206)</f>
        <v>0</v>
      </c>
      <c r="Q41" s="165">
        <f>SUM(Assumptions!AC202:AC206)</f>
        <v>0</v>
      </c>
      <c r="R41" s="165">
        <f>SUM(Assumptions!AD202:AD206)</f>
        <v>0</v>
      </c>
      <c r="S41" s="165">
        <f>SUM(Assumptions!AE202:AE206)</f>
        <v>0</v>
      </c>
      <c r="T41" s="165">
        <f>SUM(Assumptions!AF202:AF206)</f>
        <v>0</v>
      </c>
      <c r="U41" s="165">
        <f>SUM(Assumptions!AG202:AG206)</f>
        <v>0</v>
      </c>
      <c r="V41" s="165">
        <f>SUM(Assumptions!AH202:AH206)</f>
        <v>0</v>
      </c>
      <c r="W41" s="165">
        <f>SUM(Assumptions!AI202:AI206)</f>
        <v>0</v>
      </c>
      <c r="X41" s="165">
        <f>SUM(Assumptions!AJ202:AJ206)</f>
        <v>0</v>
      </c>
      <c r="Y41" s="165">
        <f>SUM(Assumptions!AK202:AK206)</f>
        <v>0</v>
      </c>
      <c r="Z41" s="165">
        <f>SUM(Assumptions!AL202:AL206)</f>
        <v>0</v>
      </c>
      <c r="AA41" s="165">
        <f>SUM(Assumptions!AM202:AM206)</f>
        <v>0</v>
      </c>
      <c r="AB41" s="165">
        <f>SUM(Assumptions!AN202:AN206)</f>
        <v>0</v>
      </c>
      <c r="AC41" s="165">
        <f>SUM(Assumptions!AO202:AO206)</f>
        <v>0</v>
      </c>
      <c r="AD41" s="165">
        <f>SUM(Assumptions!AP202:AP206)</f>
        <v>0</v>
      </c>
      <c r="AE41" s="165">
        <f>SUM(Assumptions!AQ202:AQ206)</f>
        <v>0</v>
      </c>
      <c r="AF41" s="165">
        <f>SUM(Assumptions!AR202:AR206)</f>
        <v>0</v>
      </c>
      <c r="AG41" s="165">
        <f>SUM(Assumptions!AS202:AS206)</f>
        <v>0</v>
      </c>
      <c r="AH41" s="165">
        <f>SUM(Assumptions!AT202:AT206)</f>
        <v>0</v>
      </c>
      <c r="AI41" s="165">
        <f>SUM(Assumptions!AU202:AU206)</f>
        <v>0</v>
      </c>
      <c r="AJ41" s="165">
        <f>SUM(Assumptions!AV202:AV206)</f>
        <v>0</v>
      </c>
      <c r="AK41" s="165">
        <f>SUM(Assumptions!AW202:AW206)</f>
        <v>0</v>
      </c>
      <c r="AL41" s="165">
        <f>SUM(Assumptions!AX202:AX206)</f>
        <v>0</v>
      </c>
      <c r="AM41" s="165">
        <f>SUM(Assumptions!AY202:AY206)</f>
        <v>0</v>
      </c>
      <c r="AN41" s="165">
        <f>SUM(Assumptions!AZ202:AZ206)</f>
        <v>0</v>
      </c>
      <c r="AO41" s="165">
        <f>SUM(Assumptions!BA202:BA206)</f>
        <v>0</v>
      </c>
      <c r="AP41" s="165">
        <f>SUM(Assumptions!BB202:BB206)</f>
        <v>0</v>
      </c>
      <c r="AQ41" s="165">
        <f>SUM(Assumptions!BC202:BC206)</f>
        <v>0</v>
      </c>
      <c r="AR41" s="165">
        <f>SUM(Assumptions!BD202:BD206)</f>
        <v>0</v>
      </c>
      <c r="AS41" s="165">
        <f>SUM(Assumptions!BE202:BE206)</f>
        <v>0</v>
      </c>
      <c r="AT41" s="165">
        <f>SUM(Assumptions!BF202:BF206)</f>
        <v>0</v>
      </c>
      <c r="AU41" s="165">
        <f>SUM(Assumptions!BG202:BG206)</f>
        <v>0</v>
      </c>
      <c r="AV41" s="165">
        <f>SUM(Assumptions!BH202:BH206)</f>
        <v>0</v>
      </c>
      <c r="AW41" s="165">
        <f>SUM(Assumptions!BI202:BI206)</f>
        <v>0</v>
      </c>
      <c r="AX41" s="165">
        <f>SUM(Assumptions!BJ202:BJ206)</f>
        <v>0</v>
      </c>
      <c r="AY41" s="165">
        <f>SUM(Assumptions!BK202:BK206)</f>
        <v>0</v>
      </c>
      <c r="AZ41" s="165">
        <f>SUM(Assumptions!BL202:BL206)</f>
        <v>0</v>
      </c>
      <c r="BA41" s="165">
        <f>SUM(Assumptions!BM202:BM206)</f>
        <v>0</v>
      </c>
      <c r="BB41" s="165">
        <f>SUM(Assumptions!BN202:BN206)</f>
        <v>0</v>
      </c>
      <c r="BC41" s="165">
        <f>SUM(Assumptions!BO202:BO206)</f>
        <v>0</v>
      </c>
      <c r="BD41" s="165">
        <f>SUM(Assumptions!BP202:BP206)</f>
        <v>0</v>
      </c>
      <c r="BE41" s="165">
        <f>SUM(Assumptions!BQ202:BQ206)</f>
        <v>0</v>
      </c>
      <c r="BF41" s="165">
        <f>SUM(Assumptions!BR202:BR206)</f>
        <v>0</v>
      </c>
      <c r="BG41" s="165">
        <f>SUM(Assumptions!BS202:BS206)</f>
        <v>0</v>
      </c>
      <c r="BH41" s="165">
        <f>SUM(Assumptions!BT202:BT206)</f>
        <v>0</v>
      </c>
      <c r="BI41" s="165">
        <f>SUM(Assumptions!BU202:BU206)</f>
        <v>0</v>
      </c>
      <c r="BJ41" s="165">
        <f>SUM(Assumptions!BV202:BV206)</f>
        <v>0</v>
      </c>
      <c r="BK41" s="165">
        <f>SUM(Assumptions!BW202:BW206)</f>
        <v>0</v>
      </c>
      <c r="BL41" s="165">
        <f>SUM(Assumptions!BX202:BX206)</f>
        <v>0</v>
      </c>
      <c r="BM41" s="165">
        <f>SUM(Assumptions!BY202:BY206)</f>
        <v>0</v>
      </c>
      <c r="BN41" s="165"/>
    </row>
    <row r="42" outlineLevel="1">
      <c r="A42" s="165"/>
      <c r="B42" s="175" t="s">
        <v>174</v>
      </c>
      <c r="C42" s="165"/>
      <c r="D42" s="165"/>
      <c r="E42" s="165"/>
      <c r="F42" s="165">
        <f>-SUM(Assumptions!R209:R212)</f>
        <v>0</v>
      </c>
      <c r="G42" s="165">
        <f>-SUM(Assumptions!S209:S212)</f>
        <v>0</v>
      </c>
      <c r="H42" s="165">
        <f>-SUM(Assumptions!T209:T212)</f>
        <v>0</v>
      </c>
      <c r="I42" s="165">
        <f>-SUM(Assumptions!U209:U212)</f>
        <v>0</v>
      </c>
      <c r="J42" s="165">
        <f>-SUM(Assumptions!V209:V212)</f>
        <v>0</v>
      </c>
      <c r="K42" s="165">
        <f>-SUM(Assumptions!W209:W212)</f>
        <v>0</v>
      </c>
      <c r="L42" s="165">
        <f>-SUM(Assumptions!X209:X212)</f>
        <v>0</v>
      </c>
      <c r="M42" s="165">
        <f>-SUM(Assumptions!Y209:Y212)</f>
        <v>0</v>
      </c>
      <c r="N42" s="165">
        <f>-SUM(Assumptions!Z209:Z212)</f>
        <v>0</v>
      </c>
      <c r="O42" s="165">
        <f>-SUM(Assumptions!AA209:AA212)</f>
        <v>0</v>
      </c>
      <c r="P42" s="165">
        <f>-SUM(Assumptions!AB209:AB212)</f>
        <v>0</v>
      </c>
      <c r="Q42" s="165">
        <f>-SUM(Assumptions!AC209:AC212)</f>
        <v>0</v>
      </c>
      <c r="R42" s="165">
        <f>-SUM(Assumptions!AD209:AD212)</f>
        <v>0</v>
      </c>
      <c r="S42" s="165">
        <f>-SUM(Assumptions!AE209:AE212)</f>
        <v>0</v>
      </c>
      <c r="T42" s="165">
        <f>-SUM(Assumptions!AF209:AF212)</f>
        <v>0</v>
      </c>
      <c r="U42" s="165">
        <f>-SUM(Assumptions!AG209:AG212)</f>
        <v>0</v>
      </c>
      <c r="V42" s="165">
        <f>-SUM(Assumptions!AH209:AH212)</f>
        <v>0</v>
      </c>
      <c r="W42" s="165">
        <f>-SUM(Assumptions!AI209:AI212)</f>
        <v>0</v>
      </c>
      <c r="X42" s="165">
        <f>-SUM(Assumptions!AJ209:AJ212)</f>
        <v>0</v>
      </c>
      <c r="Y42" s="165">
        <f>-SUM(Assumptions!AK209:AK212)</f>
        <v>0</v>
      </c>
      <c r="Z42" s="165">
        <f>-SUM(Assumptions!AL209:AL212)</f>
        <v>0</v>
      </c>
      <c r="AA42" s="165">
        <f>-SUM(Assumptions!AM209:AM212)</f>
        <v>0</v>
      </c>
      <c r="AB42" s="165">
        <f>-SUM(Assumptions!AN209:AN212)</f>
        <v>0</v>
      </c>
      <c r="AC42" s="165">
        <f>-SUM(Assumptions!AO209:AO212)</f>
        <v>0</v>
      </c>
      <c r="AD42" s="165">
        <f>-SUM(Assumptions!AP209:AP212)</f>
        <v>0</v>
      </c>
      <c r="AE42" s="165">
        <f>-SUM(Assumptions!AQ209:AQ212)</f>
        <v>0</v>
      </c>
      <c r="AF42" s="165">
        <f>-SUM(Assumptions!AR209:AR212)</f>
        <v>0</v>
      </c>
      <c r="AG42" s="165">
        <f>-SUM(Assumptions!AS209:AS212)</f>
        <v>0</v>
      </c>
      <c r="AH42" s="165">
        <f>-SUM(Assumptions!AT209:AT212)</f>
        <v>0</v>
      </c>
      <c r="AI42" s="165">
        <f>-SUM(Assumptions!AU209:AU212)</f>
        <v>0</v>
      </c>
      <c r="AJ42" s="165">
        <f>-SUM(Assumptions!AV209:AV212)</f>
        <v>0</v>
      </c>
      <c r="AK42" s="165">
        <f>-SUM(Assumptions!AW209:AW212)</f>
        <v>0</v>
      </c>
      <c r="AL42" s="165">
        <f>-SUM(Assumptions!AX209:AX212)</f>
        <v>0</v>
      </c>
      <c r="AM42" s="165">
        <f>-SUM(Assumptions!AY209:AY212)</f>
        <v>0</v>
      </c>
      <c r="AN42" s="165">
        <f>-SUM(Assumptions!AZ209:AZ212)</f>
        <v>0</v>
      </c>
      <c r="AO42" s="165">
        <f>-SUM(Assumptions!BA209:BA212)</f>
        <v>0</v>
      </c>
      <c r="AP42" s="165">
        <f>-SUM(Assumptions!BB209:BB212)</f>
        <v>0</v>
      </c>
      <c r="AQ42" s="165">
        <f>-SUM(Assumptions!BC209:BC212)</f>
        <v>0</v>
      </c>
      <c r="AR42" s="165">
        <f>-SUM(Assumptions!BD209:BD212)</f>
        <v>0</v>
      </c>
      <c r="AS42" s="165">
        <f>-SUM(Assumptions!BE209:BE212)</f>
        <v>0</v>
      </c>
      <c r="AT42" s="165">
        <f>-SUM(Assumptions!BF209:BF212)</f>
        <v>0</v>
      </c>
      <c r="AU42" s="165">
        <f>-SUM(Assumptions!BG209:BG212)</f>
        <v>0</v>
      </c>
      <c r="AV42" s="165">
        <f>-SUM(Assumptions!BH209:BH212)</f>
        <v>0</v>
      </c>
      <c r="AW42" s="165">
        <f>-SUM(Assumptions!BI209:BI212)</f>
        <v>0</v>
      </c>
      <c r="AX42" s="165">
        <f>-SUM(Assumptions!BJ209:BJ212)</f>
        <v>0</v>
      </c>
      <c r="AY42" s="165">
        <f>-SUM(Assumptions!BK209:BK212)</f>
        <v>0</v>
      </c>
      <c r="AZ42" s="165">
        <f>-SUM(Assumptions!BL209:BL212)</f>
        <v>0</v>
      </c>
      <c r="BA42" s="165">
        <f>-SUM(Assumptions!BM209:BM212)</f>
        <v>0</v>
      </c>
      <c r="BB42" s="165">
        <f>-SUM(Assumptions!BN209:BN212)</f>
        <v>0</v>
      </c>
      <c r="BC42" s="165">
        <f>-SUM(Assumptions!BO209:BO212)</f>
        <v>0</v>
      </c>
      <c r="BD42" s="165">
        <f>-SUM(Assumptions!BP209:BP212)</f>
        <v>0</v>
      </c>
      <c r="BE42" s="165">
        <f>-SUM(Assumptions!BQ209:BQ212)</f>
        <v>0</v>
      </c>
      <c r="BF42" s="165">
        <f>-SUM(Assumptions!BR209:BR212)</f>
        <v>0</v>
      </c>
      <c r="BG42" s="165">
        <f>-SUM(Assumptions!BS209:BS212)</f>
        <v>0</v>
      </c>
      <c r="BH42" s="165">
        <f>-SUM(Assumptions!BT209:BT212)</f>
        <v>0</v>
      </c>
      <c r="BI42" s="165">
        <f>-SUM(Assumptions!BU209:BU212)</f>
        <v>0</v>
      </c>
      <c r="BJ42" s="165">
        <f>-SUM(Assumptions!BV209:BV212)</f>
        <v>0</v>
      </c>
      <c r="BK42" s="165">
        <f>-SUM(Assumptions!BW209:BW212)</f>
        <v>0</v>
      </c>
      <c r="BL42" s="165">
        <f>-SUM(Assumptions!BX209:BX212)</f>
        <v>0</v>
      </c>
      <c r="BM42" s="165">
        <f>-SUM(Assumptions!BY209:BY212)</f>
        <v>0</v>
      </c>
      <c r="BN42" s="165"/>
    </row>
    <row r="43" outlineLevel="1">
      <c r="A43" s="165"/>
      <c r="B43" s="168" t="s">
        <v>175</v>
      </c>
      <c r="C43" s="169"/>
      <c r="D43" s="169"/>
      <c r="E43" s="169"/>
      <c r="F43" s="170">
        <f t="shared" ref="F43:BM43" si="15">SUM(F39:F42)</f>
        <v>336137.9375</v>
      </c>
      <c r="G43" s="170">
        <f t="shared" si="15"/>
        <v>153280.1316</v>
      </c>
      <c r="H43" s="170">
        <f t="shared" si="15"/>
        <v>-32140.36053</v>
      </c>
      <c r="I43" s="170">
        <f t="shared" si="15"/>
        <v>-220143.2929</v>
      </c>
      <c r="J43" s="170">
        <f t="shared" si="15"/>
        <v>-410728.9619</v>
      </c>
      <c r="K43" s="170">
        <f t="shared" si="15"/>
        <v>-603897.3719</v>
      </c>
      <c r="L43" s="170">
        <f t="shared" si="15"/>
        <v>-799648.5231</v>
      </c>
      <c r="M43" s="170">
        <f t="shared" si="15"/>
        <v>-997982.4153</v>
      </c>
      <c r="N43" s="170">
        <f t="shared" si="15"/>
        <v>-1198899.049</v>
      </c>
      <c r="O43" s="170">
        <f t="shared" si="15"/>
        <v>-1402398.423</v>
      </c>
      <c r="P43" s="170">
        <f t="shared" si="15"/>
        <v>-1608480.539</v>
      </c>
      <c r="Q43" s="170">
        <f t="shared" si="15"/>
        <v>-1817145.396</v>
      </c>
      <c r="R43" s="170">
        <f t="shared" si="15"/>
        <v>-1982420.581</v>
      </c>
      <c r="S43" s="170">
        <f t="shared" si="15"/>
        <v>-2148722.109</v>
      </c>
      <c r="T43" s="170">
        <f t="shared" si="15"/>
        <v>-2317074.232</v>
      </c>
      <c r="U43" s="170">
        <f t="shared" si="15"/>
        <v>-2487492.313</v>
      </c>
      <c r="V43" s="170">
        <f t="shared" si="15"/>
        <v>-2659976.585</v>
      </c>
      <c r="W43" s="170">
        <f t="shared" si="15"/>
        <v>-2834527.049</v>
      </c>
      <c r="X43" s="170">
        <f t="shared" si="15"/>
        <v>-3011143.706</v>
      </c>
      <c r="Y43" s="170">
        <f t="shared" si="15"/>
        <v>-3189826.556</v>
      </c>
      <c r="Z43" s="170">
        <f t="shared" si="15"/>
        <v>-3370575.598</v>
      </c>
      <c r="AA43" s="170">
        <f t="shared" si="15"/>
        <v>-3553390.834</v>
      </c>
      <c r="AB43" s="170">
        <f t="shared" si="15"/>
        <v>-3738272.263</v>
      </c>
      <c r="AC43" s="170">
        <f t="shared" si="15"/>
        <v>-3925219.884</v>
      </c>
      <c r="AD43" s="170">
        <f t="shared" si="15"/>
        <v>-4077455.768</v>
      </c>
      <c r="AE43" s="170">
        <f t="shared" si="15"/>
        <v>-4230512.727</v>
      </c>
      <c r="AF43" s="170">
        <f t="shared" si="15"/>
        <v>-4385210.161</v>
      </c>
      <c r="AG43" s="170">
        <f t="shared" si="15"/>
        <v>-4541560.362</v>
      </c>
      <c r="AH43" s="170">
        <f t="shared" si="15"/>
        <v>-4699563.515</v>
      </c>
      <c r="AI43" s="170">
        <f t="shared" si="15"/>
        <v>-4859219.623</v>
      </c>
      <c r="AJ43" s="170">
        <f t="shared" si="15"/>
        <v>-5020528.684</v>
      </c>
      <c r="AK43" s="170">
        <f t="shared" si="15"/>
        <v>-5183490.7</v>
      </c>
      <c r="AL43" s="170">
        <f t="shared" si="15"/>
        <v>-5348105.671</v>
      </c>
      <c r="AM43" s="170">
        <f t="shared" si="15"/>
        <v>-5514373.595</v>
      </c>
      <c r="AN43" s="170">
        <f t="shared" si="15"/>
        <v>-5682294.474</v>
      </c>
      <c r="AO43" s="170">
        <f t="shared" si="15"/>
        <v>-5851868.307</v>
      </c>
      <c r="AP43" s="170">
        <f t="shared" si="15"/>
        <v>-5993672.751</v>
      </c>
      <c r="AQ43" s="170">
        <f t="shared" si="15"/>
        <v>-6136134.053</v>
      </c>
      <c r="AR43" s="170">
        <f t="shared" si="15"/>
        <v>-6279907.737</v>
      </c>
      <c r="AS43" s="170">
        <f t="shared" si="15"/>
        <v>-6425003.634</v>
      </c>
      <c r="AT43" s="170">
        <f t="shared" si="15"/>
        <v>-6571421.893</v>
      </c>
      <c r="AU43" s="170">
        <f t="shared" si="15"/>
        <v>-6719162.514</v>
      </c>
      <c r="AV43" s="170">
        <f t="shared" si="15"/>
        <v>-6868225.5</v>
      </c>
      <c r="AW43" s="170">
        <f t="shared" si="15"/>
        <v>-7018610.848</v>
      </c>
      <c r="AX43" s="170">
        <f t="shared" si="15"/>
        <v>-7170318.561</v>
      </c>
      <c r="AY43" s="170">
        <f t="shared" si="15"/>
        <v>-7323348.636</v>
      </c>
      <c r="AZ43" s="170">
        <f t="shared" si="15"/>
        <v>-7477701.076</v>
      </c>
      <c r="BA43" s="170">
        <f t="shared" si="15"/>
        <v>-7633375.878</v>
      </c>
      <c r="BB43" s="170">
        <f t="shared" si="15"/>
        <v>-7766835.169</v>
      </c>
      <c r="BC43" s="170">
        <f t="shared" si="15"/>
        <v>-7900819.947</v>
      </c>
      <c r="BD43" s="170">
        <f t="shared" si="15"/>
        <v>-8035854.63</v>
      </c>
      <c r="BE43" s="170">
        <f t="shared" si="15"/>
        <v>-8171947.084</v>
      </c>
      <c r="BF43" s="170">
        <f t="shared" si="15"/>
        <v>-8309097.427</v>
      </c>
      <c r="BG43" s="170">
        <f t="shared" si="15"/>
        <v>-8447305.66</v>
      </c>
      <c r="BH43" s="170">
        <f t="shared" si="15"/>
        <v>-8586571.785</v>
      </c>
      <c r="BI43" s="170">
        <f t="shared" si="15"/>
        <v>-8726895.8</v>
      </c>
      <c r="BJ43" s="170">
        <f t="shared" si="15"/>
        <v>-8868277.705</v>
      </c>
      <c r="BK43" s="170">
        <f t="shared" si="15"/>
        <v>-9010717.502</v>
      </c>
      <c r="BL43" s="170">
        <f t="shared" si="15"/>
        <v>-9154215.189</v>
      </c>
      <c r="BM43" s="170">
        <f t="shared" si="15"/>
        <v>-9298770.767</v>
      </c>
      <c r="BN43" s="165"/>
    </row>
    <row r="44" outlineLevel="1">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row>
    <row r="45" outlineLevel="1">
      <c r="A45" s="165"/>
      <c r="B45" s="174" t="s">
        <v>176</v>
      </c>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row>
    <row r="46" outlineLevel="1">
      <c r="A46" s="165"/>
      <c r="B46" s="180" t="s">
        <v>141</v>
      </c>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row>
    <row r="47" outlineLevel="1">
      <c r="A47" s="165"/>
      <c r="B47" s="175" t="s">
        <v>177</v>
      </c>
      <c r="C47" s="165"/>
      <c r="D47" s="165"/>
      <c r="E47" s="165"/>
      <c r="F47" s="165">
        <f>Assumptions!R216</f>
        <v>19012.0625</v>
      </c>
      <c r="G47" s="165">
        <f>Assumptions!S216</f>
        <v>20302.99344</v>
      </c>
      <c r="H47" s="165">
        <f>Assumptions!T216</f>
        <v>21594.3574</v>
      </c>
      <c r="I47" s="165">
        <f>Assumptions!U216</f>
        <v>22885.72786</v>
      </c>
      <c r="J47" s="165">
        <f>Assumptions!V216</f>
        <v>24177.09842</v>
      </c>
      <c r="K47" s="165">
        <f>Assumptions!W216</f>
        <v>25468.46898</v>
      </c>
      <c r="L47" s="165">
        <f>Assumptions!X216</f>
        <v>26759.83953</v>
      </c>
      <c r="M47" s="165">
        <f>Assumptions!Y216</f>
        <v>28051.21009</v>
      </c>
      <c r="N47" s="165">
        <f>Assumptions!Z216</f>
        <v>29342.58065</v>
      </c>
      <c r="O47" s="165">
        <f>Assumptions!AA216</f>
        <v>30633.95121</v>
      </c>
      <c r="P47" s="165">
        <f>Assumptions!AB216</f>
        <v>31925.32177</v>
      </c>
      <c r="Q47" s="165">
        <f>Assumptions!AC216</f>
        <v>33216.69233</v>
      </c>
      <c r="R47" s="165">
        <f>Assumptions!AD216</f>
        <v>34255.65038</v>
      </c>
      <c r="S47" s="165">
        <f>Assumptions!AE216</f>
        <v>35288.83476</v>
      </c>
      <c r="T47" s="165">
        <f>Assumptions!AF216</f>
        <v>36321.93252</v>
      </c>
      <c r="U47" s="165">
        <f>Assumptions!AG216</f>
        <v>37355.02899</v>
      </c>
      <c r="V47" s="165">
        <f>Assumptions!AH216</f>
        <v>38388.12543</v>
      </c>
      <c r="W47" s="165">
        <f>Assumptions!AI216</f>
        <v>39421.22188</v>
      </c>
      <c r="X47" s="165">
        <f>Assumptions!AJ216</f>
        <v>40454.31833</v>
      </c>
      <c r="Y47" s="165">
        <f>Assumptions!AK216</f>
        <v>41487.41477</v>
      </c>
      <c r="Z47" s="165">
        <f>Assumptions!AL216</f>
        <v>42520.51122</v>
      </c>
      <c r="AA47" s="165">
        <f>Assumptions!AM216</f>
        <v>43553.60767</v>
      </c>
      <c r="AB47" s="165">
        <f>Assumptions!AN216</f>
        <v>44586.70412</v>
      </c>
      <c r="AC47" s="165">
        <f>Assumptions!AO216</f>
        <v>45619.80056</v>
      </c>
      <c r="AD47" s="165">
        <f>Assumptions!AP216</f>
        <v>46450.96701</v>
      </c>
      <c r="AE47" s="165">
        <f>Assumptions!AQ216</f>
        <v>47277.51451</v>
      </c>
      <c r="AF47" s="165">
        <f>Assumptions!AR216</f>
        <v>48103.99272</v>
      </c>
      <c r="AG47" s="165">
        <f>Assumptions!AS216</f>
        <v>48930.46989</v>
      </c>
      <c r="AH47" s="165">
        <f>Assumptions!AT216</f>
        <v>49756.94705</v>
      </c>
      <c r="AI47" s="165">
        <f>Assumptions!AU216</f>
        <v>50583.42421</v>
      </c>
      <c r="AJ47" s="165">
        <f>Assumptions!AV216</f>
        <v>51409.90136</v>
      </c>
      <c r="AK47" s="165">
        <f>Assumptions!AW216</f>
        <v>52236.37852</v>
      </c>
      <c r="AL47" s="165">
        <f>Assumptions!AX216</f>
        <v>53062.85568</v>
      </c>
      <c r="AM47" s="165">
        <f>Assumptions!AY216</f>
        <v>53889.33284</v>
      </c>
      <c r="AN47" s="165">
        <f>Assumptions!AZ216</f>
        <v>54715.80999</v>
      </c>
      <c r="AO47" s="165">
        <f>Assumptions!BA216</f>
        <v>55542.28715</v>
      </c>
      <c r="AP47" s="165">
        <f>Assumptions!BB216</f>
        <v>56207.22031</v>
      </c>
      <c r="AQ47" s="165">
        <f>Assumptions!BC216</f>
        <v>56868.4583</v>
      </c>
      <c r="AR47" s="165">
        <f>Assumptions!BD216</f>
        <v>57529.64087</v>
      </c>
      <c r="AS47" s="165">
        <f>Assumptions!BE216</f>
        <v>58190.82261</v>
      </c>
      <c r="AT47" s="165">
        <f>Assumptions!BF216</f>
        <v>58852.00434</v>
      </c>
      <c r="AU47" s="165">
        <f>Assumptions!BG216</f>
        <v>59513.18607</v>
      </c>
      <c r="AV47" s="165">
        <f>Assumptions!BH216</f>
        <v>60174.36779</v>
      </c>
      <c r="AW47" s="165">
        <f>Assumptions!BI216</f>
        <v>60835.54952</v>
      </c>
      <c r="AX47" s="165">
        <f>Assumptions!BJ216</f>
        <v>61496.73124</v>
      </c>
      <c r="AY47" s="165">
        <f>Assumptions!BK216</f>
        <v>62157.91297</v>
      </c>
      <c r="AZ47" s="165">
        <f>Assumptions!BL216</f>
        <v>62819.09469</v>
      </c>
      <c r="BA47" s="165">
        <f>Assumptions!BM216</f>
        <v>63480.27642</v>
      </c>
      <c r="BB47" s="165">
        <f>Assumptions!BN216</f>
        <v>64012.22295</v>
      </c>
      <c r="BC47" s="165">
        <f>Assumptions!BO216</f>
        <v>64541.21334</v>
      </c>
      <c r="BD47" s="165">
        <f>Assumptions!BP216</f>
        <v>65070.1594</v>
      </c>
      <c r="BE47" s="165">
        <f>Assumptions!BQ216</f>
        <v>65599.10479</v>
      </c>
      <c r="BF47" s="165">
        <f>Assumptions!BR216</f>
        <v>66128.05017</v>
      </c>
      <c r="BG47" s="165">
        <f>Assumptions!BS216</f>
        <v>66656.99555</v>
      </c>
      <c r="BH47" s="165">
        <f>Assumptions!BT216</f>
        <v>67185.94093</v>
      </c>
      <c r="BI47" s="165">
        <f>Assumptions!BU216</f>
        <v>67714.88631</v>
      </c>
      <c r="BJ47" s="165">
        <f>Assumptions!BV216</f>
        <v>68243.83169</v>
      </c>
      <c r="BK47" s="165">
        <f>Assumptions!BW216</f>
        <v>68772.77708</v>
      </c>
      <c r="BL47" s="165">
        <f>Assumptions!BX216</f>
        <v>69301.72246</v>
      </c>
      <c r="BM47" s="165">
        <f>Assumptions!BY216</f>
        <v>69830.66784</v>
      </c>
      <c r="BN47" s="165"/>
    </row>
    <row r="48" outlineLevel="1">
      <c r="A48" s="165"/>
      <c r="B48" s="175" t="s">
        <v>144</v>
      </c>
      <c r="C48" s="165"/>
      <c r="D48" s="165"/>
      <c r="E48" s="165"/>
      <c r="F48" s="165">
        <f>Assumptions!R218</f>
        <v>52387.5</v>
      </c>
      <c r="G48" s="165">
        <f>Assumptions!S218</f>
        <v>101210.8125</v>
      </c>
      <c r="H48" s="165">
        <f>Assumptions!T218</f>
        <v>145180.6622</v>
      </c>
      <c r="I48" s="165">
        <f>Assumptions!U218</f>
        <v>184277.7099</v>
      </c>
      <c r="J48" s="165">
        <f>Assumptions!V218</f>
        <v>218501.6656</v>
      </c>
      <c r="K48" s="165">
        <f>Assumptions!W218</f>
        <v>247852.525</v>
      </c>
      <c r="L48" s="165">
        <f>Assumptions!X218</f>
        <v>272330.2879</v>
      </c>
      <c r="M48" s="165">
        <f>Assumptions!Y218</f>
        <v>291934.9543</v>
      </c>
      <c r="N48" s="165">
        <f>Assumptions!Z218</f>
        <v>306666.5243</v>
      </c>
      <c r="O48" s="165">
        <f>Assumptions!AA218</f>
        <v>316524.9979</v>
      </c>
      <c r="P48" s="165">
        <f>Assumptions!AB218</f>
        <v>321510.375</v>
      </c>
      <c r="Q48" s="165">
        <f>Assumptions!AC218</f>
        <v>321622.6556</v>
      </c>
      <c r="R48" s="165">
        <f>Assumptions!AD218</f>
        <v>363534.3398</v>
      </c>
      <c r="S48" s="165">
        <f>Assumptions!AE218</f>
        <v>402593.0151</v>
      </c>
      <c r="T48" s="165">
        <f>Assumptions!AF218</f>
        <v>437768.8952</v>
      </c>
      <c r="U48" s="165">
        <f>Assumptions!AG218</f>
        <v>469046.5334</v>
      </c>
      <c r="V48" s="165">
        <f>Assumptions!AH218</f>
        <v>496425.698</v>
      </c>
      <c r="W48" s="165">
        <f>Assumptions!AI218</f>
        <v>519906.3855</v>
      </c>
      <c r="X48" s="165">
        <f>Assumptions!AJ218</f>
        <v>539488.5958</v>
      </c>
      <c r="Y48" s="165">
        <f>Assumptions!AK218</f>
        <v>555172.3289</v>
      </c>
      <c r="Z48" s="165">
        <f>Assumptions!AL218</f>
        <v>566957.5849</v>
      </c>
      <c r="AA48" s="165">
        <f>Assumptions!AM218</f>
        <v>574844.3638</v>
      </c>
      <c r="AB48" s="165">
        <f>Assumptions!AN218</f>
        <v>578832.6655</v>
      </c>
      <c r="AC48" s="165">
        <f>Assumptions!AO218</f>
        <v>578922.49</v>
      </c>
      <c r="AD48" s="165">
        <f>Assumptions!AP218</f>
        <v>612451.8373</v>
      </c>
      <c r="AE48" s="165">
        <f>Assumptions!AQ218</f>
        <v>643698.7776</v>
      </c>
      <c r="AF48" s="165">
        <f>Assumptions!AR218</f>
        <v>671839.4817</v>
      </c>
      <c r="AG48" s="165">
        <f>Assumptions!AS218</f>
        <v>696861.5922</v>
      </c>
      <c r="AH48" s="165">
        <f>Assumptions!AT218</f>
        <v>718764.9239</v>
      </c>
      <c r="AI48" s="165">
        <f>Assumptions!AU218</f>
        <v>737549.4739</v>
      </c>
      <c r="AJ48" s="165">
        <f>Assumptions!AV218</f>
        <v>753215.2421</v>
      </c>
      <c r="AK48" s="165">
        <f>Assumptions!AW218</f>
        <v>765762.2286</v>
      </c>
      <c r="AL48" s="165">
        <f>Assumptions!AX218</f>
        <v>775190.4334</v>
      </c>
      <c r="AM48" s="165">
        <f>Assumptions!AY218</f>
        <v>781499.8565</v>
      </c>
      <c r="AN48" s="165">
        <f>Assumptions!AZ218</f>
        <v>784690.4978</v>
      </c>
      <c r="AO48" s="165">
        <f>Assumptions!BA218</f>
        <v>784762.3575</v>
      </c>
      <c r="AP48" s="165">
        <f>Assumptions!BB218</f>
        <v>811585.8354</v>
      </c>
      <c r="AQ48" s="165">
        <f>Assumptions!BC218</f>
        <v>836583.3875</v>
      </c>
      <c r="AR48" s="165">
        <f>Assumptions!BD218</f>
        <v>859095.9508</v>
      </c>
      <c r="AS48" s="165">
        <f>Assumptions!BE218</f>
        <v>879113.6393</v>
      </c>
      <c r="AT48" s="165">
        <f>Assumptions!BF218</f>
        <v>896636.3046</v>
      </c>
      <c r="AU48" s="165">
        <f>Assumptions!BG218</f>
        <v>911663.9446</v>
      </c>
      <c r="AV48" s="165">
        <f>Assumptions!BH218</f>
        <v>924196.5592</v>
      </c>
      <c r="AW48" s="165">
        <f>Assumptions!BI218</f>
        <v>934234.1484</v>
      </c>
      <c r="AX48" s="165">
        <f>Assumptions!BJ218</f>
        <v>941776.7122</v>
      </c>
      <c r="AY48" s="165">
        <f>Assumptions!BK218</f>
        <v>946824.2507</v>
      </c>
      <c r="AZ48" s="165">
        <f>Assumptions!BL218</f>
        <v>949376.7638</v>
      </c>
      <c r="BA48" s="165">
        <f>Assumptions!BM218</f>
        <v>949434.2515</v>
      </c>
      <c r="BB48" s="165">
        <f>Assumptions!BN218</f>
        <v>970893.0338</v>
      </c>
      <c r="BC48" s="165">
        <f>Assumptions!BO218</f>
        <v>990891.0755</v>
      </c>
      <c r="BD48" s="165">
        <f>Assumptions!BP218</f>
        <v>1008901.126</v>
      </c>
      <c r="BE48" s="165">
        <f>Assumptions!BQ218</f>
        <v>1024915.277</v>
      </c>
      <c r="BF48" s="165">
        <f>Assumptions!BR218</f>
        <v>1038933.409</v>
      </c>
      <c r="BG48" s="165">
        <f>Assumptions!BS218</f>
        <v>1050955.521</v>
      </c>
      <c r="BH48" s="165">
        <f>Assumptions!BT218</f>
        <v>1060981.613</v>
      </c>
      <c r="BI48" s="165">
        <f>Assumptions!BU218</f>
        <v>1069011.684</v>
      </c>
      <c r="BJ48" s="165">
        <f>Assumptions!BV218</f>
        <v>1075045.735</v>
      </c>
      <c r="BK48" s="165">
        <f>Assumptions!BW218</f>
        <v>1079083.766</v>
      </c>
      <c r="BL48" s="165">
        <f>Assumptions!BX218</f>
        <v>1081125.776</v>
      </c>
      <c r="BM48" s="165">
        <f>Assumptions!BY218</f>
        <v>1081171.767</v>
      </c>
      <c r="BN48" s="165" t="str">
        <f>Assumptions!BZ218</f>
        <v/>
      </c>
    </row>
    <row r="49" outlineLevel="1">
      <c r="A49" s="165"/>
      <c r="B49" s="184" t="s">
        <v>178</v>
      </c>
      <c r="C49" s="185"/>
      <c r="D49" s="185"/>
      <c r="E49" s="185"/>
      <c r="F49" s="184">
        <f t="shared" ref="F49:BM49" si="16">SUM(F47:F48)</f>
        <v>71399.5625</v>
      </c>
      <c r="G49" s="184">
        <f t="shared" si="16"/>
        <v>121513.8059</v>
      </c>
      <c r="H49" s="184">
        <f t="shared" si="16"/>
        <v>166775.0196</v>
      </c>
      <c r="I49" s="184">
        <f t="shared" si="16"/>
        <v>207163.4378</v>
      </c>
      <c r="J49" s="184">
        <f t="shared" si="16"/>
        <v>242678.7641</v>
      </c>
      <c r="K49" s="184">
        <f t="shared" si="16"/>
        <v>273320.994</v>
      </c>
      <c r="L49" s="184">
        <f t="shared" si="16"/>
        <v>299090.1274</v>
      </c>
      <c r="M49" s="184">
        <f t="shared" si="16"/>
        <v>319986.1644</v>
      </c>
      <c r="N49" s="184">
        <f t="shared" si="16"/>
        <v>336009.105</v>
      </c>
      <c r="O49" s="184">
        <f t="shared" si="16"/>
        <v>347158.9491</v>
      </c>
      <c r="P49" s="184">
        <f t="shared" si="16"/>
        <v>353435.6967</v>
      </c>
      <c r="Q49" s="184">
        <f t="shared" si="16"/>
        <v>354839.348</v>
      </c>
      <c r="R49" s="184">
        <f t="shared" si="16"/>
        <v>397789.9902</v>
      </c>
      <c r="S49" s="184">
        <f t="shared" si="16"/>
        <v>437881.8499</v>
      </c>
      <c r="T49" s="184">
        <f t="shared" si="16"/>
        <v>474090.8277</v>
      </c>
      <c r="U49" s="184">
        <f t="shared" si="16"/>
        <v>506401.5624</v>
      </c>
      <c r="V49" s="184">
        <f t="shared" si="16"/>
        <v>534813.8234</v>
      </c>
      <c r="W49" s="184">
        <f t="shared" si="16"/>
        <v>559327.6074</v>
      </c>
      <c r="X49" s="184">
        <f t="shared" si="16"/>
        <v>579942.9141</v>
      </c>
      <c r="Y49" s="184">
        <f t="shared" si="16"/>
        <v>596659.7437</v>
      </c>
      <c r="Z49" s="184">
        <f t="shared" si="16"/>
        <v>609478.0962</v>
      </c>
      <c r="AA49" s="184">
        <f t="shared" si="16"/>
        <v>618397.9714</v>
      </c>
      <c r="AB49" s="184">
        <f t="shared" si="16"/>
        <v>623419.3696</v>
      </c>
      <c r="AC49" s="184">
        <f t="shared" si="16"/>
        <v>624542.2905</v>
      </c>
      <c r="AD49" s="184">
        <f t="shared" si="16"/>
        <v>658902.8044</v>
      </c>
      <c r="AE49" s="184">
        <f t="shared" si="16"/>
        <v>690976.2921</v>
      </c>
      <c r="AF49" s="184">
        <f t="shared" si="16"/>
        <v>719943.4744</v>
      </c>
      <c r="AG49" s="184">
        <f t="shared" si="16"/>
        <v>745792.0621</v>
      </c>
      <c r="AH49" s="184">
        <f t="shared" si="16"/>
        <v>768521.8709</v>
      </c>
      <c r="AI49" s="184">
        <f t="shared" si="16"/>
        <v>788132.8981</v>
      </c>
      <c r="AJ49" s="184">
        <f t="shared" si="16"/>
        <v>804625.1435</v>
      </c>
      <c r="AK49" s="184">
        <f t="shared" si="16"/>
        <v>817998.6072</v>
      </c>
      <c r="AL49" s="184">
        <f t="shared" si="16"/>
        <v>828253.2891</v>
      </c>
      <c r="AM49" s="184">
        <f t="shared" si="16"/>
        <v>835389.1893</v>
      </c>
      <c r="AN49" s="184">
        <f t="shared" si="16"/>
        <v>839406.3078</v>
      </c>
      <c r="AO49" s="184">
        <f t="shared" si="16"/>
        <v>840304.6446</v>
      </c>
      <c r="AP49" s="184">
        <f t="shared" si="16"/>
        <v>867793.0557</v>
      </c>
      <c r="AQ49" s="184">
        <f t="shared" si="16"/>
        <v>893451.8458</v>
      </c>
      <c r="AR49" s="184">
        <f t="shared" si="16"/>
        <v>916625.5917</v>
      </c>
      <c r="AS49" s="184">
        <f t="shared" si="16"/>
        <v>937304.4619</v>
      </c>
      <c r="AT49" s="184">
        <f t="shared" si="16"/>
        <v>955488.3089</v>
      </c>
      <c r="AU49" s="184">
        <f t="shared" si="16"/>
        <v>971177.1306</v>
      </c>
      <c r="AV49" s="184">
        <f t="shared" si="16"/>
        <v>984370.927</v>
      </c>
      <c r="AW49" s="184">
        <f t="shared" si="16"/>
        <v>995069.6979</v>
      </c>
      <c r="AX49" s="184">
        <f t="shared" si="16"/>
        <v>1003273.443</v>
      </c>
      <c r="AY49" s="184">
        <f t="shared" si="16"/>
        <v>1008982.164</v>
      </c>
      <c r="AZ49" s="184">
        <f t="shared" si="16"/>
        <v>1012195.858</v>
      </c>
      <c r="BA49" s="184">
        <f t="shared" si="16"/>
        <v>1012914.528</v>
      </c>
      <c r="BB49" s="184">
        <f t="shared" si="16"/>
        <v>1034905.257</v>
      </c>
      <c r="BC49" s="184">
        <f t="shared" si="16"/>
        <v>1055432.289</v>
      </c>
      <c r="BD49" s="184">
        <f t="shared" si="16"/>
        <v>1073971.286</v>
      </c>
      <c r="BE49" s="184">
        <f t="shared" si="16"/>
        <v>1090514.382</v>
      </c>
      <c r="BF49" s="184">
        <f t="shared" si="16"/>
        <v>1105061.459</v>
      </c>
      <c r="BG49" s="184">
        <f t="shared" si="16"/>
        <v>1117612.517</v>
      </c>
      <c r="BH49" s="184">
        <f t="shared" si="16"/>
        <v>1128167.554</v>
      </c>
      <c r="BI49" s="184">
        <f t="shared" si="16"/>
        <v>1136726.571</v>
      </c>
      <c r="BJ49" s="184">
        <f t="shared" si="16"/>
        <v>1143289.567</v>
      </c>
      <c r="BK49" s="184">
        <f t="shared" si="16"/>
        <v>1147856.543</v>
      </c>
      <c r="BL49" s="184">
        <f t="shared" si="16"/>
        <v>1150427.499</v>
      </c>
      <c r="BM49" s="184">
        <f t="shared" si="16"/>
        <v>1151002.434</v>
      </c>
      <c r="BN49" s="165"/>
    </row>
    <row r="50" outlineLevel="1">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row>
    <row r="51" outlineLevel="1">
      <c r="A51" s="165"/>
      <c r="B51" s="180" t="s">
        <v>179</v>
      </c>
      <c r="C51" s="165"/>
      <c r="D51" s="165"/>
      <c r="E51" s="186" t="s">
        <v>180</v>
      </c>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c r="BC51" s="165"/>
      <c r="BD51" s="165"/>
      <c r="BE51" s="165"/>
      <c r="BF51" s="165"/>
      <c r="BG51" s="165"/>
      <c r="BH51" s="165"/>
      <c r="BI51" s="165"/>
      <c r="BJ51" s="165"/>
      <c r="BK51" s="165"/>
      <c r="BL51" s="165"/>
      <c r="BM51" s="165"/>
      <c r="BN51" s="165"/>
    </row>
    <row r="52" outlineLevel="1">
      <c r="A52" s="165"/>
      <c r="B52" s="175" t="s">
        <v>181</v>
      </c>
      <c r="C52" s="165"/>
      <c r="D52" s="165"/>
      <c r="E52" s="187">
        <f>Assumptions!C198</f>
        <v>500000</v>
      </c>
      <c r="F52" s="165">
        <f>E52</f>
        <v>500000</v>
      </c>
      <c r="G52" s="165">
        <f>Assumptions!S232+$E52</f>
        <v>500000</v>
      </c>
      <c r="H52" s="165">
        <f>Assumptions!T232+$E52</f>
        <v>500000</v>
      </c>
      <c r="I52" s="165">
        <f>Assumptions!U232+$E52</f>
        <v>500000</v>
      </c>
      <c r="J52" s="165">
        <f>Assumptions!V232+$E52</f>
        <v>500000</v>
      </c>
      <c r="K52" s="165">
        <f>Assumptions!W232+$E52</f>
        <v>500000</v>
      </c>
      <c r="L52" s="165">
        <f>Assumptions!X232+$E52</f>
        <v>500000</v>
      </c>
      <c r="M52" s="165">
        <f>Assumptions!Y232+$E52</f>
        <v>500000</v>
      </c>
      <c r="N52" s="165">
        <f>Assumptions!Z232+$E52</f>
        <v>500000</v>
      </c>
      <c r="O52" s="165">
        <f>Assumptions!AA232+$E52</f>
        <v>500000</v>
      </c>
      <c r="P52" s="165">
        <f>Assumptions!AB232+$E52</f>
        <v>500000</v>
      </c>
      <c r="Q52" s="165">
        <f>Assumptions!AC232+$E52</f>
        <v>500000</v>
      </c>
      <c r="R52" s="165">
        <f>Assumptions!AD232+$E52</f>
        <v>500000</v>
      </c>
      <c r="S52" s="165">
        <f>Assumptions!AE232+$E52</f>
        <v>500000</v>
      </c>
      <c r="T52" s="165">
        <f>Assumptions!AF232+$E52</f>
        <v>500000</v>
      </c>
      <c r="U52" s="165">
        <f>Assumptions!AG232+$E52</f>
        <v>500000</v>
      </c>
      <c r="V52" s="165">
        <f>Assumptions!AH232+$E52</f>
        <v>500000</v>
      </c>
      <c r="W52" s="165">
        <f>Assumptions!AI232+$E52</f>
        <v>500000</v>
      </c>
      <c r="X52" s="165">
        <f>Assumptions!AJ232+$E52</f>
        <v>500000</v>
      </c>
      <c r="Y52" s="165">
        <f>Assumptions!AK232+$E52</f>
        <v>500000</v>
      </c>
      <c r="Z52" s="165">
        <f>Assumptions!AL232+$E52</f>
        <v>500000</v>
      </c>
      <c r="AA52" s="165">
        <f>Assumptions!AM232+$E52</f>
        <v>500000</v>
      </c>
      <c r="AB52" s="165">
        <f>Assumptions!AN232+$E52</f>
        <v>500000</v>
      </c>
      <c r="AC52" s="165">
        <f>Assumptions!AO232+$E52</f>
        <v>500000</v>
      </c>
      <c r="AD52" s="165">
        <f>Assumptions!AP232+$E52</f>
        <v>500000</v>
      </c>
      <c r="AE52" s="165">
        <f>Assumptions!AQ232+$E52</f>
        <v>500000</v>
      </c>
      <c r="AF52" s="165">
        <f>Assumptions!AR232+$E52</f>
        <v>500000</v>
      </c>
      <c r="AG52" s="165">
        <f>Assumptions!AS232+$E52</f>
        <v>500000</v>
      </c>
      <c r="AH52" s="165">
        <f>Assumptions!AT232+$E52</f>
        <v>500000</v>
      </c>
      <c r="AI52" s="165">
        <f>Assumptions!AU232+$E52</f>
        <v>500000</v>
      </c>
      <c r="AJ52" s="165">
        <f>Assumptions!AV232+$E52</f>
        <v>500000</v>
      </c>
      <c r="AK52" s="165">
        <f>Assumptions!AW232+$E52</f>
        <v>500000</v>
      </c>
      <c r="AL52" s="165">
        <f>Assumptions!AX232+$E52</f>
        <v>500000</v>
      </c>
      <c r="AM52" s="165">
        <f>Assumptions!AY232+$E52</f>
        <v>500000</v>
      </c>
      <c r="AN52" s="165">
        <f>Assumptions!AZ232+$E52</f>
        <v>500000</v>
      </c>
      <c r="AO52" s="165">
        <f>Assumptions!BA232+$E52</f>
        <v>500000</v>
      </c>
      <c r="AP52" s="165">
        <f>Assumptions!BB232+$E52</f>
        <v>500000</v>
      </c>
      <c r="AQ52" s="165">
        <f>Assumptions!BC232+$E52</f>
        <v>500000</v>
      </c>
      <c r="AR52" s="165">
        <f>Assumptions!BD232+$E52</f>
        <v>500000</v>
      </c>
      <c r="AS52" s="165">
        <f>Assumptions!BE232+$E52</f>
        <v>500000</v>
      </c>
      <c r="AT52" s="165">
        <f>Assumptions!BF232+$E52</f>
        <v>500000</v>
      </c>
      <c r="AU52" s="165">
        <f>Assumptions!BG232+$E52</f>
        <v>500000</v>
      </c>
      <c r="AV52" s="165">
        <f>Assumptions!BH232+$E52</f>
        <v>500000</v>
      </c>
      <c r="AW52" s="165">
        <f>Assumptions!BI232+$E52</f>
        <v>500000</v>
      </c>
      <c r="AX52" s="165">
        <f>Assumptions!BJ232+$E52</f>
        <v>500000</v>
      </c>
      <c r="AY52" s="165">
        <f>Assumptions!BK232+$E52</f>
        <v>500000</v>
      </c>
      <c r="AZ52" s="165">
        <f>Assumptions!BL232+$E52</f>
        <v>500000</v>
      </c>
      <c r="BA52" s="165">
        <f>Assumptions!BM232+$E52</f>
        <v>500000</v>
      </c>
      <c r="BB52" s="165">
        <f>Assumptions!BN232+$E52</f>
        <v>500000</v>
      </c>
      <c r="BC52" s="165">
        <f>Assumptions!BO232+$E52</f>
        <v>500000</v>
      </c>
      <c r="BD52" s="165">
        <f>Assumptions!BP232+$E52</f>
        <v>500000</v>
      </c>
      <c r="BE52" s="165">
        <f>Assumptions!BQ232+$E52</f>
        <v>500000</v>
      </c>
      <c r="BF52" s="165">
        <f>Assumptions!BR232+$E52</f>
        <v>500000</v>
      </c>
      <c r="BG52" s="165">
        <f>Assumptions!BS232+$E52</f>
        <v>500000</v>
      </c>
      <c r="BH52" s="165">
        <f>Assumptions!BT232+$E52</f>
        <v>500000</v>
      </c>
      <c r="BI52" s="165">
        <f>Assumptions!BU232+$E52</f>
        <v>500000</v>
      </c>
      <c r="BJ52" s="165">
        <f>Assumptions!BV232+$E52</f>
        <v>500000</v>
      </c>
      <c r="BK52" s="165">
        <f>Assumptions!BW232+$E52</f>
        <v>500000</v>
      </c>
      <c r="BL52" s="165">
        <f>Assumptions!BX232+$E52</f>
        <v>500000</v>
      </c>
      <c r="BM52" s="165">
        <f>Assumptions!BY232+$E52</f>
        <v>500000</v>
      </c>
      <c r="BN52" s="165"/>
    </row>
    <row r="53" outlineLevel="1">
      <c r="A53" s="165"/>
      <c r="B53" s="175" t="s">
        <v>182</v>
      </c>
      <c r="C53" s="165"/>
      <c r="D53" s="165"/>
      <c r="E53" s="165"/>
      <c r="F53" s="165">
        <f t="shared" ref="F53:BM53" si="17">E53+F30</f>
        <v>-235261.625</v>
      </c>
      <c r="G53" s="165">
        <f t="shared" si="17"/>
        <v>-468233.6744</v>
      </c>
      <c r="H53" s="165">
        <f t="shared" si="17"/>
        <v>-698915.3801</v>
      </c>
      <c r="I53" s="165">
        <f t="shared" si="17"/>
        <v>-927306.7307</v>
      </c>
      <c r="J53" s="165">
        <f t="shared" si="17"/>
        <v>-1153407.726</v>
      </c>
      <c r="K53" s="165">
        <f t="shared" si="17"/>
        <v>-1377218.366</v>
      </c>
      <c r="L53" s="165">
        <f t="shared" si="17"/>
        <v>-1598738.65</v>
      </c>
      <c r="M53" s="165">
        <f t="shared" si="17"/>
        <v>-1817968.58</v>
      </c>
      <c r="N53" s="165">
        <f t="shared" si="17"/>
        <v>-2034908.154</v>
      </c>
      <c r="O53" s="165">
        <f t="shared" si="17"/>
        <v>-2249557.372</v>
      </c>
      <c r="P53" s="165">
        <f t="shared" si="17"/>
        <v>-2461916.236</v>
      </c>
      <c r="Q53" s="165">
        <f t="shared" si="17"/>
        <v>-2671984.744</v>
      </c>
      <c r="R53" s="165">
        <f t="shared" si="17"/>
        <v>-2880210.571</v>
      </c>
      <c r="S53" s="165">
        <f t="shared" si="17"/>
        <v>-3086603.959</v>
      </c>
      <c r="T53" s="165">
        <f t="shared" si="17"/>
        <v>-3291165.059</v>
      </c>
      <c r="U53" s="165">
        <f t="shared" si="17"/>
        <v>-3493893.876</v>
      </c>
      <c r="V53" s="165">
        <f t="shared" si="17"/>
        <v>-3694790.408</v>
      </c>
      <c r="W53" s="165">
        <f t="shared" si="17"/>
        <v>-3893854.656</v>
      </c>
      <c r="X53" s="165">
        <f t="shared" si="17"/>
        <v>-4091086.62</v>
      </c>
      <c r="Y53" s="165">
        <f t="shared" si="17"/>
        <v>-4286486.299</v>
      </c>
      <c r="Z53" s="165">
        <f t="shared" si="17"/>
        <v>-4480053.694</v>
      </c>
      <c r="AA53" s="165">
        <f t="shared" si="17"/>
        <v>-4671788.805</v>
      </c>
      <c r="AB53" s="165">
        <f t="shared" si="17"/>
        <v>-4861691.632</v>
      </c>
      <c r="AC53" s="165">
        <f t="shared" si="17"/>
        <v>-5049762.174</v>
      </c>
      <c r="AD53" s="165">
        <f t="shared" si="17"/>
        <v>-5236358.573</v>
      </c>
      <c r="AE53" s="165">
        <f t="shared" si="17"/>
        <v>-5421489.019</v>
      </c>
      <c r="AF53" s="165">
        <f t="shared" si="17"/>
        <v>-5605153.635</v>
      </c>
      <c r="AG53" s="165">
        <f t="shared" si="17"/>
        <v>-5787352.425</v>
      </c>
      <c r="AH53" s="165">
        <f t="shared" si="17"/>
        <v>-5968085.386</v>
      </c>
      <c r="AI53" s="165">
        <f t="shared" si="17"/>
        <v>-6147352.521</v>
      </c>
      <c r="AJ53" s="165">
        <f t="shared" si="17"/>
        <v>-6325153.828</v>
      </c>
      <c r="AK53" s="165">
        <f t="shared" si="17"/>
        <v>-6501489.307</v>
      </c>
      <c r="AL53" s="165">
        <f t="shared" si="17"/>
        <v>-6676358.96</v>
      </c>
      <c r="AM53" s="165">
        <f t="shared" si="17"/>
        <v>-6849762.784</v>
      </c>
      <c r="AN53" s="165">
        <f t="shared" si="17"/>
        <v>-7021700.782</v>
      </c>
      <c r="AO53" s="165">
        <f t="shared" si="17"/>
        <v>-7192172.952</v>
      </c>
      <c r="AP53" s="165">
        <f t="shared" si="17"/>
        <v>-7361465.806</v>
      </c>
      <c r="AQ53" s="165">
        <f t="shared" si="17"/>
        <v>-7529585.899</v>
      </c>
      <c r="AR53" s="165">
        <f t="shared" si="17"/>
        <v>-7696533.328</v>
      </c>
      <c r="AS53" s="165">
        <f t="shared" si="17"/>
        <v>-7862308.096</v>
      </c>
      <c r="AT53" s="165">
        <f t="shared" si="17"/>
        <v>-8026910.201</v>
      </c>
      <c r="AU53" s="165">
        <f t="shared" si="17"/>
        <v>-8190339.645</v>
      </c>
      <c r="AV53" s="165">
        <f t="shared" si="17"/>
        <v>-8352596.427</v>
      </c>
      <c r="AW53" s="165">
        <f t="shared" si="17"/>
        <v>-8513680.546</v>
      </c>
      <c r="AX53" s="165">
        <f t="shared" si="17"/>
        <v>-8673592.004</v>
      </c>
      <c r="AY53" s="165">
        <f t="shared" si="17"/>
        <v>-8832330.8</v>
      </c>
      <c r="AZ53" s="165">
        <f t="shared" si="17"/>
        <v>-8989896.934</v>
      </c>
      <c r="BA53" s="165">
        <f t="shared" si="17"/>
        <v>-9146290.406</v>
      </c>
      <c r="BB53" s="165">
        <f t="shared" si="17"/>
        <v>-9301740.426</v>
      </c>
      <c r="BC53" s="165">
        <f t="shared" si="17"/>
        <v>-9456252.236</v>
      </c>
      <c r="BD53" s="165">
        <f t="shared" si="17"/>
        <v>-9609825.916</v>
      </c>
      <c r="BE53" s="165">
        <f t="shared" si="17"/>
        <v>-9762461.466</v>
      </c>
      <c r="BF53" s="165">
        <f t="shared" si="17"/>
        <v>-9914158.886</v>
      </c>
      <c r="BG53" s="165">
        <f t="shared" si="17"/>
        <v>-10064918.18</v>
      </c>
      <c r="BH53" s="165">
        <f t="shared" si="17"/>
        <v>-10214739.34</v>
      </c>
      <c r="BI53" s="165">
        <f t="shared" si="17"/>
        <v>-10363622.37</v>
      </c>
      <c r="BJ53" s="165">
        <f t="shared" si="17"/>
        <v>-10511567.27</v>
      </c>
      <c r="BK53" s="165">
        <f t="shared" si="17"/>
        <v>-10658574.05</v>
      </c>
      <c r="BL53" s="165">
        <f t="shared" si="17"/>
        <v>-10804642.69</v>
      </c>
      <c r="BM53" s="165">
        <f t="shared" si="17"/>
        <v>-10949773.2</v>
      </c>
      <c r="BN53" s="165"/>
    </row>
    <row r="54" outlineLevel="1">
      <c r="A54" s="165"/>
      <c r="B54" s="184" t="s">
        <v>183</v>
      </c>
      <c r="C54" s="185"/>
      <c r="D54" s="185"/>
      <c r="E54" s="185"/>
      <c r="F54" s="184">
        <f t="shared" ref="F54:BM54" si="18">SUM(F52:F53)</f>
        <v>264738.375</v>
      </c>
      <c r="G54" s="184">
        <f t="shared" si="18"/>
        <v>31766.32563</v>
      </c>
      <c r="H54" s="184">
        <f t="shared" si="18"/>
        <v>-198915.3801</v>
      </c>
      <c r="I54" s="184">
        <f t="shared" si="18"/>
        <v>-427306.7307</v>
      </c>
      <c r="J54" s="184">
        <f t="shared" si="18"/>
        <v>-653407.726</v>
      </c>
      <c r="K54" s="184">
        <f t="shared" si="18"/>
        <v>-877218.3659</v>
      </c>
      <c r="L54" s="184">
        <f t="shared" si="18"/>
        <v>-1098738.65</v>
      </c>
      <c r="M54" s="184">
        <f t="shared" si="18"/>
        <v>-1317968.58</v>
      </c>
      <c r="N54" s="184">
        <f t="shared" si="18"/>
        <v>-1534908.154</v>
      </c>
      <c r="O54" s="184">
        <f t="shared" si="18"/>
        <v>-1749557.372</v>
      </c>
      <c r="P54" s="184">
        <f t="shared" si="18"/>
        <v>-1961916.236</v>
      </c>
      <c r="Q54" s="184">
        <f t="shared" si="18"/>
        <v>-2171984.744</v>
      </c>
      <c r="R54" s="184">
        <f t="shared" si="18"/>
        <v>-2380210.571</v>
      </c>
      <c r="S54" s="184">
        <f t="shared" si="18"/>
        <v>-2586603.959</v>
      </c>
      <c r="T54" s="184">
        <f t="shared" si="18"/>
        <v>-2791165.059</v>
      </c>
      <c r="U54" s="184">
        <f t="shared" si="18"/>
        <v>-2993893.876</v>
      </c>
      <c r="V54" s="184">
        <f t="shared" si="18"/>
        <v>-3194790.408</v>
      </c>
      <c r="W54" s="184">
        <f t="shared" si="18"/>
        <v>-3393854.656</v>
      </c>
      <c r="X54" s="184">
        <f t="shared" si="18"/>
        <v>-3591086.62</v>
      </c>
      <c r="Y54" s="184">
        <f t="shared" si="18"/>
        <v>-3786486.299</v>
      </c>
      <c r="Z54" s="184">
        <f t="shared" si="18"/>
        <v>-3980053.694</v>
      </c>
      <c r="AA54" s="184">
        <f t="shared" si="18"/>
        <v>-4171788.805</v>
      </c>
      <c r="AB54" s="184">
        <f t="shared" si="18"/>
        <v>-4361691.632</v>
      </c>
      <c r="AC54" s="184">
        <f t="shared" si="18"/>
        <v>-4549762.174</v>
      </c>
      <c r="AD54" s="184">
        <f t="shared" si="18"/>
        <v>-4736358.573</v>
      </c>
      <c r="AE54" s="184">
        <f t="shared" si="18"/>
        <v>-4921489.019</v>
      </c>
      <c r="AF54" s="184">
        <f t="shared" si="18"/>
        <v>-5105153.635</v>
      </c>
      <c r="AG54" s="184">
        <f t="shared" si="18"/>
        <v>-5287352.425</v>
      </c>
      <c r="AH54" s="184">
        <f t="shared" si="18"/>
        <v>-5468085.386</v>
      </c>
      <c r="AI54" s="184">
        <f t="shared" si="18"/>
        <v>-5647352.521</v>
      </c>
      <c r="AJ54" s="184">
        <f t="shared" si="18"/>
        <v>-5825153.828</v>
      </c>
      <c r="AK54" s="184">
        <f t="shared" si="18"/>
        <v>-6001489.307</v>
      </c>
      <c r="AL54" s="184">
        <f t="shared" si="18"/>
        <v>-6176358.96</v>
      </c>
      <c r="AM54" s="184">
        <f t="shared" si="18"/>
        <v>-6349762.784</v>
      </c>
      <c r="AN54" s="184">
        <f t="shared" si="18"/>
        <v>-6521700.782</v>
      </c>
      <c r="AO54" s="184">
        <f t="shared" si="18"/>
        <v>-6692172.952</v>
      </c>
      <c r="AP54" s="184">
        <f t="shared" si="18"/>
        <v>-6861465.806</v>
      </c>
      <c r="AQ54" s="184">
        <f t="shared" si="18"/>
        <v>-7029585.899</v>
      </c>
      <c r="AR54" s="184">
        <f t="shared" si="18"/>
        <v>-7196533.328</v>
      </c>
      <c r="AS54" s="184">
        <f t="shared" si="18"/>
        <v>-7362308.096</v>
      </c>
      <c r="AT54" s="184">
        <f t="shared" si="18"/>
        <v>-7526910.201</v>
      </c>
      <c r="AU54" s="184">
        <f t="shared" si="18"/>
        <v>-7690339.645</v>
      </c>
      <c r="AV54" s="184">
        <f t="shared" si="18"/>
        <v>-7852596.427</v>
      </c>
      <c r="AW54" s="184">
        <f t="shared" si="18"/>
        <v>-8013680.546</v>
      </c>
      <c r="AX54" s="184">
        <f t="shared" si="18"/>
        <v>-8173592.004</v>
      </c>
      <c r="AY54" s="184">
        <f t="shared" si="18"/>
        <v>-8332330.8</v>
      </c>
      <c r="AZ54" s="184">
        <f t="shared" si="18"/>
        <v>-8489896.934</v>
      </c>
      <c r="BA54" s="184">
        <f t="shared" si="18"/>
        <v>-8646290.406</v>
      </c>
      <c r="BB54" s="184">
        <f t="shared" si="18"/>
        <v>-8801740.426</v>
      </c>
      <c r="BC54" s="184">
        <f t="shared" si="18"/>
        <v>-8956252.236</v>
      </c>
      <c r="BD54" s="184">
        <f t="shared" si="18"/>
        <v>-9109825.916</v>
      </c>
      <c r="BE54" s="184">
        <f t="shared" si="18"/>
        <v>-9262461.466</v>
      </c>
      <c r="BF54" s="184">
        <f t="shared" si="18"/>
        <v>-9414158.886</v>
      </c>
      <c r="BG54" s="184">
        <f t="shared" si="18"/>
        <v>-9564918.177</v>
      </c>
      <c r="BH54" s="184">
        <f t="shared" si="18"/>
        <v>-9714739.338</v>
      </c>
      <c r="BI54" s="184">
        <f t="shared" si="18"/>
        <v>-9863622.37</v>
      </c>
      <c r="BJ54" s="184">
        <f t="shared" si="18"/>
        <v>-10011567.27</v>
      </c>
      <c r="BK54" s="184">
        <f t="shared" si="18"/>
        <v>-10158574.05</v>
      </c>
      <c r="BL54" s="184">
        <f t="shared" si="18"/>
        <v>-10304642.69</v>
      </c>
      <c r="BM54" s="184">
        <f t="shared" si="18"/>
        <v>-10449773.2</v>
      </c>
      <c r="BN54" s="165"/>
    </row>
    <row r="55" outlineLevel="1">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c r="AG55" s="165"/>
      <c r="AH55" s="165"/>
      <c r="AI55" s="165"/>
      <c r="AJ55" s="165"/>
      <c r="AK55" s="165"/>
      <c r="AL55" s="165"/>
      <c r="AM55" s="165"/>
      <c r="AN55" s="165"/>
      <c r="AO55" s="165"/>
      <c r="AP55" s="165"/>
      <c r="AQ55" s="165"/>
      <c r="AR55" s="165"/>
      <c r="AS55" s="165"/>
      <c r="AT55" s="165"/>
      <c r="AU55" s="165"/>
      <c r="AV55" s="165"/>
      <c r="AW55" s="165"/>
      <c r="AX55" s="165"/>
      <c r="AY55" s="165"/>
      <c r="AZ55" s="165"/>
      <c r="BA55" s="165"/>
      <c r="BB55" s="165"/>
      <c r="BC55" s="165"/>
      <c r="BD55" s="165"/>
      <c r="BE55" s="165"/>
      <c r="BF55" s="165"/>
      <c r="BG55" s="165"/>
      <c r="BH55" s="165"/>
      <c r="BI55" s="165"/>
      <c r="BJ55" s="165"/>
      <c r="BK55" s="165"/>
      <c r="BL55" s="165"/>
      <c r="BM55" s="165"/>
      <c r="BN55" s="165"/>
    </row>
    <row r="56" outlineLevel="1">
      <c r="A56" s="165"/>
      <c r="B56" s="168" t="s">
        <v>184</v>
      </c>
      <c r="C56" s="169"/>
      <c r="D56" s="169"/>
      <c r="E56" s="169"/>
      <c r="F56" s="170">
        <f t="shared" ref="F56:BM56" si="19">F54+F49</f>
        <v>336137.9375</v>
      </c>
      <c r="G56" s="170">
        <f t="shared" si="19"/>
        <v>153280.1316</v>
      </c>
      <c r="H56" s="170">
        <f t="shared" si="19"/>
        <v>-32140.36053</v>
      </c>
      <c r="I56" s="170">
        <f t="shared" si="19"/>
        <v>-220143.2929</v>
      </c>
      <c r="J56" s="170">
        <f t="shared" si="19"/>
        <v>-410728.9619</v>
      </c>
      <c r="K56" s="170">
        <f t="shared" si="19"/>
        <v>-603897.3719</v>
      </c>
      <c r="L56" s="170">
        <f t="shared" si="19"/>
        <v>-799648.5231</v>
      </c>
      <c r="M56" s="170">
        <f t="shared" si="19"/>
        <v>-997982.4153</v>
      </c>
      <c r="N56" s="170">
        <f t="shared" si="19"/>
        <v>-1198899.049</v>
      </c>
      <c r="O56" s="170">
        <f t="shared" si="19"/>
        <v>-1402398.423</v>
      </c>
      <c r="P56" s="170">
        <f t="shared" si="19"/>
        <v>-1608480.539</v>
      </c>
      <c r="Q56" s="170">
        <f t="shared" si="19"/>
        <v>-1817145.396</v>
      </c>
      <c r="R56" s="170">
        <f t="shared" si="19"/>
        <v>-1982420.581</v>
      </c>
      <c r="S56" s="170">
        <f t="shared" si="19"/>
        <v>-2148722.109</v>
      </c>
      <c r="T56" s="170">
        <f t="shared" si="19"/>
        <v>-2317074.232</v>
      </c>
      <c r="U56" s="170">
        <f t="shared" si="19"/>
        <v>-2487492.313</v>
      </c>
      <c r="V56" s="170">
        <f t="shared" si="19"/>
        <v>-2659976.585</v>
      </c>
      <c r="W56" s="170">
        <f t="shared" si="19"/>
        <v>-2834527.049</v>
      </c>
      <c r="X56" s="170">
        <f t="shared" si="19"/>
        <v>-3011143.706</v>
      </c>
      <c r="Y56" s="170">
        <f t="shared" si="19"/>
        <v>-3189826.556</v>
      </c>
      <c r="Z56" s="170">
        <f t="shared" si="19"/>
        <v>-3370575.598</v>
      </c>
      <c r="AA56" s="170">
        <f t="shared" si="19"/>
        <v>-3553390.834</v>
      </c>
      <c r="AB56" s="170">
        <f t="shared" si="19"/>
        <v>-3738272.263</v>
      </c>
      <c r="AC56" s="170">
        <f t="shared" si="19"/>
        <v>-3925219.884</v>
      </c>
      <c r="AD56" s="170">
        <f t="shared" si="19"/>
        <v>-4077455.768</v>
      </c>
      <c r="AE56" s="170">
        <f t="shared" si="19"/>
        <v>-4230512.727</v>
      </c>
      <c r="AF56" s="170">
        <f t="shared" si="19"/>
        <v>-4385210.161</v>
      </c>
      <c r="AG56" s="170">
        <f t="shared" si="19"/>
        <v>-4541560.362</v>
      </c>
      <c r="AH56" s="170">
        <f t="shared" si="19"/>
        <v>-4699563.515</v>
      </c>
      <c r="AI56" s="170">
        <f t="shared" si="19"/>
        <v>-4859219.623</v>
      </c>
      <c r="AJ56" s="170">
        <f t="shared" si="19"/>
        <v>-5020528.684</v>
      </c>
      <c r="AK56" s="170">
        <f t="shared" si="19"/>
        <v>-5183490.7</v>
      </c>
      <c r="AL56" s="170">
        <f t="shared" si="19"/>
        <v>-5348105.671</v>
      </c>
      <c r="AM56" s="170">
        <f t="shared" si="19"/>
        <v>-5514373.595</v>
      </c>
      <c r="AN56" s="170">
        <f t="shared" si="19"/>
        <v>-5682294.474</v>
      </c>
      <c r="AO56" s="170">
        <f t="shared" si="19"/>
        <v>-5851868.307</v>
      </c>
      <c r="AP56" s="170">
        <f t="shared" si="19"/>
        <v>-5993672.751</v>
      </c>
      <c r="AQ56" s="170">
        <f t="shared" si="19"/>
        <v>-6136134.053</v>
      </c>
      <c r="AR56" s="170">
        <f t="shared" si="19"/>
        <v>-6279907.737</v>
      </c>
      <c r="AS56" s="170">
        <f t="shared" si="19"/>
        <v>-6425003.634</v>
      </c>
      <c r="AT56" s="170">
        <f t="shared" si="19"/>
        <v>-6571421.893</v>
      </c>
      <c r="AU56" s="170">
        <f t="shared" si="19"/>
        <v>-6719162.514</v>
      </c>
      <c r="AV56" s="170">
        <f t="shared" si="19"/>
        <v>-6868225.5</v>
      </c>
      <c r="AW56" s="170">
        <f t="shared" si="19"/>
        <v>-7018610.848</v>
      </c>
      <c r="AX56" s="170">
        <f t="shared" si="19"/>
        <v>-7170318.561</v>
      </c>
      <c r="AY56" s="170">
        <f t="shared" si="19"/>
        <v>-7323348.636</v>
      </c>
      <c r="AZ56" s="170">
        <f t="shared" si="19"/>
        <v>-7477701.076</v>
      </c>
      <c r="BA56" s="170">
        <f t="shared" si="19"/>
        <v>-7633375.878</v>
      </c>
      <c r="BB56" s="170">
        <f t="shared" si="19"/>
        <v>-7766835.169</v>
      </c>
      <c r="BC56" s="170">
        <f t="shared" si="19"/>
        <v>-7900819.947</v>
      </c>
      <c r="BD56" s="170">
        <f t="shared" si="19"/>
        <v>-8035854.63</v>
      </c>
      <c r="BE56" s="170">
        <f t="shared" si="19"/>
        <v>-8171947.084</v>
      </c>
      <c r="BF56" s="170">
        <f t="shared" si="19"/>
        <v>-8309097.427</v>
      </c>
      <c r="BG56" s="170">
        <f t="shared" si="19"/>
        <v>-8447305.66</v>
      </c>
      <c r="BH56" s="170">
        <f t="shared" si="19"/>
        <v>-8586571.785</v>
      </c>
      <c r="BI56" s="170">
        <f t="shared" si="19"/>
        <v>-8726895.8</v>
      </c>
      <c r="BJ56" s="170">
        <f t="shared" si="19"/>
        <v>-8868277.705</v>
      </c>
      <c r="BK56" s="170">
        <f t="shared" si="19"/>
        <v>-9010717.502</v>
      </c>
      <c r="BL56" s="170">
        <f t="shared" si="19"/>
        <v>-9154215.189</v>
      </c>
      <c r="BM56" s="170">
        <f t="shared" si="19"/>
        <v>-9298770.767</v>
      </c>
      <c r="BN56" s="165"/>
    </row>
    <row r="57" outlineLevel="1">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c r="AP57" s="165"/>
      <c r="AQ57" s="165"/>
      <c r="AR57" s="165"/>
      <c r="AS57" s="165"/>
      <c r="AT57" s="165"/>
      <c r="AU57" s="165"/>
      <c r="AV57" s="165"/>
      <c r="AW57" s="165"/>
      <c r="AX57" s="165"/>
      <c r="AY57" s="165"/>
      <c r="AZ57" s="165"/>
      <c r="BA57" s="165"/>
      <c r="BB57" s="165"/>
      <c r="BC57" s="165"/>
      <c r="BD57" s="165"/>
      <c r="BE57" s="165"/>
      <c r="BF57" s="165"/>
      <c r="BG57" s="165"/>
      <c r="BH57" s="165"/>
      <c r="BI57" s="165"/>
      <c r="BJ57" s="165"/>
      <c r="BK57" s="165"/>
      <c r="BL57" s="165"/>
      <c r="BM57" s="165"/>
      <c r="BN57" s="165"/>
    </row>
    <row r="58" outlineLevel="1">
      <c r="A58" s="30"/>
      <c r="B58" s="188" t="s">
        <v>185</v>
      </c>
      <c r="C58" s="30"/>
      <c r="D58" s="30"/>
      <c r="E58" s="30"/>
      <c r="F58" s="189" t="str">
        <f t="shared" ref="F58:BM58" si="20">IF(ABS(F56-F43)&gt;0.001,"ERROR","OK")</f>
        <v>OK</v>
      </c>
      <c r="G58" s="189" t="str">
        <f t="shared" si="20"/>
        <v>OK</v>
      </c>
      <c r="H58" s="189" t="str">
        <f t="shared" si="20"/>
        <v>OK</v>
      </c>
      <c r="I58" s="189" t="str">
        <f t="shared" si="20"/>
        <v>OK</v>
      </c>
      <c r="J58" s="189" t="str">
        <f t="shared" si="20"/>
        <v>OK</v>
      </c>
      <c r="K58" s="189" t="str">
        <f t="shared" si="20"/>
        <v>OK</v>
      </c>
      <c r="L58" s="189" t="str">
        <f t="shared" si="20"/>
        <v>OK</v>
      </c>
      <c r="M58" s="189" t="str">
        <f t="shared" si="20"/>
        <v>OK</v>
      </c>
      <c r="N58" s="189" t="str">
        <f t="shared" si="20"/>
        <v>OK</v>
      </c>
      <c r="O58" s="189" t="str">
        <f t="shared" si="20"/>
        <v>OK</v>
      </c>
      <c r="P58" s="189" t="str">
        <f t="shared" si="20"/>
        <v>OK</v>
      </c>
      <c r="Q58" s="189" t="str">
        <f t="shared" si="20"/>
        <v>OK</v>
      </c>
      <c r="R58" s="189" t="str">
        <f t="shared" si="20"/>
        <v>OK</v>
      </c>
      <c r="S58" s="189" t="str">
        <f t="shared" si="20"/>
        <v>OK</v>
      </c>
      <c r="T58" s="189" t="str">
        <f t="shared" si="20"/>
        <v>OK</v>
      </c>
      <c r="U58" s="189" t="str">
        <f t="shared" si="20"/>
        <v>OK</v>
      </c>
      <c r="V58" s="189" t="str">
        <f t="shared" si="20"/>
        <v>OK</v>
      </c>
      <c r="W58" s="189" t="str">
        <f t="shared" si="20"/>
        <v>OK</v>
      </c>
      <c r="X58" s="189" t="str">
        <f t="shared" si="20"/>
        <v>OK</v>
      </c>
      <c r="Y58" s="189" t="str">
        <f t="shared" si="20"/>
        <v>OK</v>
      </c>
      <c r="Z58" s="189" t="str">
        <f t="shared" si="20"/>
        <v>OK</v>
      </c>
      <c r="AA58" s="189" t="str">
        <f t="shared" si="20"/>
        <v>OK</v>
      </c>
      <c r="AB58" s="189" t="str">
        <f t="shared" si="20"/>
        <v>OK</v>
      </c>
      <c r="AC58" s="189" t="str">
        <f t="shared" si="20"/>
        <v>OK</v>
      </c>
      <c r="AD58" s="189" t="str">
        <f t="shared" si="20"/>
        <v>OK</v>
      </c>
      <c r="AE58" s="189" t="str">
        <f t="shared" si="20"/>
        <v>OK</v>
      </c>
      <c r="AF58" s="189" t="str">
        <f t="shared" si="20"/>
        <v>OK</v>
      </c>
      <c r="AG58" s="189" t="str">
        <f t="shared" si="20"/>
        <v>OK</v>
      </c>
      <c r="AH58" s="189" t="str">
        <f t="shared" si="20"/>
        <v>OK</v>
      </c>
      <c r="AI58" s="189" t="str">
        <f t="shared" si="20"/>
        <v>OK</v>
      </c>
      <c r="AJ58" s="189" t="str">
        <f t="shared" si="20"/>
        <v>OK</v>
      </c>
      <c r="AK58" s="189" t="str">
        <f t="shared" si="20"/>
        <v>OK</v>
      </c>
      <c r="AL58" s="189" t="str">
        <f t="shared" si="20"/>
        <v>OK</v>
      </c>
      <c r="AM58" s="189" t="str">
        <f t="shared" si="20"/>
        <v>OK</v>
      </c>
      <c r="AN58" s="189" t="str">
        <f t="shared" si="20"/>
        <v>OK</v>
      </c>
      <c r="AO58" s="189" t="str">
        <f t="shared" si="20"/>
        <v>OK</v>
      </c>
      <c r="AP58" s="189" t="str">
        <f t="shared" si="20"/>
        <v>OK</v>
      </c>
      <c r="AQ58" s="189" t="str">
        <f t="shared" si="20"/>
        <v>OK</v>
      </c>
      <c r="AR58" s="189" t="str">
        <f t="shared" si="20"/>
        <v>OK</v>
      </c>
      <c r="AS58" s="189" t="str">
        <f t="shared" si="20"/>
        <v>OK</v>
      </c>
      <c r="AT58" s="189" t="str">
        <f t="shared" si="20"/>
        <v>OK</v>
      </c>
      <c r="AU58" s="189" t="str">
        <f t="shared" si="20"/>
        <v>OK</v>
      </c>
      <c r="AV58" s="189" t="str">
        <f t="shared" si="20"/>
        <v>OK</v>
      </c>
      <c r="AW58" s="189" t="str">
        <f t="shared" si="20"/>
        <v>OK</v>
      </c>
      <c r="AX58" s="189" t="str">
        <f t="shared" si="20"/>
        <v>OK</v>
      </c>
      <c r="AY58" s="189" t="str">
        <f t="shared" si="20"/>
        <v>OK</v>
      </c>
      <c r="AZ58" s="189" t="str">
        <f t="shared" si="20"/>
        <v>OK</v>
      </c>
      <c r="BA58" s="189" t="str">
        <f t="shared" si="20"/>
        <v>OK</v>
      </c>
      <c r="BB58" s="189" t="str">
        <f t="shared" si="20"/>
        <v>OK</v>
      </c>
      <c r="BC58" s="189" t="str">
        <f t="shared" si="20"/>
        <v>OK</v>
      </c>
      <c r="BD58" s="189" t="str">
        <f t="shared" si="20"/>
        <v>OK</v>
      </c>
      <c r="BE58" s="189" t="str">
        <f t="shared" si="20"/>
        <v>OK</v>
      </c>
      <c r="BF58" s="189" t="str">
        <f t="shared" si="20"/>
        <v>OK</v>
      </c>
      <c r="BG58" s="189" t="str">
        <f t="shared" si="20"/>
        <v>OK</v>
      </c>
      <c r="BH58" s="189" t="str">
        <f t="shared" si="20"/>
        <v>OK</v>
      </c>
      <c r="BI58" s="189" t="str">
        <f t="shared" si="20"/>
        <v>OK</v>
      </c>
      <c r="BJ58" s="189" t="str">
        <f t="shared" si="20"/>
        <v>OK</v>
      </c>
      <c r="BK58" s="189" t="str">
        <f t="shared" si="20"/>
        <v>OK</v>
      </c>
      <c r="BL58" s="189" t="str">
        <f t="shared" si="20"/>
        <v>OK</v>
      </c>
      <c r="BM58" s="189" t="str">
        <f t="shared" si="20"/>
        <v>OK</v>
      </c>
      <c r="BN58" s="30"/>
    </row>
    <row r="59">
      <c r="A59" s="30"/>
      <c r="B59" s="19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160"/>
    </row>
    <row r="60">
      <c r="A60" s="30"/>
      <c r="B60" s="163" t="s">
        <v>186</v>
      </c>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c r="BM60" s="164"/>
      <c r="BN60" s="160"/>
    </row>
    <row r="61" outlineLevel="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row>
    <row r="62" outlineLevel="1">
      <c r="A62" s="165"/>
      <c r="B62" s="174" t="s">
        <v>187</v>
      </c>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65"/>
      <c r="BA62" s="165"/>
      <c r="BB62" s="165"/>
      <c r="BC62" s="165"/>
      <c r="BD62" s="165"/>
      <c r="BE62" s="165"/>
      <c r="BF62" s="165"/>
      <c r="BG62" s="165"/>
      <c r="BH62" s="165"/>
      <c r="BI62" s="165"/>
      <c r="BJ62" s="165"/>
      <c r="BK62" s="165"/>
      <c r="BL62" s="165"/>
      <c r="BM62" s="165"/>
      <c r="BN62" s="165"/>
    </row>
    <row r="63" outlineLevel="1">
      <c r="A63" s="165"/>
      <c r="B63" s="175" t="s">
        <v>188</v>
      </c>
      <c r="C63" s="165"/>
      <c r="D63" s="165"/>
      <c r="E63" s="165"/>
      <c r="F63" s="165">
        <f t="shared" ref="F63:BM63" si="21">F53-E53</f>
        <v>-235261.625</v>
      </c>
      <c r="G63" s="165">
        <f t="shared" si="21"/>
        <v>-232972.0494</v>
      </c>
      <c r="H63" s="165">
        <f t="shared" si="21"/>
        <v>-230681.7057</v>
      </c>
      <c r="I63" s="165">
        <f t="shared" si="21"/>
        <v>-228391.3506</v>
      </c>
      <c r="J63" s="165">
        <f t="shared" si="21"/>
        <v>-226100.9953</v>
      </c>
      <c r="K63" s="165">
        <f t="shared" si="21"/>
        <v>-223810.6399</v>
      </c>
      <c r="L63" s="165">
        <f t="shared" si="21"/>
        <v>-221520.2846</v>
      </c>
      <c r="M63" s="165">
        <f t="shared" si="21"/>
        <v>-219229.9293</v>
      </c>
      <c r="N63" s="165">
        <f t="shared" si="21"/>
        <v>-216939.5739</v>
      </c>
      <c r="O63" s="165">
        <f t="shared" si="21"/>
        <v>-214649.2186</v>
      </c>
      <c r="P63" s="165">
        <f t="shared" si="21"/>
        <v>-212358.8633</v>
      </c>
      <c r="Q63" s="165">
        <f t="shared" si="21"/>
        <v>-210068.5079</v>
      </c>
      <c r="R63" s="165">
        <f t="shared" si="21"/>
        <v>-208225.8276</v>
      </c>
      <c r="S63" s="165">
        <f t="shared" si="21"/>
        <v>-206393.3874</v>
      </c>
      <c r="T63" s="165">
        <f t="shared" si="21"/>
        <v>-204561.1008</v>
      </c>
      <c r="U63" s="165">
        <f t="shared" si="21"/>
        <v>-202728.8165</v>
      </c>
      <c r="V63" s="165">
        <f t="shared" si="21"/>
        <v>-200896.5322</v>
      </c>
      <c r="W63" s="165">
        <f t="shared" si="21"/>
        <v>-199064.248</v>
      </c>
      <c r="X63" s="165">
        <f t="shared" si="21"/>
        <v>-197231.9637</v>
      </c>
      <c r="Y63" s="165">
        <f t="shared" si="21"/>
        <v>-195399.6795</v>
      </c>
      <c r="Z63" s="165">
        <f t="shared" si="21"/>
        <v>-193567.3952</v>
      </c>
      <c r="AA63" s="165">
        <f t="shared" si="21"/>
        <v>-191735.1109</v>
      </c>
      <c r="AB63" s="165">
        <f t="shared" si="21"/>
        <v>-189902.8267</v>
      </c>
      <c r="AC63" s="165">
        <f t="shared" si="21"/>
        <v>-188070.5424</v>
      </c>
      <c r="AD63" s="165">
        <f t="shared" si="21"/>
        <v>-186596.3981</v>
      </c>
      <c r="AE63" s="165">
        <f t="shared" si="21"/>
        <v>-185130.446</v>
      </c>
      <c r="AF63" s="165">
        <f t="shared" si="21"/>
        <v>-183664.6167</v>
      </c>
      <c r="AG63" s="165">
        <f t="shared" si="21"/>
        <v>-182198.7893</v>
      </c>
      <c r="AH63" s="165">
        <f t="shared" si="21"/>
        <v>-180732.9618</v>
      </c>
      <c r="AI63" s="165">
        <f t="shared" si="21"/>
        <v>-179267.1344</v>
      </c>
      <c r="AJ63" s="165">
        <f t="shared" si="21"/>
        <v>-177801.307</v>
      </c>
      <c r="AK63" s="165">
        <f t="shared" si="21"/>
        <v>-176335.4796</v>
      </c>
      <c r="AL63" s="165">
        <f t="shared" si="21"/>
        <v>-174869.6522</v>
      </c>
      <c r="AM63" s="165">
        <f t="shared" si="21"/>
        <v>-173403.8248</v>
      </c>
      <c r="AN63" s="165">
        <f t="shared" si="21"/>
        <v>-171937.9974</v>
      </c>
      <c r="AO63" s="165">
        <f t="shared" si="21"/>
        <v>-170472.17</v>
      </c>
      <c r="AP63" s="165">
        <f t="shared" si="21"/>
        <v>-169292.8545</v>
      </c>
      <c r="AQ63" s="165">
        <f t="shared" si="21"/>
        <v>-168120.0928</v>
      </c>
      <c r="AR63" s="165">
        <f t="shared" si="21"/>
        <v>-166947.4294</v>
      </c>
      <c r="AS63" s="165">
        <f t="shared" si="21"/>
        <v>-165774.7674</v>
      </c>
      <c r="AT63" s="165">
        <f t="shared" si="21"/>
        <v>-164602.1055</v>
      </c>
      <c r="AU63" s="165">
        <f t="shared" si="21"/>
        <v>-163429.4436</v>
      </c>
      <c r="AV63" s="165">
        <f t="shared" si="21"/>
        <v>-162256.7817</v>
      </c>
      <c r="AW63" s="165">
        <f t="shared" si="21"/>
        <v>-161084.1197</v>
      </c>
      <c r="AX63" s="165">
        <f t="shared" si="21"/>
        <v>-159911.4578</v>
      </c>
      <c r="AY63" s="165">
        <f t="shared" si="21"/>
        <v>-158738.7959</v>
      </c>
      <c r="AZ63" s="165">
        <f t="shared" si="21"/>
        <v>-157566.1339</v>
      </c>
      <c r="BA63" s="165">
        <f t="shared" si="21"/>
        <v>-156393.472</v>
      </c>
      <c r="BB63" s="165">
        <f t="shared" si="21"/>
        <v>-155450.0197</v>
      </c>
      <c r="BC63" s="165">
        <f t="shared" si="21"/>
        <v>-154511.8103</v>
      </c>
      <c r="BD63" s="165">
        <f t="shared" si="21"/>
        <v>-153573.6796</v>
      </c>
      <c r="BE63" s="165">
        <f t="shared" si="21"/>
        <v>-152635.55</v>
      </c>
      <c r="BF63" s="165">
        <f t="shared" si="21"/>
        <v>-151697.4204</v>
      </c>
      <c r="BG63" s="165">
        <f t="shared" si="21"/>
        <v>-150759.2909</v>
      </c>
      <c r="BH63" s="165">
        <f t="shared" si="21"/>
        <v>-149821.1614</v>
      </c>
      <c r="BI63" s="165">
        <f t="shared" si="21"/>
        <v>-148883.0318</v>
      </c>
      <c r="BJ63" s="165">
        <f t="shared" si="21"/>
        <v>-147944.9023</v>
      </c>
      <c r="BK63" s="165">
        <f t="shared" si="21"/>
        <v>-147006.7727</v>
      </c>
      <c r="BL63" s="165">
        <f t="shared" si="21"/>
        <v>-146068.6432</v>
      </c>
      <c r="BM63" s="165">
        <f t="shared" si="21"/>
        <v>-145130.5136</v>
      </c>
      <c r="BN63" s="165"/>
    </row>
    <row r="64" outlineLevel="1">
      <c r="A64" s="165"/>
      <c r="B64" s="175" t="s">
        <v>165</v>
      </c>
      <c r="C64" s="165"/>
      <c r="D64" s="165"/>
      <c r="E64" s="165"/>
      <c r="F64" s="165">
        <f t="shared" ref="F64:BM64" si="22">E42-F42</f>
        <v>0</v>
      </c>
      <c r="G64" s="165">
        <f t="shared" si="22"/>
        <v>0</v>
      </c>
      <c r="H64" s="165">
        <f t="shared" si="22"/>
        <v>0</v>
      </c>
      <c r="I64" s="165">
        <f t="shared" si="22"/>
        <v>0</v>
      </c>
      <c r="J64" s="165">
        <f t="shared" si="22"/>
        <v>0</v>
      </c>
      <c r="K64" s="165">
        <f t="shared" si="22"/>
        <v>0</v>
      </c>
      <c r="L64" s="165">
        <f t="shared" si="22"/>
        <v>0</v>
      </c>
      <c r="M64" s="165">
        <f t="shared" si="22"/>
        <v>0</v>
      </c>
      <c r="N64" s="165">
        <f t="shared" si="22"/>
        <v>0</v>
      </c>
      <c r="O64" s="165">
        <f t="shared" si="22"/>
        <v>0</v>
      </c>
      <c r="P64" s="165">
        <f t="shared" si="22"/>
        <v>0</v>
      </c>
      <c r="Q64" s="165">
        <f t="shared" si="22"/>
        <v>0</v>
      </c>
      <c r="R64" s="165">
        <f t="shared" si="22"/>
        <v>0</v>
      </c>
      <c r="S64" s="165">
        <f t="shared" si="22"/>
        <v>0</v>
      </c>
      <c r="T64" s="165">
        <f t="shared" si="22"/>
        <v>0</v>
      </c>
      <c r="U64" s="165">
        <f t="shared" si="22"/>
        <v>0</v>
      </c>
      <c r="V64" s="165">
        <f t="shared" si="22"/>
        <v>0</v>
      </c>
      <c r="W64" s="165">
        <f t="shared" si="22"/>
        <v>0</v>
      </c>
      <c r="X64" s="165">
        <f t="shared" si="22"/>
        <v>0</v>
      </c>
      <c r="Y64" s="165">
        <f t="shared" si="22"/>
        <v>0</v>
      </c>
      <c r="Z64" s="165">
        <f t="shared" si="22"/>
        <v>0</v>
      </c>
      <c r="AA64" s="165">
        <f t="shared" si="22"/>
        <v>0</v>
      </c>
      <c r="AB64" s="165">
        <f t="shared" si="22"/>
        <v>0</v>
      </c>
      <c r="AC64" s="165">
        <f t="shared" si="22"/>
        <v>0</v>
      </c>
      <c r="AD64" s="165">
        <f t="shared" si="22"/>
        <v>0</v>
      </c>
      <c r="AE64" s="165">
        <f t="shared" si="22"/>
        <v>0</v>
      </c>
      <c r="AF64" s="165">
        <f t="shared" si="22"/>
        <v>0</v>
      </c>
      <c r="AG64" s="165">
        <f t="shared" si="22"/>
        <v>0</v>
      </c>
      <c r="AH64" s="165">
        <f t="shared" si="22"/>
        <v>0</v>
      </c>
      <c r="AI64" s="165">
        <f t="shared" si="22"/>
        <v>0</v>
      </c>
      <c r="AJ64" s="165">
        <f t="shared" si="22"/>
        <v>0</v>
      </c>
      <c r="AK64" s="165">
        <f t="shared" si="22"/>
        <v>0</v>
      </c>
      <c r="AL64" s="165">
        <f t="shared" si="22"/>
        <v>0</v>
      </c>
      <c r="AM64" s="165">
        <f t="shared" si="22"/>
        <v>0</v>
      </c>
      <c r="AN64" s="165">
        <f t="shared" si="22"/>
        <v>0</v>
      </c>
      <c r="AO64" s="165">
        <f t="shared" si="22"/>
        <v>0</v>
      </c>
      <c r="AP64" s="165">
        <f t="shared" si="22"/>
        <v>0</v>
      </c>
      <c r="AQ64" s="165">
        <f t="shared" si="22"/>
        <v>0</v>
      </c>
      <c r="AR64" s="165">
        <f t="shared" si="22"/>
        <v>0</v>
      </c>
      <c r="AS64" s="165">
        <f t="shared" si="22"/>
        <v>0</v>
      </c>
      <c r="AT64" s="165">
        <f t="shared" si="22"/>
        <v>0</v>
      </c>
      <c r="AU64" s="165">
        <f t="shared" si="22"/>
        <v>0</v>
      </c>
      <c r="AV64" s="165">
        <f t="shared" si="22"/>
        <v>0</v>
      </c>
      <c r="AW64" s="165">
        <f t="shared" si="22"/>
        <v>0</v>
      </c>
      <c r="AX64" s="165">
        <f t="shared" si="22"/>
        <v>0</v>
      </c>
      <c r="AY64" s="165">
        <f t="shared" si="22"/>
        <v>0</v>
      </c>
      <c r="AZ64" s="165">
        <f t="shared" si="22"/>
        <v>0</v>
      </c>
      <c r="BA64" s="165">
        <f t="shared" si="22"/>
        <v>0</v>
      </c>
      <c r="BB64" s="165">
        <f t="shared" si="22"/>
        <v>0</v>
      </c>
      <c r="BC64" s="165">
        <f t="shared" si="22"/>
        <v>0</v>
      </c>
      <c r="BD64" s="165">
        <f t="shared" si="22"/>
        <v>0</v>
      </c>
      <c r="BE64" s="165">
        <f t="shared" si="22"/>
        <v>0</v>
      </c>
      <c r="BF64" s="165">
        <f t="shared" si="22"/>
        <v>0</v>
      </c>
      <c r="BG64" s="165">
        <f t="shared" si="22"/>
        <v>0</v>
      </c>
      <c r="BH64" s="165">
        <f t="shared" si="22"/>
        <v>0</v>
      </c>
      <c r="BI64" s="165">
        <f t="shared" si="22"/>
        <v>0</v>
      </c>
      <c r="BJ64" s="165">
        <f t="shared" si="22"/>
        <v>0</v>
      </c>
      <c r="BK64" s="165">
        <f t="shared" si="22"/>
        <v>0</v>
      </c>
      <c r="BL64" s="165">
        <f t="shared" si="22"/>
        <v>0</v>
      </c>
      <c r="BM64" s="165">
        <f t="shared" si="22"/>
        <v>0</v>
      </c>
      <c r="BN64" s="165"/>
    </row>
    <row r="65" outlineLevel="1">
      <c r="A65" s="165"/>
      <c r="B65" s="175" t="s">
        <v>189</v>
      </c>
      <c r="C65" s="165"/>
      <c r="D65" s="165"/>
      <c r="E65" s="165"/>
      <c r="F65" s="165">
        <f t="shared" ref="F65:BM65" si="23">E38-F38</f>
        <v>-2381.25</v>
      </c>
      <c r="G65" s="165">
        <f t="shared" si="23"/>
        <v>-2435.71875</v>
      </c>
      <c r="H65" s="165">
        <f t="shared" si="23"/>
        <v>-2436.535781</v>
      </c>
      <c r="I65" s="165">
        <f t="shared" si="23"/>
        <v>-2436.548037</v>
      </c>
      <c r="J65" s="165">
        <f t="shared" si="23"/>
        <v>-2436.548221</v>
      </c>
      <c r="K65" s="165">
        <f t="shared" si="23"/>
        <v>-2436.548223</v>
      </c>
      <c r="L65" s="165">
        <f t="shared" si="23"/>
        <v>-2436.548223</v>
      </c>
      <c r="M65" s="165">
        <f t="shared" si="23"/>
        <v>-2436.548223</v>
      </c>
      <c r="N65" s="165">
        <f t="shared" si="23"/>
        <v>-2436.548223</v>
      </c>
      <c r="O65" s="165">
        <f t="shared" si="23"/>
        <v>-2436.548223</v>
      </c>
      <c r="P65" s="165">
        <f t="shared" si="23"/>
        <v>-2436.548223</v>
      </c>
      <c r="Q65" s="165">
        <f t="shared" si="23"/>
        <v>-2436.548223</v>
      </c>
      <c r="R65" s="165">
        <f t="shared" si="23"/>
        <v>-1960.298223</v>
      </c>
      <c r="S65" s="165">
        <f t="shared" si="23"/>
        <v>-1949.404473</v>
      </c>
      <c r="T65" s="165">
        <f t="shared" si="23"/>
        <v>-1949.241067</v>
      </c>
      <c r="U65" s="165">
        <f t="shared" si="23"/>
        <v>-1949.238616</v>
      </c>
      <c r="V65" s="165">
        <f t="shared" si="23"/>
        <v>-1949.238579</v>
      </c>
      <c r="W65" s="165">
        <f t="shared" si="23"/>
        <v>-1949.238579</v>
      </c>
      <c r="X65" s="165">
        <f t="shared" si="23"/>
        <v>-1949.238579</v>
      </c>
      <c r="Y65" s="165">
        <f t="shared" si="23"/>
        <v>-1949.238579</v>
      </c>
      <c r="Z65" s="165">
        <f t="shared" si="23"/>
        <v>-1949.238579</v>
      </c>
      <c r="AA65" s="165">
        <f t="shared" si="23"/>
        <v>-1949.238579</v>
      </c>
      <c r="AB65" s="165">
        <f t="shared" si="23"/>
        <v>-1949.238579</v>
      </c>
      <c r="AC65" s="165">
        <f t="shared" si="23"/>
        <v>-1949.238579</v>
      </c>
      <c r="AD65" s="165">
        <f t="shared" si="23"/>
        <v>-1568.238579</v>
      </c>
      <c r="AE65" s="165">
        <f t="shared" si="23"/>
        <v>-1559.523579</v>
      </c>
      <c r="AF65" s="165">
        <f t="shared" si="23"/>
        <v>-1559.392854</v>
      </c>
      <c r="AG65" s="165">
        <f t="shared" si="23"/>
        <v>-1559.390893</v>
      </c>
      <c r="AH65" s="165">
        <f t="shared" si="23"/>
        <v>-1559.390863</v>
      </c>
      <c r="AI65" s="165">
        <f t="shared" si="23"/>
        <v>-1559.390863</v>
      </c>
      <c r="AJ65" s="165">
        <f t="shared" si="23"/>
        <v>-1559.390863</v>
      </c>
      <c r="AK65" s="165">
        <f t="shared" si="23"/>
        <v>-1559.390863</v>
      </c>
      <c r="AL65" s="165">
        <f t="shared" si="23"/>
        <v>-1559.390863</v>
      </c>
      <c r="AM65" s="165">
        <f t="shared" si="23"/>
        <v>-1559.390863</v>
      </c>
      <c r="AN65" s="165">
        <f t="shared" si="23"/>
        <v>-1559.390863</v>
      </c>
      <c r="AO65" s="165">
        <f t="shared" si="23"/>
        <v>-1559.390863</v>
      </c>
      <c r="AP65" s="165">
        <f t="shared" si="23"/>
        <v>-1254.590863</v>
      </c>
      <c r="AQ65" s="165">
        <f t="shared" si="23"/>
        <v>-1247.618863</v>
      </c>
      <c r="AR65" s="165">
        <f t="shared" si="23"/>
        <v>-1247.514283</v>
      </c>
      <c r="AS65" s="165">
        <f t="shared" si="23"/>
        <v>-1247.512714</v>
      </c>
      <c r="AT65" s="165">
        <f t="shared" si="23"/>
        <v>-1247.512691</v>
      </c>
      <c r="AU65" s="165">
        <f t="shared" si="23"/>
        <v>-1247.51269</v>
      </c>
      <c r="AV65" s="165">
        <f t="shared" si="23"/>
        <v>-1247.51269</v>
      </c>
      <c r="AW65" s="165">
        <f t="shared" si="23"/>
        <v>-1247.51269</v>
      </c>
      <c r="AX65" s="165">
        <f t="shared" si="23"/>
        <v>-1247.51269</v>
      </c>
      <c r="AY65" s="165">
        <f t="shared" si="23"/>
        <v>-1247.51269</v>
      </c>
      <c r="AZ65" s="165">
        <f t="shared" si="23"/>
        <v>-1247.51269</v>
      </c>
      <c r="BA65" s="165">
        <f t="shared" si="23"/>
        <v>-1247.51269</v>
      </c>
      <c r="BB65" s="165">
        <f t="shared" si="23"/>
        <v>-1003.67269</v>
      </c>
      <c r="BC65" s="165">
        <f t="shared" si="23"/>
        <v>-998.0950904</v>
      </c>
      <c r="BD65" s="165">
        <f t="shared" si="23"/>
        <v>-998.0114264</v>
      </c>
      <c r="BE65" s="165">
        <f t="shared" si="23"/>
        <v>-998.0101714</v>
      </c>
      <c r="BF65" s="165">
        <f t="shared" si="23"/>
        <v>-998.0101526</v>
      </c>
      <c r="BG65" s="165">
        <f t="shared" si="23"/>
        <v>-998.0101523</v>
      </c>
      <c r="BH65" s="165">
        <f t="shared" si="23"/>
        <v>-998.0101523</v>
      </c>
      <c r="BI65" s="165">
        <f t="shared" si="23"/>
        <v>-998.0101523</v>
      </c>
      <c r="BJ65" s="165">
        <f t="shared" si="23"/>
        <v>-998.0101523</v>
      </c>
      <c r="BK65" s="165">
        <f t="shared" si="23"/>
        <v>-998.0101523</v>
      </c>
      <c r="BL65" s="165">
        <f t="shared" si="23"/>
        <v>-998.0101523</v>
      </c>
      <c r="BM65" s="165">
        <f t="shared" si="23"/>
        <v>-998.0101523</v>
      </c>
      <c r="BN65" s="165"/>
    </row>
    <row r="66" outlineLevel="1">
      <c r="A66" s="165"/>
      <c r="B66" s="175" t="s">
        <v>190</v>
      </c>
      <c r="C66" s="165"/>
      <c r="D66" s="165"/>
      <c r="E66" s="165"/>
      <c r="F66" s="165">
        <f t="shared" ref="F66:BM66" si="24">F47-E47</f>
        <v>19012.0625</v>
      </c>
      <c r="G66" s="165">
        <f t="shared" si="24"/>
        <v>1290.930938</v>
      </c>
      <c r="H66" s="165">
        <f t="shared" si="24"/>
        <v>1291.363964</v>
      </c>
      <c r="I66" s="165">
        <f t="shared" si="24"/>
        <v>1291.370459</v>
      </c>
      <c r="J66" s="165">
        <f t="shared" si="24"/>
        <v>1291.370557</v>
      </c>
      <c r="K66" s="165">
        <f t="shared" si="24"/>
        <v>1291.370558</v>
      </c>
      <c r="L66" s="165">
        <f t="shared" si="24"/>
        <v>1291.370558</v>
      </c>
      <c r="M66" s="165">
        <f t="shared" si="24"/>
        <v>1291.370558</v>
      </c>
      <c r="N66" s="165">
        <f t="shared" si="24"/>
        <v>1291.370558</v>
      </c>
      <c r="O66" s="165">
        <f t="shared" si="24"/>
        <v>1291.370558</v>
      </c>
      <c r="P66" s="165">
        <f t="shared" si="24"/>
        <v>1291.370558</v>
      </c>
      <c r="Q66" s="165">
        <f t="shared" si="24"/>
        <v>1291.370558</v>
      </c>
      <c r="R66" s="165">
        <f t="shared" si="24"/>
        <v>1038.958058</v>
      </c>
      <c r="S66" s="165">
        <f t="shared" si="24"/>
        <v>1033.184371</v>
      </c>
      <c r="T66" s="165">
        <f t="shared" si="24"/>
        <v>1033.097766</v>
      </c>
      <c r="U66" s="165">
        <f t="shared" si="24"/>
        <v>1033.096466</v>
      </c>
      <c r="V66" s="165">
        <f t="shared" si="24"/>
        <v>1033.096447</v>
      </c>
      <c r="W66" s="165">
        <f t="shared" si="24"/>
        <v>1033.096447</v>
      </c>
      <c r="X66" s="165">
        <f t="shared" si="24"/>
        <v>1033.096447</v>
      </c>
      <c r="Y66" s="165">
        <f t="shared" si="24"/>
        <v>1033.096447</v>
      </c>
      <c r="Z66" s="165">
        <f t="shared" si="24"/>
        <v>1033.096447</v>
      </c>
      <c r="AA66" s="165">
        <f t="shared" si="24"/>
        <v>1033.096447</v>
      </c>
      <c r="AB66" s="165">
        <f t="shared" si="24"/>
        <v>1033.096447</v>
      </c>
      <c r="AC66" s="165">
        <f t="shared" si="24"/>
        <v>1033.096447</v>
      </c>
      <c r="AD66" s="165">
        <f t="shared" si="24"/>
        <v>831.1664467</v>
      </c>
      <c r="AE66" s="165">
        <f t="shared" si="24"/>
        <v>826.5474967</v>
      </c>
      <c r="AF66" s="165">
        <f t="shared" si="24"/>
        <v>826.4782125</v>
      </c>
      <c r="AG66" s="165">
        <f t="shared" si="24"/>
        <v>826.4771732</v>
      </c>
      <c r="AH66" s="165">
        <f t="shared" si="24"/>
        <v>826.4771576</v>
      </c>
      <c r="AI66" s="165">
        <f t="shared" si="24"/>
        <v>826.4771574</v>
      </c>
      <c r="AJ66" s="165">
        <f t="shared" si="24"/>
        <v>826.4771574</v>
      </c>
      <c r="AK66" s="165">
        <f t="shared" si="24"/>
        <v>826.4771574</v>
      </c>
      <c r="AL66" s="165">
        <f t="shared" si="24"/>
        <v>826.4771574</v>
      </c>
      <c r="AM66" s="165">
        <f t="shared" si="24"/>
        <v>826.4771574</v>
      </c>
      <c r="AN66" s="165">
        <f t="shared" si="24"/>
        <v>826.4771574</v>
      </c>
      <c r="AO66" s="165">
        <f t="shared" si="24"/>
        <v>826.4771574</v>
      </c>
      <c r="AP66" s="165">
        <f t="shared" si="24"/>
        <v>664.9331574</v>
      </c>
      <c r="AQ66" s="165">
        <f t="shared" si="24"/>
        <v>661.2379974</v>
      </c>
      <c r="AR66" s="165">
        <f t="shared" si="24"/>
        <v>661.18257</v>
      </c>
      <c r="AS66" s="165">
        <f t="shared" si="24"/>
        <v>661.1817385</v>
      </c>
      <c r="AT66" s="165">
        <f t="shared" si="24"/>
        <v>661.1817261</v>
      </c>
      <c r="AU66" s="165">
        <f t="shared" si="24"/>
        <v>661.1817259</v>
      </c>
      <c r="AV66" s="165">
        <f t="shared" si="24"/>
        <v>661.1817259</v>
      </c>
      <c r="AW66" s="165">
        <f t="shared" si="24"/>
        <v>661.1817259</v>
      </c>
      <c r="AX66" s="165">
        <f t="shared" si="24"/>
        <v>661.1817259</v>
      </c>
      <c r="AY66" s="165">
        <f t="shared" si="24"/>
        <v>661.1817259</v>
      </c>
      <c r="AZ66" s="165">
        <f t="shared" si="24"/>
        <v>661.1817259</v>
      </c>
      <c r="BA66" s="165">
        <f t="shared" si="24"/>
        <v>661.1817259</v>
      </c>
      <c r="BB66" s="165">
        <f t="shared" si="24"/>
        <v>531.9465259</v>
      </c>
      <c r="BC66" s="165">
        <f t="shared" si="24"/>
        <v>528.9903979</v>
      </c>
      <c r="BD66" s="165">
        <f t="shared" si="24"/>
        <v>528.946056</v>
      </c>
      <c r="BE66" s="165">
        <f t="shared" si="24"/>
        <v>528.9453908</v>
      </c>
      <c r="BF66" s="165">
        <f t="shared" si="24"/>
        <v>528.9453809</v>
      </c>
      <c r="BG66" s="165">
        <f t="shared" si="24"/>
        <v>528.9453807</v>
      </c>
      <c r="BH66" s="165">
        <f t="shared" si="24"/>
        <v>528.9453807</v>
      </c>
      <c r="BI66" s="165">
        <f t="shared" si="24"/>
        <v>528.9453807</v>
      </c>
      <c r="BJ66" s="165">
        <f t="shared" si="24"/>
        <v>528.9453807</v>
      </c>
      <c r="BK66" s="165">
        <f t="shared" si="24"/>
        <v>528.9453807</v>
      </c>
      <c r="BL66" s="165">
        <f t="shared" si="24"/>
        <v>528.9453807</v>
      </c>
      <c r="BM66" s="165">
        <f t="shared" si="24"/>
        <v>528.9453807</v>
      </c>
      <c r="BN66" s="165"/>
    </row>
    <row r="67" outlineLevel="1">
      <c r="A67" s="165"/>
      <c r="B67" s="175" t="s">
        <v>191</v>
      </c>
      <c r="C67" s="165"/>
      <c r="D67" s="165"/>
      <c r="E67" s="165"/>
      <c r="F67" s="165">
        <f t="shared" ref="F67:BM67" si="25">F48-E48</f>
        <v>52387.5</v>
      </c>
      <c r="G67" s="165">
        <f t="shared" si="25"/>
        <v>48823.3125</v>
      </c>
      <c r="H67" s="165">
        <f t="shared" si="25"/>
        <v>43969.84969</v>
      </c>
      <c r="I67" s="165">
        <f t="shared" si="25"/>
        <v>39097.04775</v>
      </c>
      <c r="J67" s="165">
        <f t="shared" si="25"/>
        <v>34223.95572</v>
      </c>
      <c r="K67" s="165">
        <f t="shared" si="25"/>
        <v>29350.85934</v>
      </c>
      <c r="L67" s="165">
        <f t="shared" si="25"/>
        <v>24477.76289</v>
      </c>
      <c r="M67" s="165">
        <f t="shared" si="25"/>
        <v>19604.66644</v>
      </c>
      <c r="N67" s="165">
        <f t="shared" si="25"/>
        <v>14731.57</v>
      </c>
      <c r="O67" s="165">
        <f t="shared" si="25"/>
        <v>9858.47355</v>
      </c>
      <c r="P67" s="165">
        <f t="shared" si="25"/>
        <v>4985.377103</v>
      </c>
      <c r="Q67" s="165">
        <f t="shared" si="25"/>
        <v>112.2806565</v>
      </c>
      <c r="R67" s="165">
        <f t="shared" si="25"/>
        <v>41911.68421</v>
      </c>
      <c r="S67" s="165">
        <f t="shared" si="25"/>
        <v>39058.67526</v>
      </c>
      <c r="T67" s="165">
        <f t="shared" si="25"/>
        <v>35175.88013</v>
      </c>
      <c r="U67" s="165">
        <f t="shared" si="25"/>
        <v>31277.6382</v>
      </c>
      <c r="V67" s="165">
        <f t="shared" si="25"/>
        <v>27379.16457</v>
      </c>
      <c r="W67" s="165">
        <f t="shared" si="25"/>
        <v>23480.68747</v>
      </c>
      <c r="X67" s="165">
        <f t="shared" si="25"/>
        <v>19582.21031</v>
      </c>
      <c r="Y67" s="165">
        <f t="shared" si="25"/>
        <v>15683.73315</v>
      </c>
      <c r="Z67" s="165">
        <f t="shared" si="25"/>
        <v>11785.256</v>
      </c>
      <c r="AA67" s="165">
        <f t="shared" si="25"/>
        <v>7886.77884</v>
      </c>
      <c r="AB67" s="165">
        <f t="shared" si="25"/>
        <v>3988.301683</v>
      </c>
      <c r="AC67" s="165">
        <f t="shared" si="25"/>
        <v>89.82452524</v>
      </c>
      <c r="AD67" s="165">
        <f t="shared" si="25"/>
        <v>33529.34737</v>
      </c>
      <c r="AE67" s="165">
        <f t="shared" si="25"/>
        <v>31246.94021</v>
      </c>
      <c r="AF67" s="165">
        <f t="shared" si="25"/>
        <v>28140.7041</v>
      </c>
      <c r="AG67" s="165">
        <f t="shared" si="25"/>
        <v>25022.11056</v>
      </c>
      <c r="AH67" s="165">
        <f t="shared" si="25"/>
        <v>21903.33166</v>
      </c>
      <c r="AI67" s="165">
        <f t="shared" si="25"/>
        <v>18784.54997</v>
      </c>
      <c r="AJ67" s="165">
        <f t="shared" si="25"/>
        <v>15665.76825</v>
      </c>
      <c r="AK67" s="165">
        <f t="shared" si="25"/>
        <v>12546.98652</v>
      </c>
      <c r="AL67" s="165">
        <f t="shared" si="25"/>
        <v>9428.204798</v>
      </c>
      <c r="AM67" s="165">
        <f t="shared" si="25"/>
        <v>6309.423072</v>
      </c>
      <c r="AN67" s="165">
        <f t="shared" si="25"/>
        <v>3190.641346</v>
      </c>
      <c r="AO67" s="165">
        <f t="shared" si="25"/>
        <v>71.85962019</v>
      </c>
      <c r="AP67" s="165">
        <f t="shared" si="25"/>
        <v>26823.47789</v>
      </c>
      <c r="AQ67" s="165">
        <f t="shared" si="25"/>
        <v>24997.55217</v>
      </c>
      <c r="AR67" s="165">
        <f t="shared" si="25"/>
        <v>22512.56328</v>
      </c>
      <c r="AS67" s="165">
        <f t="shared" si="25"/>
        <v>20017.68845</v>
      </c>
      <c r="AT67" s="165">
        <f t="shared" si="25"/>
        <v>17522.66533</v>
      </c>
      <c r="AU67" s="165">
        <f t="shared" si="25"/>
        <v>15027.63998</v>
      </c>
      <c r="AV67" s="165">
        <f t="shared" si="25"/>
        <v>12532.6146</v>
      </c>
      <c r="AW67" s="165">
        <f t="shared" si="25"/>
        <v>10037.58922</v>
      </c>
      <c r="AX67" s="165">
        <f t="shared" si="25"/>
        <v>7542.563838</v>
      </c>
      <c r="AY67" s="165">
        <f t="shared" si="25"/>
        <v>5047.538458</v>
      </c>
      <c r="AZ67" s="165">
        <f t="shared" si="25"/>
        <v>2552.513077</v>
      </c>
      <c r="BA67" s="165">
        <f t="shared" si="25"/>
        <v>57.48769615</v>
      </c>
      <c r="BB67" s="165">
        <f t="shared" si="25"/>
        <v>21458.78232</v>
      </c>
      <c r="BC67" s="165">
        <f t="shared" si="25"/>
        <v>19998.04173</v>
      </c>
      <c r="BD67" s="165">
        <f t="shared" si="25"/>
        <v>18010.05063</v>
      </c>
      <c r="BE67" s="165">
        <f t="shared" si="25"/>
        <v>16014.15076</v>
      </c>
      <c r="BF67" s="165">
        <f t="shared" si="25"/>
        <v>14018.13226</v>
      </c>
      <c r="BG67" s="165">
        <f t="shared" si="25"/>
        <v>12022.11198</v>
      </c>
      <c r="BH67" s="165">
        <f t="shared" si="25"/>
        <v>10026.09168</v>
      </c>
      <c r="BI67" s="165">
        <f t="shared" si="25"/>
        <v>8030.071375</v>
      </c>
      <c r="BJ67" s="165">
        <f t="shared" si="25"/>
        <v>6034.051071</v>
      </c>
      <c r="BK67" s="165">
        <f t="shared" si="25"/>
        <v>4038.030766</v>
      </c>
      <c r="BL67" s="165">
        <f t="shared" si="25"/>
        <v>2042.010461</v>
      </c>
      <c r="BM67" s="165">
        <f t="shared" si="25"/>
        <v>45.99015692</v>
      </c>
      <c r="BN67" s="165"/>
    </row>
    <row r="68" outlineLevel="1">
      <c r="A68" s="165"/>
      <c r="B68" s="168" t="s">
        <v>192</v>
      </c>
      <c r="C68" s="169"/>
      <c r="D68" s="169"/>
      <c r="E68" s="169"/>
      <c r="F68" s="170">
        <f t="shared" ref="F68:BM68" si="26">SUM(F63:F67)</f>
        <v>-166243.3125</v>
      </c>
      <c r="G68" s="170">
        <f t="shared" si="26"/>
        <v>-185293.5247</v>
      </c>
      <c r="H68" s="170">
        <f t="shared" si="26"/>
        <v>-187857.0279</v>
      </c>
      <c r="I68" s="170">
        <f t="shared" si="26"/>
        <v>-190439.4804</v>
      </c>
      <c r="J68" s="170">
        <f t="shared" si="26"/>
        <v>-193022.2172</v>
      </c>
      <c r="K68" s="170">
        <f t="shared" si="26"/>
        <v>-195604.9583</v>
      </c>
      <c r="L68" s="170">
        <f t="shared" si="26"/>
        <v>-198187.6994</v>
      </c>
      <c r="M68" s="170">
        <f t="shared" si="26"/>
        <v>-200770.4405</v>
      </c>
      <c r="N68" s="170">
        <f t="shared" si="26"/>
        <v>-203353.1816</v>
      </c>
      <c r="O68" s="170">
        <f t="shared" si="26"/>
        <v>-205935.9227</v>
      </c>
      <c r="P68" s="170">
        <f t="shared" si="26"/>
        <v>-208518.6638</v>
      </c>
      <c r="Q68" s="170">
        <f t="shared" si="26"/>
        <v>-211101.405</v>
      </c>
      <c r="R68" s="170">
        <f t="shared" si="26"/>
        <v>-167235.4836</v>
      </c>
      <c r="S68" s="170">
        <f t="shared" si="26"/>
        <v>-168250.9323</v>
      </c>
      <c r="T68" s="170">
        <f t="shared" si="26"/>
        <v>-170301.364</v>
      </c>
      <c r="U68" s="170">
        <f t="shared" si="26"/>
        <v>-172367.3205</v>
      </c>
      <c r="V68" s="170">
        <f t="shared" si="26"/>
        <v>-174433.5098</v>
      </c>
      <c r="W68" s="170">
        <f t="shared" si="26"/>
        <v>-176499.7026</v>
      </c>
      <c r="X68" s="170">
        <f t="shared" si="26"/>
        <v>-178565.8955</v>
      </c>
      <c r="Y68" s="170">
        <f t="shared" si="26"/>
        <v>-180632.0884</v>
      </c>
      <c r="Z68" s="170">
        <f t="shared" si="26"/>
        <v>-182698.2813</v>
      </c>
      <c r="AA68" s="170">
        <f t="shared" si="26"/>
        <v>-184764.4742</v>
      </c>
      <c r="AB68" s="170">
        <f t="shared" si="26"/>
        <v>-186830.6671</v>
      </c>
      <c r="AC68" s="170">
        <f t="shared" si="26"/>
        <v>-188896.86</v>
      </c>
      <c r="AD68" s="170">
        <f t="shared" si="26"/>
        <v>-153804.1229</v>
      </c>
      <c r="AE68" s="170">
        <f t="shared" si="26"/>
        <v>-154616.4818</v>
      </c>
      <c r="AF68" s="170">
        <f t="shared" si="26"/>
        <v>-156256.8272</v>
      </c>
      <c r="AG68" s="170">
        <f t="shared" si="26"/>
        <v>-157909.5924</v>
      </c>
      <c r="AH68" s="170">
        <f t="shared" si="26"/>
        <v>-159562.5439</v>
      </c>
      <c r="AI68" s="170">
        <f t="shared" si="26"/>
        <v>-161215.4982</v>
      </c>
      <c r="AJ68" s="170">
        <f t="shared" si="26"/>
        <v>-162868.4525</v>
      </c>
      <c r="AK68" s="170">
        <f t="shared" si="26"/>
        <v>-164521.4068</v>
      </c>
      <c r="AL68" s="170">
        <f t="shared" si="26"/>
        <v>-166174.3611</v>
      </c>
      <c r="AM68" s="170">
        <f t="shared" si="26"/>
        <v>-167827.3154</v>
      </c>
      <c r="AN68" s="170">
        <f t="shared" si="26"/>
        <v>-169480.2697</v>
      </c>
      <c r="AO68" s="170">
        <f t="shared" si="26"/>
        <v>-171133.224</v>
      </c>
      <c r="AP68" s="170">
        <f t="shared" si="26"/>
        <v>-143059.0344</v>
      </c>
      <c r="AQ68" s="170">
        <f t="shared" si="26"/>
        <v>-143708.9215</v>
      </c>
      <c r="AR68" s="170">
        <f t="shared" si="26"/>
        <v>-145021.1978</v>
      </c>
      <c r="AS68" s="170">
        <f t="shared" si="26"/>
        <v>-146343.41</v>
      </c>
      <c r="AT68" s="170">
        <f t="shared" si="26"/>
        <v>-147665.7711</v>
      </c>
      <c r="AU68" s="170">
        <f t="shared" si="26"/>
        <v>-148988.1346</v>
      </c>
      <c r="AV68" s="170">
        <f t="shared" si="26"/>
        <v>-150310.498</v>
      </c>
      <c r="AW68" s="170">
        <f t="shared" si="26"/>
        <v>-151632.8615</v>
      </c>
      <c r="AX68" s="170">
        <f t="shared" si="26"/>
        <v>-152955.2249</v>
      </c>
      <c r="AY68" s="170">
        <f t="shared" si="26"/>
        <v>-154277.5884</v>
      </c>
      <c r="AZ68" s="170">
        <f t="shared" si="26"/>
        <v>-155599.9518</v>
      </c>
      <c r="BA68" s="170">
        <f t="shared" si="26"/>
        <v>-156922.3153</v>
      </c>
      <c r="BB68" s="170">
        <f t="shared" si="26"/>
        <v>-134462.9635</v>
      </c>
      <c r="BC68" s="170">
        <f t="shared" si="26"/>
        <v>-134982.8733</v>
      </c>
      <c r="BD68" s="170">
        <f t="shared" si="26"/>
        <v>-136032.6943</v>
      </c>
      <c r="BE68" s="170">
        <f t="shared" si="26"/>
        <v>-137090.464</v>
      </c>
      <c r="BF68" s="170">
        <f t="shared" si="26"/>
        <v>-138148.353</v>
      </c>
      <c r="BG68" s="170">
        <f t="shared" si="26"/>
        <v>-139206.2437</v>
      </c>
      <c r="BH68" s="170">
        <f t="shared" si="26"/>
        <v>-140264.1345</v>
      </c>
      <c r="BI68" s="170">
        <f t="shared" si="26"/>
        <v>-141322.0252</v>
      </c>
      <c r="BJ68" s="170">
        <f t="shared" si="26"/>
        <v>-142379.916</v>
      </c>
      <c r="BK68" s="170">
        <f t="shared" si="26"/>
        <v>-143437.8067</v>
      </c>
      <c r="BL68" s="170">
        <f t="shared" si="26"/>
        <v>-144495.6975</v>
      </c>
      <c r="BM68" s="170">
        <f t="shared" si="26"/>
        <v>-145553.5883</v>
      </c>
      <c r="BN68" s="165"/>
    </row>
    <row r="69" outlineLevel="1">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c r="AE69" s="165"/>
      <c r="AF69" s="165"/>
      <c r="AG69" s="165"/>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c r="BI69" s="165"/>
      <c r="BJ69" s="165"/>
      <c r="BK69" s="165"/>
      <c r="BL69" s="165"/>
      <c r="BM69" s="165"/>
      <c r="BN69" s="165"/>
    </row>
    <row r="70" outlineLevel="1">
      <c r="A70" s="165"/>
      <c r="B70" s="174" t="s">
        <v>193</v>
      </c>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c r="BI70" s="165"/>
      <c r="BJ70" s="165"/>
      <c r="BK70" s="165"/>
      <c r="BL70" s="165"/>
      <c r="BM70" s="165"/>
      <c r="BN70" s="165"/>
    </row>
    <row r="71" outlineLevel="1">
      <c r="A71" s="165"/>
      <c r="B71" s="175" t="s">
        <v>194</v>
      </c>
      <c r="C71" s="165"/>
      <c r="D71" s="165"/>
      <c r="E71" s="165"/>
      <c r="F71" s="165">
        <f t="shared" ref="F71:BM71" si="27">E41-F41</f>
        <v>0</v>
      </c>
      <c r="G71" s="165">
        <f t="shared" si="27"/>
        <v>0</v>
      </c>
      <c r="H71" s="165">
        <f t="shared" si="27"/>
        <v>0</v>
      </c>
      <c r="I71" s="165">
        <f t="shared" si="27"/>
        <v>0</v>
      </c>
      <c r="J71" s="165">
        <f t="shared" si="27"/>
        <v>0</v>
      </c>
      <c r="K71" s="165">
        <f t="shared" si="27"/>
        <v>0</v>
      </c>
      <c r="L71" s="165">
        <f t="shared" si="27"/>
        <v>0</v>
      </c>
      <c r="M71" s="165">
        <f t="shared" si="27"/>
        <v>0</v>
      </c>
      <c r="N71" s="165">
        <f t="shared" si="27"/>
        <v>0</v>
      </c>
      <c r="O71" s="165">
        <f t="shared" si="27"/>
        <v>0</v>
      </c>
      <c r="P71" s="165">
        <f t="shared" si="27"/>
        <v>0</v>
      </c>
      <c r="Q71" s="165">
        <f t="shared" si="27"/>
        <v>0</v>
      </c>
      <c r="R71" s="165">
        <f t="shared" si="27"/>
        <v>0</v>
      </c>
      <c r="S71" s="165">
        <f t="shared" si="27"/>
        <v>0</v>
      </c>
      <c r="T71" s="165">
        <f t="shared" si="27"/>
        <v>0</v>
      </c>
      <c r="U71" s="165">
        <f t="shared" si="27"/>
        <v>0</v>
      </c>
      <c r="V71" s="165">
        <f t="shared" si="27"/>
        <v>0</v>
      </c>
      <c r="W71" s="165">
        <f t="shared" si="27"/>
        <v>0</v>
      </c>
      <c r="X71" s="165">
        <f t="shared" si="27"/>
        <v>0</v>
      </c>
      <c r="Y71" s="165">
        <f t="shared" si="27"/>
        <v>0</v>
      </c>
      <c r="Z71" s="165">
        <f t="shared" si="27"/>
        <v>0</v>
      </c>
      <c r="AA71" s="165">
        <f t="shared" si="27"/>
        <v>0</v>
      </c>
      <c r="AB71" s="165">
        <f t="shared" si="27"/>
        <v>0</v>
      </c>
      <c r="AC71" s="165">
        <f t="shared" si="27"/>
        <v>0</v>
      </c>
      <c r="AD71" s="165">
        <f t="shared" si="27"/>
        <v>0</v>
      </c>
      <c r="AE71" s="165">
        <f t="shared" si="27"/>
        <v>0</v>
      </c>
      <c r="AF71" s="165">
        <f t="shared" si="27"/>
        <v>0</v>
      </c>
      <c r="AG71" s="165">
        <f t="shared" si="27"/>
        <v>0</v>
      </c>
      <c r="AH71" s="165">
        <f t="shared" si="27"/>
        <v>0</v>
      </c>
      <c r="AI71" s="165">
        <f t="shared" si="27"/>
        <v>0</v>
      </c>
      <c r="AJ71" s="165">
        <f t="shared" si="27"/>
        <v>0</v>
      </c>
      <c r="AK71" s="165">
        <f t="shared" si="27"/>
        <v>0</v>
      </c>
      <c r="AL71" s="165">
        <f t="shared" si="27"/>
        <v>0</v>
      </c>
      <c r="AM71" s="165">
        <f t="shared" si="27"/>
        <v>0</v>
      </c>
      <c r="AN71" s="165">
        <f t="shared" si="27"/>
        <v>0</v>
      </c>
      <c r="AO71" s="165">
        <f t="shared" si="27"/>
        <v>0</v>
      </c>
      <c r="AP71" s="165">
        <f t="shared" si="27"/>
        <v>0</v>
      </c>
      <c r="AQ71" s="165">
        <f t="shared" si="27"/>
        <v>0</v>
      </c>
      <c r="AR71" s="165">
        <f t="shared" si="27"/>
        <v>0</v>
      </c>
      <c r="AS71" s="165">
        <f t="shared" si="27"/>
        <v>0</v>
      </c>
      <c r="AT71" s="165">
        <f t="shared" si="27"/>
        <v>0</v>
      </c>
      <c r="AU71" s="165">
        <f t="shared" si="27"/>
        <v>0</v>
      </c>
      <c r="AV71" s="165">
        <f t="shared" si="27"/>
        <v>0</v>
      </c>
      <c r="AW71" s="165">
        <f t="shared" si="27"/>
        <v>0</v>
      </c>
      <c r="AX71" s="165">
        <f t="shared" si="27"/>
        <v>0</v>
      </c>
      <c r="AY71" s="165">
        <f t="shared" si="27"/>
        <v>0</v>
      </c>
      <c r="AZ71" s="165">
        <f t="shared" si="27"/>
        <v>0</v>
      </c>
      <c r="BA71" s="165">
        <f t="shared" si="27"/>
        <v>0</v>
      </c>
      <c r="BB71" s="165">
        <f t="shared" si="27"/>
        <v>0</v>
      </c>
      <c r="BC71" s="165">
        <f t="shared" si="27"/>
        <v>0</v>
      </c>
      <c r="BD71" s="165">
        <f t="shared" si="27"/>
        <v>0</v>
      </c>
      <c r="BE71" s="165">
        <f t="shared" si="27"/>
        <v>0</v>
      </c>
      <c r="BF71" s="165">
        <f t="shared" si="27"/>
        <v>0</v>
      </c>
      <c r="BG71" s="165">
        <f t="shared" si="27"/>
        <v>0</v>
      </c>
      <c r="BH71" s="165">
        <f t="shared" si="27"/>
        <v>0</v>
      </c>
      <c r="BI71" s="165">
        <f t="shared" si="27"/>
        <v>0</v>
      </c>
      <c r="BJ71" s="165">
        <f t="shared" si="27"/>
        <v>0</v>
      </c>
      <c r="BK71" s="165">
        <f t="shared" si="27"/>
        <v>0</v>
      </c>
      <c r="BL71" s="165">
        <f t="shared" si="27"/>
        <v>0</v>
      </c>
      <c r="BM71" s="165">
        <f t="shared" si="27"/>
        <v>0</v>
      </c>
      <c r="BN71" s="165"/>
    </row>
    <row r="72" outlineLevel="1">
      <c r="A72" s="165"/>
      <c r="B72" s="168" t="s">
        <v>195</v>
      </c>
      <c r="C72" s="169"/>
      <c r="D72" s="169"/>
      <c r="E72" s="169"/>
      <c r="F72" s="170">
        <f t="shared" ref="F72:BM72" si="28">F71</f>
        <v>0</v>
      </c>
      <c r="G72" s="170">
        <f t="shared" si="28"/>
        <v>0</v>
      </c>
      <c r="H72" s="170">
        <f t="shared" si="28"/>
        <v>0</v>
      </c>
      <c r="I72" s="170">
        <f t="shared" si="28"/>
        <v>0</v>
      </c>
      <c r="J72" s="170">
        <f t="shared" si="28"/>
        <v>0</v>
      </c>
      <c r="K72" s="170">
        <f t="shared" si="28"/>
        <v>0</v>
      </c>
      <c r="L72" s="170">
        <f t="shared" si="28"/>
        <v>0</v>
      </c>
      <c r="M72" s="170">
        <f t="shared" si="28"/>
        <v>0</v>
      </c>
      <c r="N72" s="170">
        <f t="shared" si="28"/>
        <v>0</v>
      </c>
      <c r="O72" s="170">
        <f t="shared" si="28"/>
        <v>0</v>
      </c>
      <c r="P72" s="170">
        <f t="shared" si="28"/>
        <v>0</v>
      </c>
      <c r="Q72" s="170">
        <f t="shared" si="28"/>
        <v>0</v>
      </c>
      <c r="R72" s="170">
        <f t="shared" si="28"/>
        <v>0</v>
      </c>
      <c r="S72" s="170">
        <f t="shared" si="28"/>
        <v>0</v>
      </c>
      <c r="T72" s="170">
        <f t="shared" si="28"/>
        <v>0</v>
      </c>
      <c r="U72" s="170">
        <f t="shared" si="28"/>
        <v>0</v>
      </c>
      <c r="V72" s="170">
        <f t="shared" si="28"/>
        <v>0</v>
      </c>
      <c r="W72" s="170">
        <f t="shared" si="28"/>
        <v>0</v>
      </c>
      <c r="X72" s="170">
        <f t="shared" si="28"/>
        <v>0</v>
      </c>
      <c r="Y72" s="170">
        <f t="shared" si="28"/>
        <v>0</v>
      </c>
      <c r="Z72" s="170">
        <f t="shared" si="28"/>
        <v>0</v>
      </c>
      <c r="AA72" s="170">
        <f t="shared" si="28"/>
        <v>0</v>
      </c>
      <c r="AB72" s="170">
        <f t="shared" si="28"/>
        <v>0</v>
      </c>
      <c r="AC72" s="170">
        <f t="shared" si="28"/>
        <v>0</v>
      </c>
      <c r="AD72" s="170">
        <f t="shared" si="28"/>
        <v>0</v>
      </c>
      <c r="AE72" s="170">
        <f t="shared" si="28"/>
        <v>0</v>
      </c>
      <c r="AF72" s="170">
        <f t="shared" si="28"/>
        <v>0</v>
      </c>
      <c r="AG72" s="170">
        <f t="shared" si="28"/>
        <v>0</v>
      </c>
      <c r="AH72" s="170">
        <f t="shared" si="28"/>
        <v>0</v>
      </c>
      <c r="AI72" s="170">
        <f t="shared" si="28"/>
        <v>0</v>
      </c>
      <c r="AJ72" s="170">
        <f t="shared" si="28"/>
        <v>0</v>
      </c>
      <c r="AK72" s="170">
        <f t="shared" si="28"/>
        <v>0</v>
      </c>
      <c r="AL72" s="170">
        <f t="shared" si="28"/>
        <v>0</v>
      </c>
      <c r="AM72" s="170">
        <f t="shared" si="28"/>
        <v>0</v>
      </c>
      <c r="AN72" s="170">
        <f t="shared" si="28"/>
        <v>0</v>
      </c>
      <c r="AO72" s="170">
        <f t="shared" si="28"/>
        <v>0</v>
      </c>
      <c r="AP72" s="170">
        <f t="shared" si="28"/>
        <v>0</v>
      </c>
      <c r="AQ72" s="170">
        <f t="shared" si="28"/>
        <v>0</v>
      </c>
      <c r="AR72" s="170">
        <f t="shared" si="28"/>
        <v>0</v>
      </c>
      <c r="AS72" s="170">
        <f t="shared" si="28"/>
        <v>0</v>
      </c>
      <c r="AT72" s="170">
        <f t="shared" si="28"/>
        <v>0</v>
      </c>
      <c r="AU72" s="170">
        <f t="shared" si="28"/>
        <v>0</v>
      </c>
      <c r="AV72" s="170">
        <f t="shared" si="28"/>
        <v>0</v>
      </c>
      <c r="AW72" s="170">
        <f t="shared" si="28"/>
        <v>0</v>
      </c>
      <c r="AX72" s="170">
        <f t="shared" si="28"/>
        <v>0</v>
      </c>
      <c r="AY72" s="170">
        <f t="shared" si="28"/>
        <v>0</v>
      </c>
      <c r="AZ72" s="170">
        <f t="shared" si="28"/>
        <v>0</v>
      </c>
      <c r="BA72" s="170">
        <f t="shared" si="28"/>
        <v>0</v>
      </c>
      <c r="BB72" s="170">
        <f t="shared" si="28"/>
        <v>0</v>
      </c>
      <c r="BC72" s="170">
        <f t="shared" si="28"/>
        <v>0</v>
      </c>
      <c r="BD72" s="170">
        <f t="shared" si="28"/>
        <v>0</v>
      </c>
      <c r="BE72" s="170">
        <f t="shared" si="28"/>
        <v>0</v>
      </c>
      <c r="BF72" s="170">
        <f t="shared" si="28"/>
        <v>0</v>
      </c>
      <c r="BG72" s="170">
        <f t="shared" si="28"/>
        <v>0</v>
      </c>
      <c r="BH72" s="170">
        <f t="shared" si="28"/>
        <v>0</v>
      </c>
      <c r="BI72" s="170">
        <f t="shared" si="28"/>
        <v>0</v>
      </c>
      <c r="BJ72" s="170">
        <f t="shared" si="28"/>
        <v>0</v>
      </c>
      <c r="BK72" s="170">
        <f t="shared" si="28"/>
        <v>0</v>
      </c>
      <c r="BL72" s="170">
        <f t="shared" si="28"/>
        <v>0</v>
      </c>
      <c r="BM72" s="170">
        <f t="shared" si="28"/>
        <v>0</v>
      </c>
      <c r="BN72" s="165"/>
    </row>
    <row r="73" outlineLevel="1">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c r="AE73" s="165"/>
      <c r="AF73" s="165"/>
      <c r="AG73" s="165"/>
      <c r="AH73" s="165"/>
      <c r="AI73" s="165"/>
      <c r="AJ73" s="165"/>
      <c r="AK73" s="165"/>
      <c r="AL73" s="165"/>
      <c r="AM73" s="165"/>
      <c r="AN73" s="165"/>
      <c r="AO73" s="165"/>
      <c r="AP73" s="165"/>
      <c r="AQ73" s="165"/>
      <c r="AR73" s="165"/>
      <c r="AS73" s="165"/>
      <c r="AT73" s="165"/>
      <c r="AU73" s="165"/>
      <c r="AV73" s="165"/>
      <c r="AW73" s="165"/>
      <c r="AX73" s="165"/>
      <c r="AY73" s="165"/>
      <c r="AZ73" s="165"/>
      <c r="BA73" s="165"/>
      <c r="BB73" s="165"/>
      <c r="BC73" s="165"/>
      <c r="BD73" s="165"/>
      <c r="BE73" s="165"/>
      <c r="BF73" s="165"/>
      <c r="BG73" s="165"/>
      <c r="BH73" s="165"/>
      <c r="BI73" s="165"/>
      <c r="BJ73" s="165"/>
      <c r="BK73" s="165"/>
      <c r="BL73" s="165"/>
      <c r="BM73" s="165"/>
      <c r="BN73" s="165"/>
    </row>
    <row r="74" outlineLevel="1">
      <c r="A74" s="165"/>
      <c r="B74" s="174" t="s">
        <v>196</v>
      </c>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row>
    <row r="75" outlineLevel="1">
      <c r="A75" s="165"/>
      <c r="B75" s="175" t="s">
        <v>197</v>
      </c>
      <c r="C75" s="165"/>
      <c r="D75" s="165"/>
      <c r="E75" s="165"/>
      <c r="F75" s="165">
        <f t="shared" ref="F75:BM75" si="29">F52-E52</f>
        <v>0</v>
      </c>
      <c r="G75" s="165">
        <f t="shared" si="29"/>
        <v>0</v>
      </c>
      <c r="H75" s="165">
        <f t="shared" si="29"/>
        <v>0</v>
      </c>
      <c r="I75" s="165">
        <f t="shared" si="29"/>
        <v>0</v>
      </c>
      <c r="J75" s="165">
        <f t="shared" si="29"/>
        <v>0</v>
      </c>
      <c r="K75" s="165">
        <f t="shared" si="29"/>
        <v>0</v>
      </c>
      <c r="L75" s="165">
        <f t="shared" si="29"/>
        <v>0</v>
      </c>
      <c r="M75" s="165">
        <f t="shared" si="29"/>
        <v>0</v>
      </c>
      <c r="N75" s="165">
        <f t="shared" si="29"/>
        <v>0</v>
      </c>
      <c r="O75" s="165">
        <f t="shared" si="29"/>
        <v>0</v>
      </c>
      <c r="P75" s="165">
        <f t="shared" si="29"/>
        <v>0</v>
      </c>
      <c r="Q75" s="165">
        <f t="shared" si="29"/>
        <v>0</v>
      </c>
      <c r="R75" s="165">
        <f t="shared" si="29"/>
        <v>0</v>
      </c>
      <c r="S75" s="165">
        <f t="shared" si="29"/>
        <v>0</v>
      </c>
      <c r="T75" s="165">
        <f t="shared" si="29"/>
        <v>0</v>
      </c>
      <c r="U75" s="165">
        <f t="shared" si="29"/>
        <v>0</v>
      </c>
      <c r="V75" s="165">
        <f t="shared" si="29"/>
        <v>0</v>
      </c>
      <c r="W75" s="165">
        <f t="shared" si="29"/>
        <v>0</v>
      </c>
      <c r="X75" s="165">
        <f t="shared" si="29"/>
        <v>0</v>
      </c>
      <c r="Y75" s="165">
        <f t="shared" si="29"/>
        <v>0</v>
      </c>
      <c r="Z75" s="165">
        <f t="shared" si="29"/>
        <v>0</v>
      </c>
      <c r="AA75" s="165">
        <f t="shared" si="29"/>
        <v>0</v>
      </c>
      <c r="AB75" s="165">
        <f t="shared" si="29"/>
        <v>0</v>
      </c>
      <c r="AC75" s="165">
        <f t="shared" si="29"/>
        <v>0</v>
      </c>
      <c r="AD75" s="165">
        <f t="shared" si="29"/>
        <v>0</v>
      </c>
      <c r="AE75" s="165">
        <f t="shared" si="29"/>
        <v>0</v>
      </c>
      <c r="AF75" s="165">
        <f t="shared" si="29"/>
        <v>0</v>
      </c>
      <c r="AG75" s="165">
        <f t="shared" si="29"/>
        <v>0</v>
      </c>
      <c r="AH75" s="165">
        <f t="shared" si="29"/>
        <v>0</v>
      </c>
      <c r="AI75" s="165">
        <f t="shared" si="29"/>
        <v>0</v>
      </c>
      <c r="AJ75" s="165">
        <f t="shared" si="29"/>
        <v>0</v>
      </c>
      <c r="AK75" s="165">
        <f t="shared" si="29"/>
        <v>0</v>
      </c>
      <c r="AL75" s="165">
        <f t="shared" si="29"/>
        <v>0</v>
      </c>
      <c r="AM75" s="165">
        <f t="shared" si="29"/>
        <v>0</v>
      </c>
      <c r="AN75" s="165">
        <f t="shared" si="29"/>
        <v>0</v>
      </c>
      <c r="AO75" s="165">
        <f t="shared" si="29"/>
        <v>0</v>
      </c>
      <c r="AP75" s="165">
        <f t="shared" si="29"/>
        <v>0</v>
      </c>
      <c r="AQ75" s="165">
        <f t="shared" si="29"/>
        <v>0</v>
      </c>
      <c r="AR75" s="165">
        <f t="shared" si="29"/>
        <v>0</v>
      </c>
      <c r="AS75" s="165">
        <f t="shared" si="29"/>
        <v>0</v>
      </c>
      <c r="AT75" s="165">
        <f t="shared" si="29"/>
        <v>0</v>
      </c>
      <c r="AU75" s="165">
        <f t="shared" si="29"/>
        <v>0</v>
      </c>
      <c r="AV75" s="165">
        <f t="shared" si="29"/>
        <v>0</v>
      </c>
      <c r="AW75" s="165">
        <f t="shared" si="29"/>
        <v>0</v>
      </c>
      <c r="AX75" s="165">
        <f t="shared" si="29"/>
        <v>0</v>
      </c>
      <c r="AY75" s="165">
        <f t="shared" si="29"/>
        <v>0</v>
      </c>
      <c r="AZ75" s="165">
        <f t="shared" si="29"/>
        <v>0</v>
      </c>
      <c r="BA75" s="165">
        <f t="shared" si="29"/>
        <v>0</v>
      </c>
      <c r="BB75" s="165">
        <f t="shared" si="29"/>
        <v>0</v>
      </c>
      <c r="BC75" s="165">
        <f t="shared" si="29"/>
        <v>0</v>
      </c>
      <c r="BD75" s="165">
        <f t="shared" si="29"/>
        <v>0</v>
      </c>
      <c r="BE75" s="165">
        <f t="shared" si="29"/>
        <v>0</v>
      </c>
      <c r="BF75" s="165">
        <f t="shared" si="29"/>
        <v>0</v>
      </c>
      <c r="BG75" s="165">
        <f t="shared" si="29"/>
        <v>0</v>
      </c>
      <c r="BH75" s="165">
        <f t="shared" si="29"/>
        <v>0</v>
      </c>
      <c r="BI75" s="165">
        <f t="shared" si="29"/>
        <v>0</v>
      </c>
      <c r="BJ75" s="165">
        <f t="shared" si="29"/>
        <v>0</v>
      </c>
      <c r="BK75" s="165">
        <f t="shared" si="29"/>
        <v>0</v>
      </c>
      <c r="BL75" s="165">
        <f t="shared" si="29"/>
        <v>0</v>
      </c>
      <c r="BM75" s="165">
        <f t="shared" si="29"/>
        <v>0</v>
      </c>
      <c r="BN75" s="165"/>
    </row>
    <row r="76" outlineLevel="1">
      <c r="A76" s="165"/>
      <c r="B76" s="168" t="s">
        <v>198</v>
      </c>
      <c r="C76" s="169"/>
      <c r="D76" s="169"/>
      <c r="E76" s="169"/>
      <c r="F76" s="170">
        <f t="shared" ref="F76:BM76" si="30">F75</f>
        <v>0</v>
      </c>
      <c r="G76" s="170">
        <f t="shared" si="30"/>
        <v>0</v>
      </c>
      <c r="H76" s="170">
        <f t="shared" si="30"/>
        <v>0</v>
      </c>
      <c r="I76" s="170">
        <f t="shared" si="30"/>
        <v>0</v>
      </c>
      <c r="J76" s="170">
        <f t="shared" si="30"/>
        <v>0</v>
      </c>
      <c r="K76" s="170">
        <f t="shared" si="30"/>
        <v>0</v>
      </c>
      <c r="L76" s="170">
        <f t="shared" si="30"/>
        <v>0</v>
      </c>
      <c r="M76" s="170">
        <f t="shared" si="30"/>
        <v>0</v>
      </c>
      <c r="N76" s="170">
        <f t="shared" si="30"/>
        <v>0</v>
      </c>
      <c r="O76" s="170">
        <f t="shared" si="30"/>
        <v>0</v>
      </c>
      <c r="P76" s="170">
        <f t="shared" si="30"/>
        <v>0</v>
      </c>
      <c r="Q76" s="170">
        <f t="shared" si="30"/>
        <v>0</v>
      </c>
      <c r="R76" s="170">
        <f t="shared" si="30"/>
        <v>0</v>
      </c>
      <c r="S76" s="170">
        <f t="shared" si="30"/>
        <v>0</v>
      </c>
      <c r="T76" s="170">
        <f t="shared" si="30"/>
        <v>0</v>
      </c>
      <c r="U76" s="170">
        <f t="shared" si="30"/>
        <v>0</v>
      </c>
      <c r="V76" s="170">
        <f t="shared" si="30"/>
        <v>0</v>
      </c>
      <c r="W76" s="170">
        <f t="shared" si="30"/>
        <v>0</v>
      </c>
      <c r="X76" s="170">
        <f t="shared" si="30"/>
        <v>0</v>
      </c>
      <c r="Y76" s="170">
        <f t="shared" si="30"/>
        <v>0</v>
      </c>
      <c r="Z76" s="170">
        <f t="shared" si="30"/>
        <v>0</v>
      </c>
      <c r="AA76" s="170">
        <f t="shared" si="30"/>
        <v>0</v>
      </c>
      <c r="AB76" s="170">
        <f t="shared" si="30"/>
        <v>0</v>
      </c>
      <c r="AC76" s="170">
        <f t="shared" si="30"/>
        <v>0</v>
      </c>
      <c r="AD76" s="170">
        <f t="shared" si="30"/>
        <v>0</v>
      </c>
      <c r="AE76" s="170">
        <f t="shared" si="30"/>
        <v>0</v>
      </c>
      <c r="AF76" s="170">
        <f t="shared" si="30"/>
        <v>0</v>
      </c>
      <c r="AG76" s="170">
        <f t="shared" si="30"/>
        <v>0</v>
      </c>
      <c r="AH76" s="170">
        <f t="shared" si="30"/>
        <v>0</v>
      </c>
      <c r="AI76" s="170">
        <f t="shared" si="30"/>
        <v>0</v>
      </c>
      <c r="AJ76" s="170">
        <f t="shared" si="30"/>
        <v>0</v>
      </c>
      <c r="AK76" s="170">
        <f t="shared" si="30"/>
        <v>0</v>
      </c>
      <c r="AL76" s="170">
        <f t="shared" si="30"/>
        <v>0</v>
      </c>
      <c r="AM76" s="170">
        <f t="shared" si="30"/>
        <v>0</v>
      </c>
      <c r="AN76" s="170">
        <f t="shared" si="30"/>
        <v>0</v>
      </c>
      <c r="AO76" s="170">
        <f t="shared" si="30"/>
        <v>0</v>
      </c>
      <c r="AP76" s="170">
        <f t="shared" si="30"/>
        <v>0</v>
      </c>
      <c r="AQ76" s="170">
        <f t="shared" si="30"/>
        <v>0</v>
      </c>
      <c r="AR76" s="170">
        <f t="shared" si="30"/>
        <v>0</v>
      </c>
      <c r="AS76" s="170">
        <f t="shared" si="30"/>
        <v>0</v>
      </c>
      <c r="AT76" s="170">
        <f t="shared" si="30"/>
        <v>0</v>
      </c>
      <c r="AU76" s="170">
        <f t="shared" si="30"/>
        <v>0</v>
      </c>
      <c r="AV76" s="170">
        <f t="shared" si="30"/>
        <v>0</v>
      </c>
      <c r="AW76" s="170">
        <f t="shared" si="30"/>
        <v>0</v>
      </c>
      <c r="AX76" s="170">
        <f t="shared" si="30"/>
        <v>0</v>
      </c>
      <c r="AY76" s="170">
        <f t="shared" si="30"/>
        <v>0</v>
      </c>
      <c r="AZ76" s="170">
        <f t="shared" si="30"/>
        <v>0</v>
      </c>
      <c r="BA76" s="170">
        <f t="shared" si="30"/>
        <v>0</v>
      </c>
      <c r="BB76" s="170">
        <f t="shared" si="30"/>
        <v>0</v>
      </c>
      <c r="BC76" s="170">
        <f t="shared" si="30"/>
        <v>0</v>
      </c>
      <c r="BD76" s="170">
        <f t="shared" si="30"/>
        <v>0</v>
      </c>
      <c r="BE76" s="170">
        <f t="shared" si="30"/>
        <v>0</v>
      </c>
      <c r="BF76" s="170">
        <f t="shared" si="30"/>
        <v>0</v>
      </c>
      <c r="BG76" s="170">
        <f t="shared" si="30"/>
        <v>0</v>
      </c>
      <c r="BH76" s="170">
        <f t="shared" si="30"/>
        <v>0</v>
      </c>
      <c r="BI76" s="170">
        <f t="shared" si="30"/>
        <v>0</v>
      </c>
      <c r="BJ76" s="170">
        <f t="shared" si="30"/>
        <v>0</v>
      </c>
      <c r="BK76" s="170">
        <f t="shared" si="30"/>
        <v>0</v>
      </c>
      <c r="BL76" s="170">
        <f t="shared" si="30"/>
        <v>0</v>
      </c>
      <c r="BM76" s="170">
        <f t="shared" si="30"/>
        <v>0</v>
      </c>
      <c r="BN76" s="165"/>
    </row>
    <row r="77" outlineLevel="1">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c r="BF77" s="165"/>
      <c r="BG77" s="165"/>
      <c r="BH77" s="165"/>
      <c r="BI77" s="165"/>
      <c r="BJ77" s="165"/>
      <c r="BK77" s="165"/>
      <c r="BL77" s="165"/>
      <c r="BM77" s="165"/>
      <c r="BN77" s="165"/>
    </row>
    <row r="78" outlineLevel="1">
      <c r="A78" s="165"/>
      <c r="B78" s="174" t="s">
        <v>199</v>
      </c>
      <c r="C78" s="165"/>
      <c r="D78" s="165"/>
      <c r="E78" s="165"/>
      <c r="F78" s="177">
        <f>Assumptions!C198</f>
        <v>500000</v>
      </c>
      <c r="G78" s="177">
        <f t="shared" ref="G78:BM78" si="31">F82</f>
        <v>333756.6875</v>
      </c>
      <c r="H78" s="177">
        <f t="shared" si="31"/>
        <v>148463.1628</v>
      </c>
      <c r="I78" s="177">
        <f t="shared" si="31"/>
        <v>-39393.86506</v>
      </c>
      <c r="J78" s="177">
        <f t="shared" si="31"/>
        <v>-229833.3455</v>
      </c>
      <c r="K78" s="177">
        <f t="shared" si="31"/>
        <v>-422855.5627</v>
      </c>
      <c r="L78" s="177">
        <f t="shared" si="31"/>
        <v>-618460.5209</v>
      </c>
      <c r="M78" s="177">
        <f t="shared" si="31"/>
        <v>-816648.2203</v>
      </c>
      <c r="N78" s="177">
        <f t="shared" si="31"/>
        <v>-1017418.661</v>
      </c>
      <c r="O78" s="177">
        <f t="shared" si="31"/>
        <v>-1220771.842</v>
      </c>
      <c r="P78" s="177">
        <f t="shared" si="31"/>
        <v>-1426707.765</v>
      </c>
      <c r="Q78" s="177">
        <f t="shared" si="31"/>
        <v>-1635226.429</v>
      </c>
      <c r="R78" s="177">
        <f t="shared" si="31"/>
        <v>-1846327.834</v>
      </c>
      <c r="S78" s="177">
        <f t="shared" si="31"/>
        <v>-2013563.318</v>
      </c>
      <c r="T78" s="177">
        <f t="shared" si="31"/>
        <v>-2181814.25</v>
      </c>
      <c r="U78" s="177">
        <f t="shared" si="31"/>
        <v>-2352115.614</v>
      </c>
      <c r="V78" s="177">
        <f t="shared" si="31"/>
        <v>-2524482.934</v>
      </c>
      <c r="W78" s="177">
        <f t="shared" si="31"/>
        <v>-2698916.444</v>
      </c>
      <c r="X78" s="177">
        <f t="shared" si="31"/>
        <v>-2875416.147</v>
      </c>
      <c r="Y78" s="177">
        <f t="shared" si="31"/>
        <v>-3053982.042</v>
      </c>
      <c r="Z78" s="177">
        <f t="shared" si="31"/>
        <v>-3234614.131</v>
      </c>
      <c r="AA78" s="177">
        <f t="shared" si="31"/>
        <v>-3417312.412</v>
      </c>
      <c r="AB78" s="177">
        <f t="shared" si="31"/>
        <v>-3602076.886</v>
      </c>
      <c r="AC78" s="177">
        <f t="shared" si="31"/>
        <v>-3788907.553</v>
      </c>
      <c r="AD78" s="177">
        <f t="shared" si="31"/>
        <v>-3977804.413</v>
      </c>
      <c r="AE78" s="177">
        <f t="shared" si="31"/>
        <v>-4131608.536</v>
      </c>
      <c r="AF78" s="177">
        <f t="shared" si="31"/>
        <v>-4286225.018</v>
      </c>
      <c r="AG78" s="177">
        <f t="shared" si="31"/>
        <v>-4442481.845</v>
      </c>
      <c r="AH78" s="177">
        <f t="shared" si="31"/>
        <v>-4600391.438</v>
      </c>
      <c r="AI78" s="177">
        <f t="shared" si="31"/>
        <v>-4759953.982</v>
      </c>
      <c r="AJ78" s="177">
        <f t="shared" si="31"/>
        <v>-4921169.48</v>
      </c>
      <c r="AK78" s="177">
        <f t="shared" si="31"/>
        <v>-5084037.932</v>
      </c>
      <c r="AL78" s="177">
        <f t="shared" si="31"/>
        <v>-5248559.339</v>
      </c>
      <c r="AM78" s="177">
        <f t="shared" si="31"/>
        <v>-5414733.7</v>
      </c>
      <c r="AN78" s="177">
        <f t="shared" si="31"/>
        <v>-5582561.016</v>
      </c>
      <c r="AO78" s="177">
        <f t="shared" si="31"/>
        <v>-5752041.285</v>
      </c>
      <c r="AP78" s="177">
        <f t="shared" si="31"/>
        <v>-5923174.509</v>
      </c>
      <c r="AQ78" s="177">
        <f t="shared" si="31"/>
        <v>-6066233.544</v>
      </c>
      <c r="AR78" s="177">
        <f t="shared" si="31"/>
        <v>-6209942.465</v>
      </c>
      <c r="AS78" s="177">
        <f t="shared" si="31"/>
        <v>-6354963.663</v>
      </c>
      <c r="AT78" s="177">
        <f t="shared" si="31"/>
        <v>-6501307.073</v>
      </c>
      <c r="AU78" s="177">
        <f t="shared" si="31"/>
        <v>-6648972.844</v>
      </c>
      <c r="AV78" s="177">
        <f t="shared" si="31"/>
        <v>-6797960.979</v>
      </c>
      <c r="AW78" s="177">
        <f t="shared" si="31"/>
        <v>-6948271.477</v>
      </c>
      <c r="AX78" s="177">
        <f t="shared" si="31"/>
        <v>-7099904.338</v>
      </c>
      <c r="AY78" s="177">
        <f t="shared" si="31"/>
        <v>-7252859.563</v>
      </c>
      <c r="AZ78" s="177">
        <f t="shared" si="31"/>
        <v>-7407137.151</v>
      </c>
      <c r="BA78" s="177">
        <f t="shared" si="31"/>
        <v>-7562737.103</v>
      </c>
      <c r="BB78" s="177">
        <f t="shared" si="31"/>
        <v>-7719659.419</v>
      </c>
      <c r="BC78" s="177">
        <f t="shared" si="31"/>
        <v>-7854122.382</v>
      </c>
      <c r="BD78" s="177">
        <f t="shared" si="31"/>
        <v>-7989105.255</v>
      </c>
      <c r="BE78" s="177">
        <f t="shared" si="31"/>
        <v>-8125137.95</v>
      </c>
      <c r="BF78" s="177">
        <f t="shared" si="31"/>
        <v>-8262228.414</v>
      </c>
      <c r="BG78" s="177">
        <f t="shared" si="31"/>
        <v>-8400376.767</v>
      </c>
      <c r="BH78" s="177">
        <f t="shared" si="31"/>
        <v>-8539583.01</v>
      </c>
      <c r="BI78" s="177">
        <f t="shared" si="31"/>
        <v>-8679847.145</v>
      </c>
      <c r="BJ78" s="177">
        <f t="shared" si="31"/>
        <v>-8821169.17</v>
      </c>
      <c r="BK78" s="177">
        <f t="shared" si="31"/>
        <v>-8963549.086</v>
      </c>
      <c r="BL78" s="177">
        <f t="shared" si="31"/>
        <v>-9106986.893</v>
      </c>
      <c r="BM78" s="177">
        <f t="shared" si="31"/>
        <v>-9251482.59</v>
      </c>
      <c r="BN78" s="165"/>
    </row>
    <row r="79" outlineLevel="1">
      <c r="A79" s="165"/>
      <c r="B79" s="177"/>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row>
    <row r="80" outlineLevel="1">
      <c r="A80" s="165"/>
      <c r="B80" s="174" t="s">
        <v>200</v>
      </c>
      <c r="C80" s="165"/>
      <c r="D80" s="165"/>
      <c r="E80" s="165"/>
      <c r="F80" s="177">
        <f t="shared" ref="F80:BM80" si="32">F76+F72+F68</f>
        <v>-166243.3125</v>
      </c>
      <c r="G80" s="177">
        <f t="shared" si="32"/>
        <v>-185293.5247</v>
      </c>
      <c r="H80" s="177">
        <f t="shared" si="32"/>
        <v>-187857.0279</v>
      </c>
      <c r="I80" s="177">
        <f t="shared" si="32"/>
        <v>-190439.4804</v>
      </c>
      <c r="J80" s="177">
        <f t="shared" si="32"/>
        <v>-193022.2172</v>
      </c>
      <c r="K80" s="177">
        <f t="shared" si="32"/>
        <v>-195604.9583</v>
      </c>
      <c r="L80" s="177">
        <f t="shared" si="32"/>
        <v>-198187.6994</v>
      </c>
      <c r="M80" s="177">
        <f t="shared" si="32"/>
        <v>-200770.4405</v>
      </c>
      <c r="N80" s="177">
        <f t="shared" si="32"/>
        <v>-203353.1816</v>
      </c>
      <c r="O80" s="177">
        <f t="shared" si="32"/>
        <v>-205935.9227</v>
      </c>
      <c r="P80" s="177">
        <f t="shared" si="32"/>
        <v>-208518.6638</v>
      </c>
      <c r="Q80" s="177">
        <f t="shared" si="32"/>
        <v>-211101.405</v>
      </c>
      <c r="R80" s="177">
        <f t="shared" si="32"/>
        <v>-167235.4836</v>
      </c>
      <c r="S80" s="177">
        <f t="shared" si="32"/>
        <v>-168250.9323</v>
      </c>
      <c r="T80" s="177">
        <f t="shared" si="32"/>
        <v>-170301.364</v>
      </c>
      <c r="U80" s="177">
        <f t="shared" si="32"/>
        <v>-172367.3205</v>
      </c>
      <c r="V80" s="177">
        <f t="shared" si="32"/>
        <v>-174433.5098</v>
      </c>
      <c r="W80" s="177">
        <f t="shared" si="32"/>
        <v>-176499.7026</v>
      </c>
      <c r="X80" s="177">
        <f t="shared" si="32"/>
        <v>-178565.8955</v>
      </c>
      <c r="Y80" s="177">
        <f t="shared" si="32"/>
        <v>-180632.0884</v>
      </c>
      <c r="Z80" s="177">
        <f t="shared" si="32"/>
        <v>-182698.2813</v>
      </c>
      <c r="AA80" s="177">
        <f t="shared" si="32"/>
        <v>-184764.4742</v>
      </c>
      <c r="AB80" s="177">
        <f t="shared" si="32"/>
        <v>-186830.6671</v>
      </c>
      <c r="AC80" s="177">
        <f t="shared" si="32"/>
        <v>-188896.86</v>
      </c>
      <c r="AD80" s="177">
        <f t="shared" si="32"/>
        <v>-153804.1229</v>
      </c>
      <c r="AE80" s="177">
        <f t="shared" si="32"/>
        <v>-154616.4818</v>
      </c>
      <c r="AF80" s="177">
        <f t="shared" si="32"/>
        <v>-156256.8272</v>
      </c>
      <c r="AG80" s="177">
        <f t="shared" si="32"/>
        <v>-157909.5924</v>
      </c>
      <c r="AH80" s="177">
        <f t="shared" si="32"/>
        <v>-159562.5439</v>
      </c>
      <c r="AI80" s="177">
        <f t="shared" si="32"/>
        <v>-161215.4982</v>
      </c>
      <c r="AJ80" s="177">
        <f t="shared" si="32"/>
        <v>-162868.4525</v>
      </c>
      <c r="AK80" s="177">
        <f t="shared" si="32"/>
        <v>-164521.4068</v>
      </c>
      <c r="AL80" s="177">
        <f t="shared" si="32"/>
        <v>-166174.3611</v>
      </c>
      <c r="AM80" s="177">
        <f t="shared" si="32"/>
        <v>-167827.3154</v>
      </c>
      <c r="AN80" s="177">
        <f t="shared" si="32"/>
        <v>-169480.2697</v>
      </c>
      <c r="AO80" s="177">
        <f t="shared" si="32"/>
        <v>-171133.224</v>
      </c>
      <c r="AP80" s="177">
        <f t="shared" si="32"/>
        <v>-143059.0344</v>
      </c>
      <c r="AQ80" s="177">
        <f t="shared" si="32"/>
        <v>-143708.9215</v>
      </c>
      <c r="AR80" s="177">
        <f t="shared" si="32"/>
        <v>-145021.1978</v>
      </c>
      <c r="AS80" s="177">
        <f t="shared" si="32"/>
        <v>-146343.41</v>
      </c>
      <c r="AT80" s="177">
        <f t="shared" si="32"/>
        <v>-147665.7711</v>
      </c>
      <c r="AU80" s="177">
        <f t="shared" si="32"/>
        <v>-148988.1346</v>
      </c>
      <c r="AV80" s="177">
        <f t="shared" si="32"/>
        <v>-150310.498</v>
      </c>
      <c r="AW80" s="177">
        <f t="shared" si="32"/>
        <v>-151632.8615</v>
      </c>
      <c r="AX80" s="177">
        <f t="shared" si="32"/>
        <v>-152955.2249</v>
      </c>
      <c r="AY80" s="177">
        <f t="shared" si="32"/>
        <v>-154277.5884</v>
      </c>
      <c r="AZ80" s="177">
        <f t="shared" si="32"/>
        <v>-155599.9518</v>
      </c>
      <c r="BA80" s="177">
        <f t="shared" si="32"/>
        <v>-156922.3153</v>
      </c>
      <c r="BB80" s="177">
        <f t="shared" si="32"/>
        <v>-134462.9635</v>
      </c>
      <c r="BC80" s="177">
        <f t="shared" si="32"/>
        <v>-134982.8733</v>
      </c>
      <c r="BD80" s="177">
        <f t="shared" si="32"/>
        <v>-136032.6943</v>
      </c>
      <c r="BE80" s="177">
        <f t="shared" si="32"/>
        <v>-137090.464</v>
      </c>
      <c r="BF80" s="177">
        <f t="shared" si="32"/>
        <v>-138148.353</v>
      </c>
      <c r="BG80" s="177">
        <f t="shared" si="32"/>
        <v>-139206.2437</v>
      </c>
      <c r="BH80" s="177">
        <f t="shared" si="32"/>
        <v>-140264.1345</v>
      </c>
      <c r="BI80" s="177">
        <f t="shared" si="32"/>
        <v>-141322.0252</v>
      </c>
      <c r="BJ80" s="177">
        <f t="shared" si="32"/>
        <v>-142379.916</v>
      </c>
      <c r="BK80" s="177">
        <f t="shared" si="32"/>
        <v>-143437.8067</v>
      </c>
      <c r="BL80" s="177">
        <f t="shared" si="32"/>
        <v>-144495.6975</v>
      </c>
      <c r="BM80" s="177">
        <f t="shared" si="32"/>
        <v>-145553.5883</v>
      </c>
      <c r="BN80" s="165"/>
    </row>
    <row r="81" outlineLevel="1">
      <c r="A81" s="165"/>
      <c r="B81" s="177"/>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c r="BM81" s="165"/>
      <c r="BN81" s="165"/>
    </row>
    <row r="82" outlineLevel="1">
      <c r="A82" s="165"/>
      <c r="B82" s="174" t="s">
        <v>201</v>
      </c>
      <c r="C82" s="165"/>
      <c r="D82" s="165"/>
      <c r="E82" s="177"/>
      <c r="F82" s="177">
        <f t="shared" ref="F82:BM82" si="33">F78+F80</f>
        <v>333756.6875</v>
      </c>
      <c r="G82" s="177">
        <f t="shared" si="33"/>
        <v>148463.1628</v>
      </c>
      <c r="H82" s="177">
        <f t="shared" si="33"/>
        <v>-39393.86506</v>
      </c>
      <c r="I82" s="177">
        <f t="shared" si="33"/>
        <v>-229833.3455</v>
      </c>
      <c r="J82" s="177">
        <f t="shared" si="33"/>
        <v>-422855.5627</v>
      </c>
      <c r="K82" s="177">
        <f t="shared" si="33"/>
        <v>-618460.5209</v>
      </c>
      <c r="L82" s="177">
        <f t="shared" si="33"/>
        <v>-816648.2203</v>
      </c>
      <c r="M82" s="177">
        <f t="shared" si="33"/>
        <v>-1017418.661</v>
      </c>
      <c r="N82" s="177">
        <f t="shared" si="33"/>
        <v>-1220771.842</v>
      </c>
      <c r="O82" s="177">
        <f t="shared" si="33"/>
        <v>-1426707.765</v>
      </c>
      <c r="P82" s="177">
        <f t="shared" si="33"/>
        <v>-1635226.429</v>
      </c>
      <c r="Q82" s="177">
        <f t="shared" si="33"/>
        <v>-1846327.834</v>
      </c>
      <c r="R82" s="177">
        <f t="shared" si="33"/>
        <v>-2013563.318</v>
      </c>
      <c r="S82" s="177">
        <f t="shared" si="33"/>
        <v>-2181814.25</v>
      </c>
      <c r="T82" s="177">
        <f t="shared" si="33"/>
        <v>-2352115.614</v>
      </c>
      <c r="U82" s="177">
        <f t="shared" si="33"/>
        <v>-2524482.934</v>
      </c>
      <c r="V82" s="177">
        <f t="shared" si="33"/>
        <v>-2698916.444</v>
      </c>
      <c r="W82" s="177">
        <f t="shared" si="33"/>
        <v>-2875416.147</v>
      </c>
      <c r="X82" s="177">
        <f t="shared" si="33"/>
        <v>-3053982.042</v>
      </c>
      <c r="Y82" s="177">
        <f t="shared" si="33"/>
        <v>-3234614.131</v>
      </c>
      <c r="Z82" s="177">
        <f t="shared" si="33"/>
        <v>-3417312.412</v>
      </c>
      <c r="AA82" s="177">
        <f t="shared" si="33"/>
        <v>-3602076.886</v>
      </c>
      <c r="AB82" s="177">
        <f t="shared" si="33"/>
        <v>-3788907.553</v>
      </c>
      <c r="AC82" s="177">
        <f t="shared" si="33"/>
        <v>-3977804.413</v>
      </c>
      <c r="AD82" s="177">
        <f t="shared" si="33"/>
        <v>-4131608.536</v>
      </c>
      <c r="AE82" s="177">
        <f t="shared" si="33"/>
        <v>-4286225.018</v>
      </c>
      <c r="AF82" s="177">
        <f t="shared" si="33"/>
        <v>-4442481.845</v>
      </c>
      <c r="AG82" s="177">
        <f t="shared" si="33"/>
        <v>-4600391.438</v>
      </c>
      <c r="AH82" s="177">
        <f t="shared" si="33"/>
        <v>-4759953.982</v>
      </c>
      <c r="AI82" s="177">
        <f t="shared" si="33"/>
        <v>-4921169.48</v>
      </c>
      <c r="AJ82" s="177">
        <f t="shared" si="33"/>
        <v>-5084037.932</v>
      </c>
      <c r="AK82" s="177">
        <f t="shared" si="33"/>
        <v>-5248559.339</v>
      </c>
      <c r="AL82" s="177">
        <f t="shared" si="33"/>
        <v>-5414733.7</v>
      </c>
      <c r="AM82" s="177">
        <f t="shared" si="33"/>
        <v>-5582561.016</v>
      </c>
      <c r="AN82" s="177">
        <f t="shared" si="33"/>
        <v>-5752041.285</v>
      </c>
      <c r="AO82" s="177">
        <f t="shared" si="33"/>
        <v>-5923174.509</v>
      </c>
      <c r="AP82" s="177">
        <f t="shared" si="33"/>
        <v>-6066233.544</v>
      </c>
      <c r="AQ82" s="177">
        <f t="shared" si="33"/>
        <v>-6209942.465</v>
      </c>
      <c r="AR82" s="177">
        <f t="shared" si="33"/>
        <v>-6354963.663</v>
      </c>
      <c r="AS82" s="177">
        <f t="shared" si="33"/>
        <v>-6501307.073</v>
      </c>
      <c r="AT82" s="177">
        <f t="shared" si="33"/>
        <v>-6648972.844</v>
      </c>
      <c r="AU82" s="177">
        <f t="shared" si="33"/>
        <v>-6797960.979</v>
      </c>
      <c r="AV82" s="177">
        <f t="shared" si="33"/>
        <v>-6948271.477</v>
      </c>
      <c r="AW82" s="177">
        <f t="shared" si="33"/>
        <v>-7099904.338</v>
      </c>
      <c r="AX82" s="177">
        <f t="shared" si="33"/>
        <v>-7252859.563</v>
      </c>
      <c r="AY82" s="177">
        <f t="shared" si="33"/>
        <v>-7407137.151</v>
      </c>
      <c r="AZ82" s="177">
        <f t="shared" si="33"/>
        <v>-7562737.103</v>
      </c>
      <c r="BA82" s="177">
        <f t="shared" si="33"/>
        <v>-7719659.419</v>
      </c>
      <c r="BB82" s="177">
        <f t="shared" si="33"/>
        <v>-7854122.382</v>
      </c>
      <c r="BC82" s="177">
        <f t="shared" si="33"/>
        <v>-7989105.255</v>
      </c>
      <c r="BD82" s="177">
        <f t="shared" si="33"/>
        <v>-8125137.95</v>
      </c>
      <c r="BE82" s="177">
        <f t="shared" si="33"/>
        <v>-8262228.414</v>
      </c>
      <c r="BF82" s="177">
        <f t="shared" si="33"/>
        <v>-8400376.767</v>
      </c>
      <c r="BG82" s="177">
        <f t="shared" si="33"/>
        <v>-8539583.01</v>
      </c>
      <c r="BH82" s="177">
        <f t="shared" si="33"/>
        <v>-8679847.145</v>
      </c>
      <c r="BI82" s="177">
        <f t="shared" si="33"/>
        <v>-8821169.17</v>
      </c>
      <c r="BJ82" s="177">
        <f t="shared" si="33"/>
        <v>-8963549.086</v>
      </c>
      <c r="BK82" s="177">
        <f t="shared" si="33"/>
        <v>-9106986.893</v>
      </c>
      <c r="BL82" s="177">
        <f t="shared" si="33"/>
        <v>-9251482.59</v>
      </c>
      <c r="BM82" s="177">
        <f t="shared" si="33"/>
        <v>-9397036.178</v>
      </c>
      <c r="BN82" s="165"/>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9" t="s">
        <v>155</v>
      </c>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c r="AY1010" s="30"/>
      <c r="AZ1010" s="30"/>
      <c r="BA1010" s="30"/>
      <c r="BB1010" s="30"/>
      <c r="BC1010" s="30"/>
      <c r="BD1010" s="30"/>
      <c r="BE1010" s="30"/>
      <c r="BF1010" s="30"/>
      <c r="BG1010" s="30"/>
      <c r="BH1010" s="30"/>
      <c r="BI1010" s="30"/>
      <c r="BJ1010" s="30"/>
      <c r="BK1010" s="30"/>
      <c r="BL1010" s="30"/>
      <c r="BM1010" s="30"/>
      <c r="BN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c r="AY1011" s="30"/>
      <c r="AZ1011" s="30"/>
      <c r="BA1011" s="30"/>
      <c r="BB1011" s="30"/>
      <c r="BC1011" s="30"/>
      <c r="BD1011" s="30"/>
      <c r="BE1011" s="30"/>
      <c r="BF1011" s="30"/>
      <c r="BG1011" s="30"/>
      <c r="BH1011" s="30"/>
      <c r="BI1011" s="30"/>
      <c r="BJ1011" s="30"/>
      <c r="BK1011" s="30"/>
      <c r="BL1011" s="30"/>
      <c r="BM1011" s="30"/>
      <c r="BN1011" s="30"/>
    </row>
  </sheetData>
  <conditionalFormatting sqref="F26:BM26 F28:BM28 F30:BM30 F37:BM37 F39:BM39">
    <cfRule type="cellIs" dxfId="0" priority="1" operator="lessThan">
      <formula>0</formula>
    </cfRule>
  </conditionalFormatting>
  <conditionalFormatting sqref="F82:BM82">
    <cfRule type="cellIs" dxfId="1" priority="2" operator="lessThan">
      <formula>0</formula>
    </cfRule>
  </conditionalFormatting>
  <drawing r:id="rId1"/>
</worksheet>
</file>