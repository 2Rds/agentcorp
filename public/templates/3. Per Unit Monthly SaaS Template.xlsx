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<sst xmlns="http://schemas.openxmlformats.org/spreadsheetml/2006/main" count="259" uniqueCount="199">
  <si>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</si>
  <si>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</si>
  <si>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</si>
  <si>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</si>
  <si>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</si>
  <si>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</si>
  <si>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</si>
  <si>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</si>
  <si>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</si>
  <si>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</si>
  <si>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</si>
  <si>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</si>
  <si>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</si>
  <si>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</si>
  <si>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</si>
  <si>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</si>
  <si>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</si>
  <si>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</si>
  <si>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</si>
  <si>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</si>
  <si>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</si>
  <si>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</si>
  <si>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</si>
  <si>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</si>
  <si>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</si>
  <si>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</si>
  <si>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</si>
  <si>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</si>
  <si>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</si>
  <si>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</si>
  <si>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</si>
  <si>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</si>
  <si>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</si>
  <si>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</si>
  <si>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</si>
  <si>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</si>
  <si>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</si>
  <si>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</si>
  <si>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</si>
  <si>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</si>
  <si>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</si>
  <si>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</si>
  <si>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</si>
  <si>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</si>
  <si>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</si>
  <si>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</si>
  <si>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</si>
  <si>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</si>
  <si>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Per Unit Monthly SaaS:</t>
  </si>
  <si>
    <t>Per Unit Monthly SaaS Tier 1</t>
  </si>
  <si>
    <t>% of Total New Customers</t>
  </si>
  <si>
    <t>Churn Rate</t>
  </si>
  <si>
    <t>Churned Subscriptions</t>
  </si>
  <si>
    <t>Retained Subscriptions</t>
  </si>
  <si>
    <t>Active Subscriptions</t>
  </si>
  <si>
    <t>Previous Months Active Subsciptions</t>
  </si>
  <si>
    <t>MoM Growth</t>
  </si>
  <si>
    <t>MAX</t>
  </si>
  <si>
    <t>Average Orders per User</t>
  </si>
  <si>
    <t>Total Purchases this Month</t>
  </si>
  <si>
    <t>Average Price per Unit</t>
  </si>
  <si>
    <t>Revenue</t>
  </si>
  <si>
    <t>Per Unit Monthly SaaS Tier 2</t>
  </si>
  <si>
    <t>Average Units Purchased per Subscription</t>
  </si>
  <si>
    <t>Per Unit Monthly SaaS Tier 3</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</si>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</sst>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4">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b/>
      <sz val="11.0"/>
      <color rgb="FF1B202B"/>
      <name val="Montserrat"/>
    </font>
    <font>
      <b/>
      <sz val="11.0"/>
      <color theme="1"/>
      <name val="Montserrat"/>
    </font>
    <font>
      <color theme="1"/>
      <name val="Arial"/>
      <scheme val="minor"/>
    </font>
    <font>
      <b/>
      <i/>
      <color theme="1"/>
      <name val="Montserrat"/>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0">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FFFFFF"/>
      </left>
      <right style="medium">
        <color rgb="FFFFFFFF"/>
      </right>
      <top style="medium">
        <color rgb="FFFFFFFF"/>
      </top>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right style="medium">
        <color rgb="FFFFFFFF"/>
      </right>
      <top style="medium">
        <color rgb="FFFFFFFF"/>
      </top>
      <bottom style="thick">
        <color rgb="FF000000"/>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9" fillId="5" fontId="17" numFmtId="14" xfId="0" applyAlignment="1" applyBorder="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10" fillId="6" fontId="18" numFmtId="0" xfId="0" applyAlignment="1" applyBorder="1" applyFill="1" applyFont="1">
      <alignment readingOrder="0" vertical="center"/>
    </xf>
    <xf borderId="10" fillId="6" fontId="13" numFmtId="0" xfId="0" applyAlignment="1" applyBorder="1" applyFont="1">
      <alignment vertical="center"/>
    </xf>
    <xf borderId="10" fillId="6" fontId="13" numFmtId="0" xfId="0" applyAlignment="1" applyBorder="1" applyFont="1">
      <alignment horizontal="right" vertical="center"/>
    </xf>
    <xf borderId="11" fillId="7" fontId="13" numFmtId="0" xfId="0" applyAlignment="1" applyBorder="1" applyFill="1" applyFont="1">
      <alignment readingOrder="0" vertical="center"/>
    </xf>
    <xf borderId="12"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3"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4" fillId="0" fontId="13" numFmtId="0" xfId="0" applyAlignment="1" applyBorder="1" applyFont="1">
      <alignment vertical="center"/>
    </xf>
    <xf borderId="15" fillId="0" fontId="13" numFmtId="0" xfId="0" applyAlignment="1" applyBorder="1" applyFont="1">
      <alignment vertical="center"/>
    </xf>
    <xf borderId="16" fillId="5" fontId="17" numFmtId="10" xfId="0" applyAlignment="1" applyBorder="1" applyFont="1" applyNumberFormat="1">
      <alignment horizontal="right" readingOrder="0" vertical="center"/>
    </xf>
    <xf borderId="14" fillId="0" fontId="13" numFmtId="0" xfId="0" applyAlignment="1" applyBorder="1" applyFont="1">
      <alignment vertical="center"/>
    </xf>
    <xf borderId="15"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7" fillId="5" fontId="20"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19" fillId="0" fontId="21" numFmtId="165" xfId="0" applyAlignment="1" applyBorder="1" applyFont="1" applyNumberFormat="1">
      <alignment horizontal="right" readingOrder="0" vertical="center"/>
    </xf>
    <xf borderId="0" fillId="0" fontId="21" numFmtId="165" xfId="0" applyAlignment="1" applyFont="1" applyNumberFormat="1">
      <alignment horizontal="right" readingOrder="0" vertical="center"/>
    </xf>
    <xf borderId="15" fillId="0" fontId="13" numFmtId="0" xfId="0" applyAlignment="1" applyBorder="1" applyFont="1">
      <alignment readingOrder="0" vertical="center"/>
    </xf>
    <xf borderId="20"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17" fillId="5" fontId="20" numFmtId="164" xfId="0" applyAlignment="1" applyBorder="1" applyFont="1" applyNumberFormat="1">
      <alignment horizontal="right" readingOrder="0" vertical="center"/>
    </xf>
    <xf borderId="17"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5" fillId="0" fontId="3" numFmtId="0" xfId="0" applyAlignment="1" applyBorder="1" applyFont="1">
      <alignment vertical="center"/>
    </xf>
    <xf borderId="20" fillId="5" fontId="17" numFmtId="10" xfId="0" applyAlignment="1" applyBorder="1" applyFont="1" applyNumberFormat="1">
      <alignment horizontal="right" vertical="center"/>
    </xf>
    <xf borderId="14"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7"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7"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0" fillId="0" fontId="7" numFmtId="0" xfId="0" applyAlignment="1" applyFont="1">
      <alignment vertical="center"/>
    </xf>
    <xf borderId="14" fillId="0" fontId="25" numFmtId="0" xfId="0" applyAlignment="1" applyBorder="1" applyFont="1">
      <alignment readingOrder="0" vertical="center"/>
    </xf>
    <xf borderId="14" fillId="0" fontId="7" numFmtId="0" xfId="0" applyAlignment="1" applyBorder="1" applyFont="1">
      <alignment vertical="center"/>
    </xf>
    <xf borderId="14" fillId="0" fontId="26" numFmtId="0" xfId="0" applyAlignment="1" applyBorder="1" applyFont="1">
      <alignment horizontal="center" vertical="center"/>
    </xf>
    <xf borderId="14" fillId="0" fontId="26" numFmtId="1" xfId="0" applyAlignment="1" applyBorder="1" applyFont="1" applyNumberFormat="1">
      <alignment horizontal="right" vertical="center"/>
    </xf>
    <xf borderId="0" fillId="0" fontId="25" numFmtId="0" xfId="0" applyAlignment="1" applyFont="1">
      <alignment readingOrder="0" vertical="center"/>
    </xf>
    <xf borderId="0" fillId="0" fontId="26" numFmtId="0" xfId="0" applyAlignment="1" applyFont="1">
      <alignment horizontal="center" vertical="center"/>
    </xf>
    <xf borderId="0" fillId="0" fontId="26" numFmtId="1" xfId="0" applyAlignment="1" applyFont="1" applyNumberFormat="1">
      <alignment horizontal="right" vertical="center"/>
    </xf>
    <xf borderId="0" fillId="0" fontId="18" numFmtId="0" xfId="0" applyAlignment="1" applyFont="1">
      <alignment readingOrder="0" vertical="center"/>
    </xf>
    <xf borderId="0" fillId="0" fontId="17" numFmtId="0" xfId="0" applyAlignment="1" applyFont="1">
      <alignment horizontal="center" vertical="center"/>
    </xf>
    <xf borderId="0" fillId="5" fontId="17" numFmtId="10" xfId="0" applyAlignment="1" applyFont="1" applyNumberFormat="1">
      <alignment horizontal="right" readingOrder="0" vertical="center"/>
    </xf>
    <xf borderId="0" fillId="0" fontId="13" numFmtId="1" xfId="0" applyAlignment="1" applyFont="1" applyNumberFormat="1">
      <alignment vertical="center"/>
    </xf>
    <xf borderId="0" fillId="0" fontId="13" numFmtId="1" xfId="0" applyAlignment="1" applyFont="1" applyNumberFormat="1">
      <alignment horizontal="right" vertical="center"/>
    </xf>
    <xf borderId="0" fillId="0" fontId="13" numFmtId="10" xfId="0" applyAlignment="1" applyFont="1" applyNumberFormat="1">
      <alignment vertical="center"/>
    </xf>
    <xf borderId="0" fillId="5" fontId="17" numFmtId="3" xfId="0" applyAlignment="1" applyFont="1" applyNumberFormat="1">
      <alignment horizontal="right" readingOrder="0" vertical="center"/>
    </xf>
    <xf borderId="0" fillId="0" fontId="27" numFmtId="10" xfId="0" applyAlignment="1" applyFont="1" applyNumberFormat="1">
      <alignment readingOrder="0"/>
    </xf>
    <xf borderId="0" fillId="0" fontId="13" numFmtId="1" xfId="0" applyAlignment="1" applyFont="1" applyNumberFormat="1">
      <alignment horizontal="right" readingOrder="0" vertical="center"/>
    </xf>
    <xf borderId="15" fillId="5" fontId="17" numFmtId="167" xfId="0" applyAlignment="1" applyBorder="1" applyFont="1" applyNumberFormat="1">
      <alignment horizontal="right" readingOrder="0" vertical="center"/>
    </xf>
    <xf borderId="15" fillId="0" fontId="13" numFmtId="167" xfId="0" applyAlignment="1" applyBorder="1" applyFont="1" applyNumberFormat="1">
      <alignment horizontal="right" vertical="center"/>
    </xf>
    <xf borderId="0" fillId="3" fontId="17" numFmtId="168" xfId="0" applyAlignment="1" applyFont="1" applyNumberFormat="1">
      <alignment horizontal="right" vertical="center"/>
    </xf>
    <xf borderId="21" fillId="7" fontId="13" numFmtId="0" xfId="0" applyAlignment="1" applyBorder="1" applyFont="1">
      <alignment readingOrder="0" vertical="center"/>
    </xf>
    <xf borderId="0" fillId="0" fontId="13" numFmtId="3" xfId="0" applyAlignment="1" applyFont="1" applyNumberFormat="1">
      <alignment vertical="center"/>
    </xf>
    <xf borderId="0" fillId="0" fontId="13" numFmtId="165" xfId="0" applyAlignment="1" applyFont="1" applyNumberFormat="1">
      <alignment horizontal="right" vertical="center"/>
    </xf>
    <xf borderId="0" fillId="0" fontId="28" numFmtId="0" xfId="0" applyAlignment="1" applyFont="1">
      <alignment readingOrder="0" vertical="center"/>
    </xf>
    <xf borderId="0" fillId="0" fontId="28" numFmtId="0" xfId="0" applyAlignment="1" applyFont="1">
      <alignment horizontal="center" readingOrder="0" vertical="center"/>
    </xf>
    <xf borderId="17" fillId="5" fontId="20" numFmtId="165" xfId="0" applyAlignment="1" applyBorder="1" applyFont="1" applyNumberFormat="1">
      <alignment horizontal="left" vertical="center"/>
    </xf>
    <xf borderId="17" fillId="5" fontId="20" numFmtId="165" xfId="0" applyAlignment="1" applyBorder="1" applyFont="1" applyNumberFormat="1">
      <alignment horizontal="center" readingOrder="0" vertical="center"/>
    </xf>
    <xf borderId="17" fillId="5" fontId="20" numFmtId="9" xfId="0" applyAlignment="1" applyBorder="1" applyFont="1" applyNumberFormat="1">
      <alignment horizontal="center" readingOrder="0" vertical="center"/>
    </xf>
    <xf borderId="22" fillId="5" fontId="20" numFmtId="169" xfId="0" applyAlignment="1" applyBorder="1" applyFont="1" applyNumberFormat="1">
      <alignment horizontal="center" readingOrder="0" vertical="center"/>
    </xf>
    <xf borderId="17" fillId="5" fontId="20" numFmtId="170" xfId="0" applyAlignment="1" applyBorder="1" applyFont="1" applyNumberFormat="1">
      <alignment horizontal="left" vertical="center"/>
    </xf>
    <xf borderId="17" fillId="5" fontId="20" numFmtId="10" xfId="0" applyAlignment="1" applyBorder="1" applyFont="1" applyNumberFormat="1">
      <alignment horizontal="center" readingOrder="0" vertical="center"/>
    </xf>
    <xf borderId="17" fillId="5" fontId="20" numFmtId="170" xfId="0" applyAlignment="1" applyBorder="1" applyFont="1" applyNumberFormat="1">
      <alignment horizontal="left" readingOrder="0" vertical="center"/>
    </xf>
    <xf borderId="23" fillId="5" fontId="20" numFmtId="170" xfId="0" applyAlignment="1" applyBorder="1" applyFont="1" applyNumberFormat="1">
      <alignment horizontal="left" readingOrder="0" vertical="center"/>
    </xf>
    <xf borderId="23" fillId="5" fontId="20" numFmtId="10" xfId="0" applyAlignment="1" applyBorder="1" applyFont="1" applyNumberFormat="1">
      <alignment horizontal="center" readingOrder="0" vertical="center"/>
    </xf>
    <xf borderId="14"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2"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3" fillId="5" fontId="20" numFmtId="165" xfId="0" applyAlignment="1" applyBorder="1" applyFont="1" applyNumberFormat="1">
      <alignment horizontal="left" readingOrder="0" vertical="center"/>
    </xf>
    <xf borderId="24" fillId="5" fontId="20" numFmtId="165" xfId="0" applyAlignment="1" applyBorder="1" applyFont="1" applyNumberFormat="1">
      <alignment horizontal="center" readingOrder="0" vertical="center"/>
    </xf>
    <xf borderId="14"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25" fillId="0" fontId="17" numFmtId="0" xfId="0" applyAlignment="1" applyBorder="1" applyFont="1">
      <alignment readingOrder="0" vertical="center"/>
    </xf>
    <xf borderId="25"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9"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7" fillId="5" fontId="20" numFmtId="169" xfId="0" applyAlignment="1" applyBorder="1" applyFont="1" applyNumberFormat="1">
      <alignment horizontal="center" readingOrder="0" vertical="center"/>
    </xf>
    <xf borderId="22" fillId="5" fontId="20" numFmtId="3" xfId="0" applyAlignment="1" applyBorder="1" applyFont="1" applyNumberFormat="1">
      <alignment horizontal="center" readingOrder="0" vertical="center"/>
    </xf>
    <xf borderId="17" fillId="5" fontId="20" numFmtId="3" xfId="0" applyAlignment="1" applyBorder="1" applyFont="1" applyNumberFormat="1">
      <alignment horizontal="center" readingOrder="0" vertical="center"/>
    </xf>
    <xf borderId="26" fillId="0" fontId="29" numFmtId="0" xfId="0" applyAlignment="1" applyBorder="1" applyFont="1">
      <alignment readingOrder="0" vertical="center"/>
    </xf>
    <xf borderId="26" fillId="0" fontId="13" numFmtId="0" xfId="0" applyAlignment="1" applyBorder="1" applyFont="1">
      <alignment vertical="center"/>
    </xf>
    <xf borderId="0" fillId="0" fontId="13" numFmtId="170" xfId="0" applyAlignment="1" applyFont="1" applyNumberFormat="1">
      <alignment readingOrder="0" vertical="center"/>
    </xf>
    <xf borderId="0" fillId="0" fontId="27" numFmtId="0" xfId="0" applyAlignment="1" applyFont="1">
      <alignment vertical="center"/>
    </xf>
    <xf borderId="17" fillId="5" fontId="20" numFmtId="169" xfId="0" applyAlignment="1" applyBorder="1" applyFont="1" applyNumberFormat="1">
      <alignment horizontal="right" readingOrder="0" vertical="center"/>
    </xf>
    <xf borderId="0" fillId="0" fontId="27"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10" fillId="6" fontId="18" numFmtId="0" xfId="0" applyAlignment="1" applyBorder="1" applyFont="1">
      <alignment readingOrder="0"/>
    </xf>
    <xf borderId="10" fillId="6" fontId="13" numFmtId="0" xfId="0" applyBorder="1" applyFont="1"/>
    <xf borderId="0" fillId="0" fontId="13" numFmtId="165" xfId="0" applyFont="1" applyNumberFormat="1"/>
    <xf borderId="27" fillId="0" fontId="17" numFmtId="165" xfId="0" applyAlignment="1" applyBorder="1" applyFont="1" applyNumberFormat="1">
      <alignment readingOrder="0"/>
    </xf>
    <xf borderId="27" fillId="0" fontId="17" numFmtId="165" xfId="0" applyBorder="1" applyFont="1" applyNumberFormat="1"/>
    <xf borderId="28" fillId="0" fontId="17" numFmtId="165" xfId="0" applyAlignment="1" applyBorder="1" applyFont="1" applyNumberFormat="1">
      <alignment readingOrder="0"/>
    </xf>
    <xf borderId="28" fillId="0" fontId="13" numFmtId="165" xfId="0" applyBorder="1" applyFont="1" applyNumberFormat="1"/>
    <xf borderId="28" fillId="0" fontId="17" numFmtId="165" xfId="0" applyBorder="1" applyFont="1" applyNumberFormat="1"/>
    <xf borderId="0" fillId="0" fontId="13" numFmtId="10" xfId="0" applyFont="1" applyNumberFormat="1"/>
    <xf borderId="0" fillId="0" fontId="29" numFmtId="10" xfId="0" applyAlignment="1" applyFont="1" applyNumberFormat="1">
      <alignment readingOrder="0"/>
    </xf>
    <xf borderId="0" fillId="0" fontId="29"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7" fillId="0" fontId="13" numFmtId="165" xfId="0" applyBorder="1" applyFont="1" applyNumberFormat="1"/>
    <xf borderId="0" fillId="0" fontId="17" numFmtId="165" xfId="0" applyFont="1" applyNumberFormat="1"/>
    <xf borderId="27" fillId="0" fontId="13" numFmtId="165" xfId="0" applyAlignment="1" applyBorder="1" applyFont="1" applyNumberFormat="1">
      <alignment readingOrder="0"/>
    </xf>
    <xf borderId="0" fillId="0" fontId="29" numFmtId="0" xfId="0" applyAlignment="1" applyFont="1">
      <alignment readingOrder="0"/>
    </xf>
    <xf borderId="0" fillId="0" fontId="30" numFmtId="165" xfId="0" applyAlignment="1" applyFont="1" applyNumberFormat="1">
      <alignment readingOrder="0"/>
    </xf>
    <xf borderId="29" fillId="0" fontId="29" numFmtId="165" xfId="0" applyAlignment="1" applyBorder="1" applyFont="1" applyNumberFormat="1">
      <alignment readingOrder="0"/>
    </xf>
    <xf borderId="29" fillId="0" fontId="29" numFmtId="165" xfId="0" applyBorder="1" applyFont="1" applyNumberFormat="1"/>
    <xf borderId="29" fillId="0" fontId="13" numFmtId="165" xfId="0" applyBorder="1" applyFont="1" applyNumberFormat="1"/>
    <xf borderId="29" fillId="0" fontId="30" numFmtId="165" xfId="0" applyAlignment="1" applyBorder="1" applyFont="1" applyNumberFormat="1">
      <alignment readingOrder="0"/>
    </xf>
    <xf borderId="29" fillId="0" fontId="24" numFmtId="165" xfId="0" applyBorder="1" applyFont="1" applyNumberFormat="1"/>
    <xf borderId="0" fillId="0" fontId="31" numFmtId="165" xfId="0" applyAlignment="1" applyFont="1" applyNumberFormat="1">
      <alignment horizontal="center" readingOrder="0"/>
    </xf>
    <xf borderId="0" fillId="0" fontId="24" numFmtId="165" xfId="0" applyAlignment="1" applyFont="1" applyNumberFormat="1">
      <alignment horizontal="center"/>
    </xf>
    <xf borderId="0" fillId="0" fontId="32" numFmtId="0" xfId="0" applyAlignment="1" applyFont="1">
      <alignment readingOrder="0"/>
    </xf>
    <xf borderId="0" fillId="0" fontId="33"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D-p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39"/>
      <c r="B1" s="39" t="s">
        <v>8</v>
      </c>
      <c r="C1" s="40"/>
      <c r="D1" s="40"/>
      <c r="E1" s="40"/>
      <c r="F1" s="41"/>
      <c r="G1" s="41"/>
      <c r="H1" s="41">
        <v>1.0</v>
      </c>
      <c r="I1" s="41">
        <v>1.0</v>
      </c>
      <c r="J1" s="41">
        <v>1.0</v>
      </c>
      <c r="K1" s="41">
        <v>1.0</v>
      </c>
      <c r="L1" s="41">
        <v>1.0</v>
      </c>
      <c r="M1" s="41">
        <v>1.0</v>
      </c>
      <c r="N1" s="41">
        <v>1.0</v>
      </c>
      <c r="O1" s="41">
        <v>1.0</v>
      </c>
      <c r="P1" s="41">
        <v>1.0</v>
      </c>
      <c r="Q1" s="41">
        <v>1.0</v>
      </c>
      <c r="R1" s="41">
        <v>1.0</v>
      </c>
      <c r="S1" s="41">
        <v>1.0</v>
      </c>
      <c r="T1" s="41">
        <f t="shared" ref="T1:BO1" si="1">H1+1</f>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2</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3</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4</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c r="BO1" s="41">
        <f t="shared" si="1"/>
        <v>5</v>
      </c>
    </row>
    <row r="2">
      <c r="A2" s="39"/>
      <c r="B2" s="39" t="s">
        <v>9</v>
      </c>
      <c r="C2" s="42"/>
      <c r="D2" s="42"/>
      <c r="E2" s="42"/>
      <c r="F2" s="43"/>
      <c r="G2" s="43"/>
      <c r="H2" s="43">
        <f t="shared" ref="H2:BO2" si="2">YEAR(H4)</f>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2026</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2027</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2028</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2029</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2030</v>
      </c>
      <c r="BO2" s="43">
        <f t="shared" si="2"/>
        <v>2031</v>
      </c>
    </row>
    <row r="3">
      <c r="A3" s="39"/>
      <c r="B3" s="39" t="s">
        <v>10</v>
      </c>
      <c r="C3" s="40"/>
      <c r="D3" s="40"/>
      <c r="E3" s="40"/>
      <c r="F3" s="43"/>
      <c r="G3" s="43"/>
      <c r="H3" s="43">
        <v>1.0</v>
      </c>
      <c r="I3" s="43">
        <f t="shared" ref="I3:BO3" si="3">H3+1</f>
        <v>2</v>
      </c>
      <c r="J3" s="43">
        <f t="shared" si="3"/>
        <v>3</v>
      </c>
      <c r="K3" s="43">
        <f t="shared" si="3"/>
        <v>4</v>
      </c>
      <c r="L3" s="43">
        <f t="shared" si="3"/>
        <v>5</v>
      </c>
      <c r="M3" s="43">
        <f t="shared" si="3"/>
        <v>6</v>
      </c>
      <c r="N3" s="43">
        <f t="shared" si="3"/>
        <v>7</v>
      </c>
      <c r="O3" s="43">
        <f t="shared" si="3"/>
        <v>8</v>
      </c>
      <c r="P3" s="43">
        <f t="shared" si="3"/>
        <v>9</v>
      </c>
      <c r="Q3" s="43">
        <f t="shared" si="3"/>
        <v>10</v>
      </c>
      <c r="R3" s="43">
        <f t="shared" si="3"/>
        <v>11</v>
      </c>
      <c r="S3" s="43">
        <f t="shared" si="3"/>
        <v>12</v>
      </c>
      <c r="T3" s="43">
        <f t="shared" si="3"/>
        <v>13</v>
      </c>
      <c r="U3" s="43">
        <f t="shared" si="3"/>
        <v>14</v>
      </c>
      <c r="V3" s="43">
        <f t="shared" si="3"/>
        <v>15</v>
      </c>
      <c r="W3" s="43">
        <f t="shared" si="3"/>
        <v>16</v>
      </c>
      <c r="X3" s="43">
        <f t="shared" si="3"/>
        <v>17</v>
      </c>
      <c r="Y3" s="43">
        <f t="shared" si="3"/>
        <v>18</v>
      </c>
      <c r="Z3" s="43">
        <f t="shared" si="3"/>
        <v>19</v>
      </c>
      <c r="AA3" s="43">
        <f t="shared" si="3"/>
        <v>20</v>
      </c>
      <c r="AB3" s="43">
        <f t="shared" si="3"/>
        <v>21</v>
      </c>
      <c r="AC3" s="43">
        <f t="shared" si="3"/>
        <v>22</v>
      </c>
      <c r="AD3" s="43">
        <f t="shared" si="3"/>
        <v>23</v>
      </c>
      <c r="AE3" s="43">
        <f t="shared" si="3"/>
        <v>24</v>
      </c>
      <c r="AF3" s="43">
        <f t="shared" si="3"/>
        <v>25</v>
      </c>
      <c r="AG3" s="43">
        <f t="shared" si="3"/>
        <v>26</v>
      </c>
      <c r="AH3" s="43">
        <f t="shared" si="3"/>
        <v>27</v>
      </c>
      <c r="AI3" s="43">
        <f t="shared" si="3"/>
        <v>28</v>
      </c>
      <c r="AJ3" s="43">
        <f t="shared" si="3"/>
        <v>29</v>
      </c>
      <c r="AK3" s="43">
        <f t="shared" si="3"/>
        <v>30</v>
      </c>
      <c r="AL3" s="43">
        <f t="shared" si="3"/>
        <v>31</v>
      </c>
      <c r="AM3" s="43">
        <f t="shared" si="3"/>
        <v>32</v>
      </c>
      <c r="AN3" s="43">
        <f t="shared" si="3"/>
        <v>33</v>
      </c>
      <c r="AO3" s="43">
        <f t="shared" si="3"/>
        <v>34</v>
      </c>
      <c r="AP3" s="43">
        <f t="shared" si="3"/>
        <v>35</v>
      </c>
      <c r="AQ3" s="43">
        <f t="shared" si="3"/>
        <v>36</v>
      </c>
      <c r="AR3" s="43">
        <f t="shared" si="3"/>
        <v>37</v>
      </c>
      <c r="AS3" s="43">
        <f t="shared" si="3"/>
        <v>38</v>
      </c>
      <c r="AT3" s="43">
        <f t="shared" si="3"/>
        <v>39</v>
      </c>
      <c r="AU3" s="43">
        <f t="shared" si="3"/>
        <v>40</v>
      </c>
      <c r="AV3" s="43">
        <f t="shared" si="3"/>
        <v>41</v>
      </c>
      <c r="AW3" s="43">
        <f t="shared" si="3"/>
        <v>42</v>
      </c>
      <c r="AX3" s="43">
        <f t="shared" si="3"/>
        <v>43</v>
      </c>
      <c r="AY3" s="43">
        <f t="shared" si="3"/>
        <v>44</v>
      </c>
      <c r="AZ3" s="43">
        <f t="shared" si="3"/>
        <v>45</v>
      </c>
      <c r="BA3" s="43">
        <f t="shared" si="3"/>
        <v>46</v>
      </c>
      <c r="BB3" s="43">
        <f t="shared" si="3"/>
        <v>47</v>
      </c>
      <c r="BC3" s="43">
        <f t="shared" si="3"/>
        <v>48</v>
      </c>
      <c r="BD3" s="43">
        <f t="shared" si="3"/>
        <v>49</v>
      </c>
      <c r="BE3" s="43">
        <f t="shared" si="3"/>
        <v>50</v>
      </c>
      <c r="BF3" s="43">
        <f t="shared" si="3"/>
        <v>51</v>
      </c>
      <c r="BG3" s="43">
        <f t="shared" si="3"/>
        <v>52</v>
      </c>
      <c r="BH3" s="43">
        <f t="shared" si="3"/>
        <v>53</v>
      </c>
      <c r="BI3" s="43">
        <f t="shared" si="3"/>
        <v>54</v>
      </c>
      <c r="BJ3" s="43">
        <f t="shared" si="3"/>
        <v>55</v>
      </c>
      <c r="BK3" s="43">
        <f t="shared" si="3"/>
        <v>56</v>
      </c>
      <c r="BL3" s="43">
        <f t="shared" si="3"/>
        <v>57</v>
      </c>
      <c r="BM3" s="43">
        <f t="shared" si="3"/>
        <v>58</v>
      </c>
      <c r="BN3" s="43">
        <f t="shared" si="3"/>
        <v>59</v>
      </c>
      <c r="BO3" s="43">
        <f t="shared" si="3"/>
        <v>60</v>
      </c>
    </row>
    <row r="4">
      <c r="A4" s="39"/>
      <c r="B4" s="39" t="s">
        <v>11</v>
      </c>
      <c r="C4" s="40"/>
      <c r="D4" s="40"/>
      <c r="E4" s="40"/>
      <c r="F4" s="44"/>
      <c r="G4" s="44"/>
      <c r="H4" s="45">
        <f>eomonth(today(),0)</f>
        <v>46081</v>
      </c>
      <c r="I4" s="46">
        <f t="shared" ref="I4:BO4" si="4">EOMONTH(H4,1)</f>
        <v>46112</v>
      </c>
      <c r="J4" s="46">
        <f t="shared" si="4"/>
        <v>46142</v>
      </c>
      <c r="K4" s="46">
        <f t="shared" si="4"/>
        <v>46173</v>
      </c>
      <c r="L4" s="46">
        <f t="shared" si="4"/>
        <v>46203</v>
      </c>
      <c r="M4" s="46">
        <f t="shared" si="4"/>
        <v>46234</v>
      </c>
      <c r="N4" s="46">
        <f t="shared" si="4"/>
        <v>46265</v>
      </c>
      <c r="O4" s="46">
        <f t="shared" si="4"/>
        <v>46295</v>
      </c>
      <c r="P4" s="46">
        <f t="shared" si="4"/>
        <v>46326</v>
      </c>
      <c r="Q4" s="46">
        <f t="shared" si="4"/>
        <v>46356</v>
      </c>
      <c r="R4" s="46">
        <f t="shared" si="4"/>
        <v>46387</v>
      </c>
      <c r="S4" s="46">
        <f t="shared" si="4"/>
        <v>46418</v>
      </c>
      <c r="T4" s="46">
        <f t="shared" si="4"/>
        <v>46446</v>
      </c>
      <c r="U4" s="46">
        <f t="shared" si="4"/>
        <v>46477</v>
      </c>
      <c r="V4" s="46">
        <f t="shared" si="4"/>
        <v>46507</v>
      </c>
      <c r="W4" s="46">
        <f t="shared" si="4"/>
        <v>46538</v>
      </c>
      <c r="X4" s="46">
        <f t="shared" si="4"/>
        <v>46568</v>
      </c>
      <c r="Y4" s="46">
        <f t="shared" si="4"/>
        <v>46599</v>
      </c>
      <c r="Z4" s="46">
        <f t="shared" si="4"/>
        <v>46630</v>
      </c>
      <c r="AA4" s="46">
        <f t="shared" si="4"/>
        <v>46660</v>
      </c>
      <c r="AB4" s="46">
        <f t="shared" si="4"/>
        <v>46691</v>
      </c>
      <c r="AC4" s="46">
        <f t="shared" si="4"/>
        <v>46721</v>
      </c>
      <c r="AD4" s="46">
        <f t="shared" si="4"/>
        <v>46752</v>
      </c>
      <c r="AE4" s="46">
        <f t="shared" si="4"/>
        <v>46783</v>
      </c>
      <c r="AF4" s="46">
        <f t="shared" si="4"/>
        <v>46812</v>
      </c>
      <c r="AG4" s="46">
        <f t="shared" si="4"/>
        <v>46843</v>
      </c>
      <c r="AH4" s="46">
        <f t="shared" si="4"/>
        <v>46873</v>
      </c>
      <c r="AI4" s="46">
        <f t="shared" si="4"/>
        <v>46904</v>
      </c>
      <c r="AJ4" s="46">
        <f t="shared" si="4"/>
        <v>46934</v>
      </c>
      <c r="AK4" s="46">
        <f t="shared" si="4"/>
        <v>46965</v>
      </c>
      <c r="AL4" s="46">
        <f t="shared" si="4"/>
        <v>46996</v>
      </c>
      <c r="AM4" s="46">
        <f t="shared" si="4"/>
        <v>47026</v>
      </c>
      <c r="AN4" s="46">
        <f t="shared" si="4"/>
        <v>47057</v>
      </c>
      <c r="AO4" s="46">
        <f t="shared" si="4"/>
        <v>47087</v>
      </c>
      <c r="AP4" s="46">
        <f t="shared" si="4"/>
        <v>47118</v>
      </c>
      <c r="AQ4" s="46">
        <f t="shared" si="4"/>
        <v>47149</v>
      </c>
      <c r="AR4" s="46">
        <f t="shared" si="4"/>
        <v>47177</v>
      </c>
      <c r="AS4" s="46">
        <f t="shared" si="4"/>
        <v>47208</v>
      </c>
      <c r="AT4" s="46">
        <f t="shared" si="4"/>
        <v>47238</v>
      </c>
      <c r="AU4" s="46">
        <f t="shared" si="4"/>
        <v>47269</v>
      </c>
      <c r="AV4" s="46">
        <f t="shared" si="4"/>
        <v>47299</v>
      </c>
      <c r="AW4" s="46">
        <f t="shared" si="4"/>
        <v>47330</v>
      </c>
      <c r="AX4" s="46">
        <f t="shared" si="4"/>
        <v>47361</v>
      </c>
      <c r="AY4" s="46">
        <f t="shared" si="4"/>
        <v>47391</v>
      </c>
      <c r="AZ4" s="46">
        <f t="shared" si="4"/>
        <v>47422</v>
      </c>
      <c r="BA4" s="46">
        <f t="shared" si="4"/>
        <v>47452</v>
      </c>
      <c r="BB4" s="46">
        <f t="shared" si="4"/>
        <v>47483</v>
      </c>
      <c r="BC4" s="46">
        <f t="shared" si="4"/>
        <v>47514</v>
      </c>
      <c r="BD4" s="46">
        <f t="shared" si="4"/>
        <v>47542</v>
      </c>
      <c r="BE4" s="46">
        <f t="shared" si="4"/>
        <v>47573</v>
      </c>
      <c r="BF4" s="46">
        <f t="shared" si="4"/>
        <v>47603</v>
      </c>
      <c r="BG4" s="46">
        <f t="shared" si="4"/>
        <v>47634</v>
      </c>
      <c r="BH4" s="46">
        <f t="shared" si="4"/>
        <v>47664</v>
      </c>
      <c r="BI4" s="46">
        <f t="shared" si="4"/>
        <v>47695</v>
      </c>
      <c r="BJ4" s="46">
        <f t="shared" si="4"/>
        <v>47726</v>
      </c>
      <c r="BK4" s="46">
        <f t="shared" si="4"/>
        <v>47756</v>
      </c>
      <c r="BL4" s="46">
        <f t="shared" si="4"/>
        <v>47787</v>
      </c>
      <c r="BM4" s="46">
        <f t="shared" si="4"/>
        <v>47817</v>
      </c>
      <c r="BN4" s="46">
        <f t="shared" si="4"/>
        <v>47848</v>
      </c>
      <c r="BO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row>
    <row r="6">
      <c r="A6" s="47"/>
      <c r="B6" s="48" t="s">
        <v>12</v>
      </c>
      <c r="C6" s="49"/>
      <c r="D6" s="49"/>
      <c r="E6" s="49"/>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row>
    <row r="7" outlineLevel="1">
      <c r="A7" s="47"/>
      <c r="B7" s="47"/>
      <c r="C7" s="47"/>
      <c r="D7" s="47"/>
      <c r="E7" s="47"/>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row>
    <row r="8" outlineLevel="1">
      <c r="A8" s="47"/>
      <c r="B8" s="51" t="s">
        <v>13</v>
      </c>
      <c r="C8" s="52"/>
      <c r="D8" s="47"/>
      <c r="E8" s="47"/>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row>
    <row r="9" outlineLevel="1">
      <c r="A9" s="47"/>
      <c r="B9" s="53"/>
      <c r="C9" s="47"/>
      <c r="D9" s="47"/>
      <c r="E9" s="47"/>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row>
    <row r="10" outlineLevel="1">
      <c r="A10" s="47"/>
      <c r="B10" s="54" t="s">
        <v>14</v>
      </c>
      <c r="C10" s="47"/>
      <c r="D10" s="47"/>
      <c r="E10" s="47"/>
      <c r="F10" s="47"/>
      <c r="G10" s="47"/>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row>
    <row r="11" outlineLevel="1">
      <c r="A11" s="47"/>
      <c r="B11" s="55" t="s">
        <v>15</v>
      </c>
      <c r="C11" s="47"/>
      <c r="D11" s="56">
        <v>1000.0</v>
      </c>
      <c r="E11" s="47"/>
      <c r="F11" s="47"/>
      <c r="G11" s="47"/>
      <c r="H11" s="57">
        <f t="shared" ref="H11:H12" si="6">D11</f>
        <v>1000</v>
      </c>
      <c r="I11" s="57">
        <f t="shared" ref="I11:BO11" si="5">H11</f>
        <v>1000</v>
      </c>
      <c r="J11" s="57">
        <f t="shared" si="5"/>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c r="BO11" s="57">
        <f t="shared" si="5"/>
        <v>1000</v>
      </c>
    </row>
    <row r="12" outlineLevel="1">
      <c r="A12" s="47"/>
      <c r="B12" s="58" t="s">
        <v>16</v>
      </c>
      <c r="C12" s="59"/>
      <c r="D12" s="60">
        <v>0.05</v>
      </c>
      <c r="E12" s="61"/>
      <c r="F12" s="61"/>
      <c r="G12" s="61"/>
      <c r="H12" s="62">
        <f t="shared" si="6"/>
        <v>0.05</v>
      </c>
      <c r="I12" s="62">
        <f t="shared" ref="I12:BO12" si="7">H12</f>
        <v>0.05</v>
      </c>
      <c r="J12" s="62">
        <f t="shared" si="7"/>
        <v>0.05</v>
      </c>
      <c r="K12" s="62">
        <f t="shared" si="7"/>
        <v>0.05</v>
      </c>
      <c r="L12" s="62">
        <f t="shared" si="7"/>
        <v>0.05</v>
      </c>
      <c r="M12" s="62">
        <f t="shared" si="7"/>
        <v>0.05</v>
      </c>
      <c r="N12" s="62">
        <f t="shared" si="7"/>
        <v>0.05</v>
      </c>
      <c r="O12" s="62">
        <f t="shared" si="7"/>
        <v>0.05</v>
      </c>
      <c r="P12" s="62">
        <f t="shared" si="7"/>
        <v>0.05</v>
      </c>
      <c r="Q12" s="62">
        <f t="shared" si="7"/>
        <v>0.05</v>
      </c>
      <c r="R12" s="62">
        <f t="shared" si="7"/>
        <v>0.05</v>
      </c>
      <c r="S12" s="62">
        <f t="shared" si="7"/>
        <v>0.05</v>
      </c>
      <c r="T12" s="62">
        <f t="shared" si="7"/>
        <v>0.05</v>
      </c>
      <c r="U12" s="62">
        <f t="shared" si="7"/>
        <v>0.05</v>
      </c>
      <c r="V12" s="62">
        <f t="shared" si="7"/>
        <v>0.05</v>
      </c>
      <c r="W12" s="62">
        <f t="shared" si="7"/>
        <v>0.05</v>
      </c>
      <c r="X12" s="62">
        <f t="shared" si="7"/>
        <v>0.05</v>
      </c>
      <c r="Y12" s="62">
        <f t="shared" si="7"/>
        <v>0.05</v>
      </c>
      <c r="Z12" s="62">
        <f t="shared" si="7"/>
        <v>0.05</v>
      </c>
      <c r="AA12" s="62">
        <f t="shared" si="7"/>
        <v>0.05</v>
      </c>
      <c r="AB12" s="62">
        <f t="shared" si="7"/>
        <v>0.05</v>
      </c>
      <c r="AC12" s="62">
        <f t="shared" si="7"/>
        <v>0.05</v>
      </c>
      <c r="AD12" s="62">
        <f t="shared" si="7"/>
        <v>0.05</v>
      </c>
      <c r="AE12" s="62">
        <f t="shared" si="7"/>
        <v>0.05</v>
      </c>
      <c r="AF12" s="62">
        <f t="shared" si="7"/>
        <v>0.05</v>
      </c>
      <c r="AG12" s="62">
        <f t="shared" si="7"/>
        <v>0.05</v>
      </c>
      <c r="AH12" s="62">
        <f t="shared" si="7"/>
        <v>0.05</v>
      </c>
      <c r="AI12" s="62">
        <f t="shared" si="7"/>
        <v>0.05</v>
      </c>
      <c r="AJ12" s="62">
        <f t="shared" si="7"/>
        <v>0.05</v>
      </c>
      <c r="AK12" s="62">
        <f t="shared" si="7"/>
        <v>0.05</v>
      </c>
      <c r="AL12" s="62">
        <f t="shared" si="7"/>
        <v>0.05</v>
      </c>
      <c r="AM12" s="62">
        <f t="shared" si="7"/>
        <v>0.05</v>
      </c>
      <c r="AN12" s="62">
        <f t="shared" si="7"/>
        <v>0.05</v>
      </c>
      <c r="AO12" s="62">
        <f t="shared" si="7"/>
        <v>0.05</v>
      </c>
      <c r="AP12" s="62">
        <f t="shared" si="7"/>
        <v>0.05</v>
      </c>
      <c r="AQ12" s="62">
        <f t="shared" si="7"/>
        <v>0.05</v>
      </c>
      <c r="AR12" s="62">
        <f t="shared" si="7"/>
        <v>0.05</v>
      </c>
      <c r="AS12" s="62">
        <f t="shared" si="7"/>
        <v>0.05</v>
      </c>
      <c r="AT12" s="62">
        <f t="shared" si="7"/>
        <v>0.05</v>
      </c>
      <c r="AU12" s="62">
        <f t="shared" si="7"/>
        <v>0.05</v>
      </c>
      <c r="AV12" s="62">
        <f t="shared" si="7"/>
        <v>0.05</v>
      </c>
      <c r="AW12" s="62">
        <f t="shared" si="7"/>
        <v>0.05</v>
      </c>
      <c r="AX12" s="62">
        <f t="shared" si="7"/>
        <v>0.05</v>
      </c>
      <c r="AY12" s="62">
        <f t="shared" si="7"/>
        <v>0.05</v>
      </c>
      <c r="AZ12" s="62">
        <f t="shared" si="7"/>
        <v>0.05</v>
      </c>
      <c r="BA12" s="62">
        <f t="shared" si="7"/>
        <v>0.05</v>
      </c>
      <c r="BB12" s="62">
        <f t="shared" si="7"/>
        <v>0.05</v>
      </c>
      <c r="BC12" s="62">
        <f t="shared" si="7"/>
        <v>0.05</v>
      </c>
      <c r="BD12" s="62">
        <f t="shared" si="7"/>
        <v>0.05</v>
      </c>
      <c r="BE12" s="62">
        <f t="shared" si="7"/>
        <v>0.05</v>
      </c>
      <c r="BF12" s="62">
        <f t="shared" si="7"/>
        <v>0.05</v>
      </c>
      <c r="BG12" s="62">
        <f t="shared" si="7"/>
        <v>0.05</v>
      </c>
      <c r="BH12" s="62">
        <f t="shared" si="7"/>
        <v>0.05</v>
      </c>
      <c r="BI12" s="62">
        <f t="shared" si="7"/>
        <v>0.05</v>
      </c>
      <c r="BJ12" s="62">
        <f t="shared" si="7"/>
        <v>0.05</v>
      </c>
      <c r="BK12" s="62">
        <f t="shared" si="7"/>
        <v>0.05</v>
      </c>
      <c r="BL12" s="62">
        <f t="shared" si="7"/>
        <v>0.05</v>
      </c>
      <c r="BM12" s="62">
        <f t="shared" si="7"/>
        <v>0.05</v>
      </c>
      <c r="BN12" s="62">
        <f t="shared" si="7"/>
        <v>0.05</v>
      </c>
      <c r="BO12" s="62">
        <f t="shared" si="7"/>
        <v>0.05</v>
      </c>
    </row>
    <row r="13" outlineLevel="1">
      <c r="A13" s="47"/>
      <c r="B13" s="54" t="s">
        <v>17</v>
      </c>
      <c r="C13" s="47"/>
      <c r="D13" s="63"/>
      <c r="E13" s="64"/>
      <c r="F13" s="64"/>
      <c r="G13" s="64"/>
      <c r="H13" s="63">
        <f t="shared" ref="H13:BO13" si="8">H11*H12</f>
        <v>50</v>
      </c>
      <c r="I13" s="63">
        <f t="shared" si="8"/>
        <v>50</v>
      </c>
      <c r="J13" s="63">
        <f t="shared" si="8"/>
        <v>50</v>
      </c>
      <c r="K13" s="63">
        <f t="shared" si="8"/>
        <v>50</v>
      </c>
      <c r="L13" s="63">
        <f t="shared" si="8"/>
        <v>50</v>
      </c>
      <c r="M13" s="63">
        <f t="shared" si="8"/>
        <v>50</v>
      </c>
      <c r="N13" s="63">
        <f t="shared" si="8"/>
        <v>50</v>
      </c>
      <c r="O13" s="63">
        <f t="shared" si="8"/>
        <v>50</v>
      </c>
      <c r="P13" s="63">
        <f t="shared" si="8"/>
        <v>50</v>
      </c>
      <c r="Q13" s="63">
        <f t="shared" si="8"/>
        <v>50</v>
      </c>
      <c r="R13" s="63">
        <f t="shared" si="8"/>
        <v>50</v>
      </c>
      <c r="S13" s="63">
        <f t="shared" si="8"/>
        <v>50</v>
      </c>
      <c r="T13" s="63">
        <f t="shared" si="8"/>
        <v>50</v>
      </c>
      <c r="U13" s="63">
        <f t="shared" si="8"/>
        <v>50</v>
      </c>
      <c r="V13" s="63">
        <f t="shared" si="8"/>
        <v>50</v>
      </c>
      <c r="W13" s="63">
        <f t="shared" si="8"/>
        <v>50</v>
      </c>
      <c r="X13" s="63">
        <f t="shared" si="8"/>
        <v>50</v>
      </c>
      <c r="Y13" s="63">
        <f t="shared" si="8"/>
        <v>50</v>
      </c>
      <c r="Z13" s="63">
        <f t="shared" si="8"/>
        <v>50</v>
      </c>
      <c r="AA13" s="63">
        <f t="shared" si="8"/>
        <v>50</v>
      </c>
      <c r="AB13" s="63">
        <f t="shared" si="8"/>
        <v>50</v>
      </c>
      <c r="AC13" s="63">
        <f t="shared" si="8"/>
        <v>50</v>
      </c>
      <c r="AD13" s="63">
        <f t="shared" si="8"/>
        <v>50</v>
      </c>
      <c r="AE13" s="63">
        <f t="shared" si="8"/>
        <v>50</v>
      </c>
      <c r="AF13" s="63">
        <f t="shared" si="8"/>
        <v>50</v>
      </c>
      <c r="AG13" s="63">
        <f t="shared" si="8"/>
        <v>50</v>
      </c>
      <c r="AH13" s="63">
        <f t="shared" si="8"/>
        <v>50</v>
      </c>
      <c r="AI13" s="63">
        <f t="shared" si="8"/>
        <v>50</v>
      </c>
      <c r="AJ13" s="63">
        <f t="shared" si="8"/>
        <v>50</v>
      </c>
      <c r="AK13" s="63">
        <f t="shared" si="8"/>
        <v>50</v>
      </c>
      <c r="AL13" s="63">
        <f t="shared" si="8"/>
        <v>50</v>
      </c>
      <c r="AM13" s="63">
        <f t="shared" si="8"/>
        <v>50</v>
      </c>
      <c r="AN13" s="63">
        <f t="shared" si="8"/>
        <v>50</v>
      </c>
      <c r="AO13" s="63">
        <f t="shared" si="8"/>
        <v>50</v>
      </c>
      <c r="AP13" s="63">
        <f t="shared" si="8"/>
        <v>50</v>
      </c>
      <c r="AQ13" s="63">
        <f t="shared" si="8"/>
        <v>50</v>
      </c>
      <c r="AR13" s="63">
        <f t="shared" si="8"/>
        <v>50</v>
      </c>
      <c r="AS13" s="63">
        <f t="shared" si="8"/>
        <v>50</v>
      </c>
      <c r="AT13" s="63">
        <f t="shared" si="8"/>
        <v>50</v>
      </c>
      <c r="AU13" s="63">
        <f t="shared" si="8"/>
        <v>50</v>
      </c>
      <c r="AV13" s="63">
        <f t="shared" si="8"/>
        <v>50</v>
      </c>
      <c r="AW13" s="63">
        <f t="shared" si="8"/>
        <v>50</v>
      </c>
      <c r="AX13" s="63">
        <f t="shared" si="8"/>
        <v>50</v>
      </c>
      <c r="AY13" s="63">
        <f t="shared" si="8"/>
        <v>50</v>
      </c>
      <c r="AZ13" s="63">
        <f t="shared" si="8"/>
        <v>50</v>
      </c>
      <c r="BA13" s="63">
        <f t="shared" si="8"/>
        <v>50</v>
      </c>
      <c r="BB13" s="63">
        <f t="shared" si="8"/>
        <v>50</v>
      </c>
      <c r="BC13" s="63">
        <f t="shared" si="8"/>
        <v>50</v>
      </c>
      <c r="BD13" s="63">
        <f t="shared" si="8"/>
        <v>50</v>
      </c>
      <c r="BE13" s="63">
        <f t="shared" si="8"/>
        <v>50</v>
      </c>
      <c r="BF13" s="63">
        <f t="shared" si="8"/>
        <v>50</v>
      </c>
      <c r="BG13" s="63">
        <f t="shared" si="8"/>
        <v>50</v>
      </c>
      <c r="BH13" s="63">
        <f t="shared" si="8"/>
        <v>50</v>
      </c>
      <c r="BI13" s="63">
        <f t="shared" si="8"/>
        <v>50</v>
      </c>
      <c r="BJ13" s="63">
        <f t="shared" si="8"/>
        <v>50</v>
      </c>
      <c r="BK13" s="63">
        <f t="shared" si="8"/>
        <v>50</v>
      </c>
      <c r="BL13" s="63">
        <f t="shared" si="8"/>
        <v>50</v>
      </c>
      <c r="BM13" s="63">
        <f t="shared" si="8"/>
        <v>50</v>
      </c>
      <c r="BN13" s="63">
        <f t="shared" si="8"/>
        <v>50</v>
      </c>
      <c r="BO13" s="63">
        <f t="shared" si="8"/>
        <v>50</v>
      </c>
    </row>
    <row r="14" outlineLevel="1">
      <c r="A14" s="47"/>
      <c r="B14" s="47"/>
      <c r="C14" s="47"/>
      <c r="D14" s="43"/>
      <c r="E14" s="47"/>
      <c r="F14" s="47"/>
      <c r="G14" s="47"/>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row>
    <row r="15" outlineLevel="1">
      <c r="A15" s="47"/>
      <c r="B15" s="65" t="s">
        <v>18</v>
      </c>
      <c r="C15" s="47"/>
      <c r="D15" s="43"/>
      <c r="E15" s="47"/>
      <c r="F15" s="47"/>
      <c r="G15" s="47"/>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row>
    <row r="16" outlineLevel="1">
      <c r="A16" s="66"/>
      <c r="B16" s="67" t="s">
        <v>19</v>
      </c>
      <c r="C16" s="66"/>
      <c r="D16" s="68">
        <v>5000.0</v>
      </c>
      <c r="E16" s="66"/>
      <c r="F16" s="66"/>
      <c r="G16" s="66"/>
      <c r="H16" s="69">
        <f t="shared" ref="H16:H18" si="10">D16</f>
        <v>5000</v>
      </c>
      <c r="I16" s="69">
        <f t="shared" ref="I16:BO16" si="9">H16</f>
        <v>5000</v>
      </c>
      <c r="J16" s="70">
        <f t="shared" si="9"/>
        <v>5000</v>
      </c>
      <c r="K16" s="70">
        <f t="shared" si="9"/>
        <v>5000</v>
      </c>
      <c r="L16" s="70">
        <f t="shared" si="9"/>
        <v>5000</v>
      </c>
      <c r="M16" s="70">
        <f t="shared" si="9"/>
        <v>5000</v>
      </c>
      <c r="N16" s="70">
        <f t="shared" si="9"/>
        <v>5000</v>
      </c>
      <c r="O16" s="70">
        <f t="shared" si="9"/>
        <v>5000</v>
      </c>
      <c r="P16" s="70">
        <f t="shared" si="9"/>
        <v>5000</v>
      </c>
      <c r="Q16" s="70">
        <f t="shared" si="9"/>
        <v>5000</v>
      </c>
      <c r="R16" s="70">
        <f t="shared" si="9"/>
        <v>5000</v>
      </c>
      <c r="S16" s="70">
        <f t="shared" si="9"/>
        <v>5000</v>
      </c>
      <c r="T16" s="70">
        <f t="shared" si="9"/>
        <v>5000</v>
      </c>
      <c r="U16" s="70">
        <f t="shared" si="9"/>
        <v>5000</v>
      </c>
      <c r="V16" s="70">
        <f t="shared" si="9"/>
        <v>5000</v>
      </c>
      <c r="W16" s="70">
        <f t="shared" si="9"/>
        <v>5000</v>
      </c>
      <c r="X16" s="70">
        <f t="shared" si="9"/>
        <v>5000</v>
      </c>
      <c r="Y16" s="70">
        <f t="shared" si="9"/>
        <v>5000</v>
      </c>
      <c r="Z16" s="70">
        <f t="shared" si="9"/>
        <v>5000</v>
      </c>
      <c r="AA16" s="70">
        <f t="shared" si="9"/>
        <v>5000</v>
      </c>
      <c r="AB16" s="70">
        <f t="shared" si="9"/>
        <v>5000</v>
      </c>
      <c r="AC16" s="70">
        <f t="shared" si="9"/>
        <v>5000</v>
      </c>
      <c r="AD16" s="70">
        <f t="shared" si="9"/>
        <v>5000</v>
      </c>
      <c r="AE16" s="70">
        <f t="shared" si="9"/>
        <v>5000</v>
      </c>
      <c r="AF16" s="70">
        <f t="shared" si="9"/>
        <v>5000</v>
      </c>
      <c r="AG16" s="70">
        <f t="shared" si="9"/>
        <v>5000</v>
      </c>
      <c r="AH16" s="70">
        <f t="shared" si="9"/>
        <v>5000</v>
      </c>
      <c r="AI16" s="70">
        <f t="shared" si="9"/>
        <v>5000</v>
      </c>
      <c r="AJ16" s="70">
        <f t="shared" si="9"/>
        <v>5000</v>
      </c>
      <c r="AK16" s="70">
        <f t="shared" si="9"/>
        <v>5000</v>
      </c>
      <c r="AL16" s="70">
        <f t="shared" si="9"/>
        <v>5000</v>
      </c>
      <c r="AM16" s="70">
        <f t="shared" si="9"/>
        <v>5000</v>
      </c>
      <c r="AN16" s="70">
        <f t="shared" si="9"/>
        <v>5000</v>
      </c>
      <c r="AO16" s="70">
        <f t="shared" si="9"/>
        <v>5000</v>
      </c>
      <c r="AP16" s="70">
        <f t="shared" si="9"/>
        <v>5000</v>
      </c>
      <c r="AQ16" s="70">
        <f t="shared" si="9"/>
        <v>5000</v>
      </c>
      <c r="AR16" s="70">
        <f t="shared" si="9"/>
        <v>5000</v>
      </c>
      <c r="AS16" s="70">
        <f t="shared" si="9"/>
        <v>5000</v>
      </c>
      <c r="AT16" s="70">
        <f t="shared" si="9"/>
        <v>5000</v>
      </c>
      <c r="AU16" s="70">
        <f t="shared" si="9"/>
        <v>5000</v>
      </c>
      <c r="AV16" s="70">
        <f t="shared" si="9"/>
        <v>5000</v>
      </c>
      <c r="AW16" s="70">
        <f t="shared" si="9"/>
        <v>5000</v>
      </c>
      <c r="AX16" s="70">
        <f t="shared" si="9"/>
        <v>5000</v>
      </c>
      <c r="AY16" s="70">
        <f t="shared" si="9"/>
        <v>5000</v>
      </c>
      <c r="AZ16" s="70">
        <f t="shared" si="9"/>
        <v>5000</v>
      </c>
      <c r="BA16" s="70">
        <f t="shared" si="9"/>
        <v>5000</v>
      </c>
      <c r="BB16" s="70">
        <f t="shared" si="9"/>
        <v>5000</v>
      </c>
      <c r="BC16" s="70">
        <f t="shared" si="9"/>
        <v>5000</v>
      </c>
      <c r="BD16" s="70">
        <f t="shared" si="9"/>
        <v>5000</v>
      </c>
      <c r="BE16" s="70">
        <f t="shared" si="9"/>
        <v>5000</v>
      </c>
      <c r="BF16" s="70">
        <f t="shared" si="9"/>
        <v>5000</v>
      </c>
      <c r="BG16" s="70">
        <f t="shared" si="9"/>
        <v>5000</v>
      </c>
      <c r="BH16" s="70">
        <f t="shared" si="9"/>
        <v>5000</v>
      </c>
      <c r="BI16" s="70">
        <f t="shared" si="9"/>
        <v>5000</v>
      </c>
      <c r="BJ16" s="70">
        <f t="shared" si="9"/>
        <v>5000</v>
      </c>
      <c r="BK16" s="70">
        <f t="shared" si="9"/>
        <v>5000</v>
      </c>
      <c r="BL16" s="70">
        <f t="shared" si="9"/>
        <v>5000</v>
      </c>
      <c r="BM16" s="70">
        <f t="shared" si="9"/>
        <v>5000</v>
      </c>
      <c r="BN16" s="70">
        <f t="shared" si="9"/>
        <v>5000</v>
      </c>
      <c r="BO16" s="70">
        <f t="shared" si="9"/>
        <v>5000</v>
      </c>
    </row>
    <row r="17" outlineLevel="1">
      <c r="A17" s="66"/>
      <c r="B17" s="67" t="s">
        <v>20</v>
      </c>
      <c r="C17" s="67"/>
      <c r="D17" s="68">
        <v>2.0</v>
      </c>
      <c r="E17" s="66"/>
      <c r="F17" s="66"/>
      <c r="G17" s="66"/>
      <c r="H17" s="71">
        <f t="shared" si="10"/>
        <v>2</v>
      </c>
      <c r="I17" s="71">
        <f t="shared" ref="I17:BO17" si="11">H17</f>
        <v>2</v>
      </c>
      <c r="J17" s="71">
        <f t="shared" si="11"/>
        <v>2</v>
      </c>
      <c r="K17" s="71">
        <f t="shared" si="11"/>
        <v>2</v>
      </c>
      <c r="L17" s="71">
        <f t="shared" si="11"/>
        <v>2</v>
      </c>
      <c r="M17" s="71">
        <f t="shared" si="11"/>
        <v>2</v>
      </c>
      <c r="N17" s="71">
        <f t="shared" si="11"/>
        <v>2</v>
      </c>
      <c r="O17" s="71">
        <f t="shared" si="11"/>
        <v>2</v>
      </c>
      <c r="P17" s="71">
        <f t="shared" si="11"/>
        <v>2</v>
      </c>
      <c r="Q17" s="71">
        <f t="shared" si="11"/>
        <v>2</v>
      </c>
      <c r="R17" s="71">
        <f t="shared" si="11"/>
        <v>2</v>
      </c>
      <c r="S17" s="71">
        <f t="shared" si="11"/>
        <v>2</v>
      </c>
      <c r="T17" s="71">
        <f t="shared" si="11"/>
        <v>2</v>
      </c>
      <c r="U17" s="71">
        <f t="shared" si="11"/>
        <v>2</v>
      </c>
      <c r="V17" s="71">
        <f t="shared" si="11"/>
        <v>2</v>
      </c>
      <c r="W17" s="71">
        <f t="shared" si="11"/>
        <v>2</v>
      </c>
      <c r="X17" s="71">
        <f t="shared" si="11"/>
        <v>2</v>
      </c>
      <c r="Y17" s="71">
        <f t="shared" si="11"/>
        <v>2</v>
      </c>
      <c r="Z17" s="71">
        <f t="shared" si="11"/>
        <v>2</v>
      </c>
      <c r="AA17" s="71">
        <f t="shared" si="11"/>
        <v>2</v>
      </c>
      <c r="AB17" s="71">
        <f t="shared" si="11"/>
        <v>2</v>
      </c>
      <c r="AC17" s="71">
        <f t="shared" si="11"/>
        <v>2</v>
      </c>
      <c r="AD17" s="71">
        <f t="shared" si="11"/>
        <v>2</v>
      </c>
      <c r="AE17" s="71">
        <f t="shared" si="11"/>
        <v>2</v>
      </c>
      <c r="AF17" s="71">
        <f t="shared" si="11"/>
        <v>2</v>
      </c>
      <c r="AG17" s="71">
        <f t="shared" si="11"/>
        <v>2</v>
      </c>
      <c r="AH17" s="71">
        <f t="shared" si="11"/>
        <v>2</v>
      </c>
      <c r="AI17" s="71">
        <f t="shared" si="11"/>
        <v>2</v>
      </c>
      <c r="AJ17" s="71">
        <f t="shared" si="11"/>
        <v>2</v>
      </c>
      <c r="AK17" s="71">
        <f t="shared" si="11"/>
        <v>2</v>
      </c>
      <c r="AL17" s="71">
        <f t="shared" si="11"/>
        <v>2</v>
      </c>
      <c r="AM17" s="71">
        <f t="shared" si="11"/>
        <v>2</v>
      </c>
      <c r="AN17" s="71">
        <f t="shared" si="11"/>
        <v>2</v>
      </c>
      <c r="AO17" s="71">
        <f t="shared" si="11"/>
        <v>2</v>
      </c>
      <c r="AP17" s="71">
        <f t="shared" si="11"/>
        <v>2</v>
      </c>
      <c r="AQ17" s="71">
        <f t="shared" si="11"/>
        <v>2</v>
      </c>
      <c r="AR17" s="71">
        <f t="shared" si="11"/>
        <v>2</v>
      </c>
      <c r="AS17" s="71">
        <f t="shared" si="11"/>
        <v>2</v>
      </c>
      <c r="AT17" s="71">
        <f t="shared" si="11"/>
        <v>2</v>
      </c>
      <c r="AU17" s="71">
        <f t="shared" si="11"/>
        <v>2</v>
      </c>
      <c r="AV17" s="71">
        <f t="shared" si="11"/>
        <v>2</v>
      </c>
      <c r="AW17" s="71">
        <f t="shared" si="11"/>
        <v>2</v>
      </c>
      <c r="AX17" s="71">
        <f t="shared" si="11"/>
        <v>2</v>
      </c>
      <c r="AY17" s="71">
        <f t="shared" si="11"/>
        <v>2</v>
      </c>
      <c r="AZ17" s="71">
        <f t="shared" si="11"/>
        <v>2</v>
      </c>
      <c r="BA17" s="71">
        <f t="shared" si="11"/>
        <v>2</v>
      </c>
      <c r="BB17" s="71">
        <f t="shared" si="11"/>
        <v>2</v>
      </c>
      <c r="BC17" s="71">
        <f t="shared" si="11"/>
        <v>2</v>
      </c>
      <c r="BD17" s="71">
        <f t="shared" si="11"/>
        <v>2</v>
      </c>
      <c r="BE17" s="71">
        <f t="shared" si="11"/>
        <v>2</v>
      </c>
      <c r="BF17" s="71">
        <f t="shared" si="11"/>
        <v>2</v>
      </c>
      <c r="BG17" s="71">
        <f t="shared" si="11"/>
        <v>2</v>
      </c>
      <c r="BH17" s="71">
        <f t="shared" si="11"/>
        <v>2</v>
      </c>
      <c r="BI17" s="71">
        <f t="shared" si="11"/>
        <v>2</v>
      </c>
      <c r="BJ17" s="71">
        <f t="shared" si="11"/>
        <v>2</v>
      </c>
      <c r="BK17" s="71">
        <f t="shared" si="11"/>
        <v>2</v>
      </c>
      <c r="BL17" s="71">
        <f t="shared" si="11"/>
        <v>2</v>
      </c>
      <c r="BM17" s="71">
        <f t="shared" si="11"/>
        <v>2</v>
      </c>
      <c r="BN17" s="71">
        <f t="shared" si="11"/>
        <v>2</v>
      </c>
      <c r="BO17" s="71">
        <f t="shared" si="11"/>
        <v>2</v>
      </c>
    </row>
    <row r="18" outlineLevel="1">
      <c r="A18" s="47"/>
      <c r="B18" s="72" t="s">
        <v>16</v>
      </c>
      <c r="C18" s="59"/>
      <c r="D18" s="73">
        <v>0.05</v>
      </c>
      <c r="E18" s="61"/>
      <c r="F18" s="61"/>
      <c r="G18" s="61"/>
      <c r="H18" s="62">
        <f t="shared" si="10"/>
        <v>0.05</v>
      </c>
      <c r="I18" s="62">
        <f t="shared" ref="I18:BO18" si="12">H18</f>
        <v>0.05</v>
      </c>
      <c r="J18" s="62">
        <f t="shared" si="12"/>
        <v>0.05</v>
      </c>
      <c r="K18" s="62">
        <f t="shared" si="12"/>
        <v>0.05</v>
      </c>
      <c r="L18" s="62">
        <f t="shared" si="12"/>
        <v>0.05</v>
      </c>
      <c r="M18" s="62">
        <f t="shared" si="12"/>
        <v>0.05</v>
      </c>
      <c r="N18" s="62">
        <f t="shared" si="12"/>
        <v>0.05</v>
      </c>
      <c r="O18" s="62">
        <f t="shared" si="12"/>
        <v>0.05</v>
      </c>
      <c r="P18" s="62">
        <f t="shared" si="12"/>
        <v>0.05</v>
      </c>
      <c r="Q18" s="62">
        <f t="shared" si="12"/>
        <v>0.05</v>
      </c>
      <c r="R18" s="62">
        <f t="shared" si="12"/>
        <v>0.05</v>
      </c>
      <c r="S18" s="62">
        <f t="shared" si="12"/>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c r="BO18" s="62">
        <f t="shared" si="12"/>
        <v>0.05</v>
      </c>
    </row>
    <row r="19" outlineLevel="1">
      <c r="A19" s="47"/>
      <c r="B19" s="74" t="s">
        <v>17</v>
      </c>
      <c r="C19" s="47"/>
      <c r="D19" s="75"/>
      <c r="E19" s="76"/>
      <c r="F19" s="76"/>
      <c r="G19" s="76"/>
      <c r="H19" s="75">
        <f t="shared" ref="H19:BO19" si="13">(H16/H17)*H18</f>
        <v>125</v>
      </c>
      <c r="I19" s="75">
        <f t="shared" si="13"/>
        <v>125</v>
      </c>
      <c r="J19" s="75">
        <f t="shared" si="13"/>
        <v>125</v>
      </c>
      <c r="K19" s="75">
        <f t="shared" si="13"/>
        <v>125</v>
      </c>
      <c r="L19" s="75">
        <f t="shared" si="13"/>
        <v>125</v>
      </c>
      <c r="M19" s="75">
        <f t="shared" si="13"/>
        <v>125</v>
      </c>
      <c r="N19" s="75">
        <f t="shared" si="13"/>
        <v>125</v>
      </c>
      <c r="O19" s="75">
        <f t="shared" si="13"/>
        <v>125</v>
      </c>
      <c r="P19" s="75">
        <f t="shared" si="13"/>
        <v>125</v>
      </c>
      <c r="Q19" s="75">
        <f t="shared" si="13"/>
        <v>125</v>
      </c>
      <c r="R19" s="75">
        <f t="shared" si="13"/>
        <v>125</v>
      </c>
      <c r="S19" s="75">
        <f t="shared" si="13"/>
        <v>125</v>
      </c>
      <c r="T19" s="75">
        <f t="shared" si="13"/>
        <v>125</v>
      </c>
      <c r="U19" s="75">
        <f t="shared" si="13"/>
        <v>125</v>
      </c>
      <c r="V19" s="75">
        <f t="shared" si="13"/>
        <v>125</v>
      </c>
      <c r="W19" s="75">
        <f t="shared" si="13"/>
        <v>125</v>
      </c>
      <c r="X19" s="75">
        <f t="shared" si="13"/>
        <v>125</v>
      </c>
      <c r="Y19" s="75">
        <f t="shared" si="13"/>
        <v>125</v>
      </c>
      <c r="Z19" s="75">
        <f t="shared" si="13"/>
        <v>125</v>
      </c>
      <c r="AA19" s="75">
        <f t="shared" si="13"/>
        <v>125</v>
      </c>
      <c r="AB19" s="75">
        <f t="shared" si="13"/>
        <v>125</v>
      </c>
      <c r="AC19" s="75">
        <f t="shared" si="13"/>
        <v>125</v>
      </c>
      <c r="AD19" s="75">
        <f t="shared" si="13"/>
        <v>125</v>
      </c>
      <c r="AE19" s="75">
        <f t="shared" si="13"/>
        <v>125</v>
      </c>
      <c r="AF19" s="75">
        <f t="shared" si="13"/>
        <v>125</v>
      </c>
      <c r="AG19" s="75">
        <f t="shared" si="13"/>
        <v>125</v>
      </c>
      <c r="AH19" s="75">
        <f t="shared" si="13"/>
        <v>125</v>
      </c>
      <c r="AI19" s="75">
        <f t="shared" si="13"/>
        <v>125</v>
      </c>
      <c r="AJ19" s="75">
        <f t="shared" si="13"/>
        <v>125</v>
      </c>
      <c r="AK19" s="75">
        <f t="shared" si="13"/>
        <v>125</v>
      </c>
      <c r="AL19" s="75">
        <f t="shared" si="13"/>
        <v>125</v>
      </c>
      <c r="AM19" s="75">
        <f t="shared" si="13"/>
        <v>125</v>
      </c>
      <c r="AN19" s="75">
        <f t="shared" si="13"/>
        <v>125</v>
      </c>
      <c r="AO19" s="75">
        <f t="shared" si="13"/>
        <v>125</v>
      </c>
      <c r="AP19" s="75">
        <f t="shared" si="13"/>
        <v>125</v>
      </c>
      <c r="AQ19" s="75">
        <f t="shared" si="13"/>
        <v>125</v>
      </c>
      <c r="AR19" s="75">
        <f t="shared" si="13"/>
        <v>125</v>
      </c>
      <c r="AS19" s="75">
        <f t="shared" si="13"/>
        <v>125</v>
      </c>
      <c r="AT19" s="75">
        <f t="shared" si="13"/>
        <v>125</v>
      </c>
      <c r="AU19" s="75">
        <f t="shared" si="13"/>
        <v>125</v>
      </c>
      <c r="AV19" s="75">
        <f t="shared" si="13"/>
        <v>125</v>
      </c>
      <c r="AW19" s="75">
        <f t="shared" si="13"/>
        <v>125</v>
      </c>
      <c r="AX19" s="75">
        <f t="shared" si="13"/>
        <v>125</v>
      </c>
      <c r="AY19" s="75">
        <f t="shared" si="13"/>
        <v>125</v>
      </c>
      <c r="AZ19" s="75">
        <f t="shared" si="13"/>
        <v>125</v>
      </c>
      <c r="BA19" s="75">
        <f t="shared" si="13"/>
        <v>125</v>
      </c>
      <c r="BB19" s="75">
        <f t="shared" si="13"/>
        <v>125</v>
      </c>
      <c r="BC19" s="75">
        <f t="shared" si="13"/>
        <v>125</v>
      </c>
      <c r="BD19" s="75">
        <f t="shared" si="13"/>
        <v>125</v>
      </c>
      <c r="BE19" s="75">
        <f t="shared" si="13"/>
        <v>125</v>
      </c>
      <c r="BF19" s="75">
        <f t="shared" si="13"/>
        <v>125</v>
      </c>
      <c r="BG19" s="75">
        <f t="shared" si="13"/>
        <v>125</v>
      </c>
      <c r="BH19" s="75">
        <f t="shared" si="13"/>
        <v>125</v>
      </c>
      <c r="BI19" s="75">
        <f t="shared" si="13"/>
        <v>125</v>
      </c>
      <c r="BJ19" s="75">
        <f t="shared" si="13"/>
        <v>125</v>
      </c>
      <c r="BK19" s="75">
        <f t="shared" si="13"/>
        <v>125</v>
      </c>
      <c r="BL19" s="75">
        <f t="shared" si="13"/>
        <v>125</v>
      </c>
      <c r="BM19" s="75">
        <f t="shared" si="13"/>
        <v>125</v>
      </c>
      <c r="BN19" s="75">
        <f t="shared" si="13"/>
        <v>125</v>
      </c>
      <c r="BO19" s="75">
        <f t="shared" si="13"/>
        <v>125</v>
      </c>
    </row>
    <row r="20" outlineLevel="1">
      <c r="A20" s="47"/>
      <c r="B20" s="47"/>
      <c r="C20" s="47"/>
      <c r="D20" s="43"/>
      <c r="E20" s="47"/>
      <c r="F20" s="47"/>
      <c r="G20" s="47"/>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row>
    <row r="21" outlineLevel="1">
      <c r="A21" s="47"/>
      <c r="B21" s="65" t="s">
        <v>21</v>
      </c>
      <c r="C21" s="47"/>
      <c r="D21" s="43"/>
      <c r="E21" s="47"/>
      <c r="F21" s="47"/>
      <c r="G21" s="47"/>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row>
    <row r="22" outlineLevel="1">
      <c r="A22" s="47"/>
      <c r="B22" s="39" t="s">
        <v>22</v>
      </c>
      <c r="C22" s="47"/>
      <c r="D22" s="77">
        <v>5.0</v>
      </c>
      <c r="E22" s="47"/>
      <c r="F22" s="47"/>
      <c r="G22" s="47"/>
      <c r="H22" s="57">
        <f t="shared" ref="H22:H24" si="15">D22</f>
        <v>5</v>
      </c>
      <c r="I22" s="57">
        <f t="shared" ref="I22:BO22" si="14">H22</f>
        <v>5</v>
      </c>
      <c r="J22" s="57">
        <f t="shared" si="14"/>
        <v>5</v>
      </c>
      <c r="K22" s="57">
        <f t="shared" si="14"/>
        <v>5</v>
      </c>
      <c r="L22" s="57">
        <f t="shared" si="14"/>
        <v>5</v>
      </c>
      <c r="M22" s="57">
        <f t="shared" si="14"/>
        <v>5</v>
      </c>
      <c r="N22" s="57">
        <f t="shared" si="14"/>
        <v>5</v>
      </c>
      <c r="O22" s="57">
        <f t="shared" si="14"/>
        <v>5</v>
      </c>
      <c r="P22" s="57">
        <f t="shared" si="14"/>
        <v>5</v>
      </c>
      <c r="Q22" s="57">
        <f t="shared" si="14"/>
        <v>5</v>
      </c>
      <c r="R22" s="57">
        <f t="shared" si="14"/>
        <v>5</v>
      </c>
      <c r="S22" s="57">
        <f t="shared" si="14"/>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c r="BO22" s="57">
        <f t="shared" si="14"/>
        <v>5</v>
      </c>
    </row>
    <row r="23" outlineLevel="1">
      <c r="A23" s="47"/>
      <c r="B23" s="39" t="s">
        <v>23</v>
      </c>
      <c r="C23" s="47"/>
      <c r="D23" s="78">
        <v>50.0</v>
      </c>
      <c r="E23" s="47"/>
      <c r="F23" s="47"/>
      <c r="G23" s="47"/>
      <c r="H23" s="79">
        <f t="shared" si="15"/>
        <v>50</v>
      </c>
      <c r="I23" s="79">
        <f t="shared" ref="I23:BO23" si="16">H23</f>
        <v>50</v>
      </c>
      <c r="J23" s="79">
        <f t="shared" si="16"/>
        <v>50</v>
      </c>
      <c r="K23" s="79">
        <f t="shared" si="16"/>
        <v>50</v>
      </c>
      <c r="L23" s="79">
        <f t="shared" si="16"/>
        <v>50</v>
      </c>
      <c r="M23" s="79">
        <f t="shared" si="16"/>
        <v>50</v>
      </c>
      <c r="N23" s="79">
        <f t="shared" si="16"/>
        <v>50</v>
      </c>
      <c r="O23" s="79">
        <f t="shared" si="16"/>
        <v>50</v>
      </c>
      <c r="P23" s="79">
        <f t="shared" si="16"/>
        <v>50</v>
      </c>
      <c r="Q23" s="79">
        <f t="shared" si="16"/>
        <v>50</v>
      </c>
      <c r="R23" s="79">
        <f t="shared" si="16"/>
        <v>50</v>
      </c>
      <c r="S23" s="79">
        <f t="shared" si="16"/>
        <v>50</v>
      </c>
      <c r="T23" s="79">
        <f t="shared" si="16"/>
        <v>50</v>
      </c>
      <c r="U23" s="79">
        <f t="shared" si="16"/>
        <v>50</v>
      </c>
      <c r="V23" s="79">
        <f t="shared" si="16"/>
        <v>50</v>
      </c>
      <c r="W23" s="79">
        <f t="shared" si="16"/>
        <v>50</v>
      </c>
      <c r="X23" s="79">
        <f t="shared" si="16"/>
        <v>50</v>
      </c>
      <c r="Y23" s="79">
        <f t="shared" si="16"/>
        <v>50</v>
      </c>
      <c r="Z23" s="79">
        <f t="shared" si="16"/>
        <v>50</v>
      </c>
      <c r="AA23" s="79">
        <f t="shared" si="16"/>
        <v>50</v>
      </c>
      <c r="AB23" s="79">
        <f t="shared" si="16"/>
        <v>50</v>
      </c>
      <c r="AC23" s="79">
        <f t="shared" si="16"/>
        <v>50</v>
      </c>
      <c r="AD23" s="79">
        <f t="shared" si="16"/>
        <v>50</v>
      </c>
      <c r="AE23" s="79">
        <f t="shared" si="16"/>
        <v>50</v>
      </c>
      <c r="AF23" s="79">
        <f t="shared" si="16"/>
        <v>50</v>
      </c>
      <c r="AG23" s="79">
        <f t="shared" si="16"/>
        <v>50</v>
      </c>
      <c r="AH23" s="79">
        <f t="shared" si="16"/>
        <v>50</v>
      </c>
      <c r="AI23" s="79">
        <f t="shared" si="16"/>
        <v>50</v>
      </c>
      <c r="AJ23" s="79">
        <f t="shared" si="16"/>
        <v>50</v>
      </c>
      <c r="AK23" s="79">
        <f t="shared" si="16"/>
        <v>50</v>
      </c>
      <c r="AL23" s="79">
        <f t="shared" si="16"/>
        <v>50</v>
      </c>
      <c r="AM23" s="79">
        <f t="shared" si="16"/>
        <v>50</v>
      </c>
      <c r="AN23" s="79">
        <f t="shared" si="16"/>
        <v>50</v>
      </c>
      <c r="AO23" s="79">
        <f t="shared" si="16"/>
        <v>50</v>
      </c>
      <c r="AP23" s="79">
        <f t="shared" si="16"/>
        <v>50</v>
      </c>
      <c r="AQ23" s="79">
        <f t="shared" si="16"/>
        <v>50</v>
      </c>
      <c r="AR23" s="79">
        <f t="shared" si="16"/>
        <v>50</v>
      </c>
      <c r="AS23" s="79">
        <f t="shared" si="16"/>
        <v>50</v>
      </c>
      <c r="AT23" s="79">
        <f t="shared" si="16"/>
        <v>50</v>
      </c>
      <c r="AU23" s="79">
        <f t="shared" si="16"/>
        <v>50</v>
      </c>
      <c r="AV23" s="79">
        <f t="shared" si="16"/>
        <v>50</v>
      </c>
      <c r="AW23" s="79">
        <f t="shared" si="16"/>
        <v>50</v>
      </c>
      <c r="AX23" s="79">
        <f t="shared" si="16"/>
        <v>50</v>
      </c>
      <c r="AY23" s="79">
        <f t="shared" si="16"/>
        <v>50</v>
      </c>
      <c r="AZ23" s="79">
        <f t="shared" si="16"/>
        <v>50</v>
      </c>
      <c r="BA23" s="79">
        <f t="shared" si="16"/>
        <v>50</v>
      </c>
      <c r="BB23" s="79">
        <f t="shared" si="16"/>
        <v>50</v>
      </c>
      <c r="BC23" s="79">
        <f t="shared" si="16"/>
        <v>50</v>
      </c>
      <c r="BD23" s="79">
        <f t="shared" si="16"/>
        <v>50</v>
      </c>
      <c r="BE23" s="79">
        <f t="shared" si="16"/>
        <v>50</v>
      </c>
      <c r="BF23" s="79">
        <f t="shared" si="16"/>
        <v>50</v>
      </c>
      <c r="BG23" s="79">
        <f t="shared" si="16"/>
        <v>50</v>
      </c>
      <c r="BH23" s="79">
        <f t="shared" si="16"/>
        <v>50</v>
      </c>
      <c r="BI23" s="79">
        <f t="shared" si="16"/>
        <v>50</v>
      </c>
      <c r="BJ23" s="79">
        <f t="shared" si="16"/>
        <v>50</v>
      </c>
      <c r="BK23" s="79">
        <f t="shared" si="16"/>
        <v>50</v>
      </c>
      <c r="BL23" s="79">
        <f t="shared" si="16"/>
        <v>50</v>
      </c>
      <c r="BM23" s="79">
        <f t="shared" si="16"/>
        <v>50</v>
      </c>
      <c r="BN23" s="79">
        <f t="shared" si="16"/>
        <v>50</v>
      </c>
      <c r="BO23" s="79">
        <f t="shared" si="16"/>
        <v>50</v>
      </c>
    </row>
    <row r="24" outlineLevel="1">
      <c r="A24" s="47"/>
      <c r="B24" s="72" t="s">
        <v>16</v>
      </c>
      <c r="C24" s="59"/>
      <c r="D24" s="73">
        <v>0.05</v>
      </c>
      <c r="E24" s="61"/>
      <c r="F24" s="61"/>
      <c r="G24" s="61"/>
      <c r="H24" s="62">
        <f t="shared" si="15"/>
        <v>0.05</v>
      </c>
      <c r="I24" s="62">
        <f t="shared" ref="I24:BO24" si="17">H24</f>
        <v>0.05</v>
      </c>
      <c r="J24" s="62">
        <f t="shared" si="17"/>
        <v>0.05</v>
      </c>
      <c r="K24" s="62">
        <f t="shared" si="17"/>
        <v>0.05</v>
      </c>
      <c r="L24" s="62">
        <f t="shared" si="17"/>
        <v>0.05</v>
      </c>
      <c r="M24" s="62">
        <f t="shared" si="17"/>
        <v>0.05</v>
      </c>
      <c r="N24" s="62">
        <f t="shared" si="17"/>
        <v>0.05</v>
      </c>
      <c r="O24" s="62">
        <f t="shared" si="17"/>
        <v>0.05</v>
      </c>
      <c r="P24" s="62">
        <f t="shared" si="17"/>
        <v>0.05</v>
      </c>
      <c r="Q24" s="62">
        <f t="shared" si="17"/>
        <v>0.05</v>
      </c>
      <c r="R24" s="62">
        <f t="shared" si="17"/>
        <v>0.05</v>
      </c>
      <c r="S24" s="62">
        <f t="shared" si="17"/>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c r="BO24" s="62">
        <f t="shared" si="17"/>
        <v>0.05</v>
      </c>
    </row>
    <row r="25" outlineLevel="1">
      <c r="A25" s="47"/>
      <c r="B25" s="74" t="s">
        <v>17</v>
      </c>
      <c r="C25" s="47"/>
      <c r="D25" s="63"/>
      <c r="E25" s="64"/>
      <c r="F25" s="64"/>
      <c r="G25" s="64"/>
      <c r="H25" s="63">
        <f t="shared" ref="H25:BO25" si="18">H22*H23*H24</f>
        <v>12.5</v>
      </c>
      <c r="I25" s="63">
        <f t="shared" si="18"/>
        <v>12.5</v>
      </c>
      <c r="J25" s="63">
        <f t="shared" si="18"/>
        <v>12.5</v>
      </c>
      <c r="K25" s="63">
        <f t="shared" si="18"/>
        <v>12.5</v>
      </c>
      <c r="L25" s="63">
        <f t="shared" si="18"/>
        <v>12.5</v>
      </c>
      <c r="M25" s="63">
        <f t="shared" si="18"/>
        <v>12.5</v>
      </c>
      <c r="N25" s="63">
        <f t="shared" si="18"/>
        <v>12.5</v>
      </c>
      <c r="O25" s="63">
        <f t="shared" si="18"/>
        <v>12.5</v>
      </c>
      <c r="P25" s="63">
        <f t="shared" si="18"/>
        <v>12.5</v>
      </c>
      <c r="Q25" s="63">
        <f t="shared" si="18"/>
        <v>12.5</v>
      </c>
      <c r="R25" s="63">
        <f t="shared" si="18"/>
        <v>12.5</v>
      </c>
      <c r="S25" s="63">
        <f t="shared" si="18"/>
        <v>12.5</v>
      </c>
      <c r="T25" s="63">
        <f t="shared" si="18"/>
        <v>12.5</v>
      </c>
      <c r="U25" s="63">
        <f t="shared" si="18"/>
        <v>12.5</v>
      </c>
      <c r="V25" s="63">
        <f t="shared" si="18"/>
        <v>12.5</v>
      </c>
      <c r="W25" s="63">
        <f t="shared" si="18"/>
        <v>12.5</v>
      </c>
      <c r="X25" s="63">
        <f t="shared" si="18"/>
        <v>12.5</v>
      </c>
      <c r="Y25" s="63">
        <f t="shared" si="18"/>
        <v>12.5</v>
      </c>
      <c r="Z25" s="63">
        <f t="shared" si="18"/>
        <v>12.5</v>
      </c>
      <c r="AA25" s="63">
        <f t="shared" si="18"/>
        <v>12.5</v>
      </c>
      <c r="AB25" s="63">
        <f t="shared" si="18"/>
        <v>12.5</v>
      </c>
      <c r="AC25" s="63">
        <f t="shared" si="18"/>
        <v>12.5</v>
      </c>
      <c r="AD25" s="63">
        <f t="shared" si="18"/>
        <v>12.5</v>
      </c>
      <c r="AE25" s="63">
        <f t="shared" si="18"/>
        <v>12.5</v>
      </c>
      <c r="AF25" s="63">
        <f t="shared" si="18"/>
        <v>12.5</v>
      </c>
      <c r="AG25" s="63">
        <f t="shared" si="18"/>
        <v>12.5</v>
      </c>
      <c r="AH25" s="63">
        <f t="shared" si="18"/>
        <v>12.5</v>
      </c>
      <c r="AI25" s="63">
        <f t="shared" si="18"/>
        <v>12.5</v>
      </c>
      <c r="AJ25" s="63">
        <f t="shared" si="18"/>
        <v>12.5</v>
      </c>
      <c r="AK25" s="63">
        <f t="shared" si="18"/>
        <v>12.5</v>
      </c>
      <c r="AL25" s="63">
        <f t="shared" si="18"/>
        <v>12.5</v>
      </c>
      <c r="AM25" s="63">
        <f t="shared" si="18"/>
        <v>12.5</v>
      </c>
      <c r="AN25" s="63">
        <f t="shared" si="18"/>
        <v>12.5</v>
      </c>
      <c r="AO25" s="63">
        <f t="shared" si="18"/>
        <v>12.5</v>
      </c>
      <c r="AP25" s="63">
        <f t="shared" si="18"/>
        <v>12.5</v>
      </c>
      <c r="AQ25" s="63">
        <f t="shared" si="18"/>
        <v>12.5</v>
      </c>
      <c r="AR25" s="63">
        <f t="shared" si="18"/>
        <v>12.5</v>
      </c>
      <c r="AS25" s="63">
        <f t="shared" si="18"/>
        <v>12.5</v>
      </c>
      <c r="AT25" s="63">
        <f t="shared" si="18"/>
        <v>12.5</v>
      </c>
      <c r="AU25" s="63">
        <f t="shared" si="18"/>
        <v>12.5</v>
      </c>
      <c r="AV25" s="63">
        <f t="shared" si="18"/>
        <v>12.5</v>
      </c>
      <c r="AW25" s="63">
        <f t="shared" si="18"/>
        <v>12.5</v>
      </c>
      <c r="AX25" s="63">
        <f t="shared" si="18"/>
        <v>12.5</v>
      </c>
      <c r="AY25" s="63">
        <f t="shared" si="18"/>
        <v>12.5</v>
      </c>
      <c r="AZ25" s="63">
        <f t="shared" si="18"/>
        <v>12.5</v>
      </c>
      <c r="BA25" s="63">
        <f t="shared" si="18"/>
        <v>12.5</v>
      </c>
      <c r="BB25" s="63">
        <f t="shared" si="18"/>
        <v>12.5</v>
      </c>
      <c r="BC25" s="63">
        <f t="shared" si="18"/>
        <v>12.5</v>
      </c>
      <c r="BD25" s="63">
        <f t="shared" si="18"/>
        <v>12.5</v>
      </c>
      <c r="BE25" s="63">
        <f t="shared" si="18"/>
        <v>12.5</v>
      </c>
      <c r="BF25" s="63">
        <f t="shared" si="18"/>
        <v>12.5</v>
      </c>
      <c r="BG25" s="63">
        <f t="shared" si="18"/>
        <v>12.5</v>
      </c>
      <c r="BH25" s="63">
        <f t="shared" si="18"/>
        <v>12.5</v>
      </c>
      <c r="BI25" s="63">
        <f t="shared" si="18"/>
        <v>12.5</v>
      </c>
      <c r="BJ25" s="63">
        <f t="shared" si="18"/>
        <v>12.5</v>
      </c>
      <c r="BK25" s="63">
        <f t="shared" si="18"/>
        <v>12.5</v>
      </c>
      <c r="BL25" s="63">
        <f t="shared" si="18"/>
        <v>12.5</v>
      </c>
      <c r="BM25" s="63">
        <f t="shared" si="18"/>
        <v>12.5</v>
      </c>
      <c r="BN25" s="63">
        <f t="shared" si="18"/>
        <v>12.5</v>
      </c>
      <c r="BO25" s="63">
        <f t="shared" si="18"/>
        <v>12.5</v>
      </c>
    </row>
    <row r="26" outlineLevel="1">
      <c r="A26" s="47"/>
      <c r="B26" s="65"/>
      <c r="C26" s="47"/>
      <c r="D26" s="43"/>
      <c r="E26" s="47"/>
      <c r="F26" s="47"/>
      <c r="G26" s="47"/>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row>
    <row r="27" outlineLevel="1">
      <c r="A27" s="47"/>
      <c r="B27" s="65" t="s">
        <v>24</v>
      </c>
      <c r="C27" s="47"/>
      <c r="D27" s="43"/>
      <c r="E27" s="47"/>
      <c r="F27" s="47"/>
      <c r="G27" s="47"/>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row>
    <row r="28" outlineLevel="1">
      <c r="A28" s="47"/>
      <c r="B28" s="39" t="s">
        <v>25</v>
      </c>
      <c r="C28" s="47"/>
      <c r="D28" s="47"/>
      <c r="F28" s="47"/>
      <c r="G28" s="47"/>
      <c r="H28" s="77">
        <v>1.0</v>
      </c>
      <c r="I28" s="77">
        <v>0.0</v>
      </c>
      <c r="J28" s="77">
        <v>0.0</v>
      </c>
      <c r="K28" s="77">
        <v>0.0</v>
      </c>
      <c r="L28" s="77">
        <v>0.0</v>
      </c>
      <c r="M28" s="77">
        <v>0.0</v>
      </c>
      <c r="N28" s="77">
        <v>0.0</v>
      </c>
      <c r="O28" s="77">
        <v>0.0</v>
      </c>
      <c r="P28" s="77">
        <v>0.0</v>
      </c>
      <c r="Q28" s="77">
        <v>0.0</v>
      </c>
      <c r="R28" s="77">
        <v>0.0</v>
      </c>
      <c r="S28" s="77">
        <v>0.0</v>
      </c>
      <c r="T28" s="77">
        <v>0.0</v>
      </c>
      <c r="U28" s="77">
        <v>0.0</v>
      </c>
      <c r="V28" s="77">
        <v>0.0</v>
      </c>
      <c r="W28" s="77">
        <v>0.0</v>
      </c>
      <c r="X28" s="77">
        <v>0.0</v>
      </c>
      <c r="Y28" s="77">
        <v>0.0</v>
      </c>
      <c r="Z28" s="77">
        <v>0.0</v>
      </c>
      <c r="AA28" s="77">
        <v>0.0</v>
      </c>
      <c r="AB28" s="77">
        <v>0.0</v>
      </c>
      <c r="AC28" s="77">
        <v>0.0</v>
      </c>
      <c r="AD28" s="77">
        <v>0.0</v>
      </c>
      <c r="AE28" s="77">
        <v>0.0</v>
      </c>
      <c r="AF28" s="77">
        <v>0.0</v>
      </c>
      <c r="AG28" s="77">
        <v>0.0</v>
      </c>
      <c r="AH28" s="77">
        <v>0.0</v>
      </c>
      <c r="AI28" s="77">
        <v>0.0</v>
      </c>
      <c r="AJ28" s="77">
        <v>0.0</v>
      </c>
      <c r="AK28" s="77">
        <v>0.0</v>
      </c>
      <c r="AL28" s="77">
        <v>0.0</v>
      </c>
      <c r="AM28" s="77">
        <v>0.0</v>
      </c>
      <c r="AN28" s="77">
        <v>0.0</v>
      </c>
      <c r="AO28" s="77">
        <v>0.0</v>
      </c>
      <c r="AP28" s="77">
        <v>0.0</v>
      </c>
      <c r="AQ28" s="77">
        <v>0.0</v>
      </c>
      <c r="AR28" s="77">
        <v>0.0</v>
      </c>
      <c r="AS28" s="77">
        <v>0.0</v>
      </c>
      <c r="AT28" s="77">
        <v>0.0</v>
      </c>
      <c r="AU28" s="77">
        <v>0.0</v>
      </c>
      <c r="AV28" s="77">
        <v>0.0</v>
      </c>
      <c r="AW28" s="77">
        <v>0.0</v>
      </c>
      <c r="AX28" s="77">
        <v>0.0</v>
      </c>
      <c r="AY28" s="77">
        <v>0.0</v>
      </c>
      <c r="AZ28" s="77">
        <v>0.0</v>
      </c>
      <c r="BA28" s="77">
        <v>0.0</v>
      </c>
      <c r="BB28" s="77">
        <v>0.0</v>
      </c>
      <c r="BC28" s="77">
        <v>0.0</v>
      </c>
      <c r="BD28" s="77">
        <v>0.0</v>
      </c>
      <c r="BE28" s="77">
        <v>0.0</v>
      </c>
      <c r="BF28" s="77">
        <v>0.0</v>
      </c>
      <c r="BG28" s="77">
        <v>0.0</v>
      </c>
      <c r="BH28" s="77">
        <v>0.0</v>
      </c>
      <c r="BI28" s="77">
        <v>0.0</v>
      </c>
      <c r="BJ28" s="77">
        <v>0.0</v>
      </c>
      <c r="BK28" s="77">
        <v>0.0</v>
      </c>
      <c r="BL28" s="77">
        <v>0.0</v>
      </c>
      <c r="BM28" s="77">
        <v>0.0</v>
      </c>
      <c r="BN28" s="77">
        <v>0.0</v>
      </c>
      <c r="BO28" s="77">
        <v>0.0</v>
      </c>
    </row>
    <row r="29" outlineLevel="1">
      <c r="A29" s="47"/>
      <c r="B29" s="39" t="s">
        <v>26</v>
      </c>
      <c r="C29" s="47"/>
      <c r="D29" s="77">
        <v>50.0</v>
      </c>
      <c r="E29" s="47"/>
      <c r="F29" s="47"/>
      <c r="G29" s="47"/>
      <c r="H29" s="80">
        <f t="shared" ref="H29:H30" si="20">D29</f>
        <v>50</v>
      </c>
      <c r="I29" s="80">
        <f t="shared" ref="I29:BO29" si="19">H29</f>
        <v>50</v>
      </c>
      <c r="J29" s="80">
        <f t="shared" si="19"/>
        <v>50</v>
      </c>
      <c r="K29" s="80">
        <f t="shared" si="19"/>
        <v>50</v>
      </c>
      <c r="L29" s="80">
        <f t="shared" si="19"/>
        <v>50</v>
      </c>
      <c r="M29" s="80">
        <f t="shared" si="19"/>
        <v>50</v>
      </c>
      <c r="N29" s="80">
        <f t="shared" si="19"/>
        <v>50</v>
      </c>
      <c r="O29" s="80">
        <f t="shared" si="19"/>
        <v>50</v>
      </c>
      <c r="P29" s="80">
        <f t="shared" si="19"/>
        <v>50</v>
      </c>
      <c r="Q29" s="80">
        <f t="shared" si="19"/>
        <v>50</v>
      </c>
      <c r="R29" s="80">
        <f t="shared" si="19"/>
        <v>50</v>
      </c>
      <c r="S29" s="80">
        <f t="shared" si="19"/>
        <v>50</v>
      </c>
      <c r="T29" s="80">
        <f t="shared" si="19"/>
        <v>50</v>
      </c>
      <c r="U29" s="80">
        <f t="shared" si="19"/>
        <v>50</v>
      </c>
      <c r="V29" s="80">
        <f t="shared" si="19"/>
        <v>50</v>
      </c>
      <c r="W29" s="80">
        <f t="shared" si="19"/>
        <v>50</v>
      </c>
      <c r="X29" s="80">
        <f t="shared" si="19"/>
        <v>50</v>
      </c>
      <c r="Y29" s="80">
        <f t="shared" si="19"/>
        <v>50</v>
      </c>
      <c r="Z29" s="80">
        <f t="shared" si="19"/>
        <v>50</v>
      </c>
      <c r="AA29" s="80">
        <f t="shared" si="19"/>
        <v>50</v>
      </c>
      <c r="AB29" s="80">
        <f t="shared" si="19"/>
        <v>50</v>
      </c>
      <c r="AC29" s="80">
        <f t="shared" si="19"/>
        <v>50</v>
      </c>
      <c r="AD29" s="80">
        <f t="shared" si="19"/>
        <v>50</v>
      </c>
      <c r="AE29" s="80">
        <f t="shared" si="19"/>
        <v>50</v>
      </c>
      <c r="AF29" s="80">
        <f t="shared" si="19"/>
        <v>50</v>
      </c>
      <c r="AG29" s="80">
        <f t="shared" si="19"/>
        <v>50</v>
      </c>
      <c r="AH29" s="80">
        <f t="shared" si="19"/>
        <v>50</v>
      </c>
      <c r="AI29" s="80">
        <f t="shared" si="19"/>
        <v>50</v>
      </c>
      <c r="AJ29" s="80">
        <f t="shared" si="19"/>
        <v>50</v>
      </c>
      <c r="AK29" s="80">
        <f t="shared" si="19"/>
        <v>50</v>
      </c>
      <c r="AL29" s="80">
        <f t="shared" si="19"/>
        <v>50</v>
      </c>
      <c r="AM29" s="80">
        <f t="shared" si="19"/>
        <v>50</v>
      </c>
      <c r="AN29" s="80">
        <f t="shared" si="19"/>
        <v>50</v>
      </c>
      <c r="AO29" s="80">
        <f t="shared" si="19"/>
        <v>50</v>
      </c>
      <c r="AP29" s="80">
        <f t="shared" si="19"/>
        <v>50</v>
      </c>
      <c r="AQ29" s="80">
        <f t="shared" si="19"/>
        <v>50</v>
      </c>
      <c r="AR29" s="80">
        <f t="shared" si="19"/>
        <v>50</v>
      </c>
      <c r="AS29" s="80">
        <f t="shared" si="19"/>
        <v>50</v>
      </c>
      <c r="AT29" s="80">
        <f t="shared" si="19"/>
        <v>50</v>
      </c>
      <c r="AU29" s="80">
        <f t="shared" si="19"/>
        <v>50</v>
      </c>
      <c r="AV29" s="80">
        <f t="shared" si="19"/>
        <v>50</v>
      </c>
      <c r="AW29" s="80">
        <f t="shared" si="19"/>
        <v>50</v>
      </c>
      <c r="AX29" s="80">
        <f t="shared" si="19"/>
        <v>50</v>
      </c>
      <c r="AY29" s="80">
        <f t="shared" si="19"/>
        <v>50</v>
      </c>
      <c r="AZ29" s="80">
        <f t="shared" si="19"/>
        <v>50</v>
      </c>
      <c r="BA29" s="80">
        <f t="shared" si="19"/>
        <v>50</v>
      </c>
      <c r="BB29" s="80">
        <f t="shared" si="19"/>
        <v>50</v>
      </c>
      <c r="BC29" s="80">
        <f t="shared" si="19"/>
        <v>50</v>
      </c>
      <c r="BD29" s="80">
        <f t="shared" si="19"/>
        <v>50</v>
      </c>
      <c r="BE29" s="80">
        <f t="shared" si="19"/>
        <v>50</v>
      </c>
      <c r="BF29" s="80">
        <f t="shared" si="19"/>
        <v>50</v>
      </c>
      <c r="BG29" s="80">
        <f t="shared" si="19"/>
        <v>50</v>
      </c>
      <c r="BH29" s="80">
        <f t="shared" si="19"/>
        <v>50</v>
      </c>
      <c r="BI29" s="80">
        <f t="shared" si="19"/>
        <v>50</v>
      </c>
      <c r="BJ29" s="80">
        <f t="shared" si="19"/>
        <v>50</v>
      </c>
      <c r="BK29" s="80">
        <f t="shared" si="19"/>
        <v>50</v>
      </c>
      <c r="BL29" s="80">
        <f t="shared" si="19"/>
        <v>50</v>
      </c>
      <c r="BM29" s="80">
        <f t="shared" si="19"/>
        <v>50</v>
      </c>
      <c r="BN29" s="80">
        <f t="shared" si="19"/>
        <v>50</v>
      </c>
      <c r="BO29" s="80">
        <f t="shared" si="19"/>
        <v>50</v>
      </c>
    </row>
    <row r="30" outlineLevel="1">
      <c r="A30" s="47"/>
      <c r="B30" s="72" t="s">
        <v>16</v>
      </c>
      <c r="C30" s="59"/>
      <c r="D30" s="73">
        <v>0.05</v>
      </c>
      <c r="E30" s="61"/>
      <c r="F30" s="61"/>
      <c r="G30" s="61"/>
      <c r="H30" s="62">
        <f t="shared" si="20"/>
        <v>0.05</v>
      </c>
      <c r="I30" s="62">
        <f t="shared" ref="I30:BO30" si="21">H30</f>
        <v>0.05</v>
      </c>
      <c r="J30" s="62">
        <f t="shared" si="21"/>
        <v>0.05</v>
      </c>
      <c r="K30" s="62">
        <f t="shared" si="21"/>
        <v>0.05</v>
      </c>
      <c r="L30" s="62">
        <f t="shared" si="21"/>
        <v>0.05</v>
      </c>
      <c r="M30" s="62">
        <f t="shared" si="21"/>
        <v>0.05</v>
      </c>
      <c r="N30" s="62">
        <f t="shared" si="21"/>
        <v>0.05</v>
      </c>
      <c r="O30" s="62">
        <f t="shared" si="21"/>
        <v>0.05</v>
      </c>
      <c r="P30" s="62">
        <f t="shared" si="21"/>
        <v>0.05</v>
      </c>
      <c r="Q30" s="62">
        <f t="shared" si="21"/>
        <v>0.05</v>
      </c>
      <c r="R30" s="62">
        <f t="shared" si="21"/>
        <v>0.05</v>
      </c>
      <c r="S30" s="62">
        <f t="shared" si="21"/>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c r="BO30" s="62">
        <f t="shared" si="21"/>
        <v>0.05</v>
      </c>
    </row>
    <row r="31" outlineLevel="1">
      <c r="A31" s="47"/>
      <c r="B31" s="74" t="s">
        <v>17</v>
      </c>
      <c r="C31" s="47"/>
      <c r="D31" s="63"/>
      <c r="E31" s="64"/>
      <c r="F31" s="64"/>
      <c r="G31" s="64"/>
      <c r="H31" s="63">
        <f t="shared" ref="H31:BO31" si="22">H28*H29*H30</f>
        <v>2.5</v>
      </c>
      <c r="I31" s="63">
        <f t="shared" si="22"/>
        <v>0</v>
      </c>
      <c r="J31" s="63">
        <f t="shared" si="22"/>
        <v>0</v>
      </c>
      <c r="K31" s="63">
        <f t="shared" si="22"/>
        <v>0</v>
      </c>
      <c r="L31" s="63">
        <f t="shared" si="22"/>
        <v>0</v>
      </c>
      <c r="M31" s="63">
        <f t="shared" si="22"/>
        <v>0</v>
      </c>
      <c r="N31" s="63">
        <f t="shared" si="22"/>
        <v>0</v>
      </c>
      <c r="O31" s="63">
        <f t="shared" si="22"/>
        <v>0</v>
      </c>
      <c r="P31" s="63">
        <f t="shared" si="22"/>
        <v>0</v>
      </c>
      <c r="Q31" s="63">
        <f t="shared" si="22"/>
        <v>0</v>
      </c>
      <c r="R31" s="63">
        <f t="shared" si="22"/>
        <v>0</v>
      </c>
      <c r="S31" s="63">
        <f t="shared" si="22"/>
        <v>0</v>
      </c>
      <c r="T31" s="63">
        <f t="shared" si="22"/>
        <v>0</v>
      </c>
      <c r="U31" s="63">
        <f t="shared" si="22"/>
        <v>0</v>
      </c>
      <c r="V31" s="63">
        <f t="shared" si="22"/>
        <v>0</v>
      </c>
      <c r="W31" s="63">
        <f t="shared" si="22"/>
        <v>0</v>
      </c>
      <c r="X31" s="63">
        <f t="shared" si="22"/>
        <v>0</v>
      </c>
      <c r="Y31" s="63">
        <f t="shared" si="22"/>
        <v>0</v>
      </c>
      <c r="Z31" s="63">
        <f t="shared" si="22"/>
        <v>0</v>
      </c>
      <c r="AA31" s="63">
        <f t="shared" si="22"/>
        <v>0</v>
      </c>
      <c r="AB31" s="63">
        <f t="shared" si="22"/>
        <v>0</v>
      </c>
      <c r="AC31" s="63">
        <f t="shared" si="22"/>
        <v>0</v>
      </c>
      <c r="AD31" s="63">
        <f t="shared" si="22"/>
        <v>0</v>
      </c>
      <c r="AE31" s="63">
        <f t="shared" si="22"/>
        <v>0</v>
      </c>
      <c r="AF31" s="63">
        <f t="shared" si="22"/>
        <v>0</v>
      </c>
      <c r="AG31" s="63">
        <f t="shared" si="22"/>
        <v>0</v>
      </c>
      <c r="AH31" s="63">
        <f t="shared" si="22"/>
        <v>0</v>
      </c>
      <c r="AI31" s="63">
        <f t="shared" si="22"/>
        <v>0</v>
      </c>
      <c r="AJ31" s="63">
        <f t="shared" si="22"/>
        <v>0</v>
      </c>
      <c r="AK31" s="63">
        <f t="shared" si="22"/>
        <v>0</v>
      </c>
      <c r="AL31" s="63">
        <f t="shared" si="22"/>
        <v>0</v>
      </c>
      <c r="AM31" s="63">
        <f t="shared" si="22"/>
        <v>0</v>
      </c>
      <c r="AN31" s="63">
        <f t="shared" si="22"/>
        <v>0</v>
      </c>
      <c r="AO31" s="63">
        <f t="shared" si="22"/>
        <v>0</v>
      </c>
      <c r="AP31" s="63">
        <f t="shared" si="22"/>
        <v>0</v>
      </c>
      <c r="AQ31" s="63">
        <f t="shared" si="22"/>
        <v>0</v>
      </c>
      <c r="AR31" s="63">
        <f t="shared" si="22"/>
        <v>0</v>
      </c>
      <c r="AS31" s="63">
        <f t="shared" si="22"/>
        <v>0</v>
      </c>
      <c r="AT31" s="63">
        <f t="shared" si="22"/>
        <v>0</v>
      </c>
      <c r="AU31" s="63">
        <f t="shared" si="22"/>
        <v>0</v>
      </c>
      <c r="AV31" s="63">
        <f t="shared" si="22"/>
        <v>0</v>
      </c>
      <c r="AW31" s="63">
        <f t="shared" si="22"/>
        <v>0</v>
      </c>
      <c r="AX31" s="63">
        <f t="shared" si="22"/>
        <v>0</v>
      </c>
      <c r="AY31" s="63">
        <f t="shared" si="22"/>
        <v>0</v>
      </c>
      <c r="AZ31" s="63">
        <f t="shared" si="22"/>
        <v>0</v>
      </c>
      <c r="BA31" s="63">
        <f t="shared" si="22"/>
        <v>0</v>
      </c>
      <c r="BB31" s="63">
        <f t="shared" si="22"/>
        <v>0</v>
      </c>
      <c r="BC31" s="63">
        <f t="shared" si="22"/>
        <v>0</v>
      </c>
      <c r="BD31" s="63">
        <f t="shared" si="22"/>
        <v>0</v>
      </c>
      <c r="BE31" s="63">
        <f t="shared" si="22"/>
        <v>0</v>
      </c>
      <c r="BF31" s="63">
        <f t="shared" si="22"/>
        <v>0</v>
      </c>
      <c r="BG31" s="63">
        <f t="shared" si="22"/>
        <v>0</v>
      </c>
      <c r="BH31" s="63">
        <f t="shared" si="22"/>
        <v>0</v>
      </c>
      <c r="BI31" s="63">
        <f t="shared" si="22"/>
        <v>0</v>
      </c>
      <c r="BJ31" s="63">
        <f t="shared" si="22"/>
        <v>0</v>
      </c>
      <c r="BK31" s="63">
        <f t="shared" si="22"/>
        <v>0</v>
      </c>
      <c r="BL31" s="63">
        <f t="shared" si="22"/>
        <v>0</v>
      </c>
      <c r="BM31" s="63">
        <f t="shared" si="22"/>
        <v>0</v>
      </c>
      <c r="BN31" s="63">
        <f t="shared" si="22"/>
        <v>0</v>
      </c>
      <c r="BO31" s="63">
        <f t="shared" si="22"/>
        <v>0</v>
      </c>
    </row>
    <row r="32" outlineLevel="1">
      <c r="A32" s="47"/>
      <c r="B32" s="65"/>
      <c r="C32" s="47"/>
      <c r="D32" s="43"/>
      <c r="E32" s="47"/>
      <c r="F32" s="47"/>
      <c r="G32" s="47"/>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row>
    <row r="33" outlineLevel="1">
      <c r="A33" s="81"/>
      <c r="B33" s="82" t="s">
        <v>27</v>
      </c>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row>
    <row r="34" outlineLevel="1">
      <c r="A34" s="81"/>
      <c r="B34" s="47" t="s">
        <v>28</v>
      </c>
      <c r="C34" s="81"/>
      <c r="D34" s="77">
        <v>2.0</v>
      </c>
      <c r="E34" s="81"/>
      <c r="F34" s="81"/>
      <c r="G34" s="81"/>
      <c r="H34" s="57">
        <f t="shared" ref="H34:H37" si="24">D34</f>
        <v>2</v>
      </c>
      <c r="I34" s="57">
        <f t="shared" ref="I34:BO34" si="23">H34</f>
        <v>2</v>
      </c>
      <c r="J34" s="57">
        <f t="shared" si="23"/>
        <v>2</v>
      </c>
      <c r="K34" s="57">
        <f t="shared" si="23"/>
        <v>2</v>
      </c>
      <c r="L34" s="57">
        <f t="shared" si="23"/>
        <v>2</v>
      </c>
      <c r="M34" s="57">
        <f t="shared" si="23"/>
        <v>2</v>
      </c>
      <c r="N34" s="57">
        <f t="shared" si="23"/>
        <v>2</v>
      </c>
      <c r="O34" s="57">
        <f t="shared" si="23"/>
        <v>2</v>
      </c>
      <c r="P34" s="57">
        <f t="shared" si="23"/>
        <v>2</v>
      </c>
      <c r="Q34" s="57">
        <f t="shared" si="23"/>
        <v>2</v>
      </c>
      <c r="R34" s="57">
        <f t="shared" si="23"/>
        <v>2</v>
      </c>
      <c r="S34" s="57">
        <f t="shared" si="23"/>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c r="BO34" s="57">
        <f t="shared" si="23"/>
        <v>2</v>
      </c>
    </row>
    <row r="35" outlineLevel="1">
      <c r="A35" s="81"/>
      <c r="B35" s="47" t="s">
        <v>29</v>
      </c>
      <c r="C35" s="81"/>
      <c r="D35" s="77">
        <v>100.0</v>
      </c>
      <c r="E35" s="81"/>
      <c r="F35" s="81"/>
      <c r="G35" s="81"/>
      <c r="H35" s="57">
        <f t="shared" si="24"/>
        <v>100</v>
      </c>
      <c r="I35" s="57">
        <f t="shared" ref="I35:BO35" si="25">H35</f>
        <v>100</v>
      </c>
      <c r="J35" s="57">
        <f t="shared" si="25"/>
        <v>100</v>
      </c>
      <c r="K35" s="57">
        <f t="shared" si="25"/>
        <v>100</v>
      </c>
      <c r="L35" s="57">
        <f t="shared" si="25"/>
        <v>100</v>
      </c>
      <c r="M35" s="57">
        <f t="shared" si="25"/>
        <v>100</v>
      </c>
      <c r="N35" s="57">
        <f t="shared" si="25"/>
        <v>100</v>
      </c>
      <c r="O35" s="57">
        <f t="shared" si="25"/>
        <v>100</v>
      </c>
      <c r="P35" s="57">
        <f t="shared" si="25"/>
        <v>100</v>
      </c>
      <c r="Q35" s="57">
        <f t="shared" si="25"/>
        <v>100</v>
      </c>
      <c r="R35" s="57">
        <f t="shared" si="25"/>
        <v>100</v>
      </c>
      <c r="S35" s="57">
        <f t="shared" si="25"/>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c r="BO35" s="57">
        <f t="shared" si="25"/>
        <v>100</v>
      </c>
    </row>
    <row r="36" outlineLevel="1">
      <c r="A36" s="81"/>
      <c r="B36" s="47" t="s">
        <v>30</v>
      </c>
      <c r="C36" s="81"/>
      <c r="D36" s="77">
        <v>5.0</v>
      </c>
      <c r="E36" s="81"/>
      <c r="F36" s="81"/>
      <c r="G36" s="81"/>
      <c r="H36" s="57">
        <f t="shared" si="24"/>
        <v>5</v>
      </c>
      <c r="I36" s="57">
        <f t="shared" ref="I36:BO36" si="26">H36</f>
        <v>5</v>
      </c>
      <c r="J36" s="57">
        <f t="shared" si="26"/>
        <v>5</v>
      </c>
      <c r="K36" s="57">
        <f t="shared" si="26"/>
        <v>5</v>
      </c>
      <c r="L36" s="57">
        <f t="shared" si="26"/>
        <v>5</v>
      </c>
      <c r="M36" s="57">
        <f t="shared" si="26"/>
        <v>5</v>
      </c>
      <c r="N36" s="57">
        <f t="shared" si="26"/>
        <v>5</v>
      </c>
      <c r="O36" s="57">
        <f t="shared" si="26"/>
        <v>5</v>
      </c>
      <c r="P36" s="57">
        <f t="shared" si="26"/>
        <v>5</v>
      </c>
      <c r="Q36" s="57">
        <f t="shared" si="26"/>
        <v>5</v>
      </c>
      <c r="R36" s="57">
        <f t="shared" si="26"/>
        <v>5</v>
      </c>
      <c r="S36" s="57">
        <f t="shared" si="26"/>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c r="BO36" s="57">
        <f t="shared" si="26"/>
        <v>5</v>
      </c>
    </row>
    <row r="37" outlineLevel="1">
      <c r="A37" s="81"/>
      <c r="B37" s="59" t="s">
        <v>16</v>
      </c>
      <c r="C37" s="83"/>
      <c r="D37" s="84">
        <v>0.05</v>
      </c>
      <c r="E37" s="85"/>
      <c r="F37" s="85"/>
      <c r="G37" s="85"/>
      <c r="H37" s="62">
        <f t="shared" si="24"/>
        <v>0.05</v>
      </c>
      <c r="I37" s="62">
        <f t="shared" ref="I37:BO37" si="27">H37</f>
        <v>0.05</v>
      </c>
      <c r="J37" s="62">
        <f t="shared" si="27"/>
        <v>0.05</v>
      </c>
      <c r="K37" s="62">
        <f t="shared" si="27"/>
        <v>0.05</v>
      </c>
      <c r="L37" s="62">
        <f t="shared" si="27"/>
        <v>0.05</v>
      </c>
      <c r="M37" s="62">
        <f t="shared" si="27"/>
        <v>0.05</v>
      </c>
      <c r="N37" s="62">
        <f t="shared" si="27"/>
        <v>0.05</v>
      </c>
      <c r="O37" s="62">
        <f t="shared" si="27"/>
        <v>0.05</v>
      </c>
      <c r="P37" s="62">
        <f t="shared" si="27"/>
        <v>0.05</v>
      </c>
      <c r="Q37" s="62">
        <f t="shared" si="27"/>
        <v>0.05</v>
      </c>
      <c r="R37" s="62">
        <f t="shared" si="27"/>
        <v>0.05</v>
      </c>
      <c r="S37" s="62">
        <f t="shared" si="27"/>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c r="BO37" s="62">
        <f t="shared" si="27"/>
        <v>0.05</v>
      </c>
    </row>
    <row r="38" outlineLevel="1">
      <c r="A38" s="81"/>
      <c r="B38" s="86" t="s">
        <v>17</v>
      </c>
      <c r="C38" s="81"/>
      <c r="D38" s="75"/>
      <c r="E38" s="87"/>
      <c r="F38" s="87"/>
      <c r="G38" s="87"/>
      <c r="H38" s="75">
        <f t="shared" ref="H38:BO38" si="28">H34*H35*H36*H37</f>
        <v>50</v>
      </c>
      <c r="I38" s="75">
        <f t="shared" si="28"/>
        <v>50</v>
      </c>
      <c r="J38" s="75">
        <f t="shared" si="28"/>
        <v>50</v>
      </c>
      <c r="K38" s="75">
        <f t="shared" si="28"/>
        <v>50</v>
      </c>
      <c r="L38" s="75">
        <f t="shared" si="28"/>
        <v>50</v>
      </c>
      <c r="M38" s="75">
        <f t="shared" si="28"/>
        <v>50</v>
      </c>
      <c r="N38" s="75">
        <f t="shared" si="28"/>
        <v>50</v>
      </c>
      <c r="O38" s="75">
        <f t="shared" si="28"/>
        <v>50</v>
      </c>
      <c r="P38" s="75">
        <f t="shared" si="28"/>
        <v>50</v>
      </c>
      <c r="Q38" s="75">
        <f t="shared" si="28"/>
        <v>50</v>
      </c>
      <c r="R38" s="75">
        <f t="shared" si="28"/>
        <v>50</v>
      </c>
      <c r="S38" s="75">
        <f t="shared" si="28"/>
        <v>50</v>
      </c>
      <c r="T38" s="75">
        <f t="shared" si="28"/>
        <v>50</v>
      </c>
      <c r="U38" s="75">
        <f t="shared" si="28"/>
        <v>50</v>
      </c>
      <c r="V38" s="75">
        <f t="shared" si="28"/>
        <v>50</v>
      </c>
      <c r="W38" s="75">
        <f t="shared" si="28"/>
        <v>50</v>
      </c>
      <c r="X38" s="75">
        <f t="shared" si="28"/>
        <v>50</v>
      </c>
      <c r="Y38" s="75">
        <f t="shared" si="28"/>
        <v>50</v>
      </c>
      <c r="Z38" s="75">
        <f t="shared" si="28"/>
        <v>50</v>
      </c>
      <c r="AA38" s="75">
        <f t="shared" si="28"/>
        <v>50</v>
      </c>
      <c r="AB38" s="75">
        <f t="shared" si="28"/>
        <v>50</v>
      </c>
      <c r="AC38" s="75">
        <f t="shared" si="28"/>
        <v>50</v>
      </c>
      <c r="AD38" s="75">
        <f t="shared" si="28"/>
        <v>50</v>
      </c>
      <c r="AE38" s="75">
        <f t="shared" si="28"/>
        <v>50</v>
      </c>
      <c r="AF38" s="75">
        <f t="shared" si="28"/>
        <v>50</v>
      </c>
      <c r="AG38" s="75">
        <f t="shared" si="28"/>
        <v>50</v>
      </c>
      <c r="AH38" s="75">
        <f t="shared" si="28"/>
        <v>50</v>
      </c>
      <c r="AI38" s="75">
        <f t="shared" si="28"/>
        <v>50</v>
      </c>
      <c r="AJ38" s="75">
        <f t="shared" si="28"/>
        <v>50</v>
      </c>
      <c r="AK38" s="75">
        <f t="shared" si="28"/>
        <v>50</v>
      </c>
      <c r="AL38" s="75">
        <f t="shared" si="28"/>
        <v>50</v>
      </c>
      <c r="AM38" s="75">
        <f t="shared" si="28"/>
        <v>50</v>
      </c>
      <c r="AN38" s="75">
        <f t="shared" si="28"/>
        <v>50</v>
      </c>
      <c r="AO38" s="75">
        <f t="shared" si="28"/>
        <v>50</v>
      </c>
      <c r="AP38" s="75">
        <f t="shared" si="28"/>
        <v>50</v>
      </c>
      <c r="AQ38" s="75">
        <f t="shared" si="28"/>
        <v>50</v>
      </c>
      <c r="AR38" s="75">
        <f t="shared" si="28"/>
        <v>50</v>
      </c>
      <c r="AS38" s="75">
        <f t="shared" si="28"/>
        <v>50</v>
      </c>
      <c r="AT38" s="75">
        <f t="shared" si="28"/>
        <v>50</v>
      </c>
      <c r="AU38" s="75">
        <f t="shared" si="28"/>
        <v>50</v>
      </c>
      <c r="AV38" s="75">
        <f t="shared" si="28"/>
        <v>50</v>
      </c>
      <c r="AW38" s="75">
        <f t="shared" si="28"/>
        <v>50</v>
      </c>
      <c r="AX38" s="75">
        <f t="shared" si="28"/>
        <v>50</v>
      </c>
      <c r="AY38" s="75">
        <f t="shared" si="28"/>
        <v>50</v>
      </c>
      <c r="AZ38" s="75">
        <f t="shared" si="28"/>
        <v>50</v>
      </c>
      <c r="BA38" s="75">
        <f t="shared" si="28"/>
        <v>50</v>
      </c>
      <c r="BB38" s="75">
        <f t="shared" si="28"/>
        <v>50</v>
      </c>
      <c r="BC38" s="75">
        <f t="shared" si="28"/>
        <v>50</v>
      </c>
      <c r="BD38" s="75">
        <f t="shared" si="28"/>
        <v>50</v>
      </c>
      <c r="BE38" s="75">
        <f t="shared" si="28"/>
        <v>50</v>
      </c>
      <c r="BF38" s="75">
        <f t="shared" si="28"/>
        <v>50</v>
      </c>
      <c r="BG38" s="75">
        <f t="shared" si="28"/>
        <v>50</v>
      </c>
      <c r="BH38" s="75">
        <f t="shared" si="28"/>
        <v>50</v>
      </c>
      <c r="BI38" s="75">
        <f t="shared" si="28"/>
        <v>50</v>
      </c>
      <c r="BJ38" s="75">
        <f t="shared" si="28"/>
        <v>50</v>
      </c>
      <c r="BK38" s="75">
        <f t="shared" si="28"/>
        <v>50</v>
      </c>
      <c r="BL38" s="75">
        <f t="shared" si="28"/>
        <v>50</v>
      </c>
      <c r="BM38" s="75">
        <f t="shared" si="28"/>
        <v>50</v>
      </c>
      <c r="BN38" s="75">
        <f t="shared" si="28"/>
        <v>50</v>
      </c>
      <c r="BO38" s="75">
        <f t="shared" si="28"/>
        <v>50</v>
      </c>
    </row>
    <row r="39" outlineLevel="1">
      <c r="A39" s="47"/>
      <c r="B39" s="65"/>
      <c r="C39" s="47"/>
      <c r="D39" s="43"/>
      <c r="E39" s="47"/>
      <c r="F39" s="47"/>
      <c r="G39" s="47"/>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row>
    <row r="40" outlineLevel="1">
      <c r="A40" s="47"/>
      <c r="B40" s="65" t="s">
        <v>31</v>
      </c>
      <c r="C40" s="47"/>
      <c r="D40" s="43"/>
      <c r="E40" s="47"/>
      <c r="F40" s="47"/>
      <c r="G40" s="47"/>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row>
    <row r="41" outlineLevel="1">
      <c r="A41" s="47"/>
      <c r="B41" s="39" t="s">
        <v>32</v>
      </c>
      <c r="C41" s="47"/>
      <c r="D41" s="57" t="str">
        <f>C71</f>
        <v/>
      </c>
      <c r="E41" s="47"/>
      <c r="F41" s="47"/>
      <c r="G41" s="47"/>
      <c r="H41" s="57" t="str">
        <f t="shared" ref="H41:BO41" si="29">G71</f>
        <v/>
      </c>
      <c r="I41" s="57">
        <f t="shared" si="29"/>
        <v>267.5</v>
      </c>
      <c r="J41" s="57">
        <f t="shared" si="29"/>
        <v>274.0125</v>
      </c>
      <c r="K41" s="57">
        <f t="shared" si="29"/>
        <v>274.1101875</v>
      </c>
      <c r="L41" s="57">
        <f t="shared" si="29"/>
        <v>274.1116528</v>
      </c>
      <c r="M41" s="57">
        <f t="shared" si="29"/>
        <v>274.1116748</v>
      </c>
      <c r="N41" s="57">
        <f t="shared" si="29"/>
        <v>274.1116751</v>
      </c>
      <c r="O41" s="57">
        <f t="shared" si="29"/>
        <v>274.1116751</v>
      </c>
      <c r="P41" s="57">
        <f t="shared" si="29"/>
        <v>274.1116751</v>
      </c>
      <c r="Q41" s="57">
        <f t="shared" si="29"/>
        <v>274.1116751</v>
      </c>
      <c r="R41" s="57">
        <f t="shared" si="29"/>
        <v>274.1116751</v>
      </c>
      <c r="S41" s="57">
        <f t="shared" si="29"/>
        <v>274.1116751</v>
      </c>
      <c r="T41" s="57">
        <f t="shared" si="29"/>
        <v>274.1116751</v>
      </c>
      <c r="U41" s="57">
        <f t="shared" si="29"/>
        <v>274.1116751</v>
      </c>
      <c r="V41" s="57">
        <f t="shared" si="29"/>
        <v>274.1116751</v>
      </c>
      <c r="W41" s="57">
        <f t="shared" si="29"/>
        <v>274.1116751</v>
      </c>
      <c r="X41" s="57">
        <f t="shared" si="29"/>
        <v>274.1116751</v>
      </c>
      <c r="Y41" s="57">
        <f t="shared" si="29"/>
        <v>274.1116751</v>
      </c>
      <c r="Z41" s="57">
        <f t="shared" si="29"/>
        <v>274.1116751</v>
      </c>
      <c r="AA41" s="57">
        <f t="shared" si="29"/>
        <v>274.1116751</v>
      </c>
      <c r="AB41" s="57">
        <f t="shared" si="29"/>
        <v>274.1116751</v>
      </c>
      <c r="AC41" s="57">
        <f t="shared" si="29"/>
        <v>274.1116751</v>
      </c>
      <c r="AD41" s="57">
        <f t="shared" si="29"/>
        <v>274.1116751</v>
      </c>
      <c r="AE41" s="57">
        <f t="shared" si="29"/>
        <v>274.1116751</v>
      </c>
      <c r="AF41" s="57">
        <f t="shared" si="29"/>
        <v>274.1116751</v>
      </c>
      <c r="AG41" s="57">
        <f t="shared" si="29"/>
        <v>274.1116751</v>
      </c>
      <c r="AH41" s="57">
        <f t="shared" si="29"/>
        <v>274.1116751</v>
      </c>
      <c r="AI41" s="57">
        <f t="shared" si="29"/>
        <v>274.1116751</v>
      </c>
      <c r="AJ41" s="57">
        <f t="shared" si="29"/>
        <v>274.1116751</v>
      </c>
      <c r="AK41" s="57">
        <f t="shared" si="29"/>
        <v>274.1116751</v>
      </c>
      <c r="AL41" s="57">
        <f t="shared" si="29"/>
        <v>274.1116751</v>
      </c>
      <c r="AM41" s="57">
        <f t="shared" si="29"/>
        <v>274.1116751</v>
      </c>
      <c r="AN41" s="57">
        <f t="shared" si="29"/>
        <v>274.1116751</v>
      </c>
      <c r="AO41" s="57">
        <f t="shared" si="29"/>
        <v>274.1116751</v>
      </c>
      <c r="AP41" s="57">
        <f t="shared" si="29"/>
        <v>274.1116751</v>
      </c>
      <c r="AQ41" s="57">
        <f t="shared" si="29"/>
        <v>274.1116751</v>
      </c>
      <c r="AR41" s="57">
        <f t="shared" si="29"/>
        <v>274.1116751</v>
      </c>
      <c r="AS41" s="57">
        <f t="shared" si="29"/>
        <v>274.1116751</v>
      </c>
      <c r="AT41" s="57">
        <f t="shared" si="29"/>
        <v>274.1116751</v>
      </c>
      <c r="AU41" s="57">
        <f t="shared" si="29"/>
        <v>274.1116751</v>
      </c>
      <c r="AV41" s="57">
        <f t="shared" si="29"/>
        <v>274.1116751</v>
      </c>
      <c r="AW41" s="57">
        <f t="shared" si="29"/>
        <v>274.1116751</v>
      </c>
      <c r="AX41" s="57">
        <f t="shared" si="29"/>
        <v>274.1116751</v>
      </c>
      <c r="AY41" s="57">
        <f t="shared" si="29"/>
        <v>274.1116751</v>
      </c>
      <c r="AZ41" s="57">
        <f t="shared" si="29"/>
        <v>274.1116751</v>
      </c>
      <c r="BA41" s="57">
        <f t="shared" si="29"/>
        <v>274.1116751</v>
      </c>
      <c r="BB41" s="57">
        <f t="shared" si="29"/>
        <v>274.1116751</v>
      </c>
      <c r="BC41" s="57">
        <f t="shared" si="29"/>
        <v>274.1116751</v>
      </c>
      <c r="BD41" s="57">
        <f t="shared" si="29"/>
        <v>274.1116751</v>
      </c>
      <c r="BE41" s="57">
        <f t="shared" si="29"/>
        <v>274.1116751</v>
      </c>
      <c r="BF41" s="57">
        <f t="shared" si="29"/>
        <v>274.1116751</v>
      </c>
      <c r="BG41" s="57">
        <f t="shared" si="29"/>
        <v>274.1116751</v>
      </c>
      <c r="BH41" s="57">
        <f t="shared" si="29"/>
        <v>274.1116751</v>
      </c>
      <c r="BI41" s="57">
        <f t="shared" si="29"/>
        <v>274.1116751</v>
      </c>
      <c r="BJ41" s="57">
        <f t="shared" si="29"/>
        <v>274.1116751</v>
      </c>
      <c r="BK41" s="57">
        <f t="shared" si="29"/>
        <v>274.1116751</v>
      </c>
      <c r="BL41" s="57">
        <f t="shared" si="29"/>
        <v>274.1116751</v>
      </c>
      <c r="BM41" s="57">
        <f t="shared" si="29"/>
        <v>274.1116751</v>
      </c>
      <c r="BN41" s="57">
        <f t="shared" si="29"/>
        <v>274.1116751</v>
      </c>
      <c r="BO41" s="57">
        <f t="shared" si="29"/>
        <v>274.1116751</v>
      </c>
    </row>
    <row r="42" outlineLevel="1">
      <c r="A42" s="47"/>
      <c r="B42" s="39" t="s">
        <v>33</v>
      </c>
      <c r="C42" s="47"/>
      <c r="D42" s="88">
        <v>0.3</v>
      </c>
      <c r="E42" s="47"/>
      <c r="F42" s="47"/>
      <c r="G42" s="47"/>
      <c r="H42" s="89">
        <f t="shared" ref="H42:H43" si="31">D42</f>
        <v>0.3</v>
      </c>
      <c r="I42" s="89">
        <f t="shared" ref="I42:BO42" si="30">H42</f>
        <v>0.3</v>
      </c>
      <c r="J42" s="89">
        <f t="shared" si="30"/>
        <v>0.3</v>
      </c>
      <c r="K42" s="89">
        <f t="shared" si="30"/>
        <v>0.3</v>
      </c>
      <c r="L42" s="89">
        <f t="shared" si="30"/>
        <v>0.3</v>
      </c>
      <c r="M42" s="89">
        <f t="shared" si="30"/>
        <v>0.3</v>
      </c>
      <c r="N42" s="89">
        <f t="shared" si="30"/>
        <v>0.3</v>
      </c>
      <c r="O42" s="89">
        <f t="shared" si="30"/>
        <v>0.3</v>
      </c>
      <c r="P42" s="89">
        <f t="shared" si="30"/>
        <v>0.3</v>
      </c>
      <c r="Q42" s="89">
        <f t="shared" si="30"/>
        <v>0.3</v>
      </c>
      <c r="R42" s="89">
        <f t="shared" si="30"/>
        <v>0.3</v>
      </c>
      <c r="S42" s="89">
        <f t="shared" si="30"/>
        <v>0.3</v>
      </c>
      <c r="T42" s="89">
        <f t="shared" si="30"/>
        <v>0.3</v>
      </c>
      <c r="U42" s="89">
        <f t="shared" si="30"/>
        <v>0.3</v>
      </c>
      <c r="V42" s="89">
        <f t="shared" si="30"/>
        <v>0.3</v>
      </c>
      <c r="W42" s="89">
        <f t="shared" si="30"/>
        <v>0.3</v>
      </c>
      <c r="X42" s="89">
        <f t="shared" si="30"/>
        <v>0.3</v>
      </c>
      <c r="Y42" s="89">
        <f t="shared" si="30"/>
        <v>0.3</v>
      </c>
      <c r="Z42" s="89">
        <f t="shared" si="30"/>
        <v>0.3</v>
      </c>
      <c r="AA42" s="89">
        <f t="shared" si="30"/>
        <v>0.3</v>
      </c>
      <c r="AB42" s="89">
        <f t="shared" si="30"/>
        <v>0.3</v>
      </c>
      <c r="AC42" s="89">
        <f t="shared" si="30"/>
        <v>0.3</v>
      </c>
      <c r="AD42" s="89">
        <f t="shared" si="30"/>
        <v>0.3</v>
      </c>
      <c r="AE42" s="89">
        <f t="shared" si="30"/>
        <v>0.3</v>
      </c>
      <c r="AF42" s="89">
        <f t="shared" si="30"/>
        <v>0.3</v>
      </c>
      <c r="AG42" s="89">
        <f t="shared" si="30"/>
        <v>0.3</v>
      </c>
      <c r="AH42" s="89">
        <f t="shared" si="30"/>
        <v>0.3</v>
      </c>
      <c r="AI42" s="89">
        <f t="shared" si="30"/>
        <v>0.3</v>
      </c>
      <c r="AJ42" s="89">
        <f t="shared" si="30"/>
        <v>0.3</v>
      </c>
      <c r="AK42" s="89">
        <f t="shared" si="30"/>
        <v>0.3</v>
      </c>
      <c r="AL42" s="89">
        <f t="shared" si="30"/>
        <v>0.3</v>
      </c>
      <c r="AM42" s="89">
        <f t="shared" si="30"/>
        <v>0.3</v>
      </c>
      <c r="AN42" s="89">
        <f t="shared" si="30"/>
        <v>0.3</v>
      </c>
      <c r="AO42" s="89">
        <f t="shared" si="30"/>
        <v>0.3</v>
      </c>
      <c r="AP42" s="89">
        <f t="shared" si="30"/>
        <v>0.3</v>
      </c>
      <c r="AQ42" s="89">
        <f t="shared" si="30"/>
        <v>0.3</v>
      </c>
      <c r="AR42" s="89">
        <f t="shared" si="30"/>
        <v>0.3</v>
      </c>
      <c r="AS42" s="89">
        <f t="shared" si="30"/>
        <v>0.3</v>
      </c>
      <c r="AT42" s="89">
        <f t="shared" si="30"/>
        <v>0.3</v>
      </c>
      <c r="AU42" s="89">
        <f t="shared" si="30"/>
        <v>0.3</v>
      </c>
      <c r="AV42" s="89">
        <f t="shared" si="30"/>
        <v>0.3</v>
      </c>
      <c r="AW42" s="89">
        <f t="shared" si="30"/>
        <v>0.3</v>
      </c>
      <c r="AX42" s="89">
        <f t="shared" si="30"/>
        <v>0.3</v>
      </c>
      <c r="AY42" s="89">
        <f t="shared" si="30"/>
        <v>0.3</v>
      </c>
      <c r="AZ42" s="89">
        <f t="shared" si="30"/>
        <v>0.3</v>
      </c>
      <c r="BA42" s="89">
        <f t="shared" si="30"/>
        <v>0.3</v>
      </c>
      <c r="BB42" s="89">
        <f t="shared" si="30"/>
        <v>0.3</v>
      </c>
      <c r="BC42" s="89">
        <f t="shared" si="30"/>
        <v>0.3</v>
      </c>
      <c r="BD42" s="89">
        <f t="shared" si="30"/>
        <v>0.3</v>
      </c>
      <c r="BE42" s="89">
        <f t="shared" si="30"/>
        <v>0.3</v>
      </c>
      <c r="BF42" s="89">
        <f t="shared" si="30"/>
        <v>0.3</v>
      </c>
      <c r="BG42" s="89">
        <f t="shared" si="30"/>
        <v>0.3</v>
      </c>
      <c r="BH42" s="89">
        <f t="shared" si="30"/>
        <v>0.3</v>
      </c>
      <c r="BI42" s="89">
        <f t="shared" si="30"/>
        <v>0.3</v>
      </c>
      <c r="BJ42" s="89">
        <f t="shared" si="30"/>
        <v>0.3</v>
      </c>
      <c r="BK42" s="89">
        <f t="shared" si="30"/>
        <v>0.3</v>
      </c>
      <c r="BL42" s="89">
        <f t="shared" si="30"/>
        <v>0.3</v>
      </c>
      <c r="BM42" s="89">
        <f t="shared" si="30"/>
        <v>0.3</v>
      </c>
      <c r="BN42" s="89">
        <f t="shared" si="30"/>
        <v>0.3</v>
      </c>
      <c r="BO42" s="89">
        <f t="shared" si="30"/>
        <v>0.3</v>
      </c>
    </row>
    <row r="43" outlineLevel="1">
      <c r="A43" s="47"/>
      <c r="B43" s="72" t="s">
        <v>16</v>
      </c>
      <c r="C43" s="59"/>
      <c r="D43" s="73">
        <v>0.05</v>
      </c>
      <c r="E43" s="61"/>
      <c r="F43" s="61"/>
      <c r="G43" s="61"/>
      <c r="H43" s="62">
        <f t="shared" si="31"/>
        <v>0.05</v>
      </c>
      <c r="I43" s="62">
        <f t="shared" ref="I43:BO43" si="32">H43</f>
        <v>0.05</v>
      </c>
      <c r="J43" s="62">
        <f t="shared" si="32"/>
        <v>0.05</v>
      </c>
      <c r="K43" s="62">
        <f t="shared" si="32"/>
        <v>0.05</v>
      </c>
      <c r="L43" s="62">
        <f t="shared" si="32"/>
        <v>0.05</v>
      </c>
      <c r="M43" s="62">
        <f t="shared" si="32"/>
        <v>0.05</v>
      </c>
      <c r="N43" s="62">
        <f t="shared" si="32"/>
        <v>0.05</v>
      </c>
      <c r="O43" s="62">
        <f t="shared" si="32"/>
        <v>0.05</v>
      </c>
      <c r="P43" s="62">
        <f t="shared" si="32"/>
        <v>0.05</v>
      </c>
      <c r="Q43" s="62">
        <f t="shared" si="32"/>
        <v>0.05</v>
      </c>
      <c r="R43" s="62">
        <f t="shared" si="32"/>
        <v>0.05</v>
      </c>
      <c r="S43" s="62">
        <f t="shared" si="32"/>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c r="BO43" s="62">
        <f t="shared" si="32"/>
        <v>0.05</v>
      </c>
    </row>
    <row r="44" outlineLevel="1">
      <c r="A44" s="47"/>
      <c r="B44" s="74" t="s">
        <v>17</v>
      </c>
      <c r="C44" s="47"/>
      <c r="D44" s="63"/>
      <c r="E44" s="64"/>
      <c r="F44" s="64"/>
      <c r="G44" s="64"/>
      <c r="H44" s="63">
        <f t="shared" ref="H44:BO44" si="33">H41*H42*H43</f>
        <v>0</v>
      </c>
      <c r="I44" s="63">
        <f t="shared" si="33"/>
        <v>4.0125</v>
      </c>
      <c r="J44" s="63">
        <f t="shared" si="33"/>
        <v>4.1101875</v>
      </c>
      <c r="K44" s="63">
        <f t="shared" si="33"/>
        <v>4.111652813</v>
      </c>
      <c r="L44" s="63">
        <f t="shared" si="33"/>
        <v>4.111674792</v>
      </c>
      <c r="M44" s="63">
        <f t="shared" si="33"/>
        <v>4.111675122</v>
      </c>
      <c r="N44" s="63">
        <f t="shared" si="33"/>
        <v>4.111675127</v>
      </c>
      <c r="O44" s="63">
        <f t="shared" si="33"/>
        <v>4.111675127</v>
      </c>
      <c r="P44" s="63">
        <f t="shared" si="33"/>
        <v>4.111675127</v>
      </c>
      <c r="Q44" s="63">
        <f t="shared" si="33"/>
        <v>4.111675127</v>
      </c>
      <c r="R44" s="63">
        <f t="shared" si="33"/>
        <v>4.111675127</v>
      </c>
      <c r="S44" s="63">
        <f t="shared" si="33"/>
        <v>4.111675127</v>
      </c>
      <c r="T44" s="63">
        <f t="shared" si="33"/>
        <v>4.111675127</v>
      </c>
      <c r="U44" s="63">
        <f t="shared" si="33"/>
        <v>4.111675127</v>
      </c>
      <c r="V44" s="63">
        <f t="shared" si="33"/>
        <v>4.111675127</v>
      </c>
      <c r="W44" s="63">
        <f t="shared" si="33"/>
        <v>4.111675127</v>
      </c>
      <c r="X44" s="63">
        <f t="shared" si="33"/>
        <v>4.111675127</v>
      </c>
      <c r="Y44" s="63">
        <f t="shared" si="33"/>
        <v>4.111675127</v>
      </c>
      <c r="Z44" s="63">
        <f t="shared" si="33"/>
        <v>4.111675127</v>
      </c>
      <c r="AA44" s="63">
        <f t="shared" si="33"/>
        <v>4.111675127</v>
      </c>
      <c r="AB44" s="63">
        <f t="shared" si="33"/>
        <v>4.111675127</v>
      </c>
      <c r="AC44" s="63">
        <f t="shared" si="33"/>
        <v>4.111675127</v>
      </c>
      <c r="AD44" s="63">
        <f t="shared" si="33"/>
        <v>4.111675127</v>
      </c>
      <c r="AE44" s="63">
        <f t="shared" si="33"/>
        <v>4.111675127</v>
      </c>
      <c r="AF44" s="63">
        <f t="shared" si="33"/>
        <v>4.111675127</v>
      </c>
      <c r="AG44" s="63">
        <f t="shared" si="33"/>
        <v>4.111675127</v>
      </c>
      <c r="AH44" s="63">
        <f t="shared" si="33"/>
        <v>4.111675127</v>
      </c>
      <c r="AI44" s="63">
        <f t="shared" si="33"/>
        <v>4.111675127</v>
      </c>
      <c r="AJ44" s="63">
        <f t="shared" si="33"/>
        <v>4.111675127</v>
      </c>
      <c r="AK44" s="63">
        <f t="shared" si="33"/>
        <v>4.111675127</v>
      </c>
      <c r="AL44" s="63">
        <f t="shared" si="33"/>
        <v>4.111675127</v>
      </c>
      <c r="AM44" s="63">
        <f t="shared" si="33"/>
        <v>4.111675127</v>
      </c>
      <c r="AN44" s="63">
        <f t="shared" si="33"/>
        <v>4.111675127</v>
      </c>
      <c r="AO44" s="63">
        <f t="shared" si="33"/>
        <v>4.111675127</v>
      </c>
      <c r="AP44" s="63">
        <f t="shared" si="33"/>
        <v>4.111675127</v>
      </c>
      <c r="AQ44" s="63">
        <f t="shared" si="33"/>
        <v>4.111675127</v>
      </c>
      <c r="AR44" s="63">
        <f t="shared" si="33"/>
        <v>4.111675127</v>
      </c>
      <c r="AS44" s="63">
        <f t="shared" si="33"/>
        <v>4.111675127</v>
      </c>
      <c r="AT44" s="63">
        <f t="shared" si="33"/>
        <v>4.111675127</v>
      </c>
      <c r="AU44" s="63">
        <f t="shared" si="33"/>
        <v>4.111675127</v>
      </c>
      <c r="AV44" s="63">
        <f t="shared" si="33"/>
        <v>4.111675127</v>
      </c>
      <c r="AW44" s="63">
        <f t="shared" si="33"/>
        <v>4.111675127</v>
      </c>
      <c r="AX44" s="63">
        <f t="shared" si="33"/>
        <v>4.111675127</v>
      </c>
      <c r="AY44" s="63">
        <f t="shared" si="33"/>
        <v>4.111675127</v>
      </c>
      <c r="AZ44" s="63">
        <f t="shared" si="33"/>
        <v>4.111675127</v>
      </c>
      <c r="BA44" s="63">
        <f t="shared" si="33"/>
        <v>4.111675127</v>
      </c>
      <c r="BB44" s="63">
        <f t="shared" si="33"/>
        <v>4.111675127</v>
      </c>
      <c r="BC44" s="63">
        <f t="shared" si="33"/>
        <v>4.111675127</v>
      </c>
      <c r="BD44" s="63">
        <f t="shared" si="33"/>
        <v>4.111675127</v>
      </c>
      <c r="BE44" s="63">
        <f t="shared" si="33"/>
        <v>4.111675127</v>
      </c>
      <c r="BF44" s="63">
        <f t="shared" si="33"/>
        <v>4.111675127</v>
      </c>
      <c r="BG44" s="63">
        <f t="shared" si="33"/>
        <v>4.111675127</v>
      </c>
      <c r="BH44" s="63">
        <f t="shared" si="33"/>
        <v>4.111675127</v>
      </c>
      <c r="BI44" s="63">
        <f t="shared" si="33"/>
        <v>4.111675127</v>
      </c>
      <c r="BJ44" s="63">
        <f t="shared" si="33"/>
        <v>4.111675127</v>
      </c>
      <c r="BK44" s="63">
        <f t="shared" si="33"/>
        <v>4.111675127</v>
      </c>
      <c r="BL44" s="63">
        <f t="shared" si="33"/>
        <v>4.111675127</v>
      </c>
      <c r="BM44" s="63">
        <f t="shared" si="33"/>
        <v>4.111675127</v>
      </c>
      <c r="BN44" s="63">
        <f t="shared" si="33"/>
        <v>4.111675127</v>
      </c>
      <c r="BO44" s="63">
        <f t="shared" si="33"/>
        <v>4.111675127</v>
      </c>
    </row>
    <row r="45" outlineLevel="1">
      <c r="A45" s="47"/>
      <c r="B45" s="65"/>
      <c r="C45" s="47"/>
      <c r="D45" s="43"/>
      <c r="E45" s="47"/>
      <c r="F45" s="47"/>
      <c r="G45" s="47"/>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row>
    <row r="46" outlineLevel="1">
      <c r="A46" s="47"/>
      <c r="B46" s="65" t="s">
        <v>34</v>
      </c>
      <c r="C46" s="47"/>
      <c r="D46" s="43"/>
      <c r="E46" s="47"/>
      <c r="F46" s="47"/>
      <c r="G46" s="47"/>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row>
    <row r="47" outlineLevel="1">
      <c r="A47" s="47"/>
      <c r="B47" s="39" t="s">
        <v>35</v>
      </c>
      <c r="C47" s="47"/>
      <c r="D47" s="77">
        <v>2.0</v>
      </c>
      <c r="E47" s="47"/>
      <c r="F47" s="47"/>
      <c r="G47" s="47"/>
      <c r="H47" s="57">
        <f t="shared" ref="H47:H49" si="35">D47</f>
        <v>2</v>
      </c>
      <c r="I47" s="57">
        <f t="shared" ref="I47:BO47" si="34">H47</f>
        <v>2</v>
      </c>
      <c r="J47" s="57">
        <f t="shared" si="34"/>
        <v>2</v>
      </c>
      <c r="K47" s="57">
        <f t="shared" si="34"/>
        <v>2</v>
      </c>
      <c r="L47" s="57">
        <f t="shared" si="34"/>
        <v>2</v>
      </c>
      <c r="M47" s="57">
        <f t="shared" si="34"/>
        <v>2</v>
      </c>
      <c r="N47" s="57">
        <f t="shared" si="34"/>
        <v>2</v>
      </c>
      <c r="O47" s="57">
        <f t="shared" si="34"/>
        <v>2</v>
      </c>
      <c r="P47" s="57">
        <f t="shared" si="34"/>
        <v>2</v>
      </c>
      <c r="Q47" s="57">
        <f t="shared" si="34"/>
        <v>2</v>
      </c>
      <c r="R47" s="57">
        <f t="shared" si="34"/>
        <v>2</v>
      </c>
      <c r="S47" s="57">
        <f t="shared" si="34"/>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c r="BO47" s="57">
        <f t="shared" si="34"/>
        <v>2</v>
      </c>
    </row>
    <row r="48" outlineLevel="1">
      <c r="A48" s="47"/>
      <c r="B48" s="39" t="s">
        <v>36</v>
      </c>
      <c r="C48" s="47"/>
      <c r="D48" s="77">
        <v>100.0</v>
      </c>
      <c r="E48" s="47"/>
      <c r="F48" s="47"/>
      <c r="G48" s="47"/>
      <c r="H48" s="79">
        <f t="shared" si="35"/>
        <v>100</v>
      </c>
      <c r="I48" s="79">
        <f t="shared" ref="I48:BO48" si="36">H48</f>
        <v>100</v>
      </c>
      <c r="J48" s="79">
        <f t="shared" si="36"/>
        <v>100</v>
      </c>
      <c r="K48" s="79">
        <f t="shared" si="36"/>
        <v>100</v>
      </c>
      <c r="L48" s="79">
        <f t="shared" si="36"/>
        <v>100</v>
      </c>
      <c r="M48" s="79">
        <f t="shared" si="36"/>
        <v>100</v>
      </c>
      <c r="N48" s="79">
        <f t="shared" si="36"/>
        <v>100</v>
      </c>
      <c r="O48" s="79">
        <f t="shared" si="36"/>
        <v>100</v>
      </c>
      <c r="P48" s="79">
        <f t="shared" si="36"/>
        <v>100</v>
      </c>
      <c r="Q48" s="79">
        <f t="shared" si="36"/>
        <v>100</v>
      </c>
      <c r="R48" s="79">
        <f t="shared" si="36"/>
        <v>100</v>
      </c>
      <c r="S48" s="79">
        <f t="shared" si="36"/>
        <v>100</v>
      </c>
      <c r="T48" s="79">
        <f t="shared" si="36"/>
        <v>100</v>
      </c>
      <c r="U48" s="79">
        <f t="shared" si="36"/>
        <v>100</v>
      </c>
      <c r="V48" s="79">
        <f t="shared" si="36"/>
        <v>100</v>
      </c>
      <c r="W48" s="79">
        <f t="shared" si="36"/>
        <v>100</v>
      </c>
      <c r="X48" s="79">
        <f t="shared" si="36"/>
        <v>100</v>
      </c>
      <c r="Y48" s="79">
        <f t="shared" si="36"/>
        <v>100</v>
      </c>
      <c r="Z48" s="79">
        <f t="shared" si="36"/>
        <v>100</v>
      </c>
      <c r="AA48" s="79">
        <f t="shared" si="36"/>
        <v>100</v>
      </c>
      <c r="AB48" s="79">
        <f t="shared" si="36"/>
        <v>100</v>
      </c>
      <c r="AC48" s="79">
        <f t="shared" si="36"/>
        <v>100</v>
      </c>
      <c r="AD48" s="79">
        <f t="shared" si="36"/>
        <v>100</v>
      </c>
      <c r="AE48" s="79">
        <f t="shared" si="36"/>
        <v>100</v>
      </c>
      <c r="AF48" s="79">
        <f t="shared" si="36"/>
        <v>100</v>
      </c>
      <c r="AG48" s="79">
        <f t="shared" si="36"/>
        <v>100</v>
      </c>
      <c r="AH48" s="79">
        <f t="shared" si="36"/>
        <v>100</v>
      </c>
      <c r="AI48" s="79">
        <f t="shared" si="36"/>
        <v>100</v>
      </c>
      <c r="AJ48" s="79">
        <f t="shared" si="36"/>
        <v>100</v>
      </c>
      <c r="AK48" s="79">
        <f t="shared" si="36"/>
        <v>100</v>
      </c>
      <c r="AL48" s="79">
        <f t="shared" si="36"/>
        <v>100</v>
      </c>
      <c r="AM48" s="79">
        <f t="shared" si="36"/>
        <v>100</v>
      </c>
      <c r="AN48" s="79">
        <f t="shared" si="36"/>
        <v>100</v>
      </c>
      <c r="AO48" s="79">
        <f t="shared" si="36"/>
        <v>100</v>
      </c>
      <c r="AP48" s="79">
        <f t="shared" si="36"/>
        <v>100</v>
      </c>
      <c r="AQ48" s="79">
        <f t="shared" si="36"/>
        <v>100</v>
      </c>
      <c r="AR48" s="79">
        <f t="shared" si="36"/>
        <v>100</v>
      </c>
      <c r="AS48" s="79">
        <f t="shared" si="36"/>
        <v>100</v>
      </c>
      <c r="AT48" s="79">
        <f t="shared" si="36"/>
        <v>100</v>
      </c>
      <c r="AU48" s="79">
        <f t="shared" si="36"/>
        <v>100</v>
      </c>
      <c r="AV48" s="79">
        <f t="shared" si="36"/>
        <v>100</v>
      </c>
      <c r="AW48" s="79">
        <f t="shared" si="36"/>
        <v>100</v>
      </c>
      <c r="AX48" s="79">
        <f t="shared" si="36"/>
        <v>100</v>
      </c>
      <c r="AY48" s="79">
        <f t="shared" si="36"/>
        <v>100</v>
      </c>
      <c r="AZ48" s="79">
        <f t="shared" si="36"/>
        <v>100</v>
      </c>
      <c r="BA48" s="79">
        <f t="shared" si="36"/>
        <v>100</v>
      </c>
      <c r="BB48" s="79">
        <f t="shared" si="36"/>
        <v>100</v>
      </c>
      <c r="BC48" s="79">
        <f t="shared" si="36"/>
        <v>100</v>
      </c>
      <c r="BD48" s="79">
        <f t="shared" si="36"/>
        <v>100</v>
      </c>
      <c r="BE48" s="79">
        <f t="shared" si="36"/>
        <v>100</v>
      </c>
      <c r="BF48" s="79">
        <f t="shared" si="36"/>
        <v>100</v>
      </c>
      <c r="BG48" s="79">
        <f t="shared" si="36"/>
        <v>100</v>
      </c>
      <c r="BH48" s="79">
        <f t="shared" si="36"/>
        <v>100</v>
      </c>
      <c r="BI48" s="79">
        <f t="shared" si="36"/>
        <v>100</v>
      </c>
      <c r="BJ48" s="79">
        <f t="shared" si="36"/>
        <v>100</v>
      </c>
      <c r="BK48" s="79">
        <f t="shared" si="36"/>
        <v>100</v>
      </c>
      <c r="BL48" s="79">
        <f t="shared" si="36"/>
        <v>100</v>
      </c>
      <c r="BM48" s="79">
        <f t="shared" si="36"/>
        <v>100</v>
      </c>
      <c r="BN48" s="79">
        <f t="shared" si="36"/>
        <v>100</v>
      </c>
      <c r="BO48" s="79">
        <f t="shared" si="36"/>
        <v>100</v>
      </c>
    </row>
    <row r="49" outlineLevel="1">
      <c r="A49" s="47"/>
      <c r="B49" s="72" t="s">
        <v>16</v>
      </c>
      <c r="C49" s="59"/>
      <c r="D49" s="73">
        <v>0.05</v>
      </c>
      <c r="E49" s="61"/>
      <c r="F49" s="61"/>
      <c r="G49" s="61"/>
      <c r="H49" s="62">
        <f t="shared" si="35"/>
        <v>0.05</v>
      </c>
      <c r="I49" s="62">
        <f t="shared" ref="I49:BO49" si="37">H49</f>
        <v>0.05</v>
      </c>
      <c r="J49" s="62">
        <f t="shared" si="37"/>
        <v>0.05</v>
      </c>
      <c r="K49" s="62">
        <f t="shared" si="37"/>
        <v>0.05</v>
      </c>
      <c r="L49" s="62">
        <f t="shared" si="37"/>
        <v>0.05</v>
      </c>
      <c r="M49" s="62">
        <f t="shared" si="37"/>
        <v>0.05</v>
      </c>
      <c r="N49" s="62">
        <f t="shared" si="37"/>
        <v>0.05</v>
      </c>
      <c r="O49" s="62">
        <f t="shared" si="37"/>
        <v>0.05</v>
      </c>
      <c r="P49" s="62">
        <f t="shared" si="37"/>
        <v>0.05</v>
      </c>
      <c r="Q49" s="62">
        <f t="shared" si="37"/>
        <v>0.05</v>
      </c>
      <c r="R49" s="62">
        <f t="shared" si="37"/>
        <v>0.05</v>
      </c>
      <c r="S49" s="62">
        <f t="shared" si="37"/>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c r="BO49" s="62">
        <f t="shared" si="37"/>
        <v>0.05</v>
      </c>
    </row>
    <row r="50" outlineLevel="1">
      <c r="A50" s="47"/>
      <c r="B50" s="74" t="s">
        <v>17</v>
      </c>
      <c r="C50" s="47"/>
      <c r="D50" s="63"/>
      <c r="E50" s="64"/>
      <c r="F50" s="64"/>
      <c r="G50" s="64"/>
      <c r="H50" s="63">
        <f t="shared" ref="H50:BO50" si="38">H47*H48*H49</f>
        <v>10</v>
      </c>
      <c r="I50" s="63">
        <f t="shared" si="38"/>
        <v>10</v>
      </c>
      <c r="J50" s="63">
        <f t="shared" si="38"/>
        <v>10</v>
      </c>
      <c r="K50" s="63">
        <f t="shared" si="38"/>
        <v>10</v>
      </c>
      <c r="L50" s="63">
        <f t="shared" si="38"/>
        <v>10</v>
      </c>
      <c r="M50" s="63">
        <f t="shared" si="38"/>
        <v>10</v>
      </c>
      <c r="N50" s="63">
        <f t="shared" si="38"/>
        <v>10</v>
      </c>
      <c r="O50" s="63">
        <f t="shared" si="38"/>
        <v>10</v>
      </c>
      <c r="P50" s="63">
        <f t="shared" si="38"/>
        <v>10</v>
      </c>
      <c r="Q50" s="63">
        <f t="shared" si="38"/>
        <v>10</v>
      </c>
      <c r="R50" s="63">
        <f t="shared" si="38"/>
        <v>10</v>
      </c>
      <c r="S50" s="63">
        <f t="shared" si="38"/>
        <v>10</v>
      </c>
      <c r="T50" s="63">
        <f t="shared" si="38"/>
        <v>10</v>
      </c>
      <c r="U50" s="63">
        <f t="shared" si="38"/>
        <v>10</v>
      </c>
      <c r="V50" s="63">
        <f t="shared" si="38"/>
        <v>10</v>
      </c>
      <c r="W50" s="63">
        <f t="shared" si="38"/>
        <v>10</v>
      </c>
      <c r="X50" s="63">
        <f t="shared" si="38"/>
        <v>10</v>
      </c>
      <c r="Y50" s="63">
        <f t="shared" si="38"/>
        <v>10</v>
      </c>
      <c r="Z50" s="63">
        <f t="shared" si="38"/>
        <v>10</v>
      </c>
      <c r="AA50" s="63">
        <f t="shared" si="38"/>
        <v>10</v>
      </c>
      <c r="AB50" s="63">
        <f t="shared" si="38"/>
        <v>10</v>
      </c>
      <c r="AC50" s="63">
        <f t="shared" si="38"/>
        <v>10</v>
      </c>
      <c r="AD50" s="63">
        <f t="shared" si="38"/>
        <v>10</v>
      </c>
      <c r="AE50" s="63">
        <f t="shared" si="38"/>
        <v>10</v>
      </c>
      <c r="AF50" s="63">
        <f t="shared" si="38"/>
        <v>10</v>
      </c>
      <c r="AG50" s="63">
        <f t="shared" si="38"/>
        <v>10</v>
      </c>
      <c r="AH50" s="63">
        <f t="shared" si="38"/>
        <v>10</v>
      </c>
      <c r="AI50" s="63">
        <f t="shared" si="38"/>
        <v>10</v>
      </c>
      <c r="AJ50" s="63">
        <f t="shared" si="38"/>
        <v>10</v>
      </c>
      <c r="AK50" s="63">
        <f t="shared" si="38"/>
        <v>10</v>
      </c>
      <c r="AL50" s="63">
        <f t="shared" si="38"/>
        <v>10</v>
      </c>
      <c r="AM50" s="63">
        <f t="shared" si="38"/>
        <v>10</v>
      </c>
      <c r="AN50" s="63">
        <f t="shared" si="38"/>
        <v>10</v>
      </c>
      <c r="AO50" s="63">
        <f t="shared" si="38"/>
        <v>10</v>
      </c>
      <c r="AP50" s="63">
        <f t="shared" si="38"/>
        <v>10</v>
      </c>
      <c r="AQ50" s="63">
        <f t="shared" si="38"/>
        <v>10</v>
      </c>
      <c r="AR50" s="63">
        <f t="shared" si="38"/>
        <v>10</v>
      </c>
      <c r="AS50" s="63">
        <f t="shared" si="38"/>
        <v>10</v>
      </c>
      <c r="AT50" s="63">
        <f t="shared" si="38"/>
        <v>10</v>
      </c>
      <c r="AU50" s="63">
        <f t="shared" si="38"/>
        <v>10</v>
      </c>
      <c r="AV50" s="63">
        <f t="shared" si="38"/>
        <v>10</v>
      </c>
      <c r="AW50" s="63">
        <f t="shared" si="38"/>
        <v>10</v>
      </c>
      <c r="AX50" s="63">
        <f t="shared" si="38"/>
        <v>10</v>
      </c>
      <c r="AY50" s="63">
        <f t="shared" si="38"/>
        <v>10</v>
      </c>
      <c r="AZ50" s="63">
        <f t="shared" si="38"/>
        <v>10</v>
      </c>
      <c r="BA50" s="63">
        <f t="shared" si="38"/>
        <v>10</v>
      </c>
      <c r="BB50" s="63">
        <f t="shared" si="38"/>
        <v>10</v>
      </c>
      <c r="BC50" s="63">
        <f t="shared" si="38"/>
        <v>10</v>
      </c>
      <c r="BD50" s="63">
        <f t="shared" si="38"/>
        <v>10</v>
      </c>
      <c r="BE50" s="63">
        <f t="shared" si="38"/>
        <v>10</v>
      </c>
      <c r="BF50" s="63">
        <f t="shared" si="38"/>
        <v>10</v>
      </c>
      <c r="BG50" s="63">
        <f t="shared" si="38"/>
        <v>10</v>
      </c>
      <c r="BH50" s="63">
        <f t="shared" si="38"/>
        <v>10</v>
      </c>
      <c r="BI50" s="63">
        <f t="shared" si="38"/>
        <v>10</v>
      </c>
      <c r="BJ50" s="63">
        <f t="shared" si="38"/>
        <v>10</v>
      </c>
      <c r="BK50" s="63">
        <f t="shared" si="38"/>
        <v>10</v>
      </c>
      <c r="BL50" s="63">
        <f t="shared" si="38"/>
        <v>10</v>
      </c>
      <c r="BM50" s="63">
        <f t="shared" si="38"/>
        <v>10</v>
      </c>
      <c r="BN50" s="63">
        <f t="shared" si="38"/>
        <v>10</v>
      </c>
      <c r="BO50" s="63">
        <f t="shared" si="38"/>
        <v>10</v>
      </c>
    </row>
    <row r="51" outlineLevel="1">
      <c r="A51" s="47"/>
      <c r="B51" s="74"/>
      <c r="C51" s="47"/>
      <c r="D51" s="75"/>
      <c r="E51" s="47"/>
      <c r="F51" s="47"/>
      <c r="G51" s="47"/>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row>
    <row r="52" outlineLevel="1">
      <c r="A52" s="81"/>
      <c r="B52" s="65" t="s">
        <v>37</v>
      </c>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row>
    <row r="53" outlineLevel="1">
      <c r="A53" s="81"/>
      <c r="B53" s="39" t="s">
        <v>38</v>
      </c>
      <c r="C53" s="81"/>
      <c r="D53" s="77">
        <v>2000.0</v>
      </c>
      <c r="E53" s="81"/>
      <c r="F53" s="81"/>
      <c r="G53" s="81"/>
      <c r="H53" s="57">
        <f t="shared" ref="H53:H56" si="40">D53</f>
        <v>2000</v>
      </c>
      <c r="I53" s="57">
        <f t="shared" ref="I53:BO53" si="39">H53</f>
        <v>2000</v>
      </c>
      <c r="J53" s="57">
        <f t="shared" si="39"/>
        <v>2000</v>
      </c>
      <c r="K53" s="57">
        <f t="shared" si="39"/>
        <v>2000</v>
      </c>
      <c r="L53" s="57">
        <f t="shared" si="39"/>
        <v>2000</v>
      </c>
      <c r="M53" s="57">
        <f t="shared" si="39"/>
        <v>2000</v>
      </c>
      <c r="N53" s="57">
        <f t="shared" si="39"/>
        <v>2000</v>
      </c>
      <c r="O53" s="57">
        <f t="shared" si="39"/>
        <v>2000</v>
      </c>
      <c r="P53" s="57">
        <f t="shared" si="39"/>
        <v>2000</v>
      </c>
      <c r="Q53" s="57">
        <f t="shared" si="39"/>
        <v>2000</v>
      </c>
      <c r="R53" s="57">
        <f t="shared" si="39"/>
        <v>2000</v>
      </c>
      <c r="S53" s="57">
        <f t="shared" si="39"/>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c r="BO53" s="57">
        <f t="shared" si="39"/>
        <v>2000</v>
      </c>
    </row>
    <row r="54" outlineLevel="1">
      <c r="A54" s="47"/>
      <c r="B54" s="39" t="s">
        <v>39</v>
      </c>
      <c r="C54" s="47"/>
      <c r="D54" s="77">
        <v>2.0</v>
      </c>
      <c r="E54" s="47"/>
      <c r="F54" s="47"/>
      <c r="G54" s="47"/>
      <c r="H54" s="79">
        <f t="shared" si="40"/>
        <v>2</v>
      </c>
      <c r="I54" s="79">
        <f t="shared" ref="I54:BO54" si="41">H54</f>
        <v>2</v>
      </c>
      <c r="J54" s="79">
        <f t="shared" si="41"/>
        <v>2</v>
      </c>
      <c r="K54" s="79">
        <f t="shared" si="41"/>
        <v>2</v>
      </c>
      <c r="L54" s="79">
        <f t="shared" si="41"/>
        <v>2</v>
      </c>
      <c r="M54" s="79">
        <f t="shared" si="41"/>
        <v>2</v>
      </c>
      <c r="N54" s="79">
        <f t="shared" si="41"/>
        <v>2</v>
      </c>
      <c r="O54" s="79">
        <f t="shared" si="41"/>
        <v>2</v>
      </c>
      <c r="P54" s="79">
        <f t="shared" si="41"/>
        <v>2</v>
      </c>
      <c r="Q54" s="79">
        <f t="shared" si="41"/>
        <v>2</v>
      </c>
      <c r="R54" s="79">
        <f t="shared" si="41"/>
        <v>2</v>
      </c>
      <c r="S54" s="79">
        <f t="shared" si="41"/>
        <v>2</v>
      </c>
      <c r="T54" s="79">
        <f t="shared" si="41"/>
        <v>2</v>
      </c>
      <c r="U54" s="79">
        <f t="shared" si="41"/>
        <v>2</v>
      </c>
      <c r="V54" s="79">
        <f t="shared" si="41"/>
        <v>2</v>
      </c>
      <c r="W54" s="79">
        <f t="shared" si="41"/>
        <v>2</v>
      </c>
      <c r="X54" s="79">
        <f t="shared" si="41"/>
        <v>2</v>
      </c>
      <c r="Y54" s="79">
        <f t="shared" si="41"/>
        <v>2</v>
      </c>
      <c r="Z54" s="79">
        <f t="shared" si="41"/>
        <v>2</v>
      </c>
      <c r="AA54" s="79">
        <f t="shared" si="41"/>
        <v>2</v>
      </c>
      <c r="AB54" s="79">
        <f t="shared" si="41"/>
        <v>2</v>
      </c>
      <c r="AC54" s="79">
        <f t="shared" si="41"/>
        <v>2</v>
      </c>
      <c r="AD54" s="79">
        <f t="shared" si="41"/>
        <v>2</v>
      </c>
      <c r="AE54" s="79">
        <f t="shared" si="41"/>
        <v>2</v>
      </c>
      <c r="AF54" s="79">
        <f t="shared" si="41"/>
        <v>2</v>
      </c>
      <c r="AG54" s="79">
        <f t="shared" si="41"/>
        <v>2</v>
      </c>
      <c r="AH54" s="79">
        <f t="shared" si="41"/>
        <v>2</v>
      </c>
      <c r="AI54" s="79">
        <f t="shared" si="41"/>
        <v>2</v>
      </c>
      <c r="AJ54" s="79">
        <f t="shared" si="41"/>
        <v>2</v>
      </c>
      <c r="AK54" s="79">
        <f t="shared" si="41"/>
        <v>2</v>
      </c>
      <c r="AL54" s="79">
        <f t="shared" si="41"/>
        <v>2</v>
      </c>
      <c r="AM54" s="79">
        <f t="shared" si="41"/>
        <v>2</v>
      </c>
      <c r="AN54" s="79">
        <f t="shared" si="41"/>
        <v>2</v>
      </c>
      <c r="AO54" s="79">
        <f t="shared" si="41"/>
        <v>2</v>
      </c>
      <c r="AP54" s="79">
        <f t="shared" si="41"/>
        <v>2</v>
      </c>
      <c r="AQ54" s="79">
        <f t="shared" si="41"/>
        <v>2</v>
      </c>
      <c r="AR54" s="79">
        <f t="shared" si="41"/>
        <v>2</v>
      </c>
      <c r="AS54" s="79">
        <f t="shared" si="41"/>
        <v>2</v>
      </c>
      <c r="AT54" s="79">
        <f t="shared" si="41"/>
        <v>2</v>
      </c>
      <c r="AU54" s="79">
        <f t="shared" si="41"/>
        <v>2</v>
      </c>
      <c r="AV54" s="79">
        <f t="shared" si="41"/>
        <v>2</v>
      </c>
      <c r="AW54" s="79">
        <f t="shared" si="41"/>
        <v>2</v>
      </c>
      <c r="AX54" s="79">
        <f t="shared" si="41"/>
        <v>2</v>
      </c>
      <c r="AY54" s="79">
        <f t="shared" si="41"/>
        <v>2</v>
      </c>
      <c r="AZ54" s="79">
        <f t="shared" si="41"/>
        <v>2</v>
      </c>
      <c r="BA54" s="79">
        <f t="shared" si="41"/>
        <v>2</v>
      </c>
      <c r="BB54" s="79">
        <f t="shared" si="41"/>
        <v>2</v>
      </c>
      <c r="BC54" s="79">
        <f t="shared" si="41"/>
        <v>2</v>
      </c>
      <c r="BD54" s="79">
        <f t="shared" si="41"/>
        <v>2</v>
      </c>
      <c r="BE54" s="79">
        <f t="shared" si="41"/>
        <v>2</v>
      </c>
      <c r="BF54" s="79">
        <f t="shared" si="41"/>
        <v>2</v>
      </c>
      <c r="BG54" s="79">
        <f t="shared" si="41"/>
        <v>2</v>
      </c>
      <c r="BH54" s="79">
        <f t="shared" si="41"/>
        <v>2</v>
      </c>
      <c r="BI54" s="79">
        <f t="shared" si="41"/>
        <v>2</v>
      </c>
      <c r="BJ54" s="79">
        <f t="shared" si="41"/>
        <v>2</v>
      </c>
      <c r="BK54" s="79">
        <f t="shared" si="41"/>
        <v>2</v>
      </c>
      <c r="BL54" s="79">
        <f t="shared" si="41"/>
        <v>2</v>
      </c>
      <c r="BM54" s="79">
        <f t="shared" si="41"/>
        <v>2</v>
      </c>
      <c r="BN54" s="79">
        <f t="shared" si="41"/>
        <v>2</v>
      </c>
      <c r="BO54" s="79">
        <f t="shared" si="41"/>
        <v>2</v>
      </c>
    </row>
    <row r="55" outlineLevel="1">
      <c r="A55" s="47"/>
      <c r="B55" s="39" t="s">
        <v>40</v>
      </c>
      <c r="C55" s="47"/>
      <c r="D55" s="88">
        <v>0.05</v>
      </c>
      <c r="E55" s="47"/>
      <c r="F55" s="47"/>
      <c r="G55" s="47"/>
      <c r="H55" s="89">
        <f t="shared" si="40"/>
        <v>0.05</v>
      </c>
      <c r="I55" s="89">
        <f t="shared" ref="I55:BO55" si="42">H55</f>
        <v>0.05</v>
      </c>
      <c r="J55" s="89">
        <f t="shared" si="42"/>
        <v>0.05</v>
      </c>
      <c r="K55" s="89">
        <f t="shared" si="42"/>
        <v>0.05</v>
      </c>
      <c r="L55" s="89">
        <f t="shared" si="42"/>
        <v>0.05</v>
      </c>
      <c r="M55" s="89">
        <f t="shared" si="42"/>
        <v>0.05</v>
      </c>
      <c r="N55" s="89">
        <f t="shared" si="42"/>
        <v>0.05</v>
      </c>
      <c r="O55" s="89">
        <f t="shared" si="42"/>
        <v>0.05</v>
      </c>
      <c r="P55" s="89">
        <f t="shared" si="42"/>
        <v>0.05</v>
      </c>
      <c r="Q55" s="89">
        <f t="shared" si="42"/>
        <v>0.05</v>
      </c>
      <c r="R55" s="89">
        <f t="shared" si="42"/>
        <v>0.05</v>
      </c>
      <c r="S55" s="89">
        <f t="shared" si="42"/>
        <v>0.05</v>
      </c>
      <c r="T55" s="89">
        <f t="shared" si="42"/>
        <v>0.05</v>
      </c>
      <c r="U55" s="89">
        <f t="shared" si="42"/>
        <v>0.05</v>
      </c>
      <c r="V55" s="89">
        <f t="shared" si="42"/>
        <v>0.05</v>
      </c>
      <c r="W55" s="89">
        <f t="shared" si="42"/>
        <v>0.05</v>
      </c>
      <c r="X55" s="89">
        <f t="shared" si="42"/>
        <v>0.05</v>
      </c>
      <c r="Y55" s="89">
        <f t="shared" si="42"/>
        <v>0.05</v>
      </c>
      <c r="Z55" s="89">
        <f t="shared" si="42"/>
        <v>0.05</v>
      </c>
      <c r="AA55" s="89">
        <f t="shared" si="42"/>
        <v>0.05</v>
      </c>
      <c r="AB55" s="89">
        <f t="shared" si="42"/>
        <v>0.05</v>
      </c>
      <c r="AC55" s="89">
        <f t="shared" si="42"/>
        <v>0.05</v>
      </c>
      <c r="AD55" s="89">
        <f t="shared" si="42"/>
        <v>0.05</v>
      </c>
      <c r="AE55" s="89">
        <f t="shared" si="42"/>
        <v>0.05</v>
      </c>
      <c r="AF55" s="89">
        <f t="shared" si="42"/>
        <v>0.05</v>
      </c>
      <c r="AG55" s="89">
        <f t="shared" si="42"/>
        <v>0.05</v>
      </c>
      <c r="AH55" s="89">
        <f t="shared" si="42"/>
        <v>0.05</v>
      </c>
      <c r="AI55" s="89">
        <f t="shared" si="42"/>
        <v>0.05</v>
      </c>
      <c r="AJ55" s="89">
        <f t="shared" si="42"/>
        <v>0.05</v>
      </c>
      <c r="AK55" s="89">
        <f t="shared" si="42"/>
        <v>0.05</v>
      </c>
      <c r="AL55" s="89">
        <f t="shared" si="42"/>
        <v>0.05</v>
      </c>
      <c r="AM55" s="89">
        <f t="shared" si="42"/>
        <v>0.05</v>
      </c>
      <c r="AN55" s="89">
        <f t="shared" si="42"/>
        <v>0.05</v>
      </c>
      <c r="AO55" s="89">
        <f t="shared" si="42"/>
        <v>0.05</v>
      </c>
      <c r="AP55" s="89">
        <f t="shared" si="42"/>
        <v>0.05</v>
      </c>
      <c r="AQ55" s="89">
        <f t="shared" si="42"/>
        <v>0.05</v>
      </c>
      <c r="AR55" s="89">
        <f t="shared" si="42"/>
        <v>0.05</v>
      </c>
      <c r="AS55" s="89">
        <f t="shared" si="42"/>
        <v>0.05</v>
      </c>
      <c r="AT55" s="89">
        <f t="shared" si="42"/>
        <v>0.05</v>
      </c>
      <c r="AU55" s="89">
        <f t="shared" si="42"/>
        <v>0.05</v>
      </c>
      <c r="AV55" s="89">
        <f t="shared" si="42"/>
        <v>0.05</v>
      </c>
      <c r="AW55" s="89">
        <f t="shared" si="42"/>
        <v>0.05</v>
      </c>
      <c r="AX55" s="89">
        <f t="shared" si="42"/>
        <v>0.05</v>
      </c>
      <c r="AY55" s="89">
        <f t="shared" si="42"/>
        <v>0.05</v>
      </c>
      <c r="AZ55" s="89">
        <f t="shared" si="42"/>
        <v>0.05</v>
      </c>
      <c r="BA55" s="89">
        <f t="shared" si="42"/>
        <v>0.05</v>
      </c>
      <c r="BB55" s="89">
        <f t="shared" si="42"/>
        <v>0.05</v>
      </c>
      <c r="BC55" s="89">
        <f t="shared" si="42"/>
        <v>0.05</v>
      </c>
      <c r="BD55" s="89">
        <f t="shared" si="42"/>
        <v>0.05</v>
      </c>
      <c r="BE55" s="89">
        <f t="shared" si="42"/>
        <v>0.05</v>
      </c>
      <c r="BF55" s="89">
        <f t="shared" si="42"/>
        <v>0.05</v>
      </c>
      <c r="BG55" s="89">
        <f t="shared" si="42"/>
        <v>0.05</v>
      </c>
      <c r="BH55" s="89">
        <f t="shared" si="42"/>
        <v>0.05</v>
      </c>
      <c r="BI55" s="89">
        <f t="shared" si="42"/>
        <v>0.05</v>
      </c>
      <c r="BJ55" s="89">
        <f t="shared" si="42"/>
        <v>0.05</v>
      </c>
      <c r="BK55" s="89">
        <f t="shared" si="42"/>
        <v>0.05</v>
      </c>
      <c r="BL55" s="89">
        <f t="shared" si="42"/>
        <v>0.05</v>
      </c>
      <c r="BM55" s="89">
        <f t="shared" si="42"/>
        <v>0.05</v>
      </c>
      <c r="BN55" s="89">
        <f t="shared" si="42"/>
        <v>0.05</v>
      </c>
      <c r="BO55" s="89">
        <f t="shared" si="42"/>
        <v>0.05</v>
      </c>
    </row>
    <row r="56" outlineLevel="1">
      <c r="A56" s="81"/>
      <c r="B56" s="59" t="s">
        <v>16</v>
      </c>
      <c r="C56" s="83"/>
      <c r="D56" s="84">
        <v>0.05</v>
      </c>
      <c r="E56" s="85"/>
      <c r="F56" s="85"/>
      <c r="G56" s="85"/>
      <c r="H56" s="62">
        <f t="shared" si="40"/>
        <v>0.05</v>
      </c>
      <c r="I56" s="62">
        <f t="shared" ref="I56:BO56" si="43">H56</f>
        <v>0.05</v>
      </c>
      <c r="J56" s="62">
        <f t="shared" si="43"/>
        <v>0.05</v>
      </c>
      <c r="K56" s="62">
        <f t="shared" si="43"/>
        <v>0.05</v>
      </c>
      <c r="L56" s="62">
        <f t="shared" si="43"/>
        <v>0.05</v>
      </c>
      <c r="M56" s="62">
        <f t="shared" si="43"/>
        <v>0.05</v>
      </c>
      <c r="N56" s="62">
        <f t="shared" si="43"/>
        <v>0.05</v>
      </c>
      <c r="O56" s="62">
        <f t="shared" si="43"/>
        <v>0.05</v>
      </c>
      <c r="P56" s="62">
        <f t="shared" si="43"/>
        <v>0.05</v>
      </c>
      <c r="Q56" s="62">
        <f t="shared" si="43"/>
        <v>0.05</v>
      </c>
      <c r="R56" s="62">
        <f t="shared" si="43"/>
        <v>0.05</v>
      </c>
      <c r="S56" s="62">
        <f t="shared" si="43"/>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c r="BO56" s="62">
        <f t="shared" si="43"/>
        <v>0.05</v>
      </c>
    </row>
    <row r="57" outlineLevel="1">
      <c r="A57" s="81"/>
      <c r="B57" s="86" t="s">
        <v>17</v>
      </c>
      <c r="C57" s="81"/>
      <c r="D57" s="75"/>
      <c r="E57" s="87"/>
      <c r="F57" s="87"/>
      <c r="G57" s="87"/>
      <c r="H57" s="75">
        <f t="shared" ref="H57:BO57" si="44">H53*H54*H55*H56</f>
        <v>10</v>
      </c>
      <c r="I57" s="75">
        <f t="shared" si="44"/>
        <v>10</v>
      </c>
      <c r="J57" s="75">
        <f t="shared" si="44"/>
        <v>10</v>
      </c>
      <c r="K57" s="75">
        <f t="shared" si="44"/>
        <v>10</v>
      </c>
      <c r="L57" s="75">
        <f t="shared" si="44"/>
        <v>10</v>
      </c>
      <c r="M57" s="75">
        <f t="shared" si="44"/>
        <v>10</v>
      </c>
      <c r="N57" s="75">
        <f t="shared" si="44"/>
        <v>10</v>
      </c>
      <c r="O57" s="75">
        <f t="shared" si="44"/>
        <v>10</v>
      </c>
      <c r="P57" s="75">
        <f t="shared" si="44"/>
        <v>10</v>
      </c>
      <c r="Q57" s="75">
        <f t="shared" si="44"/>
        <v>10</v>
      </c>
      <c r="R57" s="75">
        <f t="shared" si="44"/>
        <v>10</v>
      </c>
      <c r="S57" s="75">
        <f t="shared" si="44"/>
        <v>10</v>
      </c>
      <c r="T57" s="75">
        <f t="shared" si="44"/>
        <v>10</v>
      </c>
      <c r="U57" s="75">
        <f t="shared" si="44"/>
        <v>10</v>
      </c>
      <c r="V57" s="75">
        <f t="shared" si="44"/>
        <v>10</v>
      </c>
      <c r="W57" s="75">
        <f t="shared" si="44"/>
        <v>10</v>
      </c>
      <c r="X57" s="75">
        <f t="shared" si="44"/>
        <v>10</v>
      </c>
      <c r="Y57" s="75">
        <f t="shared" si="44"/>
        <v>10</v>
      </c>
      <c r="Z57" s="75">
        <f t="shared" si="44"/>
        <v>10</v>
      </c>
      <c r="AA57" s="75">
        <f t="shared" si="44"/>
        <v>10</v>
      </c>
      <c r="AB57" s="75">
        <f t="shared" si="44"/>
        <v>10</v>
      </c>
      <c r="AC57" s="75">
        <f t="shared" si="44"/>
        <v>10</v>
      </c>
      <c r="AD57" s="75">
        <f t="shared" si="44"/>
        <v>10</v>
      </c>
      <c r="AE57" s="75">
        <f t="shared" si="44"/>
        <v>10</v>
      </c>
      <c r="AF57" s="75">
        <f t="shared" si="44"/>
        <v>10</v>
      </c>
      <c r="AG57" s="75">
        <f t="shared" si="44"/>
        <v>10</v>
      </c>
      <c r="AH57" s="75">
        <f t="shared" si="44"/>
        <v>10</v>
      </c>
      <c r="AI57" s="75">
        <f t="shared" si="44"/>
        <v>10</v>
      </c>
      <c r="AJ57" s="75">
        <f t="shared" si="44"/>
        <v>10</v>
      </c>
      <c r="AK57" s="75">
        <f t="shared" si="44"/>
        <v>10</v>
      </c>
      <c r="AL57" s="75">
        <f t="shared" si="44"/>
        <v>10</v>
      </c>
      <c r="AM57" s="75">
        <f t="shared" si="44"/>
        <v>10</v>
      </c>
      <c r="AN57" s="75">
        <f t="shared" si="44"/>
        <v>10</v>
      </c>
      <c r="AO57" s="75">
        <f t="shared" si="44"/>
        <v>10</v>
      </c>
      <c r="AP57" s="75">
        <f t="shared" si="44"/>
        <v>10</v>
      </c>
      <c r="AQ57" s="75">
        <f t="shared" si="44"/>
        <v>10</v>
      </c>
      <c r="AR57" s="75">
        <f t="shared" si="44"/>
        <v>10</v>
      </c>
      <c r="AS57" s="75">
        <f t="shared" si="44"/>
        <v>10</v>
      </c>
      <c r="AT57" s="75">
        <f t="shared" si="44"/>
        <v>10</v>
      </c>
      <c r="AU57" s="75">
        <f t="shared" si="44"/>
        <v>10</v>
      </c>
      <c r="AV57" s="75">
        <f t="shared" si="44"/>
        <v>10</v>
      </c>
      <c r="AW57" s="75">
        <f t="shared" si="44"/>
        <v>10</v>
      </c>
      <c r="AX57" s="75">
        <f t="shared" si="44"/>
        <v>10</v>
      </c>
      <c r="AY57" s="75">
        <f t="shared" si="44"/>
        <v>10</v>
      </c>
      <c r="AZ57" s="75">
        <f t="shared" si="44"/>
        <v>10</v>
      </c>
      <c r="BA57" s="75">
        <f t="shared" si="44"/>
        <v>10</v>
      </c>
      <c r="BB57" s="75">
        <f t="shared" si="44"/>
        <v>10</v>
      </c>
      <c r="BC57" s="75">
        <f t="shared" si="44"/>
        <v>10</v>
      </c>
      <c r="BD57" s="75">
        <f t="shared" si="44"/>
        <v>10</v>
      </c>
      <c r="BE57" s="75">
        <f t="shared" si="44"/>
        <v>10</v>
      </c>
      <c r="BF57" s="75">
        <f t="shared" si="44"/>
        <v>10</v>
      </c>
      <c r="BG57" s="75">
        <f t="shared" si="44"/>
        <v>10</v>
      </c>
      <c r="BH57" s="75">
        <f t="shared" si="44"/>
        <v>10</v>
      </c>
      <c r="BI57" s="75">
        <f t="shared" si="44"/>
        <v>10</v>
      </c>
      <c r="BJ57" s="75">
        <f t="shared" si="44"/>
        <v>10</v>
      </c>
      <c r="BK57" s="75">
        <f t="shared" si="44"/>
        <v>10</v>
      </c>
      <c r="BL57" s="75">
        <f t="shared" si="44"/>
        <v>10</v>
      </c>
      <c r="BM57" s="75">
        <f t="shared" si="44"/>
        <v>10</v>
      </c>
      <c r="BN57" s="75">
        <f t="shared" si="44"/>
        <v>10</v>
      </c>
      <c r="BO57" s="75">
        <f t="shared" si="44"/>
        <v>10</v>
      </c>
    </row>
    <row r="58" outlineLevel="1">
      <c r="A58" s="47"/>
      <c r="B58" s="65"/>
      <c r="C58" s="47"/>
      <c r="D58" s="43"/>
      <c r="E58" s="47"/>
      <c r="F58" s="47"/>
      <c r="G58" s="47"/>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row>
    <row r="59" outlineLevel="1">
      <c r="A59" s="47"/>
      <c r="B59" s="65" t="s">
        <v>41</v>
      </c>
      <c r="C59" s="47"/>
      <c r="D59" s="43"/>
      <c r="E59" s="47"/>
      <c r="F59" s="47"/>
      <c r="G59" s="47"/>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row>
    <row r="60" outlineLevel="1">
      <c r="A60" s="47"/>
      <c r="B60" s="39" t="s">
        <v>42</v>
      </c>
      <c r="C60" s="47"/>
      <c r="D60" s="77">
        <v>3.0</v>
      </c>
      <c r="E60" s="47"/>
      <c r="F60" s="47"/>
      <c r="G60" s="47"/>
      <c r="H60" s="80">
        <f t="shared" ref="H60:H62" si="46">D60</f>
        <v>3</v>
      </c>
      <c r="I60" s="80">
        <f t="shared" ref="I60:BO60" si="45">H60</f>
        <v>3</v>
      </c>
      <c r="J60" s="80">
        <f t="shared" si="45"/>
        <v>3</v>
      </c>
      <c r="K60" s="80">
        <f t="shared" si="45"/>
        <v>3</v>
      </c>
      <c r="L60" s="80">
        <f t="shared" si="45"/>
        <v>3</v>
      </c>
      <c r="M60" s="80">
        <f t="shared" si="45"/>
        <v>3</v>
      </c>
      <c r="N60" s="80">
        <f t="shared" si="45"/>
        <v>3</v>
      </c>
      <c r="O60" s="80">
        <f t="shared" si="45"/>
        <v>3</v>
      </c>
      <c r="P60" s="80">
        <f t="shared" si="45"/>
        <v>3</v>
      </c>
      <c r="Q60" s="80">
        <f t="shared" si="45"/>
        <v>3</v>
      </c>
      <c r="R60" s="80">
        <f t="shared" si="45"/>
        <v>3</v>
      </c>
      <c r="S60" s="80">
        <f t="shared" si="45"/>
        <v>3</v>
      </c>
      <c r="T60" s="80">
        <f t="shared" si="45"/>
        <v>3</v>
      </c>
      <c r="U60" s="80">
        <f t="shared" si="45"/>
        <v>3</v>
      </c>
      <c r="V60" s="80">
        <f t="shared" si="45"/>
        <v>3</v>
      </c>
      <c r="W60" s="80">
        <f t="shared" si="45"/>
        <v>3</v>
      </c>
      <c r="X60" s="80">
        <f t="shared" si="45"/>
        <v>3</v>
      </c>
      <c r="Y60" s="80">
        <f t="shared" si="45"/>
        <v>3</v>
      </c>
      <c r="Z60" s="80">
        <f t="shared" si="45"/>
        <v>3</v>
      </c>
      <c r="AA60" s="80">
        <f t="shared" si="45"/>
        <v>3</v>
      </c>
      <c r="AB60" s="80">
        <f t="shared" si="45"/>
        <v>3</v>
      </c>
      <c r="AC60" s="80">
        <f t="shared" si="45"/>
        <v>3</v>
      </c>
      <c r="AD60" s="80">
        <f t="shared" si="45"/>
        <v>3</v>
      </c>
      <c r="AE60" s="80">
        <f t="shared" si="45"/>
        <v>3</v>
      </c>
      <c r="AF60" s="80">
        <f t="shared" si="45"/>
        <v>3</v>
      </c>
      <c r="AG60" s="80">
        <f t="shared" si="45"/>
        <v>3</v>
      </c>
      <c r="AH60" s="80">
        <f t="shared" si="45"/>
        <v>3</v>
      </c>
      <c r="AI60" s="80">
        <f t="shared" si="45"/>
        <v>3</v>
      </c>
      <c r="AJ60" s="80">
        <f t="shared" si="45"/>
        <v>3</v>
      </c>
      <c r="AK60" s="80">
        <f t="shared" si="45"/>
        <v>3</v>
      </c>
      <c r="AL60" s="80">
        <f t="shared" si="45"/>
        <v>3</v>
      </c>
      <c r="AM60" s="80">
        <f t="shared" si="45"/>
        <v>3</v>
      </c>
      <c r="AN60" s="80">
        <f t="shared" si="45"/>
        <v>3</v>
      </c>
      <c r="AO60" s="80">
        <f t="shared" si="45"/>
        <v>3</v>
      </c>
      <c r="AP60" s="80">
        <f t="shared" si="45"/>
        <v>3</v>
      </c>
      <c r="AQ60" s="80">
        <f t="shared" si="45"/>
        <v>3</v>
      </c>
      <c r="AR60" s="80">
        <f t="shared" si="45"/>
        <v>3</v>
      </c>
      <c r="AS60" s="80">
        <f t="shared" si="45"/>
        <v>3</v>
      </c>
      <c r="AT60" s="80">
        <f t="shared" si="45"/>
        <v>3</v>
      </c>
      <c r="AU60" s="80">
        <f t="shared" si="45"/>
        <v>3</v>
      </c>
      <c r="AV60" s="80">
        <f t="shared" si="45"/>
        <v>3</v>
      </c>
      <c r="AW60" s="80">
        <f t="shared" si="45"/>
        <v>3</v>
      </c>
      <c r="AX60" s="80">
        <f t="shared" si="45"/>
        <v>3</v>
      </c>
      <c r="AY60" s="80">
        <f t="shared" si="45"/>
        <v>3</v>
      </c>
      <c r="AZ60" s="80">
        <f t="shared" si="45"/>
        <v>3</v>
      </c>
      <c r="BA60" s="80">
        <f t="shared" si="45"/>
        <v>3</v>
      </c>
      <c r="BB60" s="80">
        <f t="shared" si="45"/>
        <v>3</v>
      </c>
      <c r="BC60" s="80">
        <f t="shared" si="45"/>
        <v>3</v>
      </c>
      <c r="BD60" s="80">
        <f t="shared" si="45"/>
        <v>3</v>
      </c>
      <c r="BE60" s="80">
        <f t="shared" si="45"/>
        <v>3</v>
      </c>
      <c r="BF60" s="80">
        <f t="shared" si="45"/>
        <v>3</v>
      </c>
      <c r="BG60" s="80">
        <f t="shared" si="45"/>
        <v>3</v>
      </c>
      <c r="BH60" s="80">
        <f t="shared" si="45"/>
        <v>3</v>
      </c>
      <c r="BI60" s="80">
        <f t="shared" si="45"/>
        <v>3</v>
      </c>
      <c r="BJ60" s="80">
        <f t="shared" si="45"/>
        <v>3</v>
      </c>
      <c r="BK60" s="80">
        <f t="shared" si="45"/>
        <v>3</v>
      </c>
      <c r="BL60" s="80">
        <f t="shared" si="45"/>
        <v>3</v>
      </c>
      <c r="BM60" s="80">
        <f t="shared" si="45"/>
        <v>3</v>
      </c>
      <c r="BN60" s="80">
        <f t="shared" si="45"/>
        <v>3</v>
      </c>
      <c r="BO60" s="80">
        <f t="shared" si="45"/>
        <v>3</v>
      </c>
    </row>
    <row r="61" outlineLevel="1">
      <c r="A61" s="47"/>
      <c r="B61" s="39" t="s">
        <v>43</v>
      </c>
      <c r="C61" s="47"/>
      <c r="D61" s="77">
        <v>50.0</v>
      </c>
      <c r="E61" s="47"/>
      <c r="F61" s="47"/>
      <c r="G61" s="47"/>
      <c r="H61" s="80">
        <f t="shared" si="46"/>
        <v>50</v>
      </c>
      <c r="I61" s="80">
        <f t="shared" ref="I61:BO61" si="47">H61</f>
        <v>50</v>
      </c>
      <c r="J61" s="80">
        <f t="shared" si="47"/>
        <v>50</v>
      </c>
      <c r="K61" s="80">
        <f t="shared" si="47"/>
        <v>50</v>
      </c>
      <c r="L61" s="80">
        <f t="shared" si="47"/>
        <v>50</v>
      </c>
      <c r="M61" s="80">
        <f t="shared" si="47"/>
        <v>50</v>
      </c>
      <c r="N61" s="80">
        <f t="shared" si="47"/>
        <v>50</v>
      </c>
      <c r="O61" s="80">
        <f t="shared" si="47"/>
        <v>50</v>
      </c>
      <c r="P61" s="80">
        <f t="shared" si="47"/>
        <v>50</v>
      </c>
      <c r="Q61" s="80">
        <f t="shared" si="47"/>
        <v>50</v>
      </c>
      <c r="R61" s="80">
        <f t="shared" si="47"/>
        <v>50</v>
      </c>
      <c r="S61" s="80">
        <f t="shared" si="47"/>
        <v>50</v>
      </c>
      <c r="T61" s="80">
        <f t="shared" si="47"/>
        <v>50</v>
      </c>
      <c r="U61" s="80">
        <f t="shared" si="47"/>
        <v>50</v>
      </c>
      <c r="V61" s="80">
        <f t="shared" si="47"/>
        <v>50</v>
      </c>
      <c r="W61" s="80">
        <f t="shared" si="47"/>
        <v>50</v>
      </c>
      <c r="X61" s="80">
        <f t="shared" si="47"/>
        <v>50</v>
      </c>
      <c r="Y61" s="80">
        <f t="shared" si="47"/>
        <v>50</v>
      </c>
      <c r="Z61" s="80">
        <f t="shared" si="47"/>
        <v>50</v>
      </c>
      <c r="AA61" s="80">
        <f t="shared" si="47"/>
        <v>50</v>
      </c>
      <c r="AB61" s="80">
        <f t="shared" si="47"/>
        <v>50</v>
      </c>
      <c r="AC61" s="80">
        <f t="shared" si="47"/>
        <v>50</v>
      </c>
      <c r="AD61" s="80">
        <f t="shared" si="47"/>
        <v>50</v>
      </c>
      <c r="AE61" s="80">
        <f t="shared" si="47"/>
        <v>50</v>
      </c>
      <c r="AF61" s="80">
        <f t="shared" si="47"/>
        <v>50</v>
      </c>
      <c r="AG61" s="80">
        <f t="shared" si="47"/>
        <v>50</v>
      </c>
      <c r="AH61" s="80">
        <f t="shared" si="47"/>
        <v>50</v>
      </c>
      <c r="AI61" s="80">
        <f t="shared" si="47"/>
        <v>50</v>
      </c>
      <c r="AJ61" s="80">
        <f t="shared" si="47"/>
        <v>50</v>
      </c>
      <c r="AK61" s="80">
        <f t="shared" si="47"/>
        <v>50</v>
      </c>
      <c r="AL61" s="80">
        <f t="shared" si="47"/>
        <v>50</v>
      </c>
      <c r="AM61" s="80">
        <f t="shared" si="47"/>
        <v>50</v>
      </c>
      <c r="AN61" s="80">
        <f t="shared" si="47"/>
        <v>50</v>
      </c>
      <c r="AO61" s="80">
        <f t="shared" si="47"/>
        <v>50</v>
      </c>
      <c r="AP61" s="80">
        <f t="shared" si="47"/>
        <v>50</v>
      </c>
      <c r="AQ61" s="80">
        <f t="shared" si="47"/>
        <v>50</v>
      </c>
      <c r="AR61" s="80">
        <f t="shared" si="47"/>
        <v>50</v>
      </c>
      <c r="AS61" s="80">
        <f t="shared" si="47"/>
        <v>50</v>
      </c>
      <c r="AT61" s="80">
        <f t="shared" si="47"/>
        <v>50</v>
      </c>
      <c r="AU61" s="80">
        <f t="shared" si="47"/>
        <v>50</v>
      </c>
      <c r="AV61" s="80">
        <f t="shared" si="47"/>
        <v>50</v>
      </c>
      <c r="AW61" s="80">
        <f t="shared" si="47"/>
        <v>50</v>
      </c>
      <c r="AX61" s="80">
        <f t="shared" si="47"/>
        <v>50</v>
      </c>
      <c r="AY61" s="80">
        <f t="shared" si="47"/>
        <v>50</v>
      </c>
      <c r="AZ61" s="80">
        <f t="shared" si="47"/>
        <v>50</v>
      </c>
      <c r="BA61" s="80">
        <f t="shared" si="47"/>
        <v>50</v>
      </c>
      <c r="BB61" s="80">
        <f t="shared" si="47"/>
        <v>50</v>
      </c>
      <c r="BC61" s="80">
        <f t="shared" si="47"/>
        <v>50</v>
      </c>
      <c r="BD61" s="80">
        <f t="shared" si="47"/>
        <v>50</v>
      </c>
      <c r="BE61" s="80">
        <f t="shared" si="47"/>
        <v>50</v>
      </c>
      <c r="BF61" s="80">
        <f t="shared" si="47"/>
        <v>50</v>
      </c>
      <c r="BG61" s="80">
        <f t="shared" si="47"/>
        <v>50</v>
      </c>
      <c r="BH61" s="80">
        <f t="shared" si="47"/>
        <v>50</v>
      </c>
      <c r="BI61" s="80">
        <f t="shared" si="47"/>
        <v>50</v>
      </c>
      <c r="BJ61" s="80">
        <f t="shared" si="47"/>
        <v>50</v>
      </c>
      <c r="BK61" s="80">
        <f t="shared" si="47"/>
        <v>50</v>
      </c>
      <c r="BL61" s="80">
        <f t="shared" si="47"/>
        <v>50</v>
      </c>
      <c r="BM61" s="80">
        <f t="shared" si="47"/>
        <v>50</v>
      </c>
      <c r="BN61" s="80">
        <f t="shared" si="47"/>
        <v>50</v>
      </c>
      <c r="BO61" s="80">
        <f t="shared" si="47"/>
        <v>50</v>
      </c>
    </row>
    <row r="62" outlineLevel="1">
      <c r="A62" s="47"/>
      <c r="B62" s="72" t="s">
        <v>16</v>
      </c>
      <c r="C62" s="59"/>
      <c r="D62" s="73">
        <v>0.05</v>
      </c>
      <c r="E62" s="61"/>
      <c r="F62" s="61"/>
      <c r="G62" s="61"/>
      <c r="H62" s="62">
        <f t="shared" si="46"/>
        <v>0.05</v>
      </c>
      <c r="I62" s="62">
        <f t="shared" ref="I62:BO62" si="48">H62</f>
        <v>0.05</v>
      </c>
      <c r="J62" s="62">
        <f t="shared" si="48"/>
        <v>0.05</v>
      </c>
      <c r="K62" s="62">
        <f t="shared" si="48"/>
        <v>0.05</v>
      </c>
      <c r="L62" s="62">
        <f t="shared" si="48"/>
        <v>0.05</v>
      </c>
      <c r="M62" s="62">
        <f t="shared" si="48"/>
        <v>0.05</v>
      </c>
      <c r="N62" s="62">
        <f t="shared" si="48"/>
        <v>0.05</v>
      </c>
      <c r="O62" s="62">
        <f t="shared" si="48"/>
        <v>0.05</v>
      </c>
      <c r="P62" s="62">
        <f t="shared" si="48"/>
        <v>0.05</v>
      </c>
      <c r="Q62" s="62">
        <f t="shared" si="48"/>
        <v>0.05</v>
      </c>
      <c r="R62" s="62">
        <f t="shared" si="48"/>
        <v>0.05</v>
      </c>
      <c r="S62" s="62">
        <f t="shared" si="48"/>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c r="BO62" s="62">
        <f t="shared" si="48"/>
        <v>0.05</v>
      </c>
    </row>
    <row r="63" outlineLevel="1">
      <c r="A63" s="47"/>
      <c r="B63" s="74" t="s">
        <v>17</v>
      </c>
      <c r="C63" s="47"/>
      <c r="D63" s="63"/>
      <c r="E63" s="64"/>
      <c r="F63" s="64"/>
      <c r="G63" s="64"/>
      <c r="H63" s="63">
        <f t="shared" ref="H63:BO63" si="49">H60*H61*H62</f>
        <v>7.5</v>
      </c>
      <c r="I63" s="63">
        <f t="shared" si="49"/>
        <v>7.5</v>
      </c>
      <c r="J63" s="63">
        <f t="shared" si="49"/>
        <v>7.5</v>
      </c>
      <c r="K63" s="63">
        <f t="shared" si="49"/>
        <v>7.5</v>
      </c>
      <c r="L63" s="63">
        <f t="shared" si="49"/>
        <v>7.5</v>
      </c>
      <c r="M63" s="63">
        <f t="shared" si="49"/>
        <v>7.5</v>
      </c>
      <c r="N63" s="63">
        <f t="shared" si="49"/>
        <v>7.5</v>
      </c>
      <c r="O63" s="63">
        <f t="shared" si="49"/>
        <v>7.5</v>
      </c>
      <c r="P63" s="63">
        <f t="shared" si="49"/>
        <v>7.5</v>
      </c>
      <c r="Q63" s="63">
        <f t="shared" si="49"/>
        <v>7.5</v>
      </c>
      <c r="R63" s="63">
        <f t="shared" si="49"/>
        <v>7.5</v>
      </c>
      <c r="S63" s="63">
        <f t="shared" si="49"/>
        <v>7.5</v>
      </c>
      <c r="T63" s="63">
        <f t="shared" si="49"/>
        <v>7.5</v>
      </c>
      <c r="U63" s="63">
        <f t="shared" si="49"/>
        <v>7.5</v>
      </c>
      <c r="V63" s="63">
        <f t="shared" si="49"/>
        <v>7.5</v>
      </c>
      <c r="W63" s="63">
        <f t="shared" si="49"/>
        <v>7.5</v>
      </c>
      <c r="X63" s="63">
        <f t="shared" si="49"/>
        <v>7.5</v>
      </c>
      <c r="Y63" s="63">
        <f t="shared" si="49"/>
        <v>7.5</v>
      </c>
      <c r="Z63" s="63">
        <f t="shared" si="49"/>
        <v>7.5</v>
      </c>
      <c r="AA63" s="63">
        <f t="shared" si="49"/>
        <v>7.5</v>
      </c>
      <c r="AB63" s="63">
        <f t="shared" si="49"/>
        <v>7.5</v>
      </c>
      <c r="AC63" s="63">
        <f t="shared" si="49"/>
        <v>7.5</v>
      </c>
      <c r="AD63" s="63">
        <f t="shared" si="49"/>
        <v>7.5</v>
      </c>
      <c r="AE63" s="63">
        <f t="shared" si="49"/>
        <v>7.5</v>
      </c>
      <c r="AF63" s="63">
        <f t="shared" si="49"/>
        <v>7.5</v>
      </c>
      <c r="AG63" s="63">
        <f t="shared" si="49"/>
        <v>7.5</v>
      </c>
      <c r="AH63" s="63">
        <f t="shared" si="49"/>
        <v>7.5</v>
      </c>
      <c r="AI63" s="63">
        <f t="shared" si="49"/>
        <v>7.5</v>
      </c>
      <c r="AJ63" s="63">
        <f t="shared" si="49"/>
        <v>7.5</v>
      </c>
      <c r="AK63" s="63">
        <f t="shared" si="49"/>
        <v>7.5</v>
      </c>
      <c r="AL63" s="63">
        <f t="shared" si="49"/>
        <v>7.5</v>
      </c>
      <c r="AM63" s="63">
        <f t="shared" si="49"/>
        <v>7.5</v>
      </c>
      <c r="AN63" s="63">
        <f t="shared" si="49"/>
        <v>7.5</v>
      </c>
      <c r="AO63" s="63">
        <f t="shared" si="49"/>
        <v>7.5</v>
      </c>
      <c r="AP63" s="63">
        <f t="shared" si="49"/>
        <v>7.5</v>
      </c>
      <c r="AQ63" s="63">
        <f t="shared" si="49"/>
        <v>7.5</v>
      </c>
      <c r="AR63" s="63">
        <f t="shared" si="49"/>
        <v>7.5</v>
      </c>
      <c r="AS63" s="63">
        <f t="shared" si="49"/>
        <v>7.5</v>
      </c>
      <c r="AT63" s="63">
        <f t="shared" si="49"/>
        <v>7.5</v>
      </c>
      <c r="AU63" s="63">
        <f t="shared" si="49"/>
        <v>7.5</v>
      </c>
      <c r="AV63" s="63">
        <f t="shared" si="49"/>
        <v>7.5</v>
      </c>
      <c r="AW63" s="63">
        <f t="shared" si="49"/>
        <v>7.5</v>
      </c>
      <c r="AX63" s="63">
        <f t="shared" si="49"/>
        <v>7.5</v>
      </c>
      <c r="AY63" s="63">
        <f t="shared" si="49"/>
        <v>7.5</v>
      </c>
      <c r="AZ63" s="63">
        <f t="shared" si="49"/>
        <v>7.5</v>
      </c>
      <c r="BA63" s="63">
        <f t="shared" si="49"/>
        <v>7.5</v>
      </c>
      <c r="BB63" s="63">
        <f t="shared" si="49"/>
        <v>7.5</v>
      </c>
      <c r="BC63" s="63">
        <f t="shared" si="49"/>
        <v>7.5</v>
      </c>
      <c r="BD63" s="63">
        <f t="shared" si="49"/>
        <v>7.5</v>
      </c>
      <c r="BE63" s="63">
        <f t="shared" si="49"/>
        <v>7.5</v>
      </c>
      <c r="BF63" s="63">
        <f t="shared" si="49"/>
        <v>7.5</v>
      </c>
      <c r="BG63" s="63">
        <f t="shared" si="49"/>
        <v>7.5</v>
      </c>
      <c r="BH63" s="63">
        <f t="shared" si="49"/>
        <v>7.5</v>
      </c>
      <c r="BI63" s="63">
        <f t="shared" si="49"/>
        <v>7.5</v>
      </c>
      <c r="BJ63" s="63">
        <f t="shared" si="49"/>
        <v>7.5</v>
      </c>
      <c r="BK63" s="63">
        <f t="shared" si="49"/>
        <v>7.5</v>
      </c>
      <c r="BL63" s="63">
        <f t="shared" si="49"/>
        <v>7.5</v>
      </c>
      <c r="BM63" s="63">
        <f t="shared" si="49"/>
        <v>7.5</v>
      </c>
      <c r="BN63" s="63">
        <f t="shared" si="49"/>
        <v>7.5</v>
      </c>
      <c r="BO63" s="63">
        <f t="shared" si="49"/>
        <v>7.5</v>
      </c>
    </row>
    <row r="64" outlineLevel="1">
      <c r="A64" s="47"/>
      <c r="B64" s="65"/>
      <c r="C64" s="47"/>
      <c r="D64" s="43"/>
      <c r="E64" s="47"/>
      <c r="F64" s="47"/>
      <c r="G64" s="47"/>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row>
    <row r="65" outlineLevel="1">
      <c r="A65" s="47"/>
      <c r="B65" s="65" t="s">
        <v>44</v>
      </c>
      <c r="C65" s="47"/>
      <c r="D65" s="43"/>
      <c r="E65" s="47"/>
      <c r="F65" s="47"/>
      <c r="G65" s="47"/>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row>
    <row r="66" outlineLevel="1">
      <c r="A66" s="47"/>
      <c r="B66" s="39" t="s">
        <v>45</v>
      </c>
      <c r="C66" s="47"/>
      <c r="D66" s="77">
        <v>25.0</v>
      </c>
      <c r="E66" s="47"/>
      <c r="F66" s="47"/>
      <c r="G66" s="47"/>
      <c r="H66" s="80">
        <f t="shared" ref="H66:H68" si="51">D66</f>
        <v>25</v>
      </c>
      <c r="I66" s="80">
        <f t="shared" ref="I66:BO66" si="50">H66</f>
        <v>25</v>
      </c>
      <c r="J66" s="80">
        <f t="shared" si="50"/>
        <v>25</v>
      </c>
      <c r="K66" s="80">
        <f t="shared" si="50"/>
        <v>25</v>
      </c>
      <c r="L66" s="80">
        <f t="shared" si="50"/>
        <v>25</v>
      </c>
      <c r="M66" s="80">
        <f t="shared" si="50"/>
        <v>25</v>
      </c>
      <c r="N66" s="80">
        <f t="shared" si="50"/>
        <v>25</v>
      </c>
      <c r="O66" s="80">
        <f t="shared" si="50"/>
        <v>25</v>
      </c>
      <c r="P66" s="80">
        <f t="shared" si="50"/>
        <v>25</v>
      </c>
      <c r="Q66" s="80">
        <f t="shared" si="50"/>
        <v>25</v>
      </c>
      <c r="R66" s="80">
        <f t="shared" si="50"/>
        <v>25</v>
      </c>
      <c r="S66" s="80">
        <f t="shared" si="50"/>
        <v>25</v>
      </c>
      <c r="T66" s="80">
        <f t="shared" si="50"/>
        <v>25</v>
      </c>
      <c r="U66" s="80">
        <f t="shared" si="50"/>
        <v>25</v>
      </c>
      <c r="V66" s="80">
        <f t="shared" si="50"/>
        <v>25</v>
      </c>
      <c r="W66" s="80">
        <f t="shared" si="50"/>
        <v>25</v>
      </c>
      <c r="X66" s="80">
        <f t="shared" si="50"/>
        <v>25</v>
      </c>
      <c r="Y66" s="80">
        <f t="shared" si="50"/>
        <v>25</v>
      </c>
      <c r="Z66" s="80">
        <f t="shared" si="50"/>
        <v>25</v>
      </c>
      <c r="AA66" s="80">
        <f t="shared" si="50"/>
        <v>25</v>
      </c>
      <c r="AB66" s="80">
        <f t="shared" si="50"/>
        <v>25</v>
      </c>
      <c r="AC66" s="80">
        <f t="shared" si="50"/>
        <v>25</v>
      </c>
      <c r="AD66" s="80">
        <f t="shared" si="50"/>
        <v>25</v>
      </c>
      <c r="AE66" s="80">
        <f t="shared" si="50"/>
        <v>25</v>
      </c>
      <c r="AF66" s="80">
        <f t="shared" si="50"/>
        <v>25</v>
      </c>
      <c r="AG66" s="80">
        <f t="shared" si="50"/>
        <v>25</v>
      </c>
      <c r="AH66" s="80">
        <f t="shared" si="50"/>
        <v>25</v>
      </c>
      <c r="AI66" s="80">
        <f t="shared" si="50"/>
        <v>25</v>
      </c>
      <c r="AJ66" s="80">
        <f t="shared" si="50"/>
        <v>25</v>
      </c>
      <c r="AK66" s="80">
        <f t="shared" si="50"/>
        <v>25</v>
      </c>
      <c r="AL66" s="80">
        <f t="shared" si="50"/>
        <v>25</v>
      </c>
      <c r="AM66" s="80">
        <f t="shared" si="50"/>
        <v>25</v>
      </c>
      <c r="AN66" s="80">
        <f t="shared" si="50"/>
        <v>25</v>
      </c>
      <c r="AO66" s="80">
        <f t="shared" si="50"/>
        <v>25</v>
      </c>
      <c r="AP66" s="80">
        <f t="shared" si="50"/>
        <v>25</v>
      </c>
      <c r="AQ66" s="80">
        <f t="shared" si="50"/>
        <v>25</v>
      </c>
      <c r="AR66" s="80">
        <f t="shared" si="50"/>
        <v>25</v>
      </c>
      <c r="AS66" s="80">
        <f t="shared" si="50"/>
        <v>25</v>
      </c>
      <c r="AT66" s="80">
        <f t="shared" si="50"/>
        <v>25</v>
      </c>
      <c r="AU66" s="80">
        <f t="shared" si="50"/>
        <v>25</v>
      </c>
      <c r="AV66" s="80">
        <f t="shared" si="50"/>
        <v>25</v>
      </c>
      <c r="AW66" s="80">
        <f t="shared" si="50"/>
        <v>25</v>
      </c>
      <c r="AX66" s="80">
        <f t="shared" si="50"/>
        <v>25</v>
      </c>
      <c r="AY66" s="80">
        <f t="shared" si="50"/>
        <v>25</v>
      </c>
      <c r="AZ66" s="80">
        <f t="shared" si="50"/>
        <v>25</v>
      </c>
      <c r="BA66" s="80">
        <f t="shared" si="50"/>
        <v>25</v>
      </c>
      <c r="BB66" s="80">
        <f t="shared" si="50"/>
        <v>25</v>
      </c>
      <c r="BC66" s="80">
        <f t="shared" si="50"/>
        <v>25</v>
      </c>
      <c r="BD66" s="80">
        <f t="shared" si="50"/>
        <v>25</v>
      </c>
      <c r="BE66" s="80">
        <f t="shared" si="50"/>
        <v>25</v>
      </c>
      <c r="BF66" s="80">
        <f t="shared" si="50"/>
        <v>25</v>
      </c>
      <c r="BG66" s="80">
        <f t="shared" si="50"/>
        <v>25</v>
      </c>
      <c r="BH66" s="80">
        <f t="shared" si="50"/>
        <v>25</v>
      </c>
      <c r="BI66" s="80">
        <f t="shared" si="50"/>
        <v>25</v>
      </c>
      <c r="BJ66" s="80">
        <f t="shared" si="50"/>
        <v>25</v>
      </c>
      <c r="BK66" s="80">
        <f t="shared" si="50"/>
        <v>25</v>
      </c>
      <c r="BL66" s="80">
        <f t="shared" si="50"/>
        <v>25</v>
      </c>
      <c r="BM66" s="80">
        <f t="shared" si="50"/>
        <v>25</v>
      </c>
      <c r="BN66" s="80">
        <f t="shared" si="50"/>
        <v>25</v>
      </c>
      <c r="BO66" s="80">
        <f t="shared" si="50"/>
        <v>25</v>
      </c>
    </row>
    <row r="67" outlineLevel="1">
      <c r="A67" s="47"/>
      <c r="B67" s="39" t="s">
        <v>46</v>
      </c>
      <c r="C67" s="47"/>
      <c r="D67" s="90">
        <v>2.0</v>
      </c>
      <c r="E67" s="47"/>
      <c r="F67" s="47"/>
      <c r="G67" s="47"/>
      <c r="H67" s="91">
        <f t="shared" si="51"/>
        <v>2</v>
      </c>
      <c r="I67" s="91">
        <f t="shared" ref="I67:BO67" si="52">H67</f>
        <v>2</v>
      </c>
      <c r="J67" s="91">
        <f t="shared" si="52"/>
        <v>2</v>
      </c>
      <c r="K67" s="91">
        <f t="shared" si="52"/>
        <v>2</v>
      </c>
      <c r="L67" s="91">
        <f t="shared" si="52"/>
        <v>2</v>
      </c>
      <c r="M67" s="91">
        <f t="shared" si="52"/>
        <v>2</v>
      </c>
      <c r="N67" s="91">
        <f t="shared" si="52"/>
        <v>2</v>
      </c>
      <c r="O67" s="91">
        <f t="shared" si="52"/>
        <v>2</v>
      </c>
      <c r="P67" s="91">
        <f t="shared" si="52"/>
        <v>2</v>
      </c>
      <c r="Q67" s="91">
        <f t="shared" si="52"/>
        <v>2</v>
      </c>
      <c r="R67" s="91">
        <f t="shared" si="52"/>
        <v>2</v>
      </c>
      <c r="S67" s="91">
        <f t="shared" si="52"/>
        <v>2</v>
      </c>
      <c r="T67" s="91">
        <f t="shared" si="52"/>
        <v>2</v>
      </c>
      <c r="U67" s="91">
        <f t="shared" si="52"/>
        <v>2</v>
      </c>
      <c r="V67" s="91">
        <f t="shared" si="52"/>
        <v>2</v>
      </c>
      <c r="W67" s="91">
        <f t="shared" si="52"/>
        <v>2</v>
      </c>
      <c r="X67" s="91">
        <f t="shared" si="52"/>
        <v>2</v>
      </c>
      <c r="Y67" s="91">
        <f t="shared" si="52"/>
        <v>2</v>
      </c>
      <c r="Z67" s="91">
        <f t="shared" si="52"/>
        <v>2</v>
      </c>
      <c r="AA67" s="91">
        <f t="shared" si="52"/>
        <v>2</v>
      </c>
      <c r="AB67" s="91">
        <f t="shared" si="52"/>
        <v>2</v>
      </c>
      <c r="AC67" s="91">
        <f t="shared" si="52"/>
        <v>2</v>
      </c>
      <c r="AD67" s="91">
        <f t="shared" si="52"/>
        <v>2</v>
      </c>
      <c r="AE67" s="91">
        <f t="shared" si="52"/>
        <v>2</v>
      </c>
      <c r="AF67" s="91">
        <f t="shared" si="52"/>
        <v>2</v>
      </c>
      <c r="AG67" s="91">
        <f t="shared" si="52"/>
        <v>2</v>
      </c>
      <c r="AH67" s="91">
        <f t="shared" si="52"/>
        <v>2</v>
      </c>
      <c r="AI67" s="91">
        <f t="shared" si="52"/>
        <v>2</v>
      </c>
      <c r="AJ67" s="91">
        <f t="shared" si="52"/>
        <v>2</v>
      </c>
      <c r="AK67" s="91">
        <f t="shared" si="52"/>
        <v>2</v>
      </c>
      <c r="AL67" s="91">
        <f t="shared" si="52"/>
        <v>2</v>
      </c>
      <c r="AM67" s="91">
        <f t="shared" si="52"/>
        <v>2</v>
      </c>
      <c r="AN67" s="91">
        <f t="shared" si="52"/>
        <v>2</v>
      </c>
      <c r="AO67" s="91">
        <f t="shared" si="52"/>
        <v>2</v>
      </c>
      <c r="AP67" s="91">
        <f t="shared" si="52"/>
        <v>2</v>
      </c>
      <c r="AQ67" s="91">
        <f t="shared" si="52"/>
        <v>2</v>
      </c>
      <c r="AR67" s="91">
        <f t="shared" si="52"/>
        <v>2</v>
      </c>
      <c r="AS67" s="91">
        <f t="shared" si="52"/>
        <v>2</v>
      </c>
      <c r="AT67" s="91">
        <f t="shared" si="52"/>
        <v>2</v>
      </c>
      <c r="AU67" s="91">
        <f t="shared" si="52"/>
        <v>2</v>
      </c>
      <c r="AV67" s="91">
        <f t="shared" si="52"/>
        <v>2</v>
      </c>
      <c r="AW67" s="91">
        <f t="shared" si="52"/>
        <v>2</v>
      </c>
      <c r="AX67" s="91">
        <f t="shared" si="52"/>
        <v>2</v>
      </c>
      <c r="AY67" s="91">
        <f t="shared" si="52"/>
        <v>2</v>
      </c>
      <c r="AZ67" s="91">
        <f t="shared" si="52"/>
        <v>2</v>
      </c>
      <c r="BA67" s="91">
        <f t="shared" si="52"/>
        <v>2</v>
      </c>
      <c r="BB67" s="91">
        <f t="shared" si="52"/>
        <v>2</v>
      </c>
      <c r="BC67" s="91">
        <f t="shared" si="52"/>
        <v>2</v>
      </c>
      <c r="BD67" s="91">
        <f t="shared" si="52"/>
        <v>2</v>
      </c>
      <c r="BE67" s="91">
        <f t="shared" si="52"/>
        <v>2</v>
      </c>
      <c r="BF67" s="91">
        <f t="shared" si="52"/>
        <v>2</v>
      </c>
      <c r="BG67" s="91">
        <f t="shared" si="52"/>
        <v>2</v>
      </c>
      <c r="BH67" s="91">
        <f t="shared" si="52"/>
        <v>2</v>
      </c>
      <c r="BI67" s="91">
        <f t="shared" si="52"/>
        <v>2</v>
      </c>
      <c r="BJ67" s="91">
        <f t="shared" si="52"/>
        <v>2</v>
      </c>
      <c r="BK67" s="91">
        <f t="shared" si="52"/>
        <v>2</v>
      </c>
      <c r="BL67" s="91">
        <f t="shared" si="52"/>
        <v>2</v>
      </c>
      <c r="BM67" s="91">
        <f t="shared" si="52"/>
        <v>2</v>
      </c>
      <c r="BN67" s="91">
        <f t="shared" si="52"/>
        <v>2</v>
      </c>
      <c r="BO67" s="91">
        <f t="shared" si="52"/>
        <v>2</v>
      </c>
    </row>
    <row r="68" outlineLevel="1">
      <c r="A68" s="47"/>
      <c r="B68" s="72" t="s">
        <v>16</v>
      </c>
      <c r="C68" s="59"/>
      <c r="D68" s="84">
        <v>0.2</v>
      </c>
      <c r="E68" s="61"/>
      <c r="F68" s="61"/>
      <c r="G68" s="61"/>
      <c r="H68" s="62">
        <f t="shared" si="51"/>
        <v>0.2</v>
      </c>
      <c r="I68" s="62">
        <f t="shared" ref="I68:BO68" si="53">H68</f>
        <v>0.2</v>
      </c>
      <c r="J68" s="62">
        <f t="shared" si="53"/>
        <v>0.2</v>
      </c>
      <c r="K68" s="62">
        <f t="shared" si="53"/>
        <v>0.2</v>
      </c>
      <c r="L68" s="62">
        <f t="shared" si="53"/>
        <v>0.2</v>
      </c>
      <c r="M68" s="62">
        <f t="shared" si="53"/>
        <v>0.2</v>
      </c>
      <c r="N68" s="62">
        <f t="shared" si="53"/>
        <v>0.2</v>
      </c>
      <c r="O68" s="62">
        <f t="shared" si="53"/>
        <v>0.2</v>
      </c>
      <c r="P68" s="62">
        <f t="shared" si="53"/>
        <v>0.2</v>
      </c>
      <c r="Q68" s="62">
        <f t="shared" si="53"/>
        <v>0.2</v>
      </c>
      <c r="R68" s="62">
        <f t="shared" si="53"/>
        <v>0.2</v>
      </c>
      <c r="S68" s="62">
        <f t="shared" si="53"/>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c r="BO68" s="62">
        <f t="shared" si="53"/>
        <v>0.2</v>
      </c>
    </row>
    <row r="69" outlineLevel="1">
      <c r="A69" s="47"/>
      <c r="B69" s="74" t="s">
        <v>17</v>
      </c>
      <c r="C69" s="47"/>
      <c r="D69" s="64"/>
      <c r="E69" s="64"/>
      <c r="F69" s="64"/>
      <c r="G69" s="64"/>
      <c r="H69" s="92">
        <f t="shared" ref="H69:BO69" si="54">IFERROR(offset(H66,,-H67+1)*H68,0)</f>
        <v>0</v>
      </c>
      <c r="I69" s="92">
        <f t="shared" si="54"/>
        <v>5</v>
      </c>
      <c r="J69" s="92">
        <f t="shared" si="54"/>
        <v>5</v>
      </c>
      <c r="K69" s="92">
        <f t="shared" si="54"/>
        <v>5</v>
      </c>
      <c r="L69" s="92">
        <f t="shared" si="54"/>
        <v>5</v>
      </c>
      <c r="M69" s="92">
        <f t="shared" si="54"/>
        <v>5</v>
      </c>
      <c r="N69" s="92">
        <f t="shared" si="54"/>
        <v>5</v>
      </c>
      <c r="O69" s="92">
        <f t="shared" si="54"/>
        <v>5</v>
      </c>
      <c r="P69" s="92">
        <f t="shared" si="54"/>
        <v>5</v>
      </c>
      <c r="Q69" s="92">
        <f t="shared" si="54"/>
        <v>5</v>
      </c>
      <c r="R69" s="92">
        <f t="shared" si="54"/>
        <v>5</v>
      </c>
      <c r="S69" s="92">
        <f t="shared" si="54"/>
        <v>5</v>
      </c>
      <c r="T69" s="92">
        <f t="shared" si="54"/>
        <v>5</v>
      </c>
      <c r="U69" s="92">
        <f t="shared" si="54"/>
        <v>5</v>
      </c>
      <c r="V69" s="92">
        <f t="shared" si="54"/>
        <v>5</v>
      </c>
      <c r="W69" s="92">
        <f t="shared" si="54"/>
        <v>5</v>
      </c>
      <c r="X69" s="92">
        <f t="shared" si="54"/>
        <v>5</v>
      </c>
      <c r="Y69" s="92">
        <f t="shared" si="54"/>
        <v>5</v>
      </c>
      <c r="Z69" s="92">
        <f t="shared" si="54"/>
        <v>5</v>
      </c>
      <c r="AA69" s="92">
        <f t="shared" si="54"/>
        <v>5</v>
      </c>
      <c r="AB69" s="92">
        <f t="shared" si="54"/>
        <v>5</v>
      </c>
      <c r="AC69" s="92">
        <f t="shared" si="54"/>
        <v>5</v>
      </c>
      <c r="AD69" s="92">
        <f t="shared" si="54"/>
        <v>5</v>
      </c>
      <c r="AE69" s="92">
        <f t="shared" si="54"/>
        <v>5</v>
      </c>
      <c r="AF69" s="92">
        <f t="shared" si="54"/>
        <v>5</v>
      </c>
      <c r="AG69" s="92">
        <f t="shared" si="54"/>
        <v>5</v>
      </c>
      <c r="AH69" s="92">
        <f t="shared" si="54"/>
        <v>5</v>
      </c>
      <c r="AI69" s="92">
        <f t="shared" si="54"/>
        <v>5</v>
      </c>
      <c r="AJ69" s="92">
        <f t="shared" si="54"/>
        <v>5</v>
      </c>
      <c r="AK69" s="92">
        <f t="shared" si="54"/>
        <v>5</v>
      </c>
      <c r="AL69" s="92">
        <f t="shared" si="54"/>
        <v>5</v>
      </c>
      <c r="AM69" s="92">
        <f t="shared" si="54"/>
        <v>5</v>
      </c>
      <c r="AN69" s="92">
        <f t="shared" si="54"/>
        <v>5</v>
      </c>
      <c r="AO69" s="92">
        <f t="shared" si="54"/>
        <v>5</v>
      </c>
      <c r="AP69" s="92">
        <f t="shared" si="54"/>
        <v>5</v>
      </c>
      <c r="AQ69" s="92">
        <f t="shared" si="54"/>
        <v>5</v>
      </c>
      <c r="AR69" s="92">
        <f t="shared" si="54"/>
        <v>5</v>
      </c>
      <c r="AS69" s="92">
        <f t="shared" si="54"/>
        <v>5</v>
      </c>
      <c r="AT69" s="92">
        <f t="shared" si="54"/>
        <v>5</v>
      </c>
      <c r="AU69" s="92">
        <f t="shared" si="54"/>
        <v>5</v>
      </c>
      <c r="AV69" s="92">
        <f t="shared" si="54"/>
        <v>5</v>
      </c>
      <c r="AW69" s="92">
        <f t="shared" si="54"/>
        <v>5</v>
      </c>
      <c r="AX69" s="92">
        <f t="shared" si="54"/>
        <v>5</v>
      </c>
      <c r="AY69" s="92">
        <f t="shared" si="54"/>
        <v>5</v>
      </c>
      <c r="AZ69" s="92">
        <f t="shared" si="54"/>
        <v>5</v>
      </c>
      <c r="BA69" s="92">
        <f t="shared" si="54"/>
        <v>5</v>
      </c>
      <c r="BB69" s="92">
        <f t="shared" si="54"/>
        <v>5</v>
      </c>
      <c r="BC69" s="92">
        <f t="shared" si="54"/>
        <v>5</v>
      </c>
      <c r="BD69" s="92">
        <f t="shared" si="54"/>
        <v>5</v>
      </c>
      <c r="BE69" s="92">
        <f t="shared" si="54"/>
        <v>5</v>
      </c>
      <c r="BF69" s="92">
        <f t="shared" si="54"/>
        <v>5</v>
      </c>
      <c r="BG69" s="92">
        <f t="shared" si="54"/>
        <v>5</v>
      </c>
      <c r="BH69" s="92">
        <f t="shared" si="54"/>
        <v>5</v>
      </c>
      <c r="BI69" s="92">
        <f t="shared" si="54"/>
        <v>5</v>
      </c>
      <c r="BJ69" s="92">
        <f t="shared" si="54"/>
        <v>5</v>
      </c>
      <c r="BK69" s="92">
        <f t="shared" si="54"/>
        <v>5</v>
      </c>
      <c r="BL69" s="92">
        <f t="shared" si="54"/>
        <v>5</v>
      </c>
      <c r="BM69" s="92">
        <f t="shared" si="54"/>
        <v>5</v>
      </c>
      <c r="BN69" s="92">
        <f t="shared" si="54"/>
        <v>5</v>
      </c>
      <c r="BO69" s="92">
        <f t="shared" si="54"/>
        <v>5</v>
      </c>
    </row>
    <row r="70" outlineLevel="1">
      <c r="A70" s="93"/>
      <c r="B70" s="94"/>
      <c r="C70" s="95"/>
      <c r="D70" s="96"/>
      <c r="E70" s="96"/>
      <c r="F70" s="96"/>
      <c r="G70" s="96"/>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c r="BM70" s="97"/>
      <c r="BN70" s="97"/>
      <c r="BO70" s="97"/>
    </row>
    <row r="71" outlineLevel="1">
      <c r="A71" s="93"/>
      <c r="B71" s="98" t="s">
        <v>47</v>
      </c>
      <c r="C71" s="93"/>
      <c r="D71" s="99"/>
      <c r="E71" s="99"/>
      <c r="F71" s="99"/>
      <c r="G71" s="99"/>
      <c r="H71" s="100">
        <f t="shared" ref="H71:BO71" si="55">H13+H19+H25+H31+H38+H44+H50+H57+H63+H69</f>
        <v>267.5</v>
      </c>
      <c r="I71" s="100">
        <f t="shared" si="55"/>
        <v>274.0125</v>
      </c>
      <c r="J71" s="100">
        <f t="shared" si="55"/>
        <v>274.1101875</v>
      </c>
      <c r="K71" s="100">
        <f t="shared" si="55"/>
        <v>274.1116528</v>
      </c>
      <c r="L71" s="100">
        <f t="shared" si="55"/>
        <v>274.1116748</v>
      </c>
      <c r="M71" s="100">
        <f t="shared" si="55"/>
        <v>274.1116751</v>
      </c>
      <c r="N71" s="100">
        <f t="shared" si="55"/>
        <v>274.1116751</v>
      </c>
      <c r="O71" s="100">
        <f t="shared" si="55"/>
        <v>274.1116751</v>
      </c>
      <c r="P71" s="100">
        <f t="shared" si="55"/>
        <v>274.1116751</v>
      </c>
      <c r="Q71" s="100">
        <f t="shared" si="55"/>
        <v>274.1116751</v>
      </c>
      <c r="R71" s="100">
        <f t="shared" si="55"/>
        <v>274.1116751</v>
      </c>
      <c r="S71" s="100">
        <f t="shared" si="55"/>
        <v>274.1116751</v>
      </c>
      <c r="T71" s="100">
        <f t="shared" si="55"/>
        <v>274.1116751</v>
      </c>
      <c r="U71" s="100">
        <f t="shared" si="55"/>
        <v>274.1116751</v>
      </c>
      <c r="V71" s="100">
        <f t="shared" si="55"/>
        <v>274.1116751</v>
      </c>
      <c r="W71" s="100">
        <f t="shared" si="55"/>
        <v>274.1116751</v>
      </c>
      <c r="X71" s="100">
        <f t="shared" si="55"/>
        <v>274.1116751</v>
      </c>
      <c r="Y71" s="100">
        <f t="shared" si="55"/>
        <v>274.1116751</v>
      </c>
      <c r="Z71" s="100">
        <f t="shared" si="55"/>
        <v>274.1116751</v>
      </c>
      <c r="AA71" s="100">
        <f t="shared" si="55"/>
        <v>274.1116751</v>
      </c>
      <c r="AB71" s="100">
        <f t="shared" si="55"/>
        <v>274.1116751</v>
      </c>
      <c r="AC71" s="100">
        <f t="shared" si="55"/>
        <v>274.1116751</v>
      </c>
      <c r="AD71" s="100">
        <f t="shared" si="55"/>
        <v>274.1116751</v>
      </c>
      <c r="AE71" s="100">
        <f t="shared" si="55"/>
        <v>274.1116751</v>
      </c>
      <c r="AF71" s="100">
        <f t="shared" si="55"/>
        <v>274.1116751</v>
      </c>
      <c r="AG71" s="100">
        <f t="shared" si="55"/>
        <v>274.1116751</v>
      </c>
      <c r="AH71" s="100">
        <f t="shared" si="55"/>
        <v>274.1116751</v>
      </c>
      <c r="AI71" s="100">
        <f t="shared" si="55"/>
        <v>274.1116751</v>
      </c>
      <c r="AJ71" s="100">
        <f t="shared" si="55"/>
        <v>274.1116751</v>
      </c>
      <c r="AK71" s="100">
        <f t="shared" si="55"/>
        <v>274.1116751</v>
      </c>
      <c r="AL71" s="100">
        <f t="shared" si="55"/>
        <v>274.1116751</v>
      </c>
      <c r="AM71" s="100">
        <f t="shared" si="55"/>
        <v>274.1116751</v>
      </c>
      <c r="AN71" s="100">
        <f t="shared" si="55"/>
        <v>274.1116751</v>
      </c>
      <c r="AO71" s="100">
        <f t="shared" si="55"/>
        <v>274.1116751</v>
      </c>
      <c r="AP71" s="100">
        <f t="shared" si="55"/>
        <v>274.1116751</v>
      </c>
      <c r="AQ71" s="100">
        <f t="shared" si="55"/>
        <v>274.1116751</v>
      </c>
      <c r="AR71" s="100">
        <f t="shared" si="55"/>
        <v>274.1116751</v>
      </c>
      <c r="AS71" s="100">
        <f t="shared" si="55"/>
        <v>274.1116751</v>
      </c>
      <c r="AT71" s="100">
        <f t="shared" si="55"/>
        <v>274.1116751</v>
      </c>
      <c r="AU71" s="100">
        <f t="shared" si="55"/>
        <v>274.1116751</v>
      </c>
      <c r="AV71" s="100">
        <f t="shared" si="55"/>
        <v>274.1116751</v>
      </c>
      <c r="AW71" s="100">
        <f t="shared" si="55"/>
        <v>274.1116751</v>
      </c>
      <c r="AX71" s="100">
        <f t="shared" si="55"/>
        <v>274.1116751</v>
      </c>
      <c r="AY71" s="100">
        <f t="shared" si="55"/>
        <v>274.1116751</v>
      </c>
      <c r="AZ71" s="100">
        <f t="shared" si="55"/>
        <v>274.1116751</v>
      </c>
      <c r="BA71" s="100">
        <f t="shared" si="55"/>
        <v>274.1116751</v>
      </c>
      <c r="BB71" s="100">
        <f t="shared" si="55"/>
        <v>274.1116751</v>
      </c>
      <c r="BC71" s="100">
        <f t="shared" si="55"/>
        <v>274.1116751</v>
      </c>
      <c r="BD71" s="100">
        <f t="shared" si="55"/>
        <v>274.1116751</v>
      </c>
      <c r="BE71" s="100">
        <f t="shared" si="55"/>
        <v>274.1116751</v>
      </c>
      <c r="BF71" s="100">
        <f t="shared" si="55"/>
        <v>274.1116751</v>
      </c>
      <c r="BG71" s="100">
        <f t="shared" si="55"/>
        <v>274.1116751</v>
      </c>
      <c r="BH71" s="100">
        <f t="shared" si="55"/>
        <v>274.1116751</v>
      </c>
      <c r="BI71" s="100">
        <f t="shared" si="55"/>
        <v>274.1116751</v>
      </c>
      <c r="BJ71" s="100">
        <f t="shared" si="55"/>
        <v>274.1116751</v>
      </c>
      <c r="BK71" s="100">
        <f t="shared" si="55"/>
        <v>274.1116751</v>
      </c>
      <c r="BL71" s="100">
        <f t="shared" si="55"/>
        <v>274.1116751</v>
      </c>
      <c r="BM71" s="100">
        <f t="shared" si="55"/>
        <v>274.1116751</v>
      </c>
      <c r="BN71" s="100">
        <f t="shared" si="55"/>
        <v>274.1116751</v>
      </c>
      <c r="BO71" s="100">
        <f t="shared" si="55"/>
        <v>274.1116751</v>
      </c>
    </row>
    <row r="72">
      <c r="A72" s="47"/>
      <c r="B72" s="101"/>
      <c r="C72" s="47"/>
      <c r="D72" s="47"/>
      <c r="E72" s="47"/>
      <c r="F72" s="47"/>
      <c r="G72" s="47"/>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row>
    <row r="73">
      <c r="A73" s="47"/>
      <c r="B73" s="48" t="s">
        <v>48</v>
      </c>
      <c r="C73" s="49"/>
      <c r="D73" s="49"/>
      <c r="E73" s="49"/>
      <c r="F73" s="49"/>
      <c r="G73" s="49"/>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row>
    <row r="74" outlineLevel="1">
      <c r="A74" s="47"/>
      <c r="B74" s="47"/>
      <c r="C74" s="47"/>
      <c r="D74" s="47"/>
      <c r="E74" s="47"/>
      <c r="F74" s="47"/>
      <c r="G74" s="47"/>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row>
    <row r="75" outlineLevel="1">
      <c r="A75" s="47"/>
      <c r="B75" s="65" t="s">
        <v>49</v>
      </c>
      <c r="C75" s="102"/>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row>
    <row r="76" outlineLevel="1">
      <c r="A76" s="47"/>
      <c r="B76" s="39" t="s">
        <v>50</v>
      </c>
      <c r="C76" s="102"/>
      <c r="D76" s="103">
        <v>0.5</v>
      </c>
      <c r="E76" s="47"/>
      <c r="F76" s="47"/>
      <c r="G76" s="47"/>
      <c r="H76" s="89">
        <f>D76</f>
        <v>0.5</v>
      </c>
      <c r="I76" s="89">
        <f t="shared" ref="I76:BO76" si="56">H76</f>
        <v>0.5</v>
      </c>
      <c r="J76" s="89">
        <f t="shared" si="56"/>
        <v>0.5</v>
      </c>
      <c r="K76" s="89">
        <f t="shared" si="56"/>
        <v>0.5</v>
      </c>
      <c r="L76" s="89">
        <f t="shared" si="56"/>
        <v>0.5</v>
      </c>
      <c r="M76" s="89">
        <f t="shared" si="56"/>
        <v>0.5</v>
      </c>
      <c r="N76" s="89">
        <f t="shared" si="56"/>
        <v>0.5</v>
      </c>
      <c r="O76" s="89">
        <f t="shared" si="56"/>
        <v>0.5</v>
      </c>
      <c r="P76" s="89">
        <f t="shared" si="56"/>
        <v>0.5</v>
      </c>
      <c r="Q76" s="89">
        <f t="shared" si="56"/>
        <v>0.5</v>
      </c>
      <c r="R76" s="89">
        <f t="shared" si="56"/>
        <v>0.5</v>
      </c>
      <c r="S76" s="89">
        <f t="shared" si="56"/>
        <v>0.5</v>
      </c>
      <c r="T76" s="89">
        <f t="shared" si="56"/>
        <v>0.5</v>
      </c>
      <c r="U76" s="89">
        <f t="shared" si="56"/>
        <v>0.5</v>
      </c>
      <c r="V76" s="89">
        <f t="shared" si="56"/>
        <v>0.5</v>
      </c>
      <c r="W76" s="89">
        <f t="shared" si="56"/>
        <v>0.5</v>
      </c>
      <c r="X76" s="89">
        <f t="shared" si="56"/>
        <v>0.5</v>
      </c>
      <c r="Y76" s="89">
        <f t="shared" si="56"/>
        <v>0.5</v>
      </c>
      <c r="Z76" s="89">
        <f t="shared" si="56"/>
        <v>0.5</v>
      </c>
      <c r="AA76" s="89">
        <f t="shared" si="56"/>
        <v>0.5</v>
      </c>
      <c r="AB76" s="89">
        <f t="shared" si="56"/>
        <v>0.5</v>
      </c>
      <c r="AC76" s="89">
        <f t="shared" si="56"/>
        <v>0.5</v>
      </c>
      <c r="AD76" s="89">
        <f t="shared" si="56"/>
        <v>0.5</v>
      </c>
      <c r="AE76" s="89">
        <f t="shared" si="56"/>
        <v>0.5</v>
      </c>
      <c r="AF76" s="89">
        <f t="shared" si="56"/>
        <v>0.5</v>
      </c>
      <c r="AG76" s="89">
        <f t="shared" si="56"/>
        <v>0.5</v>
      </c>
      <c r="AH76" s="89">
        <f t="shared" si="56"/>
        <v>0.5</v>
      </c>
      <c r="AI76" s="89">
        <f t="shared" si="56"/>
        <v>0.5</v>
      </c>
      <c r="AJ76" s="89">
        <f t="shared" si="56"/>
        <v>0.5</v>
      </c>
      <c r="AK76" s="89">
        <f t="shared" si="56"/>
        <v>0.5</v>
      </c>
      <c r="AL76" s="89">
        <f t="shared" si="56"/>
        <v>0.5</v>
      </c>
      <c r="AM76" s="89">
        <f t="shared" si="56"/>
        <v>0.5</v>
      </c>
      <c r="AN76" s="89">
        <f t="shared" si="56"/>
        <v>0.5</v>
      </c>
      <c r="AO76" s="89">
        <f t="shared" si="56"/>
        <v>0.5</v>
      </c>
      <c r="AP76" s="89">
        <f t="shared" si="56"/>
        <v>0.5</v>
      </c>
      <c r="AQ76" s="89">
        <f t="shared" si="56"/>
        <v>0.5</v>
      </c>
      <c r="AR76" s="89">
        <f t="shared" si="56"/>
        <v>0.5</v>
      </c>
      <c r="AS76" s="89">
        <f t="shared" si="56"/>
        <v>0.5</v>
      </c>
      <c r="AT76" s="89">
        <f t="shared" si="56"/>
        <v>0.5</v>
      </c>
      <c r="AU76" s="89">
        <f t="shared" si="56"/>
        <v>0.5</v>
      </c>
      <c r="AV76" s="89">
        <f t="shared" si="56"/>
        <v>0.5</v>
      </c>
      <c r="AW76" s="89">
        <f t="shared" si="56"/>
        <v>0.5</v>
      </c>
      <c r="AX76" s="89">
        <f t="shared" si="56"/>
        <v>0.5</v>
      </c>
      <c r="AY76" s="89">
        <f t="shared" si="56"/>
        <v>0.5</v>
      </c>
      <c r="AZ76" s="89">
        <f t="shared" si="56"/>
        <v>0.5</v>
      </c>
      <c r="BA76" s="89">
        <f t="shared" si="56"/>
        <v>0.5</v>
      </c>
      <c r="BB76" s="89">
        <f t="shared" si="56"/>
        <v>0.5</v>
      </c>
      <c r="BC76" s="89">
        <f t="shared" si="56"/>
        <v>0.5</v>
      </c>
      <c r="BD76" s="89">
        <f t="shared" si="56"/>
        <v>0.5</v>
      </c>
      <c r="BE76" s="89">
        <f t="shared" si="56"/>
        <v>0.5</v>
      </c>
      <c r="BF76" s="89">
        <f t="shared" si="56"/>
        <v>0.5</v>
      </c>
      <c r="BG76" s="89">
        <f t="shared" si="56"/>
        <v>0.5</v>
      </c>
      <c r="BH76" s="89">
        <f t="shared" si="56"/>
        <v>0.5</v>
      </c>
      <c r="BI76" s="89">
        <f t="shared" si="56"/>
        <v>0.5</v>
      </c>
      <c r="BJ76" s="89">
        <f t="shared" si="56"/>
        <v>0.5</v>
      </c>
      <c r="BK76" s="89">
        <f t="shared" si="56"/>
        <v>0.5</v>
      </c>
      <c r="BL76" s="89">
        <f t="shared" si="56"/>
        <v>0.5</v>
      </c>
      <c r="BM76" s="89">
        <f t="shared" si="56"/>
        <v>0.5</v>
      </c>
      <c r="BN76" s="89">
        <f t="shared" si="56"/>
        <v>0.5</v>
      </c>
      <c r="BO76" s="89">
        <f t="shared" si="56"/>
        <v>0.5</v>
      </c>
    </row>
    <row r="77" outlineLevel="1">
      <c r="A77" s="47"/>
      <c r="B77" s="39" t="s">
        <v>17</v>
      </c>
      <c r="C77" s="102"/>
      <c r="D77" s="104"/>
      <c r="E77" s="47"/>
      <c r="F77" s="47"/>
      <c r="G77" s="47"/>
      <c r="H77" s="104">
        <f t="shared" ref="H77:BO77" si="57">H76*H$71</f>
        <v>133.75</v>
      </c>
      <c r="I77" s="104">
        <f t="shared" si="57"/>
        <v>137.00625</v>
      </c>
      <c r="J77" s="104">
        <f t="shared" si="57"/>
        <v>137.0550938</v>
      </c>
      <c r="K77" s="104">
        <f t="shared" si="57"/>
        <v>137.0558264</v>
      </c>
      <c r="L77" s="104">
        <f t="shared" si="57"/>
        <v>137.0558374</v>
      </c>
      <c r="M77" s="104">
        <f t="shared" si="57"/>
        <v>137.0558376</v>
      </c>
      <c r="N77" s="104">
        <f t="shared" si="57"/>
        <v>137.0558376</v>
      </c>
      <c r="O77" s="104">
        <f t="shared" si="57"/>
        <v>137.0558376</v>
      </c>
      <c r="P77" s="104">
        <f t="shared" si="57"/>
        <v>137.0558376</v>
      </c>
      <c r="Q77" s="104">
        <f t="shared" si="57"/>
        <v>137.0558376</v>
      </c>
      <c r="R77" s="104">
        <f t="shared" si="57"/>
        <v>137.0558376</v>
      </c>
      <c r="S77" s="104">
        <f t="shared" si="57"/>
        <v>137.0558376</v>
      </c>
      <c r="T77" s="104">
        <f t="shared" si="57"/>
        <v>137.0558376</v>
      </c>
      <c r="U77" s="104">
        <f t="shared" si="57"/>
        <v>137.0558376</v>
      </c>
      <c r="V77" s="104">
        <f t="shared" si="57"/>
        <v>137.0558376</v>
      </c>
      <c r="W77" s="104">
        <f t="shared" si="57"/>
        <v>137.0558376</v>
      </c>
      <c r="X77" s="104">
        <f t="shared" si="57"/>
        <v>137.0558376</v>
      </c>
      <c r="Y77" s="104">
        <f t="shared" si="57"/>
        <v>137.0558376</v>
      </c>
      <c r="Z77" s="104">
        <f t="shared" si="57"/>
        <v>137.0558376</v>
      </c>
      <c r="AA77" s="104">
        <f t="shared" si="57"/>
        <v>137.0558376</v>
      </c>
      <c r="AB77" s="104">
        <f t="shared" si="57"/>
        <v>137.0558376</v>
      </c>
      <c r="AC77" s="104">
        <f t="shared" si="57"/>
        <v>137.0558376</v>
      </c>
      <c r="AD77" s="104">
        <f t="shared" si="57"/>
        <v>137.0558376</v>
      </c>
      <c r="AE77" s="104">
        <f t="shared" si="57"/>
        <v>137.0558376</v>
      </c>
      <c r="AF77" s="104">
        <f t="shared" si="57"/>
        <v>137.0558376</v>
      </c>
      <c r="AG77" s="104">
        <f t="shared" si="57"/>
        <v>137.0558376</v>
      </c>
      <c r="AH77" s="104">
        <f t="shared" si="57"/>
        <v>137.0558376</v>
      </c>
      <c r="AI77" s="104">
        <f t="shared" si="57"/>
        <v>137.0558376</v>
      </c>
      <c r="AJ77" s="104">
        <f t="shared" si="57"/>
        <v>137.0558376</v>
      </c>
      <c r="AK77" s="104">
        <f t="shared" si="57"/>
        <v>137.0558376</v>
      </c>
      <c r="AL77" s="104">
        <f t="shared" si="57"/>
        <v>137.0558376</v>
      </c>
      <c r="AM77" s="104">
        <f t="shared" si="57"/>
        <v>137.0558376</v>
      </c>
      <c r="AN77" s="104">
        <f t="shared" si="57"/>
        <v>137.0558376</v>
      </c>
      <c r="AO77" s="104">
        <f t="shared" si="57"/>
        <v>137.0558376</v>
      </c>
      <c r="AP77" s="104">
        <f t="shared" si="57"/>
        <v>137.0558376</v>
      </c>
      <c r="AQ77" s="104">
        <f t="shared" si="57"/>
        <v>137.0558376</v>
      </c>
      <c r="AR77" s="104">
        <f t="shared" si="57"/>
        <v>137.0558376</v>
      </c>
      <c r="AS77" s="104">
        <f t="shared" si="57"/>
        <v>137.0558376</v>
      </c>
      <c r="AT77" s="104">
        <f t="shared" si="57"/>
        <v>137.0558376</v>
      </c>
      <c r="AU77" s="104">
        <f t="shared" si="57"/>
        <v>137.0558376</v>
      </c>
      <c r="AV77" s="104">
        <f t="shared" si="57"/>
        <v>137.0558376</v>
      </c>
      <c r="AW77" s="104">
        <f t="shared" si="57"/>
        <v>137.0558376</v>
      </c>
      <c r="AX77" s="104">
        <f t="shared" si="57"/>
        <v>137.0558376</v>
      </c>
      <c r="AY77" s="104">
        <f t="shared" si="57"/>
        <v>137.0558376</v>
      </c>
      <c r="AZ77" s="104">
        <f t="shared" si="57"/>
        <v>137.0558376</v>
      </c>
      <c r="BA77" s="104">
        <f t="shared" si="57"/>
        <v>137.0558376</v>
      </c>
      <c r="BB77" s="104">
        <f t="shared" si="57"/>
        <v>137.0558376</v>
      </c>
      <c r="BC77" s="104">
        <f t="shared" si="57"/>
        <v>137.0558376</v>
      </c>
      <c r="BD77" s="104">
        <f t="shared" si="57"/>
        <v>137.0558376</v>
      </c>
      <c r="BE77" s="104">
        <f t="shared" si="57"/>
        <v>137.0558376</v>
      </c>
      <c r="BF77" s="104">
        <f t="shared" si="57"/>
        <v>137.0558376</v>
      </c>
      <c r="BG77" s="104">
        <f t="shared" si="57"/>
        <v>137.0558376</v>
      </c>
      <c r="BH77" s="104">
        <f t="shared" si="57"/>
        <v>137.0558376</v>
      </c>
      <c r="BI77" s="104">
        <f t="shared" si="57"/>
        <v>137.0558376</v>
      </c>
      <c r="BJ77" s="104">
        <f t="shared" si="57"/>
        <v>137.0558376</v>
      </c>
      <c r="BK77" s="104">
        <f t="shared" si="57"/>
        <v>137.0558376</v>
      </c>
      <c r="BL77" s="104">
        <f t="shared" si="57"/>
        <v>137.0558376</v>
      </c>
      <c r="BM77" s="104">
        <f t="shared" si="57"/>
        <v>137.0558376</v>
      </c>
      <c r="BN77" s="104">
        <f t="shared" si="57"/>
        <v>137.0558376</v>
      </c>
      <c r="BO77" s="104">
        <f t="shared" si="57"/>
        <v>137.0558376</v>
      </c>
    </row>
    <row r="78" outlineLevel="1">
      <c r="A78" s="47"/>
      <c r="B78" s="39" t="s">
        <v>51</v>
      </c>
      <c r="C78" s="102"/>
      <c r="D78" s="103">
        <v>0.05</v>
      </c>
      <c r="E78" s="47"/>
      <c r="F78" s="47"/>
      <c r="G78" s="47"/>
      <c r="H78" s="89">
        <f>D78</f>
        <v>0.05</v>
      </c>
      <c r="I78" s="89">
        <f t="shared" ref="I78:BO78" si="58">H78</f>
        <v>0.05</v>
      </c>
      <c r="J78" s="89">
        <f t="shared" si="58"/>
        <v>0.05</v>
      </c>
      <c r="K78" s="89">
        <f t="shared" si="58"/>
        <v>0.05</v>
      </c>
      <c r="L78" s="89">
        <f t="shared" si="58"/>
        <v>0.05</v>
      </c>
      <c r="M78" s="89">
        <f t="shared" si="58"/>
        <v>0.05</v>
      </c>
      <c r="N78" s="89">
        <f t="shared" si="58"/>
        <v>0.05</v>
      </c>
      <c r="O78" s="89">
        <f t="shared" si="58"/>
        <v>0.05</v>
      </c>
      <c r="P78" s="89">
        <f t="shared" si="58"/>
        <v>0.05</v>
      </c>
      <c r="Q78" s="89">
        <f t="shared" si="58"/>
        <v>0.05</v>
      </c>
      <c r="R78" s="89">
        <f t="shared" si="58"/>
        <v>0.05</v>
      </c>
      <c r="S78" s="89">
        <f t="shared" si="58"/>
        <v>0.05</v>
      </c>
      <c r="T78" s="89">
        <f t="shared" si="58"/>
        <v>0.05</v>
      </c>
      <c r="U78" s="89">
        <f t="shared" si="58"/>
        <v>0.05</v>
      </c>
      <c r="V78" s="89">
        <f t="shared" si="58"/>
        <v>0.05</v>
      </c>
      <c r="W78" s="89">
        <f t="shared" si="58"/>
        <v>0.05</v>
      </c>
      <c r="X78" s="89">
        <f t="shared" si="58"/>
        <v>0.05</v>
      </c>
      <c r="Y78" s="89">
        <f t="shared" si="58"/>
        <v>0.05</v>
      </c>
      <c r="Z78" s="89">
        <f t="shared" si="58"/>
        <v>0.05</v>
      </c>
      <c r="AA78" s="89">
        <f t="shared" si="58"/>
        <v>0.05</v>
      </c>
      <c r="AB78" s="89">
        <f t="shared" si="58"/>
        <v>0.05</v>
      </c>
      <c r="AC78" s="89">
        <f t="shared" si="58"/>
        <v>0.05</v>
      </c>
      <c r="AD78" s="89">
        <f t="shared" si="58"/>
        <v>0.05</v>
      </c>
      <c r="AE78" s="89">
        <f t="shared" si="58"/>
        <v>0.05</v>
      </c>
      <c r="AF78" s="89">
        <f t="shared" si="58"/>
        <v>0.05</v>
      </c>
      <c r="AG78" s="89">
        <f t="shared" si="58"/>
        <v>0.05</v>
      </c>
      <c r="AH78" s="89">
        <f t="shared" si="58"/>
        <v>0.05</v>
      </c>
      <c r="AI78" s="89">
        <f t="shared" si="58"/>
        <v>0.05</v>
      </c>
      <c r="AJ78" s="89">
        <f t="shared" si="58"/>
        <v>0.05</v>
      </c>
      <c r="AK78" s="89">
        <f t="shared" si="58"/>
        <v>0.05</v>
      </c>
      <c r="AL78" s="89">
        <f t="shared" si="58"/>
        <v>0.05</v>
      </c>
      <c r="AM78" s="89">
        <f t="shared" si="58"/>
        <v>0.05</v>
      </c>
      <c r="AN78" s="89">
        <f t="shared" si="58"/>
        <v>0.05</v>
      </c>
      <c r="AO78" s="89">
        <f t="shared" si="58"/>
        <v>0.05</v>
      </c>
      <c r="AP78" s="89">
        <f t="shared" si="58"/>
        <v>0.05</v>
      </c>
      <c r="AQ78" s="89">
        <f t="shared" si="58"/>
        <v>0.05</v>
      </c>
      <c r="AR78" s="89">
        <f t="shared" si="58"/>
        <v>0.05</v>
      </c>
      <c r="AS78" s="89">
        <f t="shared" si="58"/>
        <v>0.05</v>
      </c>
      <c r="AT78" s="89">
        <f t="shared" si="58"/>
        <v>0.05</v>
      </c>
      <c r="AU78" s="89">
        <f t="shared" si="58"/>
        <v>0.05</v>
      </c>
      <c r="AV78" s="89">
        <f t="shared" si="58"/>
        <v>0.05</v>
      </c>
      <c r="AW78" s="89">
        <f t="shared" si="58"/>
        <v>0.05</v>
      </c>
      <c r="AX78" s="89">
        <f t="shared" si="58"/>
        <v>0.05</v>
      </c>
      <c r="AY78" s="89">
        <f t="shared" si="58"/>
        <v>0.05</v>
      </c>
      <c r="AZ78" s="89">
        <f t="shared" si="58"/>
        <v>0.05</v>
      </c>
      <c r="BA78" s="89">
        <f t="shared" si="58"/>
        <v>0.05</v>
      </c>
      <c r="BB78" s="89">
        <f t="shared" si="58"/>
        <v>0.05</v>
      </c>
      <c r="BC78" s="89">
        <f t="shared" si="58"/>
        <v>0.05</v>
      </c>
      <c r="BD78" s="89">
        <f t="shared" si="58"/>
        <v>0.05</v>
      </c>
      <c r="BE78" s="89">
        <f t="shared" si="58"/>
        <v>0.05</v>
      </c>
      <c r="BF78" s="89">
        <f t="shared" si="58"/>
        <v>0.05</v>
      </c>
      <c r="BG78" s="89">
        <f t="shared" si="58"/>
        <v>0.05</v>
      </c>
      <c r="BH78" s="89">
        <f t="shared" si="58"/>
        <v>0.05</v>
      </c>
      <c r="BI78" s="89">
        <f t="shared" si="58"/>
        <v>0.05</v>
      </c>
      <c r="BJ78" s="89">
        <f t="shared" si="58"/>
        <v>0.05</v>
      </c>
      <c r="BK78" s="89">
        <f t="shared" si="58"/>
        <v>0.05</v>
      </c>
      <c r="BL78" s="89">
        <f t="shared" si="58"/>
        <v>0.05</v>
      </c>
      <c r="BM78" s="89">
        <f t="shared" si="58"/>
        <v>0.05</v>
      </c>
      <c r="BN78" s="89">
        <f t="shared" si="58"/>
        <v>0.05</v>
      </c>
      <c r="BO78" s="89">
        <f t="shared" si="58"/>
        <v>0.05</v>
      </c>
    </row>
    <row r="79" outlineLevel="1">
      <c r="A79" s="47"/>
      <c r="B79" s="39" t="s">
        <v>52</v>
      </c>
      <c r="C79" s="102"/>
      <c r="D79" s="104"/>
      <c r="E79" s="47"/>
      <c r="F79" s="47"/>
      <c r="G79" s="47"/>
      <c r="H79" s="104">
        <f t="shared" ref="H79:BO79" si="59">H82*H78</f>
        <v>0</v>
      </c>
      <c r="I79" s="104">
        <f t="shared" si="59"/>
        <v>6.6875</v>
      </c>
      <c r="J79" s="104">
        <f t="shared" si="59"/>
        <v>13.2034375</v>
      </c>
      <c r="K79" s="104">
        <f t="shared" si="59"/>
        <v>19.39602031</v>
      </c>
      <c r="L79" s="104">
        <f t="shared" si="59"/>
        <v>25.27901062</v>
      </c>
      <c r="M79" s="104">
        <f t="shared" si="59"/>
        <v>30.86785196</v>
      </c>
      <c r="N79" s="104">
        <f t="shared" si="59"/>
        <v>36.17725124</v>
      </c>
      <c r="O79" s="104">
        <f t="shared" si="59"/>
        <v>41.22118055</v>
      </c>
      <c r="P79" s="104">
        <f t="shared" si="59"/>
        <v>46.0129134</v>
      </c>
      <c r="Q79" s="104">
        <f t="shared" si="59"/>
        <v>50.56505961</v>
      </c>
      <c r="R79" s="104">
        <f t="shared" si="59"/>
        <v>54.88959851</v>
      </c>
      <c r="S79" s="104">
        <f t="shared" si="59"/>
        <v>58.99791046</v>
      </c>
      <c r="T79" s="104">
        <f t="shared" si="59"/>
        <v>62.90080682</v>
      </c>
      <c r="U79" s="104">
        <f t="shared" si="59"/>
        <v>66.60855835</v>
      </c>
      <c r="V79" s="104">
        <f t="shared" si="59"/>
        <v>70.13092231</v>
      </c>
      <c r="W79" s="104">
        <f t="shared" si="59"/>
        <v>73.47716808</v>
      </c>
      <c r="X79" s="104">
        <f t="shared" si="59"/>
        <v>76.65610155</v>
      </c>
      <c r="Y79" s="104">
        <f t="shared" si="59"/>
        <v>79.67608835</v>
      </c>
      <c r="Z79" s="104">
        <f t="shared" si="59"/>
        <v>82.54507581</v>
      </c>
      <c r="AA79" s="104">
        <f t="shared" si="59"/>
        <v>85.2706139</v>
      </c>
      <c r="AB79" s="104">
        <f t="shared" si="59"/>
        <v>87.85987508</v>
      </c>
      <c r="AC79" s="104">
        <f t="shared" si="59"/>
        <v>90.31967321</v>
      </c>
      <c r="AD79" s="104">
        <f t="shared" si="59"/>
        <v>92.65648143</v>
      </c>
      <c r="AE79" s="104">
        <f t="shared" si="59"/>
        <v>94.87644923</v>
      </c>
      <c r="AF79" s="104">
        <f t="shared" si="59"/>
        <v>96.98541865</v>
      </c>
      <c r="AG79" s="104">
        <f t="shared" si="59"/>
        <v>98.98893959</v>
      </c>
      <c r="AH79" s="104">
        <f t="shared" si="59"/>
        <v>100.8922845</v>
      </c>
      <c r="AI79" s="104">
        <f t="shared" si="59"/>
        <v>102.7004621</v>
      </c>
      <c r="AJ79" s="104">
        <f t="shared" si="59"/>
        <v>104.4182309</v>
      </c>
      <c r="AK79" s="104">
        <f t="shared" si="59"/>
        <v>106.0501112</v>
      </c>
      <c r="AL79" s="104">
        <f t="shared" si="59"/>
        <v>107.6003976</v>
      </c>
      <c r="AM79" s="104">
        <f t="shared" si="59"/>
        <v>109.0731696</v>
      </c>
      <c r="AN79" s="104">
        <f t="shared" si="59"/>
        <v>110.472303</v>
      </c>
      <c r="AO79" s="104">
        <f t="shared" si="59"/>
        <v>111.8014797</v>
      </c>
      <c r="AP79" s="104">
        <f t="shared" si="59"/>
        <v>113.0641976</v>
      </c>
      <c r="AQ79" s="104">
        <f t="shared" si="59"/>
        <v>114.2637796</v>
      </c>
      <c r="AR79" s="104">
        <f t="shared" si="59"/>
        <v>115.4033825</v>
      </c>
      <c r="AS79" s="104">
        <f t="shared" si="59"/>
        <v>116.4860052</v>
      </c>
      <c r="AT79" s="104">
        <f t="shared" si="59"/>
        <v>117.5144969</v>
      </c>
      <c r="AU79" s="104">
        <f t="shared" si="59"/>
        <v>118.4915639</v>
      </c>
      <c r="AV79" s="104">
        <f t="shared" si="59"/>
        <v>119.4197776</v>
      </c>
      <c r="AW79" s="104">
        <f t="shared" si="59"/>
        <v>120.3015806</v>
      </c>
      <c r="AX79" s="104">
        <f t="shared" si="59"/>
        <v>121.1392934</v>
      </c>
      <c r="AY79" s="104">
        <f t="shared" si="59"/>
        <v>121.9351206</v>
      </c>
      <c r="AZ79" s="104">
        <f t="shared" si="59"/>
        <v>122.6911565</v>
      </c>
      <c r="BA79" s="104">
        <f t="shared" si="59"/>
        <v>123.4093905</v>
      </c>
      <c r="BB79" s="104">
        <f t="shared" si="59"/>
        <v>124.0917129</v>
      </c>
      <c r="BC79" s="104">
        <f t="shared" si="59"/>
        <v>124.7399191</v>
      </c>
      <c r="BD79" s="104">
        <f t="shared" si="59"/>
        <v>125.355715</v>
      </c>
      <c r="BE79" s="104">
        <f t="shared" si="59"/>
        <v>125.9407212</v>
      </c>
      <c r="BF79" s="104">
        <f t="shared" si="59"/>
        <v>126.496477</v>
      </c>
      <c r="BG79" s="104">
        <f t="shared" si="59"/>
        <v>127.024445</v>
      </c>
      <c r="BH79" s="104">
        <f t="shared" si="59"/>
        <v>127.5260146</v>
      </c>
      <c r="BI79" s="104">
        <f t="shared" si="59"/>
        <v>128.0025058</v>
      </c>
      <c r="BJ79" s="104">
        <f t="shared" si="59"/>
        <v>128.4551724</v>
      </c>
      <c r="BK79" s="104">
        <f t="shared" si="59"/>
        <v>128.8852056</v>
      </c>
      <c r="BL79" s="104">
        <f t="shared" si="59"/>
        <v>129.2937372</v>
      </c>
      <c r="BM79" s="104">
        <f t="shared" si="59"/>
        <v>129.6818422</v>
      </c>
      <c r="BN79" s="104">
        <f t="shared" si="59"/>
        <v>130.050542</v>
      </c>
      <c r="BO79" s="104">
        <f t="shared" si="59"/>
        <v>130.4008068</v>
      </c>
    </row>
    <row r="80" outlineLevel="1">
      <c r="A80" s="47"/>
      <c r="B80" s="39" t="s">
        <v>53</v>
      </c>
      <c r="C80" s="102"/>
      <c r="D80" s="47"/>
      <c r="E80" s="47"/>
      <c r="F80" s="47"/>
      <c r="G80" s="47"/>
      <c r="H80" s="104">
        <f t="shared" ref="H80:BO80" si="60">H82-H79</f>
        <v>0</v>
      </c>
      <c r="I80" s="104">
        <f t="shared" si="60"/>
        <v>127.0625</v>
      </c>
      <c r="J80" s="104">
        <f t="shared" si="60"/>
        <v>250.8653125</v>
      </c>
      <c r="K80" s="104">
        <f t="shared" si="60"/>
        <v>368.5243859</v>
      </c>
      <c r="L80" s="104">
        <f t="shared" si="60"/>
        <v>480.3012017</v>
      </c>
      <c r="M80" s="104">
        <f t="shared" si="60"/>
        <v>586.4891872</v>
      </c>
      <c r="N80" s="104">
        <f t="shared" si="60"/>
        <v>687.3677735</v>
      </c>
      <c r="O80" s="104">
        <f t="shared" si="60"/>
        <v>783.2024305</v>
      </c>
      <c r="P80" s="104">
        <f t="shared" si="60"/>
        <v>874.2453547</v>
      </c>
      <c r="Q80" s="104">
        <f t="shared" si="60"/>
        <v>960.7361326</v>
      </c>
      <c r="R80" s="104">
        <f t="shared" si="60"/>
        <v>1042.902372</v>
      </c>
      <c r="S80" s="104">
        <f t="shared" si="60"/>
        <v>1120.960299</v>
      </c>
      <c r="T80" s="104">
        <f t="shared" si="60"/>
        <v>1195.11533</v>
      </c>
      <c r="U80" s="104">
        <f t="shared" si="60"/>
        <v>1265.562609</v>
      </c>
      <c r="V80" s="104">
        <f t="shared" si="60"/>
        <v>1332.487524</v>
      </c>
      <c r="W80" s="104">
        <f t="shared" si="60"/>
        <v>1396.066193</v>
      </c>
      <c r="X80" s="104">
        <f t="shared" si="60"/>
        <v>1456.465929</v>
      </c>
      <c r="Y80" s="104">
        <f t="shared" si="60"/>
        <v>1513.845679</v>
      </c>
      <c r="Z80" s="104">
        <f t="shared" si="60"/>
        <v>1568.35644</v>
      </c>
      <c r="AA80" s="104">
        <f t="shared" si="60"/>
        <v>1620.141664</v>
      </c>
      <c r="AB80" s="104">
        <f t="shared" si="60"/>
        <v>1669.337627</v>
      </c>
      <c r="AC80" s="104">
        <f t="shared" si="60"/>
        <v>1716.073791</v>
      </c>
      <c r="AD80" s="104">
        <f t="shared" si="60"/>
        <v>1760.473147</v>
      </c>
      <c r="AE80" s="104">
        <f t="shared" si="60"/>
        <v>1802.652535</v>
      </c>
      <c r="AF80" s="104">
        <f t="shared" si="60"/>
        <v>1842.722954</v>
      </c>
      <c r="AG80" s="104">
        <f t="shared" si="60"/>
        <v>1880.789852</v>
      </c>
      <c r="AH80" s="104">
        <f t="shared" si="60"/>
        <v>1916.953405</v>
      </c>
      <c r="AI80" s="104">
        <f t="shared" si="60"/>
        <v>1951.308781</v>
      </c>
      <c r="AJ80" s="104">
        <f t="shared" si="60"/>
        <v>1983.946387</v>
      </c>
      <c r="AK80" s="104">
        <f t="shared" si="60"/>
        <v>2014.952114</v>
      </c>
      <c r="AL80" s="104">
        <f t="shared" si="60"/>
        <v>2044.407554</v>
      </c>
      <c r="AM80" s="104">
        <f t="shared" si="60"/>
        <v>2072.390222</v>
      </c>
      <c r="AN80" s="104">
        <f t="shared" si="60"/>
        <v>2098.973756</v>
      </c>
      <c r="AO80" s="104">
        <f t="shared" si="60"/>
        <v>2124.228114</v>
      </c>
      <c r="AP80" s="104">
        <f t="shared" si="60"/>
        <v>2148.219754</v>
      </c>
      <c r="AQ80" s="104">
        <f t="shared" si="60"/>
        <v>2171.011812</v>
      </c>
      <c r="AR80" s="104">
        <f t="shared" si="60"/>
        <v>2192.664267</v>
      </c>
      <c r="AS80" s="104">
        <f t="shared" si="60"/>
        <v>2213.2341</v>
      </c>
      <c r="AT80" s="104">
        <f t="shared" si="60"/>
        <v>2232.77544</v>
      </c>
      <c r="AU80" s="104">
        <f t="shared" si="60"/>
        <v>2251.339714</v>
      </c>
      <c r="AV80" s="104">
        <f t="shared" si="60"/>
        <v>2268.975774</v>
      </c>
      <c r="AW80" s="104">
        <f t="shared" si="60"/>
        <v>2285.730031</v>
      </c>
      <c r="AX80" s="104">
        <f t="shared" si="60"/>
        <v>2301.646575</v>
      </c>
      <c r="AY80" s="104">
        <f t="shared" si="60"/>
        <v>2316.767292</v>
      </c>
      <c r="AZ80" s="104">
        <f t="shared" si="60"/>
        <v>2331.131973</v>
      </c>
      <c r="BA80" s="104">
        <f t="shared" si="60"/>
        <v>2344.77842</v>
      </c>
      <c r="BB80" s="104">
        <f t="shared" si="60"/>
        <v>2357.742545</v>
      </c>
      <c r="BC80" s="104">
        <f t="shared" si="60"/>
        <v>2370.058463</v>
      </c>
      <c r="BD80" s="104">
        <f t="shared" si="60"/>
        <v>2381.758586</v>
      </c>
      <c r="BE80" s="104">
        <f t="shared" si="60"/>
        <v>2392.873702</v>
      </c>
      <c r="BF80" s="104">
        <f t="shared" si="60"/>
        <v>2403.433063</v>
      </c>
      <c r="BG80" s="104">
        <f t="shared" si="60"/>
        <v>2413.464455</v>
      </c>
      <c r="BH80" s="104">
        <f t="shared" si="60"/>
        <v>2422.994278</v>
      </c>
      <c r="BI80" s="104">
        <f t="shared" si="60"/>
        <v>2432.04761</v>
      </c>
      <c r="BJ80" s="104">
        <f t="shared" si="60"/>
        <v>2440.648275</v>
      </c>
      <c r="BK80" s="104">
        <f t="shared" si="60"/>
        <v>2448.818907</v>
      </c>
      <c r="BL80" s="104">
        <f t="shared" si="60"/>
        <v>2456.581007</v>
      </c>
      <c r="BM80" s="104">
        <f t="shared" si="60"/>
        <v>2463.955003</v>
      </c>
      <c r="BN80" s="104">
        <f t="shared" si="60"/>
        <v>2470.960298</v>
      </c>
      <c r="BO80" s="104">
        <f t="shared" si="60"/>
        <v>2477.615329</v>
      </c>
    </row>
    <row r="81" outlineLevel="1">
      <c r="A81" s="47"/>
      <c r="B81" s="39" t="s">
        <v>54</v>
      </c>
      <c r="C81" s="102"/>
      <c r="D81" s="47"/>
      <c r="E81" s="47"/>
      <c r="F81" s="47"/>
      <c r="G81" s="47"/>
      <c r="H81" s="104">
        <f t="shared" ref="H81:BO81" si="61">H77+H80</f>
        <v>133.75</v>
      </c>
      <c r="I81" s="104">
        <f t="shared" si="61"/>
        <v>264.06875</v>
      </c>
      <c r="J81" s="104">
        <f t="shared" si="61"/>
        <v>387.9204063</v>
      </c>
      <c r="K81" s="104">
        <f t="shared" si="61"/>
        <v>505.5802123</v>
      </c>
      <c r="L81" s="104">
        <f t="shared" si="61"/>
        <v>617.3570391</v>
      </c>
      <c r="M81" s="104">
        <f t="shared" si="61"/>
        <v>723.5450247</v>
      </c>
      <c r="N81" s="104">
        <f t="shared" si="61"/>
        <v>824.4236111</v>
      </c>
      <c r="O81" s="104">
        <f t="shared" si="61"/>
        <v>920.2582681</v>
      </c>
      <c r="P81" s="104">
        <f t="shared" si="61"/>
        <v>1011.301192</v>
      </c>
      <c r="Q81" s="104">
        <f t="shared" si="61"/>
        <v>1097.79197</v>
      </c>
      <c r="R81" s="104">
        <f t="shared" si="61"/>
        <v>1179.958209</v>
      </c>
      <c r="S81" s="104">
        <f t="shared" si="61"/>
        <v>1258.016136</v>
      </c>
      <c r="T81" s="104">
        <f t="shared" si="61"/>
        <v>1332.171167</v>
      </c>
      <c r="U81" s="104">
        <f t="shared" si="61"/>
        <v>1402.618446</v>
      </c>
      <c r="V81" s="104">
        <f t="shared" si="61"/>
        <v>1469.543362</v>
      </c>
      <c r="W81" s="104">
        <f t="shared" si="61"/>
        <v>1533.122031</v>
      </c>
      <c r="X81" s="104">
        <f t="shared" si="61"/>
        <v>1593.521767</v>
      </c>
      <c r="Y81" s="104">
        <f t="shared" si="61"/>
        <v>1650.901516</v>
      </c>
      <c r="Z81" s="104">
        <f t="shared" si="61"/>
        <v>1705.412278</v>
      </c>
      <c r="AA81" s="104">
        <f t="shared" si="61"/>
        <v>1757.197502</v>
      </c>
      <c r="AB81" s="104">
        <f t="shared" si="61"/>
        <v>1806.393464</v>
      </c>
      <c r="AC81" s="104">
        <f t="shared" si="61"/>
        <v>1853.129629</v>
      </c>
      <c r="AD81" s="104">
        <f t="shared" si="61"/>
        <v>1897.528985</v>
      </c>
      <c r="AE81" s="104">
        <f t="shared" si="61"/>
        <v>1939.708373</v>
      </c>
      <c r="AF81" s="104">
        <f t="shared" si="61"/>
        <v>1979.778792</v>
      </c>
      <c r="AG81" s="104">
        <f t="shared" si="61"/>
        <v>2017.84569</v>
      </c>
      <c r="AH81" s="104">
        <f t="shared" si="61"/>
        <v>2054.009243</v>
      </c>
      <c r="AI81" s="104">
        <f t="shared" si="61"/>
        <v>2088.364618</v>
      </c>
      <c r="AJ81" s="104">
        <f t="shared" si="61"/>
        <v>2121.002225</v>
      </c>
      <c r="AK81" s="104">
        <f t="shared" si="61"/>
        <v>2152.007951</v>
      </c>
      <c r="AL81" s="104">
        <f t="shared" si="61"/>
        <v>2181.463391</v>
      </c>
      <c r="AM81" s="104">
        <f t="shared" si="61"/>
        <v>2209.446059</v>
      </c>
      <c r="AN81" s="104">
        <f t="shared" si="61"/>
        <v>2236.029594</v>
      </c>
      <c r="AO81" s="104">
        <f t="shared" si="61"/>
        <v>2261.283952</v>
      </c>
      <c r="AP81" s="104">
        <f t="shared" si="61"/>
        <v>2285.275592</v>
      </c>
      <c r="AQ81" s="104">
        <f t="shared" si="61"/>
        <v>2308.06765</v>
      </c>
      <c r="AR81" s="104">
        <f t="shared" si="61"/>
        <v>2329.720105</v>
      </c>
      <c r="AS81" s="104">
        <f t="shared" si="61"/>
        <v>2350.289937</v>
      </c>
      <c r="AT81" s="104">
        <f t="shared" si="61"/>
        <v>2369.831278</v>
      </c>
      <c r="AU81" s="104">
        <f t="shared" si="61"/>
        <v>2388.395551</v>
      </c>
      <c r="AV81" s="104">
        <f t="shared" si="61"/>
        <v>2406.031611</v>
      </c>
      <c r="AW81" s="104">
        <f t="shared" si="61"/>
        <v>2422.785868</v>
      </c>
      <c r="AX81" s="104">
        <f t="shared" si="61"/>
        <v>2438.702413</v>
      </c>
      <c r="AY81" s="104">
        <f t="shared" si="61"/>
        <v>2453.82313</v>
      </c>
      <c r="AZ81" s="104">
        <f t="shared" si="61"/>
        <v>2468.187811</v>
      </c>
      <c r="BA81" s="104">
        <f t="shared" si="61"/>
        <v>2481.834258</v>
      </c>
      <c r="BB81" s="104">
        <f t="shared" si="61"/>
        <v>2494.798382</v>
      </c>
      <c r="BC81" s="104">
        <f t="shared" si="61"/>
        <v>2507.114301</v>
      </c>
      <c r="BD81" s="104">
        <f t="shared" si="61"/>
        <v>2518.814423</v>
      </c>
      <c r="BE81" s="104">
        <f t="shared" si="61"/>
        <v>2529.92954</v>
      </c>
      <c r="BF81" s="104">
        <f t="shared" si="61"/>
        <v>2540.4889</v>
      </c>
      <c r="BG81" s="104">
        <f t="shared" si="61"/>
        <v>2550.520293</v>
      </c>
      <c r="BH81" s="104">
        <f t="shared" si="61"/>
        <v>2560.050116</v>
      </c>
      <c r="BI81" s="104">
        <f t="shared" si="61"/>
        <v>2569.103448</v>
      </c>
      <c r="BJ81" s="104">
        <f t="shared" si="61"/>
        <v>2577.704113</v>
      </c>
      <c r="BK81" s="104">
        <f t="shared" si="61"/>
        <v>2585.874745</v>
      </c>
      <c r="BL81" s="104">
        <f t="shared" si="61"/>
        <v>2593.636845</v>
      </c>
      <c r="BM81" s="104">
        <f t="shared" si="61"/>
        <v>2601.01084</v>
      </c>
      <c r="BN81" s="104">
        <f t="shared" si="61"/>
        <v>2608.016136</v>
      </c>
      <c r="BO81" s="104">
        <f t="shared" si="61"/>
        <v>2614.671167</v>
      </c>
    </row>
    <row r="82" outlineLevel="1">
      <c r="A82" s="47"/>
      <c r="B82" s="39" t="s">
        <v>55</v>
      </c>
      <c r="C82" s="47"/>
      <c r="D82" s="105"/>
      <c r="E82" s="39" t="s">
        <v>56</v>
      </c>
      <c r="F82" s="39" t="s">
        <v>57</v>
      </c>
      <c r="G82" s="47"/>
      <c r="H82" s="105" t="str">
        <f t="shared" ref="H82:BO82" si="62">G81</f>
        <v/>
      </c>
      <c r="I82" s="105">
        <f t="shared" si="62"/>
        <v>133.75</v>
      </c>
      <c r="J82" s="105">
        <f t="shared" si="62"/>
        <v>264.06875</v>
      </c>
      <c r="K82" s="105">
        <f t="shared" si="62"/>
        <v>387.9204063</v>
      </c>
      <c r="L82" s="105">
        <f t="shared" si="62"/>
        <v>505.5802123</v>
      </c>
      <c r="M82" s="105">
        <f t="shared" si="62"/>
        <v>617.3570391</v>
      </c>
      <c r="N82" s="105">
        <f t="shared" si="62"/>
        <v>723.5450247</v>
      </c>
      <c r="O82" s="105">
        <f t="shared" si="62"/>
        <v>824.4236111</v>
      </c>
      <c r="P82" s="105">
        <f t="shared" si="62"/>
        <v>920.2582681</v>
      </c>
      <c r="Q82" s="105">
        <f t="shared" si="62"/>
        <v>1011.301192</v>
      </c>
      <c r="R82" s="105">
        <f t="shared" si="62"/>
        <v>1097.79197</v>
      </c>
      <c r="S82" s="105">
        <f t="shared" si="62"/>
        <v>1179.958209</v>
      </c>
      <c r="T82" s="105">
        <f t="shared" si="62"/>
        <v>1258.016136</v>
      </c>
      <c r="U82" s="105">
        <f t="shared" si="62"/>
        <v>1332.171167</v>
      </c>
      <c r="V82" s="105">
        <f t="shared" si="62"/>
        <v>1402.618446</v>
      </c>
      <c r="W82" s="105">
        <f t="shared" si="62"/>
        <v>1469.543362</v>
      </c>
      <c r="X82" s="105">
        <f t="shared" si="62"/>
        <v>1533.122031</v>
      </c>
      <c r="Y82" s="105">
        <f t="shared" si="62"/>
        <v>1593.521767</v>
      </c>
      <c r="Z82" s="105">
        <f t="shared" si="62"/>
        <v>1650.901516</v>
      </c>
      <c r="AA82" s="105">
        <f t="shared" si="62"/>
        <v>1705.412278</v>
      </c>
      <c r="AB82" s="105">
        <f t="shared" si="62"/>
        <v>1757.197502</v>
      </c>
      <c r="AC82" s="105">
        <f t="shared" si="62"/>
        <v>1806.393464</v>
      </c>
      <c r="AD82" s="105">
        <f t="shared" si="62"/>
        <v>1853.129629</v>
      </c>
      <c r="AE82" s="105">
        <f t="shared" si="62"/>
        <v>1897.528985</v>
      </c>
      <c r="AF82" s="105">
        <f t="shared" si="62"/>
        <v>1939.708373</v>
      </c>
      <c r="AG82" s="105">
        <f t="shared" si="62"/>
        <v>1979.778792</v>
      </c>
      <c r="AH82" s="105">
        <f t="shared" si="62"/>
        <v>2017.84569</v>
      </c>
      <c r="AI82" s="105">
        <f t="shared" si="62"/>
        <v>2054.009243</v>
      </c>
      <c r="AJ82" s="105">
        <f t="shared" si="62"/>
        <v>2088.364618</v>
      </c>
      <c r="AK82" s="105">
        <f t="shared" si="62"/>
        <v>2121.002225</v>
      </c>
      <c r="AL82" s="105">
        <f t="shared" si="62"/>
        <v>2152.007951</v>
      </c>
      <c r="AM82" s="105">
        <f t="shared" si="62"/>
        <v>2181.463391</v>
      </c>
      <c r="AN82" s="105">
        <f t="shared" si="62"/>
        <v>2209.446059</v>
      </c>
      <c r="AO82" s="105">
        <f t="shared" si="62"/>
        <v>2236.029594</v>
      </c>
      <c r="AP82" s="105">
        <f t="shared" si="62"/>
        <v>2261.283952</v>
      </c>
      <c r="AQ82" s="105">
        <f t="shared" si="62"/>
        <v>2285.275592</v>
      </c>
      <c r="AR82" s="105">
        <f t="shared" si="62"/>
        <v>2308.06765</v>
      </c>
      <c r="AS82" s="105">
        <f t="shared" si="62"/>
        <v>2329.720105</v>
      </c>
      <c r="AT82" s="105">
        <f t="shared" si="62"/>
        <v>2350.289937</v>
      </c>
      <c r="AU82" s="105">
        <f t="shared" si="62"/>
        <v>2369.831278</v>
      </c>
      <c r="AV82" s="105">
        <f t="shared" si="62"/>
        <v>2388.395551</v>
      </c>
      <c r="AW82" s="105">
        <f t="shared" si="62"/>
        <v>2406.031611</v>
      </c>
      <c r="AX82" s="105">
        <f t="shared" si="62"/>
        <v>2422.785868</v>
      </c>
      <c r="AY82" s="105">
        <f t="shared" si="62"/>
        <v>2438.702413</v>
      </c>
      <c r="AZ82" s="105">
        <f t="shared" si="62"/>
        <v>2453.82313</v>
      </c>
      <c r="BA82" s="105">
        <f t="shared" si="62"/>
        <v>2468.187811</v>
      </c>
      <c r="BB82" s="105">
        <f t="shared" si="62"/>
        <v>2481.834258</v>
      </c>
      <c r="BC82" s="105">
        <f t="shared" si="62"/>
        <v>2494.798382</v>
      </c>
      <c r="BD82" s="105">
        <f t="shared" si="62"/>
        <v>2507.114301</v>
      </c>
      <c r="BE82" s="105">
        <f t="shared" si="62"/>
        <v>2518.814423</v>
      </c>
      <c r="BF82" s="105">
        <f t="shared" si="62"/>
        <v>2529.92954</v>
      </c>
      <c r="BG82" s="105">
        <f t="shared" si="62"/>
        <v>2540.4889</v>
      </c>
      <c r="BH82" s="105">
        <f t="shared" si="62"/>
        <v>2550.520293</v>
      </c>
      <c r="BI82" s="105">
        <f t="shared" si="62"/>
        <v>2560.050116</v>
      </c>
      <c r="BJ82" s="105">
        <f t="shared" si="62"/>
        <v>2569.103448</v>
      </c>
      <c r="BK82" s="105">
        <f t="shared" si="62"/>
        <v>2577.704113</v>
      </c>
      <c r="BL82" s="105">
        <f t="shared" si="62"/>
        <v>2585.874745</v>
      </c>
      <c r="BM82" s="105">
        <f t="shared" si="62"/>
        <v>2593.636845</v>
      </c>
      <c r="BN82" s="105">
        <f t="shared" si="62"/>
        <v>2601.01084</v>
      </c>
      <c r="BO82" s="105">
        <f t="shared" si="62"/>
        <v>2608.016136</v>
      </c>
    </row>
    <row r="83" outlineLevel="1">
      <c r="A83" s="106"/>
      <c r="B83" s="39" t="s">
        <v>58</v>
      </c>
      <c r="C83" s="47"/>
      <c r="D83" s="107">
        <v>2.0</v>
      </c>
      <c r="E83" s="108">
        <v>0.05</v>
      </c>
      <c r="F83" s="107">
        <v>10.0</v>
      </c>
      <c r="G83" s="47"/>
      <c r="H83" s="109">
        <f>D83</f>
        <v>2</v>
      </c>
      <c r="I83" s="109">
        <f t="shared" ref="I83:X83" si="63">H83*(1+$E$83)</f>
        <v>2.1</v>
      </c>
      <c r="J83" s="109">
        <f t="shared" si="63"/>
        <v>2.205</v>
      </c>
      <c r="K83" s="109">
        <f t="shared" si="63"/>
        <v>2.31525</v>
      </c>
      <c r="L83" s="109">
        <f t="shared" si="63"/>
        <v>2.4310125</v>
      </c>
      <c r="M83" s="109">
        <f t="shared" si="63"/>
        <v>2.552563125</v>
      </c>
      <c r="N83" s="109">
        <f t="shared" si="63"/>
        <v>2.680191281</v>
      </c>
      <c r="O83" s="109">
        <f t="shared" si="63"/>
        <v>2.814200845</v>
      </c>
      <c r="P83" s="109">
        <f t="shared" si="63"/>
        <v>2.954910888</v>
      </c>
      <c r="Q83" s="109">
        <f t="shared" si="63"/>
        <v>3.102656432</v>
      </c>
      <c r="R83" s="109">
        <f t="shared" si="63"/>
        <v>3.257789254</v>
      </c>
      <c r="S83" s="109">
        <f t="shared" si="63"/>
        <v>3.420678716</v>
      </c>
      <c r="T83" s="109">
        <f t="shared" si="63"/>
        <v>3.591712652</v>
      </c>
      <c r="U83" s="109">
        <f t="shared" si="63"/>
        <v>3.771298285</v>
      </c>
      <c r="V83" s="109">
        <f t="shared" si="63"/>
        <v>3.959863199</v>
      </c>
      <c r="W83" s="109">
        <f t="shared" si="63"/>
        <v>4.157856359</v>
      </c>
      <c r="X83" s="109">
        <f t="shared" si="63"/>
        <v>4.365749177</v>
      </c>
      <c r="Y83" s="109">
        <f t="shared" ref="Y83:BO83" si="64">X83</f>
        <v>4.365749177</v>
      </c>
      <c r="Z83" s="109">
        <f t="shared" si="64"/>
        <v>4.365749177</v>
      </c>
      <c r="AA83" s="109">
        <f t="shared" si="64"/>
        <v>4.365749177</v>
      </c>
      <c r="AB83" s="109">
        <f t="shared" si="64"/>
        <v>4.365749177</v>
      </c>
      <c r="AC83" s="109">
        <f t="shared" si="64"/>
        <v>4.365749177</v>
      </c>
      <c r="AD83" s="109">
        <f t="shared" si="64"/>
        <v>4.365749177</v>
      </c>
      <c r="AE83" s="109">
        <f t="shared" si="64"/>
        <v>4.365749177</v>
      </c>
      <c r="AF83" s="109">
        <f t="shared" si="64"/>
        <v>4.365749177</v>
      </c>
      <c r="AG83" s="109">
        <f t="shared" si="64"/>
        <v>4.365749177</v>
      </c>
      <c r="AH83" s="109">
        <f t="shared" si="64"/>
        <v>4.365749177</v>
      </c>
      <c r="AI83" s="109">
        <f t="shared" si="64"/>
        <v>4.365749177</v>
      </c>
      <c r="AJ83" s="109">
        <f t="shared" si="64"/>
        <v>4.365749177</v>
      </c>
      <c r="AK83" s="109">
        <f t="shared" si="64"/>
        <v>4.365749177</v>
      </c>
      <c r="AL83" s="109">
        <f t="shared" si="64"/>
        <v>4.365749177</v>
      </c>
      <c r="AM83" s="109">
        <f t="shared" si="64"/>
        <v>4.365749177</v>
      </c>
      <c r="AN83" s="109">
        <f t="shared" si="64"/>
        <v>4.365749177</v>
      </c>
      <c r="AO83" s="109">
        <f t="shared" si="64"/>
        <v>4.365749177</v>
      </c>
      <c r="AP83" s="109">
        <f t="shared" si="64"/>
        <v>4.365749177</v>
      </c>
      <c r="AQ83" s="109">
        <f t="shared" si="64"/>
        <v>4.365749177</v>
      </c>
      <c r="AR83" s="109">
        <f t="shared" si="64"/>
        <v>4.365749177</v>
      </c>
      <c r="AS83" s="109">
        <f t="shared" si="64"/>
        <v>4.365749177</v>
      </c>
      <c r="AT83" s="109">
        <f t="shared" si="64"/>
        <v>4.365749177</v>
      </c>
      <c r="AU83" s="109">
        <f t="shared" si="64"/>
        <v>4.365749177</v>
      </c>
      <c r="AV83" s="109">
        <f t="shared" si="64"/>
        <v>4.365749177</v>
      </c>
      <c r="AW83" s="109">
        <f t="shared" si="64"/>
        <v>4.365749177</v>
      </c>
      <c r="AX83" s="109">
        <f t="shared" si="64"/>
        <v>4.365749177</v>
      </c>
      <c r="AY83" s="109">
        <f t="shared" si="64"/>
        <v>4.365749177</v>
      </c>
      <c r="AZ83" s="109">
        <f t="shared" si="64"/>
        <v>4.365749177</v>
      </c>
      <c r="BA83" s="109">
        <f t="shared" si="64"/>
        <v>4.365749177</v>
      </c>
      <c r="BB83" s="109">
        <f t="shared" si="64"/>
        <v>4.365749177</v>
      </c>
      <c r="BC83" s="109">
        <f t="shared" si="64"/>
        <v>4.365749177</v>
      </c>
      <c r="BD83" s="109">
        <f t="shared" si="64"/>
        <v>4.365749177</v>
      </c>
      <c r="BE83" s="109">
        <f t="shared" si="64"/>
        <v>4.365749177</v>
      </c>
      <c r="BF83" s="109">
        <f t="shared" si="64"/>
        <v>4.365749177</v>
      </c>
      <c r="BG83" s="109">
        <f t="shared" si="64"/>
        <v>4.365749177</v>
      </c>
      <c r="BH83" s="109">
        <f t="shared" si="64"/>
        <v>4.365749177</v>
      </c>
      <c r="BI83" s="109">
        <f t="shared" si="64"/>
        <v>4.365749177</v>
      </c>
      <c r="BJ83" s="109">
        <f t="shared" si="64"/>
        <v>4.365749177</v>
      </c>
      <c r="BK83" s="109">
        <f t="shared" si="64"/>
        <v>4.365749177</v>
      </c>
      <c r="BL83" s="109">
        <f t="shared" si="64"/>
        <v>4.365749177</v>
      </c>
      <c r="BM83" s="109">
        <f t="shared" si="64"/>
        <v>4.365749177</v>
      </c>
      <c r="BN83" s="109">
        <f t="shared" si="64"/>
        <v>4.365749177</v>
      </c>
      <c r="BO83" s="109">
        <f t="shared" si="64"/>
        <v>4.365749177</v>
      </c>
    </row>
    <row r="84" outlineLevel="1">
      <c r="A84" s="47"/>
      <c r="B84" s="39" t="s">
        <v>59</v>
      </c>
      <c r="C84" s="47"/>
      <c r="D84" s="105"/>
      <c r="E84" s="47"/>
      <c r="F84" s="47"/>
      <c r="G84" s="47"/>
      <c r="H84" s="105">
        <f t="shared" ref="H84:BO84" si="65">H83*H81</f>
        <v>267.5</v>
      </c>
      <c r="I84" s="105">
        <f t="shared" si="65"/>
        <v>554.544375</v>
      </c>
      <c r="J84" s="105">
        <f t="shared" si="65"/>
        <v>855.3644958</v>
      </c>
      <c r="K84" s="105">
        <f t="shared" si="65"/>
        <v>1170.544587</v>
      </c>
      <c r="L84" s="105">
        <f t="shared" si="65"/>
        <v>1500.802679</v>
      </c>
      <c r="M84" s="105">
        <f t="shared" si="65"/>
        <v>1846.894349</v>
      </c>
      <c r="N84" s="105">
        <f t="shared" si="65"/>
        <v>2209.612974</v>
      </c>
      <c r="O84" s="105">
        <f t="shared" si="65"/>
        <v>2589.791596</v>
      </c>
      <c r="P84" s="105">
        <f t="shared" si="65"/>
        <v>2988.304904</v>
      </c>
      <c r="Q84" s="105">
        <f t="shared" si="65"/>
        <v>3406.071317</v>
      </c>
      <c r="R84" s="105">
        <f t="shared" si="65"/>
        <v>3844.055174</v>
      </c>
      <c r="S84" s="105">
        <f t="shared" si="65"/>
        <v>4303.269022</v>
      </c>
      <c r="T84" s="105">
        <f t="shared" si="65"/>
        <v>4784.776035</v>
      </c>
      <c r="U84" s="105">
        <f t="shared" si="65"/>
        <v>5289.692541</v>
      </c>
      <c r="V84" s="105">
        <f t="shared" si="65"/>
        <v>5819.190677</v>
      </c>
      <c r="W84" s="105">
        <f t="shared" si="65"/>
        <v>6374.501186</v>
      </c>
      <c r="X84" s="105">
        <f t="shared" si="65"/>
        <v>6956.916343</v>
      </c>
      <c r="Y84" s="105">
        <f t="shared" si="65"/>
        <v>7207.421935</v>
      </c>
      <c r="Z84" s="105">
        <f t="shared" si="65"/>
        <v>7445.402249</v>
      </c>
      <c r="AA84" s="105">
        <f t="shared" si="65"/>
        <v>7671.483546</v>
      </c>
      <c r="AB84" s="105">
        <f t="shared" si="65"/>
        <v>7886.260779</v>
      </c>
      <c r="AC84" s="105">
        <f t="shared" si="65"/>
        <v>8090.29915</v>
      </c>
      <c r="AD84" s="105">
        <f t="shared" si="65"/>
        <v>8284.135603</v>
      </c>
      <c r="AE84" s="105">
        <f t="shared" si="65"/>
        <v>8468.280232</v>
      </c>
      <c r="AF84" s="105">
        <f t="shared" si="65"/>
        <v>8643.217631</v>
      </c>
      <c r="AG84" s="105">
        <f t="shared" si="65"/>
        <v>8809.408159</v>
      </c>
      <c r="AH84" s="105">
        <f t="shared" si="65"/>
        <v>8967.289161</v>
      </c>
      <c r="AI84" s="105">
        <f t="shared" si="65"/>
        <v>9117.276113</v>
      </c>
      <c r="AJ84" s="105">
        <f t="shared" si="65"/>
        <v>9259.763718</v>
      </c>
      <c r="AK84" s="105">
        <f t="shared" si="65"/>
        <v>9395.126942</v>
      </c>
      <c r="AL84" s="105">
        <f t="shared" si="65"/>
        <v>9523.722005</v>
      </c>
      <c r="AM84" s="105">
        <f t="shared" si="65"/>
        <v>9645.887314</v>
      </c>
      <c r="AN84" s="105">
        <f t="shared" si="65"/>
        <v>9761.944359</v>
      </c>
      <c r="AO84" s="105">
        <f t="shared" si="65"/>
        <v>9872.198551</v>
      </c>
      <c r="AP84" s="105">
        <f t="shared" si="65"/>
        <v>9976.940033</v>
      </c>
      <c r="AQ84" s="105">
        <f t="shared" si="65"/>
        <v>10076.44444</v>
      </c>
      <c r="AR84" s="105">
        <f t="shared" si="65"/>
        <v>10170.97363</v>
      </c>
      <c r="AS84" s="105">
        <f t="shared" si="65"/>
        <v>10260.77636</v>
      </c>
      <c r="AT84" s="105">
        <f t="shared" si="65"/>
        <v>10346.08895</v>
      </c>
      <c r="AU84" s="105">
        <f t="shared" si="65"/>
        <v>10427.13591</v>
      </c>
      <c r="AV84" s="105">
        <f t="shared" si="65"/>
        <v>10504.13053</v>
      </c>
      <c r="AW84" s="105">
        <f t="shared" si="65"/>
        <v>10577.27541</v>
      </c>
      <c r="AX84" s="105">
        <f t="shared" si="65"/>
        <v>10646.76305</v>
      </c>
      <c r="AY84" s="105">
        <f t="shared" si="65"/>
        <v>10712.77631</v>
      </c>
      <c r="AZ84" s="105">
        <f t="shared" si="65"/>
        <v>10775.4889</v>
      </c>
      <c r="BA84" s="105">
        <f t="shared" si="65"/>
        <v>10835.06587</v>
      </c>
      <c r="BB84" s="105">
        <f t="shared" si="65"/>
        <v>10891.66398</v>
      </c>
      <c r="BC84" s="105">
        <f t="shared" si="65"/>
        <v>10945.43219</v>
      </c>
      <c r="BD84" s="105">
        <f t="shared" si="65"/>
        <v>10996.512</v>
      </c>
      <c r="BE84" s="105">
        <f t="shared" si="65"/>
        <v>11045.03781</v>
      </c>
      <c r="BF84" s="105">
        <f t="shared" si="65"/>
        <v>11091.13733</v>
      </c>
      <c r="BG84" s="105">
        <f t="shared" si="65"/>
        <v>11134.93187</v>
      </c>
      <c r="BH84" s="105">
        <f t="shared" si="65"/>
        <v>11176.53669</v>
      </c>
      <c r="BI84" s="105">
        <f t="shared" si="65"/>
        <v>11216.06126</v>
      </c>
      <c r="BJ84" s="105">
        <f t="shared" si="65"/>
        <v>11253.60961</v>
      </c>
      <c r="BK84" s="105">
        <f t="shared" si="65"/>
        <v>11289.28054</v>
      </c>
      <c r="BL84" s="105">
        <f t="shared" si="65"/>
        <v>11323.16792</v>
      </c>
      <c r="BM84" s="105">
        <f t="shared" si="65"/>
        <v>11355.36093</v>
      </c>
      <c r="BN84" s="105">
        <f t="shared" si="65"/>
        <v>11385.9443</v>
      </c>
      <c r="BO84" s="105">
        <f t="shared" si="65"/>
        <v>11414.99849</v>
      </c>
    </row>
    <row r="85" outlineLevel="1">
      <c r="A85" s="47"/>
      <c r="B85" s="72" t="s">
        <v>60</v>
      </c>
      <c r="C85" s="59"/>
      <c r="D85" s="110">
        <v>10.0</v>
      </c>
      <c r="E85" s="61"/>
      <c r="F85" s="61"/>
      <c r="G85" s="61"/>
      <c r="H85" s="111">
        <f>D85</f>
        <v>10</v>
      </c>
      <c r="I85" s="111">
        <f t="shared" ref="I85:BO85" si="66">H85</f>
        <v>10</v>
      </c>
      <c r="J85" s="111">
        <f t="shared" si="66"/>
        <v>10</v>
      </c>
      <c r="K85" s="111">
        <f t="shared" si="66"/>
        <v>10</v>
      </c>
      <c r="L85" s="111">
        <f t="shared" si="66"/>
        <v>10</v>
      </c>
      <c r="M85" s="111">
        <f t="shared" si="66"/>
        <v>10</v>
      </c>
      <c r="N85" s="111">
        <f t="shared" si="66"/>
        <v>10</v>
      </c>
      <c r="O85" s="111">
        <f t="shared" si="66"/>
        <v>10</v>
      </c>
      <c r="P85" s="111">
        <f t="shared" si="66"/>
        <v>10</v>
      </c>
      <c r="Q85" s="111">
        <f t="shared" si="66"/>
        <v>10</v>
      </c>
      <c r="R85" s="111">
        <f t="shared" si="66"/>
        <v>10</v>
      </c>
      <c r="S85" s="111">
        <f t="shared" si="66"/>
        <v>10</v>
      </c>
      <c r="T85" s="111">
        <f t="shared" si="66"/>
        <v>10</v>
      </c>
      <c r="U85" s="111">
        <f t="shared" si="66"/>
        <v>10</v>
      </c>
      <c r="V85" s="111">
        <f t="shared" si="66"/>
        <v>10</v>
      </c>
      <c r="W85" s="111">
        <f t="shared" si="66"/>
        <v>10</v>
      </c>
      <c r="X85" s="111">
        <f t="shared" si="66"/>
        <v>10</v>
      </c>
      <c r="Y85" s="111">
        <f t="shared" si="66"/>
        <v>10</v>
      </c>
      <c r="Z85" s="111">
        <f t="shared" si="66"/>
        <v>10</v>
      </c>
      <c r="AA85" s="111">
        <f t="shared" si="66"/>
        <v>10</v>
      </c>
      <c r="AB85" s="111">
        <f t="shared" si="66"/>
        <v>10</v>
      </c>
      <c r="AC85" s="111">
        <f t="shared" si="66"/>
        <v>10</v>
      </c>
      <c r="AD85" s="111">
        <f t="shared" si="66"/>
        <v>10</v>
      </c>
      <c r="AE85" s="111">
        <f t="shared" si="66"/>
        <v>10</v>
      </c>
      <c r="AF85" s="111">
        <f t="shared" si="66"/>
        <v>10</v>
      </c>
      <c r="AG85" s="111">
        <f t="shared" si="66"/>
        <v>10</v>
      </c>
      <c r="AH85" s="111">
        <f t="shared" si="66"/>
        <v>10</v>
      </c>
      <c r="AI85" s="111">
        <f t="shared" si="66"/>
        <v>10</v>
      </c>
      <c r="AJ85" s="111">
        <f t="shared" si="66"/>
        <v>10</v>
      </c>
      <c r="AK85" s="111">
        <f t="shared" si="66"/>
        <v>10</v>
      </c>
      <c r="AL85" s="111">
        <f t="shared" si="66"/>
        <v>10</v>
      </c>
      <c r="AM85" s="111">
        <f t="shared" si="66"/>
        <v>10</v>
      </c>
      <c r="AN85" s="111">
        <f t="shared" si="66"/>
        <v>10</v>
      </c>
      <c r="AO85" s="111">
        <f t="shared" si="66"/>
        <v>10</v>
      </c>
      <c r="AP85" s="111">
        <f t="shared" si="66"/>
        <v>10</v>
      </c>
      <c r="AQ85" s="111">
        <f t="shared" si="66"/>
        <v>10</v>
      </c>
      <c r="AR85" s="111">
        <f t="shared" si="66"/>
        <v>10</v>
      </c>
      <c r="AS85" s="111">
        <f t="shared" si="66"/>
        <v>10</v>
      </c>
      <c r="AT85" s="111">
        <f t="shared" si="66"/>
        <v>10</v>
      </c>
      <c r="AU85" s="111">
        <f t="shared" si="66"/>
        <v>10</v>
      </c>
      <c r="AV85" s="111">
        <f t="shared" si="66"/>
        <v>10</v>
      </c>
      <c r="AW85" s="111">
        <f t="shared" si="66"/>
        <v>10</v>
      </c>
      <c r="AX85" s="111">
        <f t="shared" si="66"/>
        <v>10</v>
      </c>
      <c r="AY85" s="111">
        <f t="shared" si="66"/>
        <v>10</v>
      </c>
      <c r="AZ85" s="111">
        <f t="shared" si="66"/>
        <v>10</v>
      </c>
      <c r="BA85" s="111">
        <f t="shared" si="66"/>
        <v>10</v>
      </c>
      <c r="BB85" s="111">
        <f t="shared" si="66"/>
        <v>10</v>
      </c>
      <c r="BC85" s="111">
        <f t="shared" si="66"/>
        <v>10</v>
      </c>
      <c r="BD85" s="111">
        <f t="shared" si="66"/>
        <v>10</v>
      </c>
      <c r="BE85" s="111">
        <f t="shared" si="66"/>
        <v>10</v>
      </c>
      <c r="BF85" s="111">
        <f t="shared" si="66"/>
        <v>10</v>
      </c>
      <c r="BG85" s="111">
        <f t="shared" si="66"/>
        <v>10</v>
      </c>
      <c r="BH85" s="111">
        <f t="shared" si="66"/>
        <v>10</v>
      </c>
      <c r="BI85" s="111">
        <f t="shared" si="66"/>
        <v>10</v>
      </c>
      <c r="BJ85" s="111">
        <f t="shared" si="66"/>
        <v>10</v>
      </c>
      <c r="BK85" s="111">
        <f t="shared" si="66"/>
        <v>10</v>
      </c>
      <c r="BL85" s="111">
        <f t="shared" si="66"/>
        <v>10</v>
      </c>
      <c r="BM85" s="111">
        <f t="shared" si="66"/>
        <v>10</v>
      </c>
      <c r="BN85" s="111">
        <f t="shared" si="66"/>
        <v>10</v>
      </c>
      <c r="BO85" s="111">
        <f t="shared" si="66"/>
        <v>10</v>
      </c>
    </row>
    <row r="86" outlineLevel="1">
      <c r="A86" s="47"/>
      <c r="B86" s="74" t="s">
        <v>61</v>
      </c>
      <c r="C86" s="47"/>
      <c r="D86" s="76"/>
      <c r="E86" s="76"/>
      <c r="F86" s="76"/>
      <c r="G86" s="76"/>
      <c r="H86" s="112">
        <f t="shared" ref="H86:BO86" si="67">H84*H85</f>
        <v>2675</v>
      </c>
      <c r="I86" s="112">
        <f t="shared" si="67"/>
        <v>5545.44375</v>
      </c>
      <c r="J86" s="112">
        <f t="shared" si="67"/>
        <v>8553.644958</v>
      </c>
      <c r="K86" s="112">
        <f t="shared" si="67"/>
        <v>11705.44587</v>
      </c>
      <c r="L86" s="112">
        <f t="shared" si="67"/>
        <v>15008.02679</v>
      </c>
      <c r="M86" s="112">
        <f t="shared" si="67"/>
        <v>18468.94349</v>
      </c>
      <c r="N86" s="112">
        <f t="shared" si="67"/>
        <v>22096.12974</v>
      </c>
      <c r="O86" s="112">
        <f t="shared" si="67"/>
        <v>25897.91596</v>
      </c>
      <c r="P86" s="112">
        <f t="shared" si="67"/>
        <v>29883.04904</v>
      </c>
      <c r="Q86" s="112">
        <f t="shared" si="67"/>
        <v>34060.71317</v>
      </c>
      <c r="R86" s="112">
        <f t="shared" si="67"/>
        <v>38440.55174</v>
      </c>
      <c r="S86" s="112">
        <f t="shared" si="67"/>
        <v>43032.69022</v>
      </c>
      <c r="T86" s="112">
        <f t="shared" si="67"/>
        <v>47847.76035</v>
      </c>
      <c r="U86" s="112">
        <f t="shared" si="67"/>
        <v>52896.92541</v>
      </c>
      <c r="V86" s="112">
        <f t="shared" si="67"/>
        <v>58191.90677</v>
      </c>
      <c r="W86" s="112">
        <f t="shared" si="67"/>
        <v>63745.01186</v>
      </c>
      <c r="X86" s="112">
        <f t="shared" si="67"/>
        <v>69569.16343</v>
      </c>
      <c r="Y86" s="112">
        <f t="shared" si="67"/>
        <v>72074.21935</v>
      </c>
      <c r="Z86" s="112">
        <f t="shared" si="67"/>
        <v>74454.02249</v>
      </c>
      <c r="AA86" s="112">
        <f t="shared" si="67"/>
        <v>76714.83546</v>
      </c>
      <c r="AB86" s="112">
        <f t="shared" si="67"/>
        <v>78862.60779</v>
      </c>
      <c r="AC86" s="112">
        <f t="shared" si="67"/>
        <v>80902.9915</v>
      </c>
      <c r="AD86" s="112">
        <f t="shared" si="67"/>
        <v>82841.35603</v>
      </c>
      <c r="AE86" s="112">
        <f t="shared" si="67"/>
        <v>84682.80232</v>
      </c>
      <c r="AF86" s="112">
        <f t="shared" si="67"/>
        <v>86432.17631</v>
      </c>
      <c r="AG86" s="112">
        <f t="shared" si="67"/>
        <v>88094.08159</v>
      </c>
      <c r="AH86" s="112">
        <f t="shared" si="67"/>
        <v>89672.89161</v>
      </c>
      <c r="AI86" s="112">
        <f t="shared" si="67"/>
        <v>91172.76113</v>
      </c>
      <c r="AJ86" s="112">
        <f t="shared" si="67"/>
        <v>92597.63718</v>
      </c>
      <c r="AK86" s="112">
        <f t="shared" si="67"/>
        <v>93951.26942</v>
      </c>
      <c r="AL86" s="112">
        <f t="shared" si="67"/>
        <v>95237.22005</v>
      </c>
      <c r="AM86" s="112">
        <f t="shared" si="67"/>
        <v>96458.87314</v>
      </c>
      <c r="AN86" s="112">
        <f t="shared" si="67"/>
        <v>97619.44359</v>
      </c>
      <c r="AO86" s="112">
        <f t="shared" si="67"/>
        <v>98721.98551</v>
      </c>
      <c r="AP86" s="112">
        <f t="shared" si="67"/>
        <v>99769.40033</v>
      </c>
      <c r="AQ86" s="112">
        <f t="shared" si="67"/>
        <v>100764.4444</v>
      </c>
      <c r="AR86" s="112">
        <f t="shared" si="67"/>
        <v>101709.7363</v>
      </c>
      <c r="AS86" s="112">
        <f t="shared" si="67"/>
        <v>102607.7636</v>
      </c>
      <c r="AT86" s="112">
        <f t="shared" si="67"/>
        <v>103460.8895</v>
      </c>
      <c r="AU86" s="112">
        <f t="shared" si="67"/>
        <v>104271.3591</v>
      </c>
      <c r="AV86" s="112">
        <f t="shared" si="67"/>
        <v>105041.3053</v>
      </c>
      <c r="AW86" s="112">
        <f t="shared" si="67"/>
        <v>105772.7541</v>
      </c>
      <c r="AX86" s="112">
        <f t="shared" si="67"/>
        <v>106467.6305</v>
      </c>
      <c r="AY86" s="112">
        <f t="shared" si="67"/>
        <v>107127.7631</v>
      </c>
      <c r="AZ86" s="112">
        <f t="shared" si="67"/>
        <v>107754.889</v>
      </c>
      <c r="BA86" s="112">
        <f t="shared" si="67"/>
        <v>108350.6587</v>
      </c>
      <c r="BB86" s="112">
        <f t="shared" si="67"/>
        <v>108916.6398</v>
      </c>
      <c r="BC86" s="112">
        <f t="shared" si="67"/>
        <v>109454.3219</v>
      </c>
      <c r="BD86" s="112">
        <f t="shared" si="67"/>
        <v>109965.12</v>
      </c>
      <c r="BE86" s="112">
        <f t="shared" si="67"/>
        <v>110450.3781</v>
      </c>
      <c r="BF86" s="112">
        <f t="shared" si="67"/>
        <v>110911.3733</v>
      </c>
      <c r="BG86" s="112">
        <f t="shared" si="67"/>
        <v>111349.3187</v>
      </c>
      <c r="BH86" s="112">
        <f t="shared" si="67"/>
        <v>111765.3669</v>
      </c>
      <c r="BI86" s="112">
        <f t="shared" si="67"/>
        <v>112160.6126</v>
      </c>
      <c r="BJ86" s="112">
        <f t="shared" si="67"/>
        <v>112536.0961</v>
      </c>
      <c r="BK86" s="112">
        <f t="shared" si="67"/>
        <v>112892.8054</v>
      </c>
      <c r="BL86" s="112">
        <f t="shared" si="67"/>
        <v>113231.6792</v>
      </c>
      <c r="BM86" s="112">
        <f t="shared" si="67"/>
        <v>113553.6093</v>
      </c>
      <c r="BN86" s="112">
        <f t="shared" si="67"/>
        <v>113859.443</v>
      </c>
      <c r="BO86" s="112">
        <f t="shared" si="67"/>
        <v>114149.9849</v>
      </c>
    </row>
    <row r="87" outlineLevel="1">
      <c r="A87" s="47"/>
      <c r="B87" s="74"/>
      <c r="C87" s="47"/>
      <c r="D87" s="76"/>
      <c r="E87" s="76"/>
      <c r="F87" s="76"/>
      <c r="G87" s="76"/>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row>
    <row r="88" outlineLevel="1">
      <c r="A88" s="47"/>
      <c r="B88" s="65" t="s">
        <v>62</v>
      </c>
      <c r="C88" s="102"/>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row>
    <row r="89" outlineLevel="1">
      <c r="A89" s="47"/>
      <c r="B89" s="39" t="s">
        <v>50</v>
      </c>
      <c r="C89" s="102"/>
      <c r="D89" s="103">
        <v>0.3</v>
      </c>
      <c r="E89" s="47"/>
      <c r="F89" s="47"/>
      <c r="G89" s="47"/>
      <c r="H89" s="89">
        <f>D89</f>
        <v>0.3</v>
      </c>
      <c r="I89" s="89">
        <f t="shared" ref="I89:BO89" si="68">H89</f>
        <v>0.3</v>
      </c>
      <c r="J89" s="89">
        <f t="shared" si="68"/>
        <v>0.3</v>
      </c>
      <c r="K89" s="89">
        <f t="shared" si="68"/>
        <v>0.3</v>
      </c>
      <c r="L89" s="89">
        <f t="shared" si="68"/>
        <v>0.3</v>
      </c>
      <c r="M89" s="89">
        <f t="shared" si="68"/>
        <v>0.3</v>
      </c>
      <c r="N89" s="89">
        <f t="shared" si="68"/>
        <v>0.3</v>
      </c>
      <c r="O89" s="89">
        <f t="shared" si="68"/>
        <v>0.3</v>
      </c>
      <c r="P89" s="89">
        <f t="shared" si="68"/>
        <v>0.3</v>
      </c>
      <c r="Q89" s="89">
        <f t="shared" si="68"/>
        <v>0.3</v>
      </c>
      <c r="R89" s="89">
        <f t="shared" si="68"/>
        <v>0.3</v>
      </c>
      <c r="S89" s="89">
        <f t="shared" si="68"/>
        <v>0.3</v>
      </c>
      <c r="T89" s="89">
        <f t="shared" si="68"/>
        <v>0.3</v>
      </c>
      <c r="U89" s="89">
        <f t="shared" si="68"/>
        <v>0.3</v>
      </c>
      <c r="V89" s="89">
        <f t="shared" si="68"/>
        <v>0.3</v>
      </c>
      <c r="W89" s="89">
        <f t="shared" si="68"/>
        <v>0.3</v>
      </c>
      <c r="X89" s="89">
        <f t="shared" si="68"/>
        <v>0.3</v>
      </c>
      <c r="Y89" s="89">
        <f t="shared" si="68"/>
        <v>0.3</v>
      </c>
      <c r="Z89" s="89">
        <f t="shared" si="68"/>
        <v>0.3</v>
      </c>
      <c r="AA89" s="89">
        <f t="shared" si="68"/>
        <v>0.3</v>
      </c>
      <c r="AB89" s="89">
        <f t="shared" si="68"/>
        <v>0.3</v>
      </c>
      <c r="AC89" s="89">
        <f t="shared" si="68"/>
        <v>0.3</v>
      </c>
      <c r="AD89" s="89">
        <f t="shared" si="68"/>
        <v>0.3</v>
      </c>
      <c r="AE89" s="89">
        <f t="shared" si="68"/>
        <v>0.3</v>
      </c>
      <c r="AF89" s="89">
        <f t="shared" si="68"/>
        <v>0.3</v>
      </c>
      <c r="AG89" s="89">
        <f t="shared" si="68"/>
        <v>0.3</v>
      </c>
      <c r="AH89" s="89">
        <f t="shared" si="68"/>
        <v>0.3</v>
      </c>
      <c r="AI89" s="89">
        <f t="shared" si="68"/>
        <v>0.3</v>
      </c>
      <c r="AJ89" s="89">
        <f t="shared" si="68"/>
        <v>0.3</v>
      </c>
      <c r="AK89" s="89">
        <f t="shared" si="68"/>
        <v>0.3</v>
      </c>
      <c r="AL89" s="89">
        <f t="shared" si="68"/>
        <v>0.3</v>
      </c>
      <c r="AM89" s="89">
        <f t="shared" si="68"/>
        <v>0.3</v>
      </c>
      <c r="AN89" s="89">
        <f t="shared" si="68"/>
        <v>0.3</v>
      </c>
      <c r="AO89" s="89">
        <f t="shared" si="68"/>
        <v>0.3</v>
      </c>
      <c r="AP89" s="89">
        <f t="shared" si="68"/>
        <v>0.3</v>
      </c>
      <c r="AQ89" s="89">
        <f t="shared" si="68"/>
        <v>0.3</v>
      </c>
      <c r="AR89" s="89">
        <f t="shared" si="68"/>
        <v>0.3</v>
      </c>
      <c r="AS89" s="89">
        <f t="shared" si="68"/>
        <v>0.3</v>
      </c>
      <c r="AT89" s="89">
        <f t="shared" si="68"/>
        <v>0.3</v>
      </c>
      <c r="AU89" s="89">
        <f t="shared" si="68"/>
        <v>0.3</v>
      </c>
      <c r="AV89" s="89">
        <f t="shared" si="68"/>
        <v>0.3</v>
      </c>
      <c r="AW89" s="89">
        <f t="shared" si="68"/>
        <v>0.3</v>
      </c>
      <c r="AX89" s="89">
        <f t="shared" si="68"/>
        <v>0.3</v>
      </c>
      <c r="AY89" s="89">
        <f t="shared" si="68"/>
        <v>0.3</v>
      </c>
      <c r="AZ89" s="89">
        <f t="shared" si="68"/>
        <v>0.3</v>
      </c>
      <c r="BA89" s="89">
        <f t="shared" si="68"/>
        <v>0.3</v>
      </c>
      <c r="BB89" s="89">
        <f t="shared" si="68"/>
        <v>0.3</v>
      </c>
      <c r="BC89" s="89">
        <f t="shared" si="68"/>
        <v>0.3</v>
      </c>
      <c r="BD89" s="89">
        <f t="shared" si="68"/>
        <v>0.3</v>
      </c>
      <c r="BE89" s="89">
        <f t="shared" si="68"/>
        <v>0.3</v>
      </c>
      <c r="BF89" s="89">
        <f t="shared" si="68"/>
        <v>0.3</v>
      </c>
      <c r="BG89" s="89">
        <f t="shared" si="68"/>
        <v>0.3</v>
      </c>
      <c r="BH89" s="89">
        <f t="shared" si="68"/>
        <v>0.3</v>
      </c>
      <c r="BI89" s="89">
        <f t="shared" si="68"/>
        <v>0.3</v>
      </c>
      <c r="BJ89" s="89">
        <f t="shared" si="68"/>
        <v>0.3</v>
      </c>
      <c r="BK89" s="89">
        <f t="shared" si="68"/>
        <v>0.3</v>
      </c>
      <c r="BL89" s="89">
        <f t="shared" si="68"/>
        <v>0.3</v>
      </c>
      <c r="BM89" s="89">
        <f t="shared" si="68"/>
        <v>0.3</v>
      </c>
      <c r="BN89" s="89">
        <f t="shared" si="68"/>
        <v>0.3</v>
      </c>
      <c r="BO89" s="89">
        <f t="shared" si="68"/>
        <v>0.3</v>
      </c>
    </row>
    <row r="90" outlineLevel="1">
      <c r="A90" s="47"/>
      <c r="B90" s="39" t="s">
        <v>17</v>
      </c>
      <c r="C90" s="102"/>
      <c r="D90" s="104"/>
      <c r="E90" s="47"/>
      <c r="F90" s="47"/>
      <c r="G90" s="47"/>
      <c r="H90" s="104">
        <f t="shared" ref="H90:BO90" si="69">H89*H$71</f>
        <v>80.25</v>
      </c>
      <c r="I90" s="104">
        <f t="shared" si="69"/>
        <v>82.20375</v>
      </c>
      <c r="J90" s="104">
        <f t="shared" si="69"/>
        <v>82.23305625</v>
      </c>
      <c r="K90" s="104">
        <f t="shared" si="69"/>
        <v>82.23349584</v>
      </c>
      <c r="L90" s="104">
        <f t="shared" si="69"/>
        <v>82.23350244</v>
      </c>
      <c r="M90" s="104">
        <f t="shared" si="69"/>
        <v>82.23350254</v>
      </c>
      <c r="N90" s="104">
        <f t="shared" si="69"/>
        <v>82.23350254</v>
      </c>
      <c r="O90" s="104">
        <f t="shared" si="69"/>
        <v>82.23350254</v>
      </c>
      <c r="P90" s="104">
        <f t="shared" si="69"/>
        <v>82.23350254</v>
      </c>
      <c r="Q90" s="104">
        <f t="shared" si="69"/>
        <v>82.23350254</v>
      </c>
      <c r="R90" s="104">
        <f t="shared" si="69"/>
        <v>82.23350254</v>
      </c>
      <c r="S90" s="104">
        <f t="shared" si="69"/>
        <v>82.23350254</v>
      </c>
      <c r="T90" s="104">
        <f t="shared" si="69"/>
        <v>82.23350254</v>
      </c>
      <c r="U90" s="104">
        <f t="shared" si="69"/>
        <v>82.23350254</v>
      </c>
      <c r="V90" s="104">
        <f t="shared" si="69"/>
        <v>82.23350254</v>
      </c>
      <c r="W90" s="104">
        <f t="shared" si="69"/>
        <v>82.23350254</v>
      </c>
      <c r="X90" s="104">
        <f t="shared" si="69"/>
        <v>82.23350254</v>
      </c>
      <c r="Y90" s="104">
        <f t="shared" si="69"/>
        <v>82.23350254</v>
      </c>
      <c r="Z90" s="104">
        <f t="shared" si="69"/>
        <v>82.23350254</v>
      </c>
      <c r="AA90" s="104">
        <f t="shared" si="69"/>
        <v>82.23350254</v>
      </c>
      <c r="AB90" s="104">
        <f t="shared" si="69"/>
        <v>82.23350254</v>
      </c>
      <c r="AC90" s="104">
        <f t="shared" si="69"/>
        <v>82.23350254</v>
      </c>
      <c r="AD90" s="104">
        <f t="shared" si="69"/>
        <v>82.23350254</v>
      </c>
      <c r="AE90" s="104">
        <f t="shared" si="69"/>
        <v>82.23350254</v>
      </c>
      <c r="AF90" s="104">
        <f t="shared" si="69"/>
        <v>82.23350254</v>
      </c>
      <c r="AG90" s="104">
        <f t="shared" si="69"/>
        <v>82.23350254</v>
      </c>
      <c r="AH90" s="104">
        <f t="shared" si="69"/>
        <v>82.23350254</v>
      </c>
      <c r="AI90" s="104">
        <f t="shared" si="69"/>
        <v>82.23350254</v>
      </c>
      <c r="AJ90" s="104">
        <f t="shared" si="69"/>
        <v>82.23350254</v>
      </c>
      <c r="AK90" s="104">
        <f t="shared" si="69"/>
        <v>82.23350254</v>
      </c>
      <c r="AL90" s="104">
        <f t="shared" si="69"/>
        <v>82.23350254</v>
      </c>
      <c r="AM90" s="104">
        <f t="shared" si="69"/>
        <v>82.23350254</v>
      </c>
      <c r="AN90" s="104">
        <f t="shared" si="69"/>
        <v>82.23350254</v>
      </c>
      <c r="AO90" s="104">
        <f t="shared" si="69"/>
        <v>82.23350254</v>
      </c>
      <c r="AP90" s="104">
        <f t="shared" si="69"/>
        <v>82.23350254</v>
      </c>
      <c r="AQ90" s="104">
        <f t="shared" si="69"/>
        <v>82.23350254</v>
      </c>
      <c r="AR90" s="104">
        <f t="shared" si="69"/>
        <v>82.23350254</v>
      </c>
      <c r="AS90" s="104">
        <f t="shared" si="69"/>
        <v>82.23350254</v>
      </c>
      <c r="AT90" s="104">
        <f t="shared" si="69"/>
        <v>82.23350254</v>
      </c>
      <c r="AU90" s="104">
        <f t="shared" si="69"/>
        <v>82.23350254</v>
      </c>
      <c r="AV90" s="104">
        <f t="shared" si="69"/>
        <v>82.23350254</v>
      </c>
      <c r="AW90" s="104">
        <f t="shared" si="69"/>
        <v>82.23350254</v>
      </c>
      <c r="AX90" s="104">
        <f t="shared" si="69"/>
        <v>82.23350254</v>
      </c>
      <c r="AY90" s="104">
        <f t="shared" si="69"/>
        <v>82.23350254</v>
      </c>
      <c r="AZ90" s="104">
        <f t="shared" si="69"/>
        <v>82.23350254</v>
      </c>
      <c r="BA90" s="104">
        <f t="shared" si="69"/>
        <v>82.23350254</v>
      </c>
      <c r="BB90" s="104">
        <f t="shared" si="69"/>
        <v>82.23350254</v>
      </c>
      <c r="BC90" s="104">
        <f t="shared" si="69"/>
        <v>82.23350254</v>
      </c>
      <c r="BD90" s="104">
        <f t="shared" si="69"/>
        <v>82.23350254</v>
      </c>
      <c r="BE90" s="104">
        <f t="shared" si="69"/>
        <v>82.23350254</v>
      </c>
      <c r="BF90" s="104">
        <f t="shared" si="69"/>
        <v>82.23350254</v>
      </c>
      <c r="BG90" s="104">
        <f t="shared" si="69"/>
        <v>82.23350254</v>
      </c>
      <c r="BH90" s="104">
        <f t="shared" si="69"/>
        <v>82.23350254</v>
      </c>
      <c r="BI90" s="104">
        <f t="shared" si="69"/>
        <v>82.23350254</v>
      </c>
      <c r="BJ90" s="104">
        <f t="shared" si="69"/>
        <v>82.23350254</v>
      </c>
      <c r="BK90" s="104">
        <f t="shared" si="69"/>
        <v>82.23350254</v>
      </c>
      <c r="BL90" s="104">
        <f t="shared" si="69"/>
        <v>82.23350254</v>
      </c>
      <c r="BM90" s="104">
        <f t="shared" si="69"/>
        <v>82.23350254</v>
      </c>
      <c r="BN90" s="104">
        <f t="shared" si="69"/>
        <v>82.23350254</v>
      </c>
      <c r="BO90" s="104">
        <f t="shared" si="69"/>
        <v>82.23350254</v>
      </c>
    </row>
    <row r="91" outlineLevel="1">
      <c r="A91" s="47"/>
      <c r="B91" s="39" t="s">
        <v>51</v>
      </c>
      <c r="C91" s="102"/>
      <c r="D91" s="103">
        <v>0.05</v>
      </c>
      <c r="E91" s="47"/>
      <c r="F91" s="47"/>
      <c r="G91" s="47"/>
      <c r="H91" s="89">
        <f>D91</f>
        <v>0.05</v>
      </c>
      <c r="I91" s="89">
        <f t="shared" ref="I91:BO91" si="70">H91</f>
        <v>0.05</v>
      </c>
      <c r="J91" s="89">
        <f t="shared" si="70"/>
        <v>0.05</v>
      </c>
      <c r="K91" s="89">
        <f t="shared" si="70"/>
        <v>0.05</v>
      </c>
      <c r="L91" s="89">
        <f t="shared" si="70"/>
        <v>0.05</v>
      </c>
      <c r="M91" s="89">
        <f t="shared" si="70"/>
        <v>0.05</v>
      </c>
      <c r="N91" s="89">
        <f t="shared" si="70"/>
        <v>0.05</v>
      </c>
      <c r="O91" s="89">
        <f t="shared" si="70"/>
        <v>0.05</v>
      </c>
      <c r="P91" s="89">
        <f t="shared" si="70"/>
        <v>0.05</v>
      </c>
      <c r="Q91" s="89">
        <f t="shared" si="70"/>
        <v>0.05</v>
      </c>
      <c r="R91" s="89">
        <f t="shared" si="70"/>
        <v>0.05</v>
      </c>
      <c r="S91" s="89">
        <f t="shared" si="70"/>
        <v>0.05</v>
      </c>
      <c r="T91" s="89">
        <f t="shared" si="70"/>
        <v>0.05</v>
      </c>
      <c r="U91" s="89">
        <f t="shared" si="70"/>
        <v>0.05</v>
      </c>
      <c r="V91" s="89">
        <f t="shared" si="70"/>
        <v>0.05</v>
      </c>
      <c r="W91" s="89">
        <f t="shared" si="70"/>
        <v>0.05</v>
      </c>
      <c r="X91" s="89">
        <f t="shared" si="70"/>
        <v>0.05</v>
      </c>
      <c r="Y91" s="89">
        <f t="shared" si="70"/>
        <v>0.05</v>
      </c>
      <c r="Z91" s="89">
        <f t="shared" si="70"/>
        <v>0.05</v>
      </c>
      <c r="AA91" s="89">
        <f t="shared" si="70"/>
        <v>0.05</v>
      </c>
      <c r="AB91" s="89">
        <f t="shared" si="70"/>
        <v>0.05</v>
      </c>
      <c r="AC91" s="89">
        <f t="shared" si="70"/>
        <v>0.05</v>
      </c>
      <c r="AD91" s="89">
        <f t="shared" si="70"/>
        <v>0.05</v>
      </c>
      <c r="AE91" s="89">
        <f t="shared" si="70"/>
        <v>0.05</v>
      </c>
      <c r="AF91" s="89">
        <f t="shared" si="70"/>
        <v>0.05</v>
      </c>
      <c r="AG91" s="89">
        <f t="shared" si="70"/>
        <v>0.05</v>
      </c>
      <c r="AH91" s="89">
        <f t="shared" si="70"/>
        <v>0.05</v>
      </c>
      <c r="AI91" s="89">
        <f t="shared" si="70"/>
        <v>0.05</v>
      </c>
      <c r="AJ91" s="89">
        <f t="shared" si="70"/>
        <v>0.05</v>
      </c>
      <c r="AK91" s="89">
        <f t="shared" si="70"/>
        <v>0.05</v>
      </c>
      <c r="AL91" s="89">
        <f t="shared" si="70"/>
        <v>0.05</v>
      </c>
      <c r="AM91" s="89">
        <f t="shared" si="70"/>
        <v>0.05</v>
      </c>
      <c r="AN91" s="89">
        <f t="shared" si="70"/>
        <v>0.05</v>
      </c>
      <c r="AO91" s="89">
        <f t="shared" si="70"/>
        <v>0.05</v>
      </c>
      <c r="AP91" s="89">
        <f t="shared" si="70"/>
        <v>0.05</v>
      </c>
      <c r="AQ91" s="89">
        <f t="shared" si="70"/>
        <v>0.05</v>
      </c>
      <c r="AR91" s="89">
        <f t="shared" si="70"/>
        <v>0.05</v>
      </c>
      <c r="AS91" s="89">
        <f t="shared" si="70"/>
        <v>0.05</v>
      </c>
      <c r="AT91" s="89">
        <f t="shared" si="70"/>
        <v>0.05</v>
      </c>
      <c r="AU91" s="89">
        <f t="shared" si="70"/>
        <v>0.05</v>
      </c>
      <c r="AV91" s="89">
        <f t="shared" si="70"/>
        <v>0.05</v>
      </c>
      <c r="AW91" s="89">
        <f t="shared" si="70"/>
        <v>0.05</v>
      </c>
      <c r="AX91" s="89">
        <f t="shared" si="70"/>
        <v>0.05</v>
      </c>
      <c r="AY91" s="89">
        <f t="shared" si="70"/>
        <v>0.05</v>
      </c>
      <c r="AZ91" s="89">
        <f t="shared" si="70"/>
        <v>0.05</v>
      </c>
      <c r="BA91" s="89">
        <f t="shared" si="70"/>
        <v>0.05</v>
      </c>
      <c r="BB91" s="89">
        <f t="shared" si="70"/>
        <v>0.05</v>
      </c>
      <c r="BC91" s="89">
        <f t="shared" si="70"/>
        <v>0.05</v>
      </c>
      <c r="BD91" s="89">
        <f t="shared" si="70"/>
        <v>0.05</v>
      </c>
      <c r="BE91" s="89">
        <f t="shared" si="70"/>
        <v>0.05</v>
      </c>
      <c r="BF91" s="89">
        <f t="shared" si="70"/>
        <v>0.05</v>
      </c>
      <c r="BG91" s="89">
        <f t="shared" si="70"/>
        <v>0.05</v>
      </c>
      <c r="BH91" s="89">
        <f t="shared" si="70"/>
        <v>0.05</v>
      </c>
      <c r="BI91" s="89">
        <f t="shared" si="70"/>
        <v>0.05</v>
      </c>
      <c r="BJ91" s="89">
        <f t="shared" si="70"/>
        <v>0.05</v>
      </c>
      <c r="BK91" s="89">
        <f t="shared" si="70"/>
        <v>0.05</v>
      </c>
      <c r="BL91" s="89">
        <f t="shared" si="70"/>
        <v>0.05</v>
      </c>
      <c r="BM91" s="89">
        <f t="shared" si="70"/>
        <v>0.05</v>
      </c>
      <c r="BN91" s="89">
        <f t="shared" si="70"/>
        <v>0.05</v>
      </c>
      <c r="BO91" s="89">
        <f t="shared" si="70"/>
        <v>0.05</v>
      </c>
    </row>
    <row r="92" outlineLevel="1">
      <c r="A92" s="47"/>
      <c r="B92" s="39" t="s">
        <v>52</v>
      </c>
      <c r="C92" s="102"/>
      <c r="D92" s="104"/>
      <c r="E92" s="47"/>
      <c r="F92" s="47"/>
      <c r="G92" s="47"/>
      <c r="H92" s="104">
        <f t="shared" ref="H92:BO92" si="71">H95*H91</f>
        <v>0</v>
      </c>
      <c r="I92" s="104">
        <f t="shared" si="71"/>
        <v>4.0125</v>
      </c>
      <c r="J92" s="104">
        <f t="shared" si="71"/>
        <v>7.9220625</v>
      </c>
      <c r="K92" s="104">
        <f t="shared" si="71"/>
        <v>11.63761219</v>
      </c>
      <c r="L92" s="104">
        <f t="shared" si="71"/>
        <v>15.16740637</v>
      </c>
      <c r="M92" s="104">
        <f t="shared" si="71"/>
        <v>18.52071117</v>
      </c>
      <c r="N92" s="104">
        <f t="shared" si="71"/>
        <v>21.70635074</v>
      </c>
      <c r="O92" s="104">
        <f t="shared" si="71"/>
        <v>24.73270833</v>
      </c>
      <c r="P92" s="104">
        <f t="shared" si="71"/>
        <v>27.60774804</v>
      </c>
      <c r="Q92" s="104">
        <f t="shared" si="71"/>
        <v>30.33903577</v>
      </c>
      <c r="R92" s="104">
        <f t="shared" si="71"/>
        <v>32.93375911</v>
      </c>
      <c r="S92" s="104">
        <f t="shared" si="71"/>
        <v>35.39874628</v>
      </c>
      <c r="T92" s="104">
        <f t="shared" si="71"/>
        <v>37.74048409</v>
      </c>
      <c r="U92" s="104">
        <f t="shared" si="71"/>
        <v>39.96513501</v>
      </c>
      <c r="V92" s="104">
        <f t="shared" si="71"/>
        <v>42.07855339</v>
      </c>
      <c r="W92" s="104">
        <f t="shared" si="71"/>
        <v>44.08630085</v>
      </c>
      <c r="X92" s="104">
        <f t="shared" si="71"/>
        <v>45.99366093</v>
      </c>
      <c r="Y92" s="104">
        <f t="shared" si="71"/>
        <v>47.80565301</v>
      </c>
      <c r="Z92" s="104">
        <f t="shared" si="71"/>
        <v>49.52704549</v>
      </c>
      <c r="AA92" s="104">
        <f t="shared" si="71"/>
        <v>51.16236834</v>
      </c>
      <c r="AB92" s="104">
        <f t="shared" si="71"/>
        <v>52.71592505</v>
      </c>
      <c r="AC92" s="104">
        <f t="shared" si="71"/>
        <v>54.19180392</v>
      </c>
      <c r="AD92" s="104">
        <f t="shared" si="71"/>
        <v>55.59388886</v>
      </c>
      <c r="AE92" s="104">
        <f t="shared" si="71"/>
        <v>56.92586954</v>
      </c>
      <c r="AF92" s="104">
        <f t="shared" si="71"/>
        <v>58.19125119</v>
      </c>
      <c r="AG92" s="104">
        <f t="shared" si="71"/>
        <v>59.39336376</v>
      </c>
      <c r="AH92" s="104">
        <f t="shared" si="71"/>
        <v>60.5353707</v>
      </c>
      <c r="AI92" s="104">
        <f t="shared" si="71"/>
        <v>61.62027729</v>
      </c>
      <c r="AJ92" s="104">
        <f t="shared" si="71"/>
        <v>62.65093855</v>
      </c>
      <c r="AK92" s="104">
        <f t="shared" si="71"/>
        <v>63.63006675</v>
      </c>
      <c r="AL92" s="104">
        <f t="shared" si="71"/>
        <v>64.56023854</v>
      </c>
      <c r="AM92" s="104">
        <f t="shared" si="71"/>
        <v>65.44390174</v>
      </c>
      <c r="AN92" s="104">
        <f t="shared" si="71"/>
        <v>66.28338178</v>
      </c>
      <c r="AO92" s="104">
        <f t="shared" si="71"/>
        <v>67.08088782</v>
      </c>
      <c r="AP92" s="104">
        <f t="shared" si="71"/>
        <v>67.83851855</v>
      </c>
      <c r="AQ92" s="104">
        <f t="shared" si="71"/>
        <v>68.55826775</v>
      </c>
      <c r="AR92" s="104">
        <f t="shared" si="71"/>
        <v>69.24202949</v>
      </c>
      <c r="AS92" s="104">
        <f t="shared" si="71"/>
        <v>69.89160314</v>
      </c>
      <c r="AT92" s="104">
        <f t="shared" si="71"/>
        <v>70.50869811</v>
      </c>
      <c r="AU92" s="104">
        <f t="shared" si="71"/>
        <v>71.09493833</v>
      </c>
      <c r="AV92" s="104">
        <f t="shared" si="71"/>
        <v>71.65186654</v>
      </c>
      <c r="AW92" s="104">
        <f t="shared" si="71"/>
        <v>72.18094834</v>
      </c>
      <c r="AX92" s="104">
        <f t="shared" si="71"/>
        <v>72.68357605</v>
      </c>
      <c r="AY92" s="104">
        <f t="shared" si="71"/>
        <v>73.16107238</v>
      </c>
      <c r="AZ92" s="104">
        <f t="shared" si="71"/>
        <v>73.61469389</v>
      </c>
      <c r="BA92" s="104">
        <f t="shared" si="71"/>
        <v>74.04563432</v>
      </c>
      <c r="BB92" s="104">
        <f t="shared" si="71"/>
        <v>74.45502773</v>
      </c>
      <c r="BC92" s="104">
        <f t="shared" si="71"/>
        <v>74.84395147</v>
      </c>
      <c r="BD92" s="104">
        <f t="shared" si="71"/>
        <v>75.21342902</v>
      </c>
      <c r="BE92" s="104">
        <f t="shared" si="71"/>
        <v>75.5644327</v>
      </c>
      <c r="BF92" s="104">
        <f t="shared" si="71"/>
        <v>75.89788619</v>
      </c>
      <c r="BG92" s="104">
        <f t="shared" si="71"/>
        <v>76.21466701</v>
      </c>
      <c r="BH92" s="104">
        <f t="shared" si="71"/>
        <v>76.51560879</v>
      </c>
      <c r="BI92" s="104">
        <f t="shared" si="71"/>
        <v>76.80150347</v>
      </c>
      <c r="BJ92" s="104">
        <f t="shared" si="71"/>
        <v>77.07310343</v>
      </c>
      <c r="BK92" s="104">
        <f t="shared" si="71"/>
        <v>77.33112338</v>
      </c>
      <c r="BL92" s="104">
        <f t="shared" si="71"/>
        <v>77.57624234</v>
      </c>
      <c r="BM92" s="104">
        <f t="shared" si="71"/>
        <v>77.80910535</v>
      </c>
      <c r="BN92" s="104">
        <f t="shared" si="71"/>
        <v>78.03032521</v>
      </c>
      <c r="BO92" s="104">
        <f t="shared" si="71"/>
        <v>78.24048408</v>
      </c>
    </row>
    <row r="93" outlineLevel="1">
      <c r="A93" s="47"/>
      <c r="B93" s="39" t="s">
        <v>53</v>
      </c>
      <c r="C93" s="102"/>
      <c r="D93" s="47"/>
      <c r="E93" s="47"/>
      <c r="F93" s="47"/>
      <c r="G93" s="47"/>
      <c r="H93" s="104">
        <f t="shared" ref="H93:BO93" si="72">H95-H92</f>
        <v>0</v>
      </c>
      <c r="I93" s="104">
        <f t="shared" si="72"/>
        <v>76.2375</v>
      </c>
      <c r="J93" s="104">
        <f t="shared" si="72"/>
        <v>150.5191875</v>
      </c>
      <c r="K93" s="104">
        <f t="shared" si="72"/>
        <v>221.1146316</v>
      </c>
      <c r="L93" s="104">
        <f t="shared" si="72"/>
        <v>288.180721</v>
      </c>
      <c r="M93" s="104">
        <f t="shared" si="72"/>
        <v>351.8935123</v>
      </c>
      <c r="N93" s="104">
        <f t="shared" si="72"/>
        <v>412.4206641</v>
      </c>
      <c r="O93" s="104">
        <f t="shared" si="72"/>
        <v>469.9214583</v>
      </c>
      <c r="P93" s="104">
        <f t="shared" si="72"/>
        <v>524.5472128</v>
      </c>
      <c r="Q93" s="104">
        <f t="shared" si="72"/>
        <v>576.4416796</v>
      </c>
      <c r="R93" s="104">
        <f t="shared" si="72"/>
        <v>625.741423</v>
      </c>
      <c r="S93" s="104">
        <f t="shared" si="72"/>
        <v>672.5761793</v>
      </c>
      <c r="T93" s="104">
        <f t="shared" si="72"/>
        <v>717.0691977</v>
      </c>
      <c r="U93" s="104">
        <f t="shared" si="72"/>
        <v>759.3375652</v>
      </c>
      <c r="V93" s="104">
        <f t="shared" si="72"/>
        <v>799.4925144</v>
      </c>
      <c r="W93" s="104">
        <f t="shared" si="72"/>
        <v>837.6397161</v>
      </c>
      <c r="X93" s="104">
        <f t="shared" si="72"/>
        <v>873.8795577</v>
      </c>
      <c r="Y93" s="104">
        <f t="shared" si="72"/>
        <v>908.3074072</v>
      </c>
      <c r="Z93" s="104">
        <f t="shared" si="72"/>
        <v>941.0138643</v>
      </c>
      <c r="AA93" s="104">
        <f t="shared" si="72"/>
        <v>972.0849985</v>
      </c>
      <c r="AB93" s="104">
        <f t="shared" si="72"/>
        <v>1001.602576</v>
      </c>
      <c r="AC93" s="104">
        <f t="shared" si="72"/>
        <v>1029.644275</v>
      </c>
      <c r="AD93" s="104">
        <f t="shared" si="72"/>
        <v>1056.283888</v>
      </c>
      <c r="AE93" s="104">
        <f t="shared" si="72"/>
        <v>1081.591521</v>
      </c>
      <c r="AF93" s="104">
        <f t="shared" si="72"/>
        <v>1105.633773</v>
      </c>
      <c r="AG93" s="104">
        <f t="shared" si="72"/>
        <v>1128.473911</v>
      </c>
      <c r="AH93" s="104">
        <f t="shared" si="72"/>
        <v>1150.172043</v>
      </c>
      <c r="AI93" s="104">
        <f t="shared" si="72"/>
        <v>1170.785268</v>
      </c>
      <c r="AJ93" s="104">
        <f t="shared" si="72"/>
        <v>1190.367832</v>
      </c>
      <c r="AK93" s="104">
        <f t="shared" si="72"/>
        <v>1208.971268</v>
      </c>
      <c r="AL93" s="104">
        <f t="shared" si="72"/>
        <v>1226.644532</v>
      </c>
      <c r="AM93" s="104">
        <f t="shared" si="72"/>
        <v>1243.434133</v>
      </c>
      <c r="AN93" s="104">
        <f t="shared" si="72"/>
        <v>1259.384254</v>
      </c>
      <c r="AO93" s="104">
        <f t="shared" si="72"/>
        <v>1274.536869</v>
      </c>
      <c r="AP93" s="104">
        <f t="shared" si="72"/>
        <v>1288.931853</v>
      </c>
      <c r="AQ93" s="104">
        <f t="shared" si="72"/>
        <v>1302.607087</v>
      </c>
      <c r="AR93" s="104">
        <f t="shared" si="72"/>
        <v>1315.59856</v>
      </c>
      <c r="AS93" s="104">
        <f t="shared" si="72"/>
        <v>1327.94046</v>
      </c>
      <c r="AT93" s="104">
        <f t="shared" si="72"/>
        <v>1339.665264</v>
      </c>
      <c r="AU93" s="104">
        <f t="shared" si="72"/>
        <v>1350.803828</v>
      </c>
      <c r="AV93" s="104">
        <f t="shared" si="72"/>
        <v>1361.385464</v>
      </c>
      <c r="AW93" s="104">
        <f t="shared" si="72"/>
        <v>1371.438019</v>
      </c>
      <c r="AX93" s="104">
        <f t="shared" si="72"/>
        <v>1380.987945</v>
      </c>
      <c r="AY93" s="104">
        <f t="shared" si="72"/>
        <v>1390.060375</v>
      </c>
      <c r="AZ93" s="104">
        <f t="shared" si="72"/>
        <v>1398.679184</v>
      </c>
      <c r="BA93" s="104">
        <f t="shared" si="72"/>
        <v>1406.867052</v>
      </c>
      <c r="BB93" s="104">
        <f t="shared" si="72"/>
        <v>1414.645527</v>
      </c>
      <c r="BC93" s="104">
        <f t="shared" si="72"/>
        <v>1422.035078</v>
      </c>
      <c r="BD93" s="104">
        <f t="shared" si="72"/>
        <v>1429.055151</v>
      </c>
      <c r="BE93" s="104">
        <f t="shared" si="72"/>
        <v>1435.724221</v>
      </c>
      <c r="BF93" s="104">
        <f t="shared" si="72"/>
        <v>1442.059838</v>
      </c>
      <c r="BG93" s="104">
        <f t="shared" si="72"/>
        <v>1448.078673</v>
      </c>
      <c r="BH93" s="104">
        <f t="shared" si="72"/>
        <v>1453.796567</v>
      </c>
      <c r="BI93" s="104">
        <f t="shared" si="72"/>
        <v>1459.228566</v>
      </c>
      <c r="BJ93" s="104">
        <f t="shared" si="72"/>
        <v>1464.388965</v>
      </c>
      <c r="BK93" s="104">
        <f t="shared" si="72"/>
        <v>1469.291344</v>
      </c>
      <c r="BL93" s="104">
        <f t="shared" si="72"/>
        <v>1473.948604</v>
      </c>
      <c r="BM93" s="104">
        <f t="shared" si="72"/>
        <v>1478.373002</v>
      </c>
      <c r="BN93" s="104">
        <f t="shared" si="72"/>
        <v>1482.576179</v>
      </c>
      <c r="BO93" s="104">
        <f t="shared" si="72"/>
        <v>1486.569197</v>
      </c>
    </row>
    <row r="94" outlineLevel="1">
      <c r="A94" s="47"/>
      <c r="B94" s="39" t="s">
        <v>54</v>
      </c>
      <c r="C94" s="102"/>
      <c r="D94" s="47"/>
      <c r="E94" s="47"/>
      <c r="F94" s="47"/>
      <c r="G94" s="47"/>
      <c r="H94" s="104">
        <f t="shared" ref="H94:BO94" si="73">H90+H93</f>
        <v>80.25</v>
      </c>
      <c r="I94" s="104">
        <f t="shared" si="73"/>
        <v>158.44125</v>
      </c>
      <c r="J94" s="104">
        <f t="shared" si="73"/>
        <v>232.7522438</v>
      </c>
      <c r="K94" s="104">
        <f t="shared" si="73"/>
        <v>303.3481274</v>
      </c>
      <c r="L94" s="104">
        <f t="shared" si="73"/>
        <v>370.4142235</v>
      </c>
      <c r="M94" s="104">
        <f t="shared" si="73"/>
        <v>434.1270148</v>
      </c>
      <c r="N94" s="104">
        <f t="shared" si="73"/>
        <v>494.6541666</v>
      </c>
      <c r="O94" s="104">
        <f t="shared" si="73"/>
        <v>552.1549608</v>
      </c>
      <c r="P94" s="104">
        <f t="shared" si="73"/>
        <v>606.7807153</v>
      </c>
      <c r="Q94" s="104">
        <f t="shared" si="73"/>
        <v>658.6751821</v>
      </c>
      <c r="R94" s="104">
        <f t="shared" si="73"/>
        <v>707.9749255</v>
      </c>
      <c r="S94" s="104">
        <f t="shared" si="73"/>
        <v>754.8096818</v>
      </c>
      <c r="T94" s="104">
        <f t="shared" si="73"/>
        <v>799.3027002</v>
      </c>
      <c r="U94" s="104">
        <f t="shared" si="73"/>
        <v>841.5710678</v>
      </c>
      <c r="V94" s="104">
        <f t="shared" si="73"/>
        <v>881.7260169</v>
      </c>
      <c r="W94" s="104">
        <f t="shared" si="73"/>
        <v>919.8732186</v>
      </c>
      <c r="X94" s="104">
        <f t="shared" si="73"/>
        <v>956.1130602</v>
      </c>
      <c r="Y94" s="104">
        <f t="shared" si="73"/>
        <v>990.5409097</v>
      </c>
      <c r="Z94" s="104">
        <f t="shared" si="73"/>
        <v>1023.247367</v>
      </c>
      <c r="AA94" s="104">
        <f t="shared" si="73"/>
        <v>1054.318501</v>
      </c>
      <c r="AB94" s="104">
        <f t="shared" si="73"/>
        <v>1083.836078</v>
      </c>
      <c r="AC94" s="104">
        <f t="shared" si="73"/>
        <v>1111.877777</v>
      </c>
      <c r="AD94" s="104">
        <f t="shared" si="73"/>
        <v>1138.517391</v>
      </c>
      <c r="AE94" s="104">
        <f t="shared" si="73"/>
        <v>1163.825024</v>
      </c>
      <c r="AF94" s="104">
        <f t="shared" si="73"/>
        <v>1187.867275</v>
      </c>
      <c r="AG94" s="104">
        <f t="shared" si="73"/>
        <v>1210.707414</v>
      </c>
      <c r="AH94" s="104">
        <f t="shared" si="73"/>
        <v>1232.405546</v>
      </c>
      <c r="AI94" s="104">
        <f t="shared" si="73"/>
        <v>1253.018771</v>
      </c>
      <c r="AJ94" s="104">
        <f t="shared" si="73"/>
        <v>1272.601335</v>
      </c>
      <c r="AK94" s="104">
        <f t="shared" si="73"/>
        <v>1291.204771</v>
      </c>
      <c r="AL94" s="104">
        <f t="shared" si="73"/>
        <v>1308.878035</v>
      </c>
      <c r="AM94" s="104">
        <f t="shared" si="73"/>
        <v>1325.667636</v>
      </c>
      <c r="AN94" s="104">
        <f t="shared" si="73"/>
        <v>1341.617756</v>
      </c>
      <c r="AO94" s="104">
        <f t="shared" si="73"/>
        <v>1356.770371</v>
      </c>
      <c r="AP94" s="104">
        <f t="shared" si="73"/>
        <v>1371.165355</v>
      </c>
      <c r="AQ94" s="104">
        <f t="shared" si="73"/>
        <v>1384.84059</v>
      </c>
      <c r="AR94" s="104">
        <f t="shared" si="73"/>
        <v>1397.832063</v>
      </c>
      <c r="AS94" s="104">
        <f t="shared" si="73"/>
        <v>1410.173962</v>
      </c>
      <c r="AT94" s="104">
        <f t="shared" si="73"/>
        <v>1421.898767</v>
      </c>
      <c r="AU94" s="104">
        <f t="shared" si="73"/>
        <v>1433.037331</v>
      </c>
      <c r="AV94" s="104">
        <f t="shared" si="73"/>
        <v>1443.618967</v>
      </c>
      <c r="AW94" s="104">
        <f t="shared" si="73"/>
        <v>1453.671521</v>
      </c>
      <c r="AX94" s="104">
        <f t="shared" si="73"/>
        <v>1463.221448</v>
      </c>
      <c r="AY94" s="104">
        <f t="shared" si="73"/>
        <v>1472.293878</v>
      </c>
      <c r="AZ94" s="104">
        <f t="shared" si="73"/>
        <v>1480.912686</v>
      </c>
      <c r="BA94" s="104">
        <f t="shared" si="73"/>
        <v>1489.100555</v>
      </c>
      <c r="BB94" s="104">
        <f t="shared" si="73"/>
        <v>1496.879029</v>
      </c>
      <c r="BC94" s="104">
        <f t="shared" si="73"/>
        <v>1504.26858</v>
      </c>
      <c r="BD94" s="104">
        <f t="shared" si="73"/>
        <v>1511.288654</v>
      </c>
      <c r="BE94" s="104">
        <f t="shared" si="73"/>
        <v>1517.957724</v>
      </c>
      <c r="BF94" s="104">
        <f t="shared" si="73"/>
        <v>1524.29334</v>
      </c>
      <c r="BG94" s="104">
        <f t="shared" si="73"/>
        <v>1530.312176</v>
      </c>
      <c r="BH94" s="104">
        <f t="shared" si="73"/>
        <v>1536.030069</v>
      </c>
      <c r="BI94" s="104">
        <f t="shared" si="73"/>
        <v>1541.462069</v>
      </c>
      <c r="BJ94" s="104">
        <f t="shared" si="73"/>
        <v>1546.622468</v>
      </c>
      <c r="BK94" s="104">
        <f t="shared" si="73"/>
        <v>1551.524847</v>
      </c>
      <c r="BL94" s="104">
        <f t="shared" si="73"/>
        <v>1556.182107</v>
      </c>
      <c r="BM94" s="104">
        <f t="shared" si="73"/>
        <v>1560.606504</v>
      </c>
      <c r="BN94" s="104">
        <f t="shared" si="73"/>
        <v>1564.809682</v>
      </c>
      <c r="BO94" s="104">
        <f t="shared" si="73"/>
        <v>1568.8027</v>
      </c>
    </row>
    <row r="95" outlineLevel="1">
      <c r="A95" s="47"/>
      <c r="B95" s="39" t="s">
        <v>55</v>
      </c>
      <c r="C95" s="47"/>
      <c r="D95" s="105"/>
      <c r="E95" s="47"/>
      <c r="F95" s="47"/>
      <c r="G95" s="47"/>
      <c r="H95" s="105" t="str">
        <f t="shared" ref="H95:BO95" si="74">G94</f>
        <v/>
      </c>
      <c r="I95" s="105">
        <f t="shared" si="74"/>
        <v>80.25</v>
      </c>
      <c r="J95" s="105">
        <f t="shared" si="74"/>
        <v>158.44125</v>
      </c>
      <c r="K95" s="105">
        <f t="shared" si="74"/>
        <v>232.7522438</v>
      </c>
      <c r="L95" s="105">
        <f t="shared" si="74"/>
        <v>303.3481274</v>
      </c>
      <c r="M95" s="105">
        <f t="shared" si="74"/>
        <v>370.4142235</v>
      </c>
      <c r="N95" s="105">
        <f t="shared" si="74"/>
        <v>434.1270148</v>
      </c>
      <c r="O95" s="105">
        <f t="shared" si="74"/>
        <v>494.6541666</v>
      </c>
      <c r="P95" s="105">
        <f t="shared" si="74"/>
        <v>552.1549608</v>
      </c>
      <c r="Q95" s="105">
        <f t="shared" si="74"/>
        <v>606.7807153</v>
      </c>
      <c r="R95" s="105">
        <f t="shared" si="74"/>
        <v>658.6751821</v>
      </c>
      <c r="S95" s="105">
        <f t="shared" si="74"/>
        <v>707.9749255</v>
      </c>
      <c r="T95" s="105">
        <f t="shared" si="74"/>
        <v>754.8096818</v>
      </c>
      <c r="U95" s="105">
        <f t="shared" si="74"/>
        <v>799.3027002</v>
      </c>
      <c r="V95" s="105">
        <f t="shared" si="74"/>
        <v>841.5710678</v>
      </c>
      <c r="W95" s="105">
        <f t="shared" si="74"/>
        <v>881.7260169</v>
      </c>
      <c r="X95" s="105">
        <f t="shared" si="74"/>
        <v>919.8732186</v>
      </c>
      <c r="Y95" s="105">
        <f t="shared" si="74"/>
        <v>956.1130602</v>
      </c>
      <c r="Z95" s="105">
        <f t="shared" si="74"/>
        <v>990.5409097</v>
      </c>
      <c r="AA95" s="105">
        <f t="shared" si="74"/>
        <v>1023.247367</v>
      </c>
      <c r="AB95" s="105">
        <f t="shared" si="74"/>
        <v>1054.318501</v>
      </c>
      <c r="AC95" s="105">
        <f t="shared" si="74"/>
        <v>1083.836078</v>
      </c>
      <c r="AD95" s="105">
        <f t="shared" si="74"/>
        <v>1111.877777</v>
      </c>
      <c r="AE95" s="105">
        <f t="shared" si="74"/>
        <v>1138.517391</v>
      </c>
      <c r="AF95" s="105">
        <f t="shared" si="74"/>
        <v>1163.825024</v>
      </c>
      <c r="AG95" s="105">
        <f t="shared" si="74"/>
        <v>1187.867275</v>
      </c>
      <c r="AH95" s="105">
        <f t="shared" si="74"/>
        <v>1210.707414</v>
      </c>
      <c r="AI95" s="105">
        <f t="shared" si="74"/>
        <v>1232.405546</v>
      </c>
      <c r="AJ95" s="105">
        <f t="shared" si="74"/>
        <v>1253.018771</v>
      </c>
      <c r="AK95" s="105">
        <f t="shared" si="74"/>
        <v>1272.601335</v>
      </c>
      <c r="AL95" s="105">
        <f t="shared" si="74"/>
        <v>1291.204771</v>
      </c>
      <c r="AM95" s="105">
        <f t="shared" si="74"/>
        <v>1308.878035</v>
      </c>
      <c r="AN95" s="105">
        <f t="shared" si="74"/>
        <v>1325.667636</v>
      </c>
      <c r="AO95" s="105">
        <f t="shared" si="74"/>
        <v>1341.617756</v>
      </c>
      <c r="AP95" s="105">
        <f t="shared" si="74"/>
        <v>1356.770371</v>
      </c>
      <c r="AQ95" s="105">
        <f t="shared" si="74"/>
        <v>1371.165355</v>
      </c>
      <c r="AR95" s="105">
        <f t="shared" si="74"/>
        <v>1384.84059</v>
      </c>
      <c r="AS95" s="105">
        <f t="shared" si="74"/>
        <v>1397.832063</v>
      </c>
      <c r="AT95" s="105">
        <f t="shared" si="74"/>
        <v>1410.173962</v>
      </c>
      <c r="AU95" s="105">
        <f t="shared" si="74"/>
        <v>1421.898767</v>
      </c>
      <c r="AV95" s="105">
        <f t="shared" si="74"/>
        <v>1433.037331</v>
      </c>
      <c r="AW95" s="105">
        <f t="shared" si="74"/>
        <v>1443.618967</v>
      </c>
      <c r="AX95" s="105">
        <f t="shared" si="74"/>
        <v>1453.671521</v>
      </c>
      <c r="AY95" s="105">
        <f t="shared" si="74"/>
        <v>1463.221448</v>
      </c>
      <c r="AZ95" s="105">
        <f t="shared" si="74"/>
        <v>1472.293878</v>
      </c>
      <c r="BA95" s="105">
        <f t="shared" si="74"/>
        <v>1480.912686</v>
      </c>
      <c r="BB95" s="105">
        <f t="shared" si="74"/>
        <v>1489.100555</v>
      </c>
      <c r="BC95" s="105">
        <f t="shared" si="74"/>
        <v>1496.879029</v>
      </c>
      <c r="BD95" s="105">
        <f t="shared" si="74"/>
        <v>1504.26858</v>
      </c>
      <c r="BE95" s="105">
        <f t="shared" si="74"/>
        <v>1511.288654</v>
      </c>
      <c r="BF95" s="105">
        <f t="shared" si="74"/>
        <v>1517.957724</v>
      </c>
      <c r="BG95" s="105">
        <f t="shared" si="74"/>
        <v>1524.29334</v>
      </c>
      <c r="BH95" s="105">
        <f t="shared" si="74"/>
        <v>1530.312176</v>
      </c>
      <c r="BI95" s="105">
        <f t="shared" si="74"/>
        <v>1536.030069</v>
      </c>
      <c r="BJ95" s="105">
        <f t="shared" si="74"/>
        <v>1541.462069</v>
      </c>
      <c r="BK95" s="105">
        <f t="shared" si="74"/>
        <v>1546.622468</v>
      </c>
      <c r="BL95" s="105">
        <f t="shared" si="74"/>
        <v>1551.524847</v>
      </c>
      <c r="BM95" s="105">
        <f t="shared" si="74"/>
        <v>1556.182107</v>
      </c>
      <c r="BN95" s="105">
        <f t="shared" si="74"/>
        <v>1560.606504</v>
      </c>
      <c r="BO95" s="105">
        <f t="shared" si="74"/>
        <v>1564.809682</v>
      </c>
    </row>
    <row r="96" outlineLevel="1">
      <c r="A96" s="47"/>
      <c r="B96" s="39" t="s">
        <v>63</v>
      </c>
      <c r="C96" s="47"/>
      <c r="D96" s="107">
        <v>2.0</v>
      </c>
      <c r="E96" s="47"/>
      <c r="F96" s="47"/>
      <c r="G96" s="47"/>
      <c r="H96" s="109">
        <f>D96</f>
        <v>2</v>
      </c>
      <c r="I96" s="109">
        <f t="shared" ref="I96:BO96" si="75">H96</f>
        <v>2</v>
      </c>
      <c r="J96" s="109">
        <f t="shared" si="75"/>
        <v>2</v>
      </c>
      <c r="K96" s="109">
        <f t="shared" si="75"/>
        <v>2</v>
      </c>
      <c r="L96" s="109">
        <f t="shared" si="75"/>
        <v>2</v>
      </c>
      <c r="M96" s="109">
        <f t="shared" si="75"/>
        <v>2</v>
      </c>
      <c r="N96" s="109">
        <f t="shared" si="75"/>
        <v>2</v>
      </c>
      <c r="O96" s="109">
        <f t="shared" si="75"/>
        <v>2</v>
      </c>
      <c r="P96" s="109">
        <f t="shared" si="75"/>
        <v>2</v>
      </c>
      <c r="Q96" s="109">
        <f t="shared" si="75"/>
        <v>2</v>
      </c>
      <c r="R96" s="109">
        <f t="shared" si="75"/>
        <v>2</v>
      </c>
      <c r="S96" s="109">
        <f t="shared" si="75"/>
        <v>2</v>
      </c>
      <c r="T96" s="109">
        <f t="shared" si="75"/>
        <v>2</v>
      </c>
      <c r="U96" s="109">
        <f t="shared" si="75"/>
        <v>2</v>
      </c>
      <c r="V96" s="109">
        <f t="shared" si="75"/>
        <v>2</v>
      </c>
      <c r="W96" s="109">
        <f t="shared" si="75"/>
        <v>2</v>
      </c>
      <c r="X96" s="109">
        <f t="shared" si="75"/>
        <v>2</v>
      </c>
      <c r="Y96" s="109">
        <f t="shared" si="75"/>
        <v>2</v>
      </c>
      <c r="Z96" s="109">
        <f t="shared" si="75"/>
        <v>2</v>
      </c>
      <c r="AA96" s="109">
        <f t="shared" si="75"/>
        <v>2</v>
      </c>
      <c r="AB96" s="109">
        <f t="shared" si="75"/>
        <v>2</v>
      </c>
      <c r="AC96" s="109">
        <f t="shared" si="75"/>
        <v>2</v>
      </c>
      <c r="AD96" s="109">
        <f t="shared" si="75"/>
        <v>2</v>
      </c>
      <c r="AE96" s="109">
        <f t="shared" si="75"/>
        <v>2</v>
      </c>
      <c r="AF96" s="109">
        <f t="shared" si="75"/>
        <v>2</v>
      </c>
      <c r="AG96" s="109">
        <f t="shared" si="75"/>
        <v>2</v>
      </c>
      <c r="AH96" s="109">
        <f t="shared" si="75"/>
        <v>2</v>
      </c>
      <c r="AI96" s="109">
        <f t="shared" si="75"/>
        <v>2</v>
      </c>
      <c r="AJ96" s="109">
        <f t="shared" si="75"/>
        <v>2</v>
      </c>
      <c r="AK96" s="109">
        <f t="shared" si="75"/>
        <v>2</v>
      </c>
      <c r="AL96" s="109">
        <f t="shared" si="75"/>
        <v>2</v>
      </c>
      <c r="AM96" s="109">
        <f t="shared" si="75"/>
        <v>2</v>
      </c>
      <c r="AN96" s="109">
        <f t="shared" si="75"/>
        <v>2</v>
      </c>
      <c r="AO96" s="109">
        <f t="shared" si="75"/>
        <v>2</v>
      </c>
      <c r="AP96" s="109">
        <f t="shared" si="75"/>
        <v>2</v>
      </c>
      <c r="AQ96" s="109">
        <f t="shared" si="75"/>
        <v>2</v>
      </c>
      <c r="AR96" s="109">
        <f t="shared" si="75"/>
        <v>2</v>
      </c>
      <c r="AS96" s="109">
        <f t="shared" si="75"/>
        <v>2</v>
      </c>
      <c r="AT96" s="109">
        <f t="shared" si="75"/>
        <v>2</v>
      </c>
      <c r="AU96" s="109">
        <f t="shared" si="75"/>
        <v>2</v>
      </c>
      <c r="AV96" s="109">
        <f t="shared" si="75"/>
        <v>2</v>
      </c>
      <c r="AW96" s="109">
        <f t="shared" si="75"/>
        <v>2</v>
      </c>
      <c r="AX96" s="109">
        <f t="shared" si="75"/>
        <v>2</v>
      </c>
      <c r="AY96" s="109">
        <f t="shared" si="75"/>
        <v>2</v>
      </c>
      <c r="AZ96" s="109">
        <f t="shared" si="75"/>
        <v>2</v>
      </c>
      <c r="BA96" s="109">
        <f t="shared" si="75"/>
        <v>2</v>
      </c>
      <c r="BB96" s="109">
        <f t="shared" si="75"/>
        <v>2</v>
      </c>
      <c r="BC96" s="109">
        <f t="shared" si="75"/>
        <v>2</v>
      </c>
      <c r="BD96" s="109">
        <f t="shared" si="75"/>
        <v>2</v>
      </c>
      <c r="BE96" s="109">
        <f t="shared" si="75"/>
        <v>2</v>
      </c>
      <c r="BF96" s="109">
        <f t="shared" si="75"/>
        <v>2</v>
      </c>
      <c r="BG96" s="109">
        <f t="shared" si="75"/>
        <v>2</v>
      </c>
      <c r="BH96" s="109">
        <f t="shared" si="75"/>
        <v>2</v>
      </c>
      <c r="BI96" s="109">
        <f t="shared" si="75"/>
        <v>2</v>
      </c>
      <c r="BJ96" s="109">
        <f t="shared" si="75"/>
        <v>2</v>
      </c>
      <c r="BK96" s="109">
        <f t="shared" si="75"/>
        <v>2</v>
      </c>
      <c r="BL96" s="109">
        <f t="shared" si="75"/>
        <v>2</v>
      </c>
      <c r="BM96" s="109">
        <f t="shared" si="75"/>
        <v>2</v>
      </c>
      <c r="BN96" s="109">
        <f t="shared" si="75"/>
        <v>2</v>
      </c>
      <c r="BO96" s="109">
        <f t="shared" si="75"/>
        <v>2</v>
      </c>
    </row>
    <row r="97" outlineLevel="1">
      <c r="A97" s="47"/>
      <c r="B97" s="39" t="s">
        <v>59</v>
      </c>
      <c r="C97" s="47"/>
      <c r="D97" s="105"/>
      <c r="E97" s="47"/>
      <c r="F97" s="47"/>
      <c r="G97" s="47"/>
      <c r="H97" s="105">
        <f t="shared" ref="H97:BO97" si="76">H96*H94</f>
        <v>160.5</v>
      </c>
      <c r="I97" s="105">
        <f t="shared" si="76"/>
        <v>316.8825</v>
      </c>
      <c r="J97" s="105">
        <f t="shared" si="76"/>
        <v>465.5044875</v>
      </c>
      <c r="K97" s="105">
        <f t="shared" si="76"/>
        <v>606.6962548</v>
      </c>
      <c r="L97" s="105">
        <f t="shared" si="76"/>
        <v>740.8284469</v>
      </c>
      <c r="M97" s="105">
        <f t="shared" si="76"/>
        <v>868.2540297</v>
      </c>
      <c r="N97" s="105">
        <f t="shared" si="76"/>
        <v>989.3083333</v>
      </c>
      <c r="O97" s="105">
        <f t="shared" si="76"/>
        <v>1104.309922</v>
      </c>
      <c r="P97" s="105">
        <f t="shared" si="76"/>
        <v>1213.561431</v>
      </c>
      <c r="Q97" s="105">
        <f t="shared" si="76"/>
        <v>1317.350364</v>
      </c>
      <c r="R97" s="105">
        <f t="shared" si="76"/>
        <v>1415.949851</v>
      </c>
      <c r="S97" s="105">
        <f t="shared" si="76"/>
        <v>1509.619364</v>
      </c>
      <c r="T97" s="105">
        <f t="shared" si="76"/>
        <v>1598.6054</v>
      </c>
      <c r="U97" s="105">
        <f t="shared" si="76"/>
        <v>1683.142136</v>
      </c>
      <c r="V97" s="105">
        <f t="shared" si="76"/>
        <v>1763.452034</v>
      </c>
      <c r="W97" s="105">
        <f t="shared" si="76"/>
        <v>1839.746437</v>
      </c>
      <c r="X97" s="105">
        <f t="shared" si="76"/>
        <v>1912.22612</v>
      </c>
      <c r="Y97" s="105">
        <f t="shared" si="76"/>
        <v>1981.081819</v>
      </c>
      <c r="Z97" s="105">
        <f t="shared" si="76"/>
        <v>2046.494734</v>
      </c>
      <c r="AA97" s="105">
        <f t="shared" si="76"/>
        <v>2108.637002</v>
      </c>
      <c r="AB97" s="105">
        <f t="shared" si="76"/>
        <v>2167.672157</v>
      </c>
      <c r="AC97" s="105">
        <f t="shared" si="76"/>
        <v>2223.755554</v>
      </c>
      <c r="AD97" s="105">
        <f t="shared" si="76"/>
        <v>2277.034782</v>
      </c>
      <c r="AE97" s="105">
        <f t="shared" si="76"/>
        <v>2327.650048</v>
      </c>
      <c r="AF97" s="105">
        <f t="shared" si="76"/>
        <v>2375.73455</v>
      </c>
      <c r="AG97" s="105">
        <f t="shared" si="76"/>
        <v>2421.414828</v>
      </c>
      <c r="AH97" s="105">
        <f t="shared" si="76"/>
        <v>2464.811092</v>
      </c>
      <c r="AI97" s="105">
        <f t="shared" si="76"/>
        <v>2506.037542</v>
      </c>
      <c r="AJ97" s="105">
        <f t="shared" si="76"/>
        <v>2545.20267</v>
      </c>
      <c r="AK97" s="105">
        <f t="shared" si="76"/>
        <v>2582.409542</v>
      </c>
      <c r="AL97" s="105">
        <f t="shared" si="76"/>
        <v>2617.75607</v>
      </c>
      <c r="AM97" s="105">
        <f t="shared" si="76"/>
        <v>2651.335271</v>
      </c>
      <c r="AN97" s="105">
        <f t="shared" si="76"/>
        <v>2683.235513</v>
      </c>
      <c r="AO97" s="105">
        <f t="shared" si="76"/>
        <v>2713.540742</v>
      </c>
      <c r="AP97" s="105">
        <f t="shared" si="76"/>
        <v>2742.33071</v>
      </c>
      <c r="AQ97" s="105">
        <f t="shared" si="76"/>
        <v>2769.68118</v>
      </c>
      <c r="AR97" s="105">
        <f t="shared" si="76"/>
        <v>2795.664126</v>
      </c>
      <c r="AS97" s="105">
        <f t="shared" si="76"/>
        <v>2820.347925</v>
      </c>
      <c r="AT97" s="105">
        <f t="shared" si="76"/>
        <v>2843.797533</v>
      </c>
      <c r="AU97" s="105">
        <f t="shared" si="76"/>
        <v>2866.074662</v>
      </c>
      <c r="AV97" s="105">
        <f t="shared" si="76"/>
        <v>2887.237934</v>
      </c>
      <c r="AW97" s="105">
        <f t="shared" si="76"/>
        <v>2907.343042</v>
      </c>
      <c r="AX97" s="105">
        <f t="shared" si="76"/>
        <v>2926.442895</v>
      </c>
      <c r="AY97" s="105">
        <f t="shared" si="76"/>
        <v>2944.587755</v>
      </c>
      <c r="AZ97" s="105">
        <f t="shared" si="76"/>
        <v>2961.825373</v>
      </c>
      <c r="BA97" s="105">
        <f t="shared" si="76"/>
        <v>2978.201109</v>
      </c>
      <c r="BB97" s="105">
        <f t="shared" si="76"/>
        <v>2993.758059</v>
      </c>
      <c r="BC97" s="105">
        <f t="shared" si="76"/>
        <v>3008.537161</v>
      </c>
      <c r="BD97" s="105">
        <f t="shared" si="76"/>
        <v>3022.577308</v>
      </c>
      <c r="BE97" s="105">
        <f t="shared" si="76"/>
        <v>3035.915448</v>
      </c>
      <c r="BF97" s="105">
        <f t="shared" si="76"/>
        <v>3048.58668</v>
      </c>
      <c r="BG97" s="105">
        <f t="shared" si="76"/>
        <v>3060.624351</v>
      </c>
      <c r="BH97" s="105">
        <f t="shared" si="76"/>
        <v>3072.060139</v>
      </c>
      <c r="BI97" s="105">
        <f t="shared" si="76"/>
        <v>3082.924137</v>
      </c>
      <c r="BJ97" s="105">
        <f t="shared" si="76"/>
        <v>3093.244935</v>
      </c>
      <c r="BK97" s="105">
        <f t="shared" si="76"/>
        <v>3103.049694</v>
      </c>
      <c r="BL97" s="105">
        <f t="shared" si="76"/>
        <v>3112.364214</v>
      </c>
      <c r="BM97" s="105">
        <f t="shared" si="76"/>
        <v>3121.213008</v>
      </c>
      <c r="BN97" s="105">
        <f t="shared" si="76"/>
        <v>3129.619363</v>
      </c>
      <c r="BO97" s="105">
        <f t="shared" si="76"/>
        <v>3137.6054</v>
      </c>
    </row>
    <row r="98" outlineLevel="1">
      <c r="A98" s="47"/>
      <c r="B98" s="72" t="s">
        <v>60</v>
      </c>
      <c r="C98" s="59"/>
      <c r="D98" s="110">
        <v>25.0</v>
      </c>
      <c r="E98" s="61"/>
      <c r="F98" s="61"/>
      <c r="G98" s="61"/>
      <c r="H98" s="111">
        <f>D98</f>
        <v>25</v>
      </c>
      <c r="I98" s="111">
        <f t="shared" ref="I98:BO98" si="77">H98</f>
        <v>25</v>
      </c>
      <c r="J98" s="111">
        <f t="shared" si="77"/>
        <v>25</v>
      </c>
      <c r="K98" s="111">
        <f t="shared" si="77"/>
        <v>25</v>
      </c>
      <c r="L98" s="111">
        <f t="shared" si="77"/>
        <v>25</v>
      </c>
      <c r="M98" s="111">
        <f t="shared" si="77"/>
        <v>25</v>
      </c>
      <c r="N98" s="111">
        <f t="shared" si="77"/>
        <v>25</v>
      </c>
      <c r="O98" s="111">
        <f t="shared" si="77"/>
        <v>25</v>
      </c>
      <c r="P98" s="111">
        <f t="shared" si="77"/>
        <v>25</v>
      </c>
      <c r="Q98" s="111">
        <f t="shared" si="77"/>
        <v>25</v>
      </c>
      <c r="R98" s="111">
        <f t="shared" si="77"/>
        <v>25</v>
      </c>
      <c r="S98" s="111">
        <f t="shared" si="77"/>
        <v>25</v>
      </c>
      <c r="T98" s="111">
        <f t="shared" si="77"/>
        <v>25</v>
      </c>
      <c r="U98" s="111">
        <f t="shared" si="77"/>
        <v>25</v>
      </c>
      <c r="V98" s="111">
        <f t="shared" si="77"/>
        <v>25</v>
      </c>
      <c r="W98" s="111">
        <f t="shared" si="77"/>
        <v>25</v>
      </c>
      <c r="X98" s="111">
        <f t="shared" si="77"/>
        <v>25</v>
      </c>
      <c r="Y98" s="111">
        <f t="shared" si="77"/>
        <v>25</v>
      </c>
      <c r="Z98" s="111">
        <f t="shared" si="77"/>
        <v>25</v>
      </c>
      <c r="AA98" s="111">
        <f t="shared" si="77"/>
        <v>25</v>
      </c>
      <c r="AB98" s="111">
        <f t="shared" si="77"/>
        <v>25</v>
      </c>
      <c r="AC98" s="111">
        <f t="shared" si="77"/>
        <v>25</v>
      </c>
      <c r="AD98" s="111">
        <f t="shared" si="77"/>
        <v>25</v>
      </c>
      <c r="AE98" s="111">
        <f t="shared" si="77"/>
        <v>25</v>
      </c>
      <c r="AF98" s="111">
        <f t="shared" si="77"/>
        <v>25</v>
      </c>
      <c r="AG98" s="111">
        <f t="shared" si="77"/>
        <v>25</v>
      </c>
      <c r="AH98" s="111">
        <f t="shared" si="77"/>
        <v>25</v>
      </c>
      <c r="AI98" s="111">
        <f t="shared" si="77"/>
        <v>25</v>
      </c>
      <c r="AJ98" s="111">
        <f t="shared" si="77"/>
        <v>25</v>
      </c>
      <c r="AK98" s="111">
        <f t="shared" si="77"/>
        <v>25</v>
      </c>
      <c r="AL98" s="111">
        <f t="shared" si="77"/>
        <v>25</v>
      </c>
      <c r="AM98" s="111">
        <f t="shared" si="77"/>
        <v>25</v>
      </c>
      <c r="AN98" s="111">
        <f t="shared" si="77"/>
        <v>25</v>
      </c>
      <c r="AO98" s="111">
        <f t="shared" si="77"/>
        <v>25</v>
      </c>
      <c r="AP98" s="111">
        <f t="shared" si="77"/>
        <v>25</v>
      </c>
      <c r="AQ98" s="111">
        <f t="shared" si="77"/>
        <v>25</v>
      </c>
      <c r="AR98" s="111">
        <f t="shared" si="77"/>
        <v>25</v>
      </c>
      <c r="AS98" s="111">
        <f t="shared" si="77"/>
        <v>25</v>
      </c>
      <c r="AT98" s="111">
        <f t="shared" si="77"/>
        <v>25</v>
      </c>
      <c r="AU98" s="111">
        <f t="shared" si="77"/>
        <v>25</v>
      </c>
      <c r="AV98" s="111">
        <f t="shared" si="77"/>
        <v>25</v>
      </c>
      <c r="AW98" s="111">
        <f t="shared" si="77"/>
        <v>25</v>
      </c>
      <c r="AX98" s="111">
        <f t="shared" si="77"/>
        <v>25</v>
      </c>
      <c r="AY98" s="111">
        <f t="shared" si="77"/>
        <v>25</v>
      </c>
      <c r="AZ98" s="111">
        <f t="shared" si="77"/>
        <v>25</v>
      </c>
      <c r="BA98" s="111">
        <f t="shared" si="77"/>
        <v>25</v>
      </c>
      <c r="BB98" s="111">
        <f t="shared" si="77"/>
        <v>25</v>
      </c>
      <c r="BC98" s="111">
        <f t="shared" si="77"/>
        <v>25</v>
      </c>
      <c r="BD98" s="111">
        <f t="shared" si="77"/>
        <v>25</v>
      </c>
      <c r="BE98" s="111">
        <f t="shared" si="77"/>
        <v>25</v>
      </c>
      <c r="BF98" s="111">
        <f t="shared" si="77"/>
        <v>25</v>
      </c>
      <c r="BG98" s="111">
        <f t="shared" si="77"/>
        <v>25</v>
      </c>
      <c r="BH98" s="111">
        <f t="shared" si="77"/>
        <v>25</v>
      </c>
      <c r="BI98" s="111">
        <f t="shared" si="77"/>
        <v>25</v>
      </c>
      <c r="BJ98" s="111">
        <f t="shared" si="77"/>
        <v>25</v>
      </c>
      <c r="BK98" s="111">
        <f t="shared" si="77"/>
        <v>25</v>
      </c>
      <c r="BL98" s="111">
        <f t="shared" si="77"/>
        <v>25</v>
      </c>
      <c r="BM98" s="111">
        <f t="shared" si="77"/>
        <v>25</v>
      </c>
      <c r="BN98" s="111">
        <f t="shared" si="77"/>
        <v>25</v>
      </c>
      <c r="BO98" s="111">
        <f t="shared" si="77"/>
        <v>25</v>
      </c>
    </row>
    <row r="99" outlineLevel="1">
      <c r="A99" s="47"/>
      <c r="B99" s="74" t="s">
        <v>61</v>
      </c>
      <c r="C99" s="47"/>
      <c r="D99" s="76"/>
      <c r="E99" s="76"/>
      <c r="F99" s="76"/>
      <c r="G99" s="76"/>
      <c r="H99" s="112">
        <f t="shared" ref="H99:BO99" si="78">H97*H98</f>
        <v>4012.5</v>
      </c>
      <c r="I99" s="112">
        <f t="shared" si="78"/>
        <v>7922.0625</v>
      </c>
      <c r="J99" s="112">
        <f t="shared" si="78"/>
        <v>11637.61219</v>
      </c>
      <c r="K99" s="112">
        <f t="shared" si="78"/>
        <v>15167.40637</v>
      </c>
      <c r="L99" s="112">
        <f t="shared" si="78"/>
        <v>18520.71117</v>
      </c>
      <c r="M99" s="112">
        <f t="shared" si="78"/>
        <v>21706.35074</v>
      </c>
      <c r="N99" s="112">
        <f t="shared" si="78"/>
        <v>24732.70833</v>
      </c>
      <c r="O99" s="112">
        <f t="shared" si="78"/>
        <v>27607.74804</v>
      </c>
      <c r="P99" s="112">
        <f t="shared" si="78"/>
        <v>30339.03577</v>
      </c>
      <c r="Q99" s="112">
        <f t="shared" si="78"/>
        <v>32933.75911</v>
      </c>
      <c r="R99" s="112">
        <f t="shared" si="78"/>
        <v>35398.74628</v>
      </c>
      <c r="S99" s="112">
        <f t="shared" si="78"/>
        <v>37740.48409</v>
      </c>
      <c r="T99" s="112">
        <f t="shared" si="78"/>
        <v>39965.13501</v>
      </c>
      <c r="U99" s="112">
        <f t="shared" si="78"/>
        <v>42078.55339</v>
      </c>
      <c r="V99" s="112">
        <f t="shared" si="78"/>
        <v>44086.30085</v>
      </c>
      <c r="W99" s="112">
        <f t="shared" si="78"/>
        <v>45993.66093</v>
      </c>
      <c r="X99" s="112">
        <f t="shared" si="78"/>
        <v>47805.65301</v>
      </c>
      <c r="Y99" s="112">
        <f t="shared" si="78"/>
        <v>49527.04549</v>
      </c>
      <c r="Z99" s="112">
        <f t="shared" si="78"/>
        <v>51162.36834</v>
      </c>
      <c r="AA99" s="112">
        <f t="shared" si="78"/>
        <v>52715.92505</v>
      </c>
      <c r="AB99" s="112">
        <f t="shared" si="78"/>
        <v>54191.80392</v>
      </c>
      <c r="AC99" s="112">
        <f t="shared" si="78"/>
        <v>55593.88886</v>
      </c>
      <c r="AD99" s="112">
        <f t="shared" si="78"/>
        <v>56925.86954</v>
      </c>
      <c r="AE99" s="112">
        <f t="shared" si="78"/>
        <v>58191.25119</v>
      </c>
      <c r="AF99" s="112">
        <f t="shared" si="78"/>
        <v>59393.36376</v>
      </c>
      <c r="AG99" s="112">
        <f t="shared" si="78"/>
        <v>60535.3707</v>
      </c>
      <c r="AH99" s="112">
        <f t="shared" si="78"/>
        <v>61620.27729</v>
      </c>
      <c r="AI99" s="112">
        <f t="shared" si="78"/>
        <v>62650.93855</v>
      </c>
      <c r="AJ99" s="112">
        <f t="shared" si="78"/>
        <v>63630.06675</v>
      </c>
      <c r="AK99" s="112">
        <f t="shared" si="78"/>
        <v>64560.23854</v>
      </c>
      <c r="AL99" s="112">
        <f t="shared" si="78"/>
        <v>65443.90174</v>
      </c>
      <c r="AM99" s="112">
        <f t="shared" si="78"/>
        <v>66283.38178</v>
      </c>
      <c r="AN99" s="112">
        <f t="shared" si="78"/>
        <v>67080.88782</v>
      </c>
      <c r="AO99" s="112">
        <f t="shared" si="78"/>
        <v>67838.51855</v>
      </c>
      <c r="AP99" s="112">
        <f t="shared" si="78"/>
        <v>68558.26775</v>
      </c>
      <c r="AQ99" s="112">
        <f t="shared" si="78"/>
        <v>69242.02949</v>
      </c>
      <c r="AR99" s="112">
        <f t="shared" si="78"/>
        <v>69891.60314</v>
      </c>
      <c r="AS99" s="112">
        <f t="shared" si="78"/>
        <v>70508.69811</v>
      </c>
      <c r="AT99" s="112">
        <f t="shared" si="78"/>
        <v>71094.93833</v>
      </c>
      <c r="AU99" s="112">
        <f t="shared" si="78"/>
        <v>71651.86654</v>
      </c>
      <c r="AV99" s="112">
        <f t="shared" si="78"/>
        <v>72180.94834</v>
      </c>
      <c r="AW99" s="112">
        <f t="shared" si="78"/>
        <v>72683.57605</v>
      </c>
      <c r="AX99" s="112">
        <f t="shared" si="78"/>
        <v>73161.07238</v>
      </c>
      <c r="AY99" s="112">
        <f t="shared" si="78"/>
        <v>73614.69389</v>
      </c>
      <c r="AZ99" s="112">
        <f t="shared" si="78"/>
        <v>74045.63432</v>
      </c>
      <c r="BA99" s="112">
        <f t="shared" si="78"/>
        <v>74455.02773</v>
      </c>
      <c r="BB99" s="112">
        <f t="shared" si="78"/>
        <v>74843.95147</v>
      </c>
      <c r="BC99" s="112">
        <f t="shared" si="78"/>
        <v>75213.42902</v>
      </c>
      <c r="BD99" s="112">
        <f t="shared" si="78"/>
        <v>75564.4327</v>
      </c>
      <c r="BE99" s="112">
        <f t="shared" si="78"/>
        <v>75897.88619</v>
      </c>
      <c r="BF99" s="112">
        <f t="shared" si="78"/>
        <v>76214.66701</v>
      </c>
      <c r="BG99" s="112">
        <f t="shared" si="78"/>
        <v>76515.60879</v>
      </c>
      <c r="BH99" s="112">
        <f t="shared" si="78"/>
        <v>76801.50347</v>
      </c>
      <c r="BI99" s="112">
        <f t="shared" si="78"/>
        <v>77073.10343</v>
      </c>
      <c r="BJ99" s="112">
        <f t="shared" si="78"/>
        <v>77331.12338</v>
      </c>
      <c r="BK99" s="112">
        <f t="shared" si="78"/>
        <v>77576.24234</v>
      </c>
      <c r="BL99" s="112">
        <f t="shared" si="78"/>
        <v>77809.10535</v>
      </c>
      <c r="BM99" s="112">
        <f t="shared" si="78"/>
        <v>78030.32521</v>
      </c>
      <c r="BN99" s="112">
        <f t="shared" si="78"/>
        <v>78240.48408</v>
      </c>
      <c r="BO99" s="112">
        <f t="shared" si="78"/>
        <v>78440.135</v>
      </c>
    </row>
    <row r="100" outlineLevel="1">
      <c r="A100" s="47"/>
      <c r="B100" s="74"/>
      <c r="C100" s="47"/>
      <c r="D100" s="76"/>
      <c r="E100" s="76"/>
      <c r="F100" s="76"/>
      <c r="G100" s="76"/>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row>
    <row r="101" outlineLevel="1">
      <c r="A101" s="47"/>
      <c r="B101" s="65" t="s">
        <v>64</v>
      </c>
      <c r="C101" s="102"/>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row>
    <row r="102" outlineLevel="1">
      <c r="A102" s="47"/>
      <c r="B102" s="39" t="s">
        <v>50</v>
      </c>
      <c r="C102" s="102"/>
      <c r="D102" s="103">
        <v>0.2</v>
      </c>
      <c r="E102" s="47"/>
      <c r="F102" s="47"/>
      <c r="G102" s="47"/>
      <c r="H102" s="89">
        <f>D102</f>
        <v>0.2</v>
      </c>
      <c r="I102" s="89">
        <f t="shared" ref="I102:BO102" si="79">H102</f>
        <v>0.2</v>
      </c>
      <c r="J102" s="89">
        <f t="shared" si="79"/>
        <v>0.2</v>
      </c>
      <c r="K102" s="89">
        <f t="shared" si="79"/>
        <v>0.2</v>
      </c>
      <c r="L102" s="89">
        <f t="shared" si="79"/>
        <v>0.2</v>
      </c>
      <c r="M102" s="89">
        <f t="shared" si="79"/>
        <v>0.2</v>
      </c>
      <c r="N102" s="89">
        <f t="shared" si="79"/>
        <v>0.2</v>
      </c>
      <c r="O102" s="89">
        <f t="shared" si="79"/>
        <v>0.2</v>
      </c>
      <c r="P102" s="89">
        <f t="shared" si="79"/>
        <v>0.2</v>
      </c>
      <c r="Q102" s="89">
        <f t="shared" si="79"/>
        <v>0.2</v>
      </c>
      <c r="R102" s="89">
        <f t="shared" si="79"/>
        <v>0.2</v>
      </c>
      <c r="S102" s="89">
        <f t="shared" si="79"/>
        <v>0.2</v>
      </c>
      <c r="T102" s="89">
        <f t="shared" si="79"/>
        <v>0.2</v>
      </c>
      <c r="U102" s="89">
        <f t="shared" si="79"/>
        <v>0.2</v>
      </c>
      <c r="V102" s="89">
        <f t="shared" si="79"/>
        <v>0.2</v>
      </c>
      <c r="W102" s="89">
        <f t="shared" si="79"/>
        <v>0.2</v>
      </c>
      <c r="X102" s="89">
        <f t="shared" si="79"/>
        <v>0.2</v>
      </c>
      <c r="Y102" s="89">
        <f t="shared" si="79"/>
        <v>0.2</v>
      </c>
      <c r="Z102" s="89">
        <f t="shared" si="79"/>
        <v>0.2</v>
      </c>
      <c r="AA102" s="89">
        <f t="shared" si="79"/>
        <v>0.2</v>
      </c>
      <c r="AB102" s="89">
        <f t="shared" si="79"/>
        <v>0.2</v>
      </c>
      <c r="AC102" s="89">
        <f t="shared" si="79"/>
        <v>0.2</v>
      </c>
      <c r="AD102" s="89">
        <f t="shared" si="79"/>
        <v>0.2</v>
      </c>
      <c r="AE102" s="89">
        <f t="shared" si="79"/>
        <v>0.2</v>
      </c>
      <c r="AF102" s="89">
        <f t="shared" si="79"/>
        <v>0.2</v>
      </c>
      <c r="AG102" s="89">
        <f t="shared" si="79"/>
        <v>0.2</v>
      </c>
      <c r="AH102" s="89">
        <f t="shared" si="79"/>
        <v>0.2</v>
      </c>
      <c r="AI102" s="89">
        <f t="shared" si="79"/>
        <v>0.2</v>
      </c>
      <c r="AJ102" s="89">
        <f t="shared" si="79"/>
        <v>0.2</v>
      </c>
      <c r="AK102" s="89">
        <f t="shared" si="79"/>
        <v>0.2</v>
      </c>
      <c r="AL102" s="89">
        <f t="shared" si="79"/>
        <v>0.2</v>
      </c>
      <c r="AM102" s="89">
        <f t="shared" si="79"/>
        <v>0.2</v>
      </c>
      <c r="AN102" s="89">
        <f t="shared" si="79"/>
        <v>0.2</v>
      </c>
      <c r="AO102" s="89">
        <f t="shared" si="79"/>
        <v>0.2</v>
      </c>
      <c r="AP102" s="89">
        <f t="shared" si="79"/>
        <v>0.2</v>
      </c>
      <c r="AQ102" s="89">
        <f t="shared" si="79"/>
        <v>0.2</v>
      </c>
      <c r="AR102" s="89">
        <f t="shared" si="79"/>
        <v>0.2</v>
      </c>
      <c r="AS102" s="89">
        <f t="shared" si="79"/>
        <v>0.2</v>
      </c>
      <c r="AT102" s="89">
        <f t="shared" si="79"/>
        <v>0.2</v>
      </c>
      <c r="AU102" s="89">
        <f t="shared" si="79"/>
        <v>0.2</v>
      </c>
      <c r="AV102" s="89">
        <f t="shared" si="79"/>
        <v>0.2</v>
      </c>
      <c r="AW102" s="89">
        <f t="shared" si="79"/>
        <v>0.2</v>
      </c>
      <c r="AX102" s="89">
        <f t="shared" si="79"/>
        <v>0.2</v>
      </c>
      <c r="AY102" s="89">
        <f t="shared" si="79"/>
        <v>0.2</v>
      </c>
      <c r="AZ102" s="89">
        <f t="shared" si="79"/>
        <v>0.2</v>
      </c>
      <c r="BA102" s="89">
        <f t="shared" si="79"/>
        <v>0.2</v>
      </c>
      <c r="BB102" s="89">
        <f t="shared" si="79"/>
        <v>0.2</v>
      </c>
      <c r="BC102" s="89">
        <f t="shared" si="79"/>
        <v>0.2</v>
      </c>
      <c r="BD102" s="89">
        <f t="shared" si="79"/>
        <v>0.2</v>
      </c>
      <c r="BE102" s="89">
        <f t="shared" si="79"/>
        <v>0.2</v>
      </c>
      <c r="BF102" s="89">
        <f t="shared" si="79"/>
        <v>0.2</v>
      </c>
      <c r="BG102" s="89">
        <f t="shared" si="79"/>
        <v>0.2</v>
      </c>
      <c r="BH102" s="89">
        <f t="shared" si="79"/>
        <v>0.2</v>
      </c>
      <c r="BI102" s="89">
        <f t="shared" si="79"/>
        <v>0.2</v>
      </c>
      <c r="BJ102" s="89">
        <f t="shared" si="79"/>
        <v>0.2</v>
      </c>
      <c r="BK102" s="89">
        <f t="shared" si="79"/>
        <v>0.2</v>
      </c>
      <c r="BL102" s="89">
        <f t="shared" si="79"/>
        <v>0.2</v>
      </c>
      <c r="BM102" s="89">
        <f t="shared" si="79"/>
        <v>0.2</v>
      </c>
      <c r="BN102" s="89">
        <f t="shared" si="79"/>
        <v>0.2</v>
      </c>
      <c r="BO102" s="89">
        <f t="shared" si="79"/>
        <v>0.2</v>
      </c>
    </row>
    <row r="103" outlineLevel="1">
      <c r="A103" s="47"/>
      <c r="B103" s="39" t="s">
        <v>17</v>
      </c>
      <c r="C103" s="102"/>
      <c r="D103" s="104"/>
      <c r="E103" s="47"/>
      <c r="F103" s="47"/>
      <c r="G103" s="47"/>
      <c r="H103" s="104">
        <f t="shared" ref="H103:BO103" si="80">H102*H$71</f>
        <v>53.5</v>
      </c>
      <c r="I103" s="104">
        <f t="shared" si="80"/>
        <v>54.8025</v>
      </c>
      <c r="J103" s="104">
        <f t="shared" si="80"/>
        <v>54.8220375</v>
      </c>
      <c r="K103" s="104">
        <f t="shared" si="80"/>
        <v>54.82233056</v>
      </c>
      <c r="L103" s="104">
        <f t="shared" si="80"/>
        <v>54.82233496</v>
      </c>
      <c r="M103" s="104">
        <f t="shared" si="80"/>
        <v>54.82233502</v>
      </c>
      <c r="N103" s="104">
        <f t="shared" si="80"/>
        <v>54.82233503</v>
      </c>
      <c r="O103" s="104">
        <f t="shared" si="80"/>
        <v>54.82233503</v>
      </c>
      <c r="P103" s="104">
        <f t="shared" si="80"/>
        <v>54.82233503</v>
      </c>
      <c r="Q103" s="104">
        <f t="shared" si="80"/>
        <v>54.82233503</v>
      </c>
      <c r="R103" s="104">
        <f t="shared" si="80"/>
        <v>54.82233503</v>
      </c>
      <c r="S103" s="104">
        <f t="shared" si="80"/>
        <v>54.82233503</v>
      </c>
      <c r="T103" s="104">
        <f t="shared" si="80"/>
        <v>54.82233503</v>
      </c>
      <c r="U103" s="104">
        <f t="shared" si="80"/>
        <v>54.82233503</v>
      </c>
      <c r="V103" s="104">
        <f t="shared" si="80"/>
        <v>54.82233503</v>
      </c>
      <c r="W103" s="104">
        <f t="shared" si="80"/>
        <v>54.82233503</v>
      </c>
      <c r="X103" s="104">
        <f t="shared" si="80"/>
        <v>54.82233503</v>
      </c>
      <c r="Y103" s="104">
        <f t="shared" si="80"/>
        <v>54.82233503</v>
      </c>
      <c r="Z103" s="104">
        <f t="shared" si="80"/>
        <v>54.82233503</v>
      </c>
      <c r="AA103" s="104">
        <f t="shared" si="80"/>
        <v>54.82233503</v>
      </c>
      <c r="AB103" s="104">
        <f t="shared" si="80"/>
        <v>54.82233503</v>
      </c>
      <c r="AC103" s="104">
        <f t="shared" si="80"/>
        <v>54.82233503</v>
      </c>
      <c r="AD103" s="104">
        <f t="shared" si="80"/>
        <v>54.82233503</v>
      </c>
      <c r="AE103" s="104">
        <f t="shared" si="80"/>
        <v>54.82233503</v>
      </c>
      <c r="AF103" s="104">
        <f t="shared" si="80"/>
        <v>54.82233503</v>
      </c>
      <c r="AG103" s="104">
        <f t="shared" si="80"/>
        <v>54.82233503</v>
      </c>
      <c r="AH103" s="104">
        <f t="shared" si="80"/>
        <v>54.82233503</v>
      </c>
      <c r="AI103" s="104">
        <f t="shared" si="80"/>
        <v>54.82233503</v>
      </c>
      <c r="AJ103" s="104">
        <f t="shared" si="80"/>
        <v>54.82233503</v>
      </c>
      <c r="AK103" s="104">
        <f t="shared" si="80"/>
        <v>54.82233503</v>
      </c>
      <c r="AL103" s="104">
        <f t="shared" si="80"/>
        <v>54.82233503</v>
      </c>
      <c r="AM103" s="104">
        <f t="shared" si="80"/>
        <v>54.82233503</v>
      </c>
      <c r="AN103" s="104">
        <f t="shared" si="80"/>
        <v>54.82233503</v>
      </c>
      <c r="AO103" s="104">
        <f t="shared" si="80"/>
        <v>54.82233503</v>
      </c>
      <c r="AP103" s="104">
        <f t="shared" si="80"/>
        <v>54.82233503</v>
      </c>
      <c r="AQ103" s="104">
        <f t="shared" si="80"/>
        <v>54.82233503</v>
      </c>
      <c r="AR103" s="104">
        <f t="shared" si="80"/>
        <v>54.82233503</v>
      </c>
      <c r="AS103" s="104">
        <f t="shared" si="80"/>
        <v>54.82233503</v>
      </c>
      <c r="AT103" s="104">
        <f t="shared" si="80"/>
        <v>54.82233503</v>
      </c>
      <c r="AU103" s="104">
        <f t="shared" si="80"/>
        <v>54.82233503</v>
      </c>
      <c r="AV103" s="104">
        <f t="shared" si="80"/>
        <v>54.82233503</v>
      </c>
      <c r="AW103" s="104">
        <f t="shared" si="80"/>
        <v>54.82233503</v>
      </c>
      <c r="AX103" s="104">
        <f t="shared" si="80"/>
        <v>54.82233503</v>
      </c>
      <c r="AY103" s="104">
        <f t="shared" si="80"/>
        <v>54.82233503</v>
      </c>
      <c r="AZ103" s="104">
        <f t="shared" si="80"/>
        <v>54.82233503</v>
      </c>
      <c r="BA103" s="104">
        <f t="shared" si="80"/>
        <v>54.82233503</v>
      </c>
      <c r="BB103" s="104">
        <f t="shared" si="80"/>
        <v>54.82233503</v>
      </c>
      <c r="BC103" s="104">
        <f t="shared" si="80"/>
        <v>54.82233503</v>
      </c>
      <c r="BD103" s="104">
        <f t="shared" si="80"/>
        <v>54.82233503</v>
      </c>
      <c r="BE103" s="104">
        <f t="shared" si="80"/>
        <v>54.82233503</v>
      </c>
      <c r="BF103" s="104">
        <f t="shared" si="80"/>
        <v>54.82233503</v>
      </c>
      <c r="BG103" s="104">
        <f t="shared" si="80"/>
        <v>54.82233503</v>
      </c>
      <c r="BH103" s="104">
        <f t="shared" si="80"/>
        <v>54.82233503</v>
      </c>
      <c r="BI103" s="104">
        <f t="shared" si="80"/>
        <v>54.82233503</v>
      </c>
      <c r="BJ103" s="104">
        <f t="shared" si="80"/>
        <v>54.82233503</v>
      </c>
      <c r="BK103" s="104">
        <f t="shared" si="80"/>
        <v>54.82233503</v>
      </c>
      <c r="BL103" s="104">
        <f t="shared" si="80"/>
        <v>54.82233503</v>
      </c>
      <c r="BM103" s="104">
        <f t="shared" si="80"/>
        <v>54.82233503</v>
      </c>
      <c r="BN103" s="104">
        <f t="shared" si="80"/>
        <v>54.82233503</v>
      </c>
      <c r="BO103" s="104">
        <f t="shared" si="80"/>
        <v>54.82233503</v>
      </c>
    </row>
    <row r="104" outlineLevel="1">
      <c r="A104" s="47"/>
      <c r="B104" s="39" t="s">
        <v>51</v>
      </c>
      <c r="C104" s="102"/>
      <c r="D104" s="103">
        <v>0.05</v>
      </c>
      <c r="E104" s="47"/>
      <c r="F104" s="47"/>
      <c r="G104" s="47"/>
      <c r="H104" s="89">
        <f>D104</f>
        <v>0.05</v>
      </c>
      <c r="I104" s="89">
        <f t="shared" ref="I104:BO104" si="81">H104</f>
        <v>0.05</v>
      </c>
      <c r="J104" s="89">
        <f t="shared" si="81"/>
        <v>0.05</v>
      </c>
      <c r="K104" s="89">
        <f t="shared" si="81"/>
        <v>0.05</v>
      </c>
      <c r="L104" s="89">
        <f t="shared" si="81"/>
        <v>0.05</v>
      </c>
      <c r="M104" s="89">
        <f t="shared" si="81"/>
        <v>0.05</v>
      </c>
      <c r="N104" s="89">
        <f t="shared" si="81"/>
        <v>0.05</v>
      </c>
      <c r="O104" s="89">
        <f t="shared" si="81"/>
        <v>0.05</v>
      </c>
      <c r="P104" s="89">
        <f t="shared" si="81"/>
        <v>0.05</v>
      </c>
      <c r="Q104" s="89">
        <f t="shared" si="81"/>
        <v>0.05</v>
      </c>
      <c r="R104" s="89">
        <f t="shared" si="81"/>
        <v>0.05</v>
      </c>
      <c r="S104" s="89">
        <f t="shared" si="81"/>
        <v>0.05</v>
      </c>
      <c r="T104" s="89">
        <f t="shared" si="81"/>
        <v>0.05</v>
      </c>
      <c r="U104" s="89">
        <f t="shared" si="81"/>
        <v>0.05</v>
      </c>
      <c r="V104" s="89">
        <f t="shared" si="81"/>
        <v>0.05</v>
      </c>
      <c r="W104" s="89">
        <f t="shared" si="81"/>
        <v>0.05</v>
      </c>
      <c r="X104" s="89">
        <f t="shared" si="81"/>
        <v>0.05</v>
      </c>
      <c r="Y104" s="89">
        <f t="shared" si="81"/>
        <v>0.05</v>
      </c>
      <c r="Z104" s="89">
        <f t="shared" si="81"/>
        <v>0.05</v>
      </c>
      <c r="AA104" s="89">
        <f t="shared" si="81"/>
        <v>0.05</v>
      </c>
      <c r="AB104" s="89">
        <f t="shared" si="81"/>
        <v>0.05</v>
      </c>
      <c r="AC104" s="89">
        <f t="shared" si="81"/>
        <v>0.05</v>
      </c>
      <c r="AD104" s="89">
        <f t="shared" si="81"/>
        <v>0.05</v>
      </c>
      <c r="AE104" s="89">
        <f t="shared" si="81"/>
        <v>0.05</v>
      </c>
      <c r="AF104" s="89">
        <f t="shared" si="81"/>
        <v>0.05</v>
      </c>
      <c r="AG104" s="89">
        <f t="shared" si="81"/>
        <v>0.05</v>
      </c>
      <c r="AH104" s="89">
        <f t="shared" si="81"/>
        <v>0.05</v>
      </c>
      <c r="AI104" s="89">
        <f t="shared" si="81"/>
        <v>0.05</v>
      </c>
      <c r="AJ104" s="89">
        <f t="shared" si="81"/>
        <v>0.05</v>
      </c>
      <c r="AK104" s="89">
        <f t="shared" si="81"/>
        <v>0.05</v>
      </c>
      <c r="AL104" s="89">
        <f t="shared" si="81"/>
        <v>0.05</v>
      </c>
      <c r="AM104" s="89">
        <f t="shared" si="81"/>
        <v>0.05</v>
      </c>
      <c r="AN104" s="89">
        <f t="shared" si="81"/>
        <v>0.05</v>
      </c>
      <c r="AO104" s="89">
        <f t="shared" si="81"/>
        <v>0.05</v>
      </c>
      <c r="AP104" s="89">
        <f t="shared" si="81"/>
        <v>0.05</v>
      </c>
      <c r="AQ104" s="89">
        <f t="shared" si="81"/>
        <v>0.05</v>
      </c>
      <c r="AR104" s="89">
        <f t="shared" si="81"/>
        <v>0.05</v>
      </c>
      <c r="AS104" s="89">
        <f t="shared" si="81"/>
        <v>0.05</v>
      </c>
      <c r="AT104" s="89">
        <f t="shared" si="81"/>
        <v>0.05</v>
      </c>
      <c r="AU104" s="89">
        <f t="shared" si="81"/>
        <v>0.05</v>
      </c>
      <c r="AV104" s="89">
        <f t="shared" si="81"/>
        <v>0.05</v>
      </c>
      <c r="AW104" s="89">
        <f t="shared" si="81"/>
        <v>0.05</v>
      </c>
      <c r="AX104" s="89">
        <f t="shared" si="81"/>
        <v>0.05</v>
      </c>
      <c r="AY104" s="89">
        <f t="shared" si="81"/>
        <v>0.05</v>
      </c>
      <c r="AZ104" s="89">
        <f t="shared" si="81"/>
        <v>0.05</v>
      </c>
      <c r="BA104" s="89">
        <f t="shared" si="81"/>
        <v>0.05</v>
      </c>
      <c r="BB104" s="89">
        <f t="shared" si="81"/>
        <v>0.05</v>
      </c>
      <c r="BC104" s="89">
        <f t="shared" si="81"/>
        <v>0.05</v>
      </c>
      <c r="BD104" s="89">
        <f t="shared" si="81"/>
        <v>0.05</v>
      </c>
      <c r="BE104" s="89">
        <f t="shared" si="81"/>
        <v>0.05</v>
      </c>
      <c r="BF104" s="89">
        <f t="shared" si="81"/>
        <v>0.05</v>
      </c>
      <c r="BG104" s="89">
        <f t="shared" si="81"/>
        <v>0.05</v>
      </c>
      <c r="BH104" s="89">
        <f t="shared" si="81"/>
        <v>0.05</v>
      </c>
      <c r="BI104" s="89">
        <f t="shared" si="81"/>
        <v>0.05</v>
      </c>
      <c r="BJ104" s="89">
        <f t="shared" si="81"/>
        <v>0.05</v>
      </c>
      <c r="BK104" s="89">
        <f t="shared" si="81"/>
        <v>0.05</v>
      </c>
      <c r="BL104" s="89">
        <f t="shared" si="81"/>
        <v>0.05</v>
      </c>
      <c r="BM104" s="89">
        <f t="shared" si="81"/>
        <v>0.05</v>
      </c>
      <c r="BN104" s="89">
        <f t="shared" si="81"/>
        <v>0.05</v>
      </c>
      <c r="BO104" s="89">
        <f t="shared" si="81"/>
        <v>0.05</v>
      </c>
    </row>
    <row r="105" outlineLevel="1">
      <c r="A105" s="47"/>
      <c r="B105" s="39" t="s">
        <v>52</v>
      </c>
      <c r="C105" s="102"/>
      <c r="D105" s="104"/>
      <c r="E105" s="47"/>
      <c r="F105" s="47"/>
      <c r="G105" s="47"/>
      <c r="H105" s="104">
        <f t="shared" ref="H105:BO105" si="82">H108*H104</f>
        <v>0</v>
      </c>
      <c r="I105" s="104">
        <f t="shared" si="82"/>
        <v>2.675</v>
      </c>
      <c r="J105" s="104">
        <f t="shared" si="82"/>
        <v>5.281375</v>
      </c>
      <c r="K105" s="104">
        <f t="shared" si="82"/>
        <v>7.758408125</v>
      </c>
      <c r="L105" s="104">
        <f t="shared" si="82"/>
        <v>10.11160425</v>
      </c>
      <c r="M105" s="104">
        <f t="shared" si="82"/>
        <v>12.34714078</v>
      </c>
      <c r="N105" s="104">
        <f t="shared" si="82"/>
        <v>14.47090049</v>
      </c>
      <c r="O105" s="104">
        <f t="shared" si="82"/>
        <v>16.48847222</v>
      </c>
      <c r="P105" s="104">
        <f t="shared" si="82"/>
        <v>18.40516536</v>
      </c>
      <c r="Q105" s="104">
        <f t="shared" si="82"/>
        <v>20.22602384</v>
      </c>
      <c r="R105" s="104">
        <f t="shared" si="82"/>
        <v>21.9558394</v>
      </c>
      <c r="S105" s="104">
        <f t="shared" si="82"/>
        <v>23.59916418</v>
      </c>
      <c r="T105" s="104">
        <f t="shared" si="82"/>
        <v>25.16032273</v>
      </c>
      <c r="U105" s="104">
        <f t="shared" si="82"/>
        <v>26.64342334</v>
      </c>
      <c r="V105" s="104">
        <f t="shared" si="82"/>
        <v>28.05236893</v>
      </c>
      <c r="W105" s="104">
        <f t="shared" si="82"/>
        <v>29.39086723</v>
      </c>
      <c r="X105" s="104">
        <f t="shared" si="82"/>
        <v>30.66244062</v>
      </c>
      <c r="Y105" s="104">
        <f t="shared" si="82"/>
        <v>31.87043534</v>
      </c>
      <c r="Z105" s="104">
        <f t="shared" si="82"/>
        <v>33.01803032</v>
      </c>
      <c r="AA105" s="104">
        <f t="shared" si="82"/>
        <v>34.10824556</v>
      </c>
      <c r="AB105" s="104">
        <f t="shared" si="82"/>
        <v>35.14395003</v>
      </c>
      <c r="AC105" s="104">
        <f t="shared" si="82"/>
        <v>36.12786928</v>
      </c>
      <c r="AD105" s="104">
        <f t="shared" si="82"/>
        <v>37.06259257</v>
      </c>
      <c r="AE105" s="104">
        <f t="shared" si="82"/>
        <v>37.95057969</v>
      </c>
      <c r="AF105" s="104">
        <f t="shared" si="82"/>
        <v>38.79416746</v>
      </c>
      <c r="AG105" s="104">
        <f t="shared" si="82"/>
        <v>39.59557584</v>
      </c>
      <c r="AH105" s="104">
        <f t="shared" si="82"/>
        <v>40.3569138</v>
      </c>
      <c r="AI105" s="104">
        <f t="shared" si="82"/>
        <v>41.08018486</v>
      </c>
      <c r="AJ105" s="104">
        <f t="shared" si="82"/>
        <v>41.76729237</v>
      </c>
      <c r="AK105" s="104">
        <f t="shared" si="82"/>
        <v>42.4200445</v>
      </c>
      <c r="AL105" s="104">
        <f t="shared" si="82"/>
        <v>43.04015903</v>
      </c>
      <c r="AM105" s="104">
        <f t="shared" si="82"/>
        <v>43.62926783</v>
      </c>
      <c r="AN105" s="104">
        <f t="shared" si="82"/>
        <v>44.18892119</v>
      </c>
      <c r="AO105" s="104">
        <f t="shared" si="82"/>
        <v>44.72059188</v>
      </c>
      <c r="AP105" s="104">
        <f t="shared" si="82"/>
        <v>45.22567904</v>
      </c>
      <c r="AQ105" s="104">
        <f t="shared" si="82"/>
        <v>45.70551183</v>
      </c>
      <c r="AR105" s="104">
        <f t="shared" si="82"/>
        <v>46.16135299</v>
      </c>
      <c r="AS105" s="104">
        <f t="shared" si="82"/>
        <v>46.5944021</v>
      </c>
      <c r="AT105" s="104">
        <f t="shared" si="82"/>
        <v>47.00579874</v>
      </c>
      <c r="AU105" s="104">
        <f t="shared" si="82"/>
        <v>47.39662556</v>
      </c>
      <c r="AV105" s="104">
        <f t="shared" si="82"/>
        <v>47.76791103</v>
      </c>
      <c r="AW105" s="104">
        <f t="shared" si="82"/>
        <v>48.12063223</v>
      </c>
      <c r="AX105" s="104">
        <f t="shared" si="82"/>
        <v>48.45571737</v>
      </c>
      <c r="AY105" s="104">
        <f t="shared" si="82"/>
        <v>48.77404825</v>
      </c>
      <c r="AZ105" s="104">
        <f t="shared" si="82"/>
        <v>49.07646259</v>
      </c>
      <c r="BA105" s="104">
        <f t="shared" si="82"/>
        <v>49.36375621</v>
      </c>
      <c r="BB105" s="104">
        <f t="shared" si="82"/>
        <v>49.63668515</v>
      </c>
      <c r="BC105" s="104">
        <f t="shared" si="82"/>
        <v>49.89596765</v>
      </c>
      <c r="BD105" s="104">
        <f t="shared" si="82"/>
        <v>50.14228602</v>
      </c>
      <c r="BE105" s="104">
        <f t="shared" si="82"/>
        <v>50.37628847</v>
      </c>
      <c r="BF105" s="104">
        <f t="shared" si="82"/>
        <v>50.59859079</v>
      </c>
      <c r="BG105" s="104">
        <f t="shared" si="82"/>
        <v>50.80977801</v>
      </c>
      <c r="BH105" s="104">
        <f t="shared" si="82"/>
        <v>51.01040586</v>
      </c>
      <c r="BI105" s="104">
        <f t="shared" si="82"/>
        <v>51.20100232</v>
      </c>
      <c r="BJ105" s="104">
        <f t="shared" si="82"/>
        <v>51.38206895</v>
      </c>
      <c r="BK105" s="104">
        <f t="shared" si="82"/>
        <v>51.55408225</v>
      </c>
      <c r="BL105" s="104">
        <f t="shared" si="82"/>
        <v>51.71749489</v>
      </c>
      <c r="BM105" s="104">
        <f t="shared" si="82"/>
        <v>51.8727369</v>
      </c>
      <c r="BN105" s="104">
        <f t="shared" si="82"/>
        <v>52.02021681</v>
      </c>
      <c r="BO105" s="104">
        <f t="shared" si="82"/>
        <v>52.16032272</v>
      </c>
    </row>
    <row r="106" outlineLevel="1">
      <c r="A106" s="47"/>
      <c r="B106" s="39" t="s">
        <v>53</v>
      </c>
      <c r="C106" s="102"/>
      <c r="D106" s="47"/>
      <c r="E106" s="47"/>
      <c r="F106" s="47"/>
      <c r="G106" s="47"/>
      <c r="H106" s="104">
        <f t="shared" ref="H106:BO106" si="83">H108-H105</f>
        <v>0</v>
      </c>
      <c r="I106" s="104">
        <f t="shared" si="83"/>
        <v>50.825</v>
      </c>
      <c r="J106" s="104">
        <f t="shared" si="83"/>
        <v>100.346125</v>
      </c>
      <c r="K106" s="104">
        <f t="shared" si="83"/>
        <v>147.4097544</v>
      </c>
      <c r="L106" s="104">
        <f t="shared" si="83"/>
        <v>192.1204807</v>
      </c>
      <c r="M106" s="104">
        <f t="shared" si="83"/>
        <v>234.5956749</v>
      </c>
      <c r="N106" s="104">
        <f t="shared" si="83"/>
        <v>274.9471094</v>
      </c>
      <c r="O106" s="104">
        <f t="shared" si="83"/>
        <v>313.2809722</v>
      </c>
      <c r="P106" s="104">
        <f t="shared" si="83"/>
        <v>349.6981419</v>
      </c>
      <c r="Q106" s="104">
        <f t="shared" si="83"/>
        <v>384.294453</v>
      </c>
      <c r="R106" s="104">
        <f t="shared" si="83"/>
        <v>417.1609487</v>
      </c>
      <c r="S106" s="104">
        <f t="shared" si="83"/>
        <v>448.3841195</v>
      </c>
      <c r="T106" s="104">
        <f t="shared" si="83"/>
        <v>478.0461318</v>
      </c>
      <c r="U106" s="104">
        <f t="shared" si="83"/>
        <v>506.2250435</v>
      </c>
      <c r="V106" s="104">
        <f t="shared" si="83"/>
        <v>532.9950096</v>
      </c>
      <c r="W106" s="104">
        <f t="shared" si="83"/>
        <v>558.4264774</v>
      </c>
      <c r="X106" s="104">
        <f t="shared" si="83"/>
        <v>582.5863718</v>
      </c>
      <c r="Y106" s="104">
        <f t="shared" si="83"/>
        <v>605.5382715</v>
      </c>
      <c r="Z106" s="104">
        <f t="shared" si="83"/>
        <v>627.3425762</v>
      </c>
      <c r="AA106" s="104">
        <f t="shared" si="83"/>
        <v>648.0566656</v>
      </c>
      <c r="AB106" s="104">
        <f t="shared" si="83"/>
        <v>667.7350506</v>
      </c>
      <c r="AC106" s="104">
        <f t="shared" si="83"/>
        <v>686.4295164</v>
      </c>
      <c r="AD106" s="104">
        <f t="shared" si="83"/>
        <v>704.1892588</v>
      </c>
      <c r="AE106" s="104">
        <f t="shared" si="83"/>
        <v>721.0610142</v>
      </c>
      <c r="AF106" s="104">
        <f t="shared" si="83"/>
        <v>737.0891817</v>
      </c>
      <c r="AG106" s="104">
        <f t="shared" si="83"/>
        <v>752.3159409</v>
      </c>
      <c r="AH106" s="104">
        <f t="shared" si="83"/>
        <v>766.7813621</v>
      </c>
      <c r="AI106" s="104">
        <f t="shared" si="83"/>
        <v>780.5235123</v>
      </c>
      <c r="AJ106" s="104">
        <f t="shared" si="83"/>
        <v>793.578555</v>
      </c>
      <c r="AK106" s="104">
        <f t="shared" si="83"/>
        <v>805.9808455</v>
      </c>
      <c r="AL106" s="104">
        <f t="shared" si="83"/>
        <v>817.7630215</v>
      </c>
      <c r="AM106" s="104">
        <f t="shared" si="83"/>
        <v>828.9560887</v>
      </c>
      <c r="AN106" s="104">
        <f t="shared" si="83"/>
        <v>839.5895025</v>
      </c>
      <c r="AO106" s="104">
        <f t="shared" si="83"/>
        <v>849.6912457</v>
      </c>
      <c r="AP106" s="104">
        <f t="shared" si="83"/>
        <v>859.2879017</v>
      </c>
      <c r="AQ106" s="104">
        <f t="shared" si="83"/>
        <v>868.4047249</v>
      </c>
      <c r="AR106" s="104">
        <f t="shared" si="83"/>
        <v>877.0657069</v>
      </c>
      <c r="AS106" s="104">
        <f t="shared" si="83"/>
        <v>885.2936398</v>
      </c>
      <c r="AT106" s="104">
        <f t="shared" si="83"/>
        <v>893.1101761</v>
      </c>
      <c r="AU106" s="104">
        <f t="shared" si="83"/>
        <v>900.5358856</v>
      </c>
      <c r="AV106" s="104">
        <f t="shared" si="83"/>
        <v>907.5903096</v>
      </c>
      <c r="AW106" s="104">
        <f t="shared" si="83"/>
        <v>914.2920124</v>
      </c>
      <c r="AX106" s="104">
        <f t="shared" si="83"/>
        <v>920.65863</v>
      </c>
      <c r="AY106" s="104">
        <f t="shared" si="83"/>
        <v>926.7069168</v>
      </c>
      <c r="AZ106" s="104">
        <f t="shared" si="83"/>
        <v>932.4527892</v>
      </c>
      <c r="BA106" s="104">
        <f t="shared" si="83"/>
        <v>937.911368</v>
      </c>
      <c r="BB106" s="104">
        <f t="shared" si="83"/>
        <v>943.0970179</v>
      </c>
      <c r="BC106" s="104">
        <f t="shared" si="83"/>
        <v>948.0233853</v>
      </c>
      <c r="BD106" s="104">
        <f t="shared" si="83"/>
        <v>952.7034343</v>
      </c>
      <c r="BE106" s="104">
        <f t="shared" si="83"/>
        <v>957.1494809</v>
      </c>
      <c r="BF106" s="104">
        <f t="shared" si="83"/>
        <v>961.3732251</v>
      </c>
      <c r="BG106" s="104">
        <f t="shared" si="83"/>
        <v>965.3857821</v>
      </c>
      <c r="BH106" s="104">
        <f t="shared" si="83"/>
        <v>969.1977113</v>
      </c>
      <c r="BI106" s="104">
        <f t="shared" si="83"/>
        <v>972.819044</v>
      </c>
      <c r="BJ106" s="104">
        <f t="shared" si="83"/>
        <v>976.2593101</v>
      </c>
      <c r="BK106" s="104">
        <f t="shared" si="83"/>
        <v>979.5275628</v>
      </c>
      <c r="BL106" s="104">
        <f t="shared" si="83"/>
        <v>982.632403</v>
      </c>
      <c r="BM106" s="104">
        <f t="shared" si="83"/>
        <v>985.5820011</v>
      </c>
      <c r="BN106" s="104">
        <f t="shared" si="83"/>
        <v>988.3841193</v>
      </c>
      <c r="BO106" s="104">
        <f t="shared" si="83"/>
        <v>991.0461316</v>
      </c>
    </row>
    <row r="107" outlineLevel="1">
      <c r="A107" s="47"/>
      <c r="B107" s="39" t="s">
        <v>54</v>
      </c>
      <c r="C107" s="102"/>
      <c r="D107" s="47"/>
      <c r="E107" s="47"/>
      <c r="F107" s="47"/>
      <c r="G107" s="47"/>
      <c r="H107" s="104">
        <f t="shared" ref="H107:BO107" si="84">H103+H106</f>
        <v>53.5</v>
      </c>
      <c r="I107" s="104">
        <f t="shared" si="84"/>
        <v>105.6275</v>
      </c>
      <c r="J107" s="104">
        <f t="shared" si="84"/>
        <v>155.1681625</v>
      </c>
      <c r="K107" s="104">
        <f t="shared" si="84"/>
        <v>202.2320849</v>
      </c>
      <c r="L107" s="104">
        <f t="shared" si="84"/>
        <v>246.9428156</v>
      </c>
      <c r="M107" s="104">
        <f t="shared" si="84"/>
        <v>289.4180099</v>
      </c>
      <c r="N107" s="104">
        <f t="shared" si="84"/>
        <v>329.7694444</v>
      </c>
      <c r="O107" s="104">
        <f t="shared" si="84"/>
        <v>368.1033072</v>
      </c>
      <c r="P107" s="104">
        <f t="shared" si="84"/>
        <v>404.5204769</v>
      </c>
      <c r="Q107" s="104">
        <f t="shared" si="84"/>
        <v>439.1167881</v>
      </c>
      <c r="R107" s="104">
        <f t="shared" si="84"/>
        <v>471.9832837</v>
      </c>
      <c r="S107" s="104">
        <f t="shared" si="84"/>
        <v>503.2064545</v>
      </c>
      <c r="T107" s="104">
        <f t="shared" si="84"/>
        <v>532.8684668</v>
      </c>
      <c r="U107" s="104">
        <f t="shared" si="84"/>
        <v>561.0473785</v>
      </c>
      <c r="V107" s="104">
        <f t="shared" si="84"/>
        <v>587.8173446</v>
      </c>
      <c r="W107" s="104">
        <f t="shared" si="84"/>
        <v>613.2488124</v>
      </c>
      <c r="X107" s="104">
        <f t="shared" si="84"/>
        <v>637.4087068</v>
      </c>
      <c r="Y107" s="104">
        <f t="shared" si="84"/>
        <v>660.3606065</v>
      </c>
      <c r="Z107" s="104">
        <f t="shared" si="84"/>
        <v>682.1649112</v>
      </c>
      <c r="AA107" s="104">
        <f t="shared" si="84"/>
        <v>702.8790007</v>
      </c>
      <c r="AB107" s="104">
        <f t="shared" si="84"/>
        <v>722.5573857</v>
      </c>
      <c r="AC107" s="104">
        <f t="shared" si="84"/>
        <v>741.2518514</v>
      </c>
      <c r="AD107" s="104">
        <f t="shared" si="84"/>
        <v>759.0115939</v>
      </c>
      <c r="AE107" s="104">
        <f t="shared" si="84"/>
        <v>775.8833492</v>
      </c>
      <c r="AF107" s="104">
        <f t="shared" si="84"/>
        <v>791.9115168</v>
      </c>
      <c r="AG107" s="104">
        <f t="shared" si="84"/>
        <v>807.1382759</v>
      </c>
      <c r="AH107" s="104">
        <f t="shared" si="84"/>
        <v>821.6036972</v>
      </c>
      <c r="AI107" s="104">
        <f t="shared" si="84"/>
        <v>835.3458473</v>
      </c>
      <c r="AJ107" s="104">
        <f t="shared" si="84"/>
        <v>848.40089</v>
      </c>
      <c r="AK107" s="104">
        <f t="shared" si="84"/>
        <v>860.8031805</v>
      </c>
      <c r="AL107" s="104">
        <f t="shared" si="84"/>
        <v>872.5853565</v>
      </c>
      <c r="AM107" s="104">
        <f t="shared" si="84"/>
        <v>883.7784237</v>
      </c>
      <c r="AN107" s="104">
        <f t="shared" si="84"/>
        <v>894.4118376</v>
      </c>
      <c r="AO107" s="104">
        <f t="shared" si="84"/>
        <v>904.5135807</v>
      </c>
      <c r="AP107" s="104">
        <f t="shared" si="84"/>
        <v>914.1102367</v>
      </c>
      <c r="AQ107" s="104">
        <f t="shared" si="84"/>
        <v>923.2270599</v>
      </c>
      <c r="AR107" s="104">
        <f t="shared" si="84"/>
        <v>931.8880419</v>
      </c>
      <c r="AS107" s="104">
        <f t="shared" si="84"/>
        <v>940.1159748</v>
      </c>
      <c r="AT107" s="104">
        <f t="shared" si="84"/>
        <v>947.9325111</v>
      </c>
      <c r="AU107" s="104">
        <f t="shared" si="84"/>
        <v>955.3582206</v>
      </c>
      <c r="AV107" s="104">
        <f t="shared" si="84"/>
        <v>962.4126446</v>
      </c>
      <c r="AW107" s="104">
        <f t="shared" si="84"/>
        <v>969.1143474</v>
      </c>
      <c r="AX107" s="104">
        <f t="shared" si="84"/>
        <v>975.480965</v>
      </c>
      <c r="AY107" s="104">
        <f t="shared" si="84"/>
        <v>981.5292518</v>
      </c>
      <c r="AZ107" s="104">
        <f t="shared" si="84"/>
        <v>987.2751243</v>
      </c>
      <c r="BA107" s="104">
        <f t="shared" si="84"/>
        <v>992.7337031</v>
      </c>
      <c r="BB107" s="104">
        <f t="shared" si="84"/>
        <v>997.9193529</v>
      </c>
      <c r="BC107" s="104">
        <f t="shared" si="84"/>
        <v>1002.84572</v>
      </c>
      <c r="BD107" s="104">
        <f t="shared" si="84"/>
        <v>1007.525769</v>
      </c>
      <c r="BE107" s="104">
        <f t="shared" si="84"/>
        <v>1011.971816</v>
      </c>
      <c r="BF107" s="104">
        <f t="shared" si="84"/>
        <v>1016.19556</v>
      </c>
      <c r="BG107" s="104">
        <f t="shared" si="84"/>
        <v>1020.208117</v>
      </c>
      <c r="BH107" s="104">
        <f t="shared" si="84"/>
        <v>1024.020046</v>
      </c>
      <c r="BI107" s="104">
        <f t="shared" si="84"/>
        <v>1027.641379</v>
      </c>
      <c r="BJ107" s="104">
        <f t="shared" si="84"/>
        <v>1031.081645</v>
      </c>
      <c r="BK107" s="104">
        <f t="shared" si="84"/>
        <v>1034.349898</v>
      </c>
      <c r="BL107" s="104">
        <f t="shared" si="84"/>
        <v>1037.454738</v>
      </c>
      <c r="BM107" s="104">
        <f t="shared" si="84"/>
        <v>1040.404336</v>
      </c>
      <c r="BN107" s="104">
        <f t="shared" si="84"/>
        <v>1043.206454</v>
      </c>
      <c r="BO107" s="104">
        <f t="shared" si="84"/>
        <v>1045.868467</v>
      </c>
    </row>
    <row r="108" outlineLevel="1">
      <c r="A108" s="47"/>
      <c r="B108" s="39" t="s">
        <v>55</v>
      </c>
      <c r="C108" s="47"/>
      <c r="D108" s="105"/>
      <c r="E108" s="47"/>
      <c r="F108" s="47"/>
      <c r="G108" s="47"/>
      <c r="H108" s="105" t="str">
        <f t="shared" ref="H108:BO108" si="85">G107</f>
        <v/>
      </c>
      <c r="I108" s="105">
        <f t="shared" si="85"/>
        <v>53.5</v>
      </c>
      <c r="J108" s="105">
        <f t="shared" si="85"/>
        <v>105.6275</v>
      </c>
      <c r="K108" s="105">
        <f t="shared" si="85"/>
        <v>155.1681625</v>
      </c>
      <c r="L108" s="105">
        <f t="shared" si="85"/>
        <v>202.2320849</v>
      </c>
      <c r="M108" s="105">
        <f t="shared" si="85"/>
        <v>246.9428156</v>
      </c>
      <c r="N108" s="105">
        <f t="shared" si="85"/>
        <v>289.4180099</v>
      </c>
      <c r="O108" s="105">
        <f t="shared" si="85"/>
        <v>329.7694444</v>
      </c>
      <c r="P108" s="105">
        <f t="shared" si="85"/>
        <v>368.1033072</v>
      </c>
      <c r="Q108" s="105">
        <f t="shared" si="85"/>
        <v>404.5204769</v>
      </c>
      <c r="R108" s="105">
        <f t="shared" si="85"/>
        <v>439.1167881</v>
      </c>
      <c r="S108" s="105">
        <f t="shared" si="85"/>
        <v>471.9832837</v>
      </c>
      <c r="T108" s="105">
        <f t="shared" si="85"/>
        <v>503.2064545</v>
      </c>
      <c r="U108" s="105">
        <f t="shared" si="85"/>
        <v>532.8684668</v>
      </c>
      <c r="V108" s="105">
        <f t="shared" si="85"/>
        <v>561.0473785</v>
      </c>
      <c r="W108" s="105">
        <f t="shared" si="85"/>
        <v>587.8173446</v>
      </c>
      <c r="X108" s="105">
        <f t="shared" si="85"/>
        <v>613.2488124</v>
      </c>
      <c r="Y108" s="105">
        <f t="shared" si="85"/>
        <v>637.4087068</v>
      </c>
      <c r="Z108" s="105">
        <f t="shared" si="85"/>
        <v>660.3606065</v>
      </c>
      <c r="AA108" s="105">
        <f t="shared" si="85"/>
        <v>682.1649112</v>
      </c>
      <c r="AB108" s="105">
        <f t="shared" si="85"/>
        <v>702.8790007</v>
      </c>
      <c r="AC108" s="105">
        <f t="shared" si="85"/>
        <v>722.5573857</v>
      </c>
      <c r="AD108" s="105">
        <f t="shared" si="85"/>
        <v>741.2518514</v>
      </c>
      <c r="AE108" s="105">
        <f t="shared" si="85"/>
        <v>759.0115939</v>
      </c>
      <c r="AF108" s="105">
        <f t="shared" si="85"/>
        <v>775.8833492</v>
      </c>
      <c r="AG108" s="105">
        <f t="shared" si="85"/>
        <v>791.9115168</v>
      </c>
      <c r="AH108" s="105">
        <f t="shared" si="85"/>
        <v>807.1382759</v>
      </c>
      <c r="AI108" s="105">
        <f t="shared" si="85"/>
        <v>821.6036972</v>
      </c>
      <c r="AJ108" s="105">
        <f t="shared" si="85"/>
        <v>835.3458473</v>
      </c>
      <c r="AK108" s="105">
        <f t="shared" si="85"/>
        <v>848.40089</v>
      </c>
      <c r="AL108" s="105">
        <f t="shared" si="85"/>
        <v>860.8031805</v>
      </c>
      <c r="AM108" s="105">
        <f t="shared" si="85"/>
        <v>872.5853565</v>
      </c>
      <c r="AN108" s="105">
        <f t="shared" si="85"/>
        <v>883.7784237</v>
      </c>
      <c r="AO108" s="105">
        <f t="shared" si="85"/>
        <v>894.4118376</v>
      </c>
      <c r="AP108" s="105">
        <f t="shared" si="85"/>
        <v>904.5135807</v>
      </c>
      <c r="AQ108" s="105">
        <f t="shared" si="85"/>
        <v>914.1102367</v>
      </c>
      <c r="AR108" s="105">
        <f t="shared" si="85"/>
        <v>923.2270599</v>
      </c>
      <c r="AS108" s="105">
        <f t="shared" si="85"/>
        <v>931.8880419</v>
      </c>
      <c r="AT108" s="105">
        <f t="shared" si="85"/>
        <v>940.1159748</v>
      </c>
      <c r="AU108" s="105">
        <f t="shared" si="85"/>
        <v>947.9325111</v>
      </c>
      <c r="AV108" s="105">
        <f t="shared" si="85"/>
        <v>955.3582206</v>
      </c>
      <c r="AW108" s="105">
        <f t="shared" si="85"/>
        <v>962.4126446</v>
      </c>
      <c r="AX108" s="105">
        <f t="shared" si="85"/>
        <v>969.1143474</v>
      </c>
      <c r="AY108" s="105">
        <f t="shared" si="85"/>
        <v>975.480965</v>
      </c>
      <c r="AZ108" s="105">
        <f t="shared" si="85"/>
        <v>981.5292518</v>
      </c>
      <c r="BA108" s="105">
        <f t="shared" si="85"/>
        <v>987.2751243</v>
      </c>
      <c r="BB108" s="105">
        <f t="shared" si="85"/>
        <v>992.7337031</v>
      </c>
      <c r="BC108" s="105">
        <f t="shared" si="85"/>
        <v>997.9193529</v>
      </c>
      <c r="BD108" s="105">
        <f t="shared" si="85"/>
        <v>1002.84572</v>
      </c>
      <c r="BE108" s="105">
        <f t="shared" si="85"/>
        <v>1007.525769</v>
      </c>
      <c r="BF108" s="105">
        <f t="shared" si="85"/>
        <v>1011.971816</v>
      </c>
      <c r="BG108" s="105">
        <f t="shared" si="85"/>
        <v>1016.19556</v>
      </c>
      <c r="BH108" s="105">
        <f t="shared" si="85"/>
        <v>1020.208117</v>
      </c>
      <c r="BI108" s="105">
        <f t="shared" si="85"/>
        <v>1024.020046</v>
      </c>
      <c r="BJ108" s="105">
        <f t="shared" si="85"/>
        <v>1027.641379</v>
      </c>
      <c r="BK108" s="105">
        <f t="shared" si="85"/>
        <v>1031.081645</v>
      </c>
      <c r="BL108" s="105">
        <f t="shared" si="85"/>
        <v>1034.349898</v>
      </c>
      <c r="BM108" s="105">
        <f t="shared" si="85"/>
        <v>1037.454738</v>
      </c>
      <c r="BN108" s="105">
        <f t="shared" si="85"/>
        <v>1040.404336</v>
      </c>
      <c r="BO108" s="105">
        <f t="shared" si="85"/>
        <v>1043.206454</v>
      </c>
    </row>
    <row r="109" outlineLevel="1">
      <c r="A109" s="47"/>
      <c r="B109" s="39" t="s">
        <v>63</v>
      </c>
      <c r="C109" s="47"/>
      <c r="D109" s="107">
        <v>2.0</v>
      </c>
      <c r="E109" s="47"/>
      <c r="F109" s="47"/>
      <c r="G109" s="47"/>
      <c r="H109" s="109">
        <f>D109</f>
        <v>2</v>
      </c>
      <c r="I109" s="109">
        <f t="shared" ref="I109:BO109" si="86">H109</f>
        <v>2</v>
      </c>
      <c r="J109" s="109">
        <f t="shared" si="86"/>
        <v>2</v>
      </c>
      <c r="K109" s="109">
        <f t="shared" si="86"/>
        <v>2</v>
      </c>
      <c r="L109" s="109">
        <f t="shared" si="86"/>
        <v>2</v>
      </c>
      <c r="M109" s="109">
        <f t="shared" si="86"/>
        <v>2</v>
      </c>
      <c r="N109" s="109">
        <f t="shared" si="86"/>
        <v>2</v>
      </c>
      <c r="O109" s="109">
        <f t="shared" si="86"/>
        <v>2</v>
      </c>
      <c r="P109" s="109">
        <f t="shared" si="86"/>
        <v>2</v>
      </c>
      <c r="Q109" s="109">
        <f t="shared" si="86"/>
        <v>2</v>
      </c>
      <c r="R109" s="109">
        <f t="shared" si="86"/>
        <v>2</v>
      </c>
      <c r="S109" s="109">
        <f t="shared" si="86"/>
        <v>2</v>
      </c>
      <c r="T109" s="109">
        <f t="shared" si="86"/>
        <v>2</v>
      </c>
      <c r="U109" s="109">
        <f t="shared" si="86"/>
        <v>2</v>
      </c>
      <c r="V109" s="109">
        <f t="shared" si="86"/>
        <v>2</v>
      </c>
      <c r="W109" s="109">
        <f t="shared" si="86"/>
        <v>2</v>
      </c>
      <c r="X109" s="109">
        <f t="shared" si="86"/>
        <v>2</v>
      </c>
      <c r="Y109" s="109">
        <f t="shared" si="86"/>
        <v>2</v>
      </c>
      <c r="Z109" s="109">
        <f t="shared" si="86"/>
        <v>2</v>
      </c>
      <c r="AA109" s="109">
        <f t="shared" si="86"/>
        <v>2</v>
      </c>
      <c r="AB109" s="109">
        <f t="shared" si="86"/>
        <v>2</v>
      </c>
      <c r="AC109" s="109">
        <f t="shared" si="86"/>
        <v>2</v>
      </c>
      <c r="AD109" s="109">
        <f t="shared" si="86"/>
        <v>2</v>
      </c>
      <c r="AE109" s="109">
        <f t="shared" si="86"/>
        <v>2</v>
      </c>
      <c r="AF109" s="109">
        <f t="shared" si="86"/>
        <v>2</v>
      </c>
      <c r="AG109" s="109">
        <f t="shared" si="86"/>
        <v>2</v>
      </c>
      <c r="AH109" s="109">
        <f t="shared" si="86"/>
        <v>2</v>
      </c>
      <c r="AI109" s="109">
        <f t="shared" si="86"/>
        <v>2</v>
      </c>
      <c r="AJ109" s="109">
        <f t="shared" si="86"/>
        <v>2</v>
      </c>
      <c r="AK109" s="109">
        <f t="shared" si="86"/>
        <v>2</v>
      </c>
      <c r="AL109" s="109">
        <f t="shared" si="86"/>
        <v>2</v>
      </c>
      <c r="AM109" s="109">
        <f t="shared" si="86"/>
        <v>2</v>
      </c>
      <c r="AN109" s="109">
        <f t="shared" si="86"/>
        <v>2</v>
      </c>
      <c r="AO109" s="109">
        <f t="shared" si="86"/>
        <v>2</v>
      </c>
      <c r="AP109" s="109">
        <f t="shared" si="86"/>
        <v>2</v>
      </c>
      <c r="AQ109" s="109">
        <f t="shared" si="86"/>
        <v>2</v>
      </c>
      <c r="AR109" s="109">
        <f t="shared" si="86"/>
        <v>2</v>
      </c>
      <c r="AS109" s="109">
        <f t="shared" si="86"/>
        <v>2</v>
      </c>
      <c r="AT109" s="109">
        <f t="shared" si="86"/>
        <v>2</v>
      </c>
      <c r="AU109" s="109">
        <f t="shared" si="86"/>
        <v>2</v>
      </c>
      <c r="AV109" s="109">
        <f t="shared" si="86"/>
        <v>2</v>
      </c>
      <c r="AW109" s="109">
        <f t="shared" si="86"/>
        <v>2</v>
      </c>
      <c r="AX109" s="109">
        <f t="shared" si="86"/>
        <v>2</v>
      </c>
      <c r="AY109" s="109">
        <f t="shared" si="86"/>
        <v>2</v>
      </c>
      <c r="AZ109" s="109">
        <f t="shared" si="86"/>
        <v>2</v>
      </c>
      <c r="BA109" s="109">
        <f t="shared" si="86"/>
        <v>2</v>
      </c>
      <c r="BB109" s="109">
        <f t="shared" si="86"/>
        <v>2</v>
      </c>
      <c r="BC109" s="109">
        <f t="shared" si="86"/>
        <v>2</v>
      </c>
      <c r="BD109" s="109">
        <f t="shared" si="86"/>
        <v>2</v>
      </c>
      <c r="BE109" s="109">
        <f t="shared" si="86"/>
        <v>2</v>
      </c>
      <c r="BF109" s="109">
        <f t="shared" si="86"/>
        <v>2</v>
      </c>
      <c r="BG109" s="109">
        <f t="shared" si="86"/>
        <v>2</v>
      </c>
      <c r="BH109" s="109">
        <f t="shared" si="86"/>
        <v>2</v>
      </c>
      <c r="BI109" s="109">
        <f t="shared" si="86"/>
        <v>2</v>
      </c>
      <c r="BJ109" s="109">
        <f t="shared" si="86"/>
        <v>2</v>
      </c>
      <c r="BK109" s="109">
        <f t="shared" si="86"/>
        <v>2</v>
      </c>
      <c r="BL109" s="109">
        <f t="shared" si="86"/>
        <v>2</v>
      </c>
      <c r="BM109" s="109">
        <f t="shared" si="86"/>
        <v>2</v>
      </c>
      <c r="BN109" s="109">
        <f t="shared" si="86"/>
        <v>2</v>
      </c>
      <c r="BO109" s="109">
        <f t="shared" si="86"/>
        <v>2</v>
      </c>
    </row>
    <row r="110" outlineLevel="1">
      <c r="A110" s="47"/>
      <c r="B110" s="39" t="s">
        <v>59</v>
      </c>
      <c r="C110" s="47"/>
      <c r="D110" s="105"/>
      <c r="E110" s="47"/>
      <c r="F110" s="47"/>
      <c r="G110" s="47"/>
      <c r="H110" s="105">
        <f t="shared" ref="H110:BO110" si="87">H109*H107</f>
        <v>107</v>
      </c>
      <c r="I110" s="105">
        <f t="shared" si="87"/>
        <v>211.255</v>
      </c>
      <c r="J110" s="105">
        <f t="shared" si="87"/>
        <v>310.336325</v>
      </c>
      <c r="K110" s="105">
        <f t="shared" si="87"/>
        <v>404.4641699</v>
      </c>
      <c r="L110" s="105">
        <f t="shared" si="87"/>
        <v>493.8856313</v>
      </c>
      <c r="M110" s="105">
        <f t="shared" si="87"/>
        <v>578.8360198</v>
      </c>
      <c r="N110" s="105">
        <f t="shared" si="87"/>
        <v>659.5388888</v>
      </c>
      <c r="O110" s="105">
        <f t="shared" si="87"/>
        <v>736.2066145</v>
      </c>
      <c r="P110" s="105">
        <f t="shared" si="87"/>
        <v>809.0409538</v>
      </c>
      <c r="Q110" s="105">
        <f t="shared" si="87"/>
        <v>878.2335761</v>
      </c>
      <c r="R110" s="105">
        <f t="shared" si="87"/>
        <v>943.9665674</v>
      </c>
      <c r="S110" s="105">
        <f t="shared" si="87"/>
        <v>1006.412909</v>
      </c>
      <c r="T110" s="105">
        <f t="shared" si="87"/>
        <v>1065.736934</v>
      </c>
      <c r="U110" s="105">
        <f t="shared" si="87"/>
        <v>1122.094757</v>
      </c>
      <c r="V110" s="105">
        <f t="shared" si="87"/>
        <v>1175.634689</v>
      </c>
      <c r="W110" s="105">
        <f t="shared" si="87"/>
        <v>1226.497625</v>
      </c>
      <c r="X110" s="105">
        <f t="shared" si="87"/>
        <v>1274.817414</v>
      </c>
      <c r="Y110" s="105">
        <f t="shared" si="87"/>
        <v>1320.721213</v>
      </c>
      <c r="Z110" s="105">
        <f t="shared" si="87"/>
        <v>1364.329822</v>
      </c>
      <c r="AA110" s="105">
        <f t="shared" si="87"/>
        <v>1405.758001</v>
      </c>
      <c r="AB110" s="105">
        <f t="shared" si="87"/>
        <v>1445.114771</v>
      </c>
      <c r="AC110" s="105">
        <f t="shared" si="87"/>
        <v>1482.503703</v>
      </c>
      <c r="AD110" s="105">
        <f t="shared" si="87"/>
        <v>1518.023188</v>
      </c>
      <c r="AE110" s="105">
        <f t="shared" si="87"/>
        <v>1551.766698</v>
      </c>
      <c r="AF110" s="105">
        <f t="shared" si="87"/>
        <v>1583.823034</v>
      </c>
      <c r="AG110" s="105">
        <f t="shared" si="87"/>
        <v>1614.276552</v>
      </c>
      <c r="AH110" s="105">
        <f t="shared" si="87"/>
        <v>1643.207394</v>
      </c>
      <c r="AI110" s="105">
        <f t="shared" si="87"/>
        <v>1670.691695</v>
      </c>
      <c r="AJ110" s="105">
        <f t="shared" si="87"/>
        <v>1696.80178</v>
      </c>
      <c r="AK110" s="105">
        <f t="shared" si="87"/>
        <v>1721.606361</v>
      </c>
      <c r="AL110" s="105">
        <f t="shared" si="87"/>
        <v>1745.170713</v>
      </c>
      <c r="AM110" s="105">
        <f t="shared" si="87"/>
        <v>1767.556847</v>
      </c>
      <c r="AN110" s="105">
        <f t="shared" si="87"/>
        <v>1788.823675</v>
      </c>
      <c r="AO110" s="105">
        <f t="shared" si="87"/>
        <v>1809.027161</v>
      </c>
      <c r="AP110" s="105">
        <f t="shared" si="87"/>
        <v>1828.220473</v>
      </c>
      <c r="AQ110" s="105">
        <f t="shared" si="87"/>
        <v>1846.45412</v>
      </c>
      <c r="AR110" s="105">
        <f t="shared" si="87"/>
        <v>1863.776084</v>
      </c>
      <c r="AS110" s="105">
        <f t="shared" si="87"/>
        <v>1880.23195</v>
      </c>
      <c r="AT110" s="105">
        <f t="shared" si="87"/>
        <v>1895.865022</v>
      </c>
      <c r="AU110" s="105">
        <f t="shared" si="87"/>
        <v>1910.716441</v>
      </c>
      <c r="AV110" s="105">
        <f t="shared" si="87"/>
        <v>1924.825289</v>
      </c>
      <c r="AW110" s="105">
        <f t="shared" si="87"/>
        <v>1938.228695</v>
      </c>
      <c r="AX110" s="105">
        <f t="shared" si="87"/>
        <v>1950.96193</v>
      </c>
      <c r="AY110" s="105">
        <f t="shared" si="87"/>
        <v>1963.058504</v>
      </c>
      <c r="AZ110" s="105">
        <f t="shared" si="87"/>
        <v>1974.550249</v>
      </c>
      <c r="BA110" s="105">
        <f t="shared" si="87"/>
        <v>1985.467406</v>
      </c>
      <c r="BB110" s="105">
        <f t="shared" si="87"/>
        <v>1995.838706</v>
      </c>
      <c r="BC110" s="105">
        <f t="shared" si="87"/>
        <v>2005.691441</v>
      </c>
      <c r="BD110" s="105">
        <f t="shared" si="87"/>
        <v>2015.051539</v>
      </c>
      <c r="BE110" s="105">
        <f t="shared" si="87"/>
        <v>2023.943632</v>
      </c>
      <c r="BF110" s="105">
        <f t="shared" si="87"/>
        <v>2032.39112</v>
      </c>
      <c r="BG110" s="105">
        <f t="shared" si="87"/>
        <v>2040.416234</v>
      </c>
      <c r="BH110" s="105">
        <f t="shared" si="87"/>
        <v>2048.040093</v>
      </c>
      <c r="BI110" s="105">
        <f t="shared" si="87"/>
        <v>2055.282758</v>
      </c>
      <c r="BJ110" s="105">
        <f t="shared" si="87"/>
        <v>2062.16329</v>
      </c>
      <c r="BK110" s="105">
        <f t="shared" si="87"/>
        <v>2068.699796</v>
      </c>
      <c r="BL110" s="105">
        <f t="shared" si="87"/>
        <v>2074.909476</v>
      </c>
      <c r="BM110" s="105">
        <f t="shared" si="87"/>
        <v>2080.808672</v>
      </c>
      <c r="BN110" s="105">
        <f t="shared" si="87"/>
        <v>2086.412909</v>
      </c>
      <c r="BO110" s="105">
        <f t="shared" si="87"/>
        <v>2091.736933</v>
      </c>
    </row>
    <row r="111" outlineLevel="1">
      <c r="A111" s="47"/>
      <c r="B111" s="72" t="s">
        <v>60</v>
      </c>
      <c r="C111" s="59"/>
      <c r="D111" s="110">
        <v>50.0</v>
      </c>
      <c r="E111" s="61"/>
      <c r="F111" s="61"/>
      <c r="G111" s="61"/>
      <c r="H111" s="111">
        <f>D111</f>
        <v>50</v>
      </c>
      <c r="I111" s="111">
        <f t="shared" ref="I111:BO111" si="88">H111</f>
        <v>50</v>
      </c>
      <c r="J111" s="111">
        <f t="shared" si="88"/>
        <v>50</v>
      </c>
      <c r="K111" s="111">
        <f t="shared" si="88"/>
        <v>50</v>
      </c>
      <c r="L111" s="111">
        <f t="shared" si="88"/>
        <v>50</v>
      </c>
      <c r="M111" s="111">
        <f t="shared" si="88"/>
        <v>50</v>
      </c>
      <c r="N111" s="111">
        <f t="shared" si="88"/>
        <v>50</v>
      </c>
      <c r="O111" s="111">
        <f t="shared" si="88"/>
        <v>50</v>
      </c>
      <c r="P111" s="111">
        <f t="shared" si="88"/>
        <v>50</v>
      </c>
      <c r="Q111" s="111">
        <f t="shared" si="88"/>
        <v>50</v>
      </c>
      <c r="R111" s="111">
        <f t="shared" si="88"/>
        <v>50</v>
      </c>
      <c r="S111" s="111">
        <f t="shared" si="88"/>
        <v>50</v>
      </c>
      <c r="T111" s="111">
        <f t="shared" si="88"/>
        <v>50</v>
      </c>
      <c r="U111" s="111">
        <f t="shared" si="88"/>
        <v>50</v>
      </c>
      <c r="V111" s="111">
        <f t="shared" si="88"/>
        <v>50</v>
      </c>
      <c r="W111" s="111">
        <f t="shared" si="88"/>
        <v>50</v>
      </c>
      <c r="X111" s="111">
        <f t="shared" si="88"/>
        <v>50</v>
      </c>
      <c r="Y111" s="111">
        <f t="shared" si="88"/>
        <v>50</v>
      </c>
      <c r="Z111" s="111">
        <f t="shared" si="88"/>
        <v>50</v>
      </c>
      <c r="AA111" s="111">
        <f t="shared" si="88"/>
        <v>50</v>
      </c>
      <c r="AB111" s="111">
        <f t="shared" si="88"/>
        <v>50</v>
      </c>
      <c r="AC111" s="111">
        <f t="shared" si="88"/>
        <v>50</v>
      </c>
      <c r="AD111" s="111">
        <f t="shared" si="88"/>
        <v>50</v>
      </c>
      <c r="AE111" s="111">
        <f t="shared" si="88"/>
        <v>50</v>
      </c>
      <c r="AF111" s="111">
        <f t="shared" si="88"/>
        <v>50</v>
      </c>
      <c r="AG111" s="111">
        <f t="shared" si="88"/>
        <v>50</v>
      </c>
      <c r="AH111" s="111">
        <f t="shared" si="88"/>
        <v>50</v>
      </c>
      <c r="AI111" s="111">
        <f t="shared" si="88"/>
        <v>50</v>
      </c>
      <c r="AJ111" s="111">
        <f t="shared" si="88"/>
        <v>50</v>
      </c>
      <c r="AK111" s="111">
        <f t="shared" si="88"/>
        <v>50</v>
      </c>
      <c r="AL111" s="111">
        <f t="shared" si="88"/>
        <v>50</v>
      </c>
      <c r="AM111" s="111">
        <f t="shared" si="88"/>
        <v>50</v>
      </c>
      <c r="AN111" s="111">
        <f t="shared" si="88"/>
        <v>50</v>
      </c>
      <c r="AO111" s="111">
        <f t="shared" si="88"/>
        <v>50</v>
      </c>
      <c r="AP111" s="111">
        <f t="shared" si="88"/>
        <v>50</v>
      </c>
      <c r="AQ111" s="111">
        <f t="shared" si="88"/>
        <v>50</v>
      </c>
      <c r="AR111" s="111">
        <f t="shared" si="88"/>
        <v>50</v>
      </c>
      <c r="AS111" s="111">
        <f t="shared" si="88"/>
        <v>50</v>
      </c>
      <c r="AT111" s="111">
        <f t="shared" si="88"/>
        <v>50</v>
      </c>
      <c r="AU111" s="111">
        <f t="shared" si="88"/>
        <v>50</v>
      </c>
      <c r="AV111" s="111">
        <f t="shared" si="88"/>
        <v>50</v>
      </c>
      <c r="AW111" s="111">
        <f t="shared" si="88"/>
        <v>50</v>
      </c>
      <c r="AX111" s="111">
        <f t="shared" si="88"/>
        <v>50</v>
      </c>
      <c r="AY111" s="111">
        <f t="shared" si="88"/>
        <v>50</v>
      </c>
      <c r="AZ111" s="111">
        <f t="shared" si="88"/>
        <v>50</v>
      </c>
      <c r="BA111" s="111">
        <f t="shared" si="88"/>
        <v>50</v>
      </c>
      <c r="BB111" s="111">
        <f t="shared" si="88"/>
        <v>50</v>
      </c>
      <c r="BC111" s="111">
        <f t="shared" si="88"/>
        <v>50</v>
      </c>
      <c r="BD111" s="111">
        <f t="shared" si="88"/>
        <v>50</v>
      </c>
      <c r="BE111" s="111">
        <f t="shared" si="88"/>
        <v>50</v>
      </c>
      <c r="BF111" s="111">
        <f t="shared" si="88"/>
        <v>50</v>
      </c>
      <c r="BG111" s="111">
        <f t="shared" si="88"/>
        <v>50</v>
      </c>
      <c r="BH111" s="111">
        <f t="shared" si="88"/>
        <v>50</v>
      </c>
      <c r="BI111" s="111">
        <f t="shared" si="88"/>
        <v>50</v>
      </c>
      <c r="BJ111" s="111">
        <f t="shared" si="88"/>
        <v>50</v>
      </c>
      <c r="BK111" s="111">
        <f t="shared" si="88"/>
        <v>50</v>
      </c>
      <c r="BL111" s="111">
        <f t="shared" si="88"/>
        <v>50</v>
      </c>
      <c r="BM111" s="111">
        <f t="shared" si="88"/>
        <v>50</v>
      </c>
      <c r="BN111" s="111">
        <f t="shared" si="88"/>
        <v>50</v>
      </c>
      <c r="BO111" s="111">
        <f t="shared" si="88"/>
        <v>50</v>
      </c>
    </row>
    <row r="112" outlineLevel="1">
      <c r="A112" s="47"/>
      <c r="B112" s="74" t="s">
        <v>61</v>
      </c>
      <c r="C112" s="47"/>
      <c r="D112" s="76"/>
      <c r="E112" s="76"/>
      <c r="F112" s="76"/>
      <c r="G112" s="76"/>
      <c r="H112" s="112">
        <f t="shared" ref="H112:BO112" si="89">H110*H111</f>
        <v>5350</v>
      </c>
      <c r="I112" s="112">
        <f t="shared" si="89"/>
        <v>10562.75</v>
      </c>
      <c r="J112" s="112">
        <f t="shared" si="89"/>
        <v>15516.81625</v>
      </c>
      <c r="K112" s="112">
        <f t="shared" si="89"/>
        <v>20223.20849</v>
      </c>
      <c r="L112" s="112">
        <f t="shared" si="89"/>
        <v>24694.28156</v>
      </c>
      <c r="M112" s="112">
        <f t="shared" si="89"/>
        <v>28941.80099</v>
      </c>
      <c r="N112" s="112">
        <f t="shared" si="89"/>
        <v>32976.94444</v>
      </c>
      <c r="O112" s="112">
        <f t="shared" si="89"/>
        <v>36810.33072</v>
      </c>
      <c r="P112" s="112">
        <f t="shared" si="89"/>
        <v>40452.04769</v>
      </c>
      <c r="Q112" s="112">
        <f t="shared" si="89"/>
        <v>43911.67881</v>
      </c>
      <c r="R112" s="112">
        <f t="shared" si="89"/>
        <v>47198.32837</v>
      </c>
      <c r="S112" s="112">
        <f t="shared" si="89"/>
        <v>50320.64545</v>
      </c>
      <c r="T112" s="112">
        <f t="shared" si="89"/>
        <v>53286.84668</v>
      </c>
      <c r="U112" s="112">
        <f t="shared" si="89"/>
        <v>56104.73785</v>
      </c>
      <c r="V112" s="112">
        <f t="shared" si="89"/>
        <v>58781.73446</v>
      </c>
      <c r="W112" s="112">
        <f t="shared" si="89"/>
        <v>61324.88124</v>
      </c>
      <c r="X112" s="112">
        <f t="shared" si="89"/>
        <v>63740.87068</v>
      </c>
      <c r="Y112" s="112">
        <f t="shared" si="89"/>
        <v>66036.06065</v>
      </c>
      <c r="Z112" s="112">
        <f t="shared" si="89"/>
        <v>68216.49112</v>
      </c>
      <c r="AA112" s="112">
        <f t="shared" si="89"/>
        <v>70287.90007</v>
      </c>
      <c r="AB112" s="112">
        <f t="shared" si="89"/>
        <v>72255.73857</v>
      </c>
      <c r="AC112" s="112">
        <f t="shared" si="89"/>
        <v>74125.18514</v>
      </c>
      <c r="AD112" s="112">
        <f t="shared" si="89"/>
        <v>75901.15939</v>
      </c>
      <c r="AE112" s="112">
        <f t="shared" si="89"/>
        <v>77588.33492</v>
      </c>
      <c r="AF112" s="112">
        <f t="shared" si="89"/>
        <v>79191.15168</v>
      </c>
      <c r="AG112" s="112">
        <f t="shared" si="89"/>
        <v>80713.82759</v>
      </c>
      <c r="AH112" s="112">
        <f t="shared" si="89"/>
        <v>82160.36972</v>
      </c>
      <c r="AI112" s="112">
        <f t="shared" si="89"/>
        <v>83534.58473</v>
      </c>
      <c r="AJ112" s="112">
        <f t="shared" si="89"/>
        <v>84840.089</v>
      </c>
      <c r="AK112" s="112">
        <f t="shared" si="89"/>
        <v>86080.31805</v>
      </c>
      <c r="AL112" s="112">
        <f t="shared" si="89"/>
        <v>87258.53565</v>
      </c>
      <c r="AM112" s="112">
        <f t="shared" si="89"/>
        <v>88377.84237</v>
      </c>
      <c r="AN112" s="112">
        <f t="shared" si="89"/>
        <v>89441.18376</v>
      </c>
      <c r="AO112" s="112">
        <f t="shared" si="89"/>
        <v>90451.35807</v>
      </c>
      <c r="AP112" s="112">
        <f t="shared" si="89"/>
        <v>91411.02367</v>
      </c>
      <c r="AQ112" s="112">
        <f t="shared" si="89"/>
        <v>92322.70599</v>
      </c>
      <c r="AR112" s="112">
        <f t="shared" si="89"/>
        <v>93188.80419</v>
      </c>
      <c r="AS112" s="112">
        <f t="shared" si="89"/>
        <v>94011.59748</v>
      </c>
      <c r="AT112" s="112">
        <f t="shared" si="89"/>
        <v>94793.25111</v>
      </c>
      <c r="AU112" s="112">
        <f t="shared" si="89"/>
        <v>95535.82206</v>
      </c>
      <c r="AV112" s="112">
        <f t="shared" si="89"/>
        <v>96241.26446</v>
      </c>
      <c r="AW112" s="112">
        <f t="shared" si="89"/>
        <v>96911.43474</v>
      </c>
      <c r="AX112" s="112">
        <f t="shared" si="89"/>
        <v>97548.0965</v>
      </c>
      <c r="AY112" s="112">
        <f t="shared" si="89"/>
        <v>98152.92518</v>
      </c>
      <c r="AZ112" s="112">
        <f t="shared" si="89"/>
        <v>98727.51243</v>
      </c>
      <c r="BA112" s="112">
        <f t="shared" si="89"/>
        <v>99273.37031</v>
      </c>
      <c r="BB112" s="112">
        <f t="shared" si="89"/>
        <v>99791.93529</v>
      </c>
      <c r="BC112" s="112">
        <f t="shared" si="89"/>
        <v>100284.572</v>
      </c>
      <c r="BD112" s="112">
        <f t="shared" si="89"/>
        <v>100752.5769</v>
      </c>
      <c r="BE112" s="112">
        <f t="shared" si="89"/>
        <v>101197.1816</v>
      </c>
      <c r="BF112" s="112">
        <f t="shared" si="89"/>
        <v>101619.556</v>
      </c>
      <c r="BG112" s="112">
        <f t="shared" si="89"/>
        <v>102020.8117</v>
      </c>
      <c r="BH112" s="112">
        <f t="shared" si="89"/>
        <v>102402.0046</v>
      </c>
      <c r="BI112" s="112">
        <f t="shared" si="89"/>
        <v>102764.1379</v>
      </c>
      <c r="BJ112" s="112">
        <f t="shared" si="89"/>
        <v>103108.1645</v>
      </c>
      <c r="BK112" s="112">
        <f t="shared" si="89"/>
        <v>103434.9898</v>
      </c>
      <c r="BL112" s="112">
        <f t="shared" si="89"/>
        <v>103745.4738</v>
      </c>
      <c r="BM112" s="112">
        <f t="shared" si="89"/>
        <v>104040.4336</v>
      </c>
      <c r="BN112" s="112">
        <f t="shared" si="89"/>
        <v>104320.6454</v>
      </c>
      <c r="BO112" s="112">
        <f t="shared" si="89"/>
        <v>104586.8467</v>
      </c>
    </row>
    <row r="113" outlineLevel="1">
      <c r="A113" s="47"/>
      <c r="B113" s="74"/>
      <c r="C113" s="47"/>
      <c r="D113" s="76"/>
      <c r="E113" s="76"/>
      <c r="F113" s="76"/>
      <c r="G113" s="76"/>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row>
    <row r="114" outlineLevel="1">
      <c r="A114" s="47"/>
      <c r="B114" s="113" t="s">
        <v>65</v>
      </c>
      <c r="C114" s="47"/>
      <c r="D114" s="76"/>
      <c r="E114" s="76"/>
      <c r="F114" s="76"/>
      <c r="G114" s="76"/>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row>
    <row r="115" outlineLevel="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row>
    <row r="116">
      <c r="A116" s="47"/>
      <c r="B116" s="114"/>
      <c r="C116" s="47"/>
      <c r="D116" s="47"/>
      <c r="E116" s="47"/>
      <c r="F116" s="47"/>
      <c r="G116" s="47"/>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row>
    <row r="117">
      <c r="A117" s="47"/>
      <c r="B117" s="48" t="s">
        <v>66</v>
      </c>
      <c r="C117" s="49"/>
      <c r="D117" s="49"/>
      <c r="E117" s="49"/>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row>
    <row r="118" outlineLevel="1">
      <c r="A118" s="47"/>
      <c r="B118" s="47"/>
      <c r="C118" s="47"/>
      <c r="D118" s="47"/>
      <c r="E118" s="47"/>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row>
    <row r="119" outlineLevel="1">
      <c r="A119" s="47"/>
      <c r="B119" s="116" t="s">
        <v>67</v>
      </c>
      <c r="C119" s="117" t="s">
        <v>68</v>
      </c>
      <c r="D119" s="117" t="s">
        <v>69</v>
      </c>
      <c r="E119" s="117" t="s">
        <v>70</v>
      </c>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row>
    <row r="120" outlineLevel="1">
      <c r="A120" s="47"/>
      <c r="B120" s="118" t="s">
        <v>71</v>
      </c>
      <c r="C120" s="119">
        <v>100000.0</v>
      </c>
      <c r="D120" s="120">
        <v>0.2</v>
      </c>
      <c r="E120" s="121">
        <v>43831.0</v>
      </c>
      <c r="F120" s="115"/>
      <c r="G120" s="115"/>
      <c r="H120" s="115">
        <f t="shared" ref="H120:BO120" si="90">IF(H$4&gt;=$E120,($C120/12)*(1+$D120),0)</f>
        <v>10000</v>
      </c>
      <c r="I120" s="115">
        <f t="shared" si="90"/>
        <v>10000</v>
      </c>
      <c r="J120" s="115">
        <f t="shared" si="90"/>
        <v>10000</v>
      </c>
      <c r="K120" s="115">
        <f t="shared" si="90"/>
        <v>10000</v>
      </c>
      <c r="L120" s="115">
        <f t="shared" si="90"/>
        <v>10000</v>
      </c>
      <c r="M120" s="115">
        <f t="shared" si="90"/>
        <v>10000</v>
      </c>
      <c r="N120" s="115">
        <f t="shared" si="90"/>
        <v>10000</v>
      </c>
      <c r="O120" s="115">
        <f t="shared" si="90"/>
        <v>10000</v>
      </c>
      <c r="P120" s="115">
        <f t="shared" si="90"/>
        <v>10000</v>
      </c>
      <c r="Q120" s="115">
        <f t="shared" si="90"/>
        <v>10000</v>
      </c>
      <c r="R120" s="115">
        <f t="shared" si="90"/>
        <v>10000</v>
      </c>
      <c r="S120" s="115">
        <f t="shared" si="90"/>
        <v>10000</v>
      </c>
      <c r="T120" s="115">
        <f t="shared" si="90"/>
        <v>10000</v>
      </c>
      <c r="U120" s="115">
        <f t="shared" si="90"/>
        <v>10000</v>
      </c>
      <c r="V120" s="115">
        <f t="shared" si="90"/>
        <v>10000</v>
      </c>
      <c r="W120" s="115">
        <f t="shared" si="90"/>
        <v>10000</v>
      </c>
      <c r="X120" s="115">
        <f t="shared" si="90"/>
        <v>10000</v>
      </c>
      <c r="Y120" s="115">
        <f t="shared" si="90"/>
        <v>10000</v>
      </c>
      <c r="Z120" s="115">
        <f t="shared" si="90"/>
        <v>10000</v>
      </c>
      <c r="AA120" s="115">
        <f t="shared" si="90"/>
        <v>10000</v>
      </c>
      <c r="AB120" s="115">
        <f t="shared" si="90"/>
        <v>10000</v>
      </c>
      <c r="AC120" s="115">
        <f t="shared" si="90"/>
        <v>10000</v>
      </c>
      <c r="AD120" s="115">
        <f t="shared" si="90"/>
        <v>10000</v>
      </c>
      <c r="AE120" s="115">
        <f t="shared" si="90"/>
        <v>10000</v>
      </c>
      <c r="AF120" s="115">
        <f t="shared" si="90"/>
        <v>10000</v>
      </c>
      <c r="AG120" s="115">
        <f t="shared" si="90"/>
        <v>10000</v>
      </c>
      <c r="AH120" s="115">
        <f t="shared" si="90"/>
        <v>10000</v>
      </c>
      <c r="AI120" s="115">
        <f t="shared" si="90"/>
        <v>10000</v>
      </c>
      <c r="AJ120" s="115">
        <f t="shared" si="90"/>
        <v>10000</v>
      </c>
      <c r="AK120" s="115">
        <f t="shared" si="90"/>
        <v>10000</v>
      </c>
      <c r="AL120" s="115">
        <f t="shared" si="90"/>
        <v>10000</v>
      </c>
      <c r="AM120" s="115">
        <f t="shared" si="90"/>
        <v>10000</v>
      </c>
      <c r="AN120" s="115">
        <f t="shared" si="90"/>
        <v>10000</v>
      </c>
      <c r="AO120" s="115">
        <f t="shared" si="90"/>
        <v>10000</v>
      </c>
      <c r="AP120" s="115">
        <f t="shared" si="90"/>
        <v>10000</v>
      </c>
      <c r="AQ120" s="115">
        <f t="shared" si="90"/>
        <v>10000</v>
      </c>
      <c r="AR120" s="115">
        <f t="shared" si="90"/>
        <v>10000</v>
      </c>
      <c r="AS120" s="115">
        <f t="shared" si="90"/>
        <v>10000</v>
      </c>
      <c r="AT120" s="115">
        <f t="shared" si="90"/>
        <v>10000</v>
      </c>
      <c r="AU120" s="115">
        <f t="shared" si="90"/>
        <v>10000</v>
      </c>
      <c r="AV120" s="115">
        <f t="shared" si="90"/>
        <v>10000</v>
      </c>
      <c r="AW120" s="115">
        <f t="shared" si="90"/>
        <v>10000</v>
      </c>
      <c r="AX120" s="115">
        <f t="shared" si="90"/>
        <v>10000</v>
      </c>
      <c r="AY120" s="115">
        <f t="shared" si="90"/>
        <v>10000</v>
      </c>
      <c r="AZ120" s="115">
        <f t="shared" si="90"/>
        <v>10000</v>
      </c>
      <c r="BA120" s="115">
        <f t="shared" si="90"/>
        <v>10000</v>
      </c>
      <c r="BB120" s="115">
        <f t="shared" si="90"/>
        <v>10000</v>
      </c>
      <c r="BC120" s="115">
        <f t="shared" si="90"/>
        <v>10000</v>
      </c>
      <c r="BD120" s="115">
        <f t="shared" si="90"/>
        <v>10000</v>
      </c>
      <c r="BE120" s="115">
        <f t="shared" si="90"/>
        <v>10000</v>
      </c>
      <c r="BF120" s="115">
        <f t="shared" si="90"/>
        <v>10000</v>
      </c>
      <c r="BG120" s="115">
        <f t="shared" si="90"/>
        <v>10000</v>
      </c>
      <c r="BH120" s="115">
        <f t="shared" si="90"/>
        <v>10000</v>
      </c>
      <c r="BI120" s="115">
        <f t="shared" si="90"/>
        <v>10000</v>
      </c>
      <c r="BJ120" s="115">
        <f t="shared" si="90"/>
        <v>10000</v>
      </c>
      <c r="BK120" s="115">
        <f t="shared" si="90"/>
        <v>10000</v>
      </c>
      <c r="BL120" s="115">
        <f t="shared" si="90"/>
        <v>10000</v>
      </c>
      <c r="BM120" s="115">
        <f t="shared" si="90"/>
        <v>10000</v>
      </c>
      <c r="BN120" s="115">
        <f t="shared" si="90"/>
        <v>10000</v>
      </c>
      <c r="BO120" s="115">
        <f t="shared" si="90"/>
        <v>10000</v>
      </c>
    </row>
    <row r="121" outlineLevel="1">
      <c r="A121" s="47"/>
      <c r="B121" s="118" t="s">
        <v>72</v>
      </c>
      <c r="C121" s="119">
        <v>100000.0</v>
      </c>
      <c r="D121" s="120">
        <v>0.2</v>
      </c>
      <c r="E121" s="121">
        <v>43831.0</v>
      </c>
      <c r="F121" s="115"/>
      <c r="G121" s="115"/>
      <c r="H121" s="115">
        <f t="shared" ref="H121:BO121" si="91">IF(H$4&gt;=$E121,($C121/12)*(1+$D121),0)</f>
        <v>10000</v>
      </c>
      <c r="I121" s="115">
        <f t="shared" si="91"/>
        <v>10000</v>
      </c>
      <c r="J121" s="115">
        <f t="shared" si="91"/>
        <v>10000</v>
      </c>
      <c r="K121" s="115">
        <f t="shared" si="91"/>
        <v>10000</v>
      </c>
      <c r="L121" s="115">
        <f t="shared" si="91"/>
        <v>10000</v>
      </c>
      <c r="M121" s="115">
        <f t="shared" si="91"/>
        <v>10000</v>
      </c>
      <c r="N121" s="115">
        <f t="shared" si="91"/>
        <v>10000</v>
      </c>
      <c r="O121" s="115">
        <f t="shared" si="91"/>
        <v>10000</v>
      </c>
      <c r="P121" s="115">
        <f t="shared" si="91"/>
        <v>10000</v>
      </c>
      <c r="Q121" s="115">
        <f t="shared" si="91"/>
        <v>10000</v>
      </c>
      <c r="R121" s="115">
        <f t="shared" si="91"/>
        <v>10000</v>
      </c>
      <c r="S121" s="115">
        <f t="shared" si="91"/>
        <v>10000</v>
      </c>
      <c r="T121" s="115">
        <f t="shared" si="91"/>
        <v>10000</v>
      </c>
      <c r="U121" s="115">
        <f t="shared" si="91"/>
        <v>10000</v>
      </c>
      <c r="V121" s="115">
        <f t="shared" si="91"/>
        <v>10000</v>
      </c>
      <c r="W121" s="115">
        <f t="shared" si="91"/>
        <v>10000</v>
      </c>
      <c r="X121" s="115">
        <f t="shared" si="91"/>
        <v>10000</v>
      </c>
      <c r="Y121" s="115">
        <f t="shared" si="91"/>
        <v>10000</v>
      </c>
      <c r="Z121" s="115">
        <f t="shared" si="91"/>
        <v>10000</v>
      </c>
      <c r="AA121" s="115">
        <f t="shared" si="91"/>
        <v>10000</v>
      </c>
      <c r="AB121" s="115">
        <f t="shared" si="91"/>
        <v>10000</v>
      </c>
      <c r="AC121" s="115">
        <f t="shared" si="91"/>
        <v>10000</v>
      </c>
      <c r="AD121" s="115">
        <f t="shared" si="91"/>
        <v>10000</v>
      </c>
      <c r="AE121" s="115">
        <f t="shared" si="91"/>
        <v>10000</v>
      </c>
      <c r="AF121" s="115">
        <f t="shared" si="91"/>
        <v>10000</v>
      </c>
      <c r="AG121" s="115">
        <f t="shared" si="91"/>
        <v>10000</v>
      </c>
      <c r="AH121" s="115">
        <f t="shared" si="91"/>
        <v>10000</v>
      </c>
      <c r="AI121" s="115">
        <f t="shared" si="91"/>
        <v>10000</v>
      </c>
      <c r="AJ121" s="115">
        <f t="shared" si="91"/>
        <v>10000</v>
      </c>
      <c r="AK121" s="115">
        <f t="shared" si="91"/>
        <v>10000</v>
      </c>
      <c r="AL121" s="115">
        <f t="shared" si="91"/>
        <v>10000</v>
      </c>
      <c r="AM121" s="115">
        <f t="shared" si="91"/>
        <v>10000</v>
      </c>
      <c r="AN121" s="115">
        <f t="shared" si="91"/>
        <v>10000</v>
      </c>
      <c r="AO121" s="115">
        <f t="shared" si="91"/>
        <v>10000</v>
      </c>
      <c r="AP121" s="115">
        <f t="shared" si="91"/>
        <v>10000</v>
      </c>
      <c r="AQ121" s="115">
        <f t="shared" si="91"/>
        <v>10000</v>
      </c>
      <c r="AR121" s="115">
        <f t="shared" si="91"/>
        <v>10000</v>
      </c>
      <c r="AS121" s="115">
        <f t="shared" si="91"/>
        <v>10000</v>
      </c>
      <c r="AT121" s="115">
        <f t="shared" si="91"/>
        <v>10000</v>
      </c>
      <c r="AU121" s="115">
        <f t="shared" si="91"/>
        <v>10000</v>
      </c>
      <c r="AV121" s="115">
        <f t="shared" si="91"/>
        <v>10000</v>
      </c>
      <c r="AW121" s="115">
        <f t="shared" si="91"/>
        <v>10000</v>
      </c>
      <c r="AX121" s="115">
        <f t="shared" si="91"/>
        <v>10000</v>
      </c>
      <c r="AY121" s="115">
        <f t="shared" si="91"/>
        <v>10000</v>
      </c>
      <c r="AZ121" s="115">
        <f t="shared" si="91"/>
        <v>10000</v>
      </c>
      <c r="BA121" s="115">
        <f t="shared" si="91"/>
        <v>10000</v>
      </c>
      <c r="BB121" s="115">
        <f t="shared" si="91"/>
        <v>10000</v>
      </c>
      <c r="BC121" s="115">
        <f t="shared" si="91"/>
        <v>10000</v>
      </c>
      <c r="BD121" s="115">
        <f t="shared" si="91"/>
        <v>10000</v>
      </c>
      <c r="BE121" s="115">
        <f t="shared" si="91"/>
        <v>10000</v>
      </c>
      <c r="BF121" s="115">
        <f t="shared" si="91"/>
        <v>10000</v>
      </c>
      <c r="BG121" s="115">
        <f t="shared" si="91"/>
        <v>10000</v>
      </c>
      <c r="BH121" s="115">
        <f t="shared" si="91"/>
        <v>10000</v>
      </c>
      <c r="BI121" s="115">
        <f t="shared" si="91"/>
        <v>10000</v>
      </c>
      <c r="BJ121" s="115">
        <f t="shared" si="91"/>
        <v>10000</v>
      </c>
      <c r="BK121" s="115">
        <f t="shared" si="91"/>
        <v>10000</v>
      </c>
      <c r="BL121" s="115">
        <f t="shared" si="91"/>
        <v>10000</v>
      </c>
      <c r="BM121" s="115">
        <f t="shared" si="91"/>
        <v>10000</v>
      </c>
      <c r="BN121" s="115">
        <f t="shared" si="91"/>
        <v>10000</v>
      </c>
      <c r="BO121" s="115">
        <f t="shared" si="91"/>
        <v>10000</v>
      </c>
    </row>
    <row r="122" outlineLevel="1">
      <c r="A122" s="47"/>
      <c r="B122" s="118" t="s">
        <v>73</v>
      </c>
      <c r="C122" s="119">
        <v>100000.0</v>
      </c>
      <c r="D122" s="120">
        <v>0.2</v>
      </c>
      <c r="E122" s="121">
        <v>44075.0</v>
      </c>
      <c r="F122" s="115"/>
      <c r="G122" s="115"/>
      <c r="H122" s="115">
        <f t="shared" ref="H122:BO122" si="92">IF(H$4&gt;=$E122,($C122/12)*(1+$D122),0)</f>
        <v>10000</v>
      </c>
      <c r="I122" s="115">
        <f t="shared" si="92"/>
        <v>10000</v>
      </c>
      <c r="J122" s="115">
        <f t="shared" si="92"/>
        <v>10000</v>
      </c>
      <c r="K122" s="115">
        <f t="shared" si="92"/>
        <v>10000</v>
      </c>
      <c r="L122" s="115">
        <f t="shared" si="92"/>
        <v>10000</v>
      </c>
      <c r="M122" s="115">
        <f t="shared" si="92"/>
        <v>10000</v>
      </c>
      <c r="N122" s="115">
        <f t="shared" si="92"/>
        <v>10000</v>
      </c>
      <c r="O122" s="115">
        <f t="shared" si="92"/>
        <v>10000</v>
      </c>
      <c r="P122" s="115">
        <f t="shared" si="92"/>
        <v>10000</v>
      </c>
      <c r="Q122" s="115">
        <f t="shared" si="92"/>
        <v>10000</v>
      </c>
      <c r="R122" s="115">
        <f t="shared" si="92"/>
        <v>10000</v>
      </c>
      <c r="S122" s="115">
        <f t="shared" si="92"/>
        <v>10000</v>
      </c>
      <c r="T122" s="115">
        <f t="shared" si="92"/>
        <v>10000</v>
      </c>
      <c r="U122" s="115">
        <f t="shared" si="92"/>
        <v>10000</v>
      </c>
      <c r="V122" s="115">
        <f t="shared" si="92"/>
        <v>10000</v>
      </c>
      <c r="W122" s="115">
        <f t="shared" si="92"/>
        <v>10000</v>
      </c>
      <c r="X122" s="115">
        <f t="shared" si="92"/>
        <v>10000</v>
      </c>
      <c r="Y122" s="115">
        <f t="shared" si="92"/>
        <v>10000</v>
      </c>
      <c r="Z122" s="115">
        <f t="shared" si="92"/>
        <v>10000</v>
      </c>
      <c r="AA122" s="115">
        <f t="shared" si="92"/>
        <v>10000</v>
      </c>
      <c r="AB122" s="115">
        <f t="shared" si="92"/>
        <v>10000</v>
      </c>
      <c r="AC122" s="115">
        <f t="shared" si="92"/>
        <v>10000</v>
      </c>
      <c r="AD122" s="115">
        <f t="shared" si="92"/>
        <v>10000</v>
      </c>
      <c r="AE122" s="115">
        <f t="shared" si="92"/>
        <v>10000</v>
      </c>
      <c r="AF122" s="115">
        <f t="shared" si="92"/>
        <v>10000</v>
      </c>
      <c r="AG122" s="115">
        <f t="shared" si="92"/>
        <v>10000</v>
      </c>
      <c r="AH122" s="115">
        <f t="shared" si="92"/>
        <v>10000</v>
      </c>
      <c r="AI122" s="115">
        <f t="shared" si="92"/>
        <v>10000</v>
      </c>
      <c r="AJ122" s="115">
        <f t="shared" si="92"/>
        <v>10000</v>
      </c>
      <c r="AK122" s="115">
        <f t="shared" si="92"/>
        <v>10000</v>
      </c>
      <c r="AL122" s="115">
        <f t="shared" si="92"/>
        <v>10000</v>
      </c>
      <c r="AM122" s="115">
        <f t="shared" si="92"/>
        <v>10000</v>
      </c>
      <c r="AN122" s="115">
        <f t="shared" si="92"/>
        <v>10000</v>
      </c>
      <c r="AO122" s="115">
        <f t="shared" si="92"/>
        <v>10000</v>
      </c>
      <c r="AP122" s="115">
        <f t="shared" si="92"/>
        <v>10000</v>
      </c>
      <c r="AQ122" s="115">
        <f t="shared" si="92"/>
        <v>10000</v>
      </c>
      <c r="AR122" s="115">
        <f t="shared" si="92"/>
        <v>10000</v>
      </c>
      <c r="AS122" s="115">
        <f t="shared" si="92"/>
        <v>10000</v>
      </c>
      <c r="AT122" s="115">
        <f t="shared" si="92"/>
        <v>10000</v>
      </c>
      <c r="AU122" s="115">
        <f t="shared" si="92"/>
        <v>10000</v>
      </c>
      <c r="AV122" s="115">
        <f t="shared" si="92"/>
        <v>10000</v>
      </c>
      <c r="AW122" s="115">
        <f t="shared" si="92"/>
        <v>10000</v>
      </c>
      <c r="AX122" s="115">
        <f t="shared" si="92"/>
        <v>10000</v>
      </c>
      <c r="AY122" s="115">
        <f t="shared" si="92"/>
        <v>10000</v>
      </c>
      <c r="AZ122" s="115">
        <f t="shared" si="92"/>
        <v>10000</v>
      </c>
      <c r="BA122" s="115">
        <f t="shared" si="92"/>
        <v>10000</v>
      </c>
      <c r="BB122" s="115">
        <f t="shared" si="92"/>
        <v>10000</v>
      </c>
      <c r="BC122" s="115">
        <f t="shared" si="92"/>
        <v>10000</v>
      </c>
      <c r="BD122" s="115">
        <f t="shared" si="92"/>
        <v>10000</v>
      </c>
      <c r="BE122" s="115">
        <f t="shared" si="92"/>
        <v>10000</v>
      </c>
      <c r="BF122" s="115">
        <f t="shared" si="92"/>
        <v>10000</v>
      </c>
      <c r="BG122" s="115">
        <f t="shared" si="92"/>
        <v>10000</v>
      </c>
      <c r="BH122" s="115">
        <f t="shared" si="92"/>
        <v>10000</v>
      </c>
      <c r="BI122" s="115">
        <f t="shared" si="92"/>
        <v>10000</v>
      </c>
      <c r="BJ122" s="115">
        <f t="shared" si="92"/>
        <v>10000</v>
      </c>
      <c r="BK122" s="115">
        <f t="shared" si="92"/>
        <v>10000</v>
      </c>
      <c r="BL122" s="115">
        <f t="shared" si="92"/>
        <v>10000</v>
      </c>
      <c r="BM122" s="115">
        <f t="shared" si="92"/>
        <v>10000</v>
      </c>
      <c r="BN122" s="115">
        <f t="shared" si="92"/>
        <v>10000</v>
      </c>
      <c r="BO122" s="115">
        <f t="shared" si="92"/>
        <v>10000</v>
      </c>
    </row>
    <row r="123" outlineLevel="1">
      <c r="A123" s="47"/>
      <c r="B123" s="118" t="s">
        <v>74</v>
      </c>
      <c r="C123" s="119">
        <v>100000.0</v>
      </c>
      <c r="D123" s="120">
        <v>0.2</v>
      </c>
      <c r="E123" s="121">
        <v>43831.0</v>
      </c>
      <c r="F123" s="115"/>
      <c r="G123" s="115"/>
      <c r="H123" s="115">
        <f t="shared" ref="H123:BO123" si="93">IF(H$4&gt;=$E123,($C123/12)*(1+$D123),0)</f>
        <v>10000</v>
      </c>
      <c r="I123" s="115">
        <f t="shared" si="93"/>
        <v>10000</v>
      </c>
      <c r="J123" s="115">
        <f t="shared" si="93"/>
        <v>10000</v>
      </c>
      <c r="K123" s="115">
        <f t="shared" si="93"/>
        <v>10000</v>
      </c>
      <c r="L123" s="115">
        <f t="shared" si="93"/>
        <v>10000</v>
      </c>
      <c r="M123" s="115">
        <f t="shared" si="93"/>
        <v>10000</v>
      </c>
      <c r="N123" s="115">
        <f t="shared" si="93"/>
        <v>10000</v>
      </c>
      <c r="O123" s="115">
        <f t="shared" si="93"/>
        <v>10000</v>
      </c>
      <c r="P123" s="115">
        <f t="shared" si="93"/>
        <v>10000</v>
      </c>
      <c r="Q123" s="115">
        <f t="shared" si="93"/>
        <v>10000</v>
      </c>
      <c r="R123" s="115">
        <f t="shared" si="93"/>
        <v>10000</v>
      </c>
      <c r="S123" s="115">
        <f t="shared" si="93"/>
        <v>10000</v>
      </c>
      <c r="T123" s="115">
        <f t="shared" si="93"/>
        <v>10000</v>
      </c>
      <c r="U123" s="115">
        <f t="shared" si="93"/>
        <v>10000</v>
      </c>
      <c r="V123" s="115">
        <f t="shared" si="93"/>
        <v>10000</v>
      </c>
      <c r="W123" s="115">
        <f t="shared" si="93"/>
        <v>10000</v>
      </c>
      <c r="X123" s="115">
        <f t="shared" si="93"/>
        <v>10000</v>
      </c>
      <c r="Y123" s="115">
        <f t="shared" si="93"/>
        <v>10000</v>
      </c>
      <c r="Z123" s="115">
        <f t="shared" si="93"/>
        <v>10000</v>
      </c>
      <c r="AA123" s="115">
        <f t="shared" si="93"/>
        <v>10000</v>
      </c>
      <c r="AB123" s="115">
        <f t="shared" si="93"/>
        <v>10000</v>
      </c>
      <c r="AC123" s="115">
        <f t="shared" si="93"/>
        <v>10000</v>
      </c>
      <c r="AD123" s="115">
        <f t="shared" si="93"/>
        <v>10000</v>
      </c>
      <c r="AE123" s="115">
        <f t="shared" si="93"/>
        <v>10000</v>
      </c>
      <c r="AF123" s="115">
        <f t="shared" si="93"/>
        <v>10000</v>
      </c>
      <c r="AG123" s="115">
        <f t="shared" si="93"/>
        <v>10000</v>
      </c>
      <c r="AH123" s="115">
        <f t="shared" si="93"/>
        <v>10000</v>
      </c>
      <c r="AI123" s="115">
        <f t="shared" si="93"/>
        <v>10000</v>
      </c>
      <c r="AJ123" s="115">
        <f t="shared" si="93"/>
        <v>10000</v>
      </c>
      <c r="AK123" s="115">
        <f t="shared" si="93"/>
        <v>10000</v>
      </c>
      <c r="AL123" s="115">
        <f t="shared" si="93"/>
        <v>10000</v>
      </c>
      <c r="AM123" s="115">
        <f t="shared" si="93"/>
        <v>10000</v>
      </c>
      <c r="AN123" s="115">
        <f t="shared" si="93"/>
        <v>10000</v>
      </c>
      <c r="AO123" s="115">
        <f t="shared" si="93"/>
        <v>10000</v>
      </c>
      <c r="AP123" s="115">
        <f t="shared" si="93"/>
        <v>10000</v>
      </c>
      <c r="AQ123" s="115">
        <f t="shared" si="93"/>
        <v>10000</v>
      </c>
      <c r="AR123" s="115">
        <f t="shared" si="93"/>
        <v>10000</v>
      </c>
      <c r="AS123" s="115">
        <f t="shared" si="93"/>
        <v>10000</v>
      </c>
      <c r="AT123" s="115">
        <f t="shared" si="93"/>
        <v>10000</v>
      </c>
      <c r="AU123" s="115">
        <f t="shared" si="93"/>
        <v>10000</v>
      </c>
      <c r="AV123" s="115">
        <f t="shared" si="93"/>
        <v>10000</v>
      </c>
      <c r="AW123" s="115">
        <f t="shared" si="93"/>
        <v>10000</v>
      </c>
      <c r="AX123" s="115">
        <f t="shared" si="93"/>
        <v>10000</v>
      </c>
      <c r="AY123" s="115">
        <f t="shared" si="93"/>
        <v>10000</v>
      </c>
      <c r="AZ123" s="115">
        <f t="shared" si="93"/>
        <v>10000</v>
      </c>
      <c r="BA123" s="115">
        <f t="shared" si="93"/>
        <v>10000</v>
      </c>
      <c r="BB123" s="115">
        <f t="shared" si="93"/>
        <v>10000</v>
      </c>
      <c r="BC123" s="115">
        <f t="shared" si="93"/>
        <v>10000</v>
      </c>
      <c r="BD123" s="115">
        <f t="shared" si="93"/>
        <v>10000</v>
      </c>
      <c r="BE123" s="115">
        <f t="shared" si="93"/>
        <v>10000</v>
      </c>
      <c r="BF123" s="115">
        <f t="shared" si="93"/>
        <v>10000</v>
      </c>
      <c r="BG123" s="115">
        <f t="shared" si="93"/>
        <v>10000</v>
      </c>
      <c r="BH123" s="115">
        <f t="shared" si="93"/>
        <v>10000</v>
      </c>
      <c r="BI123" s="115">
        <f t="shared" si="93"/>
        <v>10000</v>
      </c>
      <c r="BJ123" s="115">
        <f t="shared" si="93"/>
        <v>10000</v>
      </c>
      <c r="BK123" s="115">
        <f t="shared" si="93"/>
        <v>10000</v>
      </c>
      <c r="BL123" s="115">
        <f t="shared" si="93"/>
        <v>10000</v>
      </c>
      <c r="BM123" s="115">
        <f t="shared" si="93"/>
        <v>10000</v>
      </c>
      <c r="BN123" s="115">
        <f t="shared" si="93"/>
        <v>10000</v>
      </c>
      <c r="BO123" s="115">
        <f t="shared" si="93"/>
        <v>10000</v>
      </c>
    </row>
    <row r="124" outlineLevel="1">
      <c r="A124" s="47"/>
      <c r="B124" s="118" t="s">
        <v>75</v>
      </c>
      <c r="C124" s="119">
        <v>100000.0</v>
      </c>
      <c r="D124" s="120">
        <v>0.2</v>
      </c>
      <c r="E124" s="121">
        <v>43891.0</v>
      </c>
      <c r="F124" s="115"/>
      <c r="G124" s="115"/>
      <c r="H124" s="115">
        <f t="shared" ref="H124:BO124" si="94">IF(H$4&gt;=$E124,($C124/12)*(1+$D124),0)</f>
        <v>10000</v>
      </c>
      <c r="I124" s="115">
        <f t="shared" si="94"/>
        <v>10000</v>
      </c>
      <c r="J124" s="115">
        <f t="shared" si="94"/>
        <v>10000</v>
      </c>
      <c r="K124" s="115">
        <f t="shared" si="94"/>
        <v>10000</v>
      </c>
      <c r="L124" s="115">
        <f t="shared" si="94"/>
        <v>10000</v>
      </c>
      <c r="M124" s="115">
        <f t="shared" si="94"/>
        <v>10000</v>
      </c>
      <c r="N124" s="115">
        <f t="shared" si="94"/>
        <v>10000</v>
      </c>
      <c r="O124" s="115">
        <f t="shared" si="94"/>
        <v>10000</v>
      </c>
      <c r="P124" s="115">
        <f t="shared" si="94"/>
        <v>10000</v>
      </c>
      <c r="Q124" s="115">
        <f t="shared" si="94"/>
        <v>10000</v>
      </c>
      <c r="R124" s="115">
        <f t="shared" si="94"/>
        <v>10000</v>
      </c>
      <c r="S124" s="115">
        <f t="shared" si="94"/>
        <v>10000</v>
      </c>
      <c r="T124" s="115">
        <f t="shared" si="94"/>
        <v>10000</v>
      </c>
      <c r="U124" s="115">
        <f t="shared" si="94"/>
        <v>10000</v>
      </c>
      <c r="V124" s="115">
        <f t="shared" si="94"/>
        <v>10000</v>
      </c>
      <c r="W124" s="115">
        <f t="shared" si="94"/>
        <v>10000</v>
      </c>
      <c r="X124" s="115">
        <f t="shared" si="94"/>
        <v>10000</v>
      </c>
      <c r="Y124" s="115">
        <f t="shared" si="94"/>
        <v>10000</v>
      </c>
      <c r="Z124" s="115">
        <f t="shared" si="94"/>
        <v>10000</v>
      </c>
      <c r="AA124" s="115">
        <f t="shared" si="94"/>
        <v>10000</v>
      </c>
      <c r="AB124" s="115">
        <f t="shared" si="94"/>
        <v>10000</v>
      </c>
      <c r="AC124" s="115">
        <f t="shared" si="94"/>
        <v>10000</v>
      </c>
      <c r="AD124" s="115">
        <f t="shared" si="94"/>
        <v>10000</v>
      </c>
      <c r="AE124" s="115">
        <f t="shared" si="94"/>
        <v>10000</v>
      </c>
      <c r="AF124" s="115">
        <f t="shared" si="94"/>
        <v>10000</v>
      </c>
      <c r="AG124" s="115">
        <f t="shared" si="94"/>
        <v>10000</v>
      </c>
      <c r="AH124" s="115">
        <f t="shared" si="94"/>
        <v>10000</v>
      </c>
      <c r="AI124" s="115">
        <f t="shared" si="94"/>
        <v>10000</v>
      </c>
      <c r="AJ124" s="115">
        <f t="shared" si="94"/>
        <v>10000</v>
      </c>
      <c r="AK124" s="115">
        <f t="shared" si="94"/>
        <v>10000</v>
      </c>
      <c r="AL124" s="115">
        <f t="shared" si="94"/>
        <v>10000</v>
      </c>
      <c r="AM124" s="115">
        <f t="shared" si="94"/>
        <v>10000</v>
      </c>
      <c r="AN124" s="115">
        <f t="shared" si="94"/>
        <v>10000</v>
      </c>
      <c r="AO124" s="115">
        <f t="shared" si="94"/>
        <v>10000</v>
      </c>
      <c r="AP124" s="115">
        <f t="shared" si="94"/>
        <v>10000</v>
      </c>
      <c r="AQ124" s="115">
        <f t="shared" si="94"/>
        <v>10000</v>
      </c>
      <c r="AR124" s="115">
        <f t="shared" si="94"/>
        <v>10000</v>
      </c>
      <c r="AS124" s="115">
        <f t="shared" si="94"/>
        <v>10000</v>
      </c>
      <c r="AT124" s="115">
        <f t="shared" si="94"/>
        <v>10000</v>
      </c>
      <c r="AU124" s="115">
        <f t="shared" si="94"/>
        <v>10000</v>
      </c>
      <c r="AV124" s="115">
        <f t="shared" si="94"/>
        <v>10000</v>
      </c>
      <c r="AW124" s="115">
        <f t="shared" si="94"/>
        <v>10000</v>
      </c>
      <c r="AX124" s="115">
        <f t="shared" si="94"/>
        <v>10000</v>
      </c>
      <c r="AY124" s="115">
        <f t="shared" si="94"/>
        <v>10000</v>
      </c>
      <c r="AZ124" s="115">
        <f t="shared" si="94"/>
        <v>10000</v>
      </c>
      <c r="BA124" s="115">
        <f t="shared" si="94"/>
        <v>10000</v>
      </c>
      <c r="BB124" s="115">
        <f t="shared" si="94"/>
        <v>10000</v>
      </c>
      <c r="BC124" s="115">
        <f t="shared" si="94"/>
        <v>10000</v>
      </c>
      <c r="BD124" s="115">
        <f t="shared" si="94"/>
        <v>10000</v>
      </c>
      <c r="BE124" s="115">
        <f t="shared" si="94"/>
        <v>10000</v>
      </c>
      <c r="BF124" s="115">
        <f t="shared" si="94"/>
        <v>10000</v>
      </c>
      <c r="BG124" s="115">
        <f t="shared" si="94"/>
        <v>10000</v>
      </c>
      <c r="BH124" s="115">
        <f t="shared" si="94"/>
        <v>10000</v>
      </c>
      <c r="BI124" s="115">
        <f t="shared" si="94"/>
        <v>10000</v>
      </c>
      <c r="BJ124" s="115">
        <f t="shared" si="94"/>
        <v>10000</v>
      </c>
      <c r="BK124" s="115">
        <f t="shared" si="94"/>
        <v>10000</v>
      </c>
      <c r="BL124" s="115">
        <f t="shared" si="94"/>
        <v>10000</v>
      </c>
      <c r="BM124" s="115">
        <f t="shared" si="94"/>
        <v>10000</v>
      </c>
      <c r="BN124" s="115">
        <f t="shared" si="94"/>
        <v>10000</v>
      </c>
      <c r="BO124" s="115">
        <f t="shared" si="94"/>
        <v>10000</v>
      </c>
    </row>
    <row r="125" outlineLevel="1">
      <c r="A125" s="47"/>
      <c r="B125" s="118" t="s">
        <v>76</v>
      </c>
      <c r="C125" s="119">
        <v>75000.0</v>
      </c>
      <c r="D125" s="120">
        <v>0.2</v>
      </c>
      <c r="E125" s="121">
        <v>43983.0</v>
      </c>
      <c r="F125" s="115"/>
      <c r="G125" s="115"/>
      <c r="H125" s="115">
        <f t="shared" ref="H125:BO125" si="95">IF(H$4&gt;=$E125,($C125/12)*(1+$D125),0)</f>
        <v>7500</v>
      </c>
      <c r="I125" s="115">
        <f t="shared" si="95"/>
        <v>7500</v>
      </c>
      <c r="J125" s="115">
        <f t="shared" si="95"/>
        <v>7500</v>
      </c>
      <c r="K125" s="115">
        <f t="shared" si="95"/>
        <v>7500</v>
      </c>
      <c r="L125" s="115">
        <f t="shared" si="95"/>
        <v>7500</v>
      </c>
      <c r="M125" s="115">
        <f t="shared" si="95"/>
        <v>7500</v>
      </c>
      <c r="N125" s="115">
        <f t="shared" si="95"/>
        <v>7500</v>
      </c>
      <c r="O125" s="115">
        <f t="shared" si="95"/>
        <v>7500</v>
      </c>
      <c r="P125" s="115">
        <f t="shared" si="95"/>
        <v>7500</v>
      </c>
      <c r="Q125" s="115">
        <f t="shared" si="95"/>
        <v>7500</v>
      </c>
      <c r="R125" s="115">
        <f t="shared" si="95"/>
        <v>7500</v>
      </c>
      <c r="S125" s="115">
        <f t="shared" si="95"/>
        <v>7500</v>
      </c>
      <c r="T125" s="115">
        <f t="shared" si="95"/>
        <v>7500</v>
      </c>
      <c r="U125" s="115">
        <f t="shared" si="95"/>
        <v>7500</v>
      </c>
      <c r="V125" s="115">
        <f t="shared" si="95"/>
        <v>7500</v>
      </c>
      <c r="W125" s="115">
        <f t="shared" si="95"/>
        <v>7500</v>
      </c>
      <c r="X125" s="115">
        <f t="shared" si="95"/>
        <v>7500</v>
      </c>
      <c r="Y125" s="115">
        <f t="shared" si="95"/>
        <v>7500</v>
      </c>
      <c r="Z125" s="115">
        <f t="shared" si="95"/>
        <v>7500</v>
      </c>
      <c r="AA125" s="115">
        <f t="shared" si="95"/>
        <v>7500</v>
      </c>
      <c r="AB125" s="115">
        <f t="shared" si="95"/>
        <v>7500</v>
      </c>
      <c r="AC125" s="115">
        <f t="shared" si="95"/>
        <v>7500</v>
      </c>
      <c r="AD125" s="115">
        <f t="shared" si="95"/>
        <v>7500</v>
      </c>
      <c r="AE125" s="115">
        <f t="shared" si="95"/>
        <v>7500</v>
      </c>
      <c r="AF125" s="115">
        <f t="shared" si="95"/>
        <v>7500</v>
      </c>
      <c r="AG125" s="115">
        <f t="shared" si="95"/>
        <v>7500</v>
      </c>
      <c r="AH125" s="115">
        <f t="shared" si="95"/>
        <v>7500</v>
      </c>
      <c r="AI125" s="115">
        <f t="shared" si="95"/>
        <v>7500</v>
      </c>
      <c r="AJ125" s="115">
        <f t="shared" si="95"/>
        <v>7500</v>
      </c>
      <c r="AK125" s="115">
        <f t="shared" si="95"/>
        <v>7500</v>
      </c>
      <c r="AL125" s="115">
        <f t="shared" si="95"/>
        <v>7500</v>
      </c>
      <c r="AM125" s="115">
        <f t="shared" si="95"/>
        <v>7500</v>
      </c>
      <c r="AN125" s="115">
        <f t="shared" si="95"/>
        <v>7500</v>
      </c>
      <c r="AO125" s="115">
        <f t="shared" si="95"/>
        <v>7500</v>
      </c>
      <c r="AP125" s="115">
        <f t="shared" si="95"/>
        <v>7500</v>
      </c>
      <c r="AQ125" s="115">
        <f t="shared" si="95"/>
        <v>7500</v>
      </c>
      <c r="AR125" s="115">
        <f t="shared" si="95"/>
        <v>7500</v>
      </c>
      <c r="AS125" s="115">
        <f t="shared" si="95"/>
        <v>7500</v>
      </c>
      <c r="AT125" s="115">
        <f t="shared" si="95"/>
        <v>7500</v>
      </c>
      <c r="AU125" s="115">
        <f t="shared" si="95"/>
        <v>7500</v>
      </c>
      <c r="AV125" s="115">
        <f t="shared" si="95"/>
        <v>7500</v>
      </c>
      <c r="AW125" s="115">
        <f t="shared" si="95"/>
        <v>7500</v>
      </c>
      <c r="AX125" s="115">
        <f t="shared" si="95"/>
        <v>7500</v>
      </c>
      <c r="AY125" s="115">
        <f t="shared" si="95"/>
        <v>7500</v>
      </c>
      <c r="AZ125" s="115">
        <f t="shared" si="95"/>
        <v>7500</v>
      </c>
      <c r="BA125" s="115">
        <f t="shared" si="95"/>
        <v>7500</v>
      </c>
      <c r="BB125" s="115">
        <f t="shared" si="95"/>
        <v>7500</v>
      </c>
      <c r="BC125" s="115">
        <f t="shared" si="95"/>
        <v>7500</v>
      </c>
      <c r="BD125" s="115">
        <f t="shared" si="95"/>
        <v>7500</v>
      </c>
      <c r="BE125" s="115">
        <f t="shared" si="95"/>
        <v>7500</v>
      </c>
      <c r="BF125" s="115">
        <f t="shared" si="95"/>
        <v>7500</v>
      </c>
      <c r="BG125" s="115">
        <f t="shared" si="95"/>
        <v>7500</v>
      </c>
      <c r="BH125" s="115">
        <f t="shared" si="95"/>
        <v>7500</v>
      </c>
      <c r="BI125" s="115">
        <f t="shared" si="95"/>
        <v>7500</v>
      </c>
      <c r="BJ125" s="115">
        <f t="shared" si="95"/>
        <v>7500</v>
      </c>
      <c r="BK125" s="115">
        <f t="shared" si="95"/>
        <v>7500</v>
      </c>
      <c r="BL125" s="115">
        <f t="shared" si="95"/>
        <v>7500</v>
      </c>
      <c r="BM125" s="115">
        <f t="shared" si="95"/>
        <v>7500</v>
      </c>
      <c r="BN125" s="115">
        <f t="shared" si="95"/>
        <v>7500</v>
      </c>
      <c r="BO125" s="115">
        <f t="shared" si="95"/>
        <v>7500</v>
      </c>
    </row>
    <row r="126" outlineLevel="1">
      <c r="A126" s="47"/>
      <c r="B126" s="118" t="s">
        <v>77</v>
      </c>
      <c r="C126" s="119">
        <v>50000.0</v>
      </c>
      <c r="D126" s="120">
        <v>0.2</v>
      </c>
      <c r="E126" s="121">
        <v>44075.0</v>
      </c>
      <c r="F126" s="115"/>
      <c r="G126" s="115"/>
      <c r="H126" s="115">
        <f t="shared" ref="H126:BO126" si="96">IF(H$4&gt;=$E126,($C126/12)*(1+$D126),0)</f>
        <v>5000</v>
      </c>
      <c r="I126" s="115">
        <f t="shared" si="96"/>
        <v>5000</v>
      </c>
      <c r="J126" s="115">
        <f t="shared" si="96"/>
        <v>5000</v>
      </c>
      <c r="K126" s="115">
        <f t="shared" si="96"/>
        <v>5000</v>
      </c>
      <c r="L126" s="115">
        <f t="shared" si="96"/>
        <v>5000</v>
      </c>
      <c r="M126" s="115">
        <f t="shared" si="96"/>
        <v>5000</v>
      </c>
      <c r="N126" s="115">
        <f t="shared" si="96"/>
        <v>5000</v>
      </c>
      <c r="O126" s="115">
        <f t="shared" si="96"/>
        <v>5000</v>
      </c>
      <c r="P126" s="115">
        <f t="shared" si="96"/>
        <v>5000</v>
      </c>
      <c r="Q126" s="115">
        <f t="shared" si="96"/>
        <v>5000</v>
      </c>
      <c r="R126" s="115">
        <f t="shared" si="96"/>
        <v>5000</v>
      </c>
      <c r="S126" s="115">
        <f t="shared" si="96"/>
        <v>5000</v>
      </c>
      <c r="T126" s="115">
        <f t="shared" si="96"/>
        <v>5000</v>
      </c>
      <c r="U126" s="115">
        <f t="shared" si="96"/>
        <v>5000</v>
      </c>
      <c r="V126" s="115">
        <f t="shared" si="96"/>
        <v>5000</v>
      </c>
      <c r="W126" s="115">
        <f t="shared" si="96"/>
        <v>5000</v>
      </c>
      <c r="X126" s="115">
        <f t="shared" si="96"/>
        <v>5000</v>
      </c>
      <c r="Y126" s="115">
        <f t="shared" si="96"/>
        <v>5000</v>
      </c>
      <c r="Z126" s="115">
        <f t="shared" si="96"/>
        <v>5000</v>
      </c>
      <c r="AA126" s="115">
        <f t="shared" si="96"/>
        <v>5000</v>
      </c>
      <c r="AB126" s="115">
        <f t="shared" si="96"/>
        <v>5000</v>
      </c>
      <c r="AC126" s="115">
        <f t="shared" si="96"/>
        <v>5000</v>
      </c>
      <c r="AD126" s="115">
        <f t="shared" si="96"/>
        <v>5000</v>
      </c>
      <c r="AE126" s="115">
        <f t="shared" si="96"/>
        <v>5000</v>
      </c>
      <c r="AF126" s="115">
        <f t="shared" si="96"/>
        <v>5000</v>
      </c>
      <c r="AG126" s="115">
        <f t="shared" si="96"/>
        <v>5000</v>
      </c>
      <c r="AH126" s="115">
        <f t="shared" si="96"/>
        <v>5000</v>
      </c>
      <c r="AI126" s="115">
        <f t="shared" si="96"/>
        <v>5000</v>
      </c>
      <c r="AJ126" s="115">
        <f t="shared" si="96"/>
        <v>5000</v>
      </c>
      <c r="AK126" s="115">
        <f t="shared" si="96"/>
        <v>5000</v>
      </c>
      <c r="AL126" s="115">
        <f t="shared" si="96"/>
        <v>5000</v>
      </c>
      <c r="AM126" s="115">
        <f t="shared" si="96"/>
        <v>5000</v>
      </c>
      <c r="AN126" s="115">
        <f t="shared" si="96"/>
        <v>5000</v>
      </c>
      <c r="AO126" s="115">
        <f t="shared" si="96"/>
        <v>5000</v>
      </c>
      <c r="AP126" s="115">
        <f t="shared" si="96"/>
        <v>5000</v>
      </c>
      <c r="AQ126" s="115">
        <f t="shared" si="96"/>
        <v>5000</v>
      </c>
      <c r="AR126" s="115">
        <f t="shared" si="96"/>
        <v>5000</v>
      </c>
      <c r="AS126" s="115">
        <f t="shared" si="96"/>
        <v>5000</v>
      </c>
      <c r="AT126" s="115">
        <f t="shared" si="96"/>
        <v>5000</v>
      </c>
      <c r="AU126" s="115">
        <f t="shared" si="96"/>
        <v>5000</v>
      </c>
      <c r="AV126" s="115">
        <f t="shared" si="96"/>
        <v>5000</v>
      </c>
      <c r="AW126" s="115">
        <f t="shared" si="96"/>
        <v>5000</v>
      </c>
      <c r="AX126" s="115">
        <f t="shared" si="96"/>
        <v>5000</v>
      </c>
      <c r="AY126" s="115">
        <f t="shared" si="96"/>
        <v>5000</v>
      </c>
      <c r="AZ126" s="115">
        <f t="shared" si="96"/>
        <v>5000</v>
      </c>
      <c r="BA126" s="115">
        <f t="shared" si="96"/>
        <v>5000</v>
      </c>
      <c r="BB126" s="115">
        <f t="shared" si="96"/>
        <v>5000</v>
      </c>
      <c r="BC126" s="115">
        <f t="shared" si="96"/>
        <v>5000</v>
      </c>
      <c r="BD126" s="115">
        <f t="shared" si="96"/>
        <v>5000</v>
      </c>
      <c r="BE126" s="115">
        <f t="shared" si="96"/>
        <v>5000</v>
      </c>
      <c r="BF126" s="115">
        <f t="shared" si="96"/>
        <v>5000</v>
      </c>
      <c r="BG126" s="115">
        <f t="shared" si="96"/>
        <v>5000</v>
      </c>
      <c r="BH126" s="115">
        <f t="shared" si="96"/>
        <v>5000</v>
      </c>
      <c r="BI126" s="115">
        <f t="shared" si="96"/>
        <v>5000</v>
      </c>
      <c r="BJ126" s="115">
        <f t="shared" si="96"/>
        <v>5000</v>
      </c>
      <c r="BK126" s="115">
        <f t="shared" si="96"/>
        <v>5000</v>
      </c>
      <c r="BL126" s="115">
        <f t="shared" si="96"/>
        <v>5000</v>
      </c>
      <c r="BM126" s="115">
        <f t="shared" si="96"/>
        <v>5000</v>
      </c>
      <c r="BN126" s="115">
        <f t="shared" si="96"/>
        <v>5000</v>
      </c>
      <c r="BO126" s="115">
        <f t="shared" si="96"/>
        <v>5000</v>
      </c>
    </row>
    <row r="127" outlineLevel="1">
      <c r="A127" s="47"/>
      <c r="B127" s="118" t="s">
        <v>78</v>
      </c>
      <c r="C127" s="119">
        <v>80000.0</v>
      </c>
      <c r="D127" s="120">
        <v>0.2</v>
      </c>
      <c r="E127" s="121">
        <v>44166.0</v>
      </c>
      <c r="F127" s="115"/>
      <c r="G127" s="115"/>
      <c r="H127" s="115">
        <f t="shared" ref="H127:BO127" si="97">IF(H$4&gt;=$E127,($C127/12)*(1+$D127),0)</f>
        <v>8000</v>
      </c>
      <c r="I127" s="115">
        <f t="shared" si="97"/>
        <v>8000</v>
      </c>
      <c r="J127" s="115">
        <f t="shared" si="97"/>
        <v>8000</v>
      </c>
      <c r="K127" s="115">
        <f t="shared" si="97"/>
        <v>8000</v>
      </c>
      <c r="L127" s="115">
        <f t="shared" si="97"/>
        <v>8000</v>
      </c>
      <c r="M127" s="115">
        <f t="shared" si="97"/>
        <v>8000</v>
      </c>
      <c r="N127" s="115">
        <f t="shared" si="97"/>
        <v>8000</v>
      </c>
      <c r="O127" s="115">
        <f t="shared" si="97"/>
        <v>8000</v>
      </c>
      <c r="P127" s="115">
        <f t="shared" si="97"/>
        <v>8000</v>
      </c>
      <c r="Q127" s="115">
        <f t="shared" si="97"/>
        <v>8000</v>
      </c>
      <c r="R127" s="115">
        <f t="shared" si="97"/>
        <v>8000</v>
      </c>
      <c r="S127" s="115">
        <f t="shared" si="97"/>
        <v>8000</v>
      </c>
      <c r="T127" s="115">
        <f t="shared" si="97"/>
        <v>8000</v>
      </c>
      <c r="U127" s="115">
        <f t="shared" si="97"/>
        <v>8000</v>
      </c>
      <c r="V127" s="115">
        <f t="shared" si="97"/>
        <v>8000</v>
      </c>
      <c r="W127" s="115">
        <f t="shared" si="97"/>
        <v>8000</v>
      </c>
      <c r="X127" s="115">
        <f t="shared" si="97"/>
        <v>8000</v>
      </c>
      <c r="Y127" s="115">
        <f t="shared" si="97"/>
        <v>8000</v>
      </c>
      <c r="Z127" s="115">
        <f t="shared" si="97"/>
        <v>8000</v>
      </c>
      <c r="AA127" s="115">
        <f t="shared" si="97"/>
        <v>8000</v>
      </c>
      <c r="AB127" s="115">
        <f t="shared" si="97"/>
        <v>8000</v>
      </c>
      <c r="AC127" s="115">
        <f t="shared" si="97"/>
        <v>8000</v>
      </c>
      <c r="AD127" s="115">
        <f t="shared" si="97"/>
        <v>8000</v>
      </c>
      <c r="AE127" s="115">
        <f t="shared" si="97"/>
        <v>8000</v>
      </c>
      <c r="AF127" s="115">
        <f t="shared" si="97"/>
        <v>8000</v>
      </c>
      <c r="AG127" s="115">
        <f t="shared" si="97"/>
        <v>8000</v>
      </c>
      <c r="AH127" s="115">
        <f t="shared" si="97"/>
        <v>8000</v>
      </c>
      <c r="AI127" s="115">
        <f t="shared" si="97"/>
        <v>8000</v>
      </c>
      <c r="AJ127" s="115">
        <f t="shared" si="97"/>
        <v>8000</v>
      </c>
      <c r="AK127" s="115">
        <f t="shared" si="97"/>
        <v>8000</v>
      </c>
      <c r="AL127" s="115">
        <f t="shared" si="97"/>
        <v>8000</v>
      </c>
      <c r="AM127" s="115">
        <f t="shared" si="97"/>
        <v>8000</v>
      </c>
      <c r="AN127" s="115">
        <f t="shared" si="97"/>
        <v>8000</v>
      </c>
      <c r="AO127" s="115">
        <f t="shared" si="97"/>
        <v>8000</v>
      </c>
      <c r="AP127" s="115">
        <f t="shared" si="97"/>
        <v>8000</v>
      </c>
      <c r="AQ127" s="115">
        <f t="shared" si="97"/>
        <v>8000</v>
      </c>
      <c r="AR127" s="115">
        <f t="shared" si="97"/>
        <v>8000</v>
      </c>
      <c r="AS127" s="115">
        <f t="shared" si="97"/>
        <v>8000</v>
      </c>
      <c r="AT127" s="115">
        <f t="shared" si="97"/>
        <v>8000</v>
      </c>
      <c r="AU127" s="115">
        <f t="shared" si="97"/>
        <v>8000</v>
      </c>
      <c r="AV127" s="115">
        <f t="shared" si="97"/>
        <v>8000</v>
      </c>
      <c r="AW127" s="115">
        <f t="shared" si="97"/>
        <v>8000</v>
      </c>
      <c r="AX127" s="115">
        <f t="shared" si="97"/>
        <v>8000</v>
      </c>
      <c r="AY127" s="115">
        <f t="shared" si="97"/>
        <v>8000</v>
      </c>
      <c r="AZ127" s="115">
        <f t="shared" si="97"/>
        <v>8000</v>
      </c>
      <c r="BA127" s="115">
        <f t="shared" si="97"/>
        <v>8000</v>
      </c>
      <c r="BB127" s="115">
        <f t="shared" si="97"/>
        <v>8000</v>
      </c>
      <c r="BC127" s="115">
        <f t="shared" si="97"/>
        <v>8000</v>
      </c>
      <c r="BD127" s="115">
        <f t="shared" si="97"/>
        <v>8000</v>
      </c>
      <c r="BE127" s="115">
        <f t="shared" si="97"/>
        <v>8000</v>
      </c>
      <c r="BF127" s="115">
        <f t="shared" si="97"/>
        <v>8000</v>
      </c>
      <c r="BG127" s="115">
        <f t="shared" si="97"/>
        <v>8000</v>
      </c>
      <c r="BH127" s="115">
        <f t="shared" si="97"/>
        <v>8000</v>
      </c>
      <c r="BI127" s="115">
        <f t="shared" si="97"/>
        <v>8000</v>
      </c>
      <c r="BJ127" s="115">
        <f t="shared" si="97"/>
        <v>8000</v>
      </c>
      <c r="BK127" s="115">
        <f t="shared" si="97"/>
        <v>8000</v>
      </c>
      <c r="BL127" s="115">
        <f t="shared" si="97"/>
        <v>8000</v>
      </c>
      <c r="BM127" s="115">
        <f t="shared" si="97"/>
        <v>8000</v>
      </c>
      <c r="BN127" s="115">
        <f t="shared" si="97"/>
        <v>8000</v>
      </c>
      <c r="BO127" s="115">
        <f t="shared" si="97"/>
        <v>8000</v>
      </c>
    </row>
    <row r="128" outlineLevel="1">
      <c r="A128" s="47"/>
      <c r="B128" s="118" t="s">
        <v>79</v>
      </c>
      <c r="C128" s="119">
        <v>90000.0</v>
      </c>
      <c r="D128" s="120">
        <v>0.2</v>
      </c>
      <c r="E128" s="121">
        <v>44256.0</v>
      </c>
      <c r="F128" s="115"/>
      <c r="G128" s="115"/>
      <c r="H128" s="115">
        <f t="shared" ref="H128:BO128" si="98">IF(H$4&gt;=$E128,($C128/12)*(1+$D128),0)</f>
        <v>9000</v>
      </c>
      <c r="I128" s="115">
        <f t="shared" si="98"/>
        <v>9000</v>
      </c>
      <c r="J128" s="115">
        <f t="shared" si="98"/>
        <v>9000</v>
      </c>
      <c r="K128" s="115">
        <f t="shared" si="98"/>
        <v>9000</v>
      </c>
      <c r="L128" s="115">
        <f t="shared" si="98"/>
        <v>9000</v>
      </c>
      <c r="M128" s="115">
        <f t="shared" si="98"/>
        <v>9000</v>
      </c>
      <c r="N128" s="115">
        <f t="shared" si="98"/>
        <v>9000</v>
      </c>
      <c r="O128" s="115">
        <f t="shared" si="98"/>
        <v>9000</v>
      </c>
      <c r="P128" s="115">
        <f t="shared" si="98"/>
        <v>9000</v>
      </c>
      <c r="Q128" s="115">
        <f t="shared" si="98"/>
        <v>9000</v>
      </c>
      <c r="R128" s="115">
        <f t="shared" si="98"/>
        <v>9000</v>
      </c>
      <c r="S128" s="115">
        <f t="shared" si="98"/>
        <v>9000</v>
      </c>
      <c r="T128" s="115">
        <f t="shared" si="98"/>
        <v>9000</v>
      </c>
      <c r="U128" s="115">
        <f t="shared" si="98"/>
        <v>9000</v>
      </c>
      <c r="V128" s="115">
        <f t="shared" si="98"/>
        <v>9000</v>
      </c>
      <c r="W128" s="115">
        <f t="shared" si="98"/>
        <v>9000</v>
      </c>
      <c r="X128" s="115">
        <f t="shared" si="98"/>
        <v>9000</v>
      </c>
      <c r="Y128" s="115">
        <f t="shared" si="98"/>
        <v>9000</v>
      </c>
      <c r="Z128" s="115">
        <f t="shared" si="98"/>
        <v>9000</v>
      </c>
      <c r="AA128" s="115">
        <f t="shared" si="98"/>
        <v>9000</v>
      </c>
      <c r="AB128" s="115">
        <f t="shared" si="98"/>
        <v>9000</v>
      </c>
      <c r="AC128" s="115">
        <f t="shared" si="98"/>
        <v>9000</v>
      </c>
      <c r="AD128" s="115">
        <f t="shared" si="98"/>
        <v>9000</v>
      </c>
      <c r="AE128" s="115">
        <f t="shared" si="98"/>
        <v>9000</v>
      </c>
      <c r="AF128" s="115">
        <f t="shared" si="98"/>
        <v>9000</v>
      </c>
      <c r="AG128" s="115">
        <f t="shared" si="98"/>
        <v>9000</v>
      </c>
      <c r="AH128" s="115">
        <f t="shared" si="98"/>
        <v>9000</v>
      </c>
      <c r="AI128" s="115">
        <f t="shared" si="98"/>
        <v>9000</v>
      </c>
      <c r="AJ128" s="115">
        <f t="shared" si="98"/>
        <v>9000</v>
      </c>
      <c r="AK128" s="115">
        <f t="shared" si="98"/>
        <v>9000</v>
      </c>
      <c r="AL128" s="115">
        <f t="shared" si="98"/>
        <v>9000</v>
      </c>
      <c r="AM128" s="115">
        <f t="shared" si="98"/>
        <v>9000</v>
      </c>
      <c r="AN128" s="115">
        <f t="shared" si="98"/>
        <v>9000</v>
      </c>
      <c r="AO128" s="115">
        <f t="shared" si="98"/>
        <v>9000</v>
      </c>
      <c r="AP128" s="115">
        <f t="shared" si="98"/>
        <v>9000</v>
      </c>
      <c r="AQ128" s="115">
        <f t="shared" si="98"/>
        <v>9000</v>
      </c>
      <c r="AR128" s="115">
        <f t="shared" si="98"/>
        <v>9000</v>
      </c>
      <c r="AS128" s="115">
        <f t="shared" si="98"/>
        <v>9000</v>
      </c>
      <c r="AT128" s="115">
        <f t="shared" si="98"/>
        <v>9000</v>
      </c>
      <c r="AU128" s="115">
        <f t="shared" si="98"/>
        <v>9000</v>
      </c>
      <c r="AV128" s="115">
        <f t="shared" si="98"/>
        <v>9000</v>
      </c>
      <c r="AW128" s="115">
        <f t="shared" si="98"/>
        <v>9000</v>
      </c>
      <c r="AX128" s="115">
        <f t="shared" si="98"/>
        <v>9000</v>
      </c>
      <c r="AY128" s="115">
        <f t="shared" si="98"/>
        <v>9000</v>
      </c>
      <c r="AZ128" s="115">
        <f t="shared" si="98"/>
        <v>9000</v>
      </c>
      <c r="BA128" s="115">
        <f t="shared" si="98"/>
        <v>9000</v>
      </c>
      <c r="BB128" s="115">
        <f t="shared" si="98"/>
        <v>9000</v>
      </c>
      <c r="BC128" s="115">
        <f t="shared" si="98"/>
        <v>9000</v>
      </c>
      <c r="BD128" s="115">
        <f t="shared" si="98"/>
        <v>9000</v>
      </c>
      <c r="BE128" s="115">
        <f t="shared" si="98"/>
        <v>9000</v>
      </c>
      <c r="BF128" s="115">
        <f t="shared" si="98"/>
        <v>9000</v>
      </c>
      <c r="BG128" s="115">
        <f t="shared" si="98"/>
        <v>9000</v>
      </c>
      <c r="BH128" s="115">
        <f t="shared" si="98"/>
        <v>9000</v>
      </c>
      <c r="BI128" s="115">
        <f t="shared" si="98"/>
        <v>9000</v>
      </c>
      <c r="BJ128" s="115">
        <f t="shared" si="98"/>
        <v>9000</v>
      </c>
      <c r="BK128" s="115">
        <f t="shared" si="98"/>
        <v>9000</v>
      </c>
      <c r="BL128" s="115">
        <f t="shared" si="98"/>
        <v>9000</v>
      </c>
      <c r="BM128" s="115">
        <f t="shared" si="98"/>
        <v>9000</v>
      </c>
      <c r="BN128" s="115">
        <f t="shared" si="98"/>
        <v>9000</v>
      </c>
      <c r="BO128" s="115">
        <f t="shared" si="98"/>
        <v>9000</v>
      </c>
    </row>
    <row r="129" outlineLevel="1">
      <c r="A129" s="47"/>
      <c r="B129" s="118" t="s">
        <v>80</v>
      </c>
      <c r="C129" s="119">
        <v>45000.0</v>
      </c>
      <c r="D129" s="120">
        <v>0.2</v>
      </c>
      <c r="E129" s="121">
        <v>44348.0</v>
      </c>
      <c r="F129" s="115"/>
      <c r="G129" s="115"/>
      <c r="H129" s="115">
        <f t="shared" ref="H129:BO129" si="99">IF(H$4&gt;=$E129,($C129/12)*(1+$D129),0)</f>
        <v>4500</v>
      </c>
      <c r="I129" s="115">
        <f t="shared" si="99"/>
        <v>4500</v>
      </c>
      <c r="J129" s="115">
        <f t="shared" si="99"/>
        <v>4500</v>
      </c>
      <c r="K129" s="115">
        <f t="shared" si="99"/>
        <v>4500</v>
      </c>
      <c r="L129" s="115">
        <f t="shared" si="99"/>
        <v>4500</v>
      </c>
      <c r="M129" s="115">
        <f t="shared" si="99"/>
        <v>4500</v>
      </c>
      <c r="N129" s="115">
        <f t="shared" si="99"/>
        <v>4500</v>
      </c>
      <c r="O129" s="115">
        <f t="shared" si="99"/>
        <v>4500</v>
      </c>
      <c r="P129" s="115">
        <f t="shared" si="99"/>
        <v>4500</v>
      </c>
      <c r="Q129" s="115">
        <f t="shared" si="99"/>
        <v>4500</v>
      </c>
      <c r="R129" s="115">
        <f t="shared" si="99"/>
        <v>4500</v>
      </c>
      <c r="S129" s="115">
        <f t="shared" si="99"/>
        <v>4500</v>
      </c>
      <c r="T129" s="115">
        <f t="shared" si="99"/>
        <v>4500</v>
      </c>
      <c r="U129" s="115">
        <f t="shared" si="99"/>
        <v>4500</v>
      </c>
      <c r="V129" s="115">
        <f t="shared" si="99"/>
        <v>4500</v>
      </c>
      <c r="W129" s="115">
        <f t="shared" si="99"/>
        <v>4500</v>
      </c>
      <c r="X129" s="115">
        <f t="shared" si="99"/>
        <v>4500</v>
      </c>
      <c r="Y129" s="115">
        <f t="shared" si="99"/>
        <v>4500</v>
      </c>
      <c r="Z129" s="115">
        <f t="shared" si="99"/>
        <v>4500</v>
      </c>
      <c r="AA129" s="115">
        <f t="shared" si="99"/>
        <v>4500</v>
      </c>
      <c r="AB129" s="115">
        <f t="shared" si="99"/>
        <v>4500</v>
      </c>
      <c r="AC129" s="115">
        <f t="shared" si="99"/>
        <v>4500</v>
      </c>
      <c r="AD129" s="115">
        <f t="shared" si="99"/>
        <v>4500</v>
      </c>
      <c r="AE129" s="115">
        <f t="shared" si="99"/>
        <v>4500</v>
      </c>
      <c r="AF129" s="115">
        <f t="shared" si="99"/>
        <v>4500</v>
      </c>
      <c r="AG129" s="115">
        <f t="shared" si="99"/>
        <v>4500</v>
      </c>
      <c r="AH129" s="115">
        <f t="shared" si="99"/>
        <v>4500</v>
      </c>
      <c r="AI129" s="115">
        <f t="shared" si="99"/>
        <v>4500</v>
      </c>
      <c r="AJ129" s="115">
        <f t="shared" si="99"/>
        <v>4500</v>
      </c>
      <c r="AK129" s="115">
        <f t="shared" si="99"/>
        <v>4500</v>
      </c>
      <c r="AL129" s="115">
        <f t="shared" si="99"/>
        <v>4500</v>
      </c>
      <c r="AM129" s="115">
        <f t="shared" si="99"/>
        <v>4500</v>
      </c>
      <c r="AN129" s="115">
        <f t="shared" si="99"/>
        <v>4500</v>
      </c>
      <c r="AO129" s="115">
        <f t="shared" si="99"/>
        <v>4500</v>
      </c>
      <c r="AP129" s="115">
        <f t="shared" si="99"/>
        <v>4500</v>
      </c>
      <c r="AQ129" s="115">
        <f t="shared" si="99"/>
        <v>4500</v>
      </c>
      <c r="AR129" s="115">
        <f t="shared" si="99"/>
        <v>4500</v>
      </c>
      <c r="AS129" s="115">
        <f t="shared" si="99"/>
        <v>4500</v>
      </c>
      <c r="AT129" s="115">
        <f t="shared" si="99"/>
        <v>4500</v>
      </c>
      <c r="AU129" s="115">
        <f t="shared" si="99"/>
        <v>4500</v>
      </c>
      <c r="AV129" s="115">
        <f t="shared" si="99"/>
        <v>4500</v>
      </c>
      <c r="AW129" s="115">
        <f t="shared" si="99"/>
        <v>4500</v>
      </c>
      <c r="AX129" s="115">
        <f t="shared" si="99"/>
        <v>4500</v>
      </c>
      <c r="AY129" s="115">
        <f t="shared" si="99"/>
        <v>4500</v>
      </c>
      <c r="AZ129" s="115">
        <f t="shared" si="99"/>
        <v>4500</v>
      </c>
      <c r="BA129" s="115">
        <f t="shared" si="99"/>
        <v>4500</v>
      </c>
      <c r="BB129" s="115">
        <f t="shared" si="99"/>
        <v>4500</v>
      </c>
      <c r="BC129" s="115">
        <f t="shared" si="99"/>
        <v>4500</v>
      </c>
      <c r="BD129" s="115">
        <f t="shared" si="99"/>
        <v>4500</v>
      </c>
      <c r="BE129" s="115">
        <f t="shared" si="99"/>
        <v>4500</v>
      </c>
      <c r="BF129" s="115">
        <f t="shared" si="99"/>
        <v>4500</v>
      </c>
      <c r="BG129" s="115">
        <f t="shared" si="99"/>
        <v>4500</v>
      </c>
      <c r="BH129" s="115">
        <f t="shared" si="99"/>
        <v>4500</v>
      </c>
      <c r="BI129" s="115">
        <f t="shared" si="99"/>
        <v>4500</v>
      </c>
      <c r="BJ129" s="115">
        <f t="shared" si="99"/>
        <v>4500</v>
      </c>
      <c r="BK129" s="115">
        <f t="shared" si="99"/>
        <v>4500</v>
      </c>
      <c r="BL129" s="115">
        <f t="shared" si="99"/>
        <v>4500</v>
      </c>
      <c r="BM129" s="115">
        <f t="shared" si="99"/>
        <v>4500</v>
      </c>
      <c r="BN129" s="115">
        <f t="shared" si="99"/>
        <v>4500</v>
      </c>
      <c r="BO129" s="115">
        <f t="shared" si="99"/>
        <v>4500</v>
      </c>
    </row>
    <row r="130" outlineLevel="1">
      <c r="A130" s="47"/>
      <c r="B130" s="118" t="s">
        <v>81</v>
      </c>
      <c r="C130" s="119">
        <v>100000.0</v>
      </c>
      <c r="D130" s="120">
        <v>0.2</v>
      </c>
      <c r="E130" s="121">
        <v>43831.0</v>
      </c>
      <c r="F130" s="115"/>
      <c r="G130" s="115"/>
      <c r="H130" s="115">
        <f t="shared" ref="H130:BO130" si="100">IF(H$4&gt;=$E130,($C130/12)*(1+$D130),0)</f>
        <v>10000</v>
      </c>
      <c r="I130" s="115">
        <f t="shared" si="100"/>
        <v>10000</v>
      </c>
      <c r="J130" s="115">
        <f t="shared" si="100"/>
        <v>10000</v>
      </c>
      <c r="K130" s="115">
        <f t="shared" si="100"/>
        <v>10000</v>
      </c>
      <c r="L130" s="115">
        <f t="shared" si="100"/>
        <v>10000</v>
      </c>
      <c r="M130" s="115">
        <f t="shared" si="100"/>
        <v>10000</v>
      </c>
      <c r="N130" s="115">
        <f t="shared" si="100"/>
        <v>10000</v>
      </c>
      <c r="O130" s="115">
        <f t="shared" si="100"/>
        <v>10000</v>
      </c>
      <c r="P130" s="115">
        <f t="shared" si="100"/>
        <v>10000</v>
      </c>
      <c r="Q130" s="115">
        <f t="shared" si="100"/>
        <v>10000</v>
      </c>
      <c r="R130" s="115">
        <f t="shared" si="100"/>
        <v>10000</v>
      </c>
      <c r="S130" s="115">
        <f t="shared" si="100"/>
        <v>10000</v>
      </c>
      <c r="T130" s="115">
        <f t="shared" si="100"/>
        <v>10000</v>
      </c>
      <c r="U130" s="115">
        <f t="shared" si="100"/>
        <v>10000</v>
      </c>
      <c r="V130" s="115">
        <f t="shared" si="100"/>
        <v>10000</v>
      </c>
      <c r="W130" s="115">
        <f t="shared" si="100"/>
        <v>10000</v>
      </c>
      <c r="X130" s="115">
        <f t="shared" si="100"/>
        <v>10000</v>
      </c>
      <c r="Y130" s="115">
        <f t="shared" si="100"/>
        <v>10000</v>
      </c>
      <c r="Z130" s="115">
        <f t="shared" si="100"/>
        <v>10000</v>
      </c>
      <c r="AA130" s="115">
        <f t="shared" si="100"/>
        <v>10000</v>
      </c>
      <c r="AB130" s="115">
        <f t="shared" si="100"/>
        <v>10000</v>
      </c>
      <c r="AC130" s="115">
        <f t="shared" si="100"/>
        <v>10000</v>
      </c>
      <c r="AD130" s="115">
        <f t="shared" si="100"/>
        <v>10000</v>
      </c>
      <c r="AE130" s="115">
        <f t="shared" si="100"/>
        <v>10000</v>
      </c>
      <c r="AF130" s="115">
        <f t="shared" si="100"/>
        <v>10000</v>
      </c>
      <c r="AG130" s="115">
        <f t="shared" si="100"/>
        <v>10000</v>
      </c>
      <c r="AH130" s="115">
        <f t="shared" si="100"/>
        <v>10000</v>
      </c>
      <c r="AI130" s="115">
        <f t="shared" si="100"/>
        <v>10000</v>
      </c>
      <c r="AJ130" s="115">
        <f t="shared" si="100"/>
        <v>10000</v>
      </c>
      <c r="AK130" s="115">
        <f t="shared" si="100"/>
        <v>10000</v>
      </c>
      <c r="AL130" s="115">
        <f t="shared" si="100"/>
        <v>10000</v>
      </c>
      <c r="AM130" s="115">
        <f t="shared" si="100"/>
        <v>10000</v>
      </c>
      <c r="AN130" s="115">
        <f t="shared" si="100"/>
        <v>10000</v>
      </c>
      <c r="AO130" s="115">
        <f t="shared" si="100"/>
        <v>10000</v>
      </c>
      <c r="AP130" s="115">
        <f t="shared" si="100"/>
        <v>10000</v>
      </c>
      <c r="AQ130" s="115">
        <f t="shared" si="100"/>
        <v>10000</v>
      </c>
      <c r="AR130" s="115">
        <f t="shared" si="100"/>
        <v>10000</v>
      </c>
      <c r="AS130" s="115">
        <f t="shared" si="100"/>
        <v>10000</v>
      </c>
      <c r="AT130" s="115">
        <f t="shared" si="100"/>
        <v>10000</v>
      </c>
      <c r="AU130" s="115">
        <f t="shared" si="100"/>
        <v>10000</v>
      </c>
      <c r="AV130" s="115">
        <f t="shared" si="100"/>
        <v>10000</v>
      </c>
      <c r="AW130" s="115">
        <f t="shared" si="100"/>
        <v>10000</v>
      </c>
      <c r="AX130" s="115">
        <f t="shared" si="100"/>
        <v>10000</v>
      </c>
      <c r="AY130" s="115">
        <f t="shared" si="100"/>
        <v>10000</v>
      </c>
      <c r="AZ130" s="115">
        <f t="shared" si="100"/>
        <v>10000</v>
      </c>
      <c r="BA130" s="115">
        <f t="shared" si="100"/>
        <v>10000</v>
      </c>
      <c r="BB130" s="115">
        <f t="shared" si="100"/>
        <v>10000</v>
      </c>
      <c r="BC130" s="115">
        <f t="shared" si="100"/>
        <v>10000</v>
      </c>
      <c r="BD130" s="115">
        <f t="shared" si="100"/>
        <v>10000</v>
      </c>
      <c r="BE130" s="115">
        <f t="shared" si="100"/>
        <v>10000</v>
      </c>
      <c r="BF130" s="115">
        <f t="shared" si="100"/>
        <v>10000</v>
      </c>
      <c r="BG130" s="115">
        <f t="shared" si="100"/>
        <v>10000</v>
      </c>
      <c r="BH130" s="115">
        <f t="shared" si="100"/>
        <v>10000</v>
      </c>
      <c r="BI130" s="115">
        <f t="shared" si="100"/>
        <v>10000</v>
      </c>
      <c r="BJ130" s="115">
        <f t="shared" si="100"/>
        <v>10000</v>
      </c>
      <c r="BK130" s="115">
        <f t="shared" si="100"/>
        <v>10000</v>
      </c>
      <c r="BL130" s="115">
        <f t="shared" si="100"/>
        <v>10000</v>
      </c>
      <c r="BM130" s="115">
        <f t="shared" si="100"/>
        <v>10000</v>
      </c>
      <c r="BN130" s="115">
        <f t="shared" si="100"/>
        <v>10000</v>
      </c>
      <c r="BO130" s="115">
        <f t="shared" si="100"/>
        <v>10000</v>
      </c>
    </row>
    <row r="131" outlineLevel="1">
      <c r="A131" s="47"/>
      <c r="B131" s="118" t="s">
        <v>82</v>
      </c>
      <c r="C131" s="119">
        <v>100000.0</v>
      </c>
      <c r="D131" s="120">
        <v>0.2</v>
      </c>
      <c r="E131" s="121">
        <v>43831.0</v>
      </c>
      <c r="F131" s="115"/>
      <c r="G131" s="115"/>
      <c r="H131" s="115">
        <f t="shared" ref="H131:BO131" si="101">IF(H$4&gt;=$E131,($C131/12)*(1+$D131),0)</f>
        <v>10000</v>
      </c>
      <c r="I131" s="115">
        <f t="shared" si="101"/>
        <v>10000</v>
      </c>
      <c r="J131" s="115">
        <f t="shared" si="101"/>
        <v>10000</v>
      </c>
      <c r="K131" s="115">
        <f t="shared" si="101"/>
        <v>10000</v>
      </c>
      <c r="L131" s="115">
        <f t="shared" si="101"/>
        <v>10000</v>
      </c>
      <c r="M131" s="115">
        <f t="shared" si="101"/>
        <v>10000</v>
      </c>
      <c r="N131" s="115">
        <f t="shared" si="101"/>
        <v>10000</v>
      </c>
      <c r="O131" s="115">
        <f t="shared" si="101"/>
        <v>10000</v>
      </c>
      <c r="P131" s="115">
        <f t="shared" si="101"/>
        <v>10000</v>
      </c>
      <c r="Q131" s="115">
        <f t="shared" si="101"/>
        <v>10000</v>
      </c>
      <c r="R131" s="115">
        <f t="shared" si="101"/>
        <v>10000</v>
      </c>
      <c r="S131" s="115">
        <f t="shared" si="101"/>
        <v>10000</v>
      </c>
      <c r="T131" s="115">
        <f t="shared" si="101"/>
        <v>10000</v>
      </c>
      <c r="U131" s="115">
        <f t="shared" si="101"/>
        <v>10000</v>
      </c>
      <c r="V131" s="115">
        <f t="shared" si="101"/>
        <v>10000</v>
      </c>
      <c r="W131" s="115">
        <f t="shared" si="101"/>
        <v>10000</v>
      </c>
      <c r="X131" s="115">
        <f t="shared" si="101"/>
        <v>10000</v>
      </c>
      <c r="Y131" s="115">
        <f t="shared" si="101"/>
        <v>10000</v>
      </c>
      <c r="Z131" s="115">
        <f t="shared" si="101"/>
        <v>10000</v>
      </c>
      <c r="AA131" s="115">
        <f t="shared" si="101"/>
        <v>10000</v>
      </c>
      <c r="AB131" s="115">
        <f t="shared" si="101"/>
        <v>10000</v>
      </c>
      <c r="AC131" s="115">
        <f t="shared" si="101"/>
        <v>10000</v>
      </c>
      <c r="AD131" s="115">
        <f t="shared" si="101"/>
        <v>10000</v>
      </c>
      <c r="AE131" s="115">
        <f t="shared" si="101"/>
        <v>10000</v>
      </c>
      <c r="AF131" s="115">
        <f t="shared" si="101"/>
        <v>10000</v>
      </c>
      <c r="AG131" s="115">
        <f t="shared" si="101"/>
        <v>10000</v>
      </c>
      <c r="AH131" s="115">
        <f t="shared" si="101"/>
        <v>10000</v>
      </c>
      <c r="AI131" s="115">
        <f t="shared" si="101"/>
        <v>10000</v>
      </c>
      <c r="AJ131" s="115">
        <f t="shared" si="101"/>
        <v>10000</v>
      </c>
      <c r="AK131" s="115">
        <f t="shared" si="101"/>
        <v>10000</v>
      </c>
      <c r="AL131" s="115">
        <f t="shared" si="101"/>
        <v>10000</v>
      </c>
      <c r="AM131" s="115">
        <f t="shared" si="101"/>
        <v>10000</v>
      </c>
      <c r="AN131" s="115">
        <f t="shared" si="101"/>
        <v>10000</v>
      </c>
      <c r="AO131" s="115">
        <f t="shared" si="101"/>
        <v>10000</v>
      </c>
      <c r="AP131" s="115">
        <f t="shared" si="101"/>
        <v>10000</v>
      </c>
      <c r="AQ131" s="115">
        <f t="shared" si="101"/>
        <v>10000</v>
      </c>
      <c r="AR131" s="115">
        <f t="shared" si="101"/>
        <v>10000</v>
      </c>
      <c r="AS131" s="115">
        <f t="shared" si="101"/>
        <v>10000</v>
      </c>
      <c r="AT131" s="115">
        <f t="shared" si="101"/>
        <v>10000</v>
      </c>
      <c r="AU131" s="115">
        <f t="shared" si="101"/>
        <v>10000</v>
      </c>
      <c r="AV131" s="115">
        <f t="shared" si="101"/>
        <v>10000</v>
      </c>
      <c r="AW131" s="115">
        <f t="shared" si="101"/>
        <v>10000</v>
      </c>
      <c r="AX131" s="115">
        <f t="shared" si="101"/>
        <v>10000</v>
      </c>
      <c r="AY131" s="115">
        <f t="shared" si="101"/>
        <v>10000</v>
      </c>
      <c r="AZ131" s="115">
        <f t="shared" si="101"/>
        <v>10000</v>
      </c>
      <c r="BA131" s="115">
        <f t="shared" si="101"/>
        <v>10000</v>
      </c>
      <c r="BB131" s="115">
        <f t="shared" si="101"/>
        <v>10000</v>
      </c>
      <c r="BC131" s="115">
        <f t="shared" si="101"/>
        <v>10000</v>
      </c>
      <c r="BD131" s="115">
        <f t="shared" si="101"/>
        <v>10000</v>
      </c>
      <c r="BE131" s="115">
        <f t="shared" si="101"/>
        <v>10000</v>
      </c>
      <c r="BF131" s="115">
        <f t="shared" si="101"/>
        <v>10000</v>
      </c>
      <c r="BG131" s="115">
        <f t="shared" si="101"/>
        <v>10000</v>
      </c>
      <c r="BH131" s="115">
        <f t="shared" si="101"/>
        <v>10000</v>
      </c>
      <c r="BI131" s="115">
        <f t="shared" si="101"/>
        <v>10000</v>
      </c>
      <c r="BJ131" s="115">
        <f t="shared" si="101"/>
        <v>10000</v>
      </c>
      <c r="BK131" s="115">
        <f t="shared" si="101"/>
        <v>10000</v>
      </c>
      <c r="BL131" s="115">
        <f t="shared" si="101"/>
        <v>10000</v>
      </c>
      <c r="BM131" s="115">
        <f t="shared" si="101"/>
        <v>10000</v>
      </c>
      <c r="BN131" s="115">
        <f t="shared" si="101"/>
        <v>10000</v>
      </c>
      <c r="BO131" s="115">
        <f t="shared" si="101"/>
        <v>10000</v>
      </c>
    </row>
    <row r="132" outlineLevel="1">
      <c r="A132" s="47"/>
      <c r="B132" s="118" t="s">
        <v>83</v>
      </c>
      <c r="C132" s="119">
        <v>100000.0</v>
      </c>
      <c r="D132" s="120">
        <v>0.2</v>
      </c>
      <c r="E132" s="121">
        <v>44075.0</v>
      </c>
      <c r="F132" s="115"/>
      <c r="G132" s="115"/>
      <c r="H132" s="115">
        <f t="shared" ref="H132:BO132" si="102">IF(H$4&gt;=$E132,($C132/12)*(1+$D132),0)</f>
        <v>10000</v>
      </c>
      <c r="I132" s="115">
        <f t="shared" si="102"/>
        <v>10000</v>
      </c>
      <c r="J132" s="115">
        <f t="shared" si="102"/>
        <v>10000</v>
      </c>
      <c r="K132" s="115">
        <f t="shared" si="102"/>
        <v>10000</v>
      </c>
      <c r="L132" s="115">
        <f t="shared" si="102"/>
        <v>10000</v>
      </c>
      <c r="M132" s="115">
        <f t="shared" si="102"/>
        <v>10000</v>
      </c>
      <c r="N132" s="115">
        <f t="shared" si="102"/>
        <v>10000</v>
      </c>
      <c r="O132" s="115">
        <f t="shared" si="102"/>
        <v>10000</v>
      </c>
      <c r="P132" s="115">
        <f t="shared" si="102"/>
        <v>10000</v>
      </c>
      <c r="Q132" s="115">
        <f t="shared" si="102"/>
        <v>10000</v>
      </c>
      <c r="R132" s="115">
        <f t="shared" si="102"/>
        <v>10000</v>
      </c>
      <c r="S132" s="115">
        <f t="shared" si="102"/>
        <v>10000</v>
      </c>
      <c r="T132" s="115">
        <f t="shared" si="102"/>
        <v>10000</v>
      </c>
      <c r="U132" s="115">
        <f t="shared" si="102"/>
        <v>10000</v>
      </c>
      <c r="V132" s="115">
        <f t="shared" si="102"/>
        <v>10000</v>
      </c>
      <c r="W132" s="115">
        <f t="shared" si="102"/>
        <v>10000</v>
      </c>
      <c r="X132" s="115">
        <f t="shared" si="102"/>
        <v>10000</v>
      </c>
      <c r="Y132" s="115">
        <f t="shared" si="102"/>
        <v>10000</v>
      </c>
      <c r="Z132" s="115">
        <f t="shared" si="102"/>
        <v>10000</v>
      </c>
      <c r="AA132" s="115">
        <f t="shared" si="102"/>
        <v>10000</v>
      </c>
      <c r="AB132" s="115">
        <f t="shared" si="102"/>
        <v>10000</v>
      </c>
      <c r="AC132" s="115">
        <f t="shared" si="102"/>
        <v>10000</v>
      </c>
      <c r="AD132" s="115">
        <f t="shared" si="102"/>
        <v>10000</v>
      </c>
      <c r="AE132" s="115">
        <f t="shared" si="102"/>
        <v>10000</v>
      </c>
      <c r="AF132" s="115">
        <f t="shared" si="102"/>
        <v>10000</v>
      </c>
      <c r="AG132" s="115">
        <f t="shared" si="102"/>
        <v>10000</v>
      </c>
      <c r="AH132" s="115">
        <f t="shared" si="102"/>
        <v>10000</v>
      </c>
      <c r="AI132" s="115">
        <f t="shared" si="102"/>
        <v>10000</v>
      </c>
      <c r="AJ132" s="115">
        <f t="shared" si="102"/>
        <v>10000</v>
      </c>
      <c r="AK132" s="115">
        <f t="shared" si="102"/>
        <v>10000</v>
      </c>
      <c r="AL132" s="115">
        <f t="shared" si="102"/>
        <v>10000</v>
      </c>
      <c r="AM132" s="115">
        <f t="shared" si="102"/>
        <v>10000</v>
      </c>
      <c r="AN132" s="115">
        <f t="shared" si="102"/>
        <v>10000</v>
      </c>
      <c r="AO132" s="115">
        <f t="shared" si="102"/>
        <v>10000</v>
      </c>
      <c r="AP132" s="115">
        <f t="shared" si="102"/>
        <v>10000</v>
      </c>
      <c r="AQ132" s="115">
        <f t="shared" si="102"/>
        <v>10000</v>
      </c>
      <c r="AR132" s="115">
        <f t="shared" si="102"/>
        <v>10000</v>
      </c>
      <c r="AS132" s="115">
        <f t="shared" si="102"/>
        <v>10000</v>
      </c>
      <c r="AT132" s="115">
        <f t="shared" si="102"/>
        <v>10000</v>
      </c>
      <c r="AU132" s="115">
        <f t="shared" si="102"/>
        <v>10000</v>
      </c>
      <c r="AV132" s="115">
        <f t="shared" si="102"/>
        <v>10000</v>
      </c>
      <c r="AW132" s="115">
        <f t="shared" si="102"/>
        <v>10000</v>
      </c>
      <c r="AX132" s="115">
        <f t="shared" si="102"/>
        <v>10000</v>
      </c>
      <c r="AY132" s="115">
        <f t="shared" si="102"/>
        <v>10000</v>
      </c>
      <c r="AZ132" s="115">
        <f t="shared" si="102"/>
        <v>10000</v>
      </c>
      <c r="BA132" s="115">
        <f t="shared" si="102"/>
        <v>10000</v>
      </c>
      <c r="BB132" s="115">
        <f t="shared" si="102"/>
        <v>10000</v>
      </c>
      <c r="BC132" s="115">
        <f t="shared" si="102"/>
        <v>10000</v>
      </c>
      <c r="BD132" s="115">
        <f t="shared" si="102"/>
        <v>10000</v>
      </c>
      <c r="BE132" s="115">
        <f t="shared" si="102"/>
        <v>10000</v>
      </c>
      <c r="BF132" s="115">
        <f t="shared" si="102"/>
        <v>10000</v>
      </c>
      <c r="BG132" s="115">
        <f t="shared" si="102"/>
        <v>10000</v>
      </c>
      <c r="BH132" s="115">
        <f t="shared" si="102"/>
        <v>10000</v>
      </c>
      <c r="BI132" s="115">
        <f t="shared" si="102"/>
        <v>10000</v>
      </c>
      <c r="BJ132" s="115">
        <f t="shared" si="102"/>
        <v>10000</v>
      </c>
      <c r="BK132" s="115">
        <f t="shared" si="102"/>
        <v>10000</v>
      </c>
      <c r="BL132" s="115">
        <f t="shared" si="102"/>
        <v>10000</v>
      </c>
      <c r="BM132" s="115">
        <f t="shared" si="102"/>
        <v>10000</v>
      </c>
      <c r="BN132" s="115">
        <f t="shared" si="102"/>
        <v>10000</v>
      </c>
      <c r="BO132" s="115">
        <f t="shared" si="102"/>
        <v>10000</v>
      </c>
    </row>
    <row r="133" outlineLevel="1">
      <c r="A133" s="47"/>
      <c r="B133" s="118" t="s">
        <v>84</v>
      </c>
      <c r="C133" s="119">
        <v>100000.0</v>
      </c>
      <c r="D133" s="120">
        <v>0.2</v>
      </c>
      <c r="E133" s="121">
        <v>43831.0</v>
      </c>
      <c r="F133" s="115"/>
      <c r="G133" s="115"/>
      <c r="H133" s="115">
        <f t="shared" ref="H133:BO133" si="103">IF(H$4&gt;=$E133,($C133/12)*(1+$D133),0)</f>
        <v>10000</v>
      </c>
      <c r="I133" s="115">
        <f t="shared" si="103"/>
        <v>10000</v>
      </c>
      <c r="J133" s="115">
        <f t="shared" si="103"/>
        <v>10000</v>
      </c>
      <c r="K133" s="115">
        <f t="shared" si="103"/>
        <v>10000</v>
      </c>
      <c r="L133" s="115">
        <f t="shared" si="103"/>
        <v>10000</v>
      </c>
      <c r="M133" s="115">
        <f t="shared" si="103"/>
        <v>10000</v>
      </c>
      <c r="N133" s="115">
        <f t="shared" si="103"/>
        <v>10000</v>
      </c>
      <c r="O133" s="115">
        <f t="shared" si="103"/>
        <v>10000</v>
      </c>
      <c r="P133" s="115">
        <f t="shared" si="103"/>
        <v>10000</v>
      </c>
      <c r="Q133" s="115">
        <f t="shared" si="103"/>
        <v>10000</v>
      </c>
      <c r="R133" s="115">
        <f t="shared" si="103"/>
        <v>10000</v>
      </c>
      <c r="S133" s="115">
        <f t="shared" si="103"/>
        <v>10000</v>
      </c>
      <c r="T133" s="115">
        <f t="shared" si="103"/>
        <v>10000</v>
      </c>
      <c r="U133" s="115">
        <f t="shared" si="103"/>
        <v>10000</v>
      </c>
      <c r="V133" s="115">
        <f t="shared" si="103"/>
        <v>10000</v>
      </c>
      <c r="W133" s="115">
        <f t="shared" si="103"/>
        <v>10000</v>
      </c>
      <c r="X133" s="115">
        <f t="shared" si="103"/>
        <v>10000</v>
      </c>
      <c r="Y133" s="115">
        <f t="shared" si="103"/>
        <v>10000</v>
      </c>
      <c r="Z133" s="115">
        <f t="shared" si="103"/>
        <v>10000</v>
      </c>
      <c r="AA133" s="115">
        <f t="shared" si="103"/>
        <v>10000</v>
      </c>
      <c r="AB133" s="115">
        <f t="shared" si="103"/>
        <v>10000</v>
      </c>
      <c r="AC133" s="115">
        <f t="shared" si="103"/>
        <v>10000</v>
      </c>
      <c r="AD133" s="115">
        <f t="shared" si="103"/>
        <v>10000</v>
      </c>
      <c r="AE133" s="115">
        <f t="shared" si="103"/>
        <v>10000</v>
      </c>
      <c r="AF133" s="115">
        <f t="shared" si="103"/>
        <v>10000</v>
      </c>
      <c r="AG133" s="115">
        <f t="shared" si="103"/>
        <v>10000</v>
      </c>
      <c r="AH133" s="115">
        <f t="shared" si="103"/>
        <v>10000</v>
      </c>
      <c r="AI133" s="115">
        <f t="shared" si="103"/>
        <v>10000</v>
      </c>
      <c r="AJ133" s="115">
        <f t="shared" si="103"/>
        <v>10000</v>
      </c>
      <c r="AK133" s="115">
        <f t="shared" si="103"/>
        <v>10000</v>
      </c>
      <c r="AL133" s="115">
        <f t="shared" si="103"/>
        <v>10000</v>
      </c>
      <c r="AM133" s="115">
        <f t="shared" si="103"/>
        <v>10000</v>
      </c>
      <c r="AN133" s="115">
        <f t="shared" si="103"/>
        <v>10000</v>
      </c>
      <c r="AO133" s="115">
        <f t="shared" si="103"/>
        <v>10000</v>
      </c>
      <c r="AP133" s="115">
        <f t="shared" si="103"/>
        <v>10000</v>
      </c>
      <c r="AQ133" s="115">
        <f t="shared" si="103"/>
        <v>10000</v>
      </c>
      <c r="AR133" s="115">
        <f t="shared" si="103"/>
        <v>10000</v>
      </c>
      <c r="AS133" s="115">
        <f t="shared" si="103"/>
        <v>10000</v>
      </c>
      <c r="AT133" s="115">
        <f t="shared" si="103"/>
        <v>10000</v>
      </c>
      <c r="AU133" s="115">
        <f t="shared" si="103"/>
        <v>10000</v>
      </c>
      <c r="AV133" s="115">
        <f t="shared" si="103"/>
        <v>10000</v>
      </c>
      <c r="AW133" s="115">
        <f t="shared" si="103"/>
        <v>10000</v>
      </c>
      <c r="AX133" s="115">
        <f t="shared" si="103"/>
        <v>10000</v>
      </c>
      <c r="AY133" s="115">
        <f t="shared" si="103"/>
        <v>10000</v>
      </c>
      <c r="AZ133" s="115">
        <f t="shared" si="103"/>
        <v>10000</v>
      </c>
      <c r="BA133" s="115">
        <f t="shared" si="103"/>
        <v>10000</v>
      </c>
      <c r="BB133" s="115">
        <f t="shared" si="103"/>
        <v>10000</v>
      </c>
      <c r="BC133" s="115">
        <f t="shared" si="103"/>
        <v>10000</v>
      </c>
      <c r="BD133" s="115">
        <f t="shared" si="103"/>
        <v>10000</v>
      </c>
      <c r="BE133" s="115">
        <f t="shared" si="103"/>
        <v>10000</v>
      </c>
      <c r="BF133" s="115">
        <f t="shared" si="103"/>
        <v>10000</v>
      </c>
      <c r="BG133" s="115">
        <f t="shared" si="103"/>
        <v>10000</v>
      </c>
      <c r="BH133" s="115">
        <f t="shared" si="103"/>
        <v>10000</v>
      </c>
      <c r="BI133" s="115">
        <f t="shared" si="103"/>
        <v>10000</v>
      </c>
      <c r="BJ133" s="115">
        <f t="shared" si="103"/>
        <v>10000</v>
      </c>
      <c r="BK133" s="115">
        <f t="shared" si="103"/>
        <v>10000</v>
      </c>
      <c r="BL133" s="115">
        <f t="shared" si="103"/>
        <v>10000</v>
      </c>
      <c r="BM133" s="115">
        <f t="shared" si="103"/>
        <v>10000</v>
      </c>
      <c r="BN133" s="115">
        <f t="shared" si="103"/>
        <v>10000</v>
      </c>
      <c r="BO133" s="115">
        <f t="shared" si="103"/>
        <v>10000</v>
      </c>
    </row>
    <row r="134" outlineLevel="1">
      <c r="A134" s="47"/>
      <c r="B134" s="118" t="s">
        <v>85</v>
      </c>
      <c r="C134" s="119">
        <v>100000.0</v>
      </c>
      <c r="D134" s="120">
        <v>0.2</v>
      </c>
      <c r="E134" s="121">
        <v>43891.0</v>
      </c>
      <c r="F134" s="115"/>
      <c r="G134" s="115"/>
      <c r="H134" s="115">
        <f t="shared" ref="H134:BO134" si="104">IF(H$4&gt;=$E134,($C134/12)*(1+$D134),0)</f>
        <v>10000</v>
      </c>
      <c r="I134" s="115">
        <f t="shared" si="104"/>
        <v>10000</v>
      </c>
      <c r="J134" s="115">
        <f t="shared" si="104"/>
        <v>10000</v>
      </c>
      <c r="K134" s="115">
        <f t="shared" si="104"/>
        <v>10000</v>
      </c>
      <c r="L134" s="115">
        <f t="shared" si="104"/>
        <v>10000</v>
      </c>
      <c r="M134" s="115">
        <f t="shared" si="104"/>
        <v>10000</v>
      </c>
      <c r="N134" s="115">
        <f t="shared" si="104"/>
        <v>10000</v>
      </c>
      <c r="O134" s="115">
        <f t="shared" si="104"/>
        <v>10000</v>
      </c>
      <c r="P134" s="115">
        <f t="shared" si="104"/>
        <v>10000</v>
      </c>
      <c r="Q134" s="115">
        <f t="shared" si="104"/>
        <v>10000</v>
      </c>
      <c r="R134" s="115">
        <f t="shared" si="104"/>
        <v>10000</v>
      </c>
      <c r="S134" s="115">
        <f t="shared" si="104"/>
        <v>10000</v>
      </c>
      <c r="T134" s="115">
        <f t="shared" si="104"/>
        <v>10000</v>
      </c>
      <c r="U134" s="115">
        <f t="shared" si="104"/>
        <v>10000</v>
      </c>
      <c r="V134" s="115">
        <f t="shared" si="104"/>
        <v>10000</v>
      </c>
      <c r="W134" s="115">
        <f t="shared" si="104"/>
        <v>10000</v>
      </c>
      <c r="X134" s="115">
        <f t="shared" si="104"/>
        <v>10000</v>
      </c>
      <c r="Y134" s="115">
        <f t="shared" si="104"/>
        <v>10000</v>
      </c>
      <c r="Z134" s="115">
        <f t="shared" si="104"/>
        <v>10000</v>
      </c>
      <c r="AA134" s="115">
        <f t="shared" si="104"/>
        <v>10000</v>
      </c>
      <c r="AB134" s="115">
        <f t="shared" si="104"/>
        <v>10000</v>
      </c>
      <c r="AC134" s="115">
        <f t="shared" si="104"/>
        <v>10000</v>
      </c>
      <c r="AD134" s="115">
        <f t="shared" si="104"/>
        <v>10000</v>
      </c>
      <c r="AE134" s="115">
        <f t="shared" si="104"/>
        <v>10000</v>
      </c>
      <c r="AF134" s="115">
        <f t="shared" si="104"/>
        <v>10000</v>
      </c>
      <c r="AG134" s="115">
        <f t="shared" si="104"/>
        <v>10000</v>
      </c>
      <c r="AH134" s="115">
        <f t="shared" si="104"/>
        <v>10000</v>
      </c>
      <c r="AI134" s="115">
        <f t="shared" si="104"/>
        <v>10000</v>
      </c>
      <c r="AJ134" s="115">
        <f t="shared" si="104"/>
        <v>10000</v>
      </c>
      <c r="AK134" s="115">
        <f t="shared" si="104"/>
        <v>10000</v>
      </c>
      <c r="AL134" s="115">
        <f t="shared" si="104"/>
        <v>10000</v>
      </c>
      <c r="AM134" s="115">
        <f t="shared" si="104"/>
        <v>10000</v>
      </c>
      <c r="AN134" s="115">
        <f t="shared" si="104"/>
        <v>10000</v>
      </c>
      <c r="AO134" s="115">
        <f t="shared" si="104"/>
        <v>10000</v>
      </c>
      <c r="AP134" s="115">
        <f t="shared" si="104"/>
        <v>10000</v>
      </c>
      <c r="AQ134" s="115">
        <f t="shared" si="104"/>
        <v>10000</v>
      </c>
      <c r="AR134" s="115">
        <f t="shared" si="104"/>
        <v>10000</v>
      </c>
      <c r="AS134" s="115">
        <f t="shared" si="104"/>
        <v>10000</v>
      </c>
      <c r="AT134" s="115">
        <f t="shared" si="104"/>
        <v>10000</v>
      </c>
      <c r="AU134" s="115">
        <f t="shared" si="104"/>
        <v>10000</v>
      </c>
      <c r="AV134" s="115">
        <f t="shared" si="104"/>
        <v>10000</v>
      </c>
      <c r="AW134" s="115">
        <f t="shared" si="104"/>
        <v>10000</v>
      </c>
      <c r="AX134" s="115">
        <f t="shared" si="104"/>
        <v>10000</v>
      </c>
      <c r="AY134" s="115">
        <f t="shared" si="104"/>
        <v>10000</v>
      </c>
      <c r="AZ134" s="115">
        <f t="shared" si="104"/>
        <v>10000</v>
      </c>
      <c r="BA134" s="115">
        <f t="shared" si="104"/>
        <v>10000</v>
      </c>
      <c r="BB134" s="115">
        <f t="shared" si="104"/>
        <v>10000</v>
      </c>
      <c r="BC134" s="115">
        <f t="shared" si="104"/>
        <v>10000</v>
      </c>
      <c r="BD134" s="115">
        <f t="shared" si="104"/>
        <v>10000</v>
      </c>
      <c r="BE134" s="115">
        <f t="shared" si="104"/>
        <v>10000</v>
      </c>
      <c r="BF134" s="115">
        <f t="shared" si="104"/>
        <v>10000</v>
      </c>
      <c r="BG134" s="115">
        <f t="shared" si="104"/>
        <v>10000</v>
      </c>
      <c r="BH134" s="115">
        <f t="shared" si="104"/>
        <v>10000</v>
      </c>
      <c r="BI134" s="115">
        <f t="shared" si="104"/>
        <v>10000</v>
      </c>
      <c r="BJ134" s="115">
        <f t="shared" si="104"/>
        <v>10000</v>
      </c>
      <c r="BK134" s="115">
        <f t="shared" si="104"/>
        <v>10000</v>
      </c>
      <c r="BL134" s="115">
        <f t="shared" si="104"/>
        <v>10000</v>
      </c>
      <c r="BM134" s="115">
        <f t="shared" si="104"/>
        <v>10000</v>
      </c>
      <c r="BN134" s="115">
        <f t="shared" si="104"/>
        <v>10000</v>
      </c>
      <c r="BO134" s="115">
        <f t="shared" si="104"/>
        <v>10000</v>
      </c>
    </row>
    <row r="135" outlineLevel="1">
      <c r="A135" s="47"/>
      <c r="B135" s="118" t="s">
        <v>86</v>
      </c>
      <c r="C135" s="119">
        <v>75000.0</v>
      </c>
      <c r="D135" s="120">
        <v>0.2</v>
      </c>
      <c r="E135" s="121">
        <v>43983.0</v>
      </c>
      <c r="F135" s="115"/>
      <c r="G135" s="115"/>
      <c r="H135" s="115">
        <f t="shared" ref="H135:BO135" si="105">IF(H$4&gt;=$E135,($C135/12)*(1+$D135),0)</f>
        <v>7500</v>
      </c>
      <c r="I135" s="115">
        <f t="shared" si="105"/>
        <v>7500</v>
      </c>
      <c r="J135" s="115">
        <f t="shared" si="105"/>
        <v>7500</v>
      </c>
      <c r="K135" s="115">
        <f t="shared" si="105"/>
        <v>7500</v>
      </c>
      <c r="L135" s="115">
        <f t="shared" si="105"/>
        <v>7500</v>
      </c>
      <c r="M135" s="115">
        <f t="shared" si="105"/>
        <v>7500</v>
      </c>
      <c r="N135" s="115">
        <f t="shared" si="105"/>
        <v>7500</v>
      </c>
      <c r="O135" s="115">
        <f t="shared" si="105"/>
        <v>7500</v>
      </c>
      <c r="P135" s="115">
        <f t="shared" si="105"/>
        <v>7500</v>
      </c>
      <c r="Q135" s="115">
        <f t="shared" si="105"/>
        <v>7500</v>
      </c>
      <c r="R135" s="115">
        <f t="shared" si="105"/>
        <v>7500</v>
      </c>
      <c r="S135" s="115">
        <f t="shared" si="105"/>
        <v>7500</v>
      </c>
      <c r="T135" s="115">
        <f t="shared" si="105"/>
        <v>7500</v>
      </c>
      <c r="U135" s="115">
        <f t="shared" si="105"/>
        <v>7500</v>
      </c>
      <c r="V135" s="115">
        <f t="shared" si="105"/>
        <v>7500</v>
      </c>
      <c r="W135" s="115">
        <f t="shared" si="105"/>
        <v>7500</v>
      </c>
      <c r="X135" s="115">
        <f t="shared" si="105"/>
        <v>7500</v>
      </c>
      <c r="Y135" s="115">
        <f t="shared" si="105"/>
        <v>7500</v>
      </c>
      <c r="Z135" s="115">
        <f t="shared" si="105"/>
        <v>7500</v>
      </c>
      <c r="AA135" s="115">
        <f t="shared" si="105"/>
        <v>7500</v>
      </c>
      <c r="AB135" s="115">
        <f t="shared" si="105"/>
        <v>7500</v>
      </c>
      <c r="AC135" s="115">
        <f t="shared" si="105"/>
        <v>7500</v>
      </c>
      <c r="AD135" s="115">
        <f t="shared" si="105"/>
        <v>7500</v>
      </c>
      <c r="AE135" s="115">
        <f t="shared" si="105"/>
        <v>7500</v>
      </c>
      <c r="AF135" s="115">
        <f t="shared" si="105"/>
        <v>7500</v>
      </c>
      <c r="AG135" s="115">
        <f t="shared" si="105"/>
        <v>7500</v>
      </c>
      <c r="AH135" s="115">
        <f t="shared" si="105"/>
        <v>7500</v>
      </c>
      <c r="AI135" s="115">
        <f t="shared" si="105"/>
        <v>7500</v>
      </c>
      <c r="AJ135" s="115">
        <f t="shared" si="105"/>
        <v>7500</v>
      </c>
      <c r="AK135" s="115">
        <f t="shared" si="105"/>
        <v>7500</v>
      </c>
      <c r="AL135" s="115">
        <f t="shared" si="105"/>
        <v>7500</v>
      </c>
      <c r="AM135" s="115">
        <f t="shared" si="105"/>
        <v>7500</v>
      </c>
      <c r="AN135" s="115">
        <f t="shared" si="105"/>
        <v>7500</v>
      </c>
      <c r="AO135" s="115">
        <f t="shared" si="105"/>
        <v>7500</v>
      </c>
      <c r="AP135" s="115">
        <f t="shared" si="105"/>
        <v>7500</v>
      </c>
      <c r="AQ135" s="115">
        <f t="shared" si="105"/>
        <v>7500</v>
      </c>
      <c r="AR135" s="115">
        <f t="shared" si="105"/>
        <v>7500</v>
      </c>
      <c r="AS135" s="115">
        <f t="shared" si="105"/>
        <v>7500</v>
      </c>
      <c r="AT135" s="115">
        <f t="shared" si="105"/>
        <v>7500</v>
      </c>
      <c r="AU135" s="115">
        <f t="shared" si="105"/>
        <v>7500</v>
      </c>
      <c r="AV135" s="115">
        <f t="shared" si="105"/>
        <v>7500</v>
      </c>
      <c r="AW135" s="115">
        <f t="shared" si="105"/>
        <v>7500</v>
      </c>
      <c r="AX135" s="115">
        <f t="shared" si="105"/>
        <v>7500</v>
      </c>
      <c r="AY135" s="115">
        <f t="shared" si="105"/>
        <v>7500</v>
      </c>
      <c r="AZ135" s="115">
        <f t="shared" si="105"/>
        <v>7500</v>
      </c>
      <c r="BA135" s="115">
        <f t="shared" si="105"/>
        <v>7500</v>
      </c>
      <c r="BB135" s="115">
        <f t="shared" si="105"/>
        <v>7500</v>
      </c>
      <c r="BC135" s="115">
        <f t="shared" si="105"/>
        <v>7500</v>
      </c>
      <c r="BD135" s="115">
        <f t="shared" si="105"/>
        <v>7500</v>
      </c>
      <c r="BE135" s="115">
        <f t="shared" si="105"/>
        <v>7500</v>
      </c>
      <c r="BF135" s="115">
        <f t="shared" si="105"/>
        <v>7500</v>
      </c>
      <c r="BG135" s="115">
        <f t="shared" si="105"/>
        <v>7500</v>
      </c>
      <c r="BH135" s="115">
        <f t="shared" si="105"/>
        <v>7500</v>
      </c>
      <c r="BI135" s="115">
        <f t="shared" si="105"/>
        <v>7500</v>
      </c>
      <c r="BJ135" s="115">
        <f t="shared" si="105"/>
        <v>7500</v>
      </c>
      <c r="BK135" s="115">
        <f t="shared" si="105"/>
        <v>7500</v>
      </c>
      <c r="BL135" s="115">
        <f t="shared" si="105"/>
        <v>7500</v>
      </c>
      <c r="BM135" s="115">
        <f t="shared" si="105"/>
        <v>7500</v>
      </c>
      <c r="BN135" s="115">
        <f t="shared" si="105"/>
        <v>7500</v>
      </c>
      <c r="BO135" s="115">
        <f t="shared" si="105"/>
        <v>7500</v>
      </c>
    </row>
    <row r="136" outlineLevel="1">
      <c r="A136" s="47"/>
      <c r="B136" s="118" t="s">
        <v>87</v>
      </c>
      <c r="C136" s="119">
        <v>50000.0</v>
      </c>
      <c r="D136" s="120">
        <v>0.2</v>
      </c>
      <c r="E136" s="121">
        <v>44075.0</v>
      </c>
      <c r="F136" s="115"/>
      <c r="G136" s="115"/>
      <c r="H136" s="115">
        <f t="shared" ref="H136:BO136" si="106">IF(H$4&gt;=$E136,($C136/12)*(1+$D136),0)</f>
        <v>5000</v>
      </c>
      <c r="I136" s="115">
        <f t="shared" si="106"/>
        <v>5000</v>
      </c>
      <c r="J136" s="115">
        <f t="shared" si="106"/>
        <v>5000</v>
      </c>
      <c r="K136" s="115">
        <f t="shared" si="106"/>
        <v>5000</v>
      </c>
      <c r="L136" s="115">
        <f t="shared" si="106"/>
        <v>5000</v>
      </c>
      <c r="M136" s="115">
        <f t="shared" si="106"/>
        <v>5000</v>
      </c>
      <c r="N136" s="115">
        <f t="shared" si="106"/>
        <v>5000</v>
      </c>
      <c r="O136" s="115">
        <f t="shared" si="106"/>
        <v>5000</v>
      </c>
      <c r="P136" s="115">
        <f t="shared" si="106"/>
        <v>5000</v>
      </c>
      <c r="Q136" s="115">
        <f t="shared" si="106"/>
        <v>5000</v>
      </c>
      <c r="R136" s="115">
        <f t="shared" si="106"/>
        <v>5000</v>
      </c>
      <c r="S136" s="115">
        <f t="shared" si="106"/>
        <v>5000</v>
      </c>
      <c r="T136" s="115">
        <f t="shared" si="106"/>
        <v>5000</v>
      </c>
      <c r="U136" s="115">
        <f t="shared" si="106"/>
        <v>5000</v>
      </c>
      <c r="V136" s="115">
        <f t="shared" si="106"/>
        <v>5000</v>
      </c>
      <c r="W136" s="115">
        <f t="shared" si="106"/>
        <v>5000</v>
      </c>
      <c r="X136" s="115">
        <f t="shared" si="106"/>
        <v>5000</v>
      </c>
      <c r="Y136" s="115">
        <f t="shared" si="106"/>
        <v>5000</v>
      </c>
      <c r="Z136" s="115">
        <f t="shared" si="106"/>
        <v>5000</v>
      </c>
      <c r="AA136" s="115">
        <f t="shared" si="106"/>
        <v>5000</v>
      </c>
      <c r="AB136" s="115">
        <f t="shared" si="106"/>
        <v>5000</v>
      </c>
      <c r="AC136" s="115">
        <f t="shared" si="106"/>
        <v>5000</v>
      </c>
      <c r="AD136" s="115">
        <f t="shared" si="106"/>
        <v>5000</v>
      </c>
      <c r="AE136" s="115">
        <f t="shared" si="106"/>
        <v>5000</v>
      </c>
      <c r="AF136" s="115">
        <f t="shared" si="106"/>
        <v>5000</v>
      </c>
      <c r="AG136" s="115">
        <f t="shared" si="106"/>
        <v>5000</v>
      </c>
      <c r="AH136" s="115">
        <f t="shared" si="106"/>
        <v>5000</v>
      </c>
      <c r="AI136" s="115">
        <f t="shared" si="106"/>
        <v>5000</v>
      </c>
      <c r="AJ136" s="115">
        <f t="shared" si="106"/>
        <v>5000</v>
      </c>
      <c r="AK136" s="115">
        <f t="shared" si="106"/>
        <v>5000</v>
      </c>
      <c r="AL136" s="115">
        <f t="shared" si="106"/>
        <v>5000</v>
      </c>
      <c r="AM136" s="115">
        <f t="shared" si="106"/>
        <v>5000</v>
      </c>
      <c r="AN136" s="115">
        <f t="shared" si="106"/>
        <v>5000</v>
      </c>
      <c r="AO136" s="115">
        <f t="shared" si="106"/>
        <v>5000</v>
      </c>
      <c r="AP136" s="115">
        <f t="shared" si="106"/>
        <v>5000</v>
      </c>
      <c r="AQ136" s="115">
        <f t="shared" si="106"/>
        <v>5000</v>
      </c>
      <c r="AR136" s="115">
        <f t="shared" si="106"/>
        <v>5000</v>
      </c>
      <c r="AS136" s="115">
        <f t="shared" si="106"/>
        <v>5000</v>
      </c>
      <c r="AT136" s="115">
        <f t="shared" si="106"/>
        <v>5000</v>
      </c>
      <c r="AU136" s="115">
        <f t="shared" si="106"/>
        <v>5000</v>
      </c>
      <c r="AV136" s="115">
        <f t="shared" si="106"/>
        <v>5000</v>
      </c>
      <c r="AW136" s="115">
        <f t="shared" si="106"/>
        <v>5000</v>
      </c>
      <c r="AX136" s="115">
        <f t="shared" si="106"/>
        <v>5000</v>
      </c>
      <c r="AY136" s="115">
        <f t="shared" si="106"/>
        <v>5000</v>
      </c>
      <c r="AZ136" s="115">
        <f t="shared" si="106"/>
        <v>5000</v>
      </c>
      <c r="BA136" s="115">
        <f t="shared" si="106"/>
        <v>5000</v>
      </c>
      <c r="BB136" s="115">
        <f t="shared" si="106"/>
        <v>5000</v>
      </c>
      <c r="BC136" s="115">
        <f t="shared" si="106"/>
        <v>5000</v>
      </c>
      <c r="BD136" s="115">
        <f t="shared" si="106"/>
        <v>5000</v>
      </c>
      <c r="BE136" s="115">
        <f t="shared" si="106"/>
        <v>5000</v>
      </c>
      <c r="BF136" s="115">
        <f t="shared" si="106"/>
        <v>5000</v>
      </c>
      <c r="BG136" s="115">
        <f t="shared" si="106"/>
        <v>5000</v>
      </c>
      <c r="BH136" s="115">
        <f t="shared" si="106"/>
        <v>5000</v>
      </c>
      <c r="BI136" s="115">
        <f t="shared" si="106"/>
        <v>5000</v>
      </c>
      <c r="BJ136" s="115">
        <f t="shared" si="106"/>
        <v>5000</v>
      </c>
      <c r="BK136" s="115">
        <f t="shared" si="106"/>
        <v>5000</v>
      </c>
      <c r="BL136" s="115">
        <f t="shared" si="106"/>
        <v>5000</v>
      </c>
      <c r="BM136" s="115">
        <f t="shared" si="106"/>
        <v>5000</v>
      </c>
      <c r="BN136" s="115">
        <f t="shared" si="106"/>
        <v>5000</v>
      </c>
      <c r="BO136" s="115">
        <f t="shared" si="106"/>
        <v>5000</v>
      </c>
    </row>
    <row r="137" outlineLevel="1">
      <c r="A137" s="47"/>
      <c r="B137" s="118" t="s">
        <v>88</v>
      </c>
      <c r="C137" s="119">
        <v>80000.0</v>
      </c>
      <c r="D137" s="120">
        <v>0.2</v>
      </c>
      <c r="E137" s="121">
        <v>44166.0</v>
      </c>
      <c r="F137" s="115"/>
      <c r="G137" s="115"/>
      <c r="H137" s="115">
        <f t="shared" ref="H137:BO137" si="107">IF(H$4&gt;=$E137,($C137/12)*(1+$D137),0)</f>
        <v>8000</v>
      </c>
      <c r="I137" s="115">
        <f t="shared" si="107"/>
        <v>8000</v>
      </c>
      <c r="J137" s="115">
        <f t="shared" si="107"/>
        <v>8000</v>
      </c>
      <c r="K137" s="115">
        <f t="shared" si="107"/>
        <v>8000</v>
      </c>
      <c r="L137" s="115">
        <f t="shared" si="107"/>
        <v>8000</v>
      </c>
      <c r="M137" s="115">
        <f t="shared" si="107"/>
        <v>8000</v>
      </c>
      <c r="N137" s="115">
        <f t="shared" si="107"/>
        <v>8000</v>
      </c>
      <c r="O137" s="115">
        <f t="shared" si="107"/>
        <v>8000</v>
      </c>
      <c r="P137" s="115">
        <f t="shared" si="107"/>
        <v>8000</v>
      </c>
      <c r="Q137" s="115">
        <f t="shared" si="107"/>
        <v>8000</v>
      </c>
      <c r="R137" s="115">
        <f t="shared" si="107"/>
        <v>8000</v>
      </c>
      <c r="S137" s="115">
        <f t="shared" si="107"/>
        <v>8000</v>
      </c>
      <c r="T137" s="115">
        <f t="shared" si="107"/>
        <v>8000</v>
      </c>
      <c r="U137" s="115">
        <f t="shared" si="107"/>
        <v>8000</v>
      </c>
      <c r="V137" s="115">
        <f t="shared" si="107"/>
        <v>8000</v>
      </c>
      <c r="W137" s="115">
        <f t="shared" si="107"/>
        <v>8000</v>
      </c>
      <c r="X137" s="115">
        <f t="shared" si="107"/>
        <v>8000</v>
      </c>
      <c r="Y137" s="115">
        <f t="shared" si="107"/>
        <v>8000</v>
      </c>
      <c r="Z137" s="115">
        <f t="shared" si="107"/>
        <v>8000</v>
      </c>
      <c r="AA137" s="115">
        <f t="shared" si="107"/>
        <v>8000</v>
      </c>
      <c r="AB137" s="115">
        <f t="shared" si="107"/>
        <v>8000</v>
      </c>
      <c r="AC137" s="115">
        <f t="shared" si="107"/>
        <v>8000</v>
      </c>
      <c r="AD137" s="115">
        <f t="shared" si="107"/>
        <v>8000</v>
      </c>
      <c r="AE137" s="115">
        <f t="shared" si="107"/>
        <v>8000</v>
      </c>
      <c r="AF137" s="115">
        <f t="shared" si="107"/>
        <v>8000</v>
      </c>
      <c r="AG137" s="115">
        <f t="shared" si="107"/>
        <v>8000</v>
      </c>
      <c r="AH137" s="115">
        <f t="shared" si="107"/>
        <v>8000</v>
      </c>
      <c r="AI137" s="115">
        <f t="shared" si="107"/>
        <v>8000</v>
      </c>
      <c r="AJ137" s="115">
        <f t="shared" si="107"/>
        <v>8000</v>
      </c>
      <c r="AK137" s="115">
        <f t="shared" si="107"/>
        <v>8000</v>
      </c>
      <c r="AL137" s="115">
        <f t="shared" si="107"/>
        <v>8000</v>
      </c>
      <c r="AM137" s="115">
        <f t="shared" si="107"/>
        <v>8000</v>
      </c>
      <c r="AN137" s="115">
        <f t="shared" si="107"/>
        <v>8000</v>
      </c>
      <c r="AO137" s="115">
        <f t="shared" si="107"/>
        <v>8000</v>
      </c>
      <c r="AP137" s="115">
        <f t="shared" si="107"/>
        <v>8000</v>
      </c>
      <c r="AQ137" s="115">
        <f t="shared" si="107"/>
        <v>8000</v>
      </c>
      <c r="AR137" s="115">
        <f t="shared" si="107"/>
        <v>8000</v>
      </c>
      <c r="AS137" s="115">
        <f t="shared" si="107"/>
        <v>8000</v>
      </c>
      <c r="AT137" s="115">
        <f t="shared" si="107"/>
        <v>8000</v>
      </c>
      <c r="AU137" s="115">
        <f t="shared" si="107"/>
        <v>8000</v>
      </c>
      <c r="AV137" s="115">
        <f t="shared" si="107"/>
        <v>8000</v>
      </c>
      <c r="AW137" s="115">
        <f t="shared" si="107"/>
        <v>8000</v>
      </c>
      <c r="AX137" s="115">
        <f t="shared" si="107"/>
        <v>8000</v>
      </c>
      <c r="AY137" s="115">
        <f t="shared" si="107"/>
        <v>8000</v>
      </c>
      <c r="AZ137" s="115">
        <f t="shared" si="107"/>
        <v>8000</v>
      </c>
      <c r="BA137" s="115">
        <f t="shared" si="107"/>
        <v>8000</v>
      </c>
      <c r="BB137" s="115">
        <f t="shared" si="107"/>
        <v>8000</v>
      </c>
      <c r="BC137" s="115">
        <f t="shared" si="107"/>
        <v>8000</v>
      </c>
      <c r="BD137" s="115">
        <f t="shared" si="107"/>
        <v>8000</v>
      </c>
      <c r="BE137" s="115">
        <f t="shared" si="107"/>
        <v>8000</v>
      </c>
      <c r="BF137" s="115">
        <f t="shared" si="107"/>
        <v>8000</v>
      </c>
      <c r="BG137" s="115">
        <f t="shared" si="107"/>
        <v>8000</v>
      </c>
      <c r="BH137" s="115">
        <f t="shared" si="107"/>
        <v>8000</v>
      </c>
      <c r="BI137" s="115">
        <f t="shared" si="107"/>
        <v>8000</v>
      </c>
      <c r="BJ137" s="115">
        <f t="shared" si="107"/>
        <v>8000</v>
      </c>
      <c r="BK137" s="115">
        <f t="shared" si="107"/>
        <v>8000</v>
      </c>
      <c r="BL137" s="115">
        <f t="shared" si="107"/>
        <v>8000</v>
      </c>
      <c r="BM137" s="115">
        <f t="shared" si="107"/>
        <v>8000</v>
      </c>
      <c r="BN137" s="115">
        <f t="shared" si="107"/>
        <v>8000</v>
      </c>
      <c r="BO137" s="115">
        <f t="shared" si="107"/>
        <v>8000</v>
      </c>
    </row>
    <row r="138" outlineLevel="1">
      <c r="A138" s="47"/>
      <c r="B138" s="118" t="s">
        <v>89</v>
      </c>
      <c r="C138" s="119">
        <v>90000.0</v>
      </c>
      <c r="D138" s="120">
        <v>0.2</v>
      </c>
      <c r="E138" s="121">
        <v>44256.0</v>
      </c>
      <c r="F138" s="115"/>
      <c r="G138" s="115"/>
      <c r="H138" s="115">
        <f t="shared" ref="H138:BO138" si="108">IF(H$4&gt;=$E138,($C138/12)*(1+$D138),0)</f>
        <v>9000</v>
      </c>
      <c r="I138" s="115">
        <f t="shared" si="108"/>
        <v>9000</v>
      </c>
      <c r="J138" s="115">
        <f t="shared" si="108"/>
        <v>9000</v>
      </c>
      <c r="K138" s="115">
        <f t="shared" si="108"/>
        <v>9000</v>
      </c>
      <c r="L138" s="115">
        <f t="shared" si="108"/>
        <v>9000</v>
      </c>
      <c r="M138" s="115">
        <f t="shared" si="108"/>
        <v>9000</v>
      </c>
      <c r="N138" s="115">
        <f t="shared" si="108"/>
        <v>9000</v>
      </c>
      <c r="O138" s="115">
        <f t="shared" si="108"/>
        <v>9000</v>
      </c>
      <c r="P138" s="115">
        <f t="shared" si="108"/>
        <v>9000</v>
      </c>
      <c r="Q138" s="115">
        <f t="shared" si="108"/>
        <v>9000</v>
      </c>
      <c r="R138" s="115">
        <f t="shared" si="108"/>
        <v>9000</v>
      </c>
      <c r="S138" s="115">
        <f t="shared" si="108"/>
        <v>9000</v>
      </c>
      <c r="T138" s="115">
        <f t="shared" si="108"/>
        <v>9000</v>
      </c>
      <c r="U138" s="115">
        <f t="shared" si="108"/>
        <v>9000</v>
      </c>
      <c r="V138" s="115">
        <f t="shared" si="108"/>
        <v>9000</v>
      </c>
      <c r="W138" s="115">
        <f t="shared" si="108"/>
        <v>9000</v>
      </c>
      <c r="X138" s="115">
        <f t="shared" si="108"/>
        <v>9000</v>
      </c>
      <c r="Y138" s="115">
        <f t="shared" si="108"/>
        <v>9000</v>
      </c>
      <c r="Z138" s="115">
        <f t="shared" si="108"/>
        <v>9000</v>
      </c>
      <c r="AA138" s="115">
        <f t="shared" si="108"/>
        <v>9000</v>
      </c>
      <c r="AB138" s="115">
        <f t="shared" si="108"/>
        <v>9000</v>
      </c>
      <c r="AC138" s="115">
        <f t="shared" si="108"/>
        <v>9000</v>
      </c>
      <c r="AD138" s="115">
        <f t="shared" si="108"/>
        <v>9000</v>
      </c>
      <c r="AE138" s="115">
        <f t="shared" si="108"/>
        <v>9000</v>
      </c>
      <c r="AF138" s="115">
        <f t="shared" si="108"/>
        <v>9000</v>
      </c>
      <c r="AG138" s="115">
        <f t="shared" si="108"/>
        <v>9000</v>
      </c>
      <c r="AH138" s="115">
        <f t="shared" si="108"/>
        <v>9000</v>
      </c>
      <c r="AI138" s="115">
        <f t="shared" si="108"/>
        <v>9000</v>
      </c>
      <c r="AJ138" s="115">
        <f t="shared" si="108"/>
        <v>9000</v>
      </c>
      <c r="AK138" s="115">
        <f t="shared" si="108"/>
        <v>9000</v>
      </c>
      <c r="AL138" s="115">
        <f t="shared" si="108"/>
        <v>9000</v>
      </c>
      <c r="AM138" s="115">
        <f t="shared" si="108"/>
        <v>9000</v>
      </c>
      <c r="AN138" s="115">
        <f t="shared" si="108"/>
        <v>9000</v>
      </c>
      <c r="AO138" s="115">
        <f t="shared" si="108"/>
        <v>9000</v>
      </c>
      <c r="AP138" s="115">
        <f t="shared" si="108"/>
        <v>9000</v>
      </c>
      <c r="AQ138" s="115">
        <f t="shared" si="108"/>
        <v>9000</v>
      </c>
      <c r="AR138" s="115">
        <f t="shared" si="108"/>
        <v>9000</v>
      </c>
      <c r="AS138" s="115">
        <f t="shared" si="108"/>
        <v>9000</v>
      </c>
      <c r="AT138" s="115">
        <f t="shared" si="108"/>
        <v>9000</v>
      </c>
      <c r="AU138" s="115">
        <f t="shared" si="108"/>
        <v>9000</v>
      </c>
      <c r="AV138" s="115">
        <f t="shared" si="108"/>
        <v>9000</v>
      </c>
      <c r="AW138" s="115">
        <f t="shared" si="108"/>
        <v>9000</v>
      </c>
      <c r="AX138" s="115">
        <f t="shared" si="108"/>
        <v>9000</v>
      </c>
      <c r="AY138" s="115">
        <f t="shared" si="108"/>
        <v>9000</v>
      </c>
      <c r="AZ138" s="115">
        <f t="shared" si="108"/>
        <v>9000</v>
      </c>
      <c r="BA138" s="115">
        <f t="shared" si="108"/>
        <v>9000</v>
      </c>
      <c r="BB138" s="115">
        <f t="shared" si="108"/>
        <v>9000</v>
      </c>
      <c r="BC138" s="115">
        <f t="shared" si="108"/>
        <v>9000</v>
      </c>
      <c r="BD138" s="115">
        <f t="shared" si="108"/>
        <v>9000</v>
      </c>
      <c r="BE138" s="115">
        <f t="shared" si="108"/>
        <v>9000</v>
      </c>
      <c r="BF138" s="115">
        <f t="shared" si="108"/>
        <v>9000</v>
      </c>
      <c r="BG138" s="115">
        <f t="shared" si="108"/>
        <v>9000</v>
      </c>
      <c r="BH138" s="115">
        <f t="shared" si="108"/>
        <v>9000</v>
      </c>
      <c r="BI138" s="115">
        <f t="shared" si="108"/>
        <v>9000</v>
      </c>
      <c r="BJ138" s="115">
        <f t="shared" si="108"/>
        <v>9000</v>
      </c>
      <c r="BK138" s="115">
        <f t="shared" si="108"/>
        <v>9000</v>
      </c>
      <c r="BL138" s="115">
        <f t="shared" si="108"/>
        <v>9000</v>
      </c>
      <c r="BM138" s="115">
        <f t="shared" si="108"/>
        <v>9000</v>
      </c>
      <c r="BN138" s="115">
        <f t="shared" si="108"/>
        <v>9000</v>
      </c>
      <c r="BO138" s="115">
        <f t="shared" si="108"/>
        <v>9000</v>
      </c>
    </row>
    <row r="139" outlineLevel="1">
      <c r="A139" s="47"/>
      <c r="B139" s="118" t="s">
        <v>90</v>
      </c>
      <c r="C139" s="119">
        <v>45000.0</v>
      </c>
      <c r="D139" s="120">
        <v>0.2</v>
      </c>
      <c r="E139" s="121">
        <v>44348.0</v>
      </c>
      <c r="F139" s="115"/>
      <c r="G139" s="115"/>
      <c r="H139" s="115">
        <f t="shared" ref="H139:BO139" si="109">IF(H$4&gt;=$E139,($C139/12)*(1+$D139),0)</f>
        <v>4500</v>
      </c>
      <c r="I139" s="115">
        <f t="shared" si="109"/>
        <v>4500</v>
      </c>
      <c r="J139" s="115">
        <f t="shared" si="109"/>
        <v>4500</v>
      </c>
      <c r="K139" s="115">
        <f t="shared" si="109"/>
        <v>4500</v>
      </c>
      <c r="L139" s="115">
        <f t="shared" si="109"/>
        <v>4500</v>
      </c>
      <c r="M139" s="115">
        <f t="shared" si="109"/>
        <v>4500</v>
      </c>
      <c r="N139" s="115">
        <f t="shared" si="109"/>
        <v>4500</v>
      </c>
      <c r="O139" s="115">
        <f t="shared" si="109"/>
        <v>4500</v>
      </c>
      <c r="P139" s="115">
        <f t="shared" si="109"/>
        <v>4500</v>
      </c>
      <c r="Q139" s="115">
        <f t="shared" si="109"/>
        <v>4500</v>
      </c>
      <c r="R139" s="115">
        <f t="shared" si="109"/>
        <v>4500</v>
      </c>
      <c r="S139" s="115">
        <f t="shared" si="109"/>
        <v>4500</v>
      </c>
      <c r="T139" s="115">
        <f t="shared" si="109"/>
        <v>4500</v>
      </c>
      <c r="U139" s="115">
        <f t="shared" si="109"/>
        <v>4500</v>
      </c>
      <c r="V139" s="115">
        <f t="shared" si="109"/>
        <v>4500</v>
      </c>
      <c r="W139" s="115">
        <f t="shared" si="109"/>
        <v>4500</v>
      </c>
      <c r="X139" s="115">
        <f t="shared" si="109"/>
        <v>4500</v>
      </c>
      <c r="Y139" s="115">
        <f t="shared" si="109"/>
        <v>4500</v>
      </c>
      <c r="Z139" s="115">
        <f t="shared" si="109"/>
        <v>4500</v>
      </c>
      <c r="AA139" s="115">
        <f t="shared" si="109"/>
        <v>4500</v>
      </c>
      <c r="AB139" s="115">
        <f t="shared" si="109"/>
        <v>4500</v>
      </c>
      <c r="AC139" s="115">
        <f t="shared" si="109"/>
        <v>4500</v>
      </c>
      <c r="AD139" s="115">
        <f t="shared" si="109"/>
        <v>4500</v>
      </c>
      <c r="AE139" s="115">
        <f t="shared" si="109"/>
        <v>4500</v>
      </c>
      <c r="AF139" s="115">
        <f t="shared" si="109"/>
        <v>4500</v>
      </c>
      <c r="AG139" s="115">
        <f t="shared" si="109"/>
        <v>4500</v>
      </c>
      <c r="AH139" s="115">
        <f t="shared" si="109"/>
        <v>4500</v>
      </c>
      <c r="AI139" s="115">
        <f t="shared" si="109"/>
        <v>4500</v>
      </c>
      <c r="AJ139" s="115">
        <f t="shared" si="109"/>
        <v>4500</v>
      </c>
      <c r="AK139" s="115">
        <f t="shared" si="109"/>
        <v>4500</v>
      </c>
      <c r="AL139" s="115">
        <f t="shared" si="109"/>
        <v>4500</v>
      </c>
      <c r="AM139" s="115">
        <f t="shared" si="109"/>
        <v>4500</v>
      </c>
      <c r="AN139" s="115">
        <f t="shared" si="109"/>
        <v>4500</v>
      </c>
      <c r="AO139" s="115">
        <f t="shared" si="109"/>
        <v>4500</v>
      </c>
      <c r="AP139" s="115">
        <f t="shared" si="109"/>
        <v>4500</v>
      </c>
      <c r="AQ139" s="115">
        <f t="shared" si="109"/>
        <v>4500</v>
      </c>
      <c r="AR139" s="115">
        <f t="shared" si="109"/>
        <v>4500</v>
      </c>
      <c r="AS139" s="115">
        <f t="shared" si="109"/>
        <v>4500</v>
      </c>
      <c r="AT139" s="115">
        <f t="shared" si="109"/>
        <v>4500</v>
      </c>
      <c r="AU139" s="115">
        <f t="shared" si="109"/>
        <v>4500</v>
      </c>
      <c r="AV139" s="115">
        <f t="shared" si="109"/>
        <v>4500</v>
      </c>
      <c r="AW139" s="115">
        <f t="shared" si="109"/>
        <v>4500</v>
      </c>
      <c r="AX139" s="115">
        <f t="shared" si="109"/>
        <v>4500</v>
      </c>
      <c r="AY139" s="115">
        <f t="shared" si="109"/>
        <v>4500</v>
      </c>
      <c r="AZ139" s="115">
        <f t="shared" si="109"/>
        <v>4500</v>
      </c>
      <c r="BA139" s="115">
        <f t="shared" si="109"/>
        <v>4500</v>
      </c>
      <c r="BB139" s="115">
        <f t="shared" si="109"/>
        <v>4500</v>
      </c>
      <c r="BC139" s="115">
        <f t="shared" si="109"/>
        <v>4500</v>
      </c>
      <c r="BD139" s="115">
        <f t="shared" si="109"/>
        <v>4500</v>
      </c>
      <c r="BE139" s="115">
        <f t="shared" si="109"/>
        <v>4500</v>
      </c>
      <c r="BF139" s="115">
        <f t="shared" si="109"/>
        <v>4500</v>
      </c>
      <c r="BG139" s="115">
        <f t="shared" si="109"/>
        <v>4500</v>
      </c>
      <c r="BH139" s="115">
        <f t="shared" si="109"/>
        <v>4500</v>
      </c>
      <c r="BI139" s="115">
        <f t="shared" si="109"/>
        <v>4500</v>
      </c>
      <c r="BJ139" s="115">
        <f t="shared" si="109"/>
        <v>4500</v>
      </c>
      <c r="BK139" s="115">
        <f t="shared" si="109"/>
        <v>4500</v>
      </c>
      <c r="BL139" s="115">
        <f t="shared" si="109"/>
        <v>4500</v>
      </c>
      <c r="BM139" s="115">
        <f t="shared" si="109"/>
        <v>4500</v>
      </c>
      <c r="BN139" s="115">
        <f t="shared" si="109"/>
        <v>4500</v>
      </c>
      <c r="BO139" s="115">
        <f t="shared" si="109"/>
        <v>4500</v>
      </c>
    </row>
    <row r="140" outlineLevel="1">
      <c r="A140" s="47"/>
      <c r="B140" s="118" t="s">
        <v>91</v>
      </c>
      <c r="C140" s="119">
        <v>75000.0</v>
      </c>
      <c r="D140" s="120">
        <v>0.2</v>
      </c>
      <c r="E140" s="121">
        <v>43983.0</v>
      </c>
      <c r="F140" s="115"/>
      <c r="G140" s="115"/>
      <c r="H140" s="115">
        <f t="shared" ref="H140:BO140" si="110">IF(H$4&gt;=$E140,($C140/12)*(1+$D140),0)</f>
        <v>7500</v>
      </c>
      <c r="I140" s="115">
        <f t="shared" si="110"/>
        <v>7500</v>
      </c>
      <c r="J140" s="115">
        <f t="shared" si="110"/>
        <v>7500</v>
      </c>
      <c r="K140" s="115">
        <f t="shared" si="110"/>
        <v>7500</v>
      </c>
      <c r="L140" s="115">
        <f t="shared" si="110"/>
        <v>7500</v>
      </c>
      <c r="M140" s="115">
        <f t="shared" si="110"/>
        <v>7500</v>
      </c>
      <c r="N140" s="115">
        <f t="shared" si="110"/>
        <v>7500</v>
      </c>
      <c r="O140" s="115">
        <f t="shared" si="110"/>
        <v>7500</v>
      </c>
      <c r="P140" s="115">
        <f t="shared" si="110"/>
        <v>7500</v>
      </c>
      <c r="Q140" s="115">
        <f t="shared" si="110"/>
        <v>7500</v>
      </c>
      <c r="R140" s="115">
        <f t="shared" si="110"/>
        <v>7500</v>
      </c>
      <c r="S140" s="115">
        <f t="shared" si="110"/>
        <v>7500</v>
      </c>
      <c r="T140" s="115">
        <f t="shared" si="110"/>
        <v>7500</v>
      </c>
      <c r="U140" s="115">
        <f t="shared" si="110"/>
        <v>7500</v>
      </c>
      <c r="V140" s="115">
        <f t="shared" si="110"/>
        <v>7500</v>
      </c>
      <c r="W140" s="115">
        <f t="shared" si="110"/>
        <v>7500</v>
      </c>
      <c r="X140" s="115">
        <f t="shared" si="110"/>
        <v>7500</v>
      </c>
      <c r="Y140" s="115">
        <f t="shared" si="110"/>
        <v>7500</v>
      </c>
      <c r="Z140" s="115">
        <f t="shared" si="110"/>
        <v>7500</v>
      </c>
      <c r="AA140" s="115">
        <f t="shared" si="110"/>
        <v>7500</v>
      </c>
      <c r="AB140" s="115">
        <f t="shared" si="110"/>
        <v>7500</v>
      </c>
      <c r="AC140" s="115">
        <f t="shared" si="110"/>
        <v>7500</v>
      </c>
      <c r="AD140" s="115">
        <f t="shared" si="110"/>
        <v>7500</v>
      </c>
      <c r="AE140" s="115">
        <f t="shared" si="110"/>
        <v>7500</v>
      </c>
      <c r="AF140" s="115">
        <f t="shared" si="110"/>
        <v>7500</v>
      </c>
      <c r="AG140" s="115">
        <f t="shared" si="110"/>
        <v>7500</v>
      </c>
      <c r="AH140" s="115">
        <f t="shared" si="110"/>
        <v>7500</v>
      </c>
      <c r="AI140" s="115">
        <f t="shared" si="110"/>
        <v>7500</v>
      </c>
      <c r="AJ140" s="115">
        <f t="shared" si="110"/>
        <v>7500</v>
      </c>
      <c r="AK140" s="115">
        <f t="shared" si="110"/>
        <v>7500</v>
      </c>
      <c r="AL140" s="115">
        <f t="shared" si="110"/>
        <v>7500</v>
      </c>
      <c r="AM140" s="115">
        <f t="shared" si="110"/>
        <v>7500</v>
      </c>
      <c r="AN140" s="115">
        <f t="shared" si="110"/>
        <v>7500</v>
      </c>
      <c r="AO140" s="115">
        <f t="shared" si="110"/>
        <v>7500</v>
      </c>
      <c r="AP140" s="115">
        <f t="shared" si="110"/>
        <v>7500</v>
      </c>
      <c r="AQ140" s="115">
        <f t="shared" si="110"/>
        <v>7500</v>
      </c>
      <c r="AR140" s="115">
        <f t="shared" si="110"/>
        <v>7500</v>
      </c>
      <c r="AS140" s="115">
        <f t="shared" si="110"/>
        <v>7500</v>
      </c>
      <c r="AT140" s="115">
        <f t="shared" si="110"/>
        <v>7500</v>
      </c>
      <c r="AU140" s="115">
        <f t="shared" si="110"/>
        <v>7500</v>
      </c>
      <c r="AV140" s="115">
        <f t="shared" si="110"/>
        <v>7500</v>
      </c>
      <c r="AW140" s="115">
        <f t="shared" si="110"/>
        <v>7500</v>
      </c>
      <c r="AX140" s="115">
        <f t="shared" si="110"/>
        <v>7500</v>
      </c>
      <c r="AY140" s="115">
        <f t="shared" si="110"/>
        <v>7500</v>
      </c>
      <c r="AZ140" s="115">
        <f t="shared" si="110"/>
        <v>7500</v>
      </c>
      <c r="BA140" s="115">
        <f t="shared" si="110"/>
        <v>7500</v>
      </c>
      <c r="BB140" s="115">
        <f t="shared" si="110"/>
        <v>7500</v>
      </c>
      <c r="BC140" s="115">
        <f t="shared" si="110"/>
        <v>7500</v>
      </c>
      <c r="BD140" s="115">
        <f t="shared" si="110"/>
        <v>7500</v>
      </c>
      <c r="BE140" s="115">
        <f t="shared" si="110"/>
        <v>7500</v>
      </c>
      <c r="BF140" s="115">
        <f t="shared" si="110"/>
        <v>7500</v>
      </c>
      <c r="BG140" s="115">
        <f t="shared" si="110"/>
        <v>7500</v>
      </c>
      <c r="BH140" s="115">
        <f t="shared" si="110"/>
        <v>7500</v>
      </c>
      <c r="BI140" s="115">
        <f t="shared" si="110"/>
        <v>7500</v>
      </c>
      <c r="BJ140" s="115">
        <f t="shared" si="110"/>
        <v>7500</v>
      </c>
      <c r="BK140" s="115">
        <f t="shared" si="110"/>
        <v>7500</v>
      </c>
      <c r="BL140" s="115">
        <f t="shared" si="110"/>
        <v>7500</v>
      </c>
      <c r="BM140" s="115">
        <f t="shared" si="110"/>
        <v>7500</v>
      </c>
      <c r="BN140" s="115">
        <f t="shared" si="110"/>
        <v>7500</v>
      </c>
      <c r="BO140" s="115">
        <f t="shared" si="110"/>
        <v>7500</v>
      </c>
    </row>
    <row r="141" outlineLevel="1">
      <c r="A141" s="47"/>
      <c r="B141" s="118" t="s">
        <v>92</v>
      </c>
      <c r="C141" s="119">
        <v>50000.0</v>
      </c>
      <c r="D141" s="120">
        <v>0.2</v>
      </c>
      <c r="E141" s="121">
        <v>44075.0</v>
      </c>
      <c r="F141" s="115"/>
      <c r="G141" s="115"/>
      <c r="H141" s="115">
        <f t="shared" ref="H141:BO141" si="111">IF(H$4&gt;=$E141,($C141/12)*(1+$D141),0)</f>
        <v>5000</v>
      </c>
      <c r="I141" s="115">
        <f t="shared" si="111"/>
        <v>5000</v>
      </c>
      <c r="J141" s="115">
        <f t="shared" si="111"/>
        <v>5000</v>
      </c>
      <c r="K141" s="115">
        <f t="shared" si="111"/>
        <v>5000</v>
      </c>
      <c r="L141" s="115">
        <f t="shared" si="111"/>
        <v>5000</v>
      </c>
      <c r="M141" s="115">
        <f t="shared" si="111"/>
        <v>5000</v>
      </c>
      <c r="N141" s="115">
        <f t="shared" si="111"/>
        <v>5000</v>
      </c>
      <c r="O141" s="115">
        <f t="shared" si="111"/>
        <v>5000</v>
      </c>
      <c r="P141" s="115">
        <f t="shared" si="111"/>
        <v>5000</v>
      </c>
      <c r="Q141" s="115">
        <f t="shared" si="111"/>
        <v>5000</v>
      </c>
      <c r="R141" s="115">
        <f t="shared" si="111"/>
        <v>5000</v>
      </c>
      <c r="S141" s="115">
        <f t="shared" si="111"/>
        <v>5000</v>
      </c>
      <c r="T141" s="115">
        <f t="shared" si="111"/>
        <v>5000</v>
      </c>
      <c r="U141" s="115">
        <f t="shared" si="111"/>
        <v>5000</v>
      </c>
      <c r="V141" s="115">
        <f t="shared" si="111"/>
        <v>5000</v>
      </c>
      <c r="W141" s="115">
        <f t="shared" si="111"/>
        <v>5000</v>
      </c>
      <c r="X141" s="115">
        <f t="shared" si="111"/>
        <v>5000</v>
      </c>
      <c r="Y141" s="115">
        <f t="shared" si="111"/>
        <v>5000</v>
      </c>
      <c r="Z141" s="115">
        <f t="shared" si="111"/>
        <v>5000</v>
      </c>
      <c r="AA141" s="115">
        <f t="shared" si="111"/>
        <v>5000</v>
      </c>
      <c r="AB141" s="115">
        <f t="shared" si="111"/>
        <v>5000</v>
      </c>
      <c r="AC141" s="115">
        <f t="shared" si="111"/>
        <v>5000</v>
      </c>
      <c r="AD141" s="115">
        <f t="shared" si="111"/>
        <v>5000</v>
      </c>
      <c r="AE141" s="115">
        <f t="shared" si="111"/>
        <v>5000</v>
      </c>
      <c r="AF141" s="115">
        <f t="shared" si="111"/>
        <v>5000</v>
      </c>
      <c r="AG141" s="115">
        <f t="shared" si="111"/>
        <v>5000</v>
      </c>
      <c r="AH141" s="115">
        <f t="shared" si="111"/>
        <v>5000</v>
      </c>
      <c r="AI141" s="115">
        <f t="shared" si="111"/>
        <v>5000</v>
      </c>
      <c r="AJ141" s="115">
        <f t="shared" si="111"/>
        <v>5000</v>
      </c>
      <c r="AK141" s="115">
        <f t="shared" si="111"/>
        <v>5000</v>
      </c>
      <c r="AL141" s="115">
        <f t="shared" si="111"/>
        <v>5000</v>
      </c>
      <c r="AM141" s="115">
        <f t="shared" si="111"/>
        <v>5000</v>
      </c>
      <c r="AN141" s="115">
        <f t="shared" si="111"/>
        <v>5000</v>
      </c>
      <c r="AO141" s="115">
        <f t="shared" si="111"/>
        <v>5000</v>
      </c>
      <c r="AP141" s="115">
        <f t="shared" si="111"/>
        <v>5000</v>
      </c>
      <c r="AQ141" s="115">
        <f t="shared" si="111"/>
        <v>5000</v>
      </c>
      <c r="AR141" s="115">
        <f t="shared" si="111"/>
        <v>5000</v>
      </c>
      <c r="AS141" s="115">
        <f t="shared" si="111"/>
        <v>5000</v>
      </c>
      <c r="AT141" s="115">
        <f t="shared" si="111"/>
        <v>5000</v>
      </c>
      <c r="AU141" s="115">
        <f t="shared" si="111"/>
        <v>5000</v>
      </c>
      <c r="AV141" s="115">
        <f t="shared" si="111"/>
        <v>5000</v>
      </c>
      <c r="AW141" s="115">
        <f t="shared" si="111"/>
        <v>5000</v>
      </c>
      <c r="AX141" s="115">
        <f t="shared" si="111"/>
        <v>5000</v>
      </c>
      <c r="AY141" s="115">
        <f t="shared" si="111"/>
        <v>5000</v>
      </c>
      <c r="AZ141" s="115">
        <f t="shared" si="111"/>
        <v>5000</v>
      </c>
      <c r="BA141" s="115">
        <f t="shared" si="111"/>
        <v>5000</v>
      </c>
      <c r="BB141" s="115">
        <f t="shared" si="111"/>
        <v>5000</v>
      </c>
      <c r="BC141" s="115">
        <f t="shared" si="111"/>
        <v>5000</v>
      </c>
      <c r="BD141" s="115">
        <f t="shared" si="111"/>
        <v>5000</v>
      </c>
      <c r="BE141" s="115">
        <f t="shared" si="111"/>
        <v>5000</v>
      </c>
      <c r="BF141" s="115">
        <f t="shared" si="111"/>
        <v>5000</v>
      </c>
      <c r="BG141" s="115">
        <f t="shared" si="111"/>
        <v>5000</v>
      </c>
      <c r="BH141" s="115">
        <f t="shared" si="111"/>
        <v>5000</v>
      </c>
      <c r="BI141" s="115">
        <f t="shared" si="111"/>
        <v>5000</v>
      </c>
      <c r="BJ141" s="115">
        <f t="shared" si="111"/>
        <v>5000</v>
      </c>
      <c r="BK141" s="115">
        <f t="shared" si="111"/>
        <v>5000</v>
      </c>
      <c r="BL141" s="115">
        <f t="shared" si="111"/>
        <v>5000</v>
      </c>
      <c r="BM141" s="115">
        <f t="shared" si="111"/>
        <v>5000</v>
      </c>
      <c r="BN141" s="115">
        <f t="shared" si="111"/>
        <v>5000</v>
      </c>
      <c r="BO141" s="115">
        <f t="shared" si="111"/>
        <v>5000</v>
      </c>
    </row>
    <row r="142" outlineLevel="1">
      <c r="A142" s="47"/>
      <c r="B142" s="118" t="s">
        <v>93</v>
      </c>
      <c r="C142" s="119">
        <v>80000.0</v>
      </c>
      <c r="D142" s="120">
        <v>0.2</v>
      </c>
      <c r="E142" s="121">
        <v>44166.0</v>
      </c>
      <c r="F142" s="115"/>
      <c r="G142" s="115"/>
      <c r="H142" s="115">
        <f t="shared" ref="H142:BO142" si="112">IF(H$4&gt;=$E142,($C142/12)*(1+$D142),0)</f>
        <v>8000</v>
      </c>
      <c r="I142" s="115">
        <f t="shared" si="112"/>
        <v>8000</v>
      </c>
      <c r="J142" s="115">
        <f t="shared" si="112"/>
        <v>8000</v>
      </c>
      <c r="K142" s="115">
        <f t="shared" si="112"/>
        <v>8000</v>
      </c>
      <c r="L142" s="115">
        <f t="shared" si="112"/>
        <v>8000</v>
      </c>
      <c r="M142" s="115">
        <f t="shared" si="112"/>
        <v>8000</v>
      </c>
      <c r="N142" s="115">
        <f t="shared" si="112"/>
        <v>8000</v>
      </c>
      <c r="O142" s="115">
        <f t="shared" si="112"/>
        <v>8000</v>
      </c>
      <c r="P142" s="115">
        <f t="shared" si="112"/>
        <v>8000</v>
      </c>
      <c r="Q142" s="115">
        <f t="shared" si="112"/>
        <v>8000</v>
      </c>
      <c r="R142" s="115">
        <f t="shared" si="112"/>
        <v>8000</v>
      </c>
      <c r="S142" s="115">
        <f t="shared" si="112"/>
        <v>8000</v>
      </c>
      <c r="T142" s="115">
        <f t="shared" si="112"/>
        <v>8000</v>
      </c>
      <c r="U142" s="115">
        <f t="shared" si="112"/>
        <v>8000</v>
      </c>
      <c r="V142" s="115">
        <f t="shared" si="112"/>
        <v>8000</v>
      </c>
      <c r="W142" s="115">
        <f t="shared" si="112"/>
        <v>8000</v>
      </c>
      <c r="X142" s="115">
        <f t="shared" si="112"/>
        <v>8000</v>
      </c>
      <c r="Y142" s="115">
        <f t="shared" si="112"/>
        <v>8000</v>
      </c>
      <c r="Z142" s="115">
        <f t="shared" si="112"/>
        <v>8000</v>
      </c>
      <c r="AA142" s="115">
        <f t="shared" si="112"/>
        <v>8000</v>
      </c>
      <c r="AB142" s="115">
        <f t="shared" si="112"/>
        <v>8000</v>
      </c>
      <c r="AC142" s="115">
        <f t="shared" si="112"/>
        <v>8000</v>
      </c>
      <c r="AD142" s="115">
        <f t="shared" si="112"/>
        <v>8000</v>
      </c>
      <c r="AE142" s="115">
        <f t="shared" si="112"/>
        <v>8000</v>
      </c>
      <c r="AF142" s="115">
        <f t="shared" si="112"/>
        <v>8000</v>
      </c>
      <c r="AG142" s="115">
        <f t="shared" si="112"/>
        <v>8000</v>
      </c>
      <c r="AH142" s="115">
        <f t="shared" si="112"/>
        <v>8000</v>
      </c>
      <c r="AI142" s="115">
        <f t="shared" si="112"/>
        <v>8000</v>
      </c>
      <c r="AJ142" s="115">
        <f t="shared" si="112"/>
        <v>8000</v>
      </c>
      <c r="AK142" s="115">
        <f t="shared" si="112"/>
        <v>8000</v>
      </c>
      <c r="AL142" s="115">
        <f t="shared" si="112"/>
        <v>8000</v>
      </c>
      <c r="AM142" s="115">
        <f t="shared" si="112"/>
        <v>8000</v>
      </c>
      <c r="AN142" s="115">
        <f t="shared" si="112"/>
        <v>8000</v>
      </c>
      <c r="AO142" s="115">
        <f t="shared" si="112"/>
        <v>8000</v>
      </c>
      <c r="AP142" s="115">
        <f t="shared" si="112"/>
        <v>8000</v>
      </c>
      <c r="AQ142" s="115">
        <f t="shared" si="112"/>
        <v>8000</v>
      </c>
      <c r="AR142" s="115">
        <f t="shared" si="112"/>
        <v>8000</v>
      </c>
      <c r="AS142" s="115">
        <f t="shared" si="112"/>
        <v>8000</v>
      </c>
      <c r="AT142" s="115">
        <f t="shared" si="112"/>
        <v>8000</v>
      </c>
      <c r="AU142" s="115">
        <f t="shared" si="112"/>
        <v>8000</v>
      </c>
      <c r="AV142" s="115">
        <f t="shared" si="112"/>
        <v>8000</v>
      </c>
      <c r="AW142" s="115">
        <f t="shared" si="112"/>
        <v>8000</v>
      </c>
      <c r="AX142" s="115">
        <f t="shared" si="112"/>
        <v>8000</v>
      </c>
      <c r="AY142" s="115">
        <f t="shared" si="112"/>
        <v>8000</v>
      </c>
      <c r="AZ142" s="115">
        <f t="shared" si="112"/>
        <v>8000</v>
      </c>
      <c r="BA142" s="115">
        <f t="shared" si="112"/>
        <v>8000</v>
      </c>
      <c r="BB142" s="115">
        <f t="shared" si="112"/>
        <v>8000</v>
      </c>
      <c r="BC142" s="115">
        <f t="shared" si="112"/>
        <v>8000</v>
      </c>
      <c r="BD142" s="115">
        <f t="shared" si="112"/>
        <v>8000</v>
      </c>
      <c r="BE142" s="115">
        <f t="shared" si="112"/>
        <v>8000</v>
      </c>
      <c r="BF142" s="115">
        <f t="shared" si="112"/>
        <v>8000</v>
      </c>
      <c r="BG142" s="115">
        <f t="shared" si="112"/>
        <v>8000</v>
      </c>
      <c r="BH142" s="115">
        <f t="shared" si="112"/>
        <v>8000</v>
      </c>
      <c r="BI142" s="115">
        <f t="shared" si="112"/>
        <v>8000</v>
      </c>
      <c r="BJ142" s="115">
        <f t="shared" si="112"/>
        <v>8000</v>
      </c>
      <c r="BK142" s="115">
        <f t="shared" si="112"/>
        <v>8000</v>
      </c>
      <c r="BL142" s="115">
        <f t="shared" si="112"/>
        <v>8000</v>
      </c>
      <c r="BM142" s="115">
        <f t="shared" si="112"/>
        <v>8000</v>
      </c>
      <c r="BN142" s="115">
        <f t="shared" si="112"/>
        <v>8000</v>
      </c>
      <c r="BO142" s="115">
        <f t="shared" si="112"/>
        <v>8000</v>
      </c>
    </row>
    <row r="143" outlineLevel="1">
      <c r="A143" s="47"/>
      <c r="B143" s="118" t="s">
        <v>94</v>
      </c>
      <c r="C143" s="119">
        <v>90000.0</v>
      </c>
      <c r="D143" s="120">
        <v>0.2</v>
      </c>
      <c r="E143" s="121">
        <v>44256.0</v>
      </c>
      <c r="F143" s="115"/>
      <c r="G143" s="115"/>
      <c r="H143" s="115">
        <f t="shared" ref="H143:BO143" si="113">IF(H$4&gt;=$E143,($C143/12)*(1+$D143),0)</f>
        <v>9000</v>
      </c>
      <c r="I143" s="115">
        <f t="shared" si="113"/>
        <v>9000</v>
      </c>
      <c r="J143" s="115">
        <f t="shared" si="113"/>
        <v>9000</v>
      </c>
      <c r="K143" s="115">
        <f t="shared" si="113"/>
        <v>9000</v>
      </c>
      <c r="L143" s="115">
        <f t="shared" si="113"/>
        <v>9000</v>
      </c>
      <c r="M143" s="115">
        <f t="shared" si="113"/>
        <v>9000</v>
      </c>
      <c r="N143" s="115">
        <f t="shared" si="113"/>
        <v>9000</v>
      </c>
      <c r="O143" s="115">
        <f t="shared" si="113"/>
        <v>9000</v>
      </c>
      <c r="P143" s="115">
        <f t="shared" si="113"/>
        <v>9000</v>
      </c>
      <c r="Q143" s="115">
        <f t="shared" si="113"/>
        <v>9000</v>
      </c>
      <c r="R143" s="115">
        <f t="shared" si="113"/>
        <v>9000</v>
      </c>
      <c r="S143" s="115">
        <f t="shared" si="113"/>
        <v>9000</v>
      </c>
      <c r="T143" s="115">
        <f t="shared" si="113"/>
        <v>9000</v>
      </c>
      <c r="U143" s="115">
        <f t="shared" si="113"/>
        <v>9000</v>
      </c>
      <c r="V143" s="115">
        <f t="shared" si="113"/>
        <v>9000</v>
      </c>
      <c r="W143" s="115">
        <f t="shared" si="113"/>
        <v>9000</v>
      </c>
      <c r="X143" s="115">
        <f t="shared" si="113"/>
        <v>9000</v>
      </c>
      <c r="Y143" s="115">
        <f t="shared" si="113"/>
        <v>9000</v>
      </c>
      <c r="Z143" s="115">
        <f t="shared" si="113"/>
        <v>9000</v>
      </c>
      <c r="AA143" s="115">
        <f t="shared" si="113"/>
        <v>9000</v>
      </c>
      <c r="AB143" s="115">
        <f t="shared" si="113"/>
        <v>9000</v>
      </c>
      <c r="AC143" s="115">
        <f t="shared" si="113"/>
        <v>9000</v>
      </c>
      <c r="AD143" s="115">
        <f t="shared" si="113"/>
        <v>9000</v>
      </c>
      <c r="AE143" s="115">
        <f t="shared" si="113"/>
        <v>9000</v>
      </c>
      <c r="AF143" s="115">
        <f t="shared" si="113"/>
        <v>9000</v>
      </c>
      <c r="AG143" s="115">
        <f t="shared" si="113"/>
        <v>9000</v>
      </c>
      <c r="AH143" s="115">
        <f t="shared" si="113"/>
        <v>9000</v>
      </c>
      <c r="AI143" s="115">
        <f t="shared" si="113"/>
        <v>9000</v>
      </c>
      <c r="AJ143" s="115">
        <f t="shared" si="113"/>
        <v>9000</v>
      </c>
      <c r="AK143" s="115">
        <f t="shared" si="113"/>
        <v>9000</v>
      </c>
      <c r="AL143" s="115">
        <f t="shared" si="113"/>
        <v>9000</v>
      </c>
      <c r="AM143" s="115">
        <f t="shared" si="113"/>
        <v>9000</v>
      </c>
      <c r="AN143" s="115">
        <f t="shared" si="113"/>
        <v>9000</v>
      </c>
      <c r="AO143" s="115">
        <f t="shared" si="113"/>
        <v>9000</v>
      </c>
      <c r="AP143" s="115">
        <f t="shared" si="113"/>
        <v>9000</v>
      </c>
      <c r="AQ143" s="115">
        <f t="shared" si="113"/>
        <v>9000</v>
      </c>
      <c r="AR143" s="115">
        <f t="shared" si="113"/>
        <v>9000</v>
      </c>
      <c r="AS143" s="115">
        <f t="shared" si="113"/>
        <v>9000</v>
      </c>
      <c r="AT143" s="115">
        <f t="shared" si="113"/>
        <v>9000</v>
      </c>
      <c r="AU143" s="115">
        <f t="shared" si="113"/>
        <v>9000</v>
      </c>
      <c r="AV143" s="115">
        <f t="shared" si="113"/>
        <v>9000</v>
      </c>
      <c r="AW143" s="115">
        <f t="shared" si="113"/>
        <v>9000</v>
      </c>
      <c r="AX143" s="115">
        <f t="shared" si="113"/>
        <v>9000</v>
      </c>
      <c r="AY143" s="115">
        <f t="shared" si="113"/>
        <v>9000</v>
      </c>
      <c r="AZ143" s="115">
        <f t="shared" si="113"/>
        <v>9000</v>
      </c>
      <c r="BA143" s="115">
        <f t="shared" si="113"/>
        <v>9000</v>
      </c>
      <c r="BB143" s="115">
        <f t="shared" si="113"/>
        <v>9000</v>
      </c>
      <c r="BC143" s="115">
        <f t="shared" si="113"/>
        <v>9000</v>
      </c>
      <c r="BD143" s="115">
        <f t="shared" si="113"/>
        <v>9000</v>
      </c>
      <c r="BE143" s="115">
        <f t="shared" si="113"/>
        <v>9000</v>
      </c>
      <c r="BF143" s="115">
        <f t="shared" si="113"/>
        <v>9000</v>
      </c>
      <c r="BG143" s="115">
        <f t="shared" si="113"/>
        <v>9000</v>
      </c>
      <c r="BH143" s="115">
        <f t="shared" si="113"/>
        <v>9000</v>
      </c>
      <c r="BI143" s="115">
        <f t="shared" si="113"/>
        <v>9000</v>
      </c>
      <c r="BJ143" s="115">
        <f t="shared" si="113"/>
        <v>9000</v>
      </c>
      <c r="BK143" s="115">
        <f t="shared" si="113"/>
        <v>9000</v>
      </c>
      <c r="BL143" s="115">
        <f t="shared" si="113"/>
        <v>9000</v>
      </c>
      <c r="BM143" s="115">
        <f t="shared" si="113"/>
        <v>9000</v>
      </c>
      <c r="BN143" s="115">
        <f t="shared" si="113"/>
        <v>9000</v>
      </c>
      <c r="BO143" s="115">
        <f t="shared" si="113"/>
        <v>9000</v>
      </c>
    </row>
    <row r="144" outlineLevel="1">
      <c r="A144" s="47"/>
      <c r="B144" s="118" t="s">
        <v>95</v>
      </c>
      <c r="C144" s="119">
        <v>45000.0</v>
      </c>
      <c r="D144" s="120">
        <v>0.2</v>
      </c>
      <c r="E144" s="121">
        <v>44348.0</v>
      </c>
      <c r="F144" s="115"/>
      <c r="G144" s="115"/>
      <c r="H144" s="115">
        <f t="shared" ref="H144:BO144" si="114">IF(H$4&gt;=$E144,($C144/12)*(1+$D144),0)</f>
        <v>4500</v>
      </c>
      <c r="I144" s="115">
        <f t="shared" si="114"/>
        <v>4500</v>
      </c>
      <c r="J144" s="115">
        <f t="shared" si="114"/>
        <v>4500</v>
      </c>
      <c r="K144" s="115">
        <f t="shared" si="114"/>
        <v>4500</v>
      </c>
      <c r="L144" s="115">
        <f t="shared" si="114"/>
        <v>4500</v>
      </c>
      <c r="M144" s="115">
        <f t="shared" si="114"/>
        <v>4500</v>
      </c>
      <c r="N144" s="115">
        <f t="shared" si="114"/>
        <v>4500</v>
      </c>
      <c r="O144" s="115">
        <f t="shared" si="114"/>
        <v>4500</v>
      </c>
      <c r="P144" s="115">
        <f t="shared" si="114"/>
        <v>4500</v>
      </c>
      <c r="Q144" s="115">
        <f t="shared" si="114"/>
        <v>4500</v>
      </c>
      <c r="R144" s="115">
        <f t="shared" si="114"/>
        <v>4500</v>
      </c>
      <c r="S144" s="115">
        <f t="shared" si="114"/>
        <v>4500</v>
      </c>
      <c r="T144" s="115">
        <f t="shared" si="114"/>
        <v>4500</v>
      </c>
      <c r="U144" s="115">
        <f t="shared" si="114"/>
        <v>4500</v>
      </c>
      <c r="V144" s="115">
        <f t="shared" si="114"/>
        <v>4500</v>
      </c>
      <c r="W144" s="115">
        <f t="shared" si="114"/>
        <v>4500</v>
      </c>
      <c r="X144" s="115">
        <f t="shared" si="114"/>
        <v>4500</v>
      </c>
      <c r="Y144" s="115">
        <f t="shared" si="114"/>
        <v>4500</v>
      </c>
      <c r="Z144" s="115">
        <f t="shared" si="114"/>
        <v>4500</v>
      </c>
      <c r="AA144" s="115">
        <f t="shared" si="114"/>
        <v>4500</v>
      </c>
      <c r="AB144" s="115">
        <f t="shared" si="114"/>
        <v>4500</v>
      </c>
      <c r="AC144" s="115">
        <f t="shared" si="114"/>
        <v>4500</v>
      </c>
      <c r="AD144" s="115">
        <f t="shared" si="114"/>
        <v>4500</v>
      </c>
      <c r="AE144" s="115">
        <f t="shared" si="114"/>
        <v>4500</v>
      </c>
      <c r="AF144" s="115">
        <f t="shared" si="114"/>
        <v>4500</v>
      </c>
      <c r="AG144" s="115">
        <f t="shared" si="114"/>
        <v>4500</v>
      </c>
      <c r="AH144" s="115">
        <f t="shared" si="114"/>
        <v>4500</v>
      </c>
      <c r="AI144" s="115">
        <f t="shared" si="114"/>
        <v>4500</v>
      </c>
      <c r="AJ144" s="115">
        <f t="shared" si="114"/>
        <v>4500</v>
      </c>
      <c r="AK144" s="115">
        <f t="shared" si="114"/>
        <v>4500</v>
      </c>
      <c r="AL144" s="115">
        <f t="shared" si="114"/>
        <v>4500</v>
      </c>
      <c r="AM144" s="115">
        <f t="shared" si="114"/>
        <v>4500</v>
      </c>
      <c r="AN144" s="115">
        <f t="shared" si="114"/>
        <v>4500</v>
      </c>
      <c r="AO144" s="115">
        <f t="shared" si="114"/>
        <v>4500</v>
      </c>
      <c r="AP144" s="115">
        <f t="shared" si="114"/>
        <v>4500</v>
      </c>
      <c r="AQ144" s="115">
        <f t="shared" si="114"/>
        <v>4500</v>
      </c>
      <c r="AR144" s="115">
        <f t="shared" si="114"/>
        <v>4500</v>
      </c>
      <c r="AS144" s="115">
        <f t="shared" si="114"/>
        <v>4500</v>
      </c>
      <c r="AT144" s="115">
        <f t="shared" si="114"/>
        <v>4500</v>
      </c>
      <c r="AU144" s="115">
        <f t="shared" si="114"/>
        <v>4500</v>
      </c>
      <c r="AV144" s="115">
        <f t="shared" si="114"/>
        <v>4500</v>
      </c>
      <c r="AW144" s="115">
        <f t="shared" si="114"/>
        <v>4500</v>
      </c>
      <c r="AX144" s="115">
        <f t="shared" si="114"/>
        <v>4500</v>
      </c>
      <c r="AY144" s="115">
        <f t="shared" si="114"/>
        <v>4500</v>
      </c>
      <c r="AZ144" s="115">
        <f t="shared" si="114"/>
        <v>4500</v>
      </c>
      <c r="BA144" s="115">
        <f t="shared" si="114"/>
        <v>4500</v>
      </c>
      <c r="BB144" s="115">
        <f t="shared" si="114"/>
        <v>4500</v>
      </c>
      <c r="BC144" s="115">
        <f t="shared" si="114"/>
        <v>4500</v>
      </c>
      <c r="BD144" s="115">
        <f t="shared" si="114"/>
        <v>4500</v>
      </c>
      <c r="BE144" s="115">
        <f t="shared" si="114"/>
        <v>4500</v>
      </c>
      <c r="BF144" s="115">
        <f t="shared" si="114"/>
        <v>4500</v>
      </c>
      <c r="BG144" s="115">
        <f t="shared" si="114"/>
        <v>4500</v>
      </c>
      <c r="BH144" s="115">
        <f t="shared" si="114"/>
        <v>4500</v>
      </c>
      <c r="BI144" s="115">
        <f t="shared" si="114"/>
        <v>4500</v>
      </c>
      <c r="BJ144" s="115">
        <f t="shared" si="114"/>
        <v>4500</v>
      </c>
      <c r="BK144" s="115">
        <f t="shared" si="114"/>
        <v>4500</v>
      </c>
      <c r="BL144" s="115">
        <f t="shared" si="114"/>
        <v>4500</v>
      </c>
      <c r="BM144" s="115">
        <f t="shared" si="114"/>
        <v>4500</v>
      </c>
      <c r="BN144" s="115">
        <f t="shared" si="114"/>
        <v>4500</v>
      </c>
      <c r="BO144" s="115">
        <f t="shared" si="114"/>
        <v>4500</v>
      </c>
    </row>
    <row r="145">
      <c r="A145" s="47"/>
      <c r="B145" s="47"/>
      <c r="C145" s="47"/>
      <c r="D145" s="47"/>
      <c r="E145" s="47"/>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5"/>
      <c r="AZ145" s="115"/>
      <c r="BA145" s="115"/>
      <c r="BB145" s="115"/>
      <c r="BC145" s="115"/>
      <c r="BD145" s="115"/>
      <c r="BE145" s="115"/>
      <c r="BF145" s="115"/>
      <c r="BG145" s="115"/>
      <c r="BH145" s="115"/>
      <c r="BI145" s="115"/>
      <c r="BJ145" s="115"/>
      <c r="BK145" s="115"/>
      <c r="BL145" s="115"/>
      <c r="BM145" s="115"/>
      <c r="BN145" s="115"/>
      <c r="BO145" s="115"/>
    </row>
    <row r="146">
      <c r="A146" s="47"/>
      <c r="B146" s="48" t="s">
        <v>96</v>
      </c>
      <c r="C146" s="49"/>
      <c r="D146" s="49"/>
      <c r="E146" s="49"/>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row>
    <row r="147" outlineLevel="1">
      <c r="A147" s="47"/>
      <c r="B147" s="47"/>
      <c r="C147" s="47"/>
      <c r="D147" s="47"/>
      <c r="E147" s="47"/>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row>
    <row r="148" outlineLevel="1">
      <c r="A148" s="47"/>
      <c r="B148" s="65" t="s">
        <v>97</v>
      </c>
      <c r="C148" s="117" t="s">
        <v>98</v>
      </c>
      <c r="D148" s="47"/>
      <c r="E148" s="47"/>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row>
    <row r="149" outlineLevel="1">
      <c r="A149" s="47"/>
      <c r="B149" s="122" t="s">
        <v>99</v>
      </c>
      <c r="C149" s="123">
        <v>0.02</v>
      </c>
      <c r="D149" s="47"/>
      <c r="E149" s="47"/>
      <c r="F149" s="115"/>
      <c r="G149" s="115"/>
      <c r="H149" s="115">
        <f>Financials!F$8*$C149</f>
        <v>240.75</v>
      </c>
      <c r="I149" s="115">
        <f>Financials!G$8*$C149</f>
        <v>480.605125</v>
      </c>
      <c r="J149" s="115">
        <f>Financials!H$8*$C149</f>
        <v>714.1614679</v>
      </c>
      <c r="K149" s="115">
        <f>Financials!I$8*$C149</f>
        <v>941.9212146</v>
      </c>
      <c r="L149" s="115">
        <f>Financials!J$8*$C149</f>
        <v>1164.460391</v>
      </c>
      <c r="M149" s="115">
        <f>Financials!K$8*$C149</f>
        <v>1382.341904</v>
      </c>
      <c r="N149" s="115">
        <f>Financials!L$8*$C149</f>
        <v>1596.11565</v>
      </c>
      <c r="O149" s="115">
        <f>Financials!M$8*$C149</f>
        <v>1806.319894</v>
      </c>
      <c r="P149" s="115">
        <f>Financials!N$8*$C149</f>
        <v>2013.48265</v>
      </c>
      <c r="Q149" s="115">
        <f>Financials!O$8*$C149</f>
        <v>2218.123022</v>
      </c>
      <c r="R149" s="115">
        <f>Financials!P$8*$C149</f>
        <v>2420.752528</v>
      </c>
      <c r="S149" s="115">
        <f>Financials!Q$8*$C149</f>
        <v>2621.876395</v>
      </c>
      <c r="T149" s="115">
        <f>Financials!R$8*$C149</f>
        <v>2821.994841</v>
      </c>
      <c r="U149" s="115">
        <f>Financials!S$8*$C149</f>
        <v>3021.604333</v>
      </c>
      <c r="V149" s="115">
        <f>Financials!T$8*$C149</f>
        <v>3221.198841</v>
      </c>
      <c r="W149" s="115">
        <f>Financials!U$8*$C149</f>
        <v>3421.271081</v>
      </c>
      <c r="X149" s="115">
        <f>Financials!V$8*$C149</f>
        <v>3622.313742</v>
      </c>
      <c r="Y149" s="115">
        <f>Financials!W$8*$C149</f>
        <v>3752.74651</v>
      </c>
      <c r="Z149" s="115">
        <f>Financials!X$8*$C149</f>
        <v>3876.657639</v>
      </c>
      <c r="AA149" s="115">
        <f>Financials!Y$8*$C149</f>
        <v>3994.373212</v>
      </c>
      <c r="AB149" s="115">
        <f>Financials!Z$8*$C149</f>
        <v>4106.203006</v>
      </c>
      <c r="AC149" s="115">
        <f>Financials!AA$8*$C149</f>
        <v>4212.44131</v>
      </c>
      <c r="AD149" s="115">
        <f>Financials!AB$8*$C149</f>
        <v>4313.367699</v>
      </c>
      <c r="AE149" s="115">
        <f>Financials!AC$8*$C149</f>
        <v>4409.247769</v>
      </c>
      <c r="AF149" s="115">
        <f>Financials!AD$8*$C149</f>
        <v>4500.333835</v>
      </c>
      <c r="AG149" s="115">
        <f>Financials!AE$8*$C149</f>
        <v>4586.865598</v>
      </c>
      <c r="AH149" s="115">
        <f>Financials!AF$8*$C149</f>
        <v>4669.070772</v>
      </c>
      <c r="AI149" s="115">
        <f>Financials!AG$8*$C149</f>
        <v>4747.165688</v>
      </c>
      <c r="AJ149" s="115">
        <f>Financials!AH$8*$C149</f>
        <v>4821.355859</v>
      </c>
      <c r="AK149" s="115">
        <f>Financials!AI$8*$C149</f>
        <v>4891.83652</v>
      </c>
      <c r="AL149" s="115">
        <f>Financials!AJ$8*$C149</f>
        <v>4958.793149</v>
      </c>
      <c r="AM149" s="115">
        <f>Financials!AK$8*$C149</f>
        <v>5022.401946</v>
      </c>
      <c r="AN149" s="115">
        <f>Financials!AL$8*$C149</f>
        <v>5082.830303</v>
      </c>
      <c r="AO149" s="115">
        <f>Financials!AM$8*$C149</f>
        <v>5140.237243</v>
      </c>
      <c r="AP149" s="115">
        <f>Financials!AN$8*$C149</f>
        <v>5194.773835</v>
      </c>
      <c r="AQ149" s="115">
        <f>Financials!AO$8*$C149</f>
        <v>5246.583598</v>
      </c>
      <c r="AR149" s="115">
        <f>Financials!AP$8*$C149</f>
        <v>5295.802873</v>
      </c>
      <c r="AS149" s="115">
        <f>Financials!AQ$8*$C149</f>
        <v>5342.561184</v>
      </c>
      <c r="AT149" s="115">
        <f>Financials!AR$8*$C149</f>
        <v>5386.981579</v>
      </c>
      <c r="AU149" s="115">
        <f>Financials!AS$8*$C149</f>
        <v>5429.180955</v>
      </c>
      <c r="AV149" s="115">
        <f>Financials!AT$8*$C149</f>
        <v>5469.270362</v>
      </c>
      <c r="AW149" s="115">
        <f>Financials!AU$8*$C149</f>
        <v>5507.355298</v>
      </c>
      <c r="AX149" s="115">
        <f>Financials!AV$8*$C149</f>
        <v>5543.535988</v>
      </c>
      <c r="AY149" s="115">
        <f>Financials!AW$8*$C149</f>
        <v>5577.907643</v>
      </c>
      <c r="AZ149" s="115">
        <f>Financials!AX$8*$C149</f>
        <v>5610.560715</v>
      </c>
      <c r="BA149" s="115">
        <f>Financials!AY$8*$C149</f>
        <v>5641.581134</v>
      </c>
      <c r="BB149" s="115">
        <f>Financials!AZ$8*$C149</f>
        <v>5671.050532</v>
      </c>
      <c r="BC149" s="115">
        <f>Financials!BA$8*$C149</f>
        <v>5699.04646</v>
      </c>
      <c r="BD149" s="115">
        <f>Financials!BB$8*$C149</f>
        <v>5725.642592</v>
      </c>
      <c r="BE149" s="115">
        <f>Financials!BC$8*$C149</f>
        <v>5750.908917</v>
      </c>
      <c r="BF149" s="115">
        <f>Financials!BD$8*$C149</f>
        <v>5774.911925</v>
      </c>
      <c r="BG149" s="115">
        <f>Financials!BE$8*$C149</f>
        <v>5797.714784</v>
      </c>
      <c r="BH149" s="115">
        <f>Financials!BF$8*$C149</f>
        <v>5819.377499</v>
      </c>
      <c r="BI149" s="115">
        <f>Financials!BG$8*$C149</f>
        <v>5839.957079</v>
      </c>
      <c r="BJ149" s="115">
        <f>Financials!BH$8*$C149</f>
        <v>5859.507679</v>
      </c>
      <c r="BK149" s="115">
        <f>Financials!BI$8*$C149</f>
        <v>5878.08075</v>
      </c>
      <c r="BL149" s="115">
        <f>Financials!BJ$8*$C149</f>
        <v>5895.725167</v>
      </c>
      <c r="BM149" s="115">
        <f>Financials!BK$8*$C149</f>
        <v>5912.487363</v>
      </c>
      <c r="BN149" s="115">
        <f>Financials!BL$8*$C149</f>
        <v>5928.41145</v>
      </c>
      <c r="BO149" s="115">
        <f>Financials!BM$8*$C149</f>
        <v>5943.539332</v>
      </c>
    </row>
    <row r="150" outlineLevel="1">
      <c r="A150" s="47"/>
      <c r="B150" s="122" t="s">
        <v>100</v>
      </c>
      <c r="C150" s="123">
        <v>0.03</v>
      </c>
      <c r="D150" s="47"/>
      <c r="E150" s="47"/>
      <c r="F150" s="115"/>
      <c r="G150" s="115"/>
      <c r="H150" s="115">
        <f>Financials!F$8*$C150</f>
        <v>361.125</v>
      </c>
      <c r="I150" s="115">
        <f>Financials!G$8*$C150</f>
        <v>720.9076875</v>
      </c>
      <c r="J150" s="115">
        <f>Financials!H$8*$C150</f>
        <v>1071.242202</v>
      </c>
      <c r="K150" s="115">
        <f>Financials!I$8*$C150</f>
        <v>1412.881822</v>
      </c>
      <c r="L150" s="115">
        <f>Financials!J$8*$C150</f>
        <v>1746.690586</v>
      </c>
      <c r="M150" s="115">
        <f>Financials!K$8*$C150</f>
        <v>2073.512857</v>
      </c>
      <c r="N150" s="115">
        <f>Financials!L$8*$C150</f>
        <v>2394.173476</v>
      </c>
      <c r="O150" s="115">
        <f>Financials!M$8*$C150</f>
        <v>2709.479842</v>
      </c>
      <c r="P150" s="115">
        <f>Financials!N$8*$C150</f>
        <v>3020.223975</v>
      </c>
      <c r="Q150" s="115">
        <f>Financials!O$8*$C150</f>
        <v>3327.184533</v>
      </c>
      <c r="R150" s="115">
        <f>Financials!P$8*$C150</f>
        <v>3631.128791</v>
      </c>
      <c r="S150" s="115">
        <f>Financials!Q$8*$C150</f>
        <v>3932.814593</v>
      </c>
      <c r="T150" s="115">
        <f>Financials!R$8*$C150</f>
        <v>4232.992262</v>
      </c>
      <c r="U150" s="115">
        <f>Financials!S$8*$C150</f>
        <v>4532.406499</v>
      </c>
      <c r="V150" s="115">
        <f>Financials!T$8*$C150</f>
        <v>4831.798262</v>
      </c>
      <c r="W150" s="115">
        <f>Financials!U$8*$C150</f>
        <v>5131.906621</v>
      </c>
      <c r="X150" s="115">
        <f>Financials!V$8*$C150</f>
        <v>5433.470614</v>
      </c>
      <c r="Y150" s="115">
        <f>Financials!W$8*$C150</f>
        <v>5629.119765</v>
      </c>
      <c r="Z150" s="115">
        <f>Financials!X$8*$C150</f>
        <v>5814.986458</v>
      </c>
      <c r="AA150" s="115">
        <f>Financials!Y$8*$C150</f>
        <v>5991.559817</v>
      </c>
      <c r="AB150" s="115">
        <f>Financials!Z$8*$C150</f>
        <v>6159.304508</v>
      </c>
      <c r="AC150" s="115">
        <f>Financials!AA$8*$C150</f>
        <v>6318.661965</v>
      </c>
      <c r="AD150" s="115">
        <f>Financials!AB$8*$C150</f>
        <v>6470.051549</v>
      </c>
      <c r="AE150" s="115">
        <f>Financials!AC$8*$C150</f>
        <v>6613.871653</v>
      </c>
      <c r="AF150" s="115">
        <f>Financials!AD$8*$C150</f>
        <v>6750.500752</v>
      </c>
      <c r="AG150" s="115">
        <f>Financials!AE$8*$C150</f>
        <v>6880.298396</v>
      </c>
      <c r="AH150" s="115">
        <f>Financials!AF$8*$C150</f>
        <v>7003.606159</v>
      </c>
      <c r="AI150" s="115">
        <f>Financials!AG$8*$C150</f>
        <v>7120.748533</v>
      </c>
      <c r="AJ150" s="115">
        <f>Financials!AH$8*$C150</f>
        <v>7232.033788</v>
      </c>
      <c r="AK150" s="115">
        <f>Financials!AI$8*$C150</f>
        <v>7337.75478</v>
      </c>
      <c r="AL150" s="115">
        <f>Financials!AJ$8*$C150</f>
        <v>7438.189723</v>
      </c>
      <c r="AM150" s="115">
        <f>Financials!AK$8*$C150</f>
        <v>7533.602919</v>
      </c>
      <c r="AN150" s="115">
        <f>Financials!AL$8*$C150</f>
        <v>7624.245455</v>
      </c>
      <c r="AO150" s="115">
        <f>Financials!AM$8*$C150</f>
        <v>7710.355864</v>
      </c>
      <c r="AP150" s="115">
        <f>Financials!AN$8*$C150</f>
        <v>7792.160753</v>
      </c>
      <c r="AQ150" s="115">
        <f>Financials!AO$8*$C150</f>
        <v>7869.875397</v>
      </c>
      <c r="AR150" s="115">
        <f>Financials!AP$8*$C150</f>
        <v>7943.704309</v>
      </c>
      <c r="AS150" s="115">
        <f>Financials!AQ$8*$C150</f>
        <v>8013.841775</v>
      </c>
      <c r="AT150" s="115">
        <f>Financials!AR$8*$C150</f>
        <v>8080.472369</v>
      </c>
      <c r="AU150" s="115">
        <f>Financials!AS$8*$C150</f>
        <v>8143.771432</v>
      </c>
      <c r="AV150" s="115">
        <f>Financials!AT$8*$C150</f>
        <v>8203.905542</v>
      </c>
      <c r="AW150" s="115">
        <f>Financials!AU$8*$C150</f>
        <v>8261.032947</v>
      </c>
      <c r="AX150" s="115">
        <f>Financials!AV$8*$C150</f>
        <v>8315.303982</v>
      </c>
      <c r="AY150" s="115">
        <f>Financials!AW$8*$C150</f>
        <v>8366.861464</v>
      </c>
      <c r="AZ150" s="115">
        <f>Financials!AX$8*$C150</f>
        <v>8415.841073</v>
      </c>
      <c r="BA150" s="115">
        <f>Financials!AY$8*$C150</f>
        <v>8462.371701</v>
      </c>
      <c r="BB150" s="115">
        <f>Financials!AZ$8*$C150</f>
        <v>8506.575798</v>
      </c>
      <c r="BC150" s="115">
        <f>Financials!BA$8*$C150</f>
        <v>8548.56969</v>
      </c>
      <c r="BD150" s="115">
        <f>Financials!BB$8*$C150</f>
        <v>8588.463887</v>
      </c>
      <c r="BE150" s="115">
        <f>Financials!BC$8*$C150</f>
        <v>8626.363375</v>
      </c>
      <c r="BF150" s="115">
        <f>Financials!BD$8*$C150</f>
        <v>8662.367888</v>
      </c>
      <c r="BG150" s="115">
        <f>Financials!BE$8*$C150</f>
        <v>8696.572176</v>
      </c>
      <c r="BH150" s="115">
        <f>Financials!BF$8*$C150</f>
        <v>8729.066249</v>
      </c>
      <c r="BI150" s="115">
        <f>Financials!BG$8*$C150</f>
        <v>8759.935618</v>
      </c>
      <c r="BJ150" s="115">
        <f>Financials!BH$8*$C150</f>
        <v>8789.261519</v>
      </c>
      <c r="BK150" s="115">
        <f>Financials!BI$8*$C150</f>
        <v>8817.121125</v>
      </c>
      <c r="BL150" s="115">
        <f>Financials!BJ$8*$C150</f>
        <v>8843.587751</v>
      </c>
      <c r="BM150" s="115">
        <f>Financials!BK$8*$C150</f>
        <v>8868.731045</v>
      </c>
      <c r="BN150" s="115">
        <f>Financials!BL$8*$C150</f>
        <v>8892.617175</v>
      </c>
      <c r="BO150" s="115">
        <f>Financials!BM$8*$C150</f>
        <v>8915.308998</v>
      </c>
    </row>
    <row r="151" outlineLevel="1">
      <c r="A151" s="47"/>
      <c r="B151" s="122" t="s">
        <v>101</v>
      </c>
      <c r="C151" s="123">
        <v>0.05</v>
      </c>
      <c r="D151" s="47"/>
      <c r="E151" s="47"/>
      <c r="F151" s="115"/>
      <c r="G151" s="115"/>
      <c r="H151" s="115">
        <f>Financials!F$8*$C151</f>
        <v>601.875</v>
      </c>
      <c r="I151" s="115">
        <f>Financials!G$8*$C151</f>
        <v>1201.512813</v>
      </c>
      <c r="J151" s="115">
        <f>Financials!H$8*$C151</f>
        <v>1785.40367</v>
      </c>
      <c r="K151" s="115">
        <f>Financials!I$8*$C151</f>
        <v>2354.803037</v>
      </c>
      <c r="L151" s="115">
        <f>Financials!J$8*$C151</f>
        <v>2911.150976</v>
      </c>
      <c r="M151" s="115">
        <f>Financials!K$8*$C151</f>
        <v>3455.854761</v>
      </c>
      <c r="N151" s="115">
        <f>Financials!L$8*$C151</f>
        <v>3990.289126</v>
      </c>
      <c r="O151" s="115">
        <f>Financials!M$8*$C151</f>
        <v>4515.799736</v>
      </c>
      <c r="P151" s="115">
        <f>Financials!N$8*$C151</f>
        <v>5033.706625</v>
      </c>
      <c r="Q151" s="115">
        <f>Financials!O$8*$C151</f>
        <v>5545.307554</v>
      </c>
      <c r="R151" s="115">
        <f>Financials!P$8*$C151</f>
        <v>6051.881319</v>
      </c>
      <c r="S151" s="115">
        <f>Financials!Q$8*$C151</f>
        <v>6554.690988</v>
      </c>
      <c r="T151" s="115">
        <f>Financials!R$8*$C151</f>
        <v>7054.987103</v>
      </c>
      <c r="U151" s="115">
        <f>Financials!S$8*$C151</f>
        <v>7554.010832</v>
      </c>
      <c r="V151" s="115">
        <f>Financials!T$8*$C151</f>
        <v>8052.997104</v>
      </c>
      <c r="W151" s="115">
        <f>Financials!U$8*$C151</f>
        <v>8553.177701</v>
      </c>
      <c r="X151" s="115">
        <f>Financials!V$8*$C151</f>
        <v>9055.784356</v>
      </c>
      <c r="Y151" s="115">
        <f>Financials!W$8*$C151</f>
        <v>9381.866275</v>
      </c>
      <c r="Z151" s="115">
        <f>Financials!X$8*$C151</f>
        <v>9691.644097</v>
      </c>
      <c r="AA151" s="115">
        <f>Financials!Y$8*$C151</f>
        <v>9985.933029</v>
      </c>
      <c r="AB151" s="115">
        <f>Financials!Z$8*$C151</f>
        <v>10265.50751</v>
      </c>
      <c r="AC151" s="115">
        <f>Financials!AA$8*$C151</f>
        <v>10531.10327</v>
      </c>
      <c r="AD151" s="115">
        <f>Financials!AB$8*$C151</f>
        <v>10783.41925</v>
      </c>
      <c r="AE151" s="115">
        <f>Financials!AC$8*$C151</f>
        <v>11023.11942</v>
      </c>
      <c r="AF151" s="115">
        <f>Financials!AD$8*$C151</f>
        <v>11250.83459</v>
      </c>
      <c r="AG151" s="115">
        <f>Financials!AE$8*$C151</f>
        <v>11467.16399</v>
      </c>
      <c r="AH151" s="115">
        <f>Financials!AF$8*$C151</f>
        <v>11672.67693</v>
      </c>
      <c r="AI151" s="115">
        <f>Financials!AG$8*$C151</f>
        <v>11867.91422</v>
      </c>
      <c r="AJ151" s="115">
        <f>Financials!AH$8*$C151</f>
        <v>12053.38965</v>
      </c>
      <c r="AK151" s="115">
        <f>Financials!AI$8*$C151</f>
        <v>12229.5913</v>
      </c>
      <c r="AL151" s="115">
        <f>Financials!AJ$8*$C151</f>
        <v>12396.98287</v>
      </c>
      <c r="AM151" s="115">
        <f>Financials!AK$8*$C151</f>
        <v>12556.00486</v>
      </c>
      <c r="AN151" s="115">
        <f>Financials!AL$8*$C151</f>
        <v>12707.07576</v>
      </c>
      <c r="AO151" s="115">
        <f>Financials!AM$8*$C151</f>
        <v>12850.59311</v>
      </c>
      <c r="AP151" s="115">
        <f>Financials!AN$8*$C151</f>
        <v>12986.93459</v>
      </c>
      <c r="AQ151" s="115">
        <f>Financials!AO$8*$C151</f>
        <v>13116.45899</v>
      </c>
      <c r="AR151" s="115">
        <f>Financials!AP$8*$C151</f>
        <v>13239.50718</v>
      </c>
      <c r="AS151" s="115">
        <f>Financials!AQ$8*$C151</f>
        <v>13356.40296</v>
      </c>
      <c r="AT151" s="115">
        <f>Financials!AR$8*$C151</f>
        <v>13467.45395</v>
      </c>
      <c r="AU151" s="115">
        <f>Financials!AS$8*$C151</f>
        <v>13572.95239</v>
      </c>
      <c r="AV151" s="115">
        <f>Financials!AT$8*$C151</f>
        <v>13673.1759</v>
      </c>
      <c r="AW151" s="115">
        <f>Financials!AU$8*$C151</f>
        <v>13768.38825</v>
      </c>
      <c r="AX151" s="115">
        <f>Financials!AV$8*$C151</f>
        <v>13858.83997</v>
      </c>
      <c r="AY151" s="115">
        <f>Financials!AW$8*$C151</f>
        <v>13944.76911</v>
      </c>
      <c r="AZ151" s="115">
        <f>Financials!AX$8*$C151</f>
        <v>14026.40179</v>
      </c>
      <c r="BA151" s="115">
        <f>Financials!AY$8*$C151</f>
        <v>14103.95284</v>
      </c>
      <c r="BB151" s="115">
        <f>Financials!AZ$8*$C151</f>
        <v>14177.62633</v>
      </c>
      <c r="BC151" s="115">
        <f>Financials!BA$8*$C151</f>
        <v>14247.61615</v>
      </c>
      <c r="BD151" s="115">
        <f>Financials!BB$8*$C151</f>
        <v>14314.10648</v>
      </c>
      <c r="BE151" s="115">
        <f>Financials!BC$8*$C151</f>
        <v>14377.27229</v>
      </c>
      <c r="BF151" s="115">
        <f>Financials!BD$8*$C151</f>
        <v>14437.27981</v>
      </c>
      <c r="BG151" s="115">
        <f>Financials!BE$8*$C151</f>
        <v>14494.28696</v>
      </c>
      <c r="BH151" s="115">
        <f>Financials!BF$8*$C151</f>
        <v>14548.44375</v>
      </c>
      <c r="BI151" s="115">
        <f>Financials!BG$8*$C151</f>
        <v>14599.8927</v>
      </c>
      <c r="BJ151" s="115">
        <f>Financials!BH$8*$C151</f>
        <v>14648.7692</v>
      </c>
      <c r="BK151" s="115">
        <f>Financials!BI$8*$C151</f>
        <v>14695.20188</v>
      </c>
      <c r="BL151" s="115">
        <f>Financials!BJ$8*$C151</f>
        <v>14739.31292</v>
      </c>
      <c r="BM151" s="115">
        <f>Financials!BK$8*$C151</f>
        <v>14781.21841</v>
      </c>
      <c r="BN151" s="115">
        <f>Financials!BL$8*$C151</f>
        <v>14821.02862</v>
      </c>
      <c r="BO151" s="115">
        <f>Financials!BM$8*$C151</f>
        <v>14858.84833</v>
      </c>
    </row>
    <row r="152" outlineLevel="1">
      <c r="A152" s="47"/>
      <c r="B152" s="124" t="s">
        <v>102</v>
      </c>
      <c r="C152" s="123">
        <v>0.05</v>
      </c>
      <c r="D152" s="47"/>
      <c r="E152" s="47"/>
      <c r="F152" s="115"/>
      <c r="G152" s="115"/>
      <c r="H152" s="115">
        <f>Financials!F$8*$C152</f>
        <v>601.875</v>
      </c>
      <c r="I152" s="115">
        <f>Financials!G$8*$C152</f>
        <v>1201.512813</v>
      </c>
      <c r="J152" s="115">
        <f>Financials!H$8*$C152</f>
        <v>1785.40367</v>
      </c>
      <c r="K152" s="115">
        <f>Financials!I$8*$C152</f>
        <v>2354.803037</v>
      </c>
      <c r="L152" s="115">
        <f>Financials!J$8*$C152</f>
        <v>2911.150976</v>
      </c>
      <c r="M152" s="115">
        <f>Financials!K$8*$C152</f>
        <v>3455.854761</v>
      </c>
      <c r="N152" s="115">
        <f>Financials!L$8*$C152</f>
        <v>3990.289126</v>
      </c>
      <c r="O152" s="115">
        <f>Financials!M$8*$C152</f>
        <v>4515.799736</v>
      </c>
      <c r="P152" s="115">
        <f>Financials!N$8*$C152</f>
        <v>5033.706625</v>
      </c>
      <c r="Q152" s="115">
        <f>Financials!O$8*$C152</f>
        <v>5545.307554</v>
      </c>
      <c r="R152" s="115">
        <f>Financials!P$8*$C152</f>
        <v>6051.881319</v>
      </c>
      <c r="S152" s="115">
        <f>Financials!Q$8*$C152</f>
        <v>6554.690988</v>
      </c>
      <c r="T152" s="115">
        <f>Financials!R$8*$C152</f>
        <v>7054.987103</v>
      </c>
      <c r="U152" s="115">
        <f>Financials!S$8*$C152</f>
        <v>7554.010832</v>
      </c>
      <c r="V152" s="115">
        <f>Financials!T$8*$C152</f>
        <v>8052.997104</v>
      </c>
      <c r="W152" s="115">
        <f>Financials!U$8*$C152</f>
        <v>8553.177701</v>
      </c>
      <c r="X152" s="115">
        <f>Financials!V$8*$C152</f>
        <v>9055.784356</v>
      </c>
      <c r="Y152" s="115">
        <f>Financials!W$8*$C152</f>
        <v>9381.866275</v>
      </c>
      <c r="Z152" s="115">
        <f>Financials!X$8*$C152</f>
        <v>9691.644097</v>
      </c>
      <c r="AA152" s="115">
        <f>Financials!Y$8*$C152</f>
        <v>9985.933029</v>
      </c>
      <c r="AB152" s="115">
        <f>Financials!Z$8*$C152</f>
        <v>10265.50751</v>
      </c>
      <c r="AC152" s="115">
        <f>Financials!AA$8*$C152</f>
        <v>10531.10327</v>
      </c>
      <c r="AD152" s="115">
        <f>Financials!AB$8*$C152</f>
        <v>10783.41925</v>
      </c>
      <c r="AE152" s="115">
        <f>Financials!AC$8*$C152</f>
        <v>11023.11942</v>
      </c>
      <c r="AF152" s="115">
        <f>Financials!AD$8*$C152</f>
        <v>11250.83459</v>
      </c>
      <c r="AG152" s="115">
        <f>Financials!AE$8*$C152</f>
        <v>11467.16399</v>
      </c>
      <c r="AH152" s="115">
        <f>Financials!AF$8*$C152</f>
        <v>11672.67693</v>
      </c>
      <c r="AI152" s="115">
        <f>Financials!AG$8*$C152</f>
        <v>11867.91422</v>
      </c>
      <c r="AJ152" s="115">
        <f>Financials!AH$8*$C152</f>
        <v>12053.38965</v>
      </c>
      <c r="AK152" s="115">
        <f>Financials!AI$8*$C152</f>
        <v>12229.5913</v>
      </c>
      <c r="AL152" s="115">
        <f>Financials!AJ$8*$C152</f>
        <v>12396.98287</v>
      </c>
      <c r="AM152" s="115">
        <f>Financials!AK$8*$C152</f>
        <v>12556.00486</v>
      </c>
      <c r="AN152" s="115">
        <f>Financials!AL$8*$C152</f>
        <v>12707.07576</v>
      </c>
      <c r="AO152" s="115">
        <f>Financials!AM$8*$C152</f>
        <v>12850.59311</v>
      </c>
      <c r="AP152" s="115">
        <f>Financials!AN$8*$C152</f>
        <v>12986.93459</v>
      </c>
      <c r="AQ152" s="115">
        <f>Financials!AO$8*$C152</f>
        <v>13116.45899</v>
      </c>
      <c r="AR152" s="115">
        <f>Financials!AP$8*$C152</f>
        <v>13239.50718</v>
      </c>
      <c r="AS152" s="115">
        <f>Financials!AQ$8*$C152</f>
        <v>13356.40296</v>
      </c>
      <c r="AT152" s="115">
        <f>Financials!AR$8*$C152</f>
        <v>13467.45395</v>
      </c>
      <c r="AU152" s="115">
        <f>Financials!AS$8*$C152</f>
        <v>13572.95239</v>
      </c>
      <c r="AV152" s="115">
        <f>Financials!AT$8*$C152</f>
        <v>13673.1759</v>
      </c>
      <c r="AW152" s="115">
        <f>Financials!AU$8*$C152</f>
        <v>13768.38825</v>
      </c>
      <c r="AX152" s="115">
        <f>Financials!AV$8*$C152</f>
        <v>13858.83997</v>
      </c>
      <c r="AY152" s="115">
        <f>Financials!AW$8*$C152</f>
        <v>13944.76911</v>
      </c>
      <c r="AZ152" s="115">
        <f>Financials!AX$8*$C152</f>
        <v>14026.40179</v>
      </c>
      <c r="BA152" s="115">
        <f>Financials!AY$8*$C152</f>
        <v>14103.95284</v>
      </c>
      <c r="BB152" s="115">
        <f>Financials!AZ$8*$C152</f>
        <v>14177.62633</v>
      </c>
      <c r="BC152" s="115">
        <f>Financials!BA$8*$C152</f>
        <v>14247.61615</v>
      </c>
      <c r="BD152" s="115">
        <f>Financials!BB$8*$C152</f>
        <v>14314.10648</v>
      </c>
      <c r="BE152" s="115">
        <f>Financials!BC$8*$C152</f>
        <v>14377.27229</v>
      </c>
      <c r="BF152" s="115">
        <f>Financials!BD$8*$C152</f>
        <v>14437.27981</v>
      </c>
      <c r="BG152" s="115">
        <f>Financials!BE$8*$C152</f>
        <v>14494.28696</v>
      </c>
      <c r="BH152" s="115">
        <f>Financials!BF$8*$C152</f>
        <v>14548.44375</v>
      </c>
      <c r="BI152" s="115">
        <f>Financials!BG$8*$C152</f>
        <v>14599.8927</v>
      </c>
      <c r="BJ152" s="115">
        <f>Financials!BH$8*$C152</f>
        <v>14648.7692</v>
      </c>
      <c r="BK152" s="115">
        <f>Financials!BI$8*$C152</f>
        <v>14695.20188</v>
      </c>
      <c r="BL152" s="115">
        <f>Financials!BJ$8*$C152</f>
        <v>14739.31292</v>
      </c>
      <c r="BM152" s="115">
        <f>Financials!BK$8*$C152</f>
        <v>14781.21841</v>
      </c>
      <c r="BN152" s="115">
        <f>Financials!BL$8*$C152</f>
        <v>14821.02862</v>
      </c>
      <c r="BO152" s="115">
        <f>Financials!BM$8*$C152</f>
        <v>14858.84833</v>
      </c>
    </row>
    <row r="153" outlineLevel="1">
      <c r="A153" s="47"/>
      <c r="B153" s="124" t="s">
        <v>103</v>
      </c>
      <c r="C153" s="123">
        <v>0.05</v>
      </c>
      <c r="D153" s="47"/>
      <c r="E153" s="47"/>
      <c r="F153" s="115"/>
      <c r="G153" s="115"/>
      <c r="H153" s="115">
        <f>Financials!F$8*$C153</f>
        <v>601.875</v>
      </c>
      <c r="I153" s="115">
        <f>Financials!G$8*$C153</f>
        <v>1201.512813</v>
      </c>
      <c r="J153" s="115">
        <f>Financials!H$8*$C153</f>
        <v>1785.40367</v>
      </c>
      <c r="K153" s="115">
        <f>Financials!I$8*$C153</f>
        <v>2354.803037</v>
      </c>
      <c r="L153" s="115">
        <f>Financials!J$8*$C153</f>
        <v>2911.150976</v>
      </c>
      <c r="M153" s="115">
        <f>Financials!K$8*$C153</f>
        <v>3455.854761</v>
      </c>
      <c r="N153" s="115">
        <f>Financials!L$8*$C153</f>
        <v>3990.289126</v>
      </c>
      <c r="O153" s="115">
        <f>Financials!M$8*$C153</f>
        <v>4515.799736</v>
      </c>
      <c r="P153" s="115">
        <f>Financials!N$8*$C153</f>
        <v>5033.706625</v>
      </c>
      <c r="Q153" s="115">
        <f>Financials!O$8*$C153</f>
        <v>5545.307554</v>
      </c>
      <c r="R153" s="115">
        <f>Financials!P$8*$C153</f>
        <v>6051.881319</v>
      </c>
      <c r="S153" s="115">
        <f>Financials!Q$8*$C153</f>
        <v>6554.690988</v>
      </c>
      <c r="T153" s="115">
        <f>Financials!R$8*$C153</f>
        <v>7054.987103</v>
      </c>
      <c r="U153" s="115">
        <f>Financials!S$8*$C153</f>
        <v>7554.010832</v>
      </c>
      <c r="V153" s="115">
        <f>Financials!T$8*$C153</f>
        <v>8052.997104</v>
      </c>
      <c r="W153" s="115">
        <f>Financials!U$8*$C153</f>
        <v>8553.177701</v>
      </c>
      <c r="X153" s="115">
        <f>Financials!V$8*$C153</f>
        <v>9055.784356</v>
      </c>
      <c r="Y153" s="115">
        <f>Financials!W$8*$C153</f>
        <v>9381.866275</v>
      </c>
      <c r="Z153" s="115">
        <f>Financials!X$8*$C153</f>
        <v>9691.644097</v>
      </c>
      <c r="AA153" s="115">
        <f>Financials!Y$8*$C153</f>
        <v>9985.933029</v>
      </c>
      <c r="AB153" s="115">
        <f>Financials!Z$8*$C153</f>
        <v>10265.50751</v>
      </c>
      <c r="AC153" s="115">
        <f>Financials!AA$8*$C153</f>
        <v>10531.10327</v>
      </c>
      <c r="AD153" s="115">
        <f>Financials!AB$8*$C153</f>
        <v>10783.41925</v>
      </c>
      <c r="AE153" s="115">
        <f>Financials!AC$8*$C153</f>
        <v>11023.11942</v>
      </c>
      <c r="AF153" s="115">
        <f>Financials!AD$8*$C153</f>
        <v>11250.83459</v>
      </c>
      <c r="AG153" s="115">
        <f>Financials!AE$8*$C153</f>
        <v>11467.16399</v>
      </c>
      <c r="AH153" s="115">
        <f>Financials!AF$8*$C153</f>
        <v>11672.67693</v>
      </c>
      <c r="AI153" s="115">
        <f>Financials!AG$8*$C153</f>
        <v>11867.91422</v>
      </c>
      <c r="AJ153" s="115">
        <f>Financials!AH$8*$C153</f>
        <v>12053.38965</v>
      </c>
      <c r="AK153" s="115">
        <f>Financials!AI$8*$C153</f>
        <v>12229.5913</v>
      </c>
      <c r="AL153" s="115">
        <f>Financials!AJ$8*$C153</f>
        <v>12396.98287</v>
      </c>
      <c r="AM153" s="115">
        <f>Financials!AK$8*$C153</f>
        <v>12556.00486</v>
      </c>
      <c r="AN153" s="115">
        <f>Financials!AL$8*$C153</f>
        <v>12707.07576</v>
      </c>
      <c r="AO153" s="115">
        <f>Financials!AM$8*$C153</f>
        <v>12850.59311</v>
      </c>
      <c r="AP153" s="115">
        <f>Financials!AN$8*$C153</f>
        <v>12986.93459</v>
      </c>
      <c r="AQ153" s="115">
        <f>Financials!AO$8*$C153</f>
        <v>13116.45899</v>
      </c>
      <c r="AR153" s="115">
        <f>Financials!AP$8*$C153</f>
        <v>13239.50718</v>
      </c>
      <c r="AS153" s="115">
        <f>Financials!AQ$8*$C153</f>
        <v>13356.40296</v>
      </c>
      <c r="AT153" s="115">
        <f>Financials!AR$8*$C153</f>
        <v>13467.45395</v>
      </c>
      <c r="AU153" s="115">
        <f>Financials!AS$8*$C153</f>
        <v>13572.95239</v>
      </c>
      <c r="AV153" s="115">
        <f>Financials!AT$8*$C153</f>
        <v>13673.1759</v>
      </c>
      <c r="AW153" s="115">
        <f>Financials!AU$8*$C153</f>
        <v>13768.38825</v>
      </c>
      <c r="AX153" s="115">
        <f>Financials!AV$8*$C153</f>
        <v>13858.83997</v>
      </c>
      <c r="AY153" s="115">
        <f>Financials!AW$8*$C153</f>
        <v>13944.76911</v>
      </c>
      <c r="AZ153" s="115">
        <f>Financials!AX$8*$C153</f>
        <v>14026.40179</v>
      </c>
      <c r="BA153" s="115">
        <f>Financials!AY$8*$C153</f>
        <v>14103.95284</v>
      </c>
      <c r="BB153" s="115">
        <f>Financials!AZ$8*$C153</f>
        <v>14177.62633</v>
      </c>
      <c r="BC153" s="115">
        <f>Financials!BA$8*$C153</f>
        <v>14247.61615</v>
      </c>
      <c r="BD153" s="115">
        <f>Financials!BB$8*$C153</f>
        <v>14314.10648</v>
      </c>
      <c r="BE153" s="115">
        <f>Financials!BC$8*$C153</f>
        <v>14377.27229</v>
      </c>
      <c r="BF153" s="115">
        <f>Financials!BD$8*$C153</f>
        <v>14437.27981</v>
      </c>
      <c r="BG153" s="115">
        <f>Financials!BE$8*$C153</f>
        <v>14494.28696</v>
      </c>
      <c r="BH153" s="115">
        <f>Financials!BF$8*$C153</f>
        <v>14548.44375</v>
      </c>
      <c r="BI153" s="115">
        <f>Financials!BG$8*$C153</f>
        <v>14599.8927</v>
      </c>
      <c r="BJ153" s="115">
        <f>Financials!BH$8*$C153</f>
        <v>14648.7692</v>
      </c>
      <c r="BK153" s="115">
        <f>Financials!BI$8*$C153</f>
        <v>14695.20188</v>
      </c>
      <c r="BL153" s="115">
        <f>Financials!BJ$8*$C153</f>
        <v>14739.31292</v>
      </c>
      <c r="BM153" s="115">
        <f>Financials!BK$8*$C153</f>
        <v>14781.21841</v>
      </c>
      <c r="BN153" s="115">
        <f>Financials!BL$8*$C153</f>
        <v>14821.02862</v>
      </c>
      <c r="BO153" s="115">
        <f>Financials!BM$8*$C153</f>
        <v>14858.84833</v>
      </c>
    </row>
    <row r="154" outlineLevel="1">
      <c r="A154" s="47"/>
      <c r="B154" s="124" t="s">
        <v>104</v>
      </c>
      <c r="C154" s="123">
        <v>0.05</v>
      </c>
      <c r="D154" s="47"/>
      <c r="E154" s="47"/>
      <c r="F154" s="115"/>
      <c r="G154" s="115"/>
      <c r="H154" s="115">
        <f>Financials!F$8*$C154</f>
        <v>601.875</v>
      </c>
      <c r="I154" s="115">
        <f>Financials!G$8*$C154</f>
        <v>1201.512813</v>
      </c>
      <c r="J154" s="115">
        <f>Financials!H$8*$C154</f>
        <v>1785.40367</v>
      </c>
      <c r="K154" s="115">
        <f>Financials!I$8*$C154</f>
        <v>2354.803037</v>
      </c>
      <c r="L154" s="115">
        <f>Financials!J$8*$C154</f>
        <v>2911.150976</v>
      </c>
      <c r="M154" s="115">
        <f>Financials!K$8*$C154</f>
        <v>3455.854761</v>
      </c>
      <c r="N154" s="115">
        <f>Financials!L$8*$C154</f>
        <v>3990.289126</v>
      </c>
      <c r="O154" s="115">
        <f>Financials!M$8*$C154</f>
        <v>4515.799736</v>
      </c>
      <c r="P154" s="115">
        <f>Financials!N$8*$C154</f>
        <v>5033.706625</v>
      </c>
      <c r="Q154" s="115">
        <f>Financials!O$8*$C154</f>
        <v>5545.307554</v>
      </c>
      <c r="R154" s="115">
        <f>Financials!P$8*$C154</f>
        <v>6051.881319</v>
      </c>
      <c r="S154" s="115">
        <f>Financials!Q$8*$C154</f>
        <v>6554.690988</v>
      </c>
      <c r="T154" s="115">
        <f>Financials!R$8*$C154</f>
        <v>7054.987103</v>
      </c>
      <c r="U154" s="115">
        <f>Financials!S$8*$C154</f>
        <v>7554.010832</v>
      </c>
      <c r="V154" s="115">
        <f>Financials!T$8*$C154</f>
        <v>8052.997104</v>
      </c>
      <c r="W154" s="115">
        <f>Financials!U$8*$C154</f>
        <v>8553.177701</v>
      </c>
      <c r="X154" s="115">
        <f>Financials!V$8*$C154</f>
        <v>9055.784356</v>
      </c>
      <c r="Y154" s="115">
        <f>Financials!W$8*$C154</f>
        <v>9381.866275</v>
      </c>
      <c r="Z154" s="115">
        <f>Financials!X$8*$C154</f>
        <v>9691.644097</v>
      </c>
      <c r="AA154" s="115">
        <f>Financials!Y$8*$C154</f>
        <v>9985.933029</v>
      </c>
      <c r="AB154" s="115">
        <f>Financials!Z$8*$C154</f>
        <v>10265.50751</v>
      </c>
      <c r="AC154" s="115">
        <f>Financials!AA$8*$C154</f>
        <v>10531.10327</v>
      </c>
      <c r="AD154" s="115">
        <f>Financials!AB$8*$C154</f>
        <v>10783.41925</v>
      </c>
      <c r="AE154" s="115">
        <f>Financials!AC$8*$C154</f>
        <v>11023.11942</v>
      </c>
      <c r="AF154" s="115">
        <f>Financials!AD$8*$C154</f>
        <v>11250.83459</v>
      </c>
      <c r="AG154" s="115">
        <f>Financials!AE$8*$C154</f>
        <v>11467.16399</v>
      </c>
      <c r="AH154" s="115">
        <f>Financials!AF$8*$C154</f>
        <v>11672.67693</v>
      </c>
      <c r="AI154" s="115">
        <f>Financials!AG$8*$C154</f>
        <v>11867.91422</v>
      </c>
      <c r="AJ154" s="115">
        <f>Financials!AH$8*$C154</f>
        <v>12053.38965</v>
      </c>
      <c r="AK154" s="115">
        <f>Financials!AI$8*$C154</f>
        <v>12229.5913</v>
      </c>
      <c r="AL154" s="115">
        <f>Financials!AJ$8*$C154</f>
        <v>12396.98287</v>
      </c>
      <c r="AM154" s="115">
        <f>Financials!AK$8*$C154</f>
        <v>12556.00486</v>
      </c>
      <c r="AN154" s="115">
        <f>Financials!AL$8*$C154</f>
        <v>12707.07576</v>
      </c>
      <c r="AO154" s="115">
        <f>Financials!AM$8*$C154</f>
        <v>12850.59311</v>
      </c>
      <c r="AP154" s="115">
        <f>Financials!AN$8*$C154</f>
        <v>12986.93459</v>
      </c>
      <c r="AQ154" s="115">
        <f>Financials!AO$8*$C154</f>
        <v>13116.45899</v>
      </c>
      <c r="AR154" s="115">
        <f>Financials!AP$8*$C154</f>
        <v>13239.50718</v>
      </c>
      <c r="AS154" s="115">
        <f>Financials!AQ$8*$C154</f>
        <v>13356.40296</v>
      </c>
      <c r="AT154" s="115">
        <f>Financials!AR$8*$C154</f>
        <v>13467.45395</v>
      </c>
      <c r="AU154" s="115">
        <f>Financials!AS$8*$C154</f>
        <v>13572.95239</v>
      </c>
      <c r="AV154" s="115">
        <f>Financials!AT$8*$C154</f>
        <v>13673.1759</v>
      </c>
      <c r="AW154" s="115">
        <f>Financials!AU$8*$C154</f>
        <v>13768.38825</v>
      </c>
      <c r="AX154" s="115">
        <f>Financials!AV$8*$C154</f>
        <v>13858.83997</v>
      </c>
      <c r="AY154" s="115">
        <f>Financials!AW$8*$C154</f>
        <v>13944.76911</v>
      </c>
      <c r="AZ154" s="115">
        <f>Financials!AX$8*$C154</f>
        <v>14026.40179</v>
      </c>
      <c r="BA154" s="115">
        <f>Financials!AY$8*$C154</f>
        <v>14103.95284</v>
      </c>
      <c r="BB154" s="115">
        <f>Financials!AZ$8*$C154</f>
        <v>14177.62633</v>
      </c>
      <c r="BC154" s="115">
        <f>Financials!BA$8*$C154</f>
        <v>14247.61615</v>
      </c>
      <c r="BD154" s="115">
        <f>Financials!BB$8*$C154</f>
        <v>14314.10648</v>
      </c>
      <c r="BE154" s="115">
        <f>Financials!BC$8*$C154</f>
        <v>14377.27229</v>
      </c>
      <c r="BF154" s="115">
        <f>Financials!BD$8*$C154</f>
        <v>14437.27981</v>
      </c>
      <c r="BG154" s="115">
        <f>Financials!BE$8*$C154</f>
        <v>14494.28696</v>
      </c>
      <c r="BH154" s="115">
        <f>Financials!BF$8*$C154</f>
        <v>14548.44375</v>
      </c>
      <c r="BI154" s="115">
        <f>Financials!BG$8*$C154</f>
        <v>14599.8927</v>
      </c>
      <c r="BJ154" s="115">
        <f>Financials!BH$8*$C154</f>
        <v>14648.7692</v>
      </c>
      <c r="BK154" s="115">
        <f>Financials!BI$8*$C154</f>
        <v>14695.20188</v>
      </c>
      <c r="BL154" s="115">
        <f>Financials!BJ$8*$C154</f>
        <v>14739.31292</v>
      </c>
      <c r="BM154" s="115">
        <f>Financials!BK$8*$C154</f>
        <v>14781.21841</v>
      </c>
      <c r="BN154" s="115">
        <f>Financials!BL$8*$C154</f>
        <v>14821.02862</v>
      </c>
      <c r="BO154" s="115">
        <f>Financials!BM$8*$C154</f>
        <v>14858.84833</v>
      </c>
    </row>
    <row r="155" outlineLevel="1">
      <c r="A155" s="47"/>
      <c r="B155" s="124" t="s">
        <v>105</v>
      </c>
      <c r="C155" s="123">
        <v>0.05</v>
      </c>
      <c r="D155" s="47"/>
      <c r="E155" s="47"/>
      <c r="F155" s="115"/>
      <c r="G155" s="115"/>
      <c r="H155" s="115">
        <f>Financials!F$8*$C155</f>
        <v>601.875</v>
      </c>
      <c r="I155" s="115">
        <f>Financials!G$8*$C155</f>
        <v>1201.512813</v>
      </c>
      <c r="J155" s="115">
        <f>Financials!H$8*$C155</f>
        <v>1785.40367</v>
      </c>
      <c r="K155" s="115">
        <f>Financials!I$8*$C155</f>
        <v>2354.803037</v>
      </c>
      <c r="L155" s="115">
        <f>Financials!J$8*$C155</f>
        <v>2911.150976</v>
      </c>
      <c r="M155" s="115">
        <f>Financials!K$8*$C155</f>
        <v>3455.854761</v>
      </c>
      <c r="N155" s="115">
        <f>Financials!L$8*$C155</f>
        <v>3990.289126</v>
      </c>
      <c r="O155" s="115">
        <f>Financials!M$8*$C155</f>
        <v>4515.799736</v>
      </c>
      <c r="P155" s="115">
        <f>Financials!N$8*$C155</f>
        <v>5033.706625</v>
      </c>
      <c r="Q155" s="115">
        <f>Financials!O$8*$C155</f>
        <v>5545.307554</v>
      </c>
      <c r="R155" s="115">
        <f>Financials!P$8*$C155</f>
        <v>6051.881319</v>
      </c>
      <c r="S155" s="115">
        <f>Financials!Q$8*$C155</f>
        <v>6554.690988</v>
      </c>
      <c r="T155" s="115">
        <f>Financials!R$8*$C155</f>
        <v>7054.987103</v>
      </c>
      <c r="U155" s="115">
        <f>Financials!S$8*$C155</f>
        <v>7554.010832</v>
      </c>
      <c r="V155" s="115">
        <f>Financials!T$8*$C155</f>
        <v>8052.997104</v>
      </c>
      <c r="W155" s="115">
        <f>Financials!U$8*$C155</f>
        <v>8553.177701</v>
      </c>
      <c r="X155" s="115">
        <f>Financials!V$8*$C155</f>
        <v>9055.784356</v>
      </c>
      <c r="Y155" s="115">
        <f>Financials!W$8*$C155</f>
        <v>9381.866275</v>
      </c>
      <c r="Z155" s="115">
        <f>Financials!X$8*$C155</f>
        <v>9691.644097</v>
      </c>
      <c r="AA155" s="115">
        <f>Financials!Y$8*$C155</f>
        <v>9985.933029</v>
      </c>
      <c r="AB155" s="115">
        <f>Financials!Z$8*$C155</f>
        <v>10265.50751</v>
      </c>
      <c r="AC155" s="115">
        <f>Financials!AA$8*$C155</f>
        <v>10531.10327</v>
      </c>
      <c r="AD155" s="115">
        <f>Financials!AB$8*$C155</f>
        <v>10783.41925</v>
      </c>
      <c r="AE155" s="115">
        <f>Financials!AC$8*$C155</f>
        <v>11023.11942</v>
      </c>
      <c r="AF155" s="115">
        <f>Financials!AD$8*$C155</f>
        <v>11250.83459</v>
      </c>
      <c r="AG155" s="115">
        <f>Financials!AE$8*$C155</f>
        <v>11467.16399</v>
      </c>
      <c r="AH155" s="115">
        <f>Financials!AF$8*$C155</f>
        <v>11672.67693</v>
      </c>
      <c r="AI155" s="115">
        <f>Financials!AG$8*$C155</f>
        <v>11867.91422</v>
      </c>
      <c r="AJ155" s="115">
        <f>Financials!AH$8*$C155</f>
        <v>12053.38965</v>
      </c>
      <c r="AK155" s="115">
        <f>Financials!AI$8*$C155</f>
        <v>12229.5913</v>
      </c>
      <c r="AL155" s="115">
        <f>Financials!AJ$8*$C155</f>
        <v>12396.98287</v>
      </c>
      <c r="AM155" s="115">
        <f>Financials!AK$8*$C155</f>
        <v>12556.00486</v>
      </c>
      <c r="AN155" s="115">
        <f>Financials!AL$8*$C155</f>
        <v>12707.07576</v>
      </c>
      <c r="AO155" s="115">
        <f>Financials!AM$8*$C155</f>
        <v>12850.59311</v>
      </c>
      <c r="AP155" s="115">
        <f>Financials!AN$8*$C155</f>
        <v>12986.93459</v>
      </c>
      <c r="AQ155" s="115">
        <f>Financials!AO$8*$C155</f>
        <v>13116.45899</v>
      </c>
      <c r="AR155" s="115">
        <f>Financials!AP$8*$C155</f>
        <v>13239.50718</v>
      </c>
      <c r="AS155" s="115">
        <f>Financials!AQ$8*$C155</f>
        <v>13356.40296</v>
      </c>
      <c r="AT155" s="115">
        <f>Financials!AR$8*$C155</f>
        <v>13467.45395</v>
      </c>
      <c r="AU155" s="115">
        <f>Financials!AS$8*$C155</f>
        <v>13572.95239</v>
      </c>
      <c r="AV155" s="115">
        <f>Financials!AT$8*$C155</f>
        <v>13673.1759</v>
      </c>
      <c r="AW155" s="115">
        <f>Financials!AU$8*$C155</f>
        <v>13768.38825</v>
      </c>
      <c r="AX155" s="115">
        <f>Financials!AV$8*$C155</f>
        <v>13858.83997</v>
      </c>
      <c r="AY155" s="115">
        <f>Financials!AW$8*$C155</f>
        <v>13944.76911</v>
      </c>
      <c r="AZ155" s="115">
        <f>Financials!AX$8*$C155</f>
        <v>14026.40179</v>
      </c>
      <c r="BA155" s="115">
        <f>Financials!AY$8*$C155</f>
        <v>14103.95284</v>
      </c>
      <c r="BB155" s="115">
        <f>Financials!AZ$8*$C155</f>
        <v>14177.62633</v>
      </c>
      <c r="BC155" s="115">
        <f>Financials!BA$8*$C155</f>
        <v>14247.61615</v>
      </c>
      <c r="BD155" s="115">
        <f>Financials!BB$8*$C155</f>
        <v>14314.10648</v>
      </c>
      <c r="BE155" s="115">
        <f>Financials!BC$8*$C155</f>
        <v>14377.27229</v>
      </c>
      <c r="BF155" s="115">
        <f>Financials!BD$8*$C155</f>
        <v>14437.27981</v>
      </c>
      <c r="BG155" s="115">
        <f>Financials!BE$8*$C155</f>
        <v>14494.28696</v>
      </c>
      <c r="BH155" s="115">
        <f>Financials!BF$8*$C155</f>
        <v>14548.44375</v>
      </c>
      <c r="BI155" s="115">
        <f>Financials!BG$8*$C155</f>
        <v>14599.8927</v>
      </c>
      <c r="BJ155" s="115">
        <f>Financials!BH$8*$C155</f>
        <v>14648.7692</v>
      </c>
      <c r="BK155" s="115">
        <f>Financials!BI$8*$C155</f>
        <v>14695.20188</v>
      </c>
      <c r="BL155" s="115">
        <f>Financials!BJ$8*$C155</f>
        <v>14739.31292</v>
      </c>
      <c r="BM155" s="115">
        <f>Financials!BK$8*$C155</f>
        <v>14781.21841</v>
      </c>
      <c r="BN155" s="115">
        <f>Financials!BL$8*$C155</f>
        <v>14821.02862</v>
      </c>
      <c r="BO155" s="115">
        <f>Financials!BM$8*$C155</f>
        <v>14858.84833</v>
      </c>
    </row>
    <row r="156" outlineLevel="1">
      <c r="A156" s="47"/>
      <c r="B156" s="125" t="s">
        <v>106</v>
      </c>
      <c r="C156" s="126">
        <v>0.05</v>
      </c>
      <c r="D156" s="61"/>
      <c r="E156" s="61"/>
      <c r="F156" s="127"/>
      <c r="G156" s="127"/>
      <c r="H156" s="127">
        <f>Financials!F$8*$C156</f>
        <v>601.875</v>
      </c>
      <c r="I156" s="127">
        <f>Financials!G$8*$C156</f>
        <v>1201.512813</v>
      </c>
      <c r="J156" s="127">
        <f>Financials!H$8*$C156</f>
        <v>1785.40367</v>
      </c>
      <c r="K156" s="127">
        <f>Financials!I$8*$C156</f>
        <v>2354.803037</v>
      </c>
      <c r="L156" s="127">
        <f>Financials!J$8*$C156</f>
        <v>2911.150976</v>
      </c>
      <c r="M156" s="127">
        <f>Financials!K$8*$C156</f>
        <v>3455.854761</v>
      </c>
      <c r="N156" s="127">
        <f>Financials!L$8*$C156</f>
        <v>3990.289126</v>
      </c>
      <c r="O156" s="127">
        <f>Financials!M$8*$C156</f>
        <v>4515.799736</v>
      </c>
      <c r="P156" s="127">
        <f>Financials!N$8*$C156</f>
        <v>5033.706625</v>
      </c>
      <c r="Q156" s="127">
        <f>Financials!O$8*$C156</f>
        <v>5545.307554</v>
      </c>
      <c r="R156" s="127">
        <f>Financials!P$8*$C156</f>
        <v>6051.881319</v>
      </c>
      <c r="S156" s="127">
        <f>Financials!Q$8*$C156</f>
        <v>6554.690988</v>
      </c>
      <c r="T156" s="127">
        <f>Financials!R$8*$C156</f>
        <v>7054.987103</v>
      </c>
      <c r="U156" s="127">
        <f>Financials!S$8*$C156</f>
        <v>7554.010832</v>
      </c>
      <c r="V156" s="127">
        <f>Financials!T$8*$C156</f>
        <v>8052.997104</v>
      </c>
      <c r="W156" s="127">
        <f>Financials!U$8*$C156</f>
        <v>8553.177701</v>
      </c>
      <c r="X156" s="127">
        <f>Financials!V$8*$C156</f>
        <v>9055.784356</v>
      </c>
      <c r="Y156" s="127">
        <f>Financials!W$8*$C156</f>
        <v>9381.866275</v>
      </c>
      <c r="Z156" s="127">
        <f>Financials!X$8*$C156</f>
        <v>9691.644097</v>
      </c>
      <c r="AA156" s="127">
        <f>Financials!Y$8*$C156</f>
        <v>9985.933029</v>
      </c>
      <c r="AB156" s="127">
        <f>Financials!Z$8*$C156</f>
        <v>10265.50751</v>
      </c>
      <c r="AC156" s="127">
        <f>Financials!AA$8*$C156</f>
        <v>10531.10327</v>
      </c>
      <c r="AD156" s="127">
        <f>Financials!AB$8*$C156</f>
        <v>10783.41925</v>
      </c>
      <c r="AE156" s="127">
        <f>Financials!AC$8*$C156</f>
        <v>11023.11942</v>
      </c>
      <c r="AF156" s="127">
        <f>Financials!AD$8*$C156</f>
        <v>11250.83459</v>
      </c>
      <c r="AG156" s="127">
        <f>Financials!AE$8*$C156</f>
        <v>11467.16399</v>
      </c>
      <c r="AH156" s="127">
        <f>Financials!AF$8*$C156</f>
        <v>11672.67693</v>
      </c>
      <c r="AI156" s="127">
        <f>Financials!AG$8*$C156</f>
        <v>11867.91422</v>
      </c>
      <c r="AJ156" s="127">
        <f>Financials!AH$8*$C156</f>
        <v>12053.38965</v>
      </c>
      <c r="AK156" s="127">
        <f>Financials!AI$8*$C156</f>
        <v>12229.5913</v>
      </c>
      <c r="AL156" s="127">
        <f>Financials!AJ$8*$C156</f>
        <v>12396.98287</v>
      </c>
      <c r="AM156" s="127">
        <f>Financials!AK$8*$C156</f>
        <v>12556.00486</v>
      </c>
      <c r="AN156" s="127">
        <f>Financials!AL$8*$C156</f>
        <v>12707.07576</v>
      </c>
      <c r="AO156" s="127">
        <f>Financials!AM$8*$C156</f>
        <v>12850.59311</v>
      </c>
      <c r="AP156" s="127">
        <f>Financials!AN$8*$C156</f>
        <v>12986.93459</v>
      </c>
      <c r="AQ156" s="127">
        <f>Financials!AO$8*$C156</f>
        <v>13116.45899</v>
      </c>
      <c r="AR156" s="127">
        <f>Financials!AP$8*$C156</f>
        <v>13239.50718</v>
      </c>
      <c r="AS156" s="127">
        <f>Financials!AQ$8*$C156</f>
        <v>13356.40296</v>
      </c>
      <c r="AT156" s="127">
        <f>Financials!AR$8*$C156</f>
        <v>13467.45395</v>
      </c>
      <c r="AU156" s="127">
        <f>Financials!AS$8*$C156</f>
        <v>13572.95239</v>
      </c>
      <c r="AV156" s="127">
        <f>Financials!AT$8*$C156</f>
        <v>13673.1759</v>
      </c>
      <c r="AW156" s="127">
        <f>Financials!AU$8*$C156</f>
        <v>13768.38825</v>
      </c>
      <c r="AX156" s="127">
        <f>Financials!AV$8*$C156</f>
        <v>13858.83997</v>
      </c>
      <c r="AY156" s="127">
        <f>Financials!AW$8*$C156</f>
        <v>13944.76911</v>
      </c>
      <c r="AZ156" s="127">
        <f>Financials!AX$8*$C156</f>
        <v>14026.40179</v>
      </c>
      <c r="BA156" s="127">
        <f>Financials!AY$8*$C156</f>
        <v>14103.95284</v>
      </c>
      <c r="BB156" s="127">
        <f>Financials!AZ$8*$C156</f>
        <v>14177.62633</v>
      </c>
      <c r="BC156" s="127">
        <f>Financials!BA$8*$C156</f>
        <v>14247.61615</v>
      </c>
      <c r="BD156" s="127">
        <f>Financials!BB$8*$C156</f>
        <v>14314.10648</v>
      </c>
      <c r="BE156" s="127">
        <f>Financials!BC$8*$C156</f>
        <v>14377.27229</v>
      </c>
      <c r="BF156" s="127">
        <f>Financials!BD$8*$C156</f>
        <v>14437.27981</v>
      </c>
      <c r="BG156" s="127">
        <f>Financials!BE$8*$C156</f>
        <v>14494.28696</v>
      </c>
      <c r="BH156" s="127">
        <f>Financials!BF$8*$C156</f>
        <v>14548.44375</v>
      </c>
      <c r="BI156" s="127">
        <f>Financials!BG$8*$C156</f>
        <v>14599.8927</v>
      </c>
      <c r="BJ156" s="127">
        <f>Financials!BH$8*$C156</f>
        <v>14648.7692</v>
      </c>
      <c r="BK156" s="127">
        <f>Financials!BI$8*$C156</f>
        <v>14695.20188</v>
      </c>
      <c r="BL156" s="127">
        <f>Financials!BJ$8*$C156</f>
        <v>14739.31292</v>
      </c>
      <c r="BM156" s="127">
        <f>Financials!BK$8*$C156</f>
        <v>14781.21841</v>
      </c>
      <c r="BN156" s="127">
        <f>Financials!BL$8*$C156</f>
        <v>14821.02862</v>
      </c>
      <c r="BO156" s="127">
        <f>Financials!BM$8*$C156</f>
        <v>14858.84833</v>
      </c>
    </row>
    <row r="157" outlineLevel="1">
      <c r="A157" s="128"/>
      <c r="B157" s="129" t="s">
        <v>107</v>
      </c>
      <c r="C157" s="128"/>
      <c r="D157" s="128"/>
      <c r="E157" s="128"/>
      <c r="F157" s="128"/>
      <c r="G157" s="128"/>
      <c r="H157" s="130">
        <f t="shared" ref="H157:BO157" si="115">sum(H149:H156)</f>
        <v>4213.125</v>
      </c>
      <c r="I157" s="130">
        <f t="shared" si="115"/>
        <v>8410.589688</v>
      </c>
      <c r="J157" s="130">
        <f t="shared" si="115"/>
        <v>12497.82569</v>
      </c>
      <c r="K157" s="130">
        <f t="shared" si="115"/>
        <v>16483.62126</v>
      </c>
      <c r="L157" s="130">
        <f t="shared" si="115"/>
        <v>20378.05684</v>
      </c>
      <c r="M157" s="130">
        <f t="shared" si="115"/>
        <v>24190.98333</v>
      </c>
      <c r="N157" s="130">
        <f t="shared" si="115"/>
        <v>27932.02388</v>
      </c>
      <c r="O157" s="130">
        <f t="shared" si="115"/>
        <v>31610.59815</v>
      </c>
      <c r="P157" s="130">
        <f t="shared" si="115"/>
        <v>35235.94637</v>
      </c>
      <c r="Q157" s="130">
        <f t="shared" si="115"/>
        <v>38817.15288</v>
      </c>
      <c r="R157" s="130">
        <f t="shared" si="115"/>
        <v>42363.16923</v>
      </c>
      <c r="S157" s="130">
        <f t="shared" si="115"/>
        <v>45882.83692</v>
      </c>
      <c r="T157" s="130">
        <f t="shared" si="115"/>
        <v>49384.90972</v>
      </c>
      <c r="U157" s="130">
        <f t="shared" si="115"/>
        <v>52878.07583</v>
      </c>
      <c r="V157" s="130">
        <f t="shared" si="115"/>
        <v>56370.97973</v>
      </c>
      <c r="W157" s="130">
        <f t="shared" si="115"/>
        <v>59872.24391</v>
      </c>
      <c r="X157" s="130">
        <f t="shared" si="115"/>
        <v>63390.49049</v>
      </c>
      <c r="Y157" s="130">
        <f t="shared" si="115"/>
        <v>65673.06392</v>
      </c>
      <c r="Z157" s="130">
        <f t="shared" si="115"/>
        <v>67841.50868</v>
      </c>
      <c r="AA157" s="130">
        <f t="shared" si="115"/>
        <v>69901.5312</v>
      </c>
      <c r="AB157" s="130">
        <f t="shared" si="115"/>
        <v>71858.5526</v>
      </c>
      <c r="AC157" s="130">
        <f t="shared" si="115"/>
        <v>73717.72292</v>
      </c>
      <c r="AD157" s="130">
        <f t="shared" si="115"/>
        <v>75483.93473</v>
      </c>
      <c r="AE157" s="130">
        <f t="shared" si="115"/>
        <v>77161.83595</v>
      </c>
      <c r="AF157" s="130">
        <f t="shared" si="115"/>
        <v>78755.84211</v>
      </c>
      <c r="AG157" s="130">
        <f t="shared" si="115"/>
        <v>80270.14796</v>
      </c>
      <c r="AH157" s="130">
        <f t="shared" si="115"/>
        <v>81708.73852</v>
      </c>
      <c r="AI157" s="130">
        <f t="shared" si="115"/>
        <v>83075.39955</v>
      </c>
      <c r="AJ157" s="130">
        <f t="shared" si="115"/>
        <v>84373.72752</v>
      </c>
      <c r="AK157" s="130">
        <f t="shared" si="115"/>
        <v>85607.1391</v>
      </c>
      <c r="AL157" s="130">
        <f t="shared" si="115"/>
        <v>86778.8801</v>
      </c>
      <c r="AM157" s="130">
        <f t="shared" si="115"/>
        <v>87892.03405</v>
      </c>
      <c r="AN157" s="130">
        <f t="shared" si="115"/>
        <v>88949.53031</v>
      </c>
      <c r="AO157" s="130">
        <f t="shared" si="115"/>
        <v>89954.15175</v>
      </c>
      <c r="AP157" s="130">
        <f t="shared" si="115"/>
        <v>90908.54211</v>
      </c>
      <c r="AQ157" s="130">
        <f t="shared" si="115"/>
        <v>91815.21296</v>
      </c>
      <c r="AR157" s="130">
        <f t="shared" si="115"/>
        <v>92676.55027</v>
      </c>
      <c r="AS157" s="130">
        <f t="shared" si="115"/>
        <v>93494.82071</v>
      </c>
      <c r="AT157" s="130">
        <f t="shared" si="115"/>
        <v>94272.17763</v>
      </c>
      <c r="AU157" s="130">
        <f t="shared" si="115"/>
        <v>95010.66671</v>
      </c>
      <c r="AV157" s="130">
        <f t="shared" si="115"/>
        <v>95712.23133</v>
      </c>
      <c r="AW157" s="130">
        <f t="shared" si="115"/>
        <v>96378.71772</v>
      </c>
      <c r="AX157" s="130">
        <f t="shared" si="115"/>
        <v>97011.87978</v>
      </c>
      <c r="AY157" s="130">
        <f t="shared" si="115"/>
        <v>97613.38375</v>
      </c>
      <c r="AZ157" s="130">
        <f t="shared" si="115"/>
        <v>98184.81252</v>
      </c>
      <c r="BA157" s="130">
        <f t="shared" si="115"/>
        <v>98727.66985</v>
      </c>
      <c r="BB157" s="130">
        <f t="shared" si="115"/>
        <v>99243.38431</v>
      </c>
      <c r="BC157" s="130">
        <f t="shared" si="115"/>
        <v>99733.31305</v>
      </c>
      <c r="BD157" s="130">
        <f t="shared" si="115"/>
        <v>100198.7454</v>
      </c>
      <c r="BE157" s="130">
        <f t="shared" si="115"/>
        <v>100640.906</v>
      </c>
      <c r="BF157" s="130">
        <f t="shared" si="115"/>
        <v>101060.9587</v>
      </c>
      <c r="BG157" s="130">
        <f t="shared" si="115"/>
        <v>101460.0087</v>
      </c>
      <c r="BH157" s="130">
        <f t="shared" si="115"/>
        <v>101839.1062</v>
      </c>
      <c r="BI157" s="130">
        <f t="shared" si="115"/>
        <v>102199.2489</v>
      </c>
      <c r="BJ157" s="130">
        <f t="shared" si="115"/>
        <v>102541.3844</v>
      </c>
      <c r="BK157" s="130">
        <f t="shared" si="115"/>
        <v>102866.4131</v>
      </c>
      <c r="BL157" s="130">
        <f t="shared" si="115"/>
        <v>103175.1904</v>
      </c>
      <c r="BM157" s="130">
        <f t="shared" si="115"/>
        <v>103468.5289</v>
      </c>
      <c r="BN157" s="130">
        <f t="shared" si="115"/>
        <v>103747.2004</v>
      </c>
      <c r="BO157" s="130">
        <f t="shared" si="115"/>
        <v>104011.9383</v>
      </c>
    </row>
    <row r="158" outlineLevel="1">
      <c r="A158" s="47"/>
      <c r="B158" s="65"/>
      <c r="C158" s="47"/>
      <c r="D158" s="47"/>
      <c r="E158" s="47"/>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row>
    <row r="159" outlineLevel="1">
      <c r="A159" s="47"/>
      <c r="B159" s="65" t="s">
        <v>108</v>
      </c>
      <c r="C159" s="65"/>
      <c r="D159" s="117"/>
      <c r="E159" s="47"/>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row>
    <row r="160" outlineLevel="1">
      <c r="A160" s="66"/>
      <c r="B160" s="118" t="s">
        <v>109</v>
      </c>
      <c r="C160" s="131">
        <v>2500.0</v>
      </c>
      <c r="D160" s="132"/>
      <c r="E160" s="66"/>
      <c r="F160" s="115"/>
      <c r="G160" s="115"/>
      <c r="H160" s="115">
        <f t="shared" ref="H160:H167" si="117">C160</f>
        <v>2500</v>
      </c>
      <c r="I160" s="115">
        <f t="shared" ref="I160:BO160" si="116">H160</f>
        <v>2500</v>
      </c>
      <c r="J160" s="115">
        <f t="shared" si="116"/>
        <v>2500</v>
      </c>
      <c r="K160" s="115">
        <f t="shared" si="116"/>
        <v>2500</v>
      </c>
      <c r="L160" s="115">
        <f t="shared" si="116"/>
        <v>2500</v>
      </c>
      <c r="M160" s="115">
        <f t="shared" si="116"/>
        <v>2500</v>
      </c>
      <c r="N160" s="115">
        <f t="shared" si="116"/>
        <v>2500</v>
      </c>
      <c r="O160" s="115">
        <f t="shared" si="116"/>
        <v>2500</v>
      </c>
      <c r="P160" s="115">
        <f t="shared" si="116"/>
        <v>2500</v>
      </c>
      <c r="Q160" s="115">
        <f t="shared" si="116"/>
        <v>2500</v>
      </c>
      <c r="R160" s="115">
        <f t="shared" si="116"/>
        <v>2500</v>
      </c>
      <c r="S160" s="115">
        <f t="shared" si="116"/>
        <v>2500</v>
      </c>
      <c r="T160" s="115">
        <f t="shared" si="116"/>
        <v>2500</v>
      </c>
      <c r="U160" s="115">
        <f t="shared" si="116"/>
        <v>2500</v>
      </c>
      <c r="V160" s="115">
        <f t="shared" si="116"/>
        <v>2500</v>
      </c>
      <c r="W160" s="115">
        <f t="shared" si="116"/>
        <v>2500</v>
      </c>
      <c r="X160" s="115">
        <f t="shared" si="116"/>
        <v>2500</v>
      </c>
      <c r="Y160" s="115">
        <f t="shared" si="116"/>
        <v>2500</v>
      </c>
      <c r="Z160" s="115">
        <f t="shared" si="116"/>
        <v>2500</v>
      </c>
      <c r="AA160" s="115">
        <f t="shared" si="116"/>
        <v>2500</v>
      </c>
      <c r="AB160" s="115">
        <f t="shared" si="116"/>
        <v>2500</v>
      </c>
      <c r="AC160" s="115">
        <f t="shared" si="116"/>
        <v>2500</v>
      </c>
      <c r="AD160" s="115">
        <f t="shared" si="116"/>
        <v>2500</v>
      </c>
      <c r="AE160" s="115">
        <f t="shared" si="116"/>
        <v>2500</v>
      </c>
      <c r="AF160" s="115">
        <f t="shared" si="116"/>
        <v>2500</v>
      </c>
      <c r="AG160" s="115">
        <f t="shared" si="116"/>
        <v>2500</v>
      </c>
      <c r="AH160" s="115">
        <f t="shared" si="116"/>
        <v>2500</v>
      </c>
      <c r="AI160" s="115">
        <f t="shared" si="116"/>
        <v>2500</v>
      </c>
      <c r="AJ160" s="115">
        <f t="shared" si="116"/>
        <v>2500</v>
      </c>
      <c r="AK160" s="115">
        <f t="shared" si="116"/>
        <v>2500</v>
      </c>
      <c r="AL160" s="115">
        <f t="shared" si="116"/>
        <v>2500</v>
      </c>
      <c r="AM160" s="115">
        <f t="shared" si="116"/>
        <v>2500</v>
      </c>
      <c r="AN160" s="115">
        <f t="shared" si="116"/>
        <v>2500</v>
      </c>
      <c r="AO160" s="115">
        <f t="shared" si="116"/>
        <v>2500</v>
      </c>
      <c r="AP160" s="115">
        <f t="shared" si="116"/>
        <v>2500</v>
      </c>
      <c r="AQ160" s="115">
        <f t="shared" si="116"/>
        <v>2500</v>
      </c>
      <c r="AR160" s="115">
        <f t="shared" si="116"/>
        <v>2500</v>
      </c>
      <c r="AS160" s="115">
        <f t="shared" si="116"/>
        <v>2500</v>
      </c>
      <c r="AT160" s="115">
        <f t="shared" si="116"/>
        <v>2500</v>
      </c>
      <c r="AU160" s="115">
        <f t="shared" si="116"/>
        <v>2500</v>
      </c>
      <c r="AV160" s="115">
        <f t="shared" si="116"/>
        <v>2500</v>
      </c>
      <c r="AW160" s="115">
        <f t="shared" si="116"/>
        <v>2500</v>
      </c>
      <c r="AX160" s="115">
        <f t="shared" si="116"/>
        <v>2500</v>
      </c>
      <c r="AY160" s="115">
        <f t="shared" si="116"/>
        <v>2500</v>
      </c>
      <c r="AZ160" s="115">
        <f t="shared" si="116"/>
        <v>2500</v>
      </c>
      <c r="BA160" s="115">
        <f t="shared" si="116"/>
        <v>2500</v>
      </c>
      <c r="BB160" s="115">
        <f t="shared" si="116"/>
        <v>2500</v>
      </c>
      <c r="BC160" s="115">
        <f t="shared" si="116"/>
        <v>2500</v>
      </c>
      <c r="BD160" s="115">
        <f t="shared" si="116"/>
        <v>2500</v>
      </c>
      <c r="BE160" s="115">
        <f t="shared" si="116"/>
        <v>2500</v>
      </c>
      <c r="BF160" s="115">
        <f t="shared" si="116"/>
        <v>2500</v>
      </c>
      <c r="BG160" s="115">
        <f t="shared" si="116"/>
        <v>2500</v>
      </c>
      <c r="BH160" s="115">
        <f t="shared" si="116"/>
        <v>2500</v>
      </c>
      <c r="BI160" s="115">
        <f t="shared" si="116"/>
        <v>2500</v>
      </c>
      <c r="BJ160" s="115">
        <f t="shared" si="116"/>
        <v>2500</v>
      </c>
      <c r="BK160" s="115">
        <f t="shared" si="116"/>
        <v>2500</v>
      </c>
      <c r="BL160" s="115">
        <f t="shared" si="116"/>
        <v>2500</v>
      </c>
      <c r="BM160" s="115">
        <f t="shared" si="116"/>
        <v>2500</v>
      </c>
      <c r="BN160" s="115">
        <f t="shared" si="116"/>
        <v>2500</v>
      </c>
      <c r="BO160" s="115">
        <f t="shared" si="116"/>
        <v>2500</v>
      </c>
    </row>
    <row r="161" outlineLevel="1">
      <c r="A161" s="66"/>
      <c r="B161" s="118" t="s">
        <v>110</v>
      </c>
      <c r="C161" s="131">
        <v>2500.0</v>
      </c>
      <c r="D161" s="132"/>
      <c r="E161" s="66"/>
      <c r="F161" s="115"/>
      <c r="G161" s="115"/>
      <c r="H161" s="115">
        <f t="shared" si="117"/>
        <v>2500</v>
      </c>
      <c r="I161" s="115">
        <f t="shared" ref="I161:BO161" si="118">H161</f>
        <v>2500</v>
      </c>
      <c r="J161" s="115">
        <f t="shared" si="118"/>
        <v>2500</v>
      </c>
      <c r="K161" s="115">
        <f t="shared" si="118"/>
        <v>2500</v>
      </c>
      <c r="L161" s="115">
        <f t="shared" si="118"/>
        <v>2500</v>
      </c>
      <c r="M161" s="115">
        <f t="shared" si="118"/>
        <v>2500</v>
      </c>
      <c r="N161" s="115">
        <f t="shared" si="118"/>
        <v>2500</v>
      </c>
      <c r="O161" s="115">
        <f t="shared" si="118"/>
        <v>2500</v>
      </c>
      <c r="P161" s="115">
        <f t="shared" si="118"/>
        <v>2500</v>
      </c>
      <c r="Q161" s="115">
        <f t="shared" si="118"/>
        <v>2500</v>
      </c>
      <c r="R161" s="115">
        <f t="shared" si="118"/>
        <v>2500</v>
      </c>
      <c r="S161" s="115">
        <f t="shared" si="118"/>
        <v>2500</v>
      </c>
      <c r="T161" s="115">
        <f t="shared" si="118"/>
        <v>2500</v>
      </c>
      <c r="U161" s="115">
        <f t="shared" si="118"/>
        <v>2500</v>
      </c>
      <c r="V161" s="115">
        <f t="shared" si="118"/>
        <v>2500</v>
      </c>
      <c r="W161" s="115">
        <f t="shared" si="118"/>
        <v>2500</v>
      </c>
      <c r="X161" s="115">
        <f t="shared" si="118"/>
        <v>2500</v>
      </c>
      <c r="Y161" s="115">
        <f t="shared" si="118"/>
        <v>2500</v>
      </c>
      <c r="Z161" s="115">
        <f t="shared" si="118"/>
        <v>2500</v>
      </c>
      <c r="AA161" s="115">
        <f t="shared" si="118"/>
        <v>2500</v>
      </c>
      <c r="AB161" s="115">
        <f t="shared" si="118"/>
        <v>2500</v>
      </c>
      <c r="AC161" s="115">
        <f t="shared" si="118"/>
        <v>2500</v>
      </c>
      <c r="AD161" s="115">
        <f t="shared" si="118"/>
        <v>2500</v>
      </c>
      <c r="AE161" s="115">
        <f t="shared" si="118"/>
        <v>2500</v>
      </c>
      <c r="AF161" s="115">
        <f t="shared" si="118"/>
        <v>2500</v>
      </c>
      <c r="AG161" s="115">
        <f t="shared" si="118"/>
        <v>2500</v>
      </c>
      <c r="AH161" s="115">
        <f t="shared" si="118"/>
        <v>2500</v>
      </c>
      <c r="AI161" s="115">
        <f t="shared" si="118"/>
        <v>2500</v>
      </c>
      <c r="AJ161" s="115">
        <f t="shared" si="118"/>
        <v>2500</v>
      </c>
      <c r="AK161" s="115">
        <f t="shared" si="118"/>
        <v>2500</v>
      </c>
      <c r="AL161" s="115">
        <f t="shared" si="118"/>
        <v>2500</v>
      </c>
      <c r="AM161" s="115">
        <f t="shared" si="118"/>
        <v>2500</v>
      </c>
      <c r="AN161" s="115">
        <f t="shared" si="118"/>
        <v>2500</v>
      </c>
      <c r="AO161" s="115">
        <f t="shared" si="118"/>
        <v>2500</v>
      </c>
      <c r="AP161" s="115">
        <f t="shared" si="118"/>
        <v>2500</v>
      </c>
      <c r="AQ161" s="115">
        <f t="shared" si="118"/>
        <v>2500</v>
      </c>
      <c r="AR161" s="115">
        <f t="shared" si="118"/>
        <v>2500</v>
      </c>
      <c r="AS161" s="115">
        <f t="shared" si="118"/>
        <v>2500</v>
      </c>
      <c r="AT161" s="115">
        <f t="shared" si="118"/>
        <v>2500</v>
      </c>
      <c r="AU161" s="115">
        <f t="shared" si="118"/>
        <v>2500</v>
      </c>
      <c r="AV161" s="115">
        <f t="shared" si="118"/>
        <v>2500</v>
      </c>
      <c r="AW161" s="115">
        <f t="shared" si="118"/>
        <v>2500</v>
      </c>
      <c r="AX161" s="115">
        <f t="shared" si="118"/>
        <v>2500</v>
      </c>
      <c r="AY161" s="115">
        <f t="shared" si="118"/>
        <v>2500</v>
      </c>
      <c r="AZ161" s="115">
        <f t="shared" si="118"/>
        <v>2500</v>
      </c>
      <c r="BA161" s="115">
        <f t="shared" si="118"/>
        <v>2500</v>
      </c>
      <c r="BB161" s="115">
        <f t="shared" si="118"/>
        <v>2500</v>
      </c>
      <c r="BC161" s="115">
        <f t="shared" si="118"/>
        <v>2500</v>
      </c>
      <c r="BD161" s="115">
        <f t="shared" si="118"/>
        <v>2500</v>
      </c>
      <c r="BE161" s="115">
        <f t="shared" si="118"/>
        <v>2500</v>
      </c>
      <c r="BF161" s="115">
        <f t="shared" si="118"/>
        <v>2500</v>
      </c>
      <c r="BG161" s="115">
        <f t="shared" si="118"/>
        <v>2500</v>
      </c>
      <c r="BH161" s="115">
        <f t="shared" si="118"/>
        <v>2500</v>
      </c>
      <c r="BI161" s="115">
        <f t="shared" si="118"/>
        <v>2500</v>
      </c>
      <c r="BJ161" s="115">
        <f t="shared" si="118"/>
        <v>2500</v>
      </c>
      <c r="BK161" s="115">
        <f t="shared" si="118"/>
        <v>2500</v>
      </c>
      <c r="BL161" s="115">
        <f t="shared" si="118"/>
        <v>2500</v>
      </c>
      <c r="BM161" s="115">
        <f t="shared" si="118"/>
        <v>2500</v>
      </c>
      <c r="BN161" s="115">
        <f t="shared" si="118"/>
        <v>2500</v>
      </c>
      <c r="BO161" s="115">
        <f t="shared" si="118"/>
        <v>2500</v>
      </c>
    </row>
    <row r="162" outlineLevel="1">
      <c r="A162" s="66"/>
      <c r="B162" s="118" t="s">
        <v>111</v>
      </c>
      <c r="C162" s="131">
        <v>2500.0</v>
      </c>
      <c r="D162" s="66"/>
      <c r="E162" s="66"/>
      <c r="F162" s="115"/>
      <c r="G162" s="115"/>
      <c r="H162" s="115">
        <f t="shared" si="117"/>
        <v>2500</v>
      </c>
      <c r="I162" s="115">
        <f t="shared" ref="I162:BO162" si="119">H162</f>
        <v>2500</v>
      </c>
      <c r="J162" s="115">
        <f t="shared" si="119"/>
        <v>2500</v>
      </c>
      <c r="K162" s="115">
        <f t="shared" si="119"/>
        <v>2500</v>
      </c>
      <c r="L162" s="115">
        <f t="shared" si="119"/>
        <v>2500</v>
      </c>
      <c r="M162" s="115">
        <f t="shared" si="119"/>
        <v>2500</v>
      </c>
      <c r="N162" s="115">
        <f t="shared" si="119"/>
        <v>2500</v>
      </c>
      <c r="O162" s="115">
        <f t="shared" si="119"/>
        <v>2500</v>
      </c>
      <c r="P162" s="115">
        <f t="shared" si="119"/>
        <v>2500</v>
      </c>
      <c r="Q162" s="115">
        <f t="shared" si="119"/>
        <v>2500</v>
      </c>
      <c r="R162" s="115">
        <f t="shared" si="119"/>
        <v>2500</v>
      </c>
      <c r="S162" s="115">
        <f t="shared" si="119"/>
        <v>2500</v>
      </c>
      <c r="T162" s="115">
        <f t="shared" si="119"/>
        <v>2500</v>
      </c>
      <c r="U162" s="115">
        <f t="shared" si="119"/>
        <v>2500</v>
      </c>
      <c r="V162" s="115">
        <f t="shared" si="119"/>
        <v>2500</v>
      </c>
      <c r="W162" s="115">
        <f t="shared" si="119"/>
        <v>2500</v>
      </c>
      <c r="X162" s="115">
        <f t="shared" si="119"/>
        <v>2500</v>
      </c>
      <c r="Y162" s="115">
        <f t="shared" si="119"/>
        <v>2500</v>
      </c>
      <c r="Z162" s="115">
        <f t="shared" si="119"/>
        <v>2500</v>
      </c>
      <c r="AA162" s="115">
        <f t="shared" si="119"/>
        <v>2500</v>
      </c>
      <c r="AB162" s="115">
        <f t="shared" si="119"/>
        <v>2500</v>
      </c>
      <c r="AC162" s="115">
        <f t="shared" si="119"/>
        <v>2500</v>
      </c>
      <c r="AD162" s="115">
        <f t="shared" si="119"/>
        <v>2500</v>
      </c>
      <c r="AE162" s="115">
        <f t="shared" si="119"/>
        <v>2500</v>
      </c>
      <c r="AF162" s="115">
        <f t="shared" si="119"/>
        <v>2500</v>
      </c>
      <c r="AG162" s="115">
        <f t="shared" si="119"/>
        <v>2500</v>
      </c>
      <c r="AH162" s="115">
        <f t="shared" si="119"/>
        <v>2500</v>
      </c>
      <c r="AI162" s="115">
        <f t="shared" si="119"/>
        <v>2500</v>
      </c>
      <c r="AJ162" s="115">
        <f t="shared" si="119"/>
        <v>2500</v>
      </c>
      <c r="AK162" s="115">
        <f t="shared" si="119"/>
        <v>2500</v>
      </c>
      <c r="AL162" s="115">
        <f t="shared" si="119"/>
        <v>2500</v>
      </c>
      <c r="AM162" s="115">
        <f t="shared" si="119"/>
        <v>2500</v>
      </c>
      <c r="AN162" s="115">
        <f t="shared" si="119"/>
        <v>2500</v>
      </c>
      <c r="AO162" s="115">
        <f t="shared" si="119"/>
        <v>2500</v>
      </c>
      <c r="AP162" s="115">
        <f t="shared" si="119"/>
        <v>2500</v>
      </c>
      <c r="AQ162" s="115">
        <f t="shared" si="119"/>
        <v>2500</v>
      </c>
      <c r="AR162" s="115">
        <f t="shared" si="119"/>
        <v>2500</v>
      </c>
      <c r="AS162" s="115">
        <f t="shared" si="119"/>
        <v>2500</v>
      </c>
      <c r="AT162" s="115">
        <f t="shared" si="119"/>
        <v>2500</v>
      </c>
      <c r="AU162" s="115">
        <f t="shared" si="119"/>
        <v>2500</v>
      </c>
      <c r="AV162" s="115">
        <f t="shared" si="119"/>
        <v>2500</v>
      </c>
      <c r="AW162" s="115">
        <f t="shared" si="119"/>
        <v>2500</v>
      </c>
      <c r="AX162" s="115">
        <f t="shared" si="119"/>
        <v>2500</v>
      </c>
      <c r="AY162" s="115">
        <f t="shared" si="119"/>
        <v>2500</v>
      </c>
      <c r="AZ162" s="115">
        <f t="shared" si="119"/>
        <v>2500</v>
      </c>
      <c r="BA162" s="115">
        <f t="shared" si="119"/>
        <v>2500</v>
      </c>
      <c r="BB162" s="115">
        <f t="shared" si="119"/>
        <v>2500</v>
      </c>
      <c r="BC162" s="115">
        <f t="shared" si="119"/>
        <v>2500</v>
      </c>
      <c r="BD162" s="115">
        <f t="shared" si="119"/>
        <v>2500</v>
      </c>
      <c r="BE162" s="115">
        <f t="shared" si="119"/>
        <v>2500</v>
      </c>
      <c r="BF162" s="115">
        <f t="shared" si="119"/>
        <v>2500</v>
      </c>
      <c r="BG162" s="115">
        <f t="shared" si="119"/>
        <v>2500</v>
      </c>
      <c r="BH162" s="115">
        <f t="shared" si="119"/>
        <v>2500</v>
      </c>
      <c r="BI162" s="115">
        <f t="shared" si="119"/>
        <v>2500</v>
      </c>
      <c r="BJ162" s="115">
        <f t="shared" si="119"/>
        <v>2500</v>
      </c>
      <c r="BK162" s="115">
        <f t="shared" si="119"/>
        <v>2500</v>
      </c>
      <c r="BL162" s="115">
        <f t="shared" si="119"/>
        <v>2500</v>
      </c>
      <c r="BM162" s="115">
        <f t="shared" si="119"/>
        <v>2500</v>
      </c>
      <c r="BN162" s="115">
        <f t="shared" si="119"/>
        <v>2500</v>
      </c>
      <c r="BO162" s="115">
        <f t="shared" si="119"/>
        <v>2500</v>
      </c>
    </row>
    <row r="163" outlineLevel="1">
      <c r="A163" s="66"/>
      <c r="B163" s="118" t="s">
        <v>112</v>
      </c>
      <c r="C163" s="131">
        <v>2500.0</v>
      </c>
      <c r="D163" s="66"/>
      <c r="E163" s="66"/>
      <c r="F163" s="115"/>
      <c r="G163" s="115"/>
      <c r="H163" s="115">
        <f t="shared" si="117"/>
        <v>2500</v>
      </c>
      <c r="I163" s="115">
        <f t="shared" ref="I163:BO163" si="120">H163</f>
        <v>2500</v>
      </c>
      <c r="J163" s="115">
        <f t="shared" si="120"/>
        <v>2500</v>
      </c>
      <c r="K163" s="115">
        <f t="shared" si="120"/>
        <v>2500</v>
      </c>
      <c r="L163" s="115">
        <f t="shared" si="120"/>
        <v>2500</v>
      </c>
      <c r="M163" s="115">
        <f t="shared" si="120"/>
        <v>2500</v>
      </c>
      <c r="N163" s="115">
        <f t="shared" si="120"/>
        <v>2500</v>
      </c>
      <c r="O163" s="115">
        <f t="shared" si="120"/>
        <v>2500</v>
      </c>
      <c r="P163" s="115">
        <f t="shared" si="120"/>
        <v>2500</v>
      </c>
      <c r="Q163" s="115">
        <f t="shared" si="120"/>
        <v>2500</v>
      </c>
      <c r="R163" s="115">
        <f t="shared" si="120"/>
        <v>2500</v>
      </c>
      <c r="S163" s="115">
        <f t="shared" si="120"/>
        <v>2500</v>
      </c>
      <c r="T163" s="115">
        <f t="shared" si="120"/>
        <v>2500</v>
      </c>
      <c r="U163" s="115">
        <f t="shared" si="120"/>
        <v>2500</v>
      </c>
      <c r="V163" s="115">
        <f t="shared" si="120"/>
        <v>2500</v>
      </c>
      <c r="W163" s="115">
        <f t="shared" si="120"/>
        <v>2500</v>
      </c>
      <c r="X163" s="115">
        <f t="shared" si="120"/>
        <v>2500</v>
      </c>
      <c r="Y163" s="115">
        <f t="shared" si="120"/>
        <v>2500</v>
      </c>
      <c r="Z163" s="115">
        <f t="shared" si="120"/>
        <v>2500</v>
      </c>
      <c r="AA163" s="115">
        <f t="shared" si="120"/>
        <v>2500</v>
      </c>
      <c r="AB163" s="115">
        <f t="shared" si="120"/>
        <v>2500</v>
      </c>
      <c r="AC163" s="115">
        <f t="shared" si="120"/>
        <v>2500</v>
      </c>
      <c r="AD163" s="115">
        <f t="shared" si="120"/>
        <v>2500</v>
      </c>
      <c r="AE163" s="115">
        <f t="shared" si="120"/>
        <v>2500</v>
      </c>
      <c r="AF163" s="115">
        <f t="shared" si="120"/>
        <v>2500</v>
      </c>
      <c r="AG163" s="115">
        <f t="shared" si="120"/>
        <v>2500</v>
      </c>
      <c r="AH163" s="115">
        <f t="shared" si="120"/>
        <v>2500</v>
      </c>
      <c r="AI163" s="115">
        <f t="shared" si="120"/>
        <v>2500</v>
      </c>
      <c r="AJ163" s="115">
        <f t="shared" si="120"/>
        <v>2500</v>
      </c>
      <c r="AK163" s="115">
        <f t="shared" si="120"/>
        <v>2500</v>
      </c>
      <c r="AL163" s="115">
        <f t="shared" si="120"/>
        <v>2500</v>
      </c>
      <c r="AM163" s="115">
        <f t="shared" si="120"/>
        <v>2500</v>
      </c>
      <c r="AN163" s="115">
        <f t="shared" si="120"/>
        <v>2500</v>
      </c>
      <c r="AO163" s="115">
        <f t="shared" si="120"/>
        <v>2500</v>
      </c>
      <c r="AP163" s="115">
        <f t="shared" si="120"/>
        <v>2500</v>
      </c>
      <c r="AQ163" s="115">
        <f t="shared" si="120"/>
        <v>2500</v>
      </c>
      <c r="AR163" s="115">
        <f t="shared" si="120"/>
        <v>2500</v>
      </c>
      <c r="AS163" s="115">
        <f t="shared" si="120"/>
        <v>2500</v>
      </c>
      <c r="AT163" s="115">
        <f t="shared" si="120"/>
        <v>2500</v>
      </c>
      <c r="AU163" s="115">
        <f t="shared" si="120"/>
        <v>2500</v>
      </c>
      <c r="AV163" s="115">
        <f t="shared" si="120"/>
        <v>2500</v>
      </c>
      <c r="AW163" s="115">
        <f t="shared" si="120"/>
        <v>2500</v>
      </c>
      <c r="AX163" s="115">
        <f t="shared" si="120"/>
        <v>2500</v>
      </c>
      <c r="AY163" s="115">
        <f t="shared" si="120"/>
        <v>2500</v>
      </c>
      <c r="AZ163" s="115">
        <f t="shared" si="120"/>
        <v>2500</v>
      </c>
      <c r="BA163" s="115">
        <f t="shared" si="120"/>
        <v>2500</v>
      </c>
      <c r="BB163" s="115">
        <f t="shared" si="120"/>
        <v>2500</v>
      </c>
      <c r="BC163" s="115">
        <f t="shared" si="120"/>
        <v>2500</v>
      </c>
      <c r="BD163" s="115">
        <f t="shared" si="120"/>
        <v>2500</v>
      </c>
      <c r="BE163" s="115">
        <f t="shared" si="120"/>
        <v>2500</v>
      </c>
      <c r="BF163" s="115">
        <f t="shared" si="120"/>
        <v>2500</v>
      </c>
      <c r="BG163" s="115">
        <f t="shared" si="120"/>
        <v>2500</v>
      </c>
      <c r="BH163" s="115">
        <f t="shared" si="120"/>
        <v>2500</v>
      </c>
      <c r="BI163" s="115">
        <f t="shared" si="120"/>
        <v>2500</v>
      </c>
      <c r="BJ163" s="115">
        <f t="shared" si="120"/>
        <v>2500</v>
      </c>
      <c r="BK163" s="115">
        <f t="shared" si="120"/>
        <v>2500</v>
      </c>
      <c r="BL163" s="115">
        <f t="shared" si="120"/>
        <v>2500</v>
      </c>
      <c r="BM163" s="115">
        <f t="shared" si="120"/>
        <v>2500</v>
      </c>
      <c r="BN163" s="115">
        <f t="shared" si="120"/>
        <v>2500</v>
      </c>
      <c r="BO163" s="115">
        <f t="shared" si="120"/>
        <v>2500</v>
      </c>
    </row>
    <row r="164" outlineLevel="1">
      <c r="A164" s="66"/>
      <c r="B164" s="118" t="s">
        <v>113</v>
      </c>
      <c r="C164" s="131">
        <v>2500.0</v>
      </c>
      <c r="D164" s="66"/>
      <c r="E164" s="66"/>
      <c r="F164" s="115"/>
      <c r="G164" s="115"/>
      <c r="H164" s="115">
        <f t="shared" si="117"/>
        <v>2500</v>
      </c>
      <c r="I164" s="115">
        <f t="shared" ref="I164:BO164" si="121">H164</f>
        <v>2500</v>
      </c>
      <c r="J164" s="115">
        <f t="shared" si="121"/>
        <v>2500</v>
      </c>
      <c r="K164" s="115">
        <f t="shared" si="121"/>
        <v>2500</v>
      </c>
      <c r="L164" s="115">
        <f t="shared" si="121"/>
        <v>2500</v>
      </c>
      <c r="M164" s="115">
        <f t="shared" si="121"/>
        <v>2500</v>
      </c>
      <c r="N164" s="115">
        <f t="shared" si="121"/>
        <v>2500</v>
      </c>
      <c r="O164" s="115">
        <f t="shared" si="121"/>
        <v>2500</v>
      </c>
      <c r="P164" s="115">
        <f t="shared" si="121"/>
        <v>2500</v>
      </c>
      <c r="Q164" s="115">
        <f t="shared" si="121"/>
        <v>2500</v>
      </c>
      <c r="R164" s="115">
        <f t="shared" si="121"/>
        <v>2500</v>
      </c>
      <c r="S164" s="115">
        <f t="shared" si="121"/>
        <v>2500</v>
      </c>
      <c r="T164" s="115">
        <f t="shared" si="121"/>
        <v>2500</v>
      </c>
      <c r="U164" s="115">
        <f t="shared" si="121"/>
        <v>2500</v>
      </c>
      <c r="V164" s="115">
        <f t="shared" si="121"/>
        <v>2500</v>
      </c>
      <c r="W164" s="115">
        <f t="shared" si="121"/>
        <v>2500</v>
      </c>
      <c r="X164" s="115">
        <f t="shared" si="121"/>
        <v>2500</v>
      </c>
      <c r="Y164" s="115">
        <f t="shared" si="121"/>
        <v>2500</v>
      </c>
      <c r="Z164" s="115">
        <f t="shared" si="121"/>
        <v>2500</v>
      </c>
      <c r="AA164" s="115">
        <f t="shared" si="121"/>
        <v>2500</v>
      </c>
      <c r="AB164" s="115">
        <f t="shared" si="121"/>
        <v>2500</v>
      </c>
      <c r="AC164" s="115">
        <f t="shared" si="121"/>
        <v>2500</v>
      </c>
      <c r="AD164" s="115">
        <f t="shared" si="121"/>
        <v>2500</v>
      </c>
      <c r="AE164" s="115">
        <f t="shared" si="121"/>
        <v>2500</v>
      </c>
      <c r="AF164" s="115">
        <f t="shared" si="121"/>
        <v>2500</v>
      </c>
      <c r="AG164" s="115">
        <f t="shared" si="121"/>
        <v>2500</v>
      </c>
      <c r="AH164" s="115">
        <f t="shared" si="121"/>
        <v>2500</v>
      </c>
      <c r="AI164" s="115">
        <f t="shared" si="121"/>
        <v>2500</v>
      </c>
      <c r="AJ164" s="115">
        <f t="shared" si="121"/>
        <v>2500</v>
      </c>
      <c r="AK164" s="115">
        <f t="shared" si="121"/>
        <v>2500</v>
      </c>
      <c r="AL164" s="115">
        <f t="shared" si="121"/>
        <v>2500</v>
      </c>
      <c r="AM164" s="115">
        <f t="shared" si="121"/>
        <v>2500</v>
      </c>
      <c r="AN164" s="115">
        <f t="shared" si="121"/>
        <v>2500</v>
      </c>
      <c r="AO164" s="115">
        <f t="shared" si="121"/>
        <v>2500</v>
      </c>
      <c r="AP164" s="115">
        <f t="shared" si="121"/>
        <v>2500</v>
      </c>
      <c r="AQ164" s="115">
        <f t="shared" si="121"/>
        <v>2500</v>
      </c>
      <c r="AR164" s="115">
        <f t="shared" si="121"/>
        <v>2500</v>
      </c>
      <c r="AS164" s="115">
        <f t="shared" si="121"/>
        <v>2500</v>
      </c>
      <c r="AT164" s="115">
        <f t="shared" si="121"/>
        <v>2500</v>
      </c>
      <c r="AU164" s="115">
        <f t="shared" si="121"/>
        <v>2500</v>
      </c>
      <c r="AV164" s="115">
        <f t="shared" si="121"/>
        <v>2500</v>
      </c>
      <c r="AW164" s="115">
        <f t="shared" si="121"/>
        <v>2500</v>
      </c>
      <c r="AX164" s="115">
        <f t="shared" si="121"/>
        <v>2500</v>
      </c>
      <c r="AY164" s="115">
        <f t="shared" si="121"/>
        <v>2500</v>
      </c>
      <c r="AZ164" s="115">
        <f t="shared" si="121"/>
        <v>2500</v>
      </c>
      <c r="BA164" s="115">
        <f t="shared" si="121"/>
        <v>2500</v>
      </c>
      <c r="BB164" s="115">
        <f t="shared" si="121"/>
        <v>2500</v>
      </c>
      <c r="BC164" s="115">
        <f t="shared" si="121"/>
        <v>2500</v>
      </c>
      <c r="BD164" s="115">
        <f t="shared" si="121"/>
        <v>2500</v>
      </c>
      <c r="BE164" s="115">
        <f t="shared" si="121"/>
        <v>2500</v>
      </c>
      <c r="BF164" s="115">
        <f t="shared" si="121"/>
        <v>2500</v>
      </c>
      <c r="BG164" s="115">
        <f t="shared" si="121"/>
        <v>2500</v>
      </c>
      <c r="BH164" s="115">
        <f t="shared" si="121"/>
        <v>2500</v>
      </c>
      <c r="BI164" s="115">
        <f t="shared" si="121"/>
        <v>2500</v>
      </c>
      <c r="BJ164" s="115">
        <f t="shared" si="121"/>
        <v>2500</v>
      </c>
      <c r="BK164" s="115">
        <f t="shared" si="121"/>
        <v>2500</v>
      </c>
      <c r="BL164" s="115">
        <f t="shared" si="121"/>
        <v>2500</v>
      </c>
      <c r="BM164" s="115">
        <f t="shared" si="121"/>
        <v>2500</v>
      </c>
      <c r="BN164" s="115">
        <f t="shared" si="121"/>
        <v>2500</v>
      </c>
      <c r="BO164" s="115">
        <f t="shared" si="121"/>
        <v>2500</v>
      </c>
    </row>
    <row r="165" outlineLevel="1">
      <c r="A165" s="66"/>
      <c r="B165" s="118" t="s">
        <v>114</v>
      </c>
      <c r="C165" s="131">
        <v>2500.0</v>
      </c>
      <c r="D165" s="66"/>
      <c r="E165" s="66"/>
      <c r="F165" s="115"/>
      <c r="G165" s="115"/>
      <c r="H165" s="115">
        <f t="shared" si="117"/>
        <v>2500</v>
      </c>
      <c r="I165" s="115">
        <f t="shared" ref="I165:BO165" si="122">H165</f>
        <v>2500</v>
      </c>
      <c r="J165" s="115">
        <f t="shared" si="122"/>
        <v>2500</v>
      </c>
      <c r="K165" s="115">
        <f t="shared" si="122"/>
        <v>2500</v>
      </c>
      <c r="L165" s="115">
        <f t="shared" si="122"/>
        <v>2500</v>
      </c>
      <c r="M165" s="115">
        <f t="shared" si="122"/>
        <v>2500</v>
      </c>
      <c r="N165" s="115">
        <f t="shared" si="122"/>
        <v>2500</v>
      </c>
      <c r="O165" s="115">
        <f t="shared" si="122"/>
        <v>2500</v>
      </c>
      <c r="P165" s="115">
        <f t="shared" si="122"/>
        <v>2500</v>
      </c>
      <c r="Q165" s="115">
        <f t="shared" si="122"/>
        <v>2500</v>
      </c>
      <c r="R165" s="115">
        <f t="shared" si="122"/>
        <v>2500</v>
      </c>
      <c r="S165" s="115">
        <f t="shared" si="122"/>
        <v>2500</v>
      </c>
      <c r="T165" s="115">
        <f t="shared" si="122"/>
        <v>2500</v>
      </c>
      <c r="U165" s="115">
        <f t="shared" si="122"/>
        <v>2500</v>
      </c>
      <c r="V165" s="115">
        <f t="shared" si="122"/>
        <v>2500</v>
      </c>
      <c r="W165" s="115">
        <f t="shared" si="122"/>
        <v>2500</v>
      </c>
      <c r="X165" s="115">
        <f t="shared" si="122"/>
        <v>2500</v>
      </c>
      <c r="Y165" s="115">
        <f t="shared" si="122"/>
        <v>2500</v>
      </c>
      <c r="Z165" s="115">
        <f t="shared" si="122"/>
        <v>2500</v>
      </c>
      <c r="AA165" s="115">
        <f t="shared" si="122"/>
        <v>2500</v>
      </c>
      <c r="AB165" s="115">
        <f t="shared" si="122"/>
        <v>2500</v>
      </c>
      <c r="AC165" s="115">
        <f t="shared" si="122"/>
        <v>2500</v>
      </c>
      <c r="AD165" s="115">
        <f t="shared" si="122"/>
        <v>2500</v>
      </c>
      <c r="AE165" s="115">
        <f t="shared" si="122"/>
        <v>2500</v>
      </c>
      <c r="AF165" s="115">
        <f t="shared" si="122"/>
        <v>2500</v>
      </c>
      <c r="AG165" s="115">
        <f t="shared" si="122"/>
        <v>2500</v>
      </c>
      <c r="AH165" s="115">
        <f t="shared" si="122"/>
        <v>2500</v>
      </c>
      <c r="AI165" s="115">
        <f t="shared" si="122"/>
        <v>2500</v>
      </c>
      <c r="AJ165" s="115">
        <f t="shared" si="122"/>
        <v>2500</v>
      </c>
      <c r="AK165" s="115">
        <f t="shared" si="122"/>
        <v>2500</v>
      </c>
      <c r="AL165" s="115">
        <f t="shared" si="122"/>
        <v>2500</v>
      </c>
      <c r="AM165" s="115">
        <f t="shared" si="122"/>
        <v>2500</v>
      </c>
      <c r="AN165" s="115">
        <f t="shared" si="122"/>
        <v>2500</v>
      </c>
      <c r="AO165" s="115">
        <f t="shared" si="122"/>
        <v>2500</v>
      </c>
      <c r="AP165" s="115">
        <f t="shared" si="122"/>
        <v>2500</v>
      </c>
      <c r="AQ165" s="115">
        <f t="shared" si="122"/>
        <v>2500</v>
      </c>
      <c r="AR165" s="115">
        <f t="shared" si="122"/>
        <v>2500</v>
      </c>
      <c r="AS165" s="115">
        <f t="shared" si="122"/>
        <v>2500</v>
      </c>
      <c r="AT165" s="115">
        <f t="shared" si="122"/>
        <v>2500</v>
      </c>
      <c r="AU165" s="115">
        <f t="shared" si="122"/>
        <v>2500</v>
      </c>
      <c r="AV165" s="115">
        <f t="shared" si="122"/>
        <v>2500</v>
      </c>
      <c r="AW165" s="115">
        <f t="shared" si="122"/>
        <v>2500</v>
      </c>
      <c r="AX165" s="115">
        <f t="shared" si="122"/>
        <v>2500</v>
      </c>
      <c r="AY165" s="115">
        <f t="shared" si="122"/>
        <v>2500</v>
      </c>
      <c r="AZ165" s="115">
        <f t="shared" si="122"/>
        <v>2500</v>
      </c>
      <c r="BA165" s="115">
        <f t="shared" si="122"/>
        <v>2500</v>
      </c>
      <c r="BB165" s="115">
        <f t="shared" si="122"/>
        <v>2500</v>
      </c>
      <c r="BC165" s="115">
        <f t="shared" si="122"/>
        <v>2500</v>
      </c>
      <c r="BD165" s="115">
        <f t="shared" si="122"/>
        <v>2500</v>
      </c>
      <c r="BE165" s="115">
        <f t="shared" si="122"/>
        <v>2500</v>
      </c>
      <c r="BF165" s="115">
        <f t="shared" si="122"/>
        <v>2500</v>
      </c>
      <c r="BG165" s="115">
        <f t="shared" si="122"/>
        <v>2500</v>
      </c>
      <c r="BH165" s="115">
        <f t="shared" si="122"/>
        <v>2500</v>
      </c>
      <c r="BI165" s="115">
        <f t="shared" si="122"/>
        <v>2500</v>
      </c>
      <c r="BJ165" s="115">
        <f t="shared" si="122"/>
        <v>2500</v>
      </c>
      <c r="BK165" s="115">
        <f t="shared" si="122"/>
        <v>2500</v>
      </c>
      <c r="BL165" s="115">
        <f t="shared" si="122"/>
        <v>2500</v>
      </c>
      <c r="BM165" s="115">
        <f t="shared" si="122"/>
        <v>2500</v>
      </c>
      <c r="BN165" s="115">
        <f t="shared" si="122"/>
        <v>2500</v>
      </c>
      <c r="BO165" s="115">
        <f t="shared" si="122"/>
        <v>2500</v>
      </c>
    </row>
    <row r="166" outlineLevel="1">
      <c r="A166" s="66"/>
      <c r="B166" s="118" t="s">
        <v>115</v>
      </c>
      <c r="C166" s="131">
        <v>2500.0</v>
      </c>
      <c r="D166" s="66"/>
      <c r="E166" s="66"/>
      <c r="F166" s="115"/>
      <c r="G166" s="115"/>
      <c r="H166" s="115">
        <f t="shared" si="117"/>
        <v>2500</v>
      </c>
      <c r="I166" s="115">
        <f t="shared" ref="I166:BO166" si="123">H166</f>
        <v>2500</v>
      </c>
      <c r="J166" s="115">
        <f t="shared" si="123"/>
        <v>2500</v>
      </c>
      <c r="K166" s="115">
        <f t="shared" si="123"/>
        <v>2500</v>
      </c>
      <c r="L166" s="115">
        <f t="shared" si="123"/>
        <v>2500</v>
      </c>
      <c r="M166" s="115">
        <f t="shared" si="123"/>
        <v>2500</v>
      </c>
      <c r="N166" s="115">
        <f t="shared" si="123"/>
        <v>2500</v>
      </c>
      <c r="O166" s="115">
        <f t="shared" si="123"/>
        <v>2500</v>
      </c>
      <c r="P166" s="115">
        <f t="shared" si="123"/>
        <v>2500</v>
      </c>
      <c r="Q166" s="115">
        <f t="shared" si="123"/>
        <v>2500</v>
      </c>
      <c r="R166" s="115">
        <f t="shared" si="123"/>
        <v>2500</v>
      </c>
      <c r="S166" s="115">
        <f t="shared" si="123"/>
        <v>2500</v>
      </c>
      <c r="T166" s="115">
        <f t="shared" si="123"/>
        <v>2500</v>
      </c>
      <c r="U166" s="115">
        <f t="shared" si="123"/>
        <v>2500</v>
      </c>
      <c r="V166" s="115">
        <f t="shared" si="123"/>
        <v>2500</v>
      </c>
      <c r="W166" s="115">
        <f t="shared" si="123"/>
        <v>2500</v>
      </c>
      <c r="X166" s="115">
        <f t="shared" si="123"/>
        <v>2500</v>
      </c>
      <c r="Y166" s="115">
        <f t="shared" si="123"/>
        <v>2500</v>
      </c>
      <c r="Z166" s="115">
        <f t="shared" si="123"/>
        <v>2500</v>
      </c>
      <c r="AA166" s="115">
        <f t="shared" si="123"/>
        <v>2500</v>
      </c>
      <c r="AB166" s="115">
        <f t="shared" si="123"/>
        <v>2500</v>
      </c>
      <c r="AC166" s="115">
        <f t="shared" si="123"/>
        <v>2500</v>
      </c>
      <c r="AD166" s="115">
        <f t="shared" si="123"/>
        <v>2500</v>
      </c>
      <c r="AE166" s="115">
        <f t="shared" si="123"/>
        <v>2500</v>
      </c>
      <c r="AF166" s="115">
        <f t="shared" si="123"/>
        <v>2500</v>
      </c>
      <c r="AG166" s="115">
        <f t="shared" si="123"/>
        <v>2500</v>
      </c>
      <c r="AH166" s="115">
        <f t="shared" si="123"/>
        <v>2500</v>
      </c>
      <c r="AI166" s="115">
        <f t="shared" si="123"/>
        <v>2500</v>
      </c>
      <c r="AJ166" s="115">
        <f t="shared" si="123"/>
        <v>2500</v>
      </c>
      <c r="AK166" s="115">
        <f t="shared" si="123"/>
        <v>2500</v>
      </c>
      <c r="AL166" s="115">
        <f t="shared" si="123"/>
        <v>2500</v>
      </c>
      <c r="AM166" s="115">
        <f t="shared" si="123"/>
        <v>2500</v>
      </c>
      <c r="AN166" s="115">
        <f t="shared" si="123"/>
        <v>2500</v>
      </c>
      <c r="AO166" s="115">
        <f t="shared" si="123"/>
        <v>2500</v>
      </c>
      <c r="AP166" s="115">
        <f t="shared" si="123"/>
        <v>2500</v>
      </c>
      <c r="AQ166" s="115">
        <f t="shared" si="123"/>
        <v>2500</v>
      </c>
      <c r="AR166" s="115">
        <f t="shared" si="123"/>
        <v>2500</v>
      </c>
      <c r="AS166" s="115">
        <f t="shared" si="123"/>
        <v>2500</v>
      </c>
      <c r="AT166" s="115">
        <f t="shared" si="123"/>
        <v>2500</v>
      </c>
      <c r="AU166" s="115">
        <f t="shared" si="123"/>
        <v>2500</v>
      </c>
      <c r="AV166" s="115">
        <f t="shared" si="123"/>
        <v>2500</v>
      </c>
      <c r="AW166" s="115">
        <f t="shared" si="123"/>
        <v>2500</v>
      </c>
      <c r="AX166" s="115">
        <f t="shared" si="123"/>
        <v>2500</v>
      </c>
      <c r="AY166" s="115">
        <f t="shared" si="123"/>
        <v>2500</v>
      </c>
      <c r="AZ166" s="115">
        <f t="shared" si="123"/>
        <v>2500</v>
      </c>
      <c r="BA166" s="115">
        <f t="shared" si="123"/>
        <v>2500</v>
      </c>
      <c r="BB166" s="115">
        <f t="shared" si="123"/>
        <v>2500</v>
      </c>
      <c r="BC166" s="115">
        <f t="shared" si="123"/>
        <v>2500</v>
      </c>
      <c r="BD166" s="115">
        <f t="shared" si="123"/>
        <v>2500</v>
      </c>
      <c r="BE166" s="115">
        <f t="shared" si="123"/>
        <v>2500</v>
      </c>
      <c r="BF166" s="115">
        <f t="shared" si="123"/>
        <v>2500</v>
      </c>
      <c r="BG166" s="115">
        <f t="shared" si="123"/>
        <v>2500</v>
      </c>
      <c r="BH166" s="115">
        <f t="shared" si="123"/>
        <v>2500</v>
      </c>
      <c r="BI166" s="115">
        <f t="shared" si="123"/>
        <v>2500</v>
      </c>
      <c r="BJ166" s="115">
        <f t="shared" si="123"/>
        <v>2500</v>
      </c>
      <c r="BK166" s="115">
        <f t="shared" si="123"/>
        <v>2500</v>
      </c>
      <c r="BL166" s="115">
        <f t="shared" si="123"/>
        <v>2500</v>
      </c>
      <c r="BM166" s="115">
        <f t="shared" si="123"/>
        <v>2500</v>
      </c>
      <c r="BN166" s="115">
        <f t="shared" si="123"/>
        <v>2500</v>
      </c>
      <c r="BO166" s="115">
        <f t="shared" si="123"/>
        <v>2500</v>
      </c>
    </row>
    <row r="167" outlineLevel="1">
      <c r="A167" s="66"/>
      <c r="B167" s="133" t="s">
        <v>116</v>
      </c>
      <c r="C167" s="134">
        <v>2500.0</v>
      </c>
      <c r="D167" s="135"/>
      <c r="E167" s="135"/>
      <c r="F167" s="127"/>
      <c r="G167" s="127"/>
      <c r="H167" s="127">
        <f t="shared" si="117"/>
        <v>2500</v>
      </c>
      <c r="I167" s="127">
        <f t="shared" ref="I167:BO167" si="124">H167</f>
        <v>2500</v>
      </c>
      <c r="J167" s="127">
        <f t="shared" si="124"/>
        <v>2500</v>
      </c>
      <c r="K167" s="127">
        <f t="shared" si="124"/>
        <v>2500</v>
      </c>
      <c r="L167" s="127">
        <f t="shared" si="124"/>
        <v>2500</v>
      </c>
      <c r="M167" s="127">
        <f t="shared" si="124"/>
        <v>2500</v>
      </c>
      <c r="N167" s="127">
        <f t="shared" si="124"/>
        <v>2500</v>
      </c>
      <c r="O167" s="127">
        <f t="shared" si="124"/>
        <v>2500</v>
      </c>
      <c r="P167" s="127">
        <f t="shared" si="124"/>
        <v>2500</v>
      </c>
      <c r="Q167" s="127">
        <f t="shared" si="124"/>
        <v>2500</v>
      </c>
      <c r="R167" s="127">
        <f t="shared" si="124"/>
        <v>2500</v>
      </c>
      <c r="S167" s="127">
        <f t="shared" si="124"/>
        <v>2500</v>
      </c>
      <c r="T167" s="127">
        <f t="shared" si="124"/>
        <v>2500</v>
      </c>
      <c r="U167" s="127">
        <f t="shared" si="124"/>
        <v>2500</v>
      </c>
      <c r="V167" s="127">
        <f t="shared" si="124"/>
        <v>2500</v>
      </c>
      <c r="W167" s="127">
        <f t="shared" si="124"/>
        <v>2500</v>
      </c>
      <c r="X167" s="127">
        <f t="shared" si="124"/>
        <v>2500</v>
      </c>
      <c r="Y167" s="127">
        <f t="shared" si="124"/>
        <v>2500</v>
      </c>
      <c r="Z167" s="127">
        <f t="shared" si="124"/>
        <v>2500</v>
      </c>
      <c r="AA167" s="127">
        <f t="shared" si="124"/>
        <v>2500</v>
      </c>
      <c r="AB167" s="127">
        <f t="shared" si="124"/>
        <v>2500</v>
      </c>
      <c r="AC167" s="127">
        <f t="shared" si="124"/>
        <v>2500</v>
      </c>
      <c r="AD167" s="127">
        <f t="shared" si="124"/>
        <v>2500</v>
      </c>
      <c r="AE167" s="127">
        <f t="shared" si="124"/>
        <v>2500</v>
      </c>
      <c r="AF167" s="127">
        <f t="shared" si="124"/>
        <v>2500</v>
      </c>
      <c r="AG167" s="127">
        <f t="shared" si="124"/>
        <v>2500</v>
      </c>
      <c r="AH167" s="127">
        <f t="shared" si="124"/>
        <v>2500</v>
      </c>
      <c r="AI167" s="127">
        <f t="shared" si="124"/>
        <v>2500</v>
      </c>
      <c r="AJ167" s="127">
        <f t="shared" si="124"/>
        <v>2500</v>
      </c>
      <c r="AK167" s="127">
        <f t="shared" si="124"/>
        <v>2500</v>
      </c>
      <c r="AL167" s="127">
        <f t="shared" si="124"/>
        <v>2500</v>
      </c>
      <c r="AM167" s="127">
        <f t="shared" si="124"/>
        <v>2500</v>
      </c>
      <c r="AN167" s="127">
        <f t="shared" si="124"/>
        <v>2500</v>
      </c>
      <c r="AO167" s="127">
        <f t="shared" si="124"/>
        <v>2500</v>
      </c>
      <c r="AP167" s="127">
        <f t="shared" si="124"/>
        <v>2500</v>
      </c>
      <c r="AQ167" s="127">
        <f t="shared" si="124"/>
        <v>2500</v>
      </c>
      <c r="AR167" s="127">
        <f t="shared" si="124"/>
        <v>2500</v>
      </c>
      <c r="AS167" s="127">
        <f t="shared" si="124"/>
        <v>2500</v>
      </c>
      <c r="AT167" s="127">
        <f t="shared" si="124"/>
        <v>2500</v>
      </c>
      <c r="AU167" s="127">
        <f t="shared" si="124"/>
        <v>2500</v>
      </c>
      <c r="AV167" s="127">
        <f t="shared" si="124"/>
        <v>2500</v>
      </c>
      <c r="AW167" s="127">
        <f t="shared" si="124"/>
        <v>2500</v>
      </c>
      <c r="AX167" s="127">
        <f t="shared" si="124"/>
        <v>2500</v>
      </c>
      <c r="AY167" s="127">
        <f t="shared" si="124"/>
        <v>2500</v>
      </c>
      <c r="AZ167" s="127">
        <f t="shared" si="124"/>
        <v>2500</v>
      </c>
      <c r="BA167" s="127">
        <f t="shared" si="124"/>
        <v>2500</v>
      </c>
      <c r="BB167" s="127">
        <f t="shared" si="124"/>
        <v>2500</v>
      </c>
      <c r="BC167" s="127">
        <f t="shared" si="124"/>
        <v>2500</v>
      </c>
      <c r="BD167" s="127">
        <f t="shared" si="124"/>
        <v>2500</v>
      </c>
      <c r="BE167" s="127">
        <f t="shared" si="124"/>
        <v>2500</v>
      </c>
      <c r="BF167" s="127">
        <f t="shared" si="124"/>
        <v>2500</v>
      </c>
      <c r="BG167" s="127">
        <f t="shared" si="124"/>
        <v>2500</v>
      </c>
      <c r="BH167" s="127">
        <f t="shared" si="124"/>
        <v>2500</v>
      </c>
      <c r="BI167" s="127">
        <f t="shared" si="124"/>
        <v>2500</v>
      </c>
      <c r="BJ167" s="127">
        <f t="shared" si="124"/>
        <v>2500</v>
      </c>
      <c r="BK167" s="127">
        <f t="shared" si="124"/>
        <v>2500</v>
      </c>
      <c r="BL167" s="127">
        <f t="shared" si="124"/>
        <v>2500</v>
      </c>
      <c r="BM167" s="127">
        <f t="shared" si="124"/>
        <v>2500</v>
      </c>
      <c r="BN167" s="127">
        <f t="shared" si="124"/>
        <v>2500</v>
      </c>
      <c r="BO167" s="127">
        <f t="shared" si="124"/>
        <v>2500</v>
      </c>
    </row>
    <row r="168" outlineLevel="1">
      <c r="A168" s="136"/>
      <c r="B168" s="137" t="s">
        <v>107</v>
      </c>
      <c r="C168" s="136"/>
      <c r="D168" s="136"/>
      <c r="E168" s="136"/>
      <c r="F168" s="136"/>
      <c r="G168" s="136"/>
      <c r="H168" s="138">
        <f t="shared" ref="H168:BO168" si="125">sum(H160:H167)</f>
        <v>20000</v>
      </c>
      <c r="I168" s="138">
        <f t="shared" si="125"/>
        <v>20000</v>
      </c>
      <c r="J168" s="138">
        <f t="shared" si="125"/>
        <v>20000</v>
      </c>
      <c r="K168" s="138">
        <f t="shared" si="125"/>
        <v>20000</v>
      </c>
      <c r="L168" s="138">
        <f t="shared" si="125"/>
        <v>20000</v>
      </c>
      <c r="M168" s="138">
        <f t="shared" si="125"/>
        <v>20000</v>
      </c>
      <c r="N168" s="138">
        <f t="shared" si="125"/>
        <v>20000</v>
      </c>
      <c r="O168" s="138">
        <f t="shared" si="125"/>
        <v>20000</v>
      </c>
      <c r="P168" s="138">
        <f t="shared" si="125"/>
        <v>20000</v>
      </c>
      <c r="Q168" s="138">
        <f t="shared" si="125"/>
        <v>20000</v>
      </c>
      <c r="R168" s="138">
        <f t="shared" si="125"/>
        <v>20000</v>
      </c>
      <c r="S168" s="138">
        <f t="shared" si="125"/>
        <v>20000</v>
      </c>
      <c r="T168" s="138">
        <f t="shared" si="125"/>
        <v>20000</v>
      </c>
      <c r="U168" s="138">
        <f t="shared" si="125"/>
        <v>20000</v>
      </c>
      <c r="V168" s="138">
        <f t="shared" si="125"/>
        <v>20000</v>
      </c>
      <c r="W168" s="138">
        <f t="shared" si="125"/>
        <v>20000</v>
      </c>
      <c r="X168" s="138">
        <f t="shared" si="125"/>
        <v>20000</v>
      </c>
      <c r="Y168" s="138">
        <f t="shared" si="125"/>
        <v>20000</v>
      </c>
      <c r="Z168" s="138">
        <f t="shared" si="125"/>
        <v>20000</v>
      </c>
      <c r="AA168" s="138">
        <f t="shared" si="125"/>
        <v>20000</v>
      </c>
      <c r="AB168" s="138">
        <f t="shared" si="125"/>
        <v>20000</v>
      </c>
      <c r="AC168" s="138">
        <f t="shared" si="125"/>
        <v>20000</v>
      </c>
      <c r="AD168" s="138">
        <f t="shared" si="125"/>
        <v>20000</v>
      </c>
      <c r="AE168" s="138">
        <f t="shared" si="125"/>
        <v>20000</v>
      </c>
      <c r="AF168" s="138">
        <f t="shared" si="125"/>
        <v>20000</v>
      </c>
      <c r="AG168" s="138">
        <f t="shared" si="125"/>
        <v>20000</v>
      </c>
      <c r="AH168" s="138">
        <f t="shared" si="125"/>
        <v>20000</v>
      </c>
      <c r="AI168" s="138">
        <f t="shared" si="125"/>
        <v>20000</v>
      </c>
      <c r="AJ168" s="138">
        <f t="shared" si="125"/>
        <v>20000</v>
      </c>
      <c r="AK168" s="138">
        <f t="shared" si="125"/>
        <v>20000</v>
      </c>
      <c r="AL168" s="138">
        <f t="shared" si="125"/>
        <v>20000</v>
      </c>
      <c r="AM168" s="138">
        <f t="shared" si="125"/>
        <v>20000</v>
      </c>
      <c r="AN168" s="138">
        <f t="shared" si="125"/>
        <v>20000</v>
      </c>
      <c r="AO168" s="138">
        <f t="shared" si="125"/>
        <v>20000</v>
      </c>
      <c r="AP168" s="138">
        <f t="shared" si="125"/>
        <v>20000</v>
      </c>
      <c r="AQ168" s="138">
        <f t="shared" si="125"/>
        <v>20000</v>
      </c>
      <c r="AR168" s="138">
        <f t="shared" si="125"/>
        <v>20000</v>
      </c>
      <c r="AS168" s="138">
        <f t="shared" si="125"/>
        <v>20000</v>
      </c>
      <c r="AT168" s="138">
        <f t="shared" si="125"/>
        <v>20000</v>
      </c>
      <c r="AU168" s="138">
        <f t="shared" si="125"/>
        <v>20000</v>
      </c>
      <c r="AV168" s="138">
        <f t="shared" si="125"/>
        <v>20000</v>
      </c>
      <c r="AW168" s="138">
        <f t="shared" si="125"/>
        <v>20000</v>
      </c>
      <c r="AX168" s="138">
        <f t="shared" si="125"/>
        <v>20000</v>
      </c>
      <c r="AY168" s="138">
        <f t="shared" si="125"/>
        <v>20000</v>
      </c>
      <c r="AZ168" s="138">
        <f t="shared" si="125"/>
        <v>20000</v>
      </c>
      <c r="BA168" s="138">
        <f t="shared" si="125"/>
        <v>20000</v>
      </c>
      <c r="BB168" s="138">
        <f t="shared" si="125"/>
        <v>20000</v>
      </c>
      <c r="BC168" s="138">
        <f t="shared" si="125"/>
        <v>20000</v>
      </c>
      <c r="BD168" s="138">
        <f t="shared" si="125"/>
        <v>20000</v>
      </c>
      <c r="BE168" s="138">
        <f t="shared" si="125"/>
        <v>20000</v>
      </c>
      <c r="BF168" s="138">
        <f t="shared" si="125"/>
        <v>20000</v>
      </c>
      <c r="BG168" s="138">
        <f t="shared" si="125"/>
        <v>20000</v>
      </c>
      <c r="BH168" s="138">
        <f t="shared" si="125"/>
        <v>20000</v>
      </c>
      <c r="BI168" s="138">
        <f t="shared" si="125"/>
        <v>20000</v>
      </c>
      <c r="BJ168" s="138">
        <f t="shared" si="125"/>
        <v>20000</v>
      </c>
      <c r="BK168" s="138">
        <f t="shared" si="125"/>
        <v>20000</v>
      </c>
      <c r="BL168" s="138">
        <f t="shared" si="125"/>
        <v>20000</v>
      </c>
      <c r="BM168" s="138">
        <f t="shared" si="125"/>
        <v>20000</v>
      </c>
      <c r="BN168" s="138">
        <f t="shared" si="125"/>
        <v>20000</v>
      </c>
      <c r="BO168" s="138">
        <f t="shared" si="125"/>
        <v>20000</v>
      </c>
    </row>
    <row r="169" outlineLevel="1">
      <c r="A169" s="47"/>
      <c r="B169" s="47"/>
      <c r="C169" s="47"/>
      <c r="D169" s="66"/>
      <c r="E169" s="66"/>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row>
    <row r="170" outlineLevel="1">
      <c r="A170" s="47"/>
      <c r="B170" s="139" t="s">
        <v>117</v>
      </c>
      <c r="C170" s="117" t="s">
        <v>98</v>
      </c>
      <c r="D170" s="140"/>
      <c r="E170" s="66"/>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row>
    <row r="171" outlineLevel="1">
      <c r="A171" s="47"/>
      <c r="B171" s="122" t="s">
        <v>118</v>
      </c>
      <c r="C171" s="123">
        <v>0.08</v>
      </c>
      <c r="D171" s="66"/>
      <c r="E171" s="66"/>
      <c r="F171" s="115"/>
      <c r="G171" s="115"/>
      <c r="H171" s="115">
        <f>Financials!F$8*$C171</f>
        <v>963</v>
      </c>
      <c r="I171" s="115">
        <f>Financials!G$8*$C171</f>
        <v>1922.4205</v>
      </c>
      <c r="J171" s="115">
        <f>Financials!H$8*$C171</f>
        <v>2856.645872</v>
      </c>
      <c r="K171" s="115">
        <f>Financials!I$8*$C171</f>
        <v>3767.684858</v>
      </c>
      <c r="L171" s="115">
        <f>Financials!J$8*$C171</f>
        <v>4657.841562</v>
      </c>
      <c r="M171" s="115">
        <f>Financials!K$8*$C171</f>
        <v>5529.367618</v>
      </c>
      <c r="N171" s="115">
        <f>Financials!L$8*$C171</f>
        <v>6384.462601</v>
      </c>
      <c r="O171" s="115">
        <f>Financials!M$8*$C171</f>
        <v>7225.279578</v>
      </c>
      <c r="P171" s="115">
        <f>Financials!N$8*$C171</f>
        <v>8053.930599</v>
      </c>
      <c r="Q171" s="115">
        <f>Financials!O$8*$C171</f>
        <v>8872.492087</v>
      </c>
      <c r="R171" s="115">
        <f>Financials!P$8*$C171</f>
        <v>9683.010111</v>
      </c>
      <c r="S171" s="115">
        <f>Financials!Q$8*$C171</f>
        <v>10487.50558</v>
      </c>
      <c r="T171" s="115">
        <f>Financials!R$8*$C171</f>
        <v>11287.97936</v>
      </c>
      <c r="U171" s="115">
        <f>Financials!S$8*$C171</f>
        <v>12086.41733</v>
      </c>
      <c r="V171" s="115">
        <f>Financials!T$8*$C171</f>
        <v>12884.79537</v>
      </c>
      <c r="W171" s="115">
        <f>Financials!U$8*$C171</f>
        <v>13685.08432</v>
      </c>
      <c r="X171" s="115">
        <f>Financials!V$8*$C171</f>
        <v>14489.25497</v>
      </c>
      <c r="Y171" s="115">
        <f>Financials!W$8*$C171</f>
        <v>15010.98604</v>
      </c>
      <c r="Z171" s="115">
        <f>Financials!X$8*$C171</f>
        <v>15506.63056</v>
      </c>
      <c r="AA171" s="115">
        <f>Financials!Y$8*$C171</f>
        <v>15977.49285</v>
      </c>
      <c r="AB171" s="115">
        <f>Financials!Z$8*$C171</f>
        <v>16424.81202</v>
      </c>
      <c r="AC171" s="115">
        <f>Financials!AA$8*$C171</f>
        <v>16849.76524</v>
      </c>
      <c r="AD171" s="115">
        <f>Financials!AB$8*$C171</f>
        <v>17253.4708</v>
      </c>
      <c r="AE171" s="115">
        <f>Financials!AC$8*$C171</f>
        <v>17636.99107</v>
      </c>
      <c r="AF171" s="115">
        <f>Financials!AD$8*$C171</f>
        <v>18001.33534</v>
      </c>
      <c r="AG171" s="115">
        <f>Financials!AE$8*$C171</f>
        <v>18347.46239</v>
      </c>
      <c r="AH171" s="115">
        <f>Financials!AF$8*$C171</f>
        <v>18676.28309</v>
      </c>
      <c r="AI171" s="115">
        <f>Financials!AG$8*$C171</f>
        <v>18988.66275</v>
      </c>
      <c r="AJ171" s="115">
        <f>Financials!AH$8*$C171</f>
        <v>19285.42343</v>
      </c>
      <c r="AK171" s="115">
        <f>Financials!AI$8*$C171</f>
        <v>19567.34608</v>
      </c>
      <c r="AL171" s="115">
        <f>Financials!AJ$8*$C171</f>
        <v>19835.1726</v>
      </c>
      <c r="AM171" s="115">
        <f>Financials!AK$8*$C171</f>
        <v>20089.60778</v>
      </c>
      <c r="AN171" s="115">
        <f>Financials!AL$8*$C171</f>
        <v>20331.32121</v>
      </c>
      <c r="AO171" s="115">
        <f>Financials!AM$8*$C171</f>
        <v>20560.94897</v>
      </c>
      <c r="AP171" s="115">
        <f>Financials!AN$8*$C171</f>
        <v>20779.09534</v>
      </c>
      <c r="AQ171" s="115">
        <f>Financials!AO$8*$C171</f>
        <v>20986.33439</v>
      </c>
      <c r="AR171" s="115">
        <f>Financials!AP$8*$C171</f>
        <v>21183.21149</v>
      </c>
      <c r="AS171" s="115">
        <f>Financials!AQ$8*$C171</f>
        <v>21370.24473</v>
      </c>
      <c r="AT171" s="115">
        <f>Financials!AR$8*$C171</f>
        <v>21547.92632</v>
      </c>
      <c r="AU171" s="115">
        <f>Financials!AS$8*$C171</f>
        <v>21716.72382</v>
      </c>
      <c r="AV171" s="115">
        <f>Financials!AT$8*$C171</f>
        <v>21877.08145</v>
      </c>
      <c r="AW171" s="115">
        <f>Financials!AU$8*$C171</f>
        <v>22029.42119</v>
      </c>
      <c r="AX171" s="115">
        <f>Financials!AV$8*$C171</f>
        <v>22174.14395</v>
      </c>
      <c r="AY171" s="115">
        <f>Financials!AW$8*$C171</f>
        <v>22311.63057</v>
      </c>
      <c r="AZ171" s="115">
        <f>Financials!AX$8*$C171</f>
        <v>22442.24286</v>
      </c>
      <c r="BA171" s="115">
        <f>Financials!AY$8*$C171</f>
        <v>22566.32454</v>
      </c>
      <c r="BB171" s="115">
        <f>Financials!AZ$8*$C171</f>
        <v>22684.20213</v>
      </c>
      <c r="BC171" s="115">
        <f>Financials!BA$8*$C171</f>
        <v>22796.18584</v>
      </c>
      <c r="BD171" s="115">
        <f>Financials!BB$8*$C171</f>
        <v>22902.57037</v>
      </c>
      <c r="BE171" s="115">
        <f>Financials!BC$8*$C171</f>
        <v>23003.63567</v>
      </c>
      <c r="BF171" s="115">
        <f>Financials!BD$8*$C171</f>
        <v>23099.6477</v>
      </c>
      <c r="BG171" s="115">
        <f>Financials!BE$8*$C171</f>
        <v>23190.85913</v>
      </c>
      <c r="BH171" s="115">
        <f>Financials!BF$8*$C171</f>
        <v>23277.51</v>
      </c>
      <c r="BI171" s="115">
        <f>Financials!BG$8*$C171</f>
        <v>23359.82832</v>
      </c>
      <c r="BJ171" s="115">
        <f>Financials!BH$8*$C171</f>
        <v>23438.03072</v>
      </c>
      <c r="BK171" s="115">
        <f>Financials!BI$8*$C171</f>
        <v>23512.323</v>
      </c>
      <c r="BL171" s="115">
        <f>Financials!BJ$8*$C171</f>
        <v>23582.90067</v>
      </c>
      <c r="BM171" s="115">
        <f>Financials!BK$8*$C171</f>
        <v>23649.94945</v>
      </c>
      <c r="BN171" s="115">
        <f>Financials!BL$8*$C171</f>
        <v>23713.6458</v>
      </c>
      <c r="BO171" s="115">
        <f>Financials!BM$8*$C171</f>
        <v>23774.15733</v>
      </c>
    </row>
    <row r="172" outlineLevel="1">
      <c r="A172" s="47"/>
      <c r="B172" s="125" t="s">
        <v>119</v>
      </c>
      <c r="C172" s="134">
        <v>10000.0</v>
      </c>
      <c r="D172" s="135"/>
      <c r="E172" s="135"/>
      <c r="F172" s="127"/>
      <c r="G172" s="127"/>
      <c r="H172" s="127">
        <f>C172</f>
        <v>10000</v>
      </c>
      <c r="I172" s="127">
        <f t="shared" ref="I172:BO172" si="126">H172</f>
        <v>10000</v>
      </c>
      <c r="J172" s="127">
        <f t="shared" si="126"/>
        <v>10000</v>
      </c>
      <c r="K172" s="127">
        <f t="shared" si="126"/>
        <v>10000</v>
      </c>
      <c r="L172" s="127">
        <f t="shared" si="126"/>
        <v>10000</v>
      </c>
      <c r="M172" s="127">
        <f t="shared" si="126"/>
        <v>10000</v>
      </c>
      <c r="N172" s="127">
        <f t="shared" si="126"/>
        <v>10000</v>
      </c>
      <c r="O172" s="127">
        <f t="shared" si="126"/>
        <v>10000</v>
      </c>
      <c r="P172" s="127">
        <f t="shared" si="126"/>
        <v>10000</v>
      </c>
      <c r="Q172" s="127">
        <f t="shared" si="126"/>
        <v>10000</v>
      </c>
      <c r="R172" s="127">
        <f t="shared" si="126"/>
        <v>10000</v>
      </c>
      <c r="S172" s="127">
        <f t="shared" si="126"/>
        <v>10000</v>
      </c>
      <c r="T172" s="127">
        <f t="shared" si="126"/>
        <v>10000</v>
      </c>
      <c r="U172" s="127">
        <f t="shared" si="126"/>
        <v>10000</v>
      </c>
      <c r="V172" s="127">
        <f t="shared" si="126"/>
        <v>10000</v>
      </c>
      <c r="W172" s="127">
        <f t="shared" si="126"/>
        <v>10000</v>
      </c>
      <c r="X172" s="127">
        <f t="shared" si="126"/>
        <v>10000</v>
      </c>
      <c r="Y172" s="127">
        <f t="shared" si="126"/>
        <v>10000</v>
      </c>
      <c r="Z172" s="127">
        <f t="shared" si="126"/>
        <v>10000</v>
      </c>
      <c r="AA172" s="127">
        <f t="shared" si="126"/>
        <v>10000</v>
      </c>
      <c r="AB172" s="127">
        <f t="shared" si="126"/>
        <v>10000</v>
      </c>
      <c r="AC172" s="127">
        <f t="shared" si="126"/>
        <v>10000</v>
      </c>
      <c r="AD172" s="127">
        <f t="shared" si="126"/>
        <v>10000</v>
      </c>
      <c r="AE172" s="127">
        <f t="shared" si="126"/>
        <v>10000</v>
      </c>
      <c r="AF172" s="127">
        <f t="shared" si="126"/>
        <v>10000</v>
      </c>
      <c r="AG172" s="127">
        <f t="shared" si="126"/>
        <v>10000</v>
      </c>
      <c r="AH172" s="127">
        <f t="shared" si="126"/>
        <v>10000</v>
      </c>
      <c r="AI172" s="127">
        <f t="shared" si="126"/>
        <v>10000</v>
      </c>
      <c r="AJ172" s="127">
        <f t="shared" si="126"/>
        <v>10000</v>
      </c>
      <c r="AK172" s="127">
        <f t="shared" si="126"/>
        <v>10000</v>
      </c>
      <c r="AL172" s="127">
        <f t="shared" si="126"/>
        <v>10000</v>
      </c>
      <c r="AM172" s="127">
        <f t="shared" si="126"/>
        <v>10000</v>
      </c>
      <c r="AN172" s="127">
        <f t="shared" si="126"/>
        <v>10000</v>
      </c>
      <c r="AO172" s="127">
        <f t="shared" si="126"/>
        <v>10000</v>
      </c>
      <c r="AP172" s="127">
        <f t="shared" si="126"/>
        <v>10000</v>
      </c>
      <c r="AQ172" s="127">
        <f t="shared" si="126"/>
        <v>10000</v>
      </c>
      <c r="AR172" s="127">
        <f t="shared" si="126"/>
        <v>10000</v>
      </c>
      <c r="AS172" s="127">
        <f t="shared" si="126"/>
        <v>10000</v>
      </c>
      <c r="AT172" s="127">
        <f t="shared" si="126"/>
        <v>10000</v>
      </c>
      <c r="AU172" s="127">
        <f t="shared" si="126"/>
        <v>10000</v>
      </c>
      <c r="AV172" s="127">
        <f t="shared" si="126"/>
        <v>10000</v>
      </c>
      <c r="AW172" s="127">
        <f t="shared" si="126"/>
        <v>10000</v>
      </c>
      <c r="AX172" s="127">
        <f t="shared" si="126"/>
        <v>10000</v>
      </c>
      <c r="AY172" s="127">
        <f t="shared" si="126"/>
        <v>10000</v>
      </c>
      <c r="AZ172" s="127">
        <f t="shared" si="126"/>
        <v>10000</v>
      </c>
      <c r="BA172" s="127">
        <f t="shared" si="126"/>
        <v>10000</v>
      </c>
      <c r="BB172" s="127">
        <f t="shared" si="126"/>
        <v>10000</v>
      </c>
      <c r="BC172" s="127">
        <f t="shared" si="126"/>
        <v>10000</v>
      </c>
      <c r="BD172" s="127">
        <f t="shared" si="126"/>
        <v>10000</v>
      </c>
      <c r="BE172" s="127">
        <f t="shared" si="126"/>
        <v>10000</v>
      </c>
      <c r="BF172" s="127">
        <f t="shared" si="126"/>
        <v>10000</v>
      </c>
      <c r="BG172" s="127">
        <f t="shared" si="126"/>
        <v>10000</v>
      </c>
      <c r="BH172" s="127">
        <f t="shared" si="126"/>
        <v>10000</v>
      </c>
      <c r="BI172" s="127">
        <f t="shared" si="126"/>
        <v>10000</v>
      </c>
      <c r="BJ172" s="127">
        <f t="shared" si="126"/>
        <v>10000</v>
      </c>
      <c r="BK172" s="127">
        <f t="shared" si="126"/>
        <v>10000</v>
      </c>
      <c r="BL172" s="127">
        <f t="shared" si="126"/>
        <v>10000</v>
      </c>
      <c r="BM172" s="127">
        <f t="shared" si="126"/>
        <v>10000</v>
      </c>
      <c r="BN172" s="127">
        <f t="shared" si="126"/>
        <v>10000</v>
      </c>
      <c r="BO172" s="127">
        <f t="shared" si="126"/>
        <v>10000</v>
      </c>
    </row>
    <row r="173" outlineLevel="1">
      <c r="A173" s="136"/>
      <c r="B173" s="141" t="s">
        <v>107</v>
      </c>
      <c r="C173" s="136"/>
      <c r="D173" s="136"/>
      <c r="E173" s="136"/>
      <c r="F173" s="136"/>
      <c r="G173" s="136"/>
      <c r="H173" s="138">
        <f t="shared" ref="H173:BO173" si="127">sum(H171:H172)</f>
        <v>10963</v>
      </c>
      <c r="I173" s="138">
        <f t="shared" si="127"/>
        <v>11922.4205</v>
      </c>
      <c r="J173" s="138">
        <f t="shared" si="127"/>
        <v>12856.64587</v>
      </c>
      <c r="K173" s="138">
        <f t="shared" si="127"/>
        <v>13767.68486</v>
      </c>
      <c r="L173" s="138">
        <f t="shared" si="127"/>
        <v>14657.84156</v>
      </c>
      <c r="M173" s="138">
        <f t="shared" si="127"/>
        <v>15529.36762</v>
      </c>
      <c r="N173" s="138">
        <f t="shared" si="127"/>
        <v>16384.4626</v>
      </c>
      <c r="O173" s="138">
        <f t="shared" si="127"/>
        <v>17225.27958</v>
      </c>
      <c r="P173" s="138">
        <f t="shared" si="127"/>
        <v>18053.9306</v>
      </c>
      <c r="Q173" s="138">
        <f t="shared" si="127"/>
        <v>18872.49209</v>
      </c>
      <c r="R173" s="138">
        <f t="shared" si="127"/>
        <v>19683.01011</v>
      </c>
      <c r="S173" s="138">
        <f t="shared" si="127"/>
        <v>20487.50558</v>
      </c>
      <c r="T173" s="138">
        <f t="shared" si="127"/>
        <v>21287.97936</v>
      </c>
      <c r="U173" s="138">
        <f t="shared" si="127"/>
        <v>22086.41733</v>
      </c>
      <c r="V173" s="138">
        <f t="shared" si="127"/>
        <v>22884.79537</v>
      </c>
      <c r="W173" s="138">
        <f t="shared" si="127"/>
        <v>23685.08432</v>
      </c>
      <c r="X173" s="138">
        <f t="shared" si="127"/>
        <v>24489.25497</v>
      </c>
      <c r="Y173" s="138">
        <f t="shared" si="127"/>
        <v>25010.98604</v>
      </c>
      <c r="Z173" s="138">
        <f t="shared" si="127"/>
        <v>25506.63056</v>
      </c>
      <c r="AA173" s="138">
        <f t="shared" si="127"/>
        <v>25977.49285</v>
      </c>
      <c r="AB173" s="138">
        <f t="shared" si="127"/>
        <v>26424.81202</v>
      </c>
      <c r="AC173" s="138">
        <f t="shared" si="127"/>
        <v>26849.76524</v>
      </c>
      <c r="AD173" s="138">
        <f t="shared" si="127"/>
        <v>27253.4708</v>
      </c>
      <c r="AE173" s="138">
        <f t="shared" si="127"/>
        <v>27636.99107</v>
      </c>
      <c r="AF173" s="138">
        <f t="shared" si="127"/>
        <v>28001.33534</v>
      </c>
      <c r="AG173" s="138">
        <f t="shared" si="127"/>
        <v>28347.46239</v>
      </c>
      <c r="AH173" s="138">
        <f t="shared" si="127"/>
        <v>28676.28309</v>
      </c>
      <c r="AI173" s="138">
        <f t="shared" si="127"/>
        <v>28988.66275</v>
      </c>
      <c r="AJ173" s="138">
        <f t="shared" si="127"/>
        <v>29285.42343</v>
      </c>
      <c r="AK173" s="138">
        <f t="shared" si="127"/>
        <v>29567.34608</v>
      </c>
      <c r="AL173" s="138">
        <f t="shared" si="127"/>
        <v>29835.1726</v>
      </c>
      <c r="AM173" s="138">
        <f t="shared" si="127"/>
        <v>30089.60778</v>
      </c>
      <c r="AN173" s="138">
        <f t="shared" si="127"/>
        <v>30331.32121</v>
      </c>
      <c r="AO173" s="138">
        <f t="shared" si="127"/>
        <v>30560.94897</v>
      </c>
      <c r="AP173" s="138">
        <f t="shared" si="127"/>
        <v>30779.09534</v>
      </c>
      <c r="AQ173" s="138">
        <f t="shared" si="127"/>
        <v>30986.33439</v>
      </c>
      <c r="AR173" s="138">
        <f t="shared" si="127"/>
        <v>31183.21149</v>
      </c>
      <c r="AS173" s="138">
        <f t="shared" si="127"/>
        <v>31370.24473</v>
      </c>
      <c r="AT173" s="138">
        <f t="shared" si="127"/>
        <v>31547.92632</v>
      </c>
      <c r="AU173" s="138">
        <f t="shared" si="127"/>
        <v>31716.72382</v>
      </c>
      <c r="AV173" s="138">
        <f t="shared" si="127"/>
        <v>31877.08145</v>
      </c>
      <c r="AW173" s="138">
        <f t="shared" si="127"/>
        <v>32029.42119</v>
      </c>
      <c r="AX173" s="138">
        <f t="shared" si="127"/>
        <v>32174.14395</v>
      </c>
      <c r="AY173" s="138">
        <f t="shared" si="127"/>
        <v>32311.63057</v>
      </c>
      <c r="AZ173" s="138">
        <f t="shared" si="127"/>
        <v>32442.24286</v>
      </c>
      <c r="BA173" s="138">
        <f t="shared" si="127"/>
        <v>32566.32454</v>
      </c>
      <c r="BB173" s="138">
        <f t="shared" si="127"/>
        <v>32684.20213</v>
      </c>
      <c r="BC173" s="138">
        <f t="shared" si="127"/>
        <v>32796.18584</v>
      </c>
      <c r="BD173" s="138">
        <f t="shared" si="127"/>
        <v>32902.57037</v>
      </c>
      <c r="BE173" s="138">
        <f t="shared" si="127"/>
        <v>33003.63567</v>
      </c>
      <c r="BF173" s="138">
        <f t="shared" si="127"/>
        <v>33099.6477</v>
      </c>
      <c r="BG173" s="138">
        <f t="shared" si="127"/>
        <v>33190.85913</v>
      </c>
      <c r="BH173" s="138">
        <f t="shared" si="127"/>
        <v>33277.51</v>
      </c>
      <c r="BI173" s="138">
        <f t="shared" si="127"/>
        <v>33359.82832</v>
      </c>
      <c r="BJ173" s="138">
        <f t="shared" si="127"/>
        <v>33438.03072</v>
      </c>
      <c r="BK173" s="138">
        <f t="shared" si="127"/>
        <v>33512.323</v>
      </c>
      <c r="BL173" s="138">
        <f t="shared" si="127"/>
        <v>33582.90067</v>
      </c>
      <c r="BM173" s="138">
        <f t="shared" si="127"/>
        <v>33649.94945</v>
      </c>
      <c r="BN173" s="138">
        <f t="shared" si="127"/>
        <v>33713.6458</v>
      </c>
      <c r="BO173" s="138">
        <f t="shared" si="127"/>
        <v>33774.15733</v>
      </c>
    </row>
    <row r="174" outlineLevel="1">
      <c r="A174" s="47"/>
      <c r="B174" s="142"/>
      <c r="C174" s="47"/>
      <c r="D174" s="66"/>
      <c r="E174" s="66"/>
      <c r="F174" s="115"/>
      <c r="G174" s="115"/>
      <c r="H174" s="115"/>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row>
    <row r="175" outlineLevel="1">
      <c r="A175" s="47"/>
      <c r="B175" s="139" t="s">
        <v>120</v>
      </c>
      <c r="C175" s="65"/>
      <c r="D175" s="140"/>
      <c r="E175" s="66"/>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row>
    <row r="176" outlineLevel="1">
      <c r="A176" s="47"/>
      <c r="B176" s="122" t="s">
        <v>121</v>
      </c>
      <c r="C176" s="131">
        <v>2000.0</v>
      </c>
      <c r="D176" s="132"/>
      <c r="E176" s="66"/>
      <c r="F176" s="115"/>
      <c r="G176" s="115"/>
      <c r="H176" s="115">
        <f t="shared" ref="H176:H177" si="129">C176</f>
        <v>2000</v>
      </c>
      <c r="I176" s="115">
        <f t="shared" ref="I176:BO176" si="128">H176</f>
        <v>2000</v>
      </c>
      <c r="J176" s="115">
        <f t="shared" si="128"/>
        <v>2000</v>
      </c>
      <c r="K176" s="115">
        <f t="shared" si="128"/>
        <v>2000</v>
      </c>
      <c r="L176" s="115">
        <f t="shared" si="128"/>
        <v>2000</v>
      </c>
      <c r="M176" s="115">
        <f t="shared" si="128"/>
        <v>2000</v>
      </c>
      <c r="N176" s="115">
        <f t="shared" si="128"/>
        <v>2000</v>
      </c>
      <c r="O176" s="115">
        <f t="shared" si="128"/>
        <v>2000</v>
      </c>
      <c r="P176" s="115">
        <f t="shared" si="128"/>
        <v>2000</v>
      </c>
      <c r="Q176" s="115">
        <f t="shared" si="128"/>
        <v>2000</v>
      </c>
      <c r="R176" s="115">
        <f t="shared" si="128"/>
        <v>2000</v>
      </c>
      <c r="S176" s="115">
        <f t="shared" si="128"/>
        <v>2000</v>
      </c>
      <c r="T176" s="115">
        <f t="shared" si="128"/>
        <v>2000</v>
      </c>
      <c r="U176" s="115">
        <f t="shared" si="128"/>
        <v>2000</v>
      </c>
      <c r="V176" s="115">
        <f t="shared" si="128"/>
        <v>2000</v>
      </c>
      <c r="W176" s="115">
        <f t="shared" si="128"/>
        <v>2000</v>
      </c>
      <c r="X176" s="115">
        <f t="shared" si="128"/>
        <v>2000</v>
      </c>
      <c r="Y176" s="115">
        <f t="shared" si="128"/>
        <v>2000</v>
      </c>
      <c r="Z176" s="115">
        <f t="shared" si="128"/>
        <v>2000</v>
      </c>
      <c r="AA176" s="115">
        <f t="shared" si="128"/>
        <v>2000</v>
      </c>
      <c r="AB176" s="115">
        <f t="shared" si="128"/>
        <v>2000</v>
      </c>
      <c r="AC176" s="115">
        <f t="shared" si="128"/>
        <v>2000</v>
      </c>
      <c r="AD176" s="115">
        <f t="shared" si="128"/>
        <v>2000</v>
      </c>
      <c r="AE176" s="115">
        <f t="shared" si="128"/>
        <v>2000</v>
      </c>
      <c r="AF176" s="115">
        <f t="shared" si="128"/>
        <v>2000</v>
      </c>
      <c r="AG176" s="115">
        <f t="shared" si="128"/>
        <v>2000</v>
      </c>
      <c r="AH176" s="115">
        <f t="shared" si="128"/>
        <v>2000</v>
      </c>
      <c r="AI176" s="115">
        <f t="shared" si="128"/>
        <v>2000</v>
      </c>
      <c r="AJ176" s="115">
        <f t="shared" si="128"/>
        <v>2000</v>
      </c>
      <c r="AK176" s="115">
        <f t="shared" si="128"/>
        <v>2000</v>
      </c>
      <c r="AL176" s="115">
        <f t="shared" si="128"/>
        <v>2000</v>
      </c>
      <c r="AM176" s="115">
        <f t="shared" si="128"/>
        <v>2000</v>
      </c>
      <c r="AN176" s="115">
        <f t="shared" si="128"/>
        <v>2000</v>
      </c>
      <c r="AO176" s="115">
        <f t="shared" si="128"/>
        <v>2000</v>
      </c>
      <c r="AP176" s="115">
        <f t="shared" si="128"/>
        <v>2000</v>
      </c>
      <c r="AQ176" s="115">
        <f t="shared" si="128"/>
        <v>2000</v>
      </c>
      <c r="AR176" s="115">
        <f t="shared" si="128"/>
        <v>2000</v>
      </c>
      <c r="AS176" s="115">
        <f t="shared" si="128"/>
        <v>2000</v>
      </c>
      <c r="AT176" s="115">
        <f t="shared" si="128"/>
        <v>2000</v>
      </c>
      <c r="AU176" s="115">
        <f t="shared" si="128"/>
        <v>2000</v>
      </c>
      <c r="AV176" s="115">
        <f t="shared" si="128"/>
        <v>2000</v>
      </c>
      <c r="AW176" s="115">
        <f t="shared" si="128"/>
        <v>2000</v>
      </c>
      <c r="AX176" s="115">
        <f t="shared" si="128"/>
        <v>2000</v>
      </c>
      <c r="AY176" s="115">
        <f t="shared" si="128"/>
        <v>2000</v>
      </c>
      <c r="AZ176" s="115">
        <f t="shared" si="128"/>
        <v>2000</v>
      </c>
      <c r="BA176" s="115">
        <f t="shared" si="128"/>
        <v>2000</v>
      </c>
      <c r="BB176" s="115">
        <f t="shared" si="128"/>
        <v>2000</v>
      </c>
      <c r="BC176" s="115">
        <f t="shared" si="128"/>
        <v>2000</v>
      </c>
      <c r="BD176" s="115">
        <f t="shared" si="128"/>
        <v>2000</v>
      </c>
      <c r="BE176" s="115">
        <f t="shared" si="128"/>
        <v>2000</v>
      </c>
      <c r="BF176" s="115">
        <f t="shared" si="128"/>
        <v>2000</v>
      </c>
      <c r="BG176" s="115">
        <f t="shared" si="128"/>
        <v>2000</v>
      </c>
      <c r="BH176" s="115">
        <f t="shared" si="128"/>
        <v>2000</v>
      </c>
      <c r="BI176" s="115">
        <f t="shared" si="128"/>
        <v>2000</v>
      </c>
      <c r="BJ176" s="115">
        <f t="shared" si="128"/>
        <v>2000</v>
      </c>
      <c r="BK176" s="115">
        <f t="shared" si="128"/>
        <v>2000</v>
      </c>
      <c r="BL176" s="115">
        <f t="shared" si="128"/>
        <v>2000</v>
      </c>
      <c r="BM176" s="115">
        <f t="shared" si="128"/>
        <v>2000</v>
      </c>
      <c r="BN176" s="115">
        <f t="shared" si="128"/>
        <v>2000</v>
      </c>
      <c r="BO176" s="115">
        <f t="shared" si="128"/>
        <v>2000</v>
      </c>
    </row>
    <row r="177" outlineLevel="1">
      <c r="A177" s="47"/>
      <c r="B177" s="122" t="s">
        <v>122</v>
      </c>
      <c r="C177" s="131">
        <v>1000.0</v>
      </c>
      <c r="D177" s="132"/>
      <c r="E177" s="66"/>
      <c r="F177" s="115"/>
      <c r="G177" s="115"/>
      <c r="H177" s="115">
        <f t="shared" si="129"/>
        <v>1000</v>
      </c>
      <c r="I177" s="115">
        <f t="shared" ref="I177:BO177" si="130">H177</f>
        <v>1000</v>
      </c>
      <c r="J177" s="115">
        <f t="shared" si="130"/>
        <v>1000</v>
      </c>
      <c r="K177" s="115">
        <f t="shared" si="130"/>
        <v>1000</v>
      </c>
      <c r="L177" s="115">
        <f t="shared" si="130"/>
        <v>1000</v>
      </c>
      <c r="M177" s="115">
        <f t="shared" si="130"/>
        <v>1000</v>
      </c>
      <c r="N177" s="115">
        <f t="shared" si="130"/>
        <v>1000</v>
      </c>
      <c r="O177" s="115">
        <f t="shared" si="130"/>
        <v>1000</v>
      </c>
      <c r="P177" s="115">
        <f t="shared" si="130"/>
        <v>1000</v>
      </c>
      <c r="Q177" s="115">
        <f t="shared" si="130"/>
        <v>1000</v>
      </c>
      <c r="R177" s="115">
        <f t="shared" si="130"/>
        <v>1000</v>
      </c>
      <c r="S177" s="115">
        <f t="shared" si="130"/>
        <v>1000</v>
      </c>
      <c r="T177" s="115">
        <f t="shared" si="130"/>
        <v>1000</v>
      </c>
      <c r="U177" s="115">
        <f t="shared" si="130"/>
        <v>1000</v>
      </c>
      <c r="V177" s="115">
        <f t="shared" si="130"/>
        <v>1000</v>
      </c>
      <c r="W177" s="115">
        <f t="shared" si="130"/>
        <v>1000</v>
      </c>
      <c r="X177" s="115">
        <f t="shared" si="130"/>
        <v>1000</v>
      </c>
      <c r="Y177" s="115">
        <f t="shared" si="130"/>
        <v>1000</v>
      </c>
      <c r="Z177" s="115">
        <f t="shared" si="130"/>
        <v>1000</v>
      </c>
      <c r="AA177" s="115">
        <f t="shared" si="130"/>
        <v>1000</v>
      </c>
      <c r="AB177" s="115">
        <f t="shared" si="130"/>
        <v>1000</v>
      </c>
      <c r="AC177" s="115">
        <f t="shared" si="130"/>
        <v>1000</v>
      </c>
      <c r="AD177" s="115">
        <f t="shared" si="130"/>
        <v>1000</v>
      </c>
      <c r="AE177" s="115">
        <f t="shared" si="130"/>
        <v>1000</v>
      </c>
      <c r="AF177" s="115">
        <f t="shared" si="130"/>
        <v>1000</v>
      </c>
      <c r="AG177" s="115">
        <f t="shared" si="130"/>
        <v>1000</v>
      </c>
      <c r="AH177" s="115">
        <f t="shared" si="130"/>
        <v>1000</v>
      </c>
      <c r="AI177" s="115">
        <f t="shared" si="130"/>
        <v>1000</v>
      </c>
      <c r="AJ177" s="115">
        <f t="shared" si="130"/>
        <v>1000</v>
      </c>
      <c r="AK177" s="115">
        <f t="shared" si="130"/>
        <v>1000</v>
      </c>
      <c r="AL177" s="115">
        <f t="shared" si="130"/>
        <v>1000</v>
      </c>
      <c r="AM177" s="115">
        <f t="shared" si="130"/>
        <v>1000</v>
      </c>
      <c r="AN177" s="115">
        <f t="shared" si="130"/>
        <v>1000</v>
      </c>
      <c r="AO177" s="115">
        <f t="shared" si="130"/>
        <v>1000</v>
      </c>
      <c r="AP177" s="115">
        <f t="shared" si="130"/>
        <v>1000</v>
      </c>
      <c r="AQ177" s="115">
        <f t="shared" si="130"/>
        <v>1000</v>
      </c>
      <c r="AR177" s="115">
        <f t="shared" si="130"/>
        <v>1000</v>
      </c>
      <c r="AS177" s="115">
        <f t="shared" si="130"/>
        <v>1000</v>
      </c>
      <c r="AT177" s="115">
        <f t="shared" si="130"/>
        <v>1000</v>
      </c>
      <c r="AU177" s="115">
        <f t="shared" si="130"/>
        <v>1000</v>
      </c>
      <c r="AV177" s="115">
        <f t="shared" si="130"/>
        <v>1000</v>
      </c>
      <c r="AW177" s="115">
        <f t="shared" si="130"/>
        <v>1000</v>
      </c>
      <c r="AX177" s="115">
        <f t="shared" si="130"/>
        <v>1000</v>
      </c>
      <c r="AY177" s="115">
        <f t="shared" si="130"/>
        <v>1000</v>
      </c>
      <c r="AZ177" s="115">
        <f t="shared" si="130"/>
        <v>1000</v>
      </c>
      <c r="BA177" s="115">
        <f t="shared" si="130"/>
        <v>1000</v>
      </c>
      <c r="BB177" s="115">
        <f t="shared" si="130"/>
        <v>1000</v>
      </c>
      <c r="BC177" s="115">
        <f t="shared" si="130"/>
        <v>1000</v>
      </c>
      <c r="BD177" s="115">
        <f t="shared" si="130"/>
        <v>1000</v>
      </c>
      <c r="BE177" s="115">
        <f t="shared" si="130"/>
        <v>1000</v>
      </c>
      <c r="BF177" s="115">
        <f t="shared" si="130"/>
        <v>1000</v>
      </c>
      <c r="BG177" s="115">
        <f t="shared" si="130"/>
        <v>1000</v>
      </c>
      <c r="BH177" s="115">
        <f t="shared" si="130"/>
        <v>1000</v>
      </c>
      <c r="BI177" s="115">
        <f t="shared" si="130"/>
        <v>1000</v>
      </c>
      <c r="BJ177" s="115">
        <f t="shared" si="130"/>
        <v>1000</v>
      </c>
      <c r="BK177" s="115">
        <f t="shared" si="130"/>
        <v>1000</v>
      </c>
      <c r="BL177" s="115">
        <f t="shared" si="130"/>
        <v>1000</v>
      </c>
      <c r="BM177" s="115">
        <f t="shared" si="130"/>
        <v>1000</v>
      </c>
      <c r="BN177" s="115">
        <f t="shared" si="130"/>
        <v>1000</v>
      </c>
      <c r="BO177" s="115">
        <f t="shared" si="130"/>
        <v>1000</v>
      </c>
    </row>
    <row r="178" outlineLevel="1">
      <c r="A178" s="47"/>
      <c r="B178" s="125" t="s">
        <v>101</v>
      </c>
      <c r="C178" s="134">
        <v>2000.0</v>
      </c>
      <c r="D178" s="135"/>
      <c r="E178" s="135"/>
      <c r="F178" s="127"/>
      <c r="G178" s="127"/>
      <c r="H178" s="127">
        <f>C177</f>
        <v>1000</v>
      </c>
      <c r="I178" s="127">
        <f t="shared" ref="I178:BO178" si="131">H178</f>
        <v>1000</v>
      </c>
      <c r="J178" s="127">
        <f t="shared" si="131"/>
        <v>1000</v>
      </c>
      <c r="K178" s="127">
        <f t="shared" si="131"/>
        <v>1000</v>
      </c>
      <c r="L178" s="127">
        <f t="shared" si="131"/>
        <v>1000</v>
      </c>
      <c r="M178" s="127">
        <f t="shared" si="131"/>
        <v>1000</v>
      </c>
      <c r="N178" s="127">
        <f t="shared" si="131"/>
        <v>1000</v>
      </c>
      <c r="O178" s="127">
        <f t="shared" si="131"/>
        <v>1000</v>
      </c>
      <c r="P178" s="127">
        <f t="shared" si="131"/>
        <v>1000</v>
      </c>
      <c r="Q178" s="127">
        <f t="shared" si="131"/>
        <v>1000</v>
      </c>
      <c r="R178" s="127">
        <f t="shared" si="131"/>
        <v>1000</v>
      </c>
      <c r="S178" s="127">
        <f t="shared" si="131"/>
        <v>1000</v>
      </c>
      <c r="T178" s="127">
        <f t="shared" si="131"/>
        <v>1000</v>
      </c>
      <c r="U178" s="127">
        <f t="shared" si="131"/>
        <v>1000</v>
      </c>
      <c r="V178" s="127">
        <f t="shared" si="131"/>
        <v>1000</v>
      </c>
      <c r="W178" s="127">
        <f t="shared" si="131"/>
        <v>1000</v>
      </c>
      <c r="X178" s="127">
        <f t="shared" si="131"/>
        <v>1000</v>
      </c>
      <c r="Y178" s="127">
        <f t="shared" si="131"/>
        <v>1000</v>
      </c>
      <c r="Z178" s="127">
        <f t="shared" si="131"/>
        <v>1000</v>
      </c>
      <c r="AA178" s="127">
        <f t="shared" si="131"/>
        <v>1000</v>
      </c>
      <c r="AB178" s="127">
        <f t="shared" si="131"/>
        <v>1000</v>
      </c>
      <c r="AC178" s="127">
        <f t="shared" si="131"/>
        <v>1000</v>
      </c>
      <c r="AD178" s="127">
        <f t="shared" si="131"/>
        <v>1000</v>
      </c>
      <c r="AE178" s="127">
        <f t="shared" si="131"/>
        <v>1000</v>
      </c>
      <c r="AF178" s="127">
        <f t="shared" si="131"/>
        <v>1000</v>
      </c>
      <c r="AG178" s="127">
        <f t="shared" si="131"/>
        <v>1000</v>
      </c>
      <c r="AH178" s="127">
        <f t="shared" si="131"/>
        <v>1000</v>
      </c>
      <c r="AI178" s="127">
        <f t="shared" si="131"/>
        <v>1000</v>
      </c>
      <c r="AJ178" s="127">
        <f t="shared" si="131"/>
        <v>1000</v>
      </c>
      <c r="AK178" s="127">
        <f t="shared" si="131"/>
        <v>1000</v>
      </c>
      <c r="AL178" s="127">
        <f t="shared" si="131"/>
        <v>1000</v>
      </c>
      <c r="AM178" s="127">
        <f t="shared" si="131"/>
        <v>1000</v>
      </c>
      <c r="AN178" s="127">
        <f t="shared" si="131"/>
        <v>1000</v>
      </c>
      <c r="AO178" s="127">
        <f t="shared" si="131"/>
        <v>1000</v>
      </c>
      <c r="AP178" s="127">
        <f t="shared" si="131"/>
        <v>1000</v>
      </c>
      <c r="AQ178" s="127">
        <f t="shared" si="131"/>
        <v>1000</v>
      </c>
      <c r="AR178" s="127">
        <f t="shared" si="131"/>
        <v>1000</v>
      </c>
      <c r="AS178" s="127">
        <f t="shared" si="131"/>
        <v>1000</v>
      </c>
      <c r="AT178" s="127">
        <f t="shared" si="131"/>
        <v>1000</v>
      </c>
      <c r="AU178" s="127">
        <f t="shared" si="131"/>
        <v>1000</v>
      </c>
      <c r="AV178" s="127">
        <f t="shared" si="131"/>
        <v>1000</v>
      </c>
      <c r="AW178" s="127">
        <f t="shared" si="131"/>
        <v>1000</v>
      </c>
      <c r="AX178" s="127">
        <f t="shared" si="131"/>
        <v>1000</v>
      </c>
      <c r="AY178" s="127">
        <f t="shared" si="131"/>
        <v>1000</v>
      </c>
      <c r="AZ178" s="127">
        <f t="shared" si="131"/>
        <v>1000</v>
      </c>
      <c r="BA178" s="127">
        <f t="shared" si="131"/>
        <v>1000</v>
      </c>
      <c r="BB178" s="127">
        <f t="shared" si="131"/>
        <v>1000</v>
      </c>
      <c r="BC178" s="127">
        <f t="shared" si="131"/>
        <v>1000</v>
      </c>
      <c r="BD178" s="127">
        <f t="shared" si="131"/>
        <v>1000</v>
      </c>
      <c r="BE178" s="127">
        <f t="shared" si="131"/>
        <v>1000</v>
      </c>
      <c r="BF178" s="127">
        <f t="shared" si="131"/>
        <v>1000</v>
      </c>
      <c r="BG178" s="127">
        <f t="shared" si="131"/>
        <v>1000</v>
      </c>
      <c r="BH178" s="127">
        <f t="shared" si="131"/>
        <v>1000</v>
      </c>
      <c r="BI178" s="127">
        <f t="shared" si="131"/>
        <v>1000</v>
      </c>
      <c r="BJ178" s="127">
        <f t="shared" si="131"/>
        <v>1000</v>
      </c>
      <c r="BK178" s="127">
        <f t="shared" si="131"/>
        <v>1000</v>
      </c>
      <c r="BL178" s="127">
        <f t="shared" si="131"/>
        <v>1000</v>
      </c>
      <c r="BM178" s="127">
        <f t="shared" si="131"/>
        <v>1000</v>
      </c>
      <c r="BN178" s="127">
        <f t="shared" si="131"/>
        <v>1000</v>
      </c>
      <c r="BO178" s="127">
        <f t="shared" si="131"/>
        <v>1000</v>
      </c>
    </row>
    <row r="179" outlineLevel="1">
      <c r="A179" s="136"/>
      <c r="B179" s="141" t="s">
        <v>107</v>
      </c>
      <c r="C179" s="136"/>
      <c r="D179" s="136"/>
      <c r="E179" s="136"/>
      <c r="F179" s="136"/>
      <c r="G179" s="136"/>
      <c r="H179" s="138">
        <f t="shared" ref="H179:BO179" si="132">sum(H176:H178)</f>
        <v>4000</v>
      </c>
      <c r="I179" s="138">
        <f t="shared" si="132"/>
        <v>4000</v>
      </c>
      <c r="J179" s="138">
        <f t="shared" si="132"/>
        <v>4000</v>
      </c>
      <c r="K179" s="138">
        <f t="shared" si="132"/>
        <v>4000</v>
      </c>
      <c r="L179" s="138">
        <f t="shared" si="132"/>
        <v>4000</v>
      </c>
      <c r="M179" s="138">
        <f t="shared" si="132"/>
        <v>4000</v>
      </c>
      <c r="N179" s="138">
        <f t="shared" si="132"/>
        <v>4000</v>
      </c>
      <c r="O179" s="138">
        <f t="shared" si="132"/>
        <v>4000</v>
      </c>
      <c r="P179" s="138">
        <f t="shared" si="132"/>
        <v>4000</v>
      </c>
      <c r="Q179" s="138">
        <f t="shared" si="132"/>
        <v>4000</v>
      </c>
      <c r="R179" s="138">
        <f t="shared" si="132"/>
        <v>4000</v>
      </c>
      <c r="S179" s="138">
        <f t="shared" si="132"/>
        <v>4000</v>
      </c>
      <c r="T179" s="138">
        <f t="shared" si="132"/>
        <v>4000</v>
      </c>
      <c r="U179" s="138">
        <f t="shared" si="132"/>
        <v>4000</v>
      </c>
      <c r="V179" s="138">
        <f t="shared" si="132"/>
        <v>4000</v>
      </c>
      <c r="W179" s="138">
        <f t="shared" si="132"/>
        <v>4000</v>
      </c>
      <c r="X179" s="138">
        <f t="shared" si="132"/>
        <v>4000</v>
      </c>
      <c r="Y179" s="138">
        <f t="shared" si="132"/>
        <v>4000</v>
      </c>
      <c r="Z179" s="138">
        <f t="shared" si="132"/>
        <v>4000</v>
      </c>
      <c r="AA179" s="138">
        <f t="shared" si="132"/>
        <v>4000</v>
      </c>
      <c r="AB179" s="138">
        <f t="shared" si="132"/>
        <v>4000</v>
      </c>
      <c r="AC179" s="138">
        <f t="shared" si="132"/>
        <v>4000</v>
      </c>
      <c r="AD179" s="138">
        <f t="shared" si="132"/>
        <v>4000</v>
      </c>
      <c r="AE179" s="138">
        <f t="shared" si="132"/>
        <v>4000</v>
      </c>
      <c r="AF179" s="138">
        <f t="shared" si="132"/>
        <v>4000</v>
      </c>
      <c r="AG179" s="138">
        <f t="shared" si="132"/>
        <v>4000</v>
      </c>
      <c r="AH179" s="138">
        <f t="shared" si="132"/>
        <v>4000</v>
      </c>
      <c r="AI179" s="138">
        <f t="shared" si="132"/>
        <v>4000</v>
      </c>
      <c r="AJ179" s="138">
        <f t="shared" si="132"/>
        <v>4000</v>
      </c>
      <c r="AK179" s="138">
        <f t="shared" si="132"/>
        <v>4000</v>
      </c>
      <c r="AL179" s="138">
        <f t="shared" si="132"/>
        <v>4000</v>
      </c>
      <c r="AM179" s="138">
        <f t="shared" si="132"/>
        <v>4000</v>
      </c>
      <c r="AN179" s="138">
        <f t="shared" si="132"/>
        <v>4000</v>
      </c>
      <c r="AO179" s="138">
        <f t="shared" si="132"/>
        <v>4000</v>
      </c>
      <c r="AP179" s="138">
        <f t="shared" si="132"/>
        <v>4000</v>
      </c>
      <c r="AQ179" s="138">
        <f t="shared" si="132"/>
        <v>4000</v>
      </c>
      <c r="AR179" s="138">
        <f t="shared" si="132"/>
        <v>4000</v>
      </c>
      <c r="AS179" s="138">
        <f t="shared" si="132"/>
        <v>4000</v>
      </c>
      <c r="AT179" s="138">
        <f t="shared" si="132"/>
        <v>4000</v>
      </c>
      <c r="AU179" s="138">
        <f t="shared" si="132"/>
        <v>4000</v>
      </c>
      <c r="AV179" s="138">
        <f t="shared" si="132"/>
        <v>4000</v>
      </c>
      <c r="AW179" s="138">
        <f t="shared" si="132"/>
        <v>4000</v>
      </c>
      <c r="AX179" s="138">
        <f t="shared" si="132"/>
        <v>4000</v>
      </c>
      <c r="AY179" s="138">
        <f t="shared" si="132"/>
        <v>4000</v>
      </c>
      <c r="AZ179" s="138">
        <f t="shared" si="132"/>
        <v>4000</v>
      </c>
      <c r="BA179" s="138">
        <f t="shared" si="132"/>
        <v>4000</v>
      </c>
      <c r="BB179" s="138">
        <f t="shared" si="132"/>
        <v>4000</v>
      </c>
      <c r="BC179" s="138">
        <f t="shared" si="132"/>
        <v>4000</v>
      </c>
      <c r="BD179" s="138">
        <f t="shared" si="132"/>
        <v>4000</v>
      </c>
      <c r="BE179" s="138">
        <f t="shared" si="132"/>
        <v>4000</v>
      </c>
      <c r="BF179" s="138">
        <f t="shared" si="132"/>
        <v>4000</v>
      </c>
      <c r="BG179" s="138">
        <f t="shared" si="132"/>
        <v>4000</v>
      </c>
      <c r="BH179" s="138">
        <f t="shared" si="132"/>
        <v>4000</v>
      </c>
      <c r="BI179" s="138">
        <f t="shared" si="132"/>
        <v>4000</v>
      </c>
      <c r="BJ179" s="138">
        <f t="shared" si="132"/>
        <v>4000</v>
      </c>
      <c r="BK179" s="138">
        <f t="shared" si="132"/>
        <v>4000</v>
      </c>
      <c r="BL179" s="138">
        <f t="shared" si="132"/>
        <v>4000</v>
      </c>
      <c r="BM179" s="138">
        <f t="shared" si="132"/>
        <v>4000</v>
      </c>
      <c r="BN179" s="138">
        <f t="shared" si="132"/>
        <v>4000</v>
      </c>
      <c r="BO179" s="138">
        <f t="shared" si="132"/>
        <v>4000</v>
      </c>
    </row>
    <row r="180" outlineLevel="1">
      <c r="A180" s="47"/>
      <c r="B180" s="142"/>
      <c r="C180" s="47"/>
      <c r="D180" s="66"/>
      <c r="E180" s="66"/>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115"/>
    </row>
    <row r="181" outlineLevel="1">
      <c r="A181" s="47"/>
      <c r="B181" s="139" t="s">
        <v>101</v>
      </c>
      <c r="C181" s="117" t="s">
        <v>98</v>
      </c>
      <c r="D181" s="66"/>
      <c r="E181" s="66"/>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row>
    <row r="182" outlineLevel="1">
      <c r="A182" s="47"/>
      <c r="B182" s="122" t="s">
        <v>123</v>
      </c>
      <c r="C182" s="120">
        <v>0.1</v>
      </c>
      <c r="D182" s="66"/>
      <c r="E182" s="66"/>
      <c r="F182" s="115"/>
      <c r="G182" s="115"/>
      <c r="H182" s="115">
        <f>Financials!F$8*$C182</f>
        <v>1203.75</v>
      </c>
      <c r="I182" s="115">
        <f>Financials!G$8*$C182</f>
        <v>2403.025625</v>
      </c>
      <c r="J182" s="115">
        <f>Financials!H$8*$C182</f>
        <v>3570.80734</v>
      </c>
      <c r="K182" s="115">
        <f>Financials!I$8*$C182</f>
        <v>4709.606073</v>
      </c>
      <c r="L182" s="115">
        <f>Financials!J$8*$C182</f>
        <v>5822.301953</v>
      </c>
      <c r="M182" s="115">
        <f>Financials!K$8*$C182</f>
        <v>6911.709522</v>
      </c>
      <c r="N182" s="115">
        <f>Financials!L$8*$C182</f>
        <v>7980.578252</v>
      </c>
      <c r="O182" s="115">
        <f>Financials!M$8*$C182</f>
        <v>9031.599472</v>
      </c>
      <c r="P182" s="115">
        <f>Financials!N$8*$C182</f>
        <v>10067.41325</v>
      </c>
      <c r="Q182" s="115">
        <f>Financials!O$8*$C182</f>
        <v>11090.61511</v>
      </c>
      <c r="R182" s="115">
        <f>Financials!P$8*$C182</f>
        <v>12103.76264</v>
      </c>
      <c r="S182" s="115">
        <f>Financials!Q$8*$C182</f>
        <v>13109.38198</v>
      </c>
      <c r="T182" s="115">
        <f>Financials!R$8*$C182</f>
        <v>14109.97421</v>
      </c>
      <c r="U182" s="115">
        <f>Financials!S$8*$C182</f>
        <v>15108.02166</v>
      </c>
      <c r="V182" s="115">
        <f>Financials!T$8*$C182</f>
        <v>16105.99421</v>
      </c>
      <c r="W182" s="115">
        <f>Financials!U$8*$C182</f>
        <v>17106.3554</v>
      </c>
      <c r="X182" s="115">
        <f>Financials!V$8*$C182</f>
        <v>18111.56871</v>
      </c>
      <c r="Y182" s="115">
        <f>Financials!W$8*$C182</f>
        <v>18763.73255</v>
      </c>
      <c r="Z182" s="115">
        <f>Financials!X$8*$C182</f>
        <v>19383.28819</v>
      </c>
      <c r="AA182" s="115">
        <f>Financials!Y$8*$C182</f>
        <v>19971.86606</v>
      </c>
      <c r="AB182" s="115">
        <f>Financials!Z$8*$C182</f>
        <v>20531.01503</v>
      </c>
      <c r="AC182" s="115">
        <f>Financials!AA$8*$C182</f>
        <v>21062.20655</v>
      </c>
      <c r="AD182" s="115">
        <f>Financials!AB$8*$C182</f>
        <v>21566.8385</v>
      </c>
      <c r="AE182" s="115">
        <f>Financials!AC$8*$C182</f>
        <v>22046.23884</v>
      </c>
      <c r="AF182" s="115">
        <f>Financials!AD$8*$C182</f>
        <v>22501.66917</v>
      </c>
      <c r="AG182" s="115">
        <f>Financials!AE$8*$C182</f>
        <v>22934.32799</v>
      </c>
      <c r="AH182" s="115">
        <f>Financials!AF$8*$C182</f>
        <v>23345.35386</v>
      </c>
      <c r="AI182" s="115">
        <f>Financials!AG$8*$C182</f>
        <v>23735.82844</v>
      </c>
      <c r="AJ182" s="115">
        <f>Financials!AH$8*$C182</f>
        <v>24106.77929</v>
      </c>
      <c r="AK182" s="115">
        <f>Financials!AI$8*$C182</f>
        <v>24459.1826</v>
      </c>
      <c r="AL182" s="115">
        <f>Financials!AJ$8*$C182</f>
        <v>24793.96574</v>
      </c>
      <c r="AM182" s="115">
        <f>Financials!AK$8*$C182</f>
        <v>25112.00973</v>
      </c>
      <c r="AN182" s="115">
        <f>Financials!AL$8*$C182</f>
        <v>25414.15152</v>
      </c>
      <c r="AO182" s="115">
        <f>Financials!AM$8*$C182</f>
        <v>25701.18621</v>
      </c>
      <c r="AP182" s="115">
        <f>Financials!AN$8*$C182</f>
        <v>25973.86918</v>
      </c>
      <c r="AQ182" s="115">
        <f>Financials!AO$8*$C182</f>
        <v>26232.91799</v>
      </c>
      <c r="AR182" s="115">
        <f>Financials!AP$8*$C182</f>
        <v>26479.01436</v>
      </c>
      <c r="AS182" s="115">
        <f>Financials!AQ$8*$C182</f>
        <v>26712.80592</v>
      </c>
      <c r="AT182" s="115">
        <f>Financials!AR$8*$C182</f>
        <v>26934.9079</v>
      </c>
      <c r="AU182" s="115">
        <f>Financials!AS$8*$C182</f>
        <v>27145.90477</v>
      </c>
      <c r="AV182" s="115">
        <f>Financials!AT$8*$C182</f>
        <v>27346.35181</v>
      </c>
      <c r="AW182" s="115">
        <f>Financials!AU$8*$C182</f>
        <v>27536.77649</v>
      </c>
      <c r="AX182" s="115">
        <f>Financials!AV$8*$C182</f>
        <v>27717.67994</v>
      </c>
      <c r="AY182" s="115">
        <f>Financials!AW$8*$C182</f>
        <v>27889.53821</v>
      </c>
      <c r="AZ182" s="115">
        <f>Financials!AX$8*$C182</f>
        <v>28052.80358</v>
      </c>
      <c r="BA182" s="115">
        <f>Financials!AY$8*$C182</f>
        <v>28207.90567</v>
      </c>
      <c r="BB182" s="115">
        <f>Financials!AZ$8*$C182</f>
        <v>28355.25266</v>
      </c>
      <c r="BC182" s="115">
        <f>Financials!BA$8*$C182</f>
        <v>28495.2323</v>
      </c>
      <c r="BD182" s="115">
        <f>Financials!BB$8*$C182</f>
        <v>28628.21296</v>
      </c>
      <c r="BE182" s="115">
        <f>Financials!BC$8*$C182</f>
        <v>28754.54458</v>
      </c>
      <c r="BF182" s="115">
        <f>Financials!BD$8*$C182</f>
        <v>28874.55963</v>
      </c>
      <c r="BG182" s="115">
        <f>Financials!BE$8*$C182</f>
        <v>28988.57392</v>
      </c>
      <c r="BH182" s="115">
        <f>Financials!BF$8*$C182</f>
        <v>29096.8875</v>
      </c>
      <c r="BI182" s="115">
        <f>Financials!BG$8*$C182</f>
        <v>29199.78539</v>
      </c>
      <c r="BJ182" s="115">
        <f>Financials!BH$8*$C182</f>
        <v>29297.5384</v>
      </c>
      <c r="BK182" s="115">
        <f>Financials!BI$8*$C182</f>
        <v>29390.40375</v>
      </c>
      <c r="BL182" s="115">
        <f>Financials!BJ$8*$C182</f>
        <v>29478.62584</v>
      </c>
      <c r="BM182" s="115">
        <f>Financials!BK$8*$C182</f>
        <v>29562.43682</v>
      </c>
      <c r="BN182" s="115">
        <f>Financials!BL$8*$C182</f>
        <v>29642.05725</v>
      </c>
      <c r="BO182" s="115">
        <f>Financials!BM$8*$C182</f>
        <v>29717.69666</v>
      </c>
    </row>
    <row r="183" outlineLevel="1">
      <c r="A183" s="47"/>
      <c r="B183" s="39"/>
      <c r="C183" s="47"/>
      <c r="D183" s="47"/>
      <c r="E183" s="47"/>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115"/>
    </row>
    <row r="184" outlineLevel="1">
      <c r="A184" s="47"/>
      <c r="B184" s="39" t="s">
        <v>124</v>
      </c>
      <c r="C184" s="120">
        <v>0.27</v>
      </c>
      <c r="D184" s="47"/>
      <c r="E184" s="47"/>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row>
    <row r="185" outlineLevel="1">
      <c r="A185" s="47"/>
      <c r="B185" s="47"/>
      <c r="C185" s="47"/>
      <c r="D185" s="47"/>
      <c r="E185" s="47"/>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row>
    <row r="186" outlineLevel="1">
      <c r="A186" s="47"/>
      <c r="B186" s="113" t="s">
        <v>65</v>
      </c>
      <c r="C186" s="47"/>
      <c r="D186" s="47"/>
      <c r="E186" s="47"/>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row>
    <row r="187">
      <c r="A187" s="47"/>
      <c r="B187" s="101"/>
      <c r="C187" s="47"/>
      <c r="D187" s="47"/>
      <c r="E187" s="47"/>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row>
    <row r="188">
      <c r="A188" s="47"/>
      <c r="B188" s="48" t="s">
        <v>125</v>
      </c>
      <c r="C188" s="49"/>
      <c r="D188" s="49"/>
      <c r="E188" s="49"/>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row>
    <row r="189" outlineLevel="1">
      <c r="A189" s="47"/>
      <c r="B189" s="47"/>
      <c r="C189" s="47"/>
      <c r="D189" s="47"/>
      <c r="E189" s="47"/>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row>
    <row r="190" outlineLevel="1">
      <c r="A190" s="47"/>
      <c r="B190" s="143" t="s">
        <v>126</v>
      </c>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44"/>
      <c r="BN190" s="144"/>
      <c r="BO190" s="144"/>
    </row>
    <row r="191" outlineLevel="1">
      <c r="A191" s="47"/>
      <c r="B191" s="39"/>
      <c r="C191" s="47"/>
      <c r="D191" s="47"/>
      <c r="E191" s="47"/>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c r="BC191" s="145"/>
      <c r="BD191" s="145"/>
      <c r="BE191" s="145"/>
      <c r="BF191" s="145"/>
      <c r="BG191" s="145"/>
      <c r="BH191" s="145"/>
      <c r="BI191" s="145"/>
      <c r="BJ191" s="145"/>
      <c r="BK191" s="145"/>
      <c r="BL191" s="145"/>
      <c r="BM191" s="145"/>
      <c r="BN191" s="145"/>
      <c r="BO191" s="145"/>
    </row>
    <row r="192" outlineLevel="1">
      <c r="A192" s="66"/>
      <c r="B192" s="67" t="s">
        <v>127</v>
      </c>
      <c r="C192" s="146">
        <v>500000.0</v>
      </c>
      <c r="D192" s="66"/>
      <c r="E192" s="66"/>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row>
    <row r="193" outlineLevel="1">
      <c r="A193" s="47"/>
      <c r="B193" s="39"/>
      <c r="C193" s="47"/>
      <c r="D193" s="47"/>
      <c r="E193" s="47"/>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c r="BC193" s="145"/>
      <c r="BD193" s="145"/>
      <c r="BE193" s="145"/>
      <c r="BF193" s="145"/>
      <c r="BG193" s="145"/>
      <c r="BH193" s="145"/>
      <c r="BI193" s="145"/>
      <c r="BJ193" s="145"/>
      <c r="BK193" s="145"/>
      <c r="BL193" s="145"/>
      <c r="BM193" s="145"/>
      <c r="BN193" s="145"/>
      <c r="BO193" s="145"/>
    </row>
    <row r="194" outlineLevel="1">
      <c r="A194" s="47"/>
      <c r="B194" s="139" t="s">
        <v>128</v>
      </c>
      <c r="C194" s="147">
        <v>15.0</v>
      </c>
      <c r="D194" s="39" t="s">
        <v>129</v>
      </c>
      <c r="E194" s="47"/>
      <c r="F194" s="148"/>
      <c r="G194" s="148"/>
      <c r="H194" s="148">
        <f>sum(Financials!F8)*($C194/30)</f>
        <v>6018.75</v>
      </c>
      <c r="I194" s="148">
        <f>sum(Financials!G8)*($C194/30)</f>
        <v>12015.12813</v>
      </c>
      <c r="J194" s="148">
        <f>sum(Financials!H8)*($C194/30)</f>
        <v>17854.0367</v>
      </c>
      <c r="K194" s="148">
        <f>sum(Financials!I8)*($C194/30)</f>
        <v>23548.03037</v>
      </c>
      <c r="L194" s="148">
        <f>sum(Financials!J8)*($C194/30)</f>
        <v>29111.50976</v>
      </c>
      <c r="M194" s="148">
        <f>sum(Financials!K8)*($C194/30)</f>
        <v>34558.54761</v>
      </c>
      <c r="N194" s="148">
        <f>sum(Financials!L8)*($C194/30)</f>
        <v>39902.89126</v>
      </c>
      <c r="O194" s="148">
        <f>sum(Financials!M8)*($C194/30)</f>
        <v>45157.99736</v>
      </c>
      <c r="P194" s="148">
        <f>sum(Financials!N8)*($C194/30)</f>
        <v>50337.06625</v>
      </c>
      <c r="Q194" s="148">
        <f>sum(Financials!O8)*($C194/30)</f>
        <v>55453.07554</v>
      </c>
      <c r="R194" s="148">
        <f>sum(Financials!P8)*($C194/30)</f>
        <v>60518.81319</v>
      </c>
      <c r="S194" s="148">
        <f>sum(Financials!Q8)*($C194/30)</f>
        <v>65546.90988</v>
      </c>
      <c r="T194" s="148">
        <f>sum(Financials!R8)*($C194/30)</f>
        <v>70549.87103</v>
      </c>
      <c r="U194" s="148">
        <f>sum(Financials!S8)*($C194/30)</f>
        <v>75540.10832</v>
      </c>
      <c r="V194" s="148">
        <f>sum(Financials!T8)*($C194/30)</f>
        <v>80529.97104</v>
      </c>
      <c r="W194" s="148">
        <f>sum(Financials!U8)*($C194/30)</f>
        <v>85531.77701</v>
      </c>
      <c r="X194" s="148">
        <f>sum(Financials!V8)*($C194/30)</f>
        <v>90557.84356</v>
      </c>
      <c r="Y194" s="148">
        <f>sum(Financials!W8)*($C194/30)</f>
        <v>93818.66275</v>
      </c>
      <c r="Z194" s="148">
        <f>sum(Financials!X8)*($C194/30)</f>
        <v>96916.44097</v>
      </c>
      <c r="AA194" s="148">
        <f>sum(Financials!Y8)*($C194/30)</f>
        <v>99859.33029</v>
      </c>
      <c r="AB194" s="148">
        <f>sum(Financials!Z8)*($C194/30)</f>
        <v>102655.0751</v>
      </c>
      <c r="AC194" s="148">
        <f>sum(Financials!AA8)*($C194/30)</f>
        <v>105311.0327</v>
      </c>
      <c r="AD194" s="148">
        <f>sum(Financials!AB8)*($C194/30)</f>
        <v>107834.1925</v>
      </c>
      <c r="AE194" s="148">
        <f>sum(Financials!AC8)*($C194/30)</f>
        <v>110231.1942</v>
      </c>
      <c r="AF194" s="148">
        <f>sum(Financials!AD8)*($C194/30)</f>
        <v>112508.3459</v>
      </c>
      <c r="AG194" s="148">
        <f>sum(Financials!AE8)*($C194/30)</f>
        <v>114671.6399</v>
      </c>
      <c r="AH194" s="148">
        <f>sum(Financials!AF8)*($C194/30)</f>
        <v>116726.7693</v>
      </c>
      <c r="AI194" s="148">
        <f>sum(Financials!AG8)*($C194/30)</f>
        <v>118679.1422</v>
      </c>
      <c r="AJ194" s="148">
        <f>sum(Financials!AH8)*($C194/30)</f>
        <v>120533.8965</v>
      </c>
      <c r="AK194" s="148">
        <f>sum(Financials!AI8)*($C194/30)</f>
        <v>122295.913</v>
      </c>
      <c r="AL194" s="148">
        <f>sum(Financials!AJ8)*($C194/30)</f>
        <v>123969.8287</v>
      </c>
      <c r="AM194" s="148">
        <f>sum(Financials!AK8)*($C194/30)</f>
        <v>125560.0486</v>
      </c>
      <c r="AN194" s="148">
        <f>sum(Financials!AL8)*($C194/30)</f>
        <v>127070.7576</v>
      </c>
      <c r="AO194" s="148">
        <f>sum(Financials!AM8)*($C194/30)</f>
        <v>128505.9311</v>
      </c>
      <c r="AP194" s="148">
        <f>sum(Financials!AN8)*($C194/30)</f>
        <v>129869.3459</v>
      </c>
      <c r="AQ194" s="148">
        <f>sum(Financials!AO8)*($C194/30)</f>
        <v>131164.5899</v>
      </c>
      <c r="AR194" s="148">
        <f>sum(Financials!AP8)*($C194/30)</f>
        <v>132395.0718</v>
      </c>
      <c r="AS194" s="148">
        <f>sum(Financials!AQ8)*($C194/30)</f>
        <v>133564.0296</v>
      </c>
      <c r="AT194" s="148">
        <f>sum(Financials!AR8)*($C194/30)</f>
        <v>134674.5395</v>
      </c>
      <c r="AU194" s="148">
        <f>sum(Financials!AS8)*($C194/30)</f>
        <v>135729.5239</v>
      </c>
      <c r="AV194" s="148">
        <f>sum(Financials!AT8)*($C194/30)</f>
        <v>136731.759</v>
      </c>
      <c r="AW194" s="148">
        <f>sum(Financials!AU8)*($C194/30)</f>
        <v>137683.8825</v>
      </c>
      <c r="AX194" s="148">
        <f>sum(Financials!AV8)*($C194/30)</f>
        <v>138588.3997</v>
      </c>
      <c r="AY194" s="148">
        <f>sum(Financials!AW8)*($C194/30)</f>
        <v>139447.6911</v>
      </c>
      <c r="AZ194" s="148">
        <f>sum(Financials!AX8)*($C194/30)</f>
        <v>140264.0179</v>
      </c>
      <c r="BA194" s="148">
        <f>sum(Financials!AY8)*($C194/30)</f>
        <v>141039.5284</v>
      </c>
      <c r="BB194" s="148">
        <f>sum(Financials!AZ8)*($C194/30)</f>
        <v>141776.2633</v>
      </c>
      <c r="BC194" s="148">
        <f>sum(Financials!BA8)*($C194/30)</f>
        <v>142476.1615</v>
      </c>
      <c r="BD194" s="148">
        <f>sum(Financials!BB8)*($C194/30)</f>
        <v>143141.0648</v>
      </c>
      <c r="BE194" s="148">
        <f>sum(Financials!BC8)*($C194/30)</f>
        <v>143772.7229</v>
      </c>
      <c r="BF194" s="148">
        <f>sum(Financials!BD8)*($C194/30)</f>
        <v>144372.7981</v>
      </c>
      <c r="BG194" s="148">
        <f>sum(Financials!BE8)*($C194/30)</f>
        <v>144942.8696</v>
      </c>
      <c r="BH194" s="148">
        <f>sum(Financials!BF8)*($C194/30)</f>
        <v>145484.4375</v>
      </c>
      <c r="BI194" s="148">
        <f>sum(Financials!BG8)*($C194/30)</f>
        <v>145998.927</v>
      </c>
      <c r="BJ194" s="148">
        <f>sum(Financials!BH8)*($C194/30)</f>
        <v>146487.692</v>
      </c>
      <c r="BK194" s="148">
        <f>sum(Financials!BI8)*($C194/30)</f>
        <v>146952.0188</v>
      </c>
      <c r="BL194" s="148">
        <f>sum(Financials!BJ8)*($C194/30)</f>
        <v>147393.1292</v>
      </c>
      <c r="BM194" s="148">
        <f>sum(Financials!BK8)*($C194/30)</f>
        <v>147812.1841</v>
      </c>
      <c r="BN194" s="148">
        <f>sum(Financials!BL8)*($C194/30)</f>
        <v>148210.2862</v>
      </c>
      <c r="BO194" s="148">
        <f>sum(Financials!BM8)*($C194/30)</f>
        <v>148588.4833</v>
      </c>
    </row>
    <row r="195" outlineLevel="1">
      <c r="A195" s="47"/>
      <c r="B195" s="47"/>
      <c r="C195" s="47"/>
      <c r="D195" s="47"/>
      <c r="E195" s="47"/>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row>
    <row r="196" outlineLevel="1">
      <c r="A196" s="47"/>
      <c r="B196" s="149" t="s">
        <v>130</v>
      </c>
      <c r="C196" s="150" t="s">
        <v>131</v>
      </c>
      <c r="D196" s="150" t="s">
        <v>132</v>
      </c>
      <c r="E196" s="150" t="s">
        <v>133</v>
      </c>
      <c r="F196" s="47"/>
      <c r="G196" s="47"/>
      <c r="H196" s="142" t="s">
        <v>134</v>
      </c>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c r="BC196" s="145"/>
      <c r="BD196" s="145"/>
      <c r="BE196" s="145"/>
      <c r="BF196" s="145"/>
      <c r="BG196" s="145"/>
      <c r="BH196" s="145"/>
      <c r="BI196" s="145"/>
      <c r="BJ196" s="145"/>
      <c r="BK196" s="145"/>
      <c r="BL196" s="145"/>
      <c r="BM196" s="145"/>
      <c r="BN196" s="145"/>
      <c r="BO196" s="145"/>
    </row>
    <row r="197" outlineLevel="1">
      <c r="A197" s="47"/>
      <c r="B197" s="124" t="s">
        <v>135</v>
      </c>
      <c r="C197" s="119">
        <v>0.0</v>
      </c>
      <c r="D197" s="151">
        <v>44562.0</v>
      </c>
      <c r="E197" s="152">
        <v>5.0</v>
      </c>
      <c r="F197" s="115"/>
      <c r="G197" s="115"/>
      <c r="H197" s="145">
        <f t="shared" ref="H197:BO197" si="133">if(H$4&gt;=$D197,$C197,0)</f>
        <v>0</v>
      </c>
      <c r="I197" s="145">
        <f t="shared" si="133"/>
        <v>0</v>
      </c>
      <c r="J197" s="145">
        <f t="shared" si="133"/>
        <v>0</v>
      </c>
      <c r="K197" s="145">
        <f t="shared" si="133"/>
        <v>0</v>
      </c>
      <c r="L197" s="145">
        <f t="shared" si="133"/>
        <v>0</v>
      </c>
      <c r="M197" s="145">
        <f t="shared" si="133"/>
        <v>0</v>
      </c>
      <c r="N197" s="145">
        <f t="shared" si="133"/>
        <v>0</v>
      </c>
      <c r="O197" s="145">
        <f t="shared" si="133"/>
        <v>0</v>
      </c>
      <c r="P197" s="145">
        <f t="shared" si="133"/>
        <v>0</v>
      </c>
      <c r="Q197" s="145">
        <f t="shared" si="133"/>
        <v>0</v>
      </c>
      <c r="R197" s="145">
        <f t="shared" si="133"/>
        <v>0</v>
      </c>
      <c r="S197" s="145">
        <f t="shared" si="133"/>
        <v>0</v>
      </c>
      <c r="T197" s="145">
        <f t="shared" si="133"/>
        <v>0</v>
      </c>
      <c r="U197" s="145">
        <f t="shared" si="133"/>
        <v>0</v>
      </c>
      <c r="V197" s="145">
        <f t="shared" si="133"/>
        <v>0</v>
      </c>
      <c r="W197" s="145">
        <f t="shared" si="133"/>
        <v>0</v>
      </c>
      <c r="X197" s="145">
        <f t="shared" si="133"/>
        <v>0</v>
      </c>
      <c r="Y197" s="145">
        <f t="shared" si="133"/>
        <v>0</v>
      </c>
      <c r="Z197" s="145">
        <f t="shared" si="133"/>
        <v>0</v>
      </c>
      <c r="AA197" s="145">
        <f t="shared" si="133"/>
        <v>0</v>
      </c>
      <c r="AB197" s="145">
        <f t="shared" si="133"/>
        <v>0</v>
      </c>
      <c r="AC197" s="145">
        <f t="shared" si="133"/>
        <v>0</v>
      </c>
      <c r="AD197" s="145">
        <f t="shared" si="133"/>
        <v>0</v>
      </c>
      <c r="AE197" s="145">
        <f t="shared" si="133"/>
        <v>0</v>
      </c>
      <c r="AF197" s="145">
        <f t="shared" si="133"/>
        <v>0</v>
      </c>
      <c r="AG197" s="145">
        <f t="shared" si="133"/>
        <v>0</v>
      </c>
      <c r="AH197" s="145">
        <f t="shared" si="133"/>
        <v>0</v>
      </c>
      <c r="AI197" s="145">
        <f t="shared" si="133"/>
        <v>0</v>
      </c>
      <c r="AJ197" s="145">
        <f t="shared" si="133"/>
        <v>0</v>
      </c>
      <c r="AK197" s="145">
        <f t="shared" si="133"/>
        <v>0</v>
      </c>
      <c r="AL197" s="145">
        <f t="shared" si="133"/>
        <v>0</v>
      </c>
      <c r="AM197" s="145">
        <f t="shared" si="133"/>
        <v>0</v>
      </c>
      <c r="AN197" s="145">
        <f t="shared" si="133"/>
        <v>0</v>
      </c>
      <c r="AO197" s="145">
        <f t="shared" si="133"/>
        <v>0</v>
      </c>
      <c r="AP197" s="145">
        <f t="shared" si="133"/>
        <v>0</v>
      </c>
      <c r="AQ197" s="145">
        <f t="shared" si="133"/>
        <v>0</v>
      </c>
      <c r="AR197" s="145">
        <f t="shared" si="133"/>
        <v>0</v>
      </c>
      <c r="AS197" s="145">
        <f t="shared" si="133"/>
        <v>0</v>
      </c>
      <c r="AT197" s="145">
        <f t="shared" si="133"/>
        <v>0</v>
      </c>
      <c r="AU197" s="145">
        <f t="shared" si="133"/>
        <v>0</v>
      </c>
      <c r="AV197" s="145">
        <f t="shared" si="133"/>
        <v>0</v>
      </c>
      <c r="AW197" s="145">
        <f t="shared" si="133"/>
        <v>0</v>
      </c>
      <c r="AX197" s="145">
        <f t="shared" si="133"/>
        <v>0</v>
      </c>
      <c r="AY197" s="145">
        <f t="shared" si="133"/>
        <v>0</v>
      </c>
      <c r="AZ197" s="145">
        <f t="shared" si="133"/>
        <v>0</v>
      </c>
      <c r="BA197" s="145">
        <f t="shared" si="133"/>
        <v>0</v>
      </c>
      <c r="BB197" s="145">
        <f t="shared" si="133"/>
        <v>0</v>
      </c>
      <c r="BC197" s="145">
        <f t="shared" si="133"/>
        <v>0</v>
      </c>
      <c r="BD197" s="145">
        <f t="shared" si="133"/>
        <v>0</v>
      </c>
      <c r="BE197" s="145">
        <f t="shared" si="133"/>
        <v>0</v>
      </c>
      <c r="BF197" s="145">
        <f t="shared" si="133"/>
        <v>0</v>
      </c>
      <c r="BG197" s="145">
        <f t="shared" si="133"/>
        <v>0</v>
      </c>
      <c r="BH197" s="145">
        <f t="shared" si="133"/>
        <v>0</v>
      </c>
      <c r="BI197" s="145">
        <f t="shared" si="133"/>
        <v>0</v>
      </c>
      <c r="BJ197" s="145">
        <f t="shared" si="133"/>
        <v>0</v>
      </c>
      <c r="BK197" s="145">
        <f t="shared" si="133"/>
        <v>0</v>
      </c>
      <c r="BL197" s="145">
        <f t="shared" si="133"/>
        <v>0</v>
      </c>
      <c r="BM197" s="145">
        <f t="shared" si="133"/>
        <v>0</v>
      </c>
      <c r="BN197" s="145">
        <f t="shared" si="133"/>
        <v>0</v>
      </c>
      <c r="BO197" s="145">
        <f t="shared" si="133"/>
        <v>0</v>
      </c>
    </row>
    <row r="198" outlineLevel="1">
      <c r="A198" s="47"/>
      <c r="B198" s="124" t="s">
        <v>136</v>
      </c>
      <c r="C198" s="119">
        <v>0.0</v>
      </c>
      <c r="D198" s="151">
        <v>44562.0</v>
      </c>
      <c r="E198" s="152">
        <v>5.0</v>
      </c>
      <c r="F198" s="115"/>
      <c r="G198" s="115"/>
      <c r="H198" s="145">
        <f t="shared" ref="H198:BO198" si="134">if(H$4&gt;=$D198,$C198,0)</f>
        <v>0</v>
      </c>
      <c r="I198" s="145">
        <f t="shared" si="134"/>
        <v>0</v>
      </c>
      <c r="J198" s="145">
        <f t="shared" si="134"/>
        <v>0</v>
      </c>
      <c r="K198" s="145">
        <f t="shared" si="134"/>
        <v>0</v>
      </c>
      <c r="L198" s="145">
        <f t="shared" si="134"/>
        <v>0</v>
      </c>
      <c r="M198" s="145">
        <f t="shared" si="134"/>
        <v>0</v>
      </c>
      <c r="N198" s="145">
        <f t="shared" si="134"/>
        <v>0</v>
      </c>
      <c r="O198" s="145">
        <f t="shared" si="134"/>
        <v>0</v>
      </c>
      <c r="P198" s="145">
        <f t="shared" si="134"/>
        <v>0</v>
      </c>
      <c r="Q198" s="145">
        <f t="shared" si="134"/>
        <v>0</v>
      </c>
      <c r="R198" s="145">
        <f t="shared" si="134"/>
        <v>0</v>
      </c>
      <c r="S198" s="145">
        <f t="shared" si="134"/>
        <v>0</v>
      </c>
      <c r="T198" s="145">
        <f t="shared" si="134"/>
        <v>0</v>
      </c>
      <c r="U198" s="145">
        <f t="shared" si="134"/>
        <v>0</v>
      </c>
      <c r="V198" s="145">
        <f t="shared" si="134"/>
        <v>0</v>
      </c>
      <c r="W198" s="145">
        <f t="shared" si="134"/>
        <v>0</v>
      </c>
      <c r="X198" s="145">
        <f t="shared" si="134"/>
        <v>0</v>
      </c>
      <c r="Y198" s="145">
        <f t="shared" si="134"/>
        <v>0</v>
      </c>
      <c r="Z198" s="145">
        <f t="shared" si="134"/>
        <v>0</v>
      </c>
      <c r="AA198" s="145">
        <f t="shared" si="134"/>
        <v>0</v>
      </c>
      <c r="AB198" s="145">
        <f t="shared" si="134"/>
        <v>0</v>
      </c>
      <c r="AC198" s="145">
        <f t="shared" si="134"/>
        <v>0</v>
      </c>
      <c r="AD198" s="145">
        <f t="shared" si="134"/>
        <v>0</v>
      </c>
      <c r="AE198" s="145">
        <f t="shared" si="134"/>
        <v>0</v>
      </c>
      <c r="AF198" s="145">
        <f t="shared" si="134"/>
        <v>0</v>
      </c>
      <c r="AG198" s="145">
        <f t="shared" si="134"/>
        <v>0</v>
      </c>
      <c r="AH198" s="145">
        <f t="shared" si="134"/>
        <v>0</v>
      </c>
      <c r="AI198" s="145">
        <f t="shared" si="134"/>
        <v>0</v>
      </c>
      <c r="AJ198" s="145">
        <f t="shared" si="134"/>
        <v>0</v>
      </c>
      <c r="AK198" s="145">
        <f t="shared" si="134"/>
        <v>0</v>
      </c>
      <c r="AL198" s="145">
        <f t="shared" si="134"/>
        <v>0</v>
      </c>
      <c r="AM198" s="145">
        <f t="shared" si="134"/>
        <v>0</v>
      </c>
      <c r="AN198" s="145">
        <f t="shared" si="134"/>
        <v>0</v>
      </c>
      <c r="AO198" s="145">
        <f t="shared" si="134"/>
        <v>0</v>
      </c>
      <c r="AP198" s="145">
        <f t="shared" si="134"/>
        <v>0</v>
      </c>
      <c r="AQ198" s="145">
        <f t="shared" si="134"/>
        <v>0</v>
      </c>
      <c r="AR198" s="145">
        <f t="shared" si="134"/>
        <v>0</v>
      </c>
      <c r="AS198" s="145">
        <f t="shared" si="134"/>
        <v>0</v>
      </c>
      <c r="AT198" s="145">
        <f t="shared" si="134"/>
        <v>0</v>
      </c>
      <c r="AU198" s="145">
        <f t="shared" si="134"/>
        <v>0</v>
      </c>
      <c r="AV198" s="145">
        <f t="shared" si="134"/>
        <v>0</v>
      </c>
      <c r="AW198" s="145">
        <f t="shared" si="134"/>
        <v>0</v>
      </c>
      <c r="AX198" s="145">
        <f t="shared" si="134"/>
        <v>0</v>
      </c>
      <c r="AY198" s="145">
        <f t="shared" si="134"/>
        <v>0</v>
      </c>
      <c r="AZ198" s="145">
        <f t="shared" si="134"/>
        <v>0</v>
      </c>
      <c r="BA198" s="145">
        <f t="shared" si="134"/>
        <v>0</v>
      </c>
      <c r="BB198" s="145">
        <f t="shared" si="134"/>
        <v>0</v>
      </c>
      <c r="BC198" s="145">
        <f t="shared" si="134"/>
        <v>0</v>
      </c>
      <c r="BD198" s="145">
        <f t="shared" si="134"/>
        <v>0</v>
      </c>
      <c r="BE198" s="145">
        <f t="shared" si="134"/>
        <v>0</v>
      </c>
      <c r="BF198" s="145">
        <f t="shared" si="134"/>
        <v>0</v>
      </c>
      <c r="BG198" s="145">
        <f t="shared" si="134"/>
        <v>0</v>
      </c>
      <c r="BH198" s="145">
        <f t="shared" si="134"/>
        <v>0</v>
      </c>
      <c r="BI198" s="145">
        <f t="shared" si="134"/>
        <v>0</v>
      </c>
      <c r="BJ198" s="145">
        <f t="shared" si="134"/>
        <v>0</v>
      </c>
      <c r="BK198" s="145">
        <f t="shared" si="134"/>
        <v>0</v>
      </c>
      <c r="BL198" s="145">
        <f t="shared" si="134"/>
        <v>0</v>
      </c>
      <c r="BM198" s="145">
        <f t="shared" si="134"/>
        <v>0</v>
      </c>
      <c r="BN198" s="145">
        <f t="shared" si="134"/>
        <v>0</v>
      </c>
      <c r="BO198" s="145">
        <f t="shared" si="134"/>
        <v>0</v>
      </c>
    </row>
    <row r="199" outlineLevel="1">
      <c r="A199" s="47"/>
      <c r="B199" s="124" t="s">
        <v>137</v>
      </c>
      <c r="C199" s="119">
        <v>0.0</v>
      </c>
      <c r="D199" s="151">
        <v>44562.0</v>
      </c>
      <c r="E199" s="152">
        <v>5.0</v>
      </c>
      <c r="F199" s="115"/>
      <c r="G199" s="115"/>
      <c r="H199" s="145">
        <f t="shared" ref="H199:BO199" si="135">if(H$4&gt;=$D199,$C199,0)</f>
        <v>0</v>
      </c>
      <c r="I199" s="145">
        <f t="shared" si="135"/>
        <v>0</v>
      </c>
      <c r="J199" s="145">
        <f t="shared" si="135"/>
        <v>0</v>
      </c>
      <c r="K199" s="145">
        <f t="shared" si="135"/>
        <v>0</v>
      </c>
      <c r="L199" s="145">
        <f t="shared" si="135"/>
        <v>0</v>
      </c>
      <c r="M199" s="145">
        <f t="shared" si="135"/>
        <v>0</v>
      </c>
      <c r="N199" s="145">
        <f t="shared" si="135"/>
        <v>0</v>
      </c>
      <c r="O199" s="145">
        <f t="shared" si="135"/>
        <v>0</v>
      </c>
      <c r="P199" s="145">
        <f t="shared" si="135"/>
        <v>0</v>
      </c>
      <c r="Q199" s="145">
        <f t="shared" si="135"/>
        <v>0</v>
      </c>
      <c r="R199" s="145">
        <f t="shared" si="135"/>
        <v>0</v>
      </c>
      <c r="S199" s="145">
        <f t="shared" si="135"/>
        <v>0</v>
      </c>
      <c r="T199" s="145">
        <f t="shared" si="135"/>
        <v>0</v>
      </c>
      <c r="U199" s="145">
        <f t="shared" si="135"/>
        <v>0</v>
      </c>
      <c r="V199" s="145">
        <f t="shared" si="135"/>
        <v>0</v>
      </c>
      <c r="W199" s="145">
        <f t="shared" si="135"/>
        <v>0</v>
      </c>
      <c r="X199" s="145">
        <f t="shared" si="135"/>
        <v>0</v>
      </c>
      <c r="Y199" s="145">
        <f t="shared" si="135"/>
        <v>0</v>
      </c>
      <c r="Z199" s="145">
        <f t="shared" si="135"/>
        <v>0</v>
      </c>
      <c r="AA199" s="145">
        <f t="shared" si="135"/>
        <v>0</v>
      </c>
      <c r="AB199" s="145">
        <f t="shared" si="135"/>
        <v>0</v>
      </c>
      <c r="AC199" s="145">
        <f t="shared" si="135"/>
        <v>0</v>
      </c>
      <c r="AD199" s="145">
        <f t="shared" si="135"/>
        <v>0</v>
      </c>
      <c r="AE199" s="145">
        <f t="shared" si="135"/>
        <v>0</v>
      </c>
      <c r="AF199" s="145">
        <f t="shared" si="135"/>
        <v>0</v>
      </c>
      <c r="AG199" s="145">
        <f t="shared" si="135"/>
        <v>0</v>
      </c>
      <c r="AH199" s="145">
        <f t="shared" si="135"/>
        <v>0</v>
      </c>
      <c r="AI199" s="145">
        <f t="shared" si="135"/>
        <v>0</v>
      </c>
      <c r="AJ199" s="145">
        <f t="shared" si="135"/>
        <v>0</v>
      </c>
      <c r="AK199" s="145">
        <f t="shared" si="135"/>
        <v>0</v>
      </c>
      <c r="AL199" s="145">
        <f t="shared" si="135"/>
        <v>0</v>
      </c>
      <c r="AM199" s="145">
        <f t="shared" si="135"/>
        <v>0</v>
      </c>
      <c r="AN199" s="145">
        <f t="shared" si="135"/>
        <v>0</v>
      </c>
      <c r="AO199" s="145">
        <f t="shared" si="135"/>
        <v>0</v>
      </c>
      <c r="AP199" s="145">
        <f t="shared" si="135"/>
        <v>0</v>
      </c>
      <c r="AQ199" s="145">
        <f t="shared" si="135"/>
        <v>0</v>
      </c>
      <c r="AR199" s="145">
        <f t="shared" si="135"/>
        <v>0</v>
      </c>
      <c r="AS199" s="145">
        <f t="shared" si="135"/>
        <v>0</v>
      </c>
      <c r="AT199" s="145">
        <f t="shared" si="135"/>
        <v>0</v>
      </c>
      <c r="AU199" s="145">
        <f t="shared" si="135"/>
        <v>0</v>
      </c>
      <c r="AV199" s="145">
        <f t="shared" si="135"/>
        <v>0</v>
      </c>
      <c r="AW199" s="145">
        <f t="shared" si="135"/>
        <v>0</v>
      </c>
      <c r="AX199" s="145">
        <f t="shared" si="135"/>
        <v>0</v>
      </c>
      <c r="AY199" s="145">
        <f t="shared" si="135"/>
        <v>0</v>
      </c>
      <c r="AZ199" s="145">
        <f t="shared" si="135"/>
        <v>0</v>
      </c>
      <c r="BA199" s="145">
        <f t="shared" si="135"/>
        <v>0</v>
      </c>
      <c r="BB199" s="145">
        <f t="shared" si="135"/>
        <v>0</v>
      </c>
      <c r="BC199" s="145">
        <f t="shared" si="135"/>
        <v>0</v>
      </c>
      <c r="BD199" s="145">
        <f t="shared" si="135"/>
        <v>0</v>
      </c>
      <c r="BE199" s="145">
        <f t="shared" si="135"/>
        <v>0</v>
      </c>
      <c r="BF199" s="145">
        <f t="shared" si="135"/>
        <v>0</v>
      </c>
      <c r="BG199" s="145">
        <f t="shared" si="135"/>
        <v>0</v>
      </c>
      <c r="BH199" s="145">
        <f t="shared" si="135"/>
        <v>0</v>
      </c>
      <c r="BI199" s="145">
        <f t="shared" si="135"/>
        <v>0</v>
      </c>
      <c r="BJ199" s="145">
        <f t="shared" si="135"/>
        <v>0</v>
      </c>
      <c r="BK199" s="145">
        <f t="shared" si="135"/>
        <v>0</v>
      </c>
      <c r="BL199" s="145">
        <f t="shared" si="135"/>
        <v>0</v>
      </c>
      <c r="BM199" s="145">
        <f t="shared" si="135"/>
        <v>0</v>
      </c>
      <c r="BN199" s="145">
        <f t="shared" si="135"/>
        <v>0</v>
      </c>
      <c r="BO199" s="145">
        <f t="shared" si="135"/>
        <v>0</v>
      </c>
    </row>
    <row r="200" outlineLevel="1">
      <c r="A200" s="47"/>
      <c r="B200" s="124" t="s">
        <v>138</v>
      </c>
      <c r="C200" s="119">
        <v>0.0</v>
      </c>
      <c r="D200" s="151">
        <v>44562.0</v>
      </c>
      <c r="E200" s="152">
        <v>5.0</v>
      </c>
      <c r="F200" s="115"/>
      <c r="G200" s="115"/>
      <c r="H200" s="145">
        <f t="shared" ref="H200:BO200" si="136">if(H$4&gt;=$D200,$C200,0)</f>
        <v>0</v>
      </c>
      <c r="I200" s="145">
        <f t="shared" si="136"/>
        <v>0</v>
      </c>
      <c r="J200" s="145">
        <f t="shared" si="136"/>
        <v>0</v>
      </c>
      <c r="K200" s="145">
        <f t="shared" si="136"/>
        <v>0</v>
      </c>
      <c r="L200" s="145">
        <f t="shared" si="136"/>
        <v>0</v>
      </c>
      <c r="M200" s="145">
        <f t="shared" si="136"/>
        <v>0</v>
      </c>
      <c r="N200" s="145">
        <f t="shared" si="136"/>
        <v>0</v>
      </c>
      <c r="O200" s="145">
        <f t="shared" si="136"/>
        <v>0</v>
      </c>
      <c r="P200" s="145">
        <f t="shared" si="136"/>
        <v>0</v>
      </c>
      <c r="Q200" s="145">
        <f t="shared" si="136"/>
        <v>0</v>
      </c>
      <c r="R200" s="145">
        <f t="shared" si="136"/>
        <v>0</v>
      </c>
      <c r="S200" s="145">
        <f t="shared" si="136"/>
        <v>0</v>
      </c>
      <c r="T200" s="145">
        <f t="shared" si="136"/>
        <v>0</v>
      </c>
      <c r="U200" s="145">
        <f t="shared" si="136"/>
        <v>0</v>
      </c>
      <c r="V200" s="145">
        <f t="shared" si="136"/>
        <v>0</v>
      </c>
      <c r="W200" s="145">
        <f t="shared" si="136"/>
        <v>0</v>
      </c>
      <c r="X200" s="145">
        <f t="shared" si="136"/>
        <v>0</v>
      </c>
      <c r="Y200" s="145">
        <f t="shared" si="136"/>
        <v>0</v>
      </c>
      <c r="Z200" s="145">
        <f t="shared" si="136"/>
        <v>0</v>
      </c>
      <c r="AA200" s="145">
        <f t="shared" si="136"/>
        <v>0</v>
      </c>
      <c r="AB200" s="145">
        <f t="shared" si="136"/>
        <v>0</v>
      </c>
      <c r="AC200" s="145">
        <f t="shared" si="136"/>
        <v>0</v>
      </c>
      <c r="AD200" s="145">
        <f t="shared" si="136"/>
        <v>0</v>
      </c>
      <c r="AE200" s="145">
        <f t="shared" si="136"/>
        <v>0</v>
      </c>
      <c r="AF200" s="145">
        <f t="shared" si="136"/>
        <v>0</v>
      </c>
      <c r="AG200" s="145">
        <f t="shared" si="136"/>
        <v>0</v>
      </c>
      <c r="AH200" s="145">
        <f t="shared" si="136"/>
        <v>0</v>
      </c>
      <c r="AI200" s="145">
        <f t="shared" si="136"/>
        <v>0</v>
      </c>
      <c r="AJ200" s="145">
        <f t="shared" si="136"/>
        <v>0</v>
      </c>
      <c r="AK200" s="145">
        <f t="shared" si="136"/>
        <v>0</v>
      </c>
      <c r="AL200" s="145">
        <f t="shared" si="136"/>
        <v>0</v>
      </c>
      <c r="AM200" s="145">
        <f t="shared" si="136"/>
        <v>0</v>
      </c>
      <c r="AN200" s="145">
        <f t="shared" si="136"/>
        <v>0</v>
      </c>
      <c r="AO200" s="145">
        <f t="shared" si="136"/>
        <v>0</v>
      </c>
      <c r="AP200" s="145">
        <f t="shared" si="136"/>
        <v>0</v>
      </c>
      <c r="AQ200" s="145">
        <f t="shared" si="136"/>
        <v>0</v>
      </c>
      <c r="AR200" s="145">
        <f t="shared" si="136"/>
        <v>0</v>
      </c>
      <c r="AS200" s="145">
        <f t="shared" si="136"/>
        <v>0</v>
      </c>
      <c r="AT200" s="145">
        <f t="shared" si="136"/>
        <v>0</v>
      </c>
      <c r="AU200" s="145">
        <f t="shared" si="136"/>
        <v>0</v>
      </c>
      <c r="AV200" s="145">
        <f t="shared" si="136"/>
        <v>0</v>
      </c>
      <c r="AW200" s="145">
        <f t="shared" si="136"/>
        <v>0</v>
      </c>
      <c r="AX200" s="145">
        <f t="shared" si="136"/>
        <v>0</v>
      </c>
      <c r="AY200" s="145">
        <f t="shared" si="136"/>
        <v>0</v>
      </c>
      <c r="AZ200" s="145">
        <f t="shared" si="136"/>
        <v>0</v>
      </c>
      <c r="BA200" s="145">
        <f t="shared" si="136"/>
        <v>0</v>
      </c>
      <c r="BB200" s="145">
        <f t="shared" si="136"/>
        <v>0</v>
      </c>
      <c r="BC200" s="145">
        <f t="shared" si="136"/>
        <v>0</v>
      </c>
      <c r="BD200" s="145">
        <f t="shared" si="136"/>
        <v>0</v>
      </c>
      <c r="BE200" s="145">
        <f t="shared" si="136"/>
        <v>0</v>
      </c>
      <c r="BF200" s="145">
        <f t="shared" si="136"/>
        <v>0</v>
      </c>
      <c r="BG200" s="145">
        <f t="shared" si="136"/>
        <v>0</v>
      </c>
      <c r="BH200" s="145">
        <f t="shared" si="136"/>
        <v>0</v>
      </c>
      <c r="BI200" s="145">
        <f t="shared" si="136"/>
        <v>0</v>
      </c>
      <c r="BJ200" s="145">
        <f t="shared" si="136"/>
        <v>0</v>
      </c>
      <c r="BK200" s="145">
        <f t="shared" si="136"/>
        <v>0</v>
      </c>
      <c r="BL200" s="145">
        <f t="shared" si="136"/>
        <v>0</v>
      </c>
      <c r="BM200" s="145">
        <f t="shared" si="136"/>
        <v>0</v>
      </c>
      <c r="BN200" s="145">
        <f t="shared" si="136"/>
        <v>0</v>
      </c>
      <c r="BO200" s="145">
        <f t="shared" si="136"/>
        <v>0</v>
      </c>
    </row>
    <row r="201" outlineLevel="1">
      <c r="A201" s="47"/>
      <c r="B201" s="39"/>
      <c r="C201" s="47"/>
      <c r="D201" s="47"/>
      <c r="E201" s="47"/>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B201" s="115"/>
      <c r="BC201" s="115"/>
      <c r="BD201" s="115"/>
      <c r="BE201" s="115"/>
      <c r="BF201" s="115"/>
      <c r="BG201" s="115"/>
      <c r="BH201" s="115"/>
      <c r="BI201" s="115"/>
      <c r="BJ201" s="115"/>
      <c r="BK201" s="115"/>
      <c r="BL201" s="115"/>
      <c r="BM201" s="115"/>
      <c r="BN201" s="115"/>
      <c r="BO201" s="115"/>
    </row>
    <row r="202" outlineLevel="1">
      <c r="A202" s="47"/>
      <c r="B202" s="39"/>
      <c r="C202" s="47"/>
      <c r="D202" s="47"/>
      <c r="E202" s="47"/>
      <c r="F202" s="47"/>
      <c r="G202" s="47"/>
      <c r="H202" s="47" t="s">
        <v>139</v>
      </c>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15"/>
      <c r="AI202" s="115"/>
      <c r="AJ202" s="115"/>
      <c r="AK202" s="115"/>
      <c r="AL202" s="115"/>
      <c r="AM202" s="115"/>
      <c r="AN202" s="115"/>
      <c r="AO202" s="115"/>
      <c r="AP202" s="115"/>
      <c r="AQ202" s="115"/>
      <c r="AR202" s="115"/>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row>
    <row r="203" outlineLevel="1">
      <c r="A203" s="66"/>
      <c r="B203" s="67" t="str">
        <f t="shared" ref="B203:B206" si="138">B197</f>
        <v>Asset 1</v>
      </c>
      <c r="C203" s="66"/>
      <c r="D203" s="66"/>
      <c r="E203" s="66"/>
      <c r="F203" s="115"/>
      <c r="G203" s="115"/>
      <c r="H203" s="115">
        <f t="shared" ref="H203:H206" si="139">MIN(E203+ IF(H$4&gt;=$D197,$C197/($E197*12),0),$C197)</f>
        <v>0</v>
      </c>
      <c r="I203" s="115">
        <f t="shared" ref="I203:BO203" si="137">MIN(H203+ IF(I$4&gt;=$D197,$C197/($E197*12),0),$C197)</f>
        <v>0</v>
      </c>
      <c r="J203" s="115">
        <f t="shared" si="137"/>
        <v>0</v>
      </c>
      <c r="K203" s="115">
        <f t="shared" si="137"/>
        <v>0</v>
      </c>
      <c r="L203" s="115">
        <f t="shared" si="137"/>
        <v>0</v>
      </c>
      <c r="M203" s="115">
        <f t="shared" si="137"/>
        <v>0</v>
      </c>
      <c r="N203" s="115">
        <f t="shared" si="137"/>
        <v>0</v>
      </c>
      <c r="O203" s="115">
        <f t="shared" si="137"/>
        <v>0</v>
      </c>
      <c r="P203" s="115">
        <f t="shared" si="137"/>
        <v>0</v>
      </c>
      <c r="Q203" s="115">
        <f t="shared" si="137"/>
        <v>0</v>
      </c>
      <c r="R203" s="115">
        <f t="shared" si="137"/>
        <v>0</v>
      </c>
      <c r="S203" s="115">
        <f t="shared" si="137"/>
        <v>0</v>
      </c>
      <c r="T203" s="115">
        <f t="shared" si="137"/>
        <v>0</v>
      </c>
      <c r="U203" s="115">
        <f t="shared" si="137"/>
        <v>0</v>
      </c>
      <c r="V203" s="115">
        <f t="shared" si="137"/>
        <v>0</v>
      </c>
      <c r="W203" s="115">
        <f t="shared" si="137"/>
        <v>0</v>
      </c>
      <c r="X203" s="115">
        <f t="shared" si="137"/>
        <v>0</v>
      </c>
      <c r="Y203" s="115">
        <f t="shared" si="137"/>
        <v>0</v>
      </c>
      <c r="Z203" s="115">
        <f t="shared" si="137"/>
        <v>0</v>
      </c>
      <c r="AA203" s="115">
        <f t="shared" si="137"/>
        <v>0</v>
      </c>
      <c r="AB203" s="115">
        <f t="shared" si="137"/>
        <v>0</v>
      </c>
      <c r="AC203" s="115">
        <f t="shared" si="137"/>
        <v>0</v>
      </c>
      <c r="AD203" s="115">
        <f t="shared" si="137"/>
        <v>0</v>
      </c>
      <c r="AE203" s="115">
        <f t="shared" si="137"/>
        <v>0</v>
      </c>
      <c r="AF203" s="115">
        <f t="shared" si="137"/>
        <v>0</v>
      </c>
      <c r="AG203" s="115">
        <f t="shared" si="137"/>
        <v>0</v>
      </c>
      <c r="AH203" s="115">
        <f t="shared" si="137"/>
        <v>0</v>
      </c>
      <c r="AI203" s="115">
        <f t="shared" si="137"/>
        <v>0</v>
      </c>
      <c r="AJ203" s="115">
        <f t="shared" si="137"/>
        <v>0</v>
      </c>
      <c r="AK203" s="115">
        <f t="shared" si="137"/>
        <v>0</v>
      </c>
      <c r="AL203" s="115">
        <f t="shared" si="137"/>
        <v>0</v>
      </c>
      <c r="AM203" s="115">
        <f t="shared" si="137"/>
        <v>0</v>
      </c>
      <c r="AN203" s="115">
        <f t="shared" si="137"/>
        <v>0</v>
      </c>
      <c r="AO203" s="115">
        <f t="shared" si="137"/>
        <v>0</v>
      </c>
      <c r="AP203" s="115">
        <f t="shared" si="137"/>
        <v>0</v>
      </c>
      <c r="AQ203" s="115">
        <f t="shared" si="137"/>
        <v>0</v>
      </c>
      <c r="AR203" s="115">
        <f t="shared" si="137"/>
        <v>0</v>
      </c>
      <c r="AS203" s="115">
        <f t="shared" si="137"/>
        <v>0</v>
      </c>
      <c r="AT203" s="115">
        <f t="shared" si="137"/>
        <v>0</v>
      </c>
      <c r="AU203" s="115">
        <f t="shared" si="137"/>
        <v>0</v>
      </c>
      <c r="AV203" s="115">
        <f t="shared" si="137"/>
        <v>0</v>
      </c>
      <c r="AW203" s="115">
        <f t="shared" si="137"/>
        <v>0</v>
      </c>
      <c r="AX203" s="115">
        <f t="shared" si="137"/>
        <v>0</v>
      </c>
      <c r="AY203" s="115">
        <f t="shared" si="137"/>
        <v>0</v>
      </c>
      <c r="AZ203" s="115">
        <f t="shared" si="137"/>
        <v>0</v>
      </c>
      <c r="BA203" s="115">
        <f t="shared" si="137"/>
        <v>0</v>
      </c>
      <c r="BB203" s="115">
        <f t="shared" si="137"/>
        <v>0</v>
      </c>
      <c r="BC203" s="115">
        <f t="shared" si="137"/>
        <v>0</v>
      </c>
      <c r="BD203" s="115">
        <f t="shared" si="137"/>
        <v>0</v>
      </c>
      <c r="BE203" s="115">
        <f t="shared" si="137"/>
        <v>0</v>
      </c>
      <c r="BF203" s="115">
        <f t="shared" si="137"/>
        <v>0</v>
      </c>
      <c r="BG203" s="115">
        <f t="shared" si="137"/>
        <v>0</v>
      </c>
      <c r="BH203" s="115">
        <f t="shared" si="137"/>
        <v>0</v>
      </c>
      <c r="BI203" s="115">
        <f t="shared" si="137"/>
        <v>0</v>
      </c>
      <c r="BJ203" s="115">
        <f t="shared" si="137"/>
        <v>0</v>
      </c>
      <c r="BK203" s="115">
        <f t="shared" si="137"/>
        <v>0</v>
      </c>
      <c r="BL203" s="115">
        <f t="shared" si="137"/>
        <v>0</v>
      </c>
      <c r="BM203" s="115">
        <f t="shared" si="137"/>
        <v>0</v>
      </c>
      <c r="BN203" s="115">
        <f t="shared" si="137"/>
        <v>0</v>
      </c>
      <c r="BO203" s="115">
        <f t="shared" si="137"/>
        <v>0</v>
      </c>
    </row>
    <row r="204" outlineLevel="1">
      <c r="A204" s="66"/>
      <c r="B204" s="67" t="str">
        <f t="shared" si="138"/>
        <v>Asset 2</v>
      </c>
      <c r="C204" s="66"/>
      <c r="D204" s="66"/>
      <c r="E204" s="66"/>
      <c r="F204" s="115"/>
      <c r="G204" s="115"/>
      <c r="H204" s="115">
        <f t="shared" si="139"/>
        <v>0</v>
      </c>
      <c r="I204" s="115">
        <f t="shared" ref="I204:BO204" si="140">MIN(H204+ IF(I$4&gt;=$D198,$C198/($E198*12),0),$C198)</f>
        <v>0</v>
      </c>
      <c r="J204" s="115">
        <f t="shared" si="140"/>
        <v>0</v>
      </c>
      <c r="K204" s="115">
        <f t="shared" si="140"/>
        <v>0</v>
      </c>
      <c r="L204" s="115">
        <f t="shared" si="140"/>
        <v>0</v>
      </c>
      <c r="M204" s="115">
        <f t="shared" si="140"/>
        <v>0</v>
      </c>
      <c r="N204" s="115">
        <f t="shared" si="140"/>
        <v>0</v>
      </c>
      <c r="O204" s="115">
        <f t="shared" si="140"/>
        <v>0</v>
      </c>
      <c r="P204" s="115">
        <f t="shared" si="140"/>
        <v>0</v>
      </c>
      <c r="Q204" s="115">
        <f t="shared" si="140"/>
        <v>0</v>
      </c>
      <c r="R204" s="115">
        <f t="shared" si="140"/>
        <v>0</v>
      </c>
      <c r="S204" s="115">
        <f t="shared" si="140"/>
        <v>0</v>
      </c>
      <c r="T204" s="115">
        <f t="shared" si="140"/>
        <v>0</v>
      </c>
      <c r="U204" s="115">
        <f t="shared" si="140"/>
        <v>0</v>
      </c>
      <c r="V204" s="115">
        <f t="shared" si="140"/>
        <v>0</v>
      </c>
      <c r="W204" s="115">
        <f t="shared" si="140"/>
        <v>0</v>
      </c>
      <c r="X204" s="115">
        <f t="shared" si="140"/>
        <v>0</v>
      </c>
      <c r="Y204" s="115">
        <f t="shared" si="140"/>
        <v>0</v>
      </c>
      <c r="Z204" s="115">
        <f t="shared" si="140"/>
        <v>0</v>
      </c>
      <c r="AA204" s="115">
        <f t="shared" si="140"/>
        <v>0</v>
      </c>
      <c r="AB204" s="115">
        <f t="shared" si="140"/>
        <v>0</v>
      </c>
      <c r="AC204" s="115">
        <f t="shared" si="140"/>
        <v>0</v>
      </c>
      <c r="AD204" s="115">
        <f t="shared" si="140"/>
        <v>0</v>
      </c>
      <c r="AE204" s="115">
        <f t="shared" si="140"/>
        <v>0</v>
      </c>
      <c r="AF204" s="115">
        <f t="shared" si="140"/>
        <v>0</v>
      </c>
      <c r="AG204" s="115">
        <f t="shared" si="140"/>
        <v>0</v>
      </c>
      <c r="AH204" s="115">
        <f t="shared" si="140"/>
        <v>0</v>
      </c>
      <c r="AI204" s="115">
        <f t="shared" si="140"/>
        <v>0</v>
      </c>
      <c r="AJ204" s="115">
        <f t="shared" si="140"/>
        <v>0</v>
      </c>
      <c r="AK204" s="115">
        <f t="shared" si="140"/>
        <v>0</v>
      </c>
      <c r="AL204" s="115">
        <f t="shared" si="140"/>
        <v>0</v>
      </c>
      <c r="AM204" s="115">
        <f t="shared" si="140"/>
        <v>0</v>
      </c>
      <c r="AN204" s="115">
        <f t="shared" si="140"/>
        <v>0</v>
      </c>
      <c r="AO204" s="115">
        <f t="shared" si="140"/>
        <v>0</v>
      </c>
      <c r="AP204" s="115">
        <f t="shared" si="140"/>
        <v>0</v>
      </c>
      <c r="AQ204" s="115">
        <f t="shared" si="140"/>
        <v>0</v>
      </c>
      <c r="AR204" s="115">
        <f t="shared" si="140"/>
        <v>0</v>
      </c>
      <c r="AS204" s="115">
        <f t="shared" si="140"/>
        <v>0</v>
      </c>
      <c r="AT204" s="115">
        <f t="shared" si="140"/>
        <v>0</v>
      </c>
      <c r="AU204" s="115">
        <f t="shared" si="140"/>
        <v>0</v>
      </c>
      <c r="AV204" s="115">
        <f t="shared" si="140"/>
        <v>0</v>
      </c>
      <c r="AW204" s="115">
        <f t="shared" si="140"/>
        <v>0</v>
      </c>
      <c r="AX204" s="115">
        <f t="shared" si="140"/>
        <v>0</v>
      </c>
      <c r="AY204" s="115">
        <f t="shared" si="140"/>
        <v>0</v>
      </c>
      <c r="AZ204" s="115">
        <f t="shared" si="140"/>
        <v>0</v>
      </c>
      <c r="BA204" s="115">
        <f t="shared" si="140"/>
        <v>0</v>
      </c>
      <c r="BB204" s="115">
        <f t="shared" si="140"/>
        <v>0</v>
      </c>
      <c r="BC204" s="115">
        <f t="shared" si="140"/>
        <v>0</v>
      </c>
      <c r="BD204" s="115">
        <f t="shared" si="140"/>
        <v>0</v>
      </c>
      <c r="BE204" s="115">
        <f t="shared" si="140"/>
        <v>0</v>
      </c>
      <c r="BF204" s="115">
        <f t="shared" si="140"/>
        <v>0</v>
      </c>
      <c r="BG204" s="115">
        <f t="shared" si="140"/>
        <v>0</v>
      </c>
      <c r="BH204" s="115">
        <f t="shared" si="140"/>
        <v>0</v>
      </c>
      <c r="BI204" s="115">
        <f t="shared" si="140"/>
        <v>0</v>
      </c>
      <c r="BJ204" s="115">
        <f t="shared" si="140"/>
        <v>0</v>
      </c>
      <c r="BK204" s="115">
        <f t="shared" si="140"/>
        <v>0</v>
      </c>
      <c r="BL204" s="115">
        <f t="shared" si="140"/>
        <v>0</v>
      </c>
      <c r="BM204" s="115">
        <f t="shared" si="140"/>
        <v>0</v>
      </c>
      <c r="BN204" s="115">
        <f t="shared" si="140"/>
        <v>0</v>
      </c>
      <c r="BO204" s="115">
        <f t="shared" si="140"/>
        <v>0</v>
      </c>
    </row>
    <row r="205" outlineLevel="1">
      <c r="A205" s="66"/>
      <c r="B205" s="67" t="str">
        <f t="shared" si="138"/>
        <v>Asset 3</v>
      </c>
      <c r="C205" s="66"/>
      <c r="D205" s="66"/>
      <c r="E205" s="66"/>
      <c r="F205" s="115"/>
      <c r="G205" s="115"/>
      <c r="H205" s="115">
        <f t="shared" si="139"/>
        <v>0</v>
      </c>
      <c r="I205" s="115">
        <f t="shared" ref="I205:BO205" si="141">MIN(H205+ IF(I$4&gt;=$D199,$C199/($E199*12),0),$C199)</f>
        <v>0</v>
      </c>
      <c r="J205" s="115">
        <f t="shared" si="141"/>
        <v>0</v>
      </c>
      <c r="K205" s="115">
        <f t="shared" si="141"/>
        <v>0</v>
      </c>
      <c r="L205" s="115">
        <f t="shared" si="141"/>
        <v>0</v>
      </c>
      <c r="M205" s="115">
        <f t="shared" si="141"/>
        <v>0</v>
      </c>
      <c r="N205" s="115">
        <f t="shared" si="141"/>
        <v>0</v>
      </c>
      <c r="O205" s="115">
        <f t="shared" si="141"/>
        <v>0</v>
      </c>
      <c r="P205" s="115">
        <f t="shared" si="141"/>
        <v>0</v>
      </c>
      <c r="Q205" s="115">
        <f t="shared" si="141"/>
        <v>0</v>
      </c>
      <c r="R205" s="115">
        <f t="shared" si="141"/>
        <v>0</v>
      </c>
      <c r="S205" s="115">
        <f t="shared" si="141"/>
        <v>0</v>
      </c>
      <c r="T205" s="115">
        <f t="shared" si="141"/>
        <v>0</v>
      </c>
      <c r="U205" s="115">
        <f t="shared" si="141"/>
        <v>0</v>
      </c>
      <c r="V205" s="115">
        <f t="shared" si="141"/>
        <v>0</v>
      </c>
      <c r="W205" s="115">
        <f t="shared" si="141"/>
        <v>0</v>
      </c>
      <c r="X205" s="115">
        <f t="shared" si="141"/>
        <v>0</v>
      </c>
      <c r="Y205" s="115">
        <f t="shared" si="141"/>
        <v>0</v>
      </c>
      <c r="Z205" s="115">
        <f t="shared" si="141"/>
        <v>0</v>
      </c>
      <c r="AA205" s="115">
        <f t="shared" si="141"/>
        <v>0</v>
      </c>
      <c r="AB205" s="115">
        <f t="shared" si="141"/>
        <v>0</v>
      </c>
      <c r="AC205" s="115">
        <f t="shared" si="141"/>
        <v>0</v>
      </c>
      <c r="AD205" s="115">
        <f t="shared" si="141"/>
        <v>0</v>
      </c>
      <c r="AE205" s="115">
        <f t="shared" si="141"/>
        <v>0</v>
      </c>
      <c r="AF205" s="115">
        <f t="shared" si="141"/>
        <v>0</v>
      </c>
      <c r="AG205" s="115">
        <f t="shared" si="141"/>
        <v>0</v>
      </c>
      <c r="AH205" s="115">
        <f t="shared" si="141"/>
        <v>0</v>
      </c>
      <c r="AI205" s="115">
        <f t="shared" si="141"/>
        <v>0</v>
      </c>
      <c r="AJ205" s="115">
        <f t="shared" si="141"/>
        <v>0</v>
      </c>
      <c r="AK205" s="115">
        <f t="shared" si="141"/>
        <v>0</v>
      </c>
      <c r="AL205" s="115">
        <f t="shared" si="141"/>
        <v>0</v>
      </c>
      <c r="AM205" s="115">
        <f t="shared" si="141"/>
        <v>0</v>
      </c>
      <c r="AN205" s="115">
        <f t="shared" si="141"/>
        <v>0</v>
      </c>
      <c r="AO205" s="115">
        <f t="shared" si="141"/>
        <v>0</v>
      </c>
      <c r="AP205" s="115">
        <f t="shared" si="141"/>
        <v>0</v>
      </c>
      <c r="AQ205" s="115">
        <f t="shared" si="141"/>
        <v>0</v>
      </c>
      <c r="AR205" s="115">
        <f t="shared" si="141"/>
        <v>0</v>
      </c>
      <c r="AS205" s="115">
        <f t="shared" si="141"/>
        <v>0</v>
      </c>
      <c r="AT205" s="115">
        <f t="shared" si="141"/>
        <v>0</v>
      </c>
      <c r="AU205" s="115">
        <f t="shared" si="141"/>
        <v>0</v>
      </c>
      <c r="AV205" s="115">
        <f t="shared" si="141"/>
        <v>0</v>
      </c>
      <c r="AW205" s="115">
        <f t="shared" si="141"/>
        <v>0</v>
      </c>
      <c r="AX205" s="115">
        <f t="shared" si="141"/>
        <v>0</v>
      </c>
      <c r="AY205" s="115">
        <f t="shared" si="141"/>
        <v>0</v>
      </c>
      <c r="AZ205" s="115">
        <f t="shared" si="141"/>
        <v>0</v>
      </c>
      <c r="BA205" s="115">
        <f t="shared" si="141"/>
        <v>0</v>
      </c>
      <c r="BB205" s="115">
        <f t="shared" si="141"/>
        <v>0</v>
      </c>
      <c r="BC205" s="115">
        <f t="shared" si="141"/>
        <v>0</v>
      </c>
      <c r="BD205" s="115">
        <f t="shared" si="141"/>
        <v>0</v>
      </c>
      <c r="BE205" s="115">
        <f t="shared" si="141"/>
        <v>0</v>
      </c>
      <c r="BF205" s="115">
        <f t="shared" si="141"/>
        <v>0</v>
      </c>
      <c r="BG205" s="115">
        <f t="shared" si="141"/>
        <v>0</v>
      </c>
      <c r="BH205" s="115">
        <f t="shared" si="141"/>
        <v>0</v>
      </c>
      <c r="BI205" s="115">
        <f t="shared" si="141"/>
        <v>0</v>
      </c>
      <c r="BJ205" s="115">
        <f t="shared" si="141"/>
        <v>0</v>
      </c>
      <c r="BK205" s="115">
        <f t="shared" si="141"/>
        <v>0</v>
      </c>
      <c r="BL205" s="115">
        <f t="shared" si="141"/>
        <v>0</v>
      </c>
      <c r="BM205" s="115">
        <f t="shared" si="141"/>
        <v>0</v>
      </c>
      <c r="BN205" s="115">
        <f t="shared" si="141"/>
        <v>0</v>
      </c>
      <c r="BO205" s="115">
        <f t="shared" si="141"/>
        <v>0</v>
      </c>
    </row>
    <row r="206" outlineLevel="1">
      <c r="A206" s="66"/>
      <c r="B206" s="67" t="str">
        <f t="shared" si="138"/>
        <v>Asset 4</v>
      </c>
      <c r="C206" s="66"/>
      <c r="D206" s="66"/>
      <c r="E206" s="66"/>
      <c r="F206" s="115"/>
      <c r="G206" s="115"/>
      <c r="H206" s="115">
        <f t="shared" si="139"/>
        <v>0</v>
      </c>
      <c r="I206" s="115">
        <f t="shared" ref="I206:BO206" si="142">MIN(H206+ IF(I$4&gt;=$D200,$C200/($E200*12),0),$C200)</f>
        <v>0</v>
      </c>
      <c r="J206" s="115">
        <f t="shared" si="142"/>
        <v>0</v>
      </c>
      <c r="K206" s="115">
        <f t="shared" si="142"/>
        <v>0</v>
      </c>
      <c r="L206" s="115">
        <f t="shared" si="142"/>
        <v>0</v>
      </c>
      <c r="M206" s="115">
        <f t="shared" si="142"/>
        <v>0</v>
      </c>
      <c r="N206" s="115">
        <f t="shared" si="142"/>
        <v>0</v>
      </c>
      <c r="O206" s="115">
        <f t="shared" si="142"/>
        <v>0</v>
      </c>
      <c r="P206" s="115">
        <f t="shared" si="142"/>
        <v>0</v>
      </c>
      <c r="Q206" s="115">
        <f t="shared" si="142"/>
        <v>0</v>
      </c>
      <c r="R206" s="115">
        <f t="shared" si="142"/>
        <v>0</v>
      </c>
      <c r="S206" s="115">
        <f t="shared" si="142"/>
        <v>0</v>
      </c>
      <c r="T206" s="115">
        <f t="shared" si="142"/>
        <v>0</v>
      </c>
      <c r="U206" s="115">
        <f t="shared" si="142"/>
        <v>0</v>
      </c>
      <c r="V206" s="115">
        <f t="shared" si="142"/>
        <v>0</v>
      </c>
      <c r="W206" s="115">
        <f t="shared" si="142"/>
        <v>0</v>
      </c>
      <c r="X206" s="115">
        <f t="shared" si="142"/>
        <v>0</v>
      </c>
      <c r="Y206" s="115">
        <f t="shared" si="142"/>
        <v>0</v>
      </c>
      <c r="Z206" s="115">
        <f t="shared" si="142"/>
        <v>0</v>
      </c>
      <c r="AA206" s="115">
        <f t="shared" si="142"/>
        <v>0</v>
      </c>
      <c r="AB206" s="115">
        <f t="shared" si="142"/>
        <v>0</v>
      </c>
      <c r="AC206" s="115">
        <f t="shared" si="142"/>
        <v>0</v>
      </c>
      <c r="AD206" s="115">
        <f t="shared" si="142"/>
        <v>0</v>
      </c>
      <c r="AE206" s="115">
        <f t="shared" si="142"/>
        <v>0</v>
      </c>
      <c r="AF206" s="115">
        <f t="shared" si="142"/>
        <v>0</v>
      </c>
      <c r="AG206" s="115">
        <f t="shared" si="142"/>
        <v>0</v>
      </c>
      <c r="AH206" s="115">
        <f t="shared" si="142"/>
        <v>0</v>
      </c>
      <c r="AI206" s="115">
        <f t="shared" si="142"/>
        <v>0</v>
      </c>
      <c r="AJ206" s="115">
        <f t="shared" si="142"/>
        <v>0</v>
      </c>
      <c r="AK206" s="115">
        <f t="shared" si="142"/>
        <v>0</v>
      </c>
      <c r="AL206" s="115">
        <f t="shared" si="142"/>
        <v>0</v>
      </c>
      <c r="AM206" s="115">
        <f t="shared" si="142"/>
        <v>0</v>
      </c>
      <c r="AN206" s="115">
        <f t="shared" si="142"/>
        <v>0</v>
      </c>
      <c r="AO206" s="115">
        <f t="shared" si="142"/>
        <v>0</v>
      </c>
      <c r="AP206" s="115">
        <f t="shared" si="142"/>
        <v>0</v>
      </c>
      <c r="AQ206" s="115">
        <f t="shared" si="142"/>
        <v>0</v>
      </c>
      <c r="AR206" s="115">
        <f t="shared" si="142"/>
        <v>0</v>
      </c>
      <c r="AS206" s="115">
        <f t="shared" si="142"/>
        <v>0</v>
      </c>
      <c r="AT206" s="115">
        <f t="shared" si="142"/>
        <v>0</v>
      </c>
      <c r="AU206" s="115">
        <f t="shared" si="142"/>
        <v>0</v>
      </c>
      <c r="AV206" s="115">
        <f t="shared" si="142"/>
        <v>0</v>
      </c>
      <c r="AW206" s="115">
        <f t="shared" si="142"/>
        <v>0</v>
      </c>
      <c r="AX206" s="115">
        <f t="shared" si="142"/>
        <v>0</v>
      </c>
      <c r="AY206" s="115">
        <f t="shared" si="142"/>
        <v>0</v>
      </c>
      <c r="AZ206" s="115">
        <f t="shared" si="142"/>
        <v>0</v>
      </c>
      <c r="BA206" s="115">
        <f t="shared" si="142"/>
        <v>0</v>
      </c>
      <c r="BB206" s="115">
        <f t="shared" si="142"/>
        <v>0</v>
      </c>
      <c r="BC206" s="115">
        <f t="shared" si="142"/>
        <v>0</v>
      </c>
      <c r="BD206" s="115">
        <f t="shared" si="142"/>
        <v>0</v>
      </c>
      <c r="BE206" s="115">
        <f t="shared" si="142"/>
        <v>0</v>
      </c>
      <c r="BF206" s="115">
        <f t="shared" si="142"/>
        <v>0</v>
      </c>
      <c r="BG206" s="115">
        <f t="shared" si="142"/>
        <v>0</v>
      </c>
      <c r="BH206" s="115">
        <f t="shared" si="142"/>
        <v>0</v>
      </c>
      <c r="BI206" s="115">
        <f t="shared" si="142"/>
        <v>0</v>
      </c>
      <c r="BJ206" s="115">
        <f t="shared" si="142"/>
        <v>0</v>
      </c>
      <c r="BK206" s="115">
        <f t="shared" si="142"/>
        <v>0</v>
      </c>
      <c r="BL206" s="115">
        <f t="shared" si="142"/>
        <v>0</v>
      </c>
      <c r="BM206" s="115">
        <f t="shared" si="142"/>
        <v>0</v>
      </c>
      <c r="BN206" s="115">
        <f t="shared" si="142"/>
        <v>0</v>
      </c>
      <c r="BO206" s="115">
        <f t="shared" si="142"/>
        <v>0</v>
      </c>
    </row>
    <row r="207" outlineLevel="1">
      <c r="A207" s="47"/>
      <c r="B207" s="39"/>
      <c r="C207" s="47"/>
      <c r="D207" s="47"/>
      <c r="E207" s="47"/>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15"/>
      <c r="BE207" s="115"/>
      <c r="BF207" s="115"/>
      <c r="BG207" s="115"/>
      <c r="BH207" s="115"/>
      <c r="BI207" s="115"/>
      <c r="BJ207" s="115"/>
      <c r="BK207" s="115"/>
      <c r="BL207" s="115"/>
      <c r="BM207" s="115"/>
      <c r="BN207" s="115"/>
      <c r="BO207" s="115"/>
    </row>
    <row r="208" outlineLevel="1">
      <c r="A208" s="47"/>
      <c r="B208" s="143" t="s">
        <v>140</v>
      </c>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c r="BC208" s="144"/>
      <c r="BD208" s="144"/>
      <c r="BE208" s="144"/>
      <c r="BF208" s="144"/>
      <c r="BG208" s="144"/>
      <c r="BH208" s="144"/>
      <c r="BI208" s="144"/>
      <c r="BJ208" s="144"/>
      <c r="BK208" s="144"/>
      <c r="BL208" s="144"/>
      <c r="BM208" s="144"/>
      <c r="BN208" s="144"/>
      <c r="BO208" s="144"/>
    </row>
    <row r="209" outlineLevel="1">
      <c r="A209" s="47"/>
      <c r="B209" s="39"/>
      <c r="C209" s="47"/>
      <c r="D209" s="47"/>
      <c r="E209" s="47"/>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115"/>
      <c r="BB209" s="115"/>
      <c r="BC209" s="115"/>
      <c r="BD209" s="115"/>
      <c r="BE209" s="115"/>
      <c r="BF209" s="115"/>
      <c r="BG209" s="115"/>
      <c r="BH209" s="115"/>
      <c r="BI209" s="115"/>
      <c r="BJ209" s="115"/>
      <c r="BK209" s="115"/>
      <c r="BL209" s="115"/>
      <c r="BM209" s="115"/>
      <c r="BN209" s="115"/>
      <c r="BO209" s="115"/>
    </row>
    <row r="210" outlineLevel="1">
      <c r="A210" s="47"/>
      <c r="B210" s="65" t="s">
        <v>141</v>
      </c>
      <c r="C210" s="153">
        <v>15.0</v>
      </c>
      <c r="D210" s="39" t="s">
        <v>142</v>
      </c>
      <c r="E210" s="47"/>
      <c r="F210" s="148"/>
      <c r="G210" s="148"/>
      <c r="H210" s="148">
        <f t="shared" ref="H210:BO210" si="143">SUM(H157,H168,H173,H179,H182)*$C210/30</f>
        <v>20189.9375</v>
      </c>
      <c r="I210" s="148">
        <f t="shared" si="143"/>
        <v>23368.01791</v>
      </c>
      <c r="J210" s="148">
        <f t="shared" si="143"/>
        <v>26462.63945</v>
      </c>
      <c r="K210" s="148">
        <f t="shared" si="143"/>
        <v>29480.45609</v>
      </c>
      <c r="L210" s="148">
        <f t="shared" si="143"/>
        <v>32429.10018</v>
      </c>
      <c r="M210" s="148">
        <f t="shared" si="143"/>
        <v>35316.03023</v>
      </c>
      <c r="N210" s="148">
        <f t="shared" si="143"/>
        <v>38148.53237</v>
      </c>
      <c r="O210" s="148">
        <f t="shared" si="143"/>
        <v>40933.7386</v>
      </c>
      <c r="P210" s="148">
        <f t="shared" si="143"/>
        <v>43678.64511</v>
      </c>
      <c r="Q210" s="148">
        <f t="shared" si="143"/>
        <v>46390.13004</v>
      </c>
      <c r="R210" s="148">
        <f t="shared" si="143"/>
        <v>49074.97099</v>
      </c>
      <c r="S210" s="148">
        <f t="shared" si="143"/>
        <v>51739.86224</v>
      </c>
      <c r="T210" s="148">
        <f t="shared" si="143"/>
        <v>54391.43164</v>
      </c>
      <c r="U210" s="148">
        <f t="shared" si="143"/>
        <v>57036.25741</v>
      </c>
      <c r="V210" s="148">
        <f t="shared" si="143"/>
        <v>59680.88465</v>
      </c>
      <c r="W210" s="148">
        <f t="shared" si="143"/>
        <v>62331.84182</v>
      </c>
      <c r="X210" s="148">
        <f t="shared" si="143"/>
        <v>64995.65709</v>
      </c>
      <c r="Y210" s="148">
        <f t="shared" si="143"/>
        <v>66723.89126</v>
      </c>
      <c r="Z210" s="148">
        <f t="shared" si="143"/>
        <v>68365.71372</v>
      </c>
      <c r="AA210" s="148">
        <f t="shared" si="143"/>
        <v>69925.44505</v>
      </c>
      <c r="AB210" s="148">
        <f t="shared" si="143"/>
        <v>71407.18982</v>
      </c>
      <c r="AC210" s="148">
        <f t="shared" si="143"/>
        <v>72814.84736</v>
      </c>
      <c r="AD210" s="148">
        <f t="shared" si="143"/>
        <v>74152.12201</v>
      </c>
      <c r="AE210" s="148">
        <f t="shared" si="143"/>
        <v>75422.53293</v>
      </c>
      <c r="AF210" s="148">
        <f t="shared" si="143"/>
        <v>76629.42331</v>
      </c>
      <c r="AG210" s="148">
        <f t="shared" si="143"/>
        <v>77775.96917</v>
      </c>
      <c r="AH210" s="148">
        <f t="shared" si="143"/>
        <v>78865.18773</v>
      </c>
      <c r="AI210" s="148">
        <f t="shared" si="143"/>
        <v>79899.94537</v>
      </c>
      <c r="AJ210" s="148">
        <f t="shared" si="143"/>
        <v>80882.96513</v>
      </c>
      <c r="AK210" s="148">
        <f t="shared" si="143"/>
        <v>81816.83389</v>
      </c>
      <c r="AL210" s="148">
        <f t="shared" si="143"/>
        <v>82704.00922</v>
      </c>
      <c r="AM210" s="148">
        <f t="shared" si="143"/>
        <v>83546.82578</v>
      </c>
      <c r="AN210" s="148">
        <f t="shared" si="143"/>
        <v>84347.50152</v>
      </c>
      <c r="AO210" s="148">
        <f t="shared" si="143"/>
        <v>85108.14347</v>
      </c>
      <c r="AP210" s="148">
        <f t="shared" si="143"/>
        <v>85830.75332</v>
      </c>
      <c r="AQ210" s="148">
        <f t="shared" si="143"/>
        <v>86517.23267</v>
      </c>
      <c r="AR210" s="148">
        <f t="shared" si="143"/>
        <v>87169.38806</v>
      </c>
      <c r="AS210" s="148">
        <f t="shared" si="143"/>
        <v>87788.93568</v>
      </c>
      <c r="AT210" s="148">
        <f t="shared" si="143"/>
        <v>88377.50592</v>
      </c>
      <c r="AU210" s="148">
        <f t="shared" si="143"/>
        <v>88936.64765</v>
      </c>
      <c r="AV210" s="148">
        <f t="shared" si="143"/>
        <v>89467.83229</v>
      </c>
      <c r="AW210" s="148">
        <f t="shared" si="143"/>
        <v>89972.4577</v>
      </c>
      <c r="AX210" s="148">
        <f t="shared" si="143"/>
        <v>90451.85184</v>
      </c>
      <c r="AY210" s="148">
        <f t="shared" si="143"/>
        <v>90907.27627</v>
      </c>
      <c r="AZ210" s="148">
        <f t="shared" si="143"/>
        <v>91339.92948</v>
      </c>
      <c r="BA210" s="148">
        <f t="shared" si="143"/>
        <v>91750.95003</v>
      </c>
      <c r="BB210" s="148">
        <f t="shared" si="143"/>
        <v>92141.41955</v>
      </c>
      <c r="BC210" s="148">
        <f t="shared" si="143"/>
        <v>92512.3656</v>
      </c>
      <c r="BD210" s="148">
        <f t="shared" si="143"/>
        <v>92864.76434</v>
      </c>
      <c r="BE210" s="148">
        <f t="shared" si="143"/>
        <v>93199.54315</v>
      </c>
      <c r="BF210" s="148">
        <f t="shared" si="143"/>
        <v>93517.58301</v>
      </c>
      <c r="BG210" s="148">
        <f t="shared" si="143"/>
        <v>93819.72088</v>
      </c>
      <c r="BH210" s="148">
        <f t="shared" si="143"/>
        <v>94106.75186</v>
      </c>
      <c r="BI210" s="148">
        <f t="shared" si="143"/>
        <v>94379.43129</v>
      </c>
      <c r="BJ210" s="148">
        <f t="shared" si="143"/>
        <v>94638.47675</v>
      </c>
      <c r="BK210" s="148">
        <f t="shared" si="143"/>
        <v>94884.56994</v>
      </c>
      <c r="BL210" s="148">
        <f t="shared" si="143"/>
        <v>95118.35846</v>
      </c>
      <c r="BM210" s="148">
        <f t="shared" si="143"/>
        <v>95340.45756</v>
      </c>
      <c r="BN210" s="148">
        <f t="shared" si="143"/>
        <v>95551.45171</v>
      </c>
      <c r="BO210" s="148">
        <f t="shared" si="143"/>
        <v>95751.89615</v>
      </c>
    </row>
    <row r="211" outlineLevel="1">
      <c r="A211" s="47"/>
      <c r="B211" s="47"/>
      <c r="C211" s="47"/>
      <c r="D211" s="47"/>
      <c r="E211" s="47"/>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5"/>
      <c r="AE211" s="115"/>
      <c r="AF211" s="115"/>
      <c r="AG211" s="115"/>
      <c r="AH211" s="115"/>
      <c r="AI211" s="115"/>
      <c r="AJ211" s="115"/>
      <c r="AK211" s="115"/>
      <c r="AL211" s="115"/>
      <c r="AM211" s="115"/>
      <c r="AN211" s="115"/>
      <c r="AO211" s="115"/>
      <c r="AP211" s="115"/>
      <c r="AQ211" s="115"/>
      <c r="AR211" s="115"/>
      <c r="AS211" s="115"/>
      <c r="AT211" s="115"/>
      <c r="AU211" s="115"/>
      <c r="AV211" s="115"/>
      <c r="AW211" s="115"/>
      <c r="AX211" s="115"/>
      <c r="AY211" s="115"/>
      <c r="AZ211" s="115"/>
      <c r="BA211" s="115"/>
      <c r="BB211" s="115"/>
      <c r="BC211" s="115"/>
      <c r="BD211" s="115"/>
      <c r="BE211" s="115"/>
      <c r="BF211" s="115"/>
      <c r="BG211" s="115"/>
      <c r="BH211" s="115"/>
      <c r="BI211" s="115"/>
      <c r="BJ211" s="115"/>
      <c r="BK211" s="115"/>
      <c r="BL211" s="115"/>
      <c r="BM211" s="115"/>
      <c r="BN211" s="115"/>
      <c r="BO211" s="115"/>
    </row>
    <row r="212" outlineLevel="1">
      <c r="A212" s="47"/>
      <c r="B212" s="143" t="s">
        <v>143</v>
      </c>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c r="BC212" s="144"/>
      <c r="BD212" s="144"/>
      <c r="BE212" s="144"/>
      <c r="BF212" s="144"/>
      <c r="BG212" s="144"/>
      <c r="BH212" s="144"/>
      <c r="BI212" s="144"/>
      <c r="BJ212" s="144"/>
      <c r="BK212" s="144"/>
      <c r="BL212" s="144"/>
      <c r="BM212" s="144"/>
      <c r="BN212" s="144"/>
      <c r="BO212" s="144"/>
    </row>
    <row r="213" outlineLevel="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row>
    <row r="214" outlineLevel="1">
      <c r="A214" s="66"/>
      <c r="B214" s="67" t="s">
        <v>144</v>
      </c>
      <c r="C214" s="119">
        <v>120000.0</v>
      </c>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row>
    <row r="215" outlineLevel="1">
      <c r="A215" s="47"/>
      <c r="B215" s="39" t="s">
        <v>145</v>
      </c>
      <c r="C215" s="123">
        <v>0.09</v>
      </c>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row>
    <row r="216" outlineLevel="1">
      <c r="A216" s="47"/>
      <c r="B216" s="39"/>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row>
    <row r="217" outlineLevel="1">
      <c r="A217" s="47"/>
      <c r="B217" s="154" t="s">
        <v>146</v>
      </c>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c r="AA217" s="155"/>
      <c r="AB217" s="155"/>
      <c r="AC217" s="155"/>
      <c r="AD217" s="155"/>
      <c r="AE217" s="155"/>
      <c r="AF217" s="155"/>
      <c r="AG217" s="155"/>
      <c r="AH217" s="155"/>
      <c r="AI217" s="155"/>
      <c r="AJ217" s="155"/>
      <c r="AK217" s="155"/>
      <c r="AL217" s="155"/>
      <c r="AM217" s="155"/>
      <c r="AN217" s="155"/>
      <c r="AO217" s="155"/>
      <c r="AP217" s="155"/>
      <c r="AQ217" s="155"/>
      <c r="AR217" s="155"/>
      <c r="AS217" s="155"/>
      <c r="AT217" s="155"/>
      <c r="AU217" s="155"/>
      <c r="AV217" s="155"/>
      <c r="AW217" s="155"/>
      <c r="AX217" s="155"/>
      <c r="AY217" s="155"/>
      <c r="AZ217" s="155"/>
      <c r="BA217" s="155"/>
      <c r="BB217" s="155"/>
      <c r="BC217" s="155"/>
      <c r="BD217" s="155"/>
      <c r="BE217" s="155"/>
      <c r="BF217" s="155"/>
      <c r="BG217" s="155"/>
      <c r="BH217" s="155"/>
      <c r="BI217" s="155"/>
      <c r="BJ217" s="155"/>
      <c r="BK217" s="155"/>
      <c r="BL217" s="155"/>
      <c r="BM217" s="155"/>
      <c r="BN217" s="155"/>
      <c r="BO217" s="155"/>
    </row>
    <row r="218" outlineLevel="1">
      <c r="A218" s="47"/>
      <c r="B218" s="156" t="s">
        <v>147</v>
      </c>
      <c r="C218" s="39" t="s">
        <v>148</v>
      </c>
      <c r="D218" s="39" t="s">
        <v>149</v>
      </c>
      <c r="E218" s="15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row>
    <row r="219" outlineLevel="1">
      <c r="A219" s="47"/>
      <c r="B219" s="124" t="s">
        <v>150</v>
      </c>
      <c r="C219" s="68">
        <v>0.0</v>
      </c>
      <c r="D219" s="158">
        <v>44562.0</v>
      </c>
      <c r="E219" s="159"/>
      <c r="F219" s="115"/>
      <c r="G219" s="115"/>
      <c r="H219" s="115">
        <f t="shared" ref="H219:BO219" si="144">IF(AND(Month(H$4)=Month($D219),Year(H$4)=Year($D219)),$C219,0)</f>
        <v>0</v>
      </c>
      <c r="I219" s="115">
        <f t="shared" si="144"/>
        <v>0</v>
      </c>
      <c r="J219" s="115">
        <f t="shared" si="144"/>
        <v>0</v>
      </c>
      <c r="K219" s="115">
        <f t="shared" si="144"/>
        <v>0</v>
      </c>
      <c r="L219" s="115">
        <f t="shared" si="144"/>
        <v>0</v>
      </c>
      <c r="M219" s="115">
        <f t="shared" si="144"/>
        <v>0</v>
      </c>
      <c r="N219" s="115">
        <f t="shared" si="144"/>
        <v>0</v>
      </c>
      <c r="O219" s="115">
        <f t="shared" si="144"/>
        <v>0</v>
      </c>
      <c r="P219" s="115">
        <f t="shared" si="144"/>
        <v>0</v>
      </c>
      <c r="Q219" s="115">
        <f t="shared" si="144"/>
        <v>0</v>
      </c>
      <c r="R219" s="115">
        <f t="shared" si="144"/>
        <v>0</v>
      </c>
      <c r="S219" s="115">
        <f t="shared" si="144"/>
        <v>0</v>
      </c>
      <c r="T219" s="115">
        <f t="shared" si="144"/>
        <v>0</v>
      </c>
      <c r="U219" s="115">
        <f t="shared" si="144"/>
        <v>0</v>
      </c>
      <c r="V219" s="115">
        <f t="shared" si="144"/>
        <v>0</v>
      </c>
      <c r="W219" s="115">
        <f t="shared" si="144"/>
        <v>0</v>
      </c>
      <c r="X219" s="115">
        <f t="shared" si="144"/>
        <v>0</v>
      </c>
      <c r="Y219" s="115">
        <f t="shared" si="144"/>
        <v>0</v>
      </c>
      <c r="Z219" s="115">
        <f t="shared" si="144"/>
        <v>0</v>
      </c>
      <c r="AA219" s="115">
        <f t="shared" si="144"/>
        <v>0</v>
      </c>
      <c r="AB219" s="115">
        <f t="shared" si="144"/>
        <v>0</v>
      </c>
      <c r="AC219" s="115">
        <f t="shared" si="144"/>
        <v>0</v>
      </c>
      <c r="AD219" s="115">
        <f t="shared" si="144"/>
        <v>0</v>
      </c>
      <c r="AE219" s="115">
        <f t="shared" si="144"/>
        <v>0</v>
      </c>
      <c r="AF219" s="115">
        <f t="shared" si="144"/>
        <v>0</v>
      </c>
      <c r="AG219" s="115">
        <f t="shared" si="144"/>
        <v>0</v>
      </c>
      <c r="AH219" s="115">
        <f t="shared" si="144"/>
        <v>0</v>
      </c>
      <c r="AI219" s="115">
        <f t="shared" si="144"/>
        <v>0</v>
      </c>
      <c r="AJ219" s="115">
        <f t="shared" si="144"/>
        <v>0</v>
      </c>
      <c r="AK219" s="115">
        <f t="shared" si="144"/>
        <v>0</v>
      </c>
      <c r="AL219" s="115">
        <f t="shared" si="144"/>
        <v>0</v>
      </c>
      <c r="AM219" s="115">
        <f t="shared" si="144"/>
        <v>0</v>
      </c>
      <c r="AN219" s="115">
        <f t="shared" si="144"/>
        <v>0</v>
      </c>
      <c r="AO219" s="115">
        <f t="shared" si="144"/>
        <v>0</v>
      </c>
      <c r="AP219" s="115">
        <f t="shared" si="144"/>
        <v>0</v>
      </c>
      <c r="AQ219" s="115">
        <f t="shared" si="144"/>
        <v>0</v>
      </c>
      <c r="AR219" s="115">
        <f t="shared" si="144"/>
        <v>0</v>
      </c>
      <c r="AS219" s="115">
        <f t="shared" si="144"/>
        <v>0</v>
      </c>
      <c r="AT219" s="115">
        <f t="shared" si="144"/>
        <v>0</v>
      </c>
      <c r="AU219" s="115">
        <f t="shared" si="144"/>
        <v>0</v>
      </c>
      <c r="AV219" s="115">
        <f t="shared" si="144"/>
        <v>0</v>
      </c>
      <c r="AW219" s="115">
        <f t="shared" si="144"/>
        <v>0</v>
      </c>
      <c r="AX219" s="115">
        <f t="shared" si="144"/>
        <v>0</v>
      </c>
      <c r="AY219" s="115">
        <f t="shared" si="144"/>
        <v>0</v>
      </c>
      <c r="AZ219" s="115">
        <f t="shared" si="144"/>
        <v>0</v>
      </c>
      <c r="BA219" s="115">
        <f t="shared" si="144"/>
        <v>0</v>
      </c>
      <c r="BB219" s="115">
        <f t="shared" si="144"/>
        <v>0</v>
      </c>
      <c r="BC219" s="115">
        <f t="shared" si="144"/>
        <v>0</v>
      </c>
      <c r="BD219" s="115">
        <f t="shared" si="144"/>
        <v>0</v>
      </c>
      <c r="BE219" s="115">
        <f t="shared" si="144"/>
        <v>0</v>
      </c>
      <c r="BF219" s="115">
        <f t="shared" si="144"/>
        <v>0</v>
      </c>
      <c r="BG219" s="115">
        <f t="shared" si="144"/>
        <v>0</v>
      </c>
      <c r="BH219" s="115">
        <f t="shared" si="144"/>
        <v>0</v>
      </c>
      <c r="BI219" s="115">
        <f t="shared" si="144"/>
        <v>0</v>
      </c>
      <c r="BJ219" s="115">
        <f t="shared" si="144"/>
        <v>0</v>
      </c>
      <c r="BK219" s="115">
        <f t="shared" si="144"/>
        <v>0</v>
      </c>
      <c r="BL219" s="115">
        <f t="shared" si="144"/>
        <v>0</v>
      </c>
      <c r="BM219" s="115">
        <f t="shared" si="144"/>
        <v>0</v>
      </c>
      <c r="BN219" s="115">
        <f t="shared" si="144"/>
        <v>0</v>
      </c>
      <c r="BO219" s="115">
        <f t="shared" si="144"/>
        <v>0</v>
      </c>
    </row>
    <row r="220" outlineLevel="1">
      <c r="A220" s="47"/>
      <c r="B220" s="124" t="s">
        <v>151</v>
      </c>
      <c r="C220" s="68">
        <v>0.0</v>
      </c>
      <c r="D220" s="158"/>
      <c r="E220" s="159"/>
      <c r="F220" s="115"/>
      <c r="G220" s="115"/>
      <c r="H220" s="115">
        <f t="shared" ref="H220:BO220" si="145">IF(AND(Month(H$4)=Month($D220),Year(H$4)=Year($D220)),$C220,0)</f>
        <v>0</v>
      </c>
      <c r="I220" s="115">
        <f t="shared" si="145"/>
        <v>0</v>
      </c>
      <c r="J220" s="115">
        <f t="shared" si="145"/>
        <v>0</v>
      </c>
      <c r="K220" s="115">
        <f t="shared" si="145"/>
        <v>0</v>
      </c>
      <c r="L220" s="115">
        <f t="shared" si="145"/>
        <v>0</v>
      </c>
      <c r="M220" s="115">
        <f t="shared" si="145"/>
        <v>0</v>
      </c>
      <c r="N220" s="115">
        <f t="shared" si="145"/>
        <v>0</v>
      </c>
      <c r="O220" s="115">
        <f t="shared" si="145"/>
        <v>0</v>
      </c>
      <c r="P220" s="115">
        <f t="shared" si="145"/>
        <v>0</v>
      </c>
      <c r="Q220" s="115">
        <f t="shared" si="145"/>
        <v>0</v>
      </c>
      <c r="R220" s="115">
        <f t="shared" si="145"/>
        <v>0</v>
      </c>
      <c r="S220" s="115">
        <f t="shared" si="145"/>
        <v>0</v>
      </c>
      <c r="T220" s="115">
        <f t="shared" si="145"/>
        <v>0</v>
      </c>
      <c r="U220" s="115">
        <f t="shared" si="145"/>
        <v>0</v>
      </c>
      <c r="V220" s="115">
        <f t="shared" si="145"/>
        <v>0</v>
      </c>
      <c r="W220" s="115">
        <f t="shared" si="145"/>
        <v>0</v>
      </c>
      <c r="X220" s="115">
        <f t="shared" si="145"/>
        <v>0</v>
      </c>
      <c r="Y220" s="115">
        <f t="shared" si="145"/>
        <v>0</v>
      </c>
      <c r="Z220" s="115">
        <f t="shared" si="145"/>
        <v>0</v>
      </c>
      <c r="AA220" s="115">
        <f t="shared" si="145"/>
        <v>0</v>
      </c>
      <c r="AB220" s="115">
        <f t="shared" si="145"/>
        <v>0</v>
      </c>
      <c r="AC220" s="115">
        <f t="shared" si="145"/>
        <v>0</v>
      </c>
      <c r="AD220" s="115">
        <f t="shared" si="145"/>
        <v>0</v>
      </c>
      <c r="AE220" s="115">
        <f t="shared" si="145"/>
        <v>0</v>
      </c>
      <c r="AF220" s="115">
        <f t="shared" si="145"/>
        <v>0</v>
      </c>
      <c r="AG220" s="115">
        <f t="shared" si="145"/>
        <v>0</v>
      </c>
      <c r="AH220" s="115">
        <f t="shared" si="145"/>
        <v>0</v>
      </c>
      <c r="AI220" s="115">
        <f t="shared" si="145"/>
        <v>0</v>
      </c>
      <c r="AJ220" s="115">
        <f t="shared" si="145"/>
        <v>0</v>
      </c>
      <c r="AK220" s="115">
        <f t="shared" si="145"/>
        <v>0</v>
      </c>
      <c r="AL220" s="115">
        <f t="shared" si="145"/>
        <v>0</v>
      </c>
      <c r="AM220" s="115">
        <f t="shared" si="145"/>
        <v>0</v>
      </c>
      <c r="AN220" s="115">
        <f t="shared" si="145"/>
        <v>0</v>
      </c>
      <c r="AO220" s="115">
        <f t="shared" si="145"/>
        <v>0</v>
      </c>
      <c r="AP220" s="115">
        <f t="shared" si="145"/>
        <v>0</v>
      </c>
      <c r="AQ220" s="115">
        <f t="shared" si="145"/>
        <v>0</v>
      </c>
      <c r="AR220" s="115">
        <f t="shared" si="145"/>
        <v>0</v>
      </c>
      <c r="AS220" s="115">
        <f t="shared" si="145"/>
        <v>0</v>
      </c>
      <c r="AT220" s="115">
        <f t="shared" si="145"/>
        <v>0</v>
      </c>
      <c r="AU220" s="115">
        <f t="shared" si="145"/>
        <v>0</v>
      </c>
      <c r="AV220" s="115">
        <f t="shared" si="145"/>
        <v>0</v>
      </c>
      <c r="AW220" s="115">
        <f t="shared" si="145"/>
        <v>0</v>
      </c>
      <c r="AX220" s="115">
        <f t="shared" si="145"/>
        <v>0</v>
      </c>
      <c r="AY220" s="115">
        <f t="shared" si="145"/>
        <v>0</v>
      </c>
      <c r="AZ220" s="115">
        <f t="shared" si="145"/>
        <v>0</v>
      </c>
      <c r="BA220" s="115">
        <f t="shared" si="145"/>
        <v>0</v>
      </c>
      <c r="BB220" s="115">
        <f t="shared" si="145"/>
        <v>0</v>
      </c>
      <c r="BC220" s="115">
        <f t="shared" si="145"/>
        <v>0</v>
      </c>
      <c r="BD220" s="115">
        <f t="shared" si="145"/>
        <v>0</v>
      </c>
      <c r="BE220" s="115">
        <f t="shared" si="145"/>
        <v>0</v>
      </c>
      <c r="BF220" s="115">
        <f t="shared" si="145"/>
        <v>0</v>
      </c>
      <c r="BG220" s="115">
        <f t="shared" si="145"/>
        <v>0</v>
      </c>
      <c r="BH220" s="115">
        <f t="shared" si="145"/>
        <v>0</v>
      </c>
      <c r="BI220" s="115">
        <f t="shared" si="145"/>
        <v>0</v>
      </c>
      <c r="BJ220" s="115">
        <f t="shared" si="145"/>
        <v>0</v>
      </c>
      <c r="BK220" s="115">
        <f t="shared" si="145"/>
        <v>0</v>
      </c>
      <c r="BL220" s="115">
        <f t="shared" si="145"/>
        <v>0</v>
      </c>
      <c r="BM220" s="115">
        <f t="shared" si="145"/>
        <v>0</v>
      </c>
      <c r="BN220" s="115">
        <f t="shared" si="145"/>
        <v>0</v>
      </c>
      <c r="BO220" s="115">
        <f t="shared" si="145"/>
        <v>0</v>
      </c>
    </row>
    <row r="221" outlineLevel="1">
      <c r="A221" s="47"/>
      <c r="B221" s="124" t="s">
        <v>152</v>
      </c>
      <c r="C221" s="68">
        <v>0.0</v>
      </c>
      <c r="D221" s="158"/>
      <c r="E221" s="159"/>
      <c r="F221" s="115"/>
      <c r="G221" s="115"/>
      <c r="H221" s="115">
        <f t="shared" ref="H221:BO221" si="146">IF(AND(Month(H$4)=Month($D221),Year(H$4)=Year($D221)),$C221,0)</f>
        <v>0</v>
      </c>
      <c r="I221" s="115">
        <f t="shared" si="146"/>
        <v>0</v>
      </c>
      <c r="J221" s="115">
        <f t="shared" si="146"/>
        <v>0</v>
      </c>
      <c r="K221" s="115">
        <f t="shared" si="146"/>
        <v>0</v>
      </c>
      <c r="L221" s="115">
        <f t="shared" si="146"/>
        <v>0</v>
      </c>
      <c r="M221" s="115">
        <f t="shared" si="146"/>
        <v>0</v>
      </c>
      <c r="N221" s="115">
        <f t="shared" si="146"/>
        <v>0</v>
      </c>
      <c r="O221" s="115">
        <f t="shared" si="146"/>
        <v>0</v>
      </c>
      <c r="P221" s="115">
        <f t="shared" si="146"/>
        <v>0</v>
      </c>
      <c r="Q221" s="115">
        <f t="shared" si="146"/>
        <v>0</v>
      </c>
      <c r="R221" s="115">
        <f t="shared" si="146"/>
        <v>0</v>
      </c>
      <c r="S221" s="115">
        <f t="shared" si="146"/>
        <v>0</v>
      </c>
      <c r="T221" s="115">
        <f t="shared" si="146"/>
        <v>0</v>
      </c>
      <c r="U221" s="115">
        <f t="shared" si="146"/>
        <v>0</v>
      </c>
      <c r="V221" s="115">
        <f t="shared" si="146"/>
        <v>0</v>
      </c>
      <c r="W221" s="115">
        <f t="shared" si="146"/>
        <v>0</v>
      </c>
      <c r="X221" s="115">
        <f t="shared" si="146"/>
        <v>0</v>
      </c>
      <c r="Y221" s="115">
        <f t="shared" si="146"/>
        <v>0</v>
      </c>
      <c r="Z221" s="115">
        <f t="shared" si="146"/>
        <v>0</v>
      </c>
      <c r="AA221" s="115">
        <f t="shared" si="146"/>
        <v>0</v>
      </c>
      <c r="AB221" s="115">
        <f t="shared" si="146"/>
        <v>0</v>
      </c>
      <c r="AC221" s="115">
        <f t="shared" si="146"/>
        <v>0</v>
      </c>
      <c r="AD221" s="115">
        <f t="shared" si="146"/>
        <v>0</v>
      </c>
      <c r="AE221" s="115">
        <f t="shared" si="146"/>
        <v>0</v>
      </c>
      <c r="AF221" s="115">
        <f t="shared" si="146"/>
        <v>0</v>
      </c>
      <c r="AG221" s="115">
        <f t="shared" si="146"/>
        <v>0</v>
      </c>
      <c r="AH221" s="115">
        <f t="shared" si="146"/>
        <v>0</v>
      </c>
      <c r="AI221" s="115">
        <f t="shared" si="146"/>
        <v>0</v>
      </c>
      <c r="AJ221" s="115">
        <f t="shared" si="146"/>
        <v>0</v>
      </c>
      <c r="AK221" s="115">
        <f t="shared" si="146"/>
        <v>0</v>
      </c>
      <c r="AL221" s="115">
        <f t="shared" si="146"/>
        <v>0</v>
      </c>
      <c r="AM221" s="115">
        <f t="shared" si="146"/>
        <v>0</v>
      </c>
      <c r="AN221" s="115">
        <f t="shared" si="146"/>
        <v>0</v>
      </c>
      <c r="AO221" s="115">
        <f t="shared" si="146"/>
        <v>0</v>
      </c>
      <c r="AP221" s="115">
        <f t="shared" si="146"/>
        <v>0</v>
      </c>
      <c r="AQ221" s="115">
        <f t="shared" si="146"/>
        <v>0</v>
      </c>
      <c r="AR221" s="115">
        <f t="shared" si="146"/>
        <v>0</v>
      </c>
      <c r="AS221" s="115">
        <f t="shared" si="146"/>
        <v>0</v>
      </c>
      <c r="AT221" s="115">
        <f t="shared" si="146"/>
        <v>0</v>
      </c>
      <c r="AU221" s="115">
        <f t="shared" si="146"/>
        <v>0</v>
      </c>
      <c r="AV221" s="115">
        <f t="shared" si="146"/>
        <v>0</v>
      </c>
      <c r="AW221" s="115">
        <f t="shared" si="146"/>
        <v>0</v>
      </c>
      <c r="AX221" s="115">
        <f t="shared" si="146"/>
        <v>0</v>
      </c>
      <c r="AY221" s="115">
        <f t="shared" si="146"/>
        <v>0</v>
      </c>
      <c r="AZ221" s="115">
        <f t="shared" si="146"/>
        <v>0</v>
      </c>
      <c r="BA221" s="115">
        <f t="shared" si="146"/>
        <v>0</v>
      </c>
      <c r="BB221" s="115">
        <f t="shared" si="146"/>
        <v>0</v>
      </c>
      <c r="BC221" s="115">
        <f t="shared" si="146"/>
        <v>0</v>
      </c>
      <c r="BD221" s="115">
        <f t="shared" si="146"/>
        <v>0</v>
      </c>
      <c r="BE221" s="115">
        <f t="shared" si="146"/>
        <v>0</v>
      </c>
      <c r="BF221" s="115">
        <f t="shared" si="146"/>
        <v>0</v>
      </c>
      <c r="BG221" s="115">
        <f t="shared" si="146"/>
        <v>0</v>
      </c>
      <c r="BH221" s="115">
        <f t="shared" si="146"/>
        <v>0</v>
      </c>
      <c r="BI221" s="115">
        <f t="shared" si="146"/>
        <v>0</v>
      </c>
      <c r="BJ221" s="115">
        <f t="shared" si="146"/>
        <v>0</v>
      </c>
      <c r="BK221" s="115">
        <f t="shared" si="146"/>
        <v>0</v>
      </c>
      <c r="BL221" s="115">
        <f t="shared" si="146"/>
        <v>0</v>
      </c>
      <c r="BM221" s="115">
        <f t="shared" si="146"/>
        <v>0</v>
      </c>
      <c r="BN221" s="115">
        <f t="shared" si="146"/>
        <v>0</v>
      </c>
      <c r="BO221" s="115">
        <f t="shared" si="146"/>
        <v>0</v>
      </c>
    </row>
    <row r="222" outlineLevel="1">
      <c r="A222" s="47"/>
      <c r="B222" s="124" t="s">
        <v>152</v>
      </c>
      <c r="C222" s="68">
        <v>0.0</v>
      </c>
      <c r="D222" s="158"/>
      <c r="E222" s="159"/>
      <c r="F222" s="115"/>
      <c r="G222" s="115"/>
      <c r="H222" s="115">
        <f t="shared" ref="H222:BO222" si="147">IF(AND(Month(H$4)=Month($D222),Year(H$4)=Year($D222)),$C222,0)</f>
        <v>0</v>
      </c>
      <c r="I222" s="115">
        <f t="shared" si="147"/>
        <v>0</v>
      </c>
      <c r="J222" s="115">
        <f t="shared" si="147"/>
        <v>0</v>
      </c>
      <c r="K222" s="115">
        <f t="shared" si="147"/>
        <v>0</v>
      </c>
      <c r="L222" s="115">
        <f t="shared" si="147"/>
        <v>0</v>
      </c>
      <c r="M222" s="115">
        <f t="shared" si="147"/>
        <v>0</v>
      </c>
      <c r="N222" s="115">
        <f t="shared" si="147"/>
        <v>0</v>
      </c>
      <c r="O222" s="115">
        <f t="shared" si="147"/>
        <v>0</v>
      </c>
      <c r="P222" s="115">
        <f t="shared" si="147"/>
        <v>0</v>
      </c>
      <c r="Q222" s="115">
        <f t="shared" si="147"/>
        <v>0</v>
      </c>
      <c r="R222" s="115">
        <f t="shared" si="147"/>
        <v>0</v>
      </c>
      <c r="S222" s="115">
        <f t="shared" si="147"/>
        <v>0</v>
      </c>
      <c r="T222" s="115">
        <f t="shared" si="147"/>
        <v>0</v>
      </c>
      <c r="U222" s="115">
        <f t="shared" si="147"/>
        <v>0</v>
      </c>
      <c r="V222" s="115">
        <f t="shared" si="147"/>
        <v>0</v>
      </c>
      <c r="W222" s="115">
        <f t="shared" si="147"/>
        <v>0</v>
      </c>
      <c r="X222" s="115">
        <f t="shared" si="147"/>
        <v>0</v>
      </c>
      <c r="Y222" s="115">
        <f t="shared" si="147"/>
        <v>0</v>
      </c>
      <c r="Z222" s="115">
        <f t="shared" si="147"/>
        <v>0</v>
      </c>
      <c r="AA222" s="115">
        <f t="shared" si="147"/>
        <v>0</v>
      </c>
      <c r="AB222" s="115">
        <f t="shared" si="147"/>
        <v>0</v>
      </c>
      <c r="AC222" s="115">
        <f t="shared" si="147"/>
        <v>0</v>
      </c>
      <c r="AD222" s="115">
        <f t="shared" si="147"/>
        <v>0</v>
      </c>
      <c r="AE222" s="115">
        <f t="shared" si="147"/>
        <v>0</v>
      </c>
      <c r="AF222" s="115">
        <f t="shared" si="147"/>
        <v>0</v>
      </c>
      <c r="AG222" s="115">
        <f t="shared" si="147"/>
        <v>0</v>
      </c>
      <c r="AH222" s="115">
        <f t="shared" si="147"/>
        <v>0</v>
      </c>
      <c r="AI222" s="115">
        <f t="shared" si="147"/>
        <v>0</v>
      </c>
      <c r="AJ222" s="115">
        <f t="shared" si="147"/>
        <v>0</v>
      </c>
      <c r="AK222" s="115">
        <f t="shared" si="147"/>
        <v>0</v>
      </c>
      <c r="AL222" s="115">
        <f t="shared" si="147"/>
        <v>0</v>
      </c>
      <c r="AM222" s="115">
        <f t="shared" si="147"/>
        <v>0</v>
      </c>
      <c r="AN222" s="115">
        <f t="shared" si="147"/>
        <v>0</v>
      </c>
      <c r="AO222" s="115">
        <f t="shared" si="147"/>
        <v>0</v>
      </c>
      <c r="AP222" s="115">
        <f t="shared" si="147"/>
        <v>0</v>
      </c>
      <c r="AQ222" s="115">
        <f t="shared" si="147"/>
        <v>0</v>
      </c>
      <c r="AR222" s="115">
        <f t="shared" si="147"/>
        <v>0</v>
      </c>
      <c r="AS222" s="115">
        <f t="shared" si="147"/>
        <v>0</v>
      </c>
      <c r="AT222" s="115">
        <f t="shared" si="147"/>
        <v>0</v>
      </c>
      <c r="AU222" s="115">
        <f t="shared" si="147"/>
        <v>0</v>
      </c>
      <c r="AV222" s="115">
        <f t="shared" si="147"/>
        <v>0</v>
      </c>
      <c r="AW222" s="115">
        <f t="shared" si="147"/>
        <v>0</v>
      </c>
      <c r="AX222" s="115">
        <f t="shared" si="147"/>
        <v>0</v>
      </c>
      <c r="AY222" s="115">
        <f t="shared" si="147"/>
        <v>0</v>
      </c>
      <c r="AZ222" s="115">
        <f t="shared" si="147"/>
        <v>0</v>
      </c>
      <c r="BA222" s="115">
        <f t="shared" si="147"/>
        <v>0</v>
      </c>
      <c r="BB222" s="115">
        <f t="shared" si="147"/>
        <v>0</v>
      </c>
      <c r="BC222" s="115">
        <f t="shared" si="147"/>
        <v>0</v>
      </c>
      <c r="BD222" s="115">
        <f t="shared" si="147"/>
        <v>0</v>
      </c>
      <c r="BE222" s="115">
        <f t="shared" si="147"/>
        <v>0</v>
      </c>
      <c r="BF222" s="115">
        <f t="shared" si="147"/>
        <v>0</v>
      </c>
      <c r="BG222" s="115">
        <f t="shared" si="147"/>
        <v>0</v>
      </c>
      <c r="BH222" s="115">
        <f t="shared" si="147"/>
        <v>0</v>
      </c>
      <c r="BI222" s="115">
        <f t="shared" si="147"/>
        <v>0</v>
      </c>
      <c r="BJ222" s="115">
        <f t="shared" si="147"/>
        <v>0</v>
      </c>
      <c r="BK222" s="115">
        <f t="shared" si="147"/>
        <v>0</v>
      </c>
      <c r="BL222" s="115">
        <f t="shared" si="147"/>
        <v>0</v>
      </c>
      <c r="BM222" s="115">
        <f t="shared" si="147"/>
        <v>0</v>
      </c>
      <c r="BN222" s="115">
        <f t="shared" si="147"/>
        <v>0</v>
      </c>
      <c r="BO222" s="115">
        <f t="shared" si="147"/>
        <v>0</v>
      </c>
    </row>
    <row r="223" outlineLevel="1">
      <c r="A223" s="47"/>
      <c r="B223" s="142"/>
      <c r="C223" s="47"/>
      <c r="D223" s="47"/>
      <c r="E223" s="66"/>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15"/>
      <c r="AF223" s="115"/>
      <c r="AG223" s="115"/>
      <c r="AH223" s="115"/>
      <c r="AI223" s="115"/>
      <c r="AJ223" s="115"/>
      <c r="AK223" s="115"/>
      <c r="AL223" s="115"/>
      <c r="AM223" s="115"/>
      <c r="AN223" s="115"/>
      <c r="AO223" s="115"/>
      <c r="AP223" s="115"/>
      <c r="AQ223" s="115"/>
      <c r="AR223" s="115"/>
      <c r="AS223" s="115"/>
      <c r="AT223" s="115"/>
      <c r="AU223" s="115"/>
      <c r="AV223" s="115"/>
      <c r="AW223" s="115"/>
      <c r="AX223" s="115"/>
      <c r="AY223" s="115"/>
      <c r="AZ223" s="115"/>
      <c r="BA223" s="115"/>
      <c r="BB223" s="115"/>
      <c r="BC223" s="115"/>
      <c r="BD223" s="115"/>
      <c r="BE223" s="115"/>
      <c r="BF223" s="115"/>
      <c r="BG223" s="115"/>
      <c r="BH223" s="115"/>
      <c r="BI223" s="115"/>
      <c r="BJ223" s="115"/>
      <c r="BK223" s="115"/>
      <c r="BL223" s="115"/>
      <c r="BM223" s="115"/>
      <c r="BN223" s="115"/>
      <c r="BO223" s="115"/>
    </row>
    <row r="224" outlineLevel="1">
      <c r="A224" s="47"/>
      <c r="B224" s="139" t="s">
        <v>146</v>
      </c>
      <c r="C224" s="82"/>
      <c r="D224" s="82"/>
      <c r="E224" s="160"/>
      <c r="F224" s="148"/>
      <c r="G224" s="148"/>
      <c r="H224" s="148">
        <f>SUM(H219:H222)</f>
        <v>0</v>
      </c>
      <c r="I224" s="148">
        <f t="shared" ref="I224:BO224" si="148">H224+sum(I219:I222)</f>
        <v>0</v>
      </c>
      <c r="J224" s="148">
        <f t="shared" si="148"/>
        <v>0</v>
      </c>
      <c r="K224" s="148">
        <f t="shared" si="148"/>
        <v>0</v>
      </c>
      <c r="L224" s="148">
        <f t="shared" si="148"/>
        <v>0</v>
      </c>
      <c r="M224" s="148">
        <f t="shared" si="148"/>
        <v>0</v>
      </c>
      <c r="N224" s="148">
        <f t="shared" si="148"/>
        <v>0</v>
      </c>
      <c r="O224" s="148">
        <f t="shared" si="148"/>
        <v>0</v>
      </c>
      <c r="P224" s="148">
        <f t="shared" si="148"/>
        <v>0</v>
      </c>
      <c r="Q224" s="148">
        <f t="shared" si="148"/>
        <v>0</v>
      </c>
      <c r="R224" s="148">
        <f t="shared" si="148"/>
        <v>0</v>
      </c>
      <c r="S224" s="148">
        <f t="shared" si="148"/>
        <v>0</v>
      </c>
      <c r="T224" s="148">
        <f t="shared" si="148"/>
        <v>0</v>
      </c>
      <c r="U224" s="148">
        <f t="shared" si="148"/>
        <v>0</v>
      </c>
      <c r="V224" s="148">
        <f t="shared" si="148"/>
        <v>0</v>
      </c>
      <c r="W224" s="148">
        <f t="shared" si="148"/>
        <v>0</v>
      </c>
      <c r="X224" s="148">
        <f t="shared" si="148"/>
        <v>0</v>
      </c>
      <c r="Y224" s="148">
        <f t="shared" si="148"/>
        <v>0</v>
      </c>
      <c r="Z224" s="148">
        <f t="shared" si="148"/>
        <v>0</v>
      </c>
      <c r="AA224" s="148">
        <f t="shared" si="148"/>
        <v>0</v>
      </c>
      <c r="AB224" s="148">
        <f t="shared" si="148"/>
        <v>0</v>
      </c>
      <c r="AC224" s="148">
        <f t="shared" si="148"/>
        <v>0</v>
      </c>
      <c r="AD224" s="148">
        <f t="shared" si="148"/>
        <v>0</v>
      </c>
      <c r="AE224" s="148">
        <f t="shared" si="148"/>
        <v>0</v>
      </c>
      <c r="AF224" s="148">
        <f t="shared" si="148"/>
        <v>0</v>
      </c>
      <c r="AG224" s="148">
        <f t="shared" si="148"/>
        <v>0</v>
      </c>
      <c r="AH224" s="148">
        <f t="shared" si="148"/>
        <v>0</v>
      </c>
      <c r="AI224" s="148">
        <f t="shared" si="148"/>
        <v>0</v>
      </c>
      <c r="AJ224" s="148">
        <f t="shared" si="148"/>
        <v>0</v>
      </c>
      <c r="AK224" s="148">
        <f t="shared" si="148"/>
        <v>0</v>
      </c>
      <c r="AL224" s="148">
        <f t="shared" si="148"/>
        <v>0</v>
      </c>
      <c r="AM224" s="148">
        <f t="shared" si="148"/>
        <v>0</v>
      </c>
      <c r="AN224" s="148">
        <f t="shared" si="148"/>
        <v>0</v>
      </c>
      <c r="AO224" s="148">
        <f t="shared" si="148"/>
        <v>0</v>
      </c>
      <c r="AP224" s="148">
        <f t="shared" si="148"/>
        <v>0</v>
      </c>
      <c r="AQ224" s="148">
        <f t="shared" si="148"/>
        <v>0</v>
      </c>
      <c r="AR224" s="148">
        <f t="shared" si="148"/>
        <v>0</v>
      </c>
      <c r="AS224" s="148">
        <f t="shared" si="148"/>
        <v>0</v>
      </c>
      <c r="AT224" s="148">
        <f t="shared" si="148"/>
        <v>0</v>
      </c>
      <c r="AU224" s="148">
        <f t="shared" si="148"/>
        <v>0</v>
      </c>
      <c r="AV224" s="148">
        <f t="shared" si="148"/>
        <v>0</v>
      </c>
      <c r="AW224" s="148">
        <f t="shared" si="148"/>
        <v>0</v>
      </c>
      <c r="AX224" s="148">
        <f t="shared" si="148"/>
        <v>0</v>
      </c>
      <c r="AY224" s="148">
        <f t="shared" si="148"/>
        <v>0</v>
      </c>
      <c r="AZ224" s="148">
        <f t="shared" si="148"/>
        <v>0</v>
      </c>
      <c r="BA224" s="148">
        <f t="shared" si="148"/>
        <v>0</v>
      </c>
      <c r="BB224" s="148">
        <f t="shared" si="148"/>
        <v>0</v>
      </c>
      <c r="BC224" s="148">
        <f t="shared" si="148"/>
        <v>0</v>
      </c>
      <c r="BD224" s="148">
        <f t="shared" si="148"/>
        <v>0</v>
      </c>
      <c r="BE224" s="148">
        <f t="shared" si="148"/>
        <v>0</v>
      </c>
      <c r="BF224" s="148">
        <f t="shared" si="148"/>
        <v>0</v>
      </c>
      <c r="BG224" s="148">
        <f t="shared" si="148"/>
        <v>0</v>
      </c>
      <c r="BH224" s="148">
        <f t="shared" si="148"/>
        <v>0</v>
      </c>
      <c r="BI224" s="148">
        <f t="shared" si="148"/>
        <v>0</v>
      </c>
      <c r="BJ224" s="148">
        <f t="shared" si="148"/>
        <v>0</v>
      </c>
      <c r="BK224" s="148">
        <f t="shared" si="148"/>
        <v>0</v>
      </c>
      <c r="BL224" s="148">
        <f t="shared" si="148"/>
        <v>0</v>
      </c>
      <c r="BM224" s="148">
        <f t="shared" si="148"/>
        <v>0</v>
      </c>
      <c r="BN224" s="148">
        <f t="shared" si="148"/>
        <v>0</v>
      </c>
      <c r="BO224" s="148">
        <f t="shared" si="148"/>
        <v>0</v>
      </c>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c r="BO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c r="BO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c r="BO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c r="BO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c r="BO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c r="BO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c r="BO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c r="BO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c r="BO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c r="BO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c r="BO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c r="BO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c r="BO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c r="BO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c r="BO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c r="BO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c r="BO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c r="BO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c r="BO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c r="BO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c r="BO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c r="BO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c r="BO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c r="BO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c r="BO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c r="BO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c r="BO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c r="BO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c r="BO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c r="BO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c r="BO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c r="BO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c r="BO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c r="BO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c r="BO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c r="BO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c r="BO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c r="BO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c r="BO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c r="BO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c r="BO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c r="BO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c r="BO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c r="BO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c r="BO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c r="BO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c r="BO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c r="BO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c r="BO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c r="BO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c r="BO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c r="BO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c r="BO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c r="BO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c r="BO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c r="BO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c r="BO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c r="BO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c r="BO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c r="BO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c r="BO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c r="BO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c r="BO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c r="BO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c r="BO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c r="BO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c r="BO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c r="BO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c r="BO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c r="BO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c r="BO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c r="BO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c r="BO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c r="BO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c r="BO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c r="BO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c r="BO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c r="BO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c r="BO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c r="BO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c r="BO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c r="BO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c r="BO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c r="BO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c r="BO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c r="BO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c r="BO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c r="BO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c r="BO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c r="BO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c r="BO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c r="BO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c r="BO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c r="BO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c r="BO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c r="BO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c r="BO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c r="BO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c r="BO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c r="BO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c r="BO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c r="BO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c r="BO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c r="BO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c r="BO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c r="BO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c r="BO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c r="BO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c r="BO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c r="BO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c r="BO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c r="BO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c r="BO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c r="BO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c r="BO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c r="BO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c r="BO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c r="BO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c r="BO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c r="BO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c r="BO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c r="BO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c r="BO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c r="BO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c r="BO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c r="BO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c r="BO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c r="BO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c r="BO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c r="BO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c r="BO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c r="BO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c r="BO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c r="BO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c r="BO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c r="BO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c r="BO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c r="BO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c r="BO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c r="BO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c r="BO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c r="BO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c r="BO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c r="BO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c r="BO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c r="BO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c r="BO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c r="BO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c r="BO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c r="BO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c r="BO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c r="BO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c r="BO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c r="BO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c r="BO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c r="BO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c r="BO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c r="BO1088" s="43"/>
    </row>
    <row r="1089">
      <c r="A1089" s="47"/>
      <c r="B1089" s="47"/>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c r="BO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c r="BO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c r="BO1091" s="43"/>
    </row>
    <row r="1092">
      <c r="A1092" s="47"/>
      <c r="B1092" s="47"/>
      <c r="C1092" s="47"/>
      <c r="D1092" s="47"/>
      <c r="E1092" s="47"/>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c r="BO1092" s="43"/>
    </row>
    <row r="1093">
      <c r="A1093" s="47"/>
      <c r="B1093" s="47"/>
      <c r="C1093" s="47"/>
      <c r="D1093" s="47"/>
      <c r="E1093" s="47"/>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c r="BO1093" s="43"/>
    </row>
    <row r="1094">
      <c r="A1094" s="47"/>
      <c r="B1094" s="47"/>
      <c r="C1094" s="47"/>
      <c r="D1094" s="47"/>
      <c r="E1094" s="47"/>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c r="BO1094" s="43"/>
    </row>
    <row r="1095">
      <c r="A1095" s="47"/>
      <c r="B1095" s="47"/>
      <c r="C1095" s="47"/>
      <c r="D1095" s="47"/>
      <c r="E1095" s="47"/>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c r="BO1095" s="43"/>
    </row>
    <row r="1096">
      <c r="A1096" s="47"/>
      <c r="B1096" s="47"/>
      <c r="C1096" s="47"/>
      <c r="D1096" s="47"/>
      <c r="E1096" s="47"/>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c r="BO1096" s="43"/>
    </row>
    <row r="1097">
      <c r="A1097" s="47"/>
      <c r="B1097" s="47"/>
      <c r="C1097" s="47"/>
      <c r="D1097" s="47"/>
      <c r="E1097" s="47"/>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3"/>
      <c r="AZ1097" s="43"/>
      <c r="BA1097" s="43"/>
      <c r="BB1097" s="43"/>
      <c r="BC1097" s="43"/>
      <c r="BD1097" s="43"/>
      <c r="BE1097" s="43"/>
      <c r="BF1097" s="43"/>
      <c r="BG1097" s="43"/>
      <c r="BH1097" s="43"/>
      <c r="BI1097" s="43"/>
      <c r="BJ1097" s="43"/>
      <c r="BK1097" s="43"/>
      <c r="BL1097" s="43"/>
      <c r="BM1097" s="43"/>
      <c r="BN1097" s="43"/>
      <c r="BO1097" s="43"/>
    </row>
    <row r="1098">
      <c r="A1098" s="47"/>
      <c r="B1098" s="47"/>
      <c r="C1098" s="47"/>
      <c r="D1098" s="47"/>
      <c r="E1098" s="47"/>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c r="BO1098" s="43"/>
    </row>
    <row r="1099">
      <c r="A1099" s="47"/>
      <c r="B1099" s="47"/>
      <c r="C1099" s="47"/>
      <c r="D1099" s="47"/>
      <c r="E1099" s="47"/>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3"/>
      <c r="AZ1099" s="43"/>
      <c r="BA1099" s="43"/>
      <c r="BB1099" s="43"/>
      <c r="BC1099" s="43"/>
      <c r="BD1099" s="43"/>
      <c r="BE1099" s="43"/>
      <c r="BF1099" s="43"/>
      <c r="BG1099" s="43"/>
      <c r="BH1099" s="43"/>
      <c r="BI1099" s="43"/>
      <c r="BJ1099" s="43"/>
      <c r="BK1099" s="43"/>
      <c r="BL1099" s="43"/>
      <c r="BM1099" s="43"/>
      <c r="BN1099" s="43"/>
      <c r="BO1099" s="43"/>
    </row>
    <row r="1100">
      <c r="A1100" s="47"/>
      <c r="B1100" s="47"/>
      <c r="C1100" s="47"/>
      <c r="D1100" s="47"/>
      <c r="E1100" s="47"/>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3"/>
      <c r="AZ1100" s="43"/>
      <c r="BA1100" s="43"/>
      <c r="BB1100" s="43"/>
      <c r="BC1100" s="43"/>
      <c r="BD1100" s="43"/>
      <c r="BE1100" s="43"/>
      <c r="BF1100" s="43"/>
      <c r="BG1100" s="43"/>
      <c r="BH1100" s="43"/>
      <c r="BI1100" s="43"/>
      <c r="BJ1100" s="43"/>
      <c r="BK1100" s="43"/>
      <c r="BL1100" s="43"/>
      <c r="BM1100" s="43"/>
      <c r="BN1100" s="43"/>
      <c r="BO1100" s="43"/>
    </row>
    <row r="1101">
      <c r="A1101" s="47"/>
      <c r="B1101" s="47"/>
      <c r="C1101" s="47"/>
      <c r="D1101" s="47"/>
      <c r="E1101" s="47"/>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3"/>
      <c r="AZ1101" s="43"/>
      <c r="BA1101" s="43"/>
      <c r="BB1101" s="43"/>
      <c r="BC1101" s="43"/>
      <c r="BD1101" s="43"/>
      <c r="BE1101" s="43"/>
      <c r="BF1101" s="43"/>
      <c r="BG1101" s="43"/>
      <c r="BH1101" s="43"/>
      <c r="BI1101" s="43"/>
      <c r="BJ1101" s="43"/>
      <c r="BK1101" s="43"/>
      <c r="BL1101" s="43"/>
      <c r="BM1101" s="43"/>
      <c r="BN1101" s="43"/>
      <c r="BO1101" s="43"/>
    </row>
    <row r="1102">
      <c r="A1102" s="47"/>
      <c r="B1102" s="47"/>
      <c r="C1102" s="47"/>
      <c r="D1102" s="47"/>
      <c r="E1102" s="47"/>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3"/>
      <c r="AZ1102" s="43"/>
      <c r="BA1102" s="43"/>
      <c r="BB1102" s="43"/>
      <c r="BC1102" s="43"/>
      <c r="BD1102" s="43"/>
      <c r="BE1102" s="43"/>
      <c r="BF1102" s="43"/>
      <c r="BG1102" s="43"/>
      <c r="BH1102" s="43"/>
      <c r="BI1102" s="43"/>
      <c r="BJ1102" s="43"/>
      <c r="BK1102" s="43"/>
      <c r="BL1102" s="43"/>
      <c r="BM1102" s="43"/>
      <c r="BN1102" s="43"/>
      <c r="BO1102" s="43"/>
    </row>
    <row r="1103">
      <c r="A1103" s="47"/>
      <c r="B1103" s="47"/>
      <c r="C1103" s="47"/>
      <c r="D1103" s="47"/>
      <c r="E1103" s="47"/>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3"/>
      <c r="AZ1103" s="43"/>
      <c r="BA1103" s="43"/>
      <c r="BB1103" s="43"/>
      <c r="BC1103" s="43"/>
      <c r="BD1103" s="43"/>
      <c r="BE1103" s="43"/>
      <c r="BF1103" s="43"/>
      <c r="BG1103" s="43"/>
      <c r="BH1103" s="43"/>
      <c r="BI1103" s="43"/>
      <c r="BJ1103" s="43"/>
      <c r="BK1103" s="43"/>
      <c r="BL1103" s="43"/>
      <c r="BM1103" s="43"/>
      <c r="BN1103" s="43"/>
      <c r="BO1103" s="43"/>
    </row>
    <row r="1104">
      <c r="A1104" s="47"/>
      <c r="B1104" s="47"/>
      <c r="C1104" s="47"/>
      <c r="D1104" s="47"/>
      <c r="E1104" s="47"/>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3"/>
      <c r="AZ1104" s="43"/>
      <c r="BA1104" s="43"/>
      <c r="BB1104" s="43"/>
      <c r="BC1104" s="43"/>
      <c r="BD1104" s="43"/>
      <c r="BE1104" s="43"/>
      <c r="BF1104" s="43"/>
      <c r="BG1104" s="43"/>
      <c r="BH1104" s="43"/>
      <c r="BI1104" s="43"/>
      <c r="BJ1104" s="43"/>
      <c r="BK1104" s="43"/>
      <c r="BL1104" s="43"/>
      <c r="BM1104" s="43"/>
      <c r="BN1104" s="43"/>
      <c r="BO1104" s="43"/>
    </row>
    <row r="1105">
      <c r="A1105" s="47"/>
      <c r="B1105" s="47"/>
      <c r="C1105" s="47"/>
      <c r="D1105" s="47"/>
      <c r="E1105" s="47"/>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3"/>
      <c r="AZ1105" s="43"/>
      <c r="BA1105" s="43"/>
      <c r="BB1105" s="43"/>
      <c r="BC1105" s="43"/>
      <c r="BD1105" s="43"/>
      <c r="BE1105" s="43"/>
      <c r="BF1105" s="43"/>
      <c r="BG1105" s="43"/>
      <c r="BH1105" s="43"/>
      <c r="BI1105" s="43"/>
      <c r="BJ1105" s="43"/>
      <c r="BK1105" s="43"/>
      <c r="BL1105" s="43"/>
      <c r="BM1105" s="43"/>
      <c r="BN1105" s="43"/>
      <c r="BO1105" s="43"/>
    </row>
    <row r="1106">
      <c r="A1106" s="47"/>
      <c r="B1106" s="47"/>
      <c r="C1106" s="47"/>
      <c r="D1106" s="47"/>
      <c r="E1106" s="47"/>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3"/>
      <c r="AZ1106" s="43"/>
      <c r="BA1106" s="43"/>
      <c r="BB1106" s="43"/>
      <c r="BC1106" s="43"/>
      <c r="BD1106" s="43"/>
      <c r="BE1106" s="43"/>
      <c r="BF1106" s="43"/>
      <c r="BG1106" s="43"/>
      <c r="BH1106" s="43"/>
      <c r="BI1106" s="43"/>
      <c r="BJ1106" s="43"/>
      <c r="BK1106" s="43"/>
      <c r="BL1106" s="43"/>
      <c r="BM1106" s="43"/>
      <c r="BN1106" s="43"/>
      <c r="BO1106" s="43"/>
    </row>
    <row r="1107">
      <c r="A1107" s="47"/>
      <c r="B1107" s="47"/>
      <c r="C1107" s="47"/>
      <c r="D1107" s="47"/>
      <c r="E1107" s="47"/>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3"/>
      <c r="AZ1107" s="43"/>
      <c r="BA1107" s="43"/>
      <c r="BB1107" s="43"/>
      <c r="BC1107" s="43"/>
      <c r="BD1107" s="43"/>
      <c r="BE1107" s="43"/>
      <c r="BF1107" s="43"/>
      <c r="BG1107" s="43"/>
      <c r="BH1107" s="43"/>
      <c r="BI1107" s="43"/>
      <c r="BJ1107" s="43"/>
      <c r="BK1107" s="43"/>
      <c r="BL1107" s="43"/>
      <c r="BM1107" s="43"/>
      <c r="BN1107" s="43"/>
      <c r="BO1107" s="43"/>
    </row>
    <row r="1108">
      <c r="A1108" s="47"/>
      <c r="B1108" s="47"/>
      <c r="C1108" s="47"/>
      <c r="D1108" s="47"/>
      <c r="E1108" s="47"/>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3"/>
      <c r="AZ1108" s="43"/>
      <c r="BA1108" s="43"/>
      <c r="BB1108" s="43"/>
      <c r="BC1108" s="43"/>
      <c r="BD1108" s="43"/>
      <c r="BE1108" s="43"/>
      <c r="BF1108" s="43"/>
      <c r="BG1108" s="43"/>
      <c r="BH1108" s="43"/>
      <c r="BI1108" s="43"/>
      <c r="BJ1108" s="43"/>
      <c r="BK1108" s="43"/>
      <c r="BL1108" s="43"/>
      <c r="BM1108" s="43"/>
      <c r="BN1108" s="43"/>
      <c r="BO1108" s="43"/>
    </row>
    <row r="1109">
      <c r="A1109" s="47"/>
      <c r="B1109" s="47"/>
      <c r="C1109" s="47"/>
      <c r="D1109" s="47"/>
      <c r="E1109" s="47"/>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3"/>
      <c r="AZ1109" s="43"/>
      <c r="BA1109" s="43"/>
      <c r="BB1109" s="43"/>
      <c r="BC1109" s="43"/>
      <c r="BD1109" s="43"/>
      <c r="BE1109" s="43"/>
      <c r="BF1109" s="43"/>
      <c r="BG1109" s="43"/>
      <c r="BH1109" s="43"/>
      <c r="BI1109" s="43"/>
      <c r="BJ1109" s="43"/>
      <c r="BK1109" s="43"/>
      <c r="BL1109" s="43"/>
      <c r="BM1109" s="43"/>
      <c r="BN1109" s="43"/>
      <c r="BO1109" s="43"/>
    </row>
    <row r="1110">
      <c r="A1110" s="47"/>
      <c r="B1110" s="39" t="s">
        <v>153</v>
      </c>
      <c r="C1110" s="47"/>
      <c r="D1110" s="47"/>
      <c r="E1110" s="47"/>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3"/>
      <c r="AZ1110" s="43"/>
      <c r="BA1110" s="43"/>
      <c r="BB1110" s="43"/>
      <c r="BC1110" s="43"/>
      <c r="BD1110" s="43"/>
      <c r="BE1110" s="43"/>
      <c r="BF1110" s="43"/>
      <c r="BG1110" s="43"/>
      <c r="BH1110" s="43"/>
      <c r="BI1110" s="43"/>
      <c r="BJ1110" s="43"/>
      <c r="BK1110" s="43"/>
      <c r="BL1110" s="43"/>
      <c r="BM1110" s="43"/>
      <c r="BN1110" s="43"/>
      <c r="BO1110" s="43"/>
    </row>
    <row r="1111">
      <c r="A1111" s="47"/>
      <c r="B1111" s="47"/>
      <c r="C1111" s="47"/>
      <c r="D1111" s="47"/>
      <c r="E1111" s="47"/>
      <c r="F1111" s="43"/>
      <c r="G1111" s="43"/>
      <c r="H1111" s="43"/>
      <c r="I1111" s="43"/>
      <c r="J1111" s="43"/>
      <c r="K1111" s="43"/>
      <c r="L1111" s="43"/>
      <c r="M1111" s="43"/>
      <c r="N1111" s="43"/>
      <c r="O1111" s="43"/>
      <c r="P1111" s="43"/>
      <c r="Q1111" s="43"/>
      <c r="R1111" s="43"/>
      <c r="S1111" s="43"/>
      <c r="T1111" s="43"/>
      <c r="U1111" s="43"/>
      <c r="V1111" s="43"/>
      <c r="W1111" s="43"/>
      <c r="X1111" s="43"/>
      <c r="Y1111" s="43"/>
      <c r="Z1111" s="43"/>
      <c r="AA1111" s="43"/>
      <c r="AB1111" s="43"/>
      <c r="AC1111" s="43"/>
      <c r="AD1111" s="43"/>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3"/>
      <c r="AZ1111" s="43"/>
      <c r="BA1111" s="43"/>
      <c r="BB1111" s="43"/>
      <c r="BC1111" s="43"/>
      <c r="BD1111" s="43"/>
      <c r="BE1111" s="43"/>
      <c r="BF1111" s="43"/>
      <c r="BG1111" s="43"/>
      <c r="BH1111" s="43"/>
      <c r="BI1111" s="43"/>
      <c r="BJ1111" s="43"/>
      <c r="BK1111" s="43"/>
      <c r="BL1111" s="43"/>
      <c r="BM1111" s="43"/>
      <c r="BN1111" s="43"/>
      <c r="BO1111" s="43"/>
    </row>
    <row r="1112">
      <c r="A1112" s="47"/>
      <c r="B1112" s="47"/>
      <c r="C1112" s="47"/>
      <c r="D1112" s="47"/>
      <c r="E1112" s="47"/>
      <c r="F1112" s="43"/>
      <c r="G1112" s="43"/>
      <c r="H1112" s="43"/>
      <c r="I1112" s="43"/>
      <c r="J1112" s="43"/>
      <c r="K1112" s="43"/>
      <c r="L1112" s="43"/>
      <c r="M1112" s="43"/>
      <c r="N1112" s="43"/>
      <c r="O1112" s="43"/>
      <c r="P1112" s="43"/>
      <c r="Q1112" s="43"/>
      <c r="R1112" s="43"/>
      <c r="S1112" s="43"/>
      <c r="T1112" s="43"/>
      <c r="U1112" s="43"/>
      <c r="V1112" s="43"/>
      <c r="W1112" s="43"/>
      <c r="X1112" s="43"/>
      <c r="Y1112" s="43"/>
      <c r="Z1112" s="43"/>
      <c r="AA1112" s="43"/>
      <c r="AB1112" s="43"/>
      <c r="AC1112" s="43"/>
      <c r="AD1112" s="43"/>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3"/>
      <c r="AZ1112" s="43"/>
      <c r="BA1112" s="43"/>
      <c r="BB1112" s="43"/>
      <c r="BC1112" s="43"/>
      <c r="BD1112" s="43"/>
      <c r="BE1112" s="43"/>
      <c r="BF1112" s="43"/>
      <c r="BG1112" s="43"/>
      <c r="BH1112" s="43"/>
      <c r="BI1112" s="43"/>
      <c r="BJ1112" s="43"/>
      <c r="BK1112" s="43"/>
      <c r="BL1112" s="43"/>
      <c r="BM1112" s="43"/>
      <c r="BN1112" s="43"/>
      <c r="BO1112" s="43"/>
    </row>
    <row r="1113">
      <c r="A1113" s="47"/>
      <c r="B1113" s="47"/>
      <c r="C1113" s="47"/>
      <c r="D1113" s="47"/>
      <c r="E1113" s="47"/>
      <c r="F1113" s="43"/>
      <c r="G1113" s="43"/>
      <c r="H1113" s="43"/>
      <c r="I1113" s="43"/>
      <c r="J1113" s="43"/>
      <c r="K1113" s="43"/>
      <c r="L1113" s="43"/>
      <c r="M1113" s="43"/>
      <c r="N1113" s="43"/>
      <c r="O1113" s="43"/>
      <c r="P1113" s="43"/>
      <c r="Q1113" s="43"/>
      <c r="R1113" s="43"/>
      <c r="S1113" s="43"/>
      <c r="T1113" s="43"/>
      <c r="U1113" s="43"/>
      <c r="V1113" s="43"/>
      <c r="W1113" s="43"/>
      <c r="X1113" s="43"/>
      <c r="Y1113" s="43"/>
      <c r="Z1113" s="43"/>
      <c r="AA1113" s="43"/>
      <c r="AB1113" s="43"/>
      <c r="AC1113" s="43"/>
      <c r="AD1113" s="43"/>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3"/>
      <c r="AZ1113" s="43"/>
      <c r="BA1113" s="43"/>
      <c r="BB1113" s="43"/>
      <c r="BC1113" s="43"/>
      <c r="BD1113" s="43"/>
      <c r="BE1113" s="43"/>
      <c r="BF1113" s="43"/>
      <c r="BG1113" s="43"/>
      <c r="BH1113" s="43"/>
      <c r="BI1113" s="43"/>
      <c r="BJ1113" s="43"/>
      <c r="BK1113" s="43"/>
      <c r="BL1113" s="43"/>
      <c r="BM1113" s="43"/>
      <c r="BN1113" s="43"/>
      <c r="BO1113" s="43"/>
    </row>
    <row r="1114">
      <c r="A1114" s="47"/>
      <c r="B1114" s="47"/>
      <c r="C1114" s="47"/>
      <c r="D1114" s="47"/>
      <c r="E1114" s="47"/>
      <c r="F1114" s="43"/>
      <c r="G1114" s="43"/>
      <c r="H1114" s="43"/>
      <c r="I1114" s="43"/>
      <c r="J1114" s="43"/>
      <c r="K1114" s="43"/>
      <c r="L1114" s="43"/>
      <c r="M1114" s="43"/>
      <c r="N1114" s="43"/>
      <c r="O1114" s="43"/>
      <c r="P1114" s="43"/>
      <c r="Q1114" s="43"/>
      <c r="R1114" s="43"/>
      <c r="S1114" s="43"/>
      <c r="T1114" s="43"/>
      <c r="U1114" s="43"/>
      <c r="V1114" s="43"/>
      <c r="W1114" s="43"/>
      <c r="X1114" s="43"/>
      <c r="Y1114" s="43"/>
      <c r="Z1114" s="43"/>
      <c r="AA1114" s="43"/>
      <c r="AB1114" s="43"/>
      <c r="AC1114" s="43"/>
      <c r="AD1114" s="43"/>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3"/>
      <c r="AZ1114" s="43"/>
      <c r="BA1114" s="43"/>
      <c r="BB1114" s="43"/>
      <c r="BC1114" s="43"/>
      <c r="BD1114" s="43"/>
      <c r="BE1114" s="43"/>
      <c r="BF1114" s="43"/>
      <c r="BG1114" s="43"/>
      <c r="BH1114" s="43"/>
      <c r="BI1114" s="43"/>
      <c r="BJ1114" s="43"/>
      <c r="BK1114" s="43"/>
      <c r="BL1114" s="43"/>
      <c r="BM1114" s="43"/>
      <c r="BN1114" s="43"/>
      <c r="BO1114"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61"/>
      <c r="B1" s="161" t="s">
        <v>8</v>
      </c>
      <c r="C1" s="162"/>
      <c r="D1" s="162"/>
      <c r="E1" s="162"/>
      <c r="F1" s="162">
        <v>1.0</v>
      </c>
      <c r="G1" s="162">
        <v>1.0</v>
      </c>
      <c r="H1" s="162">
        <v>1.0</v>
      </c>
      <c r="I1" s="162">
        <v>1.0</v>
      </c>
      <c r="J1" s="162">
        <v>1.0</v>
      </c>
      <c r="K1" s="162">
        <v>1.0</v>
      </c>
      <c r="L1" s="162">
        <v>1.0</v>
      </c>
      <c r="M1" s="162">
        <v>1.0</v>
      </c>
      <c r="N1" s="162">
        <v>1.0</v>
      </c>
      <c r="O1" s="162">
        <v>1.0</v>
      </c>
      <c r="P1" s="162">
        <v>1.0</v>
      </c>
      <c r="Q1" s="162">
        <v>1.0</v>
      </c>
      <c r="R1" s="162">
        <f t="shared" ref="R1:BM1" si="1">F1+1</f>
        <v>2</v>
      </c>
      <c r="S1" s="162">
        <f t="shared" si="1"/>
        <v>2</v>
      </c>
      <c r="T1" s="162">
        <f t="shared" si="1"/>
        <v>2</v>
      </c>
      <c r="U1" s="162">
        <f t="shared" si="1"/>
        <v>2</v>
      </c>
      <c r="V1" s="162">
        <f t="shared" si="1"/>
        <v>2</v>
      </c>
      <c r="W1" s="162">
        <f t="shared" si="1"/>
        <v>2</v>
      </c>
      <c r="X1" s="162">
        <f t="shared" si="1"/>
        <v>2</v>
      </c>
      <c r="Y1" s="162">
        <f t="shared" si="1"/>
        <v>2</v>
      </c>
      <c r="Z1" s="162">
        <f t="shared" si="1"/>
        <v>2</v>
      </c>
      <c r="AA1" s="162">
        <f t="shared" si="1"/>
        <v>2</v>
      </c>
      <c r="AB1" s="162">
        <f t="shared" si="1"/>
        <v>2</v>
      </c>
      <c r="AC1" s="162">
        <f t="shared" si="1"/>
        <v>2</v>
      </c>
      <c r="AD1" s="162">
        <f t="shared" si="1"/>
        <v>3</v>
      </c>
      <c r="AE1" s="162">
        <f t="shared" si="1"/>
        <v>3</v>
      </c>
      <c r="AF1" s="162">
        <f t="shared" si="1"/>
        <v>3</v>
      </c>
      <c r="AG1" s="162">
        <f t="shared" si="1"/>
        <v>3</v>
      </c>
      <c r="AH1" s="162">
        <f t="shared" si="1"/>
        <v>3</v>
      </c>
      <c r="AI1" s="162">
        <f t="shared" si="1"/>
        <v>3</v>
      </c>
      <c r="AJ1" s="162">
        <f t="shared" si="1"/>
        <v>3</v>
      </c>
      <c r="AK1" s="162">
        <f t="shared" si="1"/>
        <v>3</v>
      </c>
      <c r="AL1" s="162">
        <f t="shared" si="1"/>
        <v>3</v>
      </c>
      <c r="AM1" s="162">
        <f t="shared" si="1"/>
        <v>3</v>
      </c>
      <c r="AN1" s="162">
        <f t="shared" si="1"/>
        <v>3</v>
      </c>
      <c r="AO1" s="162">
        <f t="shared" si="1"/>
        <v>3</v>
      </c>
      <c r="AP1" s="162">
        <f t="shared" si="1"/>
        <v>4</v>
      </c>
      <c r="AQ1" s="162">
        <f t="shared" si="1"/>
        <v>4</v>
      </c>
      <c r="AR1" s="162">
        <f t="shared" si="1"/>
        <v>4</v>
      </c>
      <c r="AS1" s="162">
        <f t="shared" si="1"/>
        <v>4</v>
      </c>
      <c r="AT1" s="162">
        <f t="shared" si="1"/>
        <v>4</v>
      </c>
      <c r="AU1" s="162">
        <f t="shared" si="1"/>
        <v>4</v>
      </c>
      <c r="AV1" s="162">
        <f t="shared" si="1"/>
        <v>4</v>
      </c>
      <c r="AW1" s="162">
        <f t="shared" si="1"/>
        <v>4</v>
      </c>
      <c r="AX1" s="162">
        <f t="shared" si="1"/>
        <v>4</v>
      </c>
      <c r="AY1" s="162">
        <f t="shared" si="1"/>
        <v>4</v>
      </c>
      <c r="AZ1" s="162">
        <f t="shared" si="1"/>
        <v>4</v>
      </c>
      <c r="BA1" s="162">
        <f t="shared" si="1"/>
        <v>4</v>
      </c>
      <c r="BB1" s="162">
        <f t="shared" si="1"/>
        <v>5</v>
      </c>
      <c r="BC1" s="162">
        <f t="shared" si="1"/>
        <v>5</v>
      </c>
      <c r="BD1" s="162">
        <f t="shared" si="1"/>
        <v>5</v>
      </c>
      <c r="BE1" s="162">
        <f t="shared" si="1"/>
        <v>5</v>
      </c>
      <c r="BF1" s="162">
        <f t="shared" si="1"/>
        <v>5</v>
      </c>
      <c r="BG1" s="162">
        <f t="shared" si="1"/>
        <v>5</v>
      </c>
      <c r="BH1" s="162">
        <f t="shared" si="1"/>
        <v>5</v>
      </c>
      <c r="BI1" s="162">
        <f t="shared" si="1"/>
        <v>5</v>
      </c>
      <c r="BJ1" s="162">
        <f t="shared" si="1"/>
        <v>5</v>
      </c>
      <c r="BK1" s="162">
        <f t="shared" si="1"/>
        <v>5</v>
      </c>
      <c r="BL1" s="162">
        <f t="shared" si="1"/>
        <v>5</v>
      </c>
      <c r="BM1" s="162">
        <f t="shared" si="1"/>
        <v>5</v>
      </c>
      <c r="BN1" s="162"/>
    </row>
    <row r="2">
      <c r="A2" s="161"/>
      <c r="B2" s="161" t="s">
        <v>9</v>
      </c>
      <c r="C2" s="163"/>
      <c r="D2" s="163"/>
      <c r="E2" s="163"/>
      <c r="F2" s="163">
        <f t="shared" ref="F2:BM2" si="2">YEAR(F4)</f>
        <v>2026</v>
      </c>
      <c r="G2" s="163">
        <f t="shared" si="2"/>
        <v>2026</v>
      </c>
      <c r="H2" s="163">
        <f t="shared" si="2"/>
        <v>2026</v>
      </c>
      <c r="I2" s="163">
        <f t="shared" si="2"/>
        <v>2026</v>
      </c>
      <c r="J2" s="163">
        <f t="shared" si="2"/>
        <v>2026</v>
      </c>
      <c r="K2" s="163">
        <f t="shared" si="2"/>
        <v>2026</v>
      </c>
      <c r="L2" s="163">
        <f t="shared" si="2"/>
        <v>2026</v>
      </c>
      <c r="M2" s="163">
        <f t="shared" si="2"/>
        <v>2026</v>
      </c>
      <c r="N2" s="163">
        <f t="shared" si="2"/>
        <v>2026</v>
      </c>
      <c r="O2" s="163">
        <f t="shared" si="2"/>
        <v>2026</v>
      </c>
      <c r="P2" s="163">
        <f t="shared" si="2"/>
        <v>2026</v>
      </c>
      <c r="Q2" s="163">
        <f t="shared" si="2"/>
        <v>2027</v>
      </c>
      <c r="R2" s="163">
        <f t="shared" si="2"/>
        <v>2027</v>
      </c>
      <c r="S2" s="163">
        <f t="shared" si="2"/>
        <v>2027</v>
      </c>
      <c r="T2" s="163">
        <f t="shared" si="2"/>
        <v>2027</v>
      </c>
      <c r="U2" s="163">
        <f t="shared" si="2"/>
        <v>2027</v>
      </c>
      <c r="V2" s="163">
        <f t="shared" si="2"/>
        <v>2027</v>
      </c>
      <c r="W2" s="163">
        <f t="shared" si="2"/>
        <v>2027</v>
      </c>
      <c r="X2" s="163">
        <f t="shared" si="2"/>
        <v>2027</v>
      </c>
      <c r="Y2" s="163">
        <f t="shared" si="2"/>
        <v>2027</v>
      </c>
      <c r="Z2" s="163">
        <f t="shared" si="2"/>
        <v>2027</v>
      </c>
      <c r="AA2" s="163">
        <f t="shared" si="2"/>
        <v>2027</v>
      </c>
      <c r="AB2" s="163">
        <f t="shared" si="2"/>
        <v>2027</v>
      </c>
      <c r="AC2" s="163">
        <f t="shared" si="2"/>
        <v>2028</v>
      </c>
      <c r="AD2" s="163">
        <f t="shared" si="2"/>
        <v>2028</v>
      </c>
      <c r="AE2" s="163">
        <f t="shared" si="2"/>
        <v>2028</v>
      </c>
      <c r="AF2" s="163">
        <f t="shared" si="2"/>
        <v>2028</v>
      </c>
      <c r="AG2" s="163">
        <f t="shared" si="2"/>
        <v>2028</v>
      </c>
      <c r="AH2" s="163">
        <f t="shared" si="2"/>
        <v>2028</v>
      </c>
      <c r="AI2" s="163">
        <f t="shared" si="2"/>
        <v>2028</v>
      </c>
      <c r="AJ2" s="163">
        <f t="shared" si="2"/>
        <v>2028</v>
      </c>
      <c r="AK2" s="163">
        <f t="shared" si="2"/>
        <v>2028</v>
      </c>
      <c r="AL2" s="163">
        <f t="shared" si="2"/>
        <v>2028</v>
      </c>
      <c r="AM2" s="163">
        <f t="shared" si="2"/>
        <v>2028</v>
      </c>
      <c r="AN2" s="163">
        <f t="shared" si="2"/>
        <v>2028</v>
      </c>
      <c r="AO2" s="163">
        <f t="shared" si="2"/>
        <v>2029</v>
      </c>
      <c r="AP2" s="163">
        <f t="shared" si="2"/>
        <v>2029</v>
      </c>
      <c r="AQ2" s="163">
        <f t="shared" si="2"/>
        <v>2029</v>
      </c>
      <c r="AR2" s="163">
        <f t="shared" si="2"/>
        <v>2029</v>
      </c>
      <c r="AS2" s="163">
        <f t="shared" si="2"/>
        <v>2029</v>
      </c>
      <c r="AT2" s="163">
        <f t="shared" si="2"/>
        <v>2029</v>
      </c>
      <c r="AU2" s="163">
        <f t="shared" si="2"/>
        <v>2029</v>
      </c>
      <c r="AV2" s="163">
        <f t="shared" si="2"/>
        <v>2029</v>
      </c>
      <c r="AW2" s="163">
        <f t="shared" si="2"/>
        <v>2029</v>
      </c>
      <c r="AX2" s="163">
        <f t="shared" si="2"/>
        <v>2029</v>
      </c>
      <c r="AY2" s="163">
        <f t="shared" si="2"/>
        <v>2029</v>
      </c>
      <c r="AZ2" s="163">
        <f t="shared" si="2"/>
        <v>2029</v>
      </c>
      <c r="BA2" s="163">
        <f t="shared" si="2"/>
        <v>2030</v>
      </c>
      <c r="BB2" s="163">
        <f t="shared" si="2"/>
        <v>2030</v>
      </c>
      <c r="BC2" s="163">
        <f t="shared" si="2"/>
        <v>2030</v>
      </c>
      <c r="BD2" s="163">
        <f t="shared" si="2"/>
        <v>2030</v>
      </c>
      <c r="BE2" s="163">
        <f t="shared" si="2"/>
        <v>2030</v>
      </c>
      <c r="BF2" s="163">
        <f t="shared" si="2"/>
        <v>2030</v>
      </c>
      <c r="BG2" s="163">
        <f t="shared" si="2"/>
        <v>2030</v>
      </c>
      <c r="BH2" s="163">
        <f t="shared" si="2"/>
        <v>2030</v>
      </c>
      <c r="BI2" s="163">
        <f t="shared" si="2"/>
        <v>2030</v>
      </c>
      <c r="BJ2" s="163">
        <f t="shared" si="2"/>
        <v>2030</v>
      </c>
      <c r="BK2" s="163">
        <f t="shared" si="2"/>
        <v>2030</v>
      </c>
      <c r="BL2" s="163">
        <f t="shared" si="2"/>
        <v>2030</v>
      </c>
      <c r="BM2" s="163">
        <f t="shared" si="2"/>
        <v>2031</v>
      </c>
      <c r="BN2" s="162"/>
    </row>
    <row r="3">
      <c r="A3" s="161"/>
      <c r="B3" s="161" t="s">
        <v>10</v>
      </c>
      <c r="C3" s="162"/>
      <c r="D3" s="162"/>
      <c r="E3" s="162"/>
      <c r="F3" s="162">
        <v>1.0</v>
      </c>
      <c r="G3" s="163">
        <f t="shared" ref="G3:BM3" si="3">F3+1</f>
        <v>2</v>
      </c>
      <c r="H3" s="163">
        <f t="shared" si="3"/>
        <v>3</v>
      </c>
      <c r="I3" s="163">
        <f t="shared" si="3"/>
        <v>4</v>
      </c>
      <c r="J3" s="163">
        <f t="shared" si="3"/>
        <v>5</v>
      </c>
      <c r="K3" s="163">
        <f t="shared" si="3"/>
        <v>6</v>
      </c>
      <c r="L3" s="163">
        <f t="shared" si="3"/>
        <v>7</v>
      </c>
      <c r="M3" s="163">
        <f t="shared" si="3"/>
        <v>8</v>
      </c>
      <c r="N3" s="163">
        <f t="shared" si="3"/>
        <v>9</v>
      </c>
      <c r="O3" s="163">
        <f t="shared" si="3"/>
        <v>10</v>
      </c>
      <c r="P3" s="163">
        <f t="shared" si="3"/>
        <v>11</v>
      </c>
      <c r="Q3" s="163">
        <f t="shared" si="3"/>
        <v>12</v>
      </c>
      <c r="R3" s="163">
        <f t="shared" si="3"/>
        <v>13</v>
      </c>
      <c r="S3" s="163">
        <f t="shared" si="3"/>
        <v>14</v>
      </c>
      <c r="T3" s="163">
        <f t="shared" si="3"/>
        <v>15</v>
      </c>
      <c r="U3" s="163">
        <f t="shared" si="3"/>
        <v>16</v>
      </c>
      <c r="V3" s="163">
        <f t="shared" si="3"/>
        <v>17</v>
      </c>
      <c r="W3" s="163">
        <f t="shared" si="3"/>
        <v>18</v>
      </c>
      <c r="X3" s="163">
        <f t="shared" si="3"/>
        <v>19</v>
      </c>
      <c r="Y3" s="163">
        <f t="shared" si="3"/>
        <v>20</v>
      </c>
      <c r="Z3" s="163">
        <f t="shared" si="3"/>
        <v>21</v>
      </c>
      <c r="AA3" s="163">
        <f t="shared" si="3"/>
        <v>22</v>
      </c>
      <c r="AB3" s="163">
        <f t="shared" si="3"/>
        <v>23</v>
      </c>
      <c r="AC3" s="163">
        <f t="shared" si="3"/>
        <v>24</v>
      </c>
      <c r="AD3" s="163">
        <f t="shared" si="3"/>
        <v>25</v>
      </c>
      <c r="AE3" s="163">
        <f t="shared" si="3"/>
        <v>26</v>
      </c>
      <c r="AF3" s="163">
        <f t="shared" si="3"/>
        <v>27</v>
      </c>
      <c r="AG3" s="163">
        <f t="shared" si="3"/>
        <v>28</v>
      </c>
      <c r="AH3" s="163">
        <f t="shared" si="3"/>
        <v>29</v>
      </c>
      <c r="AI3" s="163">
        <f t="shared" si="3"/>
        <v>30</v>
      </c>
      <c r="AJ3" s="163">
        <f t="shared" si="3"/>
        <v>31</v>
      </c>
      <c r="AK3" s="163">
        <f t="shared" si="3"/>
        <v>32</v>
      </c>
      <c r="AL3" s="163">
        <f t="shared" si="3"/>
        <v>33</v>
      </c>
      <c r="AM3" s="163">
        <f t="shared" si="3"/>
        <v>34</v>
      </c>
      <c r="AN3" s="163">
        <f t="shared" si="3"/>
        <v>35</v>
      </c>
      <c r="AO3" s="163">
        <f t="shared" si="3"/>
        <v>36</v>
      </c>
      <c r="AP3" s="163">
        <f t="shared" si="3"/>
        <v>37</v>
      </c>
      <c r="AQ3" s="163">
        <f t="shared" si="3"/>
        <v>38</v>
      </c>
      <c r="AR3" s="163">
        <f t="shared" si="3"/>
        <v>39</v>
      </c>
      <c r="AS3" s="163">
        <f t="shared" si="3"/>
        <v>40</v>
      </c>
      <c r="AT3" s="163">
        <f t="shared" si="3"/>
        <v>41</v>
      </c>
      <c r="AU3" s="163">
        <f t="shared" si="3"/>
        <v>42</v>
      </c>
      <c r="AV3" s="163">
        <f t="shared" si="3"/>
        <v>43</v>
      </c>
      <c r="AW3" s="163">
        <f t="shared" si="3"/>
        <v>44</v>
      </c>
      <c r="AX3" s="163">
        <f t="shared" si="3"/>
        <v>45</v>
      </c>
      <c r="AY3" s="163">
        <f t="shared" si="3"/>
        <v>46</v>
      </c>
      <c r="AZ3" s="163">
        <f t="shared" si="3"/>
        <v>47</v>
      </c>
      <c r="BA3" s="163">
        <f t="shared" si="3"/>
        <v>48</v>
      </c>
      <c r="BB3" s="163">
        <f t="shared" si="3"/>
        <v>49</v>
      </c>
      <c r="BC3" s="163">
        <f t="shared" si="3"/>
        <v>50</v>
      </c>
      <c r="BD3" s="163">
        <f t="shared" si="3"/>
        <v>51</v>
      </c>
      <c r="BE3" s="163">
        <f t="shared" si="3"/>
        <v>52</v>
      </c>
      <c r="BF3" s="163">
        <f t="shared" si="3"/>
        <v>53</v>
      </c>
      <c r="BG3" s="163">
        <f t="shared" si="3"/>
        <v>54</v>
      </c>
      <c r="BH3" s="163">
        <f t="shared" si="3"/>
        <v>55</v>
      </c>
      <c r="BI3" s="163">
        <f t="shared" si="3"/>
        <v>56</v>
      </c>
      <c r="BJ3" s="163">
        <f t="shared" si="3"/>
        <v>57</v>
      </c>
      <c r="BK3" s="163">
        <f t="shared" si="3"/>
        <v>58</v>
      </c>
      <c r="BL3" s="163">
        <f t="shared" si="3"/>
        <v>59</v>
      </c>
      <c r="BM3" s="163">
        <f t="shared" si="3"/>
        <v>60</v>
      </c>
      <c r="BN3" s="162"/>
    </row>
    <row r="4">
      <c r="A4" s="161"/>
      <c r="B4" s="161" t="s">
        <v>11</v>
      </c>
      <c r="C4" s="162"/>
      <c r="D4" s="162"/>
      <c r="E4" s="162"/>
      <c r="F4" s="164">
        <f>Assumptions!H4</f>
        <v>46081</v>
      </c>
      <c r="G4" s="164">
        <f t="shared" ref="G4:BM4" si="4">EOMONTH(F4,1)</f>
        <v>46112</v>
      </c>
      <c r="H4" s="164">
        <f t="shared" si="4"/>
        <v>46142</v>
      </c>
      <c r="I4" s="164">
        <f t="shared" si="4"/>
        <v>46173</v>
      </c>
      <c r="J4" s="164">
        <f t="shared" si="4"/>
        <v>46203</v>
      </c>
      <c r="K4" s="164">
        <f t="shared" si="4"/>
        <v>46234</v>
      </c>
      <c r="L4" s="164">
        <f t="shared" si="4"/>
        <v>46265</v>
      </c>
      <c r="M4" s="164">
        <f t="shared" si="4"/>
        <v>46295</v>
      </c>
      <c r="N4" s="164">
        <f t="shared" si="4"/>
        <v>46326</v>
      </c>
      <c r="O4" s="164">
        <f t="shared" si="4"/>
        <v>46356</v>
      </c>
      <c r="P4" s="164">
        <f t="shared" si="4"/>
        <v>46387</v>
      </c>
      <c r="Q4" s="164">
        <f t="shared" si="4"/>
        <v>46418</v>
      </c>
      <c r="R4" s="164">
        <f t="shared" si="4"/>
        <v>46446</v>
      </c>
      <c r="S4" s="164">
        <f t="shared" si="4"/>
        <v>46477</v>
      </c>
      <c r="T4" s="164">
        <f t="shared" si="4"/>
        <v>46507</v>
      </c>
      <c r="U4" s="164">
        <f t="shared" si="4"/>
        <v>46538</v>
      </c>
      <c r="V4" s="164">
        <f t="shared" si="4"/>
        <v>46568</v>
      </c>
      <c r="W4" s="164">
        <f t="shared" si="4"/>
        <v>46599</v>
      </c>
      <c r="X4" s="164">
        <f t="shared" si="4"/>
        <v>46630</v>
      </c>
      <c r="Y4" s="164">
        <f t="shared" si="4"/>
        <v>46660</v>
      </c>
      <c r="Z4" s="164">
        <f t="shared" si="4"/>
        <v>46691</v>
      </c>
      <c r="AA4" s="164">
        <f t="shared" si="4"/>
        <v>46721</v>
      </c>
      <c r="AB4" s="164">
        <f t="shared" si="4"/>
        <v>46752</v>
      </c>
      <c r="AC4" s="164">
        <f t="shared" si="4"/>
        <v>46783</v>
      </c>
      <c r="AD4" s="164">
        <f t="shared" si="4"/>
        <v>46812</v>
      </c>
      <c r="AE4" s="164">
        <f t="shared" si="4"/>
        <v>46843</v>
      </c>
      <c r="AF4" s="164">
        <f t="shared" si="4"/>
        <v>46873</v>
      </c>
      <c r="AG4" s="164">
        <f t="shared" si="4"/>
        <v>46904</v>
      </c>
      <c r="AH4" s="164">
        <f t="shared" si="4"/>
        <v>46934</v>
      </c>
      <c r="AI4" s="164">
        <f t="shared" si="4"/>
        <v>46965</v>
      </c>
      <c r="AJ4" s="164">
        <f t="shared" si="4"/>
        <v>46996</v>
      </c>
      <c r="AK4" s="164">
        <f t="shared" si="4"/>
        <v>47026</v>
      </c>
      <c r="AL4" s="164">
        <f t="shared" si="4"/>
        <v>47057</v>
      </c>
      <c r="AM4" s="164">
        <f t="shared" si="4"/>
        <v>47087</v>
      </c>
      <c r="AN4" s="164">
        <f t="shared" si="4"/>
        <v>47118</v>
      </c>
      <c r="AO4" s="164">
        <f t="shared" si="4"/>
        <v>47149</v>
      </c>
      <c r="AP4" s="164">
        <f t="shared" si="4"/>
        <v>47177</v>
      </c>
      <c r="AQ4" s="164">
        <f t="shared" si="4"/>
        <v>47208</v>
      </c>
      <c r="AR4" s="164">
        <f t="shared" si="4"/>
        <v>47238</v>
      </c>
      <c r="AS4" s="164">
        <f t="shared" si="4"/>
        <v>47269</v>
      </c>
      <c r="AT4" s="164">
        <f t="shared" si="4"/>
        <v>47299</v>
      </c>
      <c r="AU4" s="164">
        <f t="shared" si="4"/>
        <v>47330</v>
      </c>
      <c r="AV4" s="164">
        <f t="shared" si="4"/>
        <v>47361</v>
      </c>
      <c r="AW4" s="164">
        <f t="shared" si="4"/>
        <v>47391</v>
      </c>
      <c r="AX4" s="164">
        <f t="shared" si="4"/>
        <v>47422</v>
      </c>
      <c r="AY4" s="164">
        <f t="shared" si="4"/>
        <v>47452</v>
      </c>
      <c r="AZ4" s="164">
        <f t="shared" si="4"/>
        <v>47483</v>
      </c>
      <c r="BA4" s="164">
        <f t="shared" si="4"/>
        <v>47514</v>
      </c>
      <c r="BB4" s="164">
        <f t="shared" si="4"/>
        <v>47542</v>
      </c>
      <c r="BC4" s="164">
        <f t="shared" si="4"/>
        <v>47573</v>
      </c>
      <c r="BD4" s="164">
        <f t="shared" si="4"/>
        <v>47603</v>
      </c>
      <c r="BE4" s="164">
        <f t="shared" si="4"/>
        <v>47634</v>
      </c>
      <c r="BF4" s="164">
        <f t="shared" si="4"/>
        <v>47664</v>
      </c>
      <c r="BG4" s="164">
        <f t="shared" si="4"/>
        <v>47695</v>
      </c>
      <c r="BH4" s="164">
        <f t="shared" si="4"/>
        <v>47726</v>
      </c>
      <c r="BI4" s="164">
        <f t="shared" si="4"/>
        <v>47756</v>
      </c>
      <c r="BJ4" s="164">
        <f t="shared" si="4"/>
        <v>47787</v>
      </c>
      <c r="BK4" s="164">
        <f t="shared" si="4"/>
        <v>47817</v>
      </c>
      <c r="BL4" s="164">
        <f t="shared" si="4"/>
        <v>47848</v>
      </c>
      <c r="BM4" s="164">
        <f t="shared" si="4"/>
        <v>47879</v>
      </c>
      <c r="BN4" s="162"/>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2"/>
    </row>
    <row r="6">
      <c r="A6" s="30"/>
      <c r="B6" s="165" t="s">
        <v>154</v>
      </c>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2"/>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67"/>
      <c r="B8" s="168" t="s">
        <v>155</v>
      </c>
      <c r="C8" s="169"/>
      <c r="D8" s="169"/>
      <c r="E8" s="169"/>
      <c r="F8" s="169">
        <f t="shared" ref="F8:BM8" si="5">sum(F9:F11)</f>
        <v>12037.5</v>
      </c>
      <c r="G8" s="169">
        <f t="shared" si="5"/>
        <v>24030.25625</v>
      </c>
      <c r="H8" s="169">
        <f t="shared" si="5"/>
        <v>35708.0734</v>
      </c>
      <c r="I8" s="169">
        <f t="shared" si="5"/>
        <v>47096.06073</v>
      </c>
      <c r="J8" s="169">
        <f t="shared" si="5"/>
        <v>58223.01953</v>
      </c>
      <c r="K8" s="169">
        <f t="shared" si="5"/>
        <v>69117.09522</v>
      </c>
      <c r="L8" s="169">
        <f t="shared" si="5"/>
        <v>79805.78252</v>
      </c>
      <c r="M8" s="169">
        <f t="shared" si="5"/>
        <v>90315.99472</v>
      </c>
      <c r="N8" s="169">
        <f t="shared" si="5"/>
        <v>100674.1325</v>
      </c>
      <c r="O8" s="169">
        <f t="shared" si="5"/>
        <v>110906.1511</v>
      </c>
      <c r="P8" s="169">
        <f t="shared" si="5"/>
        <v>121037.6264</v>
      </c>
      <c r="Q8" s="169">
        <f t="shared" si="5"/>
        <v>131093.8198</v>
      </c>
      <c r="R8" s="169">
        <f t="shared" si="5"/>
        <v>141099.7421</v>
      </c>
      <c r="S8" s="169">
        <f t="shared" si="5"/>
        <v>151080.2166</v>
      </c>
      <c r="T8" s="169">
        <f t="shared" si="5"/>
        <v>161059.9421</v>
      </c>
      <c r="U8" s="169">
        <f t="shared" si="5"/>
        <v>171063.554</v>
      </c>
      <c r="V8" s="169">
        <f t="shared" si="5"/>
        <v>181115.6871</v>
      </c>
      <c r="W8" s="169">
        <f t="shared" si="5"/>
        <v>187637.3255</v>
      </c>
      <c r="X8" s="169">
        <f t="shared" si="5"/>
        <v>193832.8819</v>
      </c>
      <c r="Y8" s="169">
        <f t="shared" si="5"/>
        <v>199718.6606</v>
      </c>
      <c r="Z8" s="169">
        <f t="shared" si="5"/>
        <v>205310.1503</v>
      </c>
      <c r="AA8" s="169">
        <f t="shared" si="5"/>
        <v>210622.0655</v>
      </c>
      <c r="AB8" s="169">
        <f t="shared" si="5"/>
        <v>215668.385</v>
      </c>
      <c r="AC8" s="169">
        <f t="shared" si="5"/>
        <v>220462.3884</v>
      </c>
      <c r="AD8" s="169">
        <f t="shared" si="5"/>
        <v>225016.6917</v>
      </c>
      <c r="AE8" s="169">
        <f t="shared" si="5"/>
        <v>229343.2799</v>
      </c>
      <c r="AF8" s="169">
        <f t="shared" si="5"/>
        <v>233453.5386</v>
      </c>
      <c r="AG8" s="169">
        <f t="shared" si="5"/>
        <v>237358.2844</v>
      </c>
      <c r="AH8" s="169">
        <f t="shared" si="5"/>
        <v>241067.7929</v>
      </c>
      <c r="AI8" s="169">
        <f t="shared" si="5"/>
        <v>244591.826</v>
      </c>
      <c r="AJ8" s="169">
        <f t="shared" si="5"/>
        <v>247939.6574</v>
      </c>
      <c r="AK8" s="169">
        <f t="shared" si="5"/>
        <v>251120.0973</v>
      </c>
      <c r="AL8" s="169">
        <f t="shared" si="5"/>
        <v>254141.5152</v>
      </c>
      <c r="AM8" s="169">
        <f t="shared" si="5"/>
        <v>257011.8621</v>
      </c>
      <c r="AN8" s="169">
        <f t="shared" si="5"/>
        <v>259738.6918</v>
      </c>
      <c r="AO8" s="169">
        <f t="shared" si="5"/>
        <v>262329.1799</v>
      </c>
      <c r="AP8" s="169">
        <f t="shared" si="5"/>
        <v>264790.1436</v>
      </c>
      <c r="AQ8" s="169">
        <f t="shared" si="5"/>
        <v>267128.0592</v>
      </c>
      <c r="AR8" s="169">
        <f t="shared" si="5"/>
        <v>269349.079</v>
      </c>
      <c r="AS8" s="169">
        <f t="shared" si="5"/>
        <v>271459.0477</v>
      </c>
      <c r="AT8" s="169">
        <f t="shared" si="5"/>
        <v>273463.5181</v>
      </c>
      <c r="AU8" s="169">
        <f t="shared" si="5"/>
        <v>275367.7649</v>
      </c>
      <c r="AV8" s="169">
        <f t="shared" si="5"/>
        <v>277176.7994</v>
      </c>
      <c r="AW8" s="169">
        <f t="shared" si="5"/>
        <v>278895.3821</v>
      </c>
      <c r="AX8" s="169">
        <f t="shared" si="5"/>
        <v>280528.0358</v>
      </c>
      <c r="AY8" s="169">
        <f t="shared" si="5"/>
        <v>282079.0567</v>
      </c>
      <c r="AZ8" s="169">
        <f t="shared" si="5"/>
        <v>283552.5266</v>
      </c>
      <c r="BA8" s="169">
        <f t="shared" si="5"/>
        <v>284952.323</v>
      </c>
      <c r="BB8" s="169">
        <f t="shared" si="5"/>
        <v>286282.1296</v>
      </c>
      <c r="BC8" s="169">
        <f t="shared" si="5"/>
        <v>287545.4458</v>
      </c>
      <c r="BD8" s="169">
        <f t="shared" si="5"/>
        <v>288745.5963</v>
      </c>
      <c r="BE8" s="169">
        <f t="shared" si="5"/>
        <v>289885.7392</v>
      </c>
      <c r="BF8" s="169">
        <f t="shared" si="5"/>
        <v>290968.875</v>
      </c>
      <c r="BG8" s="169">
        <f t="shared" si="5"/>
        <v>291997.8539</v>
      </c>
      <c r="BH8" s="169">
        <f t="shared" si="5"/>
        <v>292975.384</v>
      </c>
      <c r="BI8" s="169">
        <f t="shared" si="5"/>
        <v>293904.0375</v>
      </c>
      <c r="BJ8" s="169">
        <f t="shared" si="5"/>
        <v>294786.2584</v>
      </c>
      <c r="BK8" s="169">
        <f t="shared" si="5"/>
        <v>295624.3682</v>
      </c>
      <c r="BL8" s="169">
        <f t="shared" si="5"/>
        <v>296420.5725</v>
      </c>
      <c r="BM8" s="169">
        <f t="shared" si="5"/>
        <v>297176.9666</v>
      </c>
      <c r="BN8" s="167"/>
    </row>
    <row r="9" outlineLevel="1">
      <c r="A9" s="167"/>
      <c r="B9" s="167" t="str">
        <f>Assumptions!B75</f>
        <v>Per Unit Monthly SaaS Tier 1</v>
      </c>
      <c r="C9" s="167"/>
      <c r="D9" s="167"/>
      <c r="E9" s="167"/>
      <c r="F9" s="167">
        <f>Assumptions!H86</f>
        <v>2675</v>
      </c>
      <c r="G9" s="167">
        <f>Assumptions!I86</f>
        <v>5545.44375</v>
      </c>
      <c r="H9" s="167">
        <f>Assumptions!J86</f>
        <v>8553.644958</v>
      </c>
      <c r="I9" s="167">
        <f>Assumptions!K86</f>
        <v>11705.44587</v>
      </c>
      <c r="J9" s="167">
        <f>Assumptions!L86</f>
        <v>15008.02679</v>
      </c>
      <c r="K9" s="167">
        <f>Assumptions!M86</f>
        <v>18468.94349</v>
      </c>
      <c r="L9" s="167">
        <f>Assumptions!N86</f>
        <v>22096.12974</v>
      </c>
      <c r="M9" s="167">
        <f>Assumptions!O86</f>
        <v>25897.91596</v>
      </c>
      <c r="N9" s="167">
        <f>Assumptions!P86</f>
        <v>29883.04904</v>
      </c>
      <c r="O9" s="167">
        <f>Assumptions!Q86</f>
        <v>34060.71317</v>
      </c>
      <c r="P9" s="167">
        <f>Assumptions!R86</f>
        <v>38440.55174</v>
      </c>
      <c r="Q9" s="167">
        <f>Assumptions!S86</f>
        <v>43032.69022</v>
      </c>
      <c r="R9" s="167">
        <f>Assumptions!T86</f>
        <v>47847.76035</v>
      </c>
      <c r="S9" s="167">
        <f>Assumptions!U86</f>
        <v>52896.92541</v>
      </c>
      <c r="T9" s="167">
        <f>Assumptions!V86</f>
        <v>58191.90677</v>
      </c>
      <c r="U9" s="167">
        <f>Assumptions!W86</f>
        <v>63745.01186</v>
      </c>
      <c r="V9" s="167">
        <f>Assumptions!X86</f>
        <v>69569.16343</v>
      </c>
      <c r="W9" s="167">
        <f>Assumptions!Y86</f>
        <v>72074.21935</v>
      </c>
      <c r="X9" s="167">
        <f>Assumptions!Z86</f>
        <v>74454.02249</v>
      </c>
      <c r="Y9" s="167">
        <f>Assumptions!AA86</f>
        <v>76714.83546</v>
      </c>
      <c r="Z9" s="167">
        <f>Assumptions!AB86</f>
        <v>78862.60779</v>
      </c>
      <c r="AA9" s="167">
        <f>Assumptions!AC86</f>
        <v>80902.9915</v>
      </c>
      <c r="AB9" s="167">
        <f>Assumptions!AD86</f>
        <v>82841.35603</v>
      </c>
      <c r="AC9" s="167">
        <f>Assumptions!AE86</f>
        <v>84682.80232</v>
      </c>
      <c r="AD9" s="167">
        <f>Assumptions!AF86</f>
        <v>86432.17631</v>
      </c>
      <c r="AE9" s="167">
        <f>Assumptions!AG86</f>
        <v>88094.08159</v>
      </c>
      <c r="AF9" s="167">
        <f>Assumptions!AH86</f>
        <v>89672.89161</v>
      </c>
      <c r="AG9" s="167">
        <f>Assumptions!AI86</f>
        <v>91172.76113</v>
      </c>
      <c r="AH9" s="167">
        <f>Assumptions!AJ86</f>
        <v>92597.63718</v>
      </c>
      <c r="AI9" s="167">
        <f>Assumptions!AK86</f>
        <v>93951.26942</v>
      </c>
      <c r="AJ9" s="167">
        <f>Assumptions!AL86</f>
        <v>95237.22005</v>
      </c>
      <c r="AK9" s="167">
        <f>Assumptions!AM86</f>
        <v>96458.87314</v>
      </c>
      <c r="AL9" s="167">
        <f>Assumptions!AN86</f>
        <v>97619.44359</v>
      </c>
      <c r="AM9" s="167">
        <f>Assumptions!AO86</f>
        <v>98721.98551</v>
      </c>
      <c r="AN9" s="167">
        <f>Assumptions!AP86</f>
        <v>99769.40033</v>
      </c>
      <c r="AO9" s="167">
        <f>Assumptions!AQ86</f>
        <v>100764.4444</v>
      </c>
      <c r="AP9" s="167">
        <f>Assumptions!AR86</f>
        <v>101709.7363</v>
      </c>
      <c r="AQ9" s="167">
        <f>Assumptions!AS86</f>
        <v>102607.7636</v>
      </c>
      <c r="AR9" s="167">
        <f>Assumptions!AT86</f>
        <v>103460.8895</v>
      </c>
      <c r="AS9" s="167">
        <f>Assumptions!AU86</f>
        <v>104271.3591</v>
      </c>
      <c r="AT9" s="167">
        <f>Assumptions!AV86</f>
        <v>105041.3053</v>
      </c>
      <c r="AU9" s="167">
        <f>Assumptions!AW86</f>
        <v>105772.7541</v>
      </c>
      <c r="AV9" s="167">
        <f>Assumptions!AX86</f>
        <v>106467.6305</v>
      </c>
      <c r="AW9" s="167">
        <f>Assumptions!AY86</f>
        <v>107127.7631</v>
      </c>
      <c r="AX9" s="167">
        <f>Assumptions!AZ86</f>
        <v>107754.889</v>
      </c>
      <c r="AY9" s="167">
        <f>Assumptions!BA86</f>
        <v>108350.6587</v>
      </c>
      <c r="AZ9" s="167">
        <f>Assumptions!BB86</f>
        <v>108916.6398</v>
      </c>
      <c r="BA9" s="167">
        <f>Assumptions!BC86</f>
        <v>109454.3219</v>
      </c>
      <c r="BB9" s="167">
        <f>Assumptions!BD86</f>
        <v>109965.12</v>
      </c>
      <c r="BC9" s="167">
        <f>Assumptions!BE86</f>
        <v>110450.3781</v>
      </c>
      <c r="BD9" s="167">
        <f>Assumptions!BF86</f>
        <v>110911.3733</v>
      </c>
      <c r="BE9" s="167">
        <f>Assumptions!BG86</f>
        <v>111349.3187</v>
      </c>
      <c r="BF9" s="167">
        <f>Assumptions!BH86</f>
        <v>111765.3669</v>
      </c>
      <c r="BG9" s="167">
        <f>Assumptions!BI86</f>
        <v>112160.6126</v>
      </c>
      <c r="BH9" s="167">
        <f>Assumptions!BJ86</f>
        <v>112536.0961</v>
      </c>
      <c r="BI9" s="167">
        <f>Assumptions!BK86</f>
        <v>112892.8054</v>
      </c>
      <c r="BJ9" s="167">
        <f>Assumptions!BL86</f>
        <v>113231.6792</v>
      </c>
      <c r="BK9" s="167">
        <f>Assumptions!BM86</f>
        <v>113553.6093</v>
      </c>
      <c r="BL9" s="167">
        <f>Assumptions!BN86</f>
        <v>113859.443</v>
      </c>
      <c r="BM9" s="167">
        <f>Assumptions!BO86</f>
        <v>114149.9849</v>
      </c>
      <c r="BN9" s="167" t="str">
        <f>Assumptions!BP86</f>
        <v/>
      </c>
    </row>
    <row r="10" outlineLevel="1">
      <c r="A10" s="167"/>
      <c r="B10" s="167" t="str">
        <f>Assumptions!B88</f>
        <v>Per Unit Monthly SaaS Tier 2</v>
      </c>
      <c r="C10" s="167"/>
      <c r="D10" s="167"/>
      <c r="E10" s="167"/>
      <c r="F10" s="167">
        <f>Assumptions!H99</f>
        <v>4012.5</v>
      </c>
      <c r="G10" s="167">
        <f>Assumptions!I99</f>
        <v>7922.0625</v>
      </c>
      <c r="H10" s="167">
        <f>Assumptions!J99</f>
        <v>11637.61219</v>
      </c>
      <c r="I10" s="167">
        <f>Assumptions!K99</f>
        <v>15167.40637</v>
      </c>
      <c r="J10" s="167">
        <f>Assumptions!L99</f>
        <v>18520.71117</v>
      </c>
      <c r="K10" s="167">
        <f>Assumptions!M99</f>
        <v>21706.35074</v>
      </c>
      <c r="L10" s="167">
        <f>Assumptions!N99</f>
        <v>24732.70833</v>
      </c>
      <c r="M10" s="167">
        <f>Assumptions!O99</f>
        <v>27607.74804</v>
      </c>
      <c r="N10" s="167">
        <f>Assumptions!P99</f>
        <v>30339.03577</v>
      </c>
      <c r="O10" s="167">
        <f>Assumptions!Q99</f>
        <v>32933.75911</v>
      </c>
      <c r="P10" s="167">
        <f>Assumptions!R99</f>
        <v>35398.74628</v>
      </c>
      <c r="Q10" s="167">
        <f>Assumptions!S99</f>
        <v>37740.48409</v>
      </c>
      <c r="R10" s="167">
        <f>Assumptions!T99</f>
        <v>39965.13501</v>
      </c>
      <c r="S10" s="167">
        <f>Assumptions!U99</f>
        <v>42078.55339</v>
      </c>
      <c r="T10" s="167">
        <f>Assumptions!V99</f>
        <v>44086.30085</v>
      </c>
      <c r="U10" s="167">
        <f>Assumptions!W99</f>
        <v>45993.66093</v>
      </c>
      <c r="V10" s="167">
        <f>Assumptions!X99</f>
        <v>47805.65301</v>
      </c>
      <c r="W10" s="167">
        <f>Assumptions!Y99</f>
        <v>49527.04549</v>
      </c>
      <c r="X10" s="167">
        <f>Assumptions!Z99</f>
        <v>51162.36834</v>
      </c>
      <c r="Y10" s="167">
        <f>Assumptions!AA99</f>
        <v>52715.92505</v>
      </c>
      <c r="Z10" s="167">
        <f>Assumptions!AB99</f>
        <v>54191.80392</v>
      </c>
      <c r="AA10" s="167">
        <f>Assumptions!AC99</f>
        <v>55593.88886</v>
      </c>
      <c r="AB10" s="167">
        <f>Assumptions!AD99</f>
        <v>56925.86954</v>
      </c>
      <c r="AC10" s="167">
        <f>Assumptions!AE99</f>
        <v>58191.25119</v>
      </c>
      <c r="AD10" s="167">
        <f>Assumptions!AF99</f>
        <v>59393.36376</v>
      </c>
      <c r="AE10" s="167">
        <f>Assumptions!AG99</f>
        <v>60535.3707</v>
      </c>
      <c r="AF10" s="167">
        <f>Assumptions!AH99</f>
        <v>61620.27729</v>
      </c>
      <c r="AG10" s="167">
        <f>Assumptions!AI99</f>
        <v>62650.93855</v>
      </c>
      <c r="AH10" s="167">
        <f>Assumptions!AJ99</f>
        <v>63630.06675</v>
      </c>
      <c r="AI10" s="167">
        <f>Assumptions!AK99</f>
        <v>64560.23854</v>
      </c>
      <c r="AJ10" s="167">
        <f>Assumptions!AL99</f>
        <v>65443.90174</v>
      </c>
      <c r="AK10" s="167">
        <f>Assumptions!AM99</f>
        <v>66283.38178</v>
      </c>
      <c r="AL10" s="167">
        <f>Assumptions!AN99</f>
        <v>67080.88782</v>
      </c>
      <c r="AM10" s="167">
        <f>Assumptions!AO99</f>
        <v>67838.51855</v>
      </c>
      <c r="AN10" s="167">
        <f>Assumptions!AP99</f>
        <v>68558.26775</v>
      </c>
      <c r="AO10" s="167">
        <f>Assumptions!AQ99</f>
        <v>69242.02949</v>
      </c>
      <c r="AP10" s="167">
        <f>Assumptions!AR99</f>
        <v>69891.60314</v>
      </c>
      <c r="AQ10" s="167">
        <f>Assumptions!AS99</f>
        <v>70508.69811</v>
      </c>
      <c r="AR10" s="167">
        <f>Assumptions!AT99</f>
        <v>71094.93833</v>
      </c>
      <c r="AS10" s="167">
        <f>Assumptions!AU99</f>
        <v>71651.86654</v>
      </c>
      <c r="AT10" s="167">
        <f>Assumptions!AV99</f>
        <v>72180.94834</v>
      </c>
      <c r="AU10" s="167">
        <f>Assumptions!AW99</f>
        <v>72683.57605</v>
      </c>
      <c r="AV10" s="167">
        <f>Assumptions!AX99</f>
        <v>73161.07238</v>
      </c>
      <c r="AW10" s="167">
        <f>Assumptions!AY99</f>
        <v>73614.69389</v>
      </c>
      <c r="AX10" s="167">
        <f>Assumptions!AZ99</f>
        <v>74045.63432</v>
      </c>
      <c r="AY10" s="167">
        <f>Assumptions!BA99</f>
        <v>74455.02773</v>
      </c>
      <c r="AZ10" s="167">
        <f>Assumptions!BB99</f>
        <v>74843.95147</v>
      </c>
      <c r="BA10" s="167">
        <f>Assumptions!BC99</f>
        <v>75213.42902</v>
      </c>
      <c r="BB10" s="167">
        <f>Assumptions!BD99</f>
        <v>75564.4327</v>
      </c>
      <c r="BC10" s="167">
        <f>Assumptions!BE99</f>
        <v>75897.88619</v>
      </c>
      <c r="BD10" s="167">
        <f>Assumptions!BF99</f>
        <v>76214.66701</v>
      </c>
      <c r="BE10" s="167">
        <f>Assumptions!BG99</f>
        <v>76515.60879</v>
      </c>
      <c r="BF10" s="167">
        <f>Assumptions!BH99</f>
        <v>76801.50347</v>
      </c>
      <c r="BG10" s="167">
        <f>Assumptions!BI99</f>
        <v>77073.10343</v>
      </c>
      <c r="BH10" s="167">
        <f>Assumptions!BJ99</f>
        <v>77331.12338</v>
      </c>
      <c r="BI10" s="167">
        <f>Assumptions!BK99</f>
        <v>77576.24234</v>
      </c>
      <c r="BJ10" s="167">
        <f>Assumptions!BL99</f>
        <v>77809.10535</v>
      </c>
      <c r="BK10" s="167">
        <f>Assumptions!BM99</f>
        <v>78030.32521</v>
      </c>
      <c r="BL10" s="167">
        <f>Assumptions!BN99</f>
        <v>78240.48408</v>
      </c>
      <c r="BM10" s="167">
        <f>Assumptions!BO99</f>
        <v>78440.135</v>
      </c>
      <c r="BN10" s="167" t="str">
        <f>Assumptions!BP99</f>
        <v/>
      </c>
    </row>
    <row r="11" outlineLevel="1">
      <c r="A11" s="167"/>
      <c r="B11" s="167" t="str">
        <f>Assumptions!B101</f>
        <v>Per Unit Monthly SaaS Tier 3</v>
      </c>
      <c r="C11" s="167"/>
      <c r="D11" s="167"/>
      <c r="E11" s="167"/>
      <c r="F11" s="167">
        <f>Assumptions!H112</f>
        <v>5350</v>
      </c>
      <c r="G11" s="167">
        <f>Assumptions!I112</f>
        <v>10562.75</v>
      </c>
      <c r="H11" s="167">
        <f>Assumptions!J112</f>
        <v>15516.81625</v>
      </c>
      <c r="I11" s="167">
        <f>Assumptions!K112</f>
        <v>20223.20849</v>
      </c>
      <c r="J11" s="167">
        <f>Assumptions!L112</f>
        <v>24694.28156</v>
      </c>
      <c r="K11" s="167">
        <f>Assumptions!M112</f>
        <v>28941.80099</v>
      </c>
      <c r="L11" s="167">
        <f>Assumptions!N112</f>
        <v>32976.94444</v>
      </c>
      <c r="M11" s="167">
        <f>Assumptions!O112</f>
        <v>36810.33072</v>
      </c>
      <c r="N11" s="167">
        <f>Assumptions!P112</f>
        <v>40452.04769</v>
      </c>
      <c r="O11" s="167">
        <f>Assumptions!Q112</f>
        <v>43911.67881</v>
      </c>
      <c r="P11" s="167">
        <f>Assumptions!R112</f>
        <v>47198.32837</v>
      </c>
      <c r="Q11" s="167">
        <f>Assumptions!S112</f>
        <v>50320.64545</v>
      </c>
      <c r="R11" s="167">
        <f>Assumptions!T112</f>
        <v>53286.84668</v>
      </c>
      <c r="S11" s="167">
        <f>Assumptions!U112</f>
        <v>56104.73785</v>
      </c>
      <c r="T11" s="167">
        <f>Assumptions!V112</f>
        <v>58781.73446</v>
      </c>
      <c r="U11" s="167">
        <f>Assumptions!W112</f>
        <v>61324.88124</v>
      </c>
      <c r="V11" s="167">
        <f>Assumptions!X112</f>
        <v>63740.87068</v>
      </c>
      <c r="W11" s="167">
        <f>Assumptions!Y112</f>
        <v>66036.06065</v>
      </c>
      <c r="X11" s="167">
        <f>Assumptions!Z112</f>
        <v>68216.49112</v>
      </c>
      <c r="Y11" s="167">
        <f>Assumptions!AA112</f>
        <v>70287.90007</v>
      </c>
      <c r="Z11" s="167">
        <f>Assumptions!AB112</f>
        <v>72255.73857</v>
      </c>
      <c r="AA11" s="167">
        <f>Assumptions!AC112</f>
        <v>74125.18514</v>
      </c>
      <c r="AB11" s="167">
        <f>Assumptions!AD112</f>
        <v>75901.15939</v>
      </c>
      <c r="AC11" s="167">
        <f>Assumptions!AE112</f>
        <v>77588.33492</v>
      </c>
      <c r="AD11" s="167">
        <f>Assumptions!AF112</f>
        <v>79191.15168</v>
      </c>
      <c r="AE11" s="167">
        <f>Assumptions!AG112</f>
        <v>80713.82759</v>
      </c>
      <c r="AF11" s="167">
        <f>Assumptions!AH112</f>
        <v>82160.36972</v>
      </c>
      <c r="AG11" s="167">
        <f>Assumptions!AI112</f>
        <v>83534.58473</v>
      </c>
      <c r="AH11" s="167">
        <f>Assumptions!AJ112</f>
        <v>84840.089</v>
      </c>
      <c r="AI11" s="167">
        <f>Assumptions!AK112</f>
        <v>86080.31805</v>
      </c>
      <c r="AJ11" s="167">
        <f>Assumptions!AL112</f>
        <v>87258.53565</v>
      </c>
      <c r="AK11" s="167">
        <f>Assumptions!AM112</f>
        <v>88377.84237</v>
      </c>
      <c r="AL11" s="167">
        <f>Assumptions!AN112</f>
        <v>89441.18376</v>
      </c>
      <c r="AM11" s="167">
        <f>Assumptions!AO112</f>
        <v>90451.35807</v>
      </c>
      <c r="AN11" s="167">
        <f>Assumptions!AP112</f>
        <v>91411.02367</v>
      </c>
      <c r="AO11" s="167">
        <f>Assumptions!AQ112</f>
        <v>92322.70599</v>
      </c>
      <c r="AP11" s="167">
        <f>Assumptions!AR112</f>
        <v>93188.80419</v>
      </c>
      <c r="AQ11" s="167">
        <f>Assumptions!AS112</f>
        <v>94011.59748</v>
      </c>
      <c r="AR11" s="167">
        <f>Assumptions!AT112</f>
        <v>94793.25111</v>
      </c>
      <c r="AS11" s="167">
        <f>Assumptions!AU112</f>
        <v>95535.82206</v>
      </c>
      <c r="AT11" s="167">
        <f>Assumptions!AV112</f>
        <v>96241.26446</v>
      </c>
      <c r="AU11" s="167">
        <f>Assumptions!AW112</f>
        <v>96911.43474</v>
      </c>
      <c r="AV11" s="167">
        <f>Assumptions!AX112</f>
        <v>97548.0965</v>
      </c>
      <c r="AW11" s="167">
        <f>Assumptions!AY112</f>
        <v>98152.92518</v>
      </c>
      <c r="AX11" s="167">
        <f>Assumptions!AZ112</f>
        <v>98727.51243</v>
      </c>
      <c r="AY11" s="167">
        <f>Assumptions!BA112</f>
        <v>99273.37031</v>
      </c>
      <c r="AZ11" s="167">
        <f>Assumptions!BB112</f>
        <v>99791.93529</v>
      </c>
      <c r="BA11" s="167">
        <f>Assumptions!BC112</f>
        <v>100284.572</v>
      </c>
      <c r="BB11" s="167">
        <f>Assumptions!BD112</f>
        <v>100752.5769</v>
      </c>
      <c r="BC11" s="167">
        <f>Assumptions!BE112</f>
        <v>101197.1816</v>
      </c>
      <c r="BD11" s="167">
        <f>Assumptions!BF112</f>
        <v>101619.556</v>
      </c>
      <c r="BE11" s="167">
        <f>Assumptions!BG112</f>
        <v>102020.8117</v>
      </c>
      <c r="BF11" s="167">
        <f>Assumptions!BH112</f>
        <v>102402.0046</v>
      </c>
      <c r="BG11" s="167">
        <f>Assumptions!BI112</f>
        <v>102764.1379</v>
      </c>
      <c r="BH11" s="167">
        <f>Assumptions!BJ112</f>
        <v>103108.1645</v>
      </c>
      <c r="BI11" s="167">
        <f>Assumptions!BK112</f>
        <v>103434.9898</v>
      </c>
      <c r="BJ11" s="167">
        <f>Assumptions!BL112</f>
        <v>103745.4738</v>
      </c>
      <c r="BK11" s="167">
        <f>Assumptions!BM112</f>
        <v>104040.4336</v>
      </c>
      <c r="BL11" s="167">
        <f>Assumptions!BN112</f>
        <v>104320.6454</v>
      </c>
      <c r="BM11" s="167">
        <f>Assumptions!BO112</f>
        <v>104586.8467</v>
      </c>
      <c r="BN11" s="167" t="str">
        <f>Assumptions!BP112</f>
        <v/>
      </c>
    </row>
    <row r="12" outlineLevel="1">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row>
    <row r="13" outlineLevel="1">
      <c r="A13" s="167"/>
      <c r="B13" s="168" t="s">
        <v>156</v>
      </c>
      <c r="C13" s="169"/>
      <c r="D13" s="169"/>
      <c r="E13" s="169"/>
      <c r="F13" s="169">
        <f>Assumptions!H157</f>
        <v>4213.125</v>
      </c>
      <c r="G13" s="169">
        <f>Assumptions!I157</f>
        <v>8410.589688</v>
      </c>
      <c r="H13" s="169">
        <f>Assumptions!J157</f>
        <v>12497.82569</v>
      </c>
      <c r="I13" s="169">
        <f>Assumptions!K157</f>
        <v>16483.62126</v>
      </c>
      <c r="J13" s="169">
        <f>Assumptions!L157</f>
        <v>20378.05684</v>
      </c>
      <c r="K13" s="169">
        <f>Assumptions!M157</f>
        <v>24190.98333</v>
      </c>
      <c r="L13" s="169">
        <f>Assumptions!N157</f>
        <v>27932.02388</v>
      </c>
      <c r="M13" s="169">
        <f>Assumptions!O157</f>
        <v>31610.59815</v>
      </c>
      <c r="N13" s="169">
        <f>Assumptions!P157</f>
        <v>35235.94637</v>
      </c>
      <c r="O13" s="169">
        <f>Assumptions!Q157</f>
        <v>38817.15288</v>
      </c>
      <c r="P13" s="169">
        <f>Assumptions!R157</f>
        <v>42363.16923</v>
      </c>
      <c r="Q13" s="169">
        <f>Assumptions!S157</f>
        <v>45882.83692</v>
      </c>
      <c r="R13" s="169">
        <f>Assumptions!T157</f>
        <v>49384.90972</v>
      </c>
      <c r="S13" s="169">
        <f>Assumptions!U157</f>
        <v>52878.07583</v>
      </c>
      <c r="T13" s="169">
        <f>Assumptions!V157</f>
        <v>56370.97973</v>
      </c>
      <c r="U13" s="169">
        <f>Assumptions!W157</f>
        <v>59872.24391</v>
      </c>
      <c r="V13" s="169">
        <f>Assumptions!X157</f>
        <v>63390.49049</v>
      </c>
      <c r="W13" s="169">
        <f>Assumptions!Y157</f>
        <v>65673.06392</v>
      </c>
      <c r="X13" s="169">
        <f>Assumptions!Z157</f>
        <v>67841.50868</v>
      </c>
      <c r="Y13" s="169">
        <f>Assumptions!AA157</f>
        <v>69901.5312</v>
      </c>
      <c r="Z13" s="169">
        <f>Assumptions!AB157</f>
        <v>71858.5526</v>
      </c>
      <c r="AA13" s="169">
        <f>Assumptions!AC157</f>
        <v>73717.72292</v>
      </c>
      <c r="AB13" s="169">
        <f>Assumptions!AD157</f>
        <v>75483.93473</v>
      </c>
      <c r="AC13" s="169">
        <f>Assumptions!AE157</f>
        <v>77161.83595</v>
      </c>
      <c r="AD13" s="169">
        <f>Assumptions!AF157</f>
        <v>78755.84211</v>
      </c>
      <c r="AE13" s="169">
        <f>Assumptions!AG157</f>
        <v>80270.14796</v>
      </c>
      <c r="AF13" s="169">
        <f>Assumptions!AH157</f>
        <v>81708.73852</v>
      </c>
      <c r="AG13" s="169">
        <f>Assumptions!AI157</f>
        <v>83075.39955</v>
      </c>
      <c r="AH13" s="169">
        <f>Assumptions!AJ157</f>
        <v>84373.72752</v>
      </c>
      <c r="AI13" s="169">
        <f>Assumptions!AK157</f>
        <v>85607.1391</v>
      </c>
      <c r="AJ13" s="169">
        <f>Assumptions!AL157</f>
        <v>86778.8801</v>
      </c>
      <c r="AK13" s="169">
        <f>Assumptions!AM157</f>
        <v>87892.03405</v>
      </c>
      <c r="AL13" s="169">
        <f>Assumptions!AN157</f>
        <v>88949.53031</v>
      </c>
      <c r="AM13" s="169">
        <f>Assumptions!AO157</f>
        <v>89954.15175</v>
      </c>
      <c r="AN13" s="169">
        <f>Assumptions!AP157</f>
        <v>90908.54211</v>
      </c>
      <c r="AO13" s="169">
        <f>Assumptions!AQ157</f>
        <v>91815.21296</v>
      </c>
      <c r="AP13" s="169">
        <f>Assumptions!AR157</f>
        <v>92676.55027</v>
      </c>
      <c r="AQ13" s="169">
        <f>Assumptions!AS157</f>
        <v>93494.82071</v>
      </c>
      <c r="AR13" s="169">
        <f>Assumptions!AT157</f>
        <v>94272.17763</v>
      </c>
      <c r="AS13" s="169">
        <f>Assumptions!AU157</f>
        <v>95010.66671</v>
      </c>
      <c r="AT13" s="169">
        <f>Assumptions!AV157</f>
        <v>95712.23133</v>
      </c>
      <c r="AU13" s="169">
        <f>Assumptions!AW157</f>
        <v>96378.71772</v>
      </c>
      <c r="AV13" s="169">
        <f>Assumptions!AX157</f>
        <v>97011.87978</v>
      </c>
      <c r="AW13" s="169">
        <f>Assumptions!AY157</f>
        <v>97613.38375</v>
      </c>
      <c r="AX13" s="169">
        <f>Assumptions!AZ157</f>
        <v>98184.81252</v>
      </c>
      <c r="AY13" s="169">
        <f>Assumptions!BA157</f>
        <v>98727.66985</v>
      </c>
      <c r="AZ13" s="169">
        <f>Assumptions!BB157</f>
        <v>99243.38431</v>
      </c>
      <c r="BA13" s="169">
        <f>Assumptions!BC157</f>
        <v>99733.31305</v>
      </c>
      <c r="BB13" s="169">
        <f>Assumptions!BD157</f>
        <v>100198.7454</v>
      </c>
      <c r="BC13" s="169">
        <f>Assumptions!BE157</f>
        <v>100640.906</v>
      </c>
      <c r="BD13" s="169">
        <f>Assumptions!BF157</f>
        <v>101060.9587</v>
      </c>
      <c r="BE13" s="169">
        <f>Assumptions!BG157</f>
        <v>101460.0087</v>
      </c>
      <c r="BF13" s="169">
        <f>Assumptions!BH157</f>
        <v>101839.1062</v>
      </c>
      <c r="BG13" s="169">
        <f>Assumptions!BI157</f>
        <v>102199.2489</v>
      </c>
      <c r="BH13" s="169">
        <f>Assumptions!BJ157</f>
        <v>102541.3844</v>
      </c>
      <c r="BI13" s="169">
        <f>Assumptions!BK157</f>
        <v>102866.4131</v>
      </c>
      <c r="BJ13" s="169">
        <f>Assumptions!BL157</f>
        <v>103175.1904</v>
      </c>
      <c r="BK13" s="169">
        <f>Assumptions!BM157</f>
        <v>103468.5289</v>
      </c>
      <c r="BL13" s="169">
        <f>Assumptions!BN157</f>
        <v>103747.2004</v>
      </c>
      <c r="BM13" s="169">
        <f>Assumptions!BO157</f>
        <v>104011.9383</v>
      </c>
      <c r="BN13" s="167"/>
    </row>
    <row r="14" outlineLevel="1">
      <c r="A14" s="167"/>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c r="BG14" s="167"/>
      <c r="BH14" s="167"/>
      <c r="BI14" s="167"/>
      <c r="BJ14" s="167"/>
      <c r="BK14" s="167"/>
      <c r="BL14" s="167"/>
      <c r="BM14" s="167"/>
      <c r="BN14" s="167"/>
    </row>
    <row r="15" outlineLevel="1">
      <c r="A15" s="167"/>
      <c r="B15" s="170" t="s">
        <v>157</v>
      </c>
      <c r="C15" s="171"/>
      <c r="D15" s="171"/>
      <c r="E15" s="171"/>
      <c r="F15" s="172">
        <f t="shared" ref="F15:BM15" si="6">F8-F13</f>
        <v>7824.375</v>
      </c>
      <c r="G15" s="172">
        <f t="shared" si="6"/>
        <v>15619.66656</v>
      </c>
      <c r="H15" s="172">
        <f t="shared" si="6"/>
        <v>23210.24771</v>
      </c>
      <c r="I15" s="172">
        <f t="shared" si="6"/>
        <v>30612.43947</v>
      </c>
      <c r="J15" s="172">
        <f t="shared" si="6"/>
        <v>37844.96269</v>
      </c>
      <c r="K15" s="172">
        <f t="shared" si="6"/>
        <v>44926.1119</v>
      </c>
      <c r="L15" s="172">
        <f t="shared" si="6"/>
        <v>51873.75864</v>
      </c>
      <c r="M15" s="172">
        <f t="shared" si="6"/>
        <v>58705.39657</v>
      </c>
      <c r="N15" s="172">
        <f t="shared" si="6"/>
        <v>65438.18612</v>
      </c>
      <c r="O15" s="172">
        <f t="shared" si="6"/>
        <v>72088.99821</v>
      </c>
      <c r="P15" s="172">
        <f t="shared" si="6"/>
        <v>78674.45715</v>
      </c>
      <c r="Q15" s="172">
        <f t="shared" si="6"/>
        <v>85210.98285</v>
      </c>
      <c r="R15" s="172">
        <f t="shared" si="6"/>
        <v>91714.83233</v>
      </c>
      <c r="S15" s="172">
        <f t="shared" si="6"/>
        <v>98202.14082</v>
      </c>
      <c r="T15" s="172">
        <f t="shared" si="6"/>
        <v>104688.9623</v>
      </c>
      <c r="U15" s="172">
        <f t="shared" si="6"/>
        <v>111191.3101</v>
      </c>
      <c r="V15" s="172">
        <f t="shared" si="6"/>
        <v>117725.1966</v>
      </c>
      <c r="W15" s="172">
        <f t="shared" si="6"/>
        <v>121964.2616</v>
      </c>
      <c r="X15" s="172">
        <f t="shared" si="6"/>
        <v>125991.3733</v>
      </c>
      <c r="Y15" s="172">
        <f t="shared" si="6"/>
        <v>129817.1294</v>
      </c>
      <c r="Z15" s="172">
        <f t="shared" si="6"/>
        <v>133451.5977</v>
      </c>
      <c r="AA15" s="172">
        <f t="shared" si="6"/>
        <v>136904.3426</v>
      </c>
      <c r="AB15" s="172">
        <f t="shared" si="6"/>
        <v>140184.4502</v>
      </c>
      <c r="AC15" s="172">
        <f t="shared" si="6"/>
        <v>143300.5525</v>
      </c>
      <c r="AD15" s="172">
        <f t="shared" si="6"/>
        <v>146260.8496</v>
      </c>
      <c r="AE15" s="172">
        <f t="shared" si="6"/>
        <v>149073.1319</v>
      </c>
      <c r="AF15" s="172">
        <f t="shared" si="6"/>
        <v>151744.8001</v>
      </c>
      <c r="AG15" s="172">
        <f t="shared" si="6"/>
        <v>154282.8849</v>
      </c>
      <c r="AH15" s="172">
        <f t="shared" si="6"/>
        <v>156694.0654</v>
      </c>
      <c r="AI15" s="172">
        <f t="shared" si="6"/>
        <v>158984.6869</v>
      </c>
      <c r="AJ15" s="172">
        <f t="shared" si="6"/>
        <v>161160.7773</v>
      </c>
      <c r="AK15" s="172">
        <f t="shared" si="6"/>
        <v>163228.0632</v>
      </c>
      <c r="AL15" s="172">
        <f t="shared" si="6"/>
        <v>165191.9849</v>
      </c>
      <c r="AM15" s="172">
        <f t="shared" si="6"/>
        <v>167057.7104</v>
      </c>
      <c r="AN15" s="172">
        <f t="shared" si="6"/>
        <v>168830.1496</v>
      </c>
      <c r="AO15" s="172">
        <f t="shared" si="6"/>
        <v>170513.9669</v>
      </c>
      <c r="AP15" s="172">
        <f t="shared" si="6"/>
        <v>172113.5934</v>
      </c>
      <c r="AQ15" s="172">
        <f t="shared" si="6"/>
        <v>173633.2385</v>
      </c>
      <c r="AR15" s="172">
        <f t="shared" si="6"/>
        <v>175076.9013</v>
      </c>
      <c r="AS15" s="172">
        <f t="shared" si="6"/>
        <v>176448.381</v>
      </c>
      <c r="AT15" s="172">
        <f t="shared" si="6"/>
        <v>177751.2867</v>
      </c>
      <c r="AU15" s="172">
        <f t="shared" si="6"/>
        <v>178989.0472</v>
      </c>
      <c r="AV15" s="172">
        <f t="shared" si="6"/>
        <v>180164.9196</v>
      </c>
      <c r="AW15" s="172">
        <f t="shared" si="6"/>
        <v>181281.9984</v>
      </c>
      <c r="AX15" s="172">
        <f t="shared" si="6"/>
        <v>182343.2232</v>
      </c>
      <c r="AY15" s="172">
        <f t="shared" si="6"/>
        <v>183351.3869</v>
      </c>
      <c r="AZ15" s="172">
        <f t="shared" si="6"/>
        <v>184309.1423</v>
      </c>
      <c r="BA15" s="172">
        <f t="shared" si="6"/>
        <v>185219.01</v>
      </c>
      <c r="BB15" s="172">
        <f t="shared" si="6"/>
        <v>186083.3842</v>
      </c>
      <c r="BC15" s="172">
        <f t="shared" si="6"/>
        <v>186904.5398</v>
      </c>
      <c r="BD15" s="172">
        <f t="shared" si="6"/>
        <v>187684.6376</v>
      </c>
      <c r="BE15" s="172">
        <f t="shared" si="6"/>
        <v>188425.7305</v>
      </c>
      <c r="BF15" s="172">
        <f t="shared" si="6"/>
        <v>189129.7687</v>
      </c>
      <c r="BG15" s="172">
        <f t="shared" si="6"/>
        <v>189798.6051</v>
      </c>
      <c r="BH15" s="172">
        <f t="shared" si="6"/>
        <v>190433.9996</v>
      </c>
      <c r="BI15" s="172">
        <f t="shared" si="6"/>
        <v>191037.6244</v>
      </c>
      <c r="BJ15" s="172">
        <f t="shared" si="6"/>
        <v>191611.0679</v>
      </c>
      <c r="BK15" s="172">
        <f t="shared" si="6"/>
        <v>192155.8393</v>
      </c>
      <c r="BL15" s="172">
        <f t="shared" si="6"/>
        <v>192673.3721</v>
      </c>
      <c r="BM15" s="172">
        <f t="shared" si="6"/>
        <v>193165.0283</v>
      </c>
      <c r="BN15" s="167"/>
    </row>
    <row r="16" outlineLevel="1">
      <c r="A16" s="173"/>
      <c r="B16" s="174" t="s">
        <v>158</v>
      </c>
      <c r="C16" s="173"/>
      <c r="D16" s="173"/>
      <c r="E16" s="173"/>
      <c r="F16" s="175">
        <f t="shared" ref="F16:BM16" si="7">F15/F8</f>
        <v>0.65</v>
      </c>
      <c r="G16" s="175">
        <f t="shared" si="7"/>
        <v>0.65</v>
      </c>
      <c r="H16" s="175">
        <f t="shared" si="7"/>
        <v>0.65</v>
      </c>
      <c r="I16" s="175">
        <f t="shared" si="7"/>
        <v>0.65</v>
      </c>
      <c r="J16" s="175">
        <f t="shared" si="7"/>
        <v>0.65</v>
      </c>
      <c r="K16" s="175">
        <f t="shared" si="7"/>
        <v>0.65</v>
      </c>
      <c r="L16" s="175">
        <f t="shared" si="7"/>
        <v>0.65</v>
      </c>
      <c r="M16" s="175">
        <f t="shared" si="7"/>
        <v>0.65</v>
      </c>
      <c r="N16" s="175">
        <f t="shared" si="7"/>
        <v>0.65</v>
      </c>
      <c r="O16" s="175">
        <f t="shared" si="7"/>
        <v>0.65</v>
      </c>
      <c r="P16" s="175">
        <f t="shared" si="7"/>
        <v>0.65</v>
      </c>
      <c r="Q16" s="175">
        <f t="shared" si="7"/>
        <v>0.65</v>
      </c>
      <c r="R16" s="175">
        <f t="shared" si="7"/>
        <v>0.65</v>
      </c>
      <c r="S16" s="175">
        <f t="shared" si="7"/>
        <v>0.65</v>
      </c>
      <c r="T16" s="175">
        <f t="shared" si="7"/>
        <v>0.65</v>
      </c>
      <c r="U16" s="175">
        <f t="shared" si="7"/>
        <v>0.65</v>
      </c>
      <c r="V16" s="175">
        <f t="shared" si="7"/>
        <v>0.65</v>
      </c>
      <c r="W16" s="175">
        <f t="shared" si="7"/>
        <v>0.65</v>
      </c>
      <c r="X16" s="175">
        <f t="shared" si="7"/>
        <v>0.65</v>
      </c>
      <c r="Y16" s="175">
        <f t="shared" si="7"/>
        <v>0.65</v>
      </c>
      <c r="Z16" s="175">
        <f t="shared" si="7"/>
        <v>0.65</v>
      </c>
      <c r="AA16" s="175">
        <f t="shared" si="7"/>
        <v>0.65</v>
      </c>
      <c r="AB16" s="175">
        <f t="shared" si="7"/>
        <v>0.65</v>
      </c>
      <c r="AC16" s="175">
        <f t="shared" si="7"/>
        <v>0.65</v>
      </c>
      <c r="AD16" s="175">
        <f t="shared" si="7"/>
        <v>0.65</v>
      </c>
      <c r="AE16" s="175">
        <f t="shared" si="7"/>
        <v>0.65</v>
      </c>
      <c r="AF16" s="175">
        <f t="shared" si="7"/>
        <v>0.65</v>
      </c>
      <c r="AG16" s="175">
        <f t="shared" si="7"/>
        <v>0.65</v>
      </c>
      <c r="AH16" s="175">
        <f t="shared" si="7"/>
        <v>0.65</v>
      </c>
      <c r="AI16" s="175">
        <f t="shared" si="7"/>
        <v>0.65</v>
      </c>
      <c r="AJ16" s="175">
        <f t="shared" si="7"/>
        <v>0.65</v>
      </c>
      <c r="AK16" s="175">
        <f t="shared" si="7"/>
        <v>0.65</v>
      </c>
      <c r="AL16" s="175">
        <f t="shared" si="7"/>
        <v>0.65</v>
      </c>
      <c r="AM16" s="175">
        <f t="shared" si="7"/>
        <v>0.65</v>
      </c>
      <c r="AN16" s="175">
        <f t="shared" si="7"/>
        <v>0.65</v>
      </c>
      <c r="AO16" s="175">
        <f t="shared" si="7"/>
        <v>0.65</v>
      </c>
      <c r="AP16" s="175">
        <f t="shared" si="7"/>
        <v>0.65</v>
      </c>
      <c r="AQ16" s="175">
        <f t="shared" si="7"/>
        <v>0.65</v>
      </c>
      <c r="AR16" s="175">
        <f t="shared" si="7"/>
        <v>0.65</v>
      </c>
      <c r="AS16" s="175">
        <f t="shared" si="7"/>
        <v>0.65</v>
      </c>
      <c r="AT16" s="175">
        <f t="shared" si="7"/>
        <v>0.65</v>
      </c>
      <c r="AU16" s="175">
        <f t="shared" si="7"/>
        <v>0.65</v>
      </c>
      <c r="AV16" s="175">
        <f t="shared" si="7"/>
        <v>0.65</v>
      </c>
      <c r="AW16" s="175">
        <f t="shared" si="7"/>
        <v>0.65</v>
      </c>
      <c r="AX16" s="175">
        <f t="shared" si="7"/>
        <v>0.65</v>
      </c>
      <c r="AY16" s="175">
        <f t="shared" si="7"/>
        <v>0.65</v>
      </c>
      <c r="AZ16" s="175">
        <f t="shared" si="7"/>
        <v>0.65</v>
      </c>
      <c r="BA16" s="175">
        <f t="shared" si="7"/>
        <v>0.65</v>
      </c>
      <c r="BB16" s="175">
        <f t="shared" si="7"/>
        <v>0.65</v>
      </c>
      <c r="BC16" s="175">
        <f t="shared" si="7"/>
        <v>0.65</v>
      </c>
      <c r="BD16" s="175">
        <f t="shared" si="7"/>
        <v>0.65</v>
      </c>
      <c r="BE16" s="175">
        <f t="shared" si="7"/>
        <v>0.65</v>
      </c>
      <c r="BF16" s="175">
        <f t="shared" si="7"/>
        <v>0.65</v>
      </c>
      <c r="BG16" s="175">
        <f t="shared" si="7"/>
        <v>0.65</v>
      </c>
      <c r="BH16" s="175">
        <f t="shared" si="7"/>
        <v>0.65</v>
      </c>
      <c r="BI16" s="175">
        <f t="shared" si="7"/>
        <v>0.65</v>
      </c>
      <c r="BJ16" s="175">
        <f t="shared" si="7"/>
        <v>0.65</v>
      </c>
      <c r="BK16" s="175">
        <f t="shared" si="7"/>
        <v>0.65</v>
      </c>
      <c r="BL16" s="175">
        <f t="shared" si="7"/>
        <v>0.65</v>
      </c>
      <c r="BM16" s="175">
        <f t="shared" si="7"/>
        <v>0.65</v>
      </c>
      <c r="BN16" s="173"/>
    </row>
    <row r="17" outlineLevel="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row>
    <row r="18" outlineLevel="1">
      <c r="A18" s="167"/>
      <c r="B18" s="176" t="s">
        <v>159</v>
      </c>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row>
    <row r="19" outlineLevel="1">
      <c r="A19" s="167"/>
      <c r="B19" s="177" t="s">
        <v>160</v>
      </c>
      <c r="C19" s="167"/>
      <c r="D19" s="167"/>
      <c r="E19" s="167"/>
      <c r="F19" s="167">
        <f>SUM(Assumptions!H120:H144)</f>
        <v>202000</v>
      </c>
      <c r="G19" s="167">
        <f>SUM(Assumptions!I120:I144)</f>
        <v>202000</v>
      </c>
      <c r="H19" s="167">
        <f>SUM(Assumptions!J120:J144)</f>
        <v>202000</v>
      </c>
      <c r="I19" s="167">
        <f>SUM(Assumptions!K120:K144)</f>
        <v>202000</v>
      </c>
      <c r="J19" s="167">
        <f>SUM(Assumptions!L120:L144)</f>
        <v>202000</v>
      </c>
      <c r="K19" s="167">
        <f>SUM(Assumptions!M120:M144)</f>
        <v>202000</v>
      </c>
      <c r="L19" s="167">
        <f>SUM(Assumptions!N120:N144)</f>
        <v>202000</v>
      </c>
      <c r="M19" s="167">
        <f>SUM(Assumptions!O120:O144)</f>
        <v>202000</v>
      </c>
      <c r="N19" s="167">
        <f>SUM(Assumptions!P120:P144)</f>
        <v>202000</v>
      </c>
      <c r="O19" s="167">
        <f>SUM(Assumptions!Q120:Q144)</f>
        <v>202000</v>
      </c>
      <c r="P19" s="167">
        <f>SUM(Assumptions!R120:R144)</f>
        <v>202000</v>
      </c>
      <c r="Q19" s="167">
        <f>SUM(Assumptions!S120:S144)</f>
        <v>202000</v>
      </c>
      <c r="R19" s="167">
        <f>SUM(Assumptions!T120:T144)</f>
        <v>202000</v>
      </c>
      <c r="S19" s="167">
        <f>SUM(Assumptions!U120:U144)</f>
        <v>202000</v>
      </c>
      <c r="T19" s="167">
        <f>SUM(Assumptions!V120:V144)</f>
        <v>202000</v>
      </c>
      <c r="U19" s="167">
        <f>SUM(Assumptions!W120:W144)</f>
        <v>202000</v>
      </c>
      <c r="V19" s="167">
        <f>SUM(Assumptions!X120:X144)</f>
        <v>202000</v>
      </c>
      <c r="W19" s="167">
        <f>SUM(Assumptions!Y120:Y144)</f>
        <v>202000</v>
      </c>
      <c r="X19" s="167">
        <f>SUM(Assumptions!Z120:Z144)</f>
        <v>202000</v>
      </c>
      <c r="Y19" s="167">
        <f>SUM(Assumptions!AA120:AA144)</f>
        <v>202000</v>
      </c>
      <c r="Z19" s="167">
        <f>SUM(Assumptions!AB120:AB144)</f>
        <v>202000</v>
      </c>
      <c r="AA19" s="167">
        <f>SUM(Assumptions!AC120:AC144)</f>
        <v>202000</v>
      </c>
      <c r="AB19" s="167">
        <f>SUM(Assumptions!AD120:AD144)</f>
        <v>202000</v>
      </c>
      <c r="AC19" s="167">
        <f>SUM(Assumptions!AE120:AE144)</f>
        <v>202000</v>
      </c>
      <c r="AD19" s="167">
        <f>SUM(Assumptions!AF120:AF144)</f>
        <v>202000</v>
      </c>
      <c r="AE19" s="167">
        <f>SUM(Assumptions!AG120:AG144)</f>
        <v>202000</v>
      </c>
      <c r="AF19" s="167">
        <f>SUM(Assumptions!AH120:AH144)</f>
        <v>202000</v>
      </c>
      <c r="AG19" s="167">
        <f>SUM(Assumptions!AI120:AI144)</f>
        <v>202000</v>
      </c>
      <c r="AH19" s="167">
        <f>SUM(Assumptions!AJ120:AJ144)</f>
        <v>202000</v>
      </c>
      <c r="AI19" s="167">
        <f>SUM(Assumptions!AK120:AK144)</f>
        <v>202000</v>
      </c>
      <c r="AJ19" s="167">
        <f>SUM(Assumptions!AL120:AL144)</f>
        <v>202000</v>
      </c>
      <c r="AK19" s="167">
        <f>SUM(Assumptions!AM120:AM144)</f>
        <v>202000</v>
      </c>
      <c r="AL19" s="167">
        <f>SUM(Assumptions!AN120:AN144)</f>
        <v>202000</v>
      </c>
      <c r="AM19" s="167">
        <f>SUM(Assumptions!AO120:AO144)</f>
        <v>202000</v>
      </c>
      <c r="AN19" s="167">
        <f>SUM(Assumptions!AP120:AP144)</f>
        <v>202000</v>
      </c>
      <c r="AO19" s="167">
        <f>SUM(Assumptions!AQ120:AQ144)</f>
        <v>202000</v>
      </c>
      <c r="AP19" s="167">
        <f>SUM(Assumptions!AR120:AR144)</f>
        <v>202000</v>
      </c>
      <c r="AQ19" s="167">
        <f>SUM(Assumptions!AS120:AS144)</f>
        <v>202000</v>
      </c>
      <c r="AR19" s="167">
        <f>SUM(Assumptions!AT120:AT144)</f>
        <v>202000</v>
      </c>
      <c r="AS19" s="167">
        <f>SUM(Assumptions!AU120:AU144)</f>
        <v>202000</v>
      </c>
      <c r="AT19" s="167">
        <f>SUM(Assumptions!AV120:AV144)</f>
        <v>202000</v>
      </c>
      <c r="AU19" s="167">
        <f>SUM(Assumptions!AW120:AW144)</f>
        <v>202000</v>
      </c>
      <c r="AV19" s="167">
        <f>SUM(Assumptions!AX120:AX144)</f>
        <v>202000</v>
      </c>
      <c r="AW19" s="167">
        <f>SUM(Assumptions!AY120:AY144)</f>
        <v>202000</v>
      </c>
      <c r="AX19" s="167">
        <f>SUM(Assumptions!AZ120:AZ144)</f>
        <v>202000</v>
      </c>
      <c r="AY19" s="167">
        <f>SUM(Assumptions!BA120:BA144)</f>
        <v>202000</v>
      </c>
      <c r="AZ19" s="167">
        <f>SUM(Assumptions!BB120:BB144)</f>
        <v>202000</v>
      </c>
      <c r="BA19" s="167">
        <f>SUM(Assumptions!BC120:BC144)</f>
        <v>202000</v>
      </c>
      <c r="BB19" s="167">
        <f>SUM(Assumptions!BD120:BD144)</f>
        <v>202000</v>
      </c>
      <c r="BC19" s="167">
        <f>SUM(Assumptions!BE120:BE144)</f>
        <v>202000</v>
      </c>
      <c r="BD19" s="167">
        <f>SUM(Assumptions!BF120:BF144)</f>
        <v>202000</v>
      </c>
      <c r="BE19" s="167">
        <f>SUM(Assumptions!BG120:BG144)</f>
        <v>202000</v>
      </c>
      <c r="BF19" s="167">
        <f>SUM(Assumptions!BH120:BH144)</f>
        <v>202000</v>
      </c>
      <c r="BG19" s="167">
        <f>SUM(Assumptions!BI120:BI144)</f>
        <v>202000</v>
      </c>
      <c r="BH19" s="167">
        <f>SUM(Assumptions!BJ120:BJ144)</f>
        <v>202000</v>
      </c>
      <c r="BI19" s="167">
        <f>SUM(Assumptions!BK120:BK144)</f>
        <v>202000</v>
      </c>
      <c r="BJ19" s="167">
        <f>SUM(Assumptions!BL120:BL144)</f>
        <v>202000</v>
      </c>
      <c r="BK19" s="167">
        <f>SUM(Assumptions!BM120:BM144)</f>
        <v>202000</v>
      </c>
      <c r="BL19" s="167">
        <f>SUM(Assumptions!BN120:BN144)</f>
        <v>202000</v>
      </c>
      <c r="BM19" s="167">
        <f>SUM(Assumptions!BO120:BO144)</f>
        <v>202000</v>
      </c>
      <c r="BN19" s="167"/>
    </row>
    <row r="20" outlineLevel="1">
      <c r="A20" s="167"/>
      <c r="B20" s="167" t="str">
        <f>Assumptions!B159</f>
        <v>General &amp; Admin</v>
      </c>
      <c r="C20" s="167"/>
      <c r="D20" s="167"/>
      <c r="E20" s="167"/>
      <c r="F20" s="167">
        <f>sum(Assumptions!H160:H167)</f>
        <v>20000</v>
      </c>
      <c r="G20" s="167">
        <f>sum(Assumptions!I160:I167)</f>
        <v>20000</v>
      </c>
      <c r="H20" s="167">
        <f>sum(Assumptions!J160:J167)</f>
        <v>20000</v>
      </c>
      <c r="I20" s="167">
        <f>sum(Assumptions!K160:K167)</f>
        <v>20000</v>
      </c>
      <c r="J20" s="167">
        <f>sum(Assumptions!L160:L167)</f>
        <v>20000</v>
      </c>
      <c r="K20" s="167">
        <f>sum(Assumptions!M160:M167)</f>
        <v>20000</v>
      </c>
      <c r="L20" s="167">
        <f>sum(Assumptions!N160:N167)</f>
        <v>20000</v>
      </c>
      <c r="M20" s="167">
        <f>sum(Assumptions!O160:O167)</f>
        <v>20000</v>
      </c>
      <c r="N20" s="167">
        <f>sum(Assumptions!P160:P167)</f>
        <v>20000</v>
      </c>
      <c r="O20" s="167">
        <f>sum(Assumptions!Q160:Q167)</f>
        <v>20000</v>
      </c>
      <c r="P20" s="167">
        <f>sum(Assumptions!R160:R167)</f>
        <v>20000</v>
      </c>
      <c r="Q20" s="167">
        <f>sum(Assumptions!S160:S167)</f>
        <v>20000</v>
      </c>
      <c r="R20" s="167">
        <f>sum(Assumptions!T160:T167)</f>
        <v>20000</v>
      </c>
      <c r="S20" s="167">
        <f>sum(Assumptions!U160:U167)</f>
        <v>20000</v>
      </c>
      <c r="T20" s="167">
        <f>sum(Assumptions!V160:V167)</f>
        <v>20000</v>
      </c>
      <c r="U20" s="167">
        <f>sum(Assumptions!W160:W167)</f>
        <v>20000</v>
      </c>
      <c r="V20" s="167">
        <f>sum(Assumptions!X160:X167)</f>
        <v>20000</v>
      </c>
      <c r="W20" s="167">
        <f>sum(Assumptions!Y160:Y167)</f>
        <v>20000</v>
      </c>
      <c r="X20" s="167">
        <f>sum(Assumptions!Z160:Z167)</f>
        <v>20000</v>
      </c>
      <c r="Y20" s="167">
        <f>sum(Assumptions!AA160:AA167)</f>
        <v>20000</v>
      </c>
      <c r="Z20" s="167">
        <f>sum(Assumptions!AB160:AB167)</f>
        <v>20000</v>
      </c>
      <c r="AA20" s="167">
        <f>sum(Assumptions!AC160:AC167)</f>
        <v>20000</v>
      </c>
      <c r="AB20" s="167">
        <f>sum(Assumptions!AD160:AD167)</f>
        <v>20000</v>
      </c>
      <c r="AC20" s="167">
        <f>sum(Assumptions!AE160:AE167)</f>
        <v>20000</v>
      </c>
      <c r="AD20" s="167">
        <f>sum(Assumptions!AF160:AF167)</f>
        <v>20000</v>
      </c>
      <c r="AE20" s="167">
        <f>sum(Assumptions!AG160:AG167)</f>
        <v>20000</v>
      </c>
      <c r="AF20" s="167">
        <f>sum(Assumptions!AH160:AH167)</f>
        <v>20000</v>
      </c>
      <c r="AG20" s="167">
        <f>sum(Assumptions!AI160:AI167)</f>
        <v>20000</v>
      </c>
      <c r="AH20" s="167">
        <f>sum(Assumptions!AJ160:AJ167)</f>
        <v>20000</v>
      </c>
      <c r="AI20" s="167">
        <f>sum(Assumptions!AK160:AK167)</f>
        <v>20000</v>
      </c>
      <c r="AJ20" s="167">
        <f>sum(Assumptions!AL160:AL167)</f>
        <v>20000</v>
      </c>
      <c r="AK20" s="167">
        <f>sum(Assumptions!AM160:AM167)</f>
        <v>20000</v>
      </c>
      <c r="AL20" s="167">
        <f>sum(Assumptions!AN160:AN167)</f>
        <v>20000</v>
      </c>
      <c r="AM20" s="167">
        <f>sum(Assumptions!AO160:AO167)</f>
        <v>20000</v>
      </c>
      <c r="AN20" s="167">
        <f>sum(Assumptions!AP160:AP167)</f>
        <v>20000</v>
      </c>
      <c r="AO20" s="167">
        <f>sum(Assumptions!AQ160:AQ167)</f>
        <v>20000</v>
      </c>
      <c r="AP20" s="167">
        <f>sum(Assumptions!AR160:AR167)</f>
        <v>20000</v>
      </c>
      <c r="AQ20" s="167">
        <f>sum(Assumptions!AS160:AS167)</f>
        <v>20000</v>
      </c>
      <c r="AR20" s="167">
        <f>sum(Assumptions!AT160:AT167)</f>
        <v>20000</v>
      </c>
      <c r="AS20" s="167">
        <f>sum(Assumptions!AU160:AU167)</f>
        <v>20000</v>
      </c>
      <c r="AT20" s="167">
        <f>sum(Assumptions!AV160:AV167)</f>
        <v>20000</v>
      </c>
      <c r="AU20" s="167">
        <f>sum(Assumptions!AW160:AW167)</f>
        <v>20000</v>
      </c>
      <c r="AV20" s="167">
        <f>sum(Assumptions!AX160:AX167)</f>
        <v>20000</v>
      </c>
      <c r="AW20" s="167">
        <f>sum(Assumptions!AY160:AY167)</f>
        <v>20000</v>
      </c>
      <c r="AX20" s="167">
        <f>sum(Assumptions!AZ160:AZ167)</f>
        <v>20000</v>
      </c>
      <c r="AY20" s="167">
        <f>sum(Assumptions!BA160:BA167)</f>
        <v>20000</v>
      </c>
      <c r="AZ20" s="167">
        <f>sum(Assumptions!BB160:BB167)</f>
        <v>20000</v>
      </c>
      <c r="BA20" s="167">
        <f>sum(Assumptions!BC160:BC167)</f>
        <v>20000</v>
      </c>
      <c r="BB20" s="167">
        <f>sum(Assumptions!BD160:BD167)</f>
        <v>20000</v>
      </c>
      <c r="BC20" s="167">
        <f>sum(Assumptions!BE160:BE167)</f>
        <v>20000</v>
      </c>
      <c r="BD20" s="167">
        <f>sum(Assumptions!BF160:BF167)</f>
        <v>20000</v>
      </c>
      <c r="BE20" s="167">
        <f>sum(Assumptions!BG160:BG167)</f>
        <v>20000</v>
      </c>
      <c r="BF20" s="167">
        <f>sum(Assumptions!BH160:BH167)</f>
        <v>20000</v>
      </c>
      <c r="BG20" s="167">
        <f>sum(Assumptions!BI160:BI167)</f>
        <v>20000</v>
      </c>
      <c r="BH20" s="167">
        <f>sum(Assumptions!BJ160:BJ167)</f>
        <v>20000</v>
      </c>
      <c r="BI20" s="167">
        <f>sum(Assumptions!BK160:BK167)</f>
        <v>20000</v>
      </c>
      <c r="BJ20" s="167">
        <f>sum(Assumptions!BL160:BL167)</f>
        <v>20000</v>
      </c>
      <c r="BK20" s="167">
        <f>sum(Assumptions!BM160:BM167)</f>
        <v>20000</v>
      </c>
      <c r="BL20" s="167">
        <f>sum(Assumptions!BN160:BN167)</f>
        <v>20000</v>
      </c>
      <c r="BM20" s="167">
        <f>sum(Assumptions!BO160:BO167)</f>
        <v>20000</v>
      </c>
      <c r="BN20" s="167"/>
    </row>
    <row r="21" outlineLevel="1">
      <c r="A21" s="167"/>
      <c r="B21" s="177" t="str">
        <f>Assumptions!B170</f>
        <v>Sales &amp; Marketing</v>
      </c>
      <c r="C21" s="167"/>
      <c r="D21" s="167"/>
      <c r="E21" s="167"/>
      <c r="F21" s="167">
        <f>sum(Assumptions!H171:H172)</f>
        <v>10963</v>
      </c>
      <c r="G21" s="167">
        <f>sum(Assumptions!I171:I172)</f>
        <v>11922.4205</v>
      </c>
      <c r="H21" s="167">
        <f>sum(Assumptions!J171:J172)</f>
        <v>12856.64587</v>
      </c>
      <c r="I21" s="167">
        <f>sum(Assumptions!K171:K172)</f>
        <v>13767.68486</v>
      </c>
      <c r="J21" s="167">
        <f>sum(Assumptions!L171:L172)</f>
        <v>14657.84156</v>
      </c>
      <c r="K21" s="167">
        <f>sum(Assumptions!M171:M172)</f>
        <v>15529.36762</v>
      </c>
      <c r="L21" s="167">
        <f>sum(Assumptions!N171:N172)</f>
        <v>16384.4626</v>
      </c>
      <c r="M21" s="167">
        <f>sum(Assumptions!O171:O172)</f>
        <v>17225.27958</v>
      </c>
      <c r="N21" s="167">
        <f>sum(Assumptions!P171:P172)</f>
        <v>18053.9306</v>
      </c>
      <c r="O21" s="167">
        <f>sum(Assumptions!Q171:Q172)</f>
        <v>18872.49209</v>
      </c>
      <c r="P21" s="167">
        <f>sum(Assumptions!R171:R172)</f>
        <v>19683.01011</v>
      </c>
      <c r="Q21" s="167">
        <f>sum(Assumptions!S171:S172)</f>
        <v>20487.50558</v>
      </c>
      <c r="R21" s="167">
        <f>sum(Assumptions!T171:T172)</f>
        <v>21287.97936</v>
      </c>
      <c r="S21" s="167">
        <f>sum(Assumptions!U171:U172)</f>
        <v>22086.41733</v>
      </c>
      <c r="T21" s="167">
        <f>sum(Assumptions!V171:V172)</f>
        <v>22884.79537</v>
      </c>
      <c r="U21" s="167">
        <f>sum(Assumptions!W171:W172)</f>
        <v>23685.08432</v>
      </c>
      <c r="V21" s="167">
        <f>sum(Assumptions!X171:X172)</f>
        <v>24489.25497</v>
      </c>
      <c r="W21" s="167">
        <f>sum(Assumptions!Y171:Y172)</f>
        <v>25010.98604</v>
      </c>
      <c r="X21" s="167">
        <f>sum(Assumptions!Z171:Z172)</f>
        <v>25506.63056</v>
      </c>
      <c r="Y21" s="167">
        <f>sum(Assumptions!AA171:AA172)</f>
        <v>25977.49285</v>
      </c>
      <c r="Z21" s="167">
        <f>sum(Assumptions!AB171:AB172)</f>
        <v>26424.81202</v>
      </c>
      <c r="AA21" s="167">
        <f>sum(Assumptions!AC171:AC172)</f>
        <v>26849.76524</v>
      </c>
      <c r="AB21" s="167">
        <f>sum(Assumptions!AD171:AD172)</f>
        <v>27253.4708</v>
      </c>
      <c r="AC21" s="167">
        <f>sum(Assumptions!AE171:AE172)</f>
        <v>27636.99107</v>
      </c>
      <c r="AD21" s="167">
        <f>sum(Assumptions!AF171:AF172)</f>
        <v>28001.33534</v>
      </c>
      <c r="AE21" s="167">
        <f>sum(Assumptions!AG171:AG172)</f>
        <v>28347.46239</v>
      </c>
      <c r="AF21" s="167">
        <f>sum(Assumptions!AH171:AH172)</f>
        <v>28676.28309</v>
      </c>
      <c r="AG21" s="167">
        <f>sum(Assumptions!AI171:AI172)</f>
        <v>28988.66275</v>
      </c>
      <c r="AH21" s="167">
        <f>sum(Assumptions!AJ171:AJ172)</f>
        <v>29285.42343</v>
      </c>
      <c r="AI21" s="167">
        <f>sum(Assumptions!AK171:AK172)</f>
        <v>29567.34608</v>
      </c>
      <c r="AJ21" s="167">
        <f>sum(Assumptions!AL171:AL172)</f>
        <v>29835.1726</v>
      </c>
      <c r="AK21" s="167">
        <f>sum(Assumptions!AM171:AM172)</f>
        <v>30089.60778</v>
      </c>
      <c r="AL21" s="167">
        <f>sum(Assumptions!AN171:AN172)</f>
        <v>30331.32121</v>
      </c>
      <c r="AM21" s="167">
        <f>sum(Assumptions!AO171:AO172)</f>
        <v>30560.94897</v>
      </c>
      <c r="AN21" s="167">
        <f>sum(Assumptions!AP171:AP172)</f>
        <v>30779.09534</v>
      </c>
      <c r="AO21" s="167">
        <f>sum(Assumptions!AQ171:AQ172)</f>
        <v>30986.33439</v>
      </c>
      <c r="AP21" s="167">
        <f>sum(Assumptions!AR171:AR172)</f>
        <v>31183.21149</v>
      </c>
      <c r="AQ21" s="167">
        <f>sum(Assumptions!AS171:AS172)</f>
        <v>31370.24473</v>
      </c>
      <c r="AR21" s="167">
        <f>sum(Assumptions!AT171:AT172)</f>
        <v>31547.92632</v>
      </c>
      <c r="AS21" s="167">
        <f>sum(Assumptions!AU171:AU172)</f>
        <v>31716.72382</v>
      </c>
      <c r="AT21" s="167">
        <f>sum(Assumptions!AV171:AV172)</f>
        <v>31877.08145</v>
      </c>
      <c r="AU21" s="167">
        <f>sum(Assumptions!AW171:AW172)</f>
        <v>32029.42119</v>
      </c>
      <c r="AV21" s="167">
        <f>sum(Assumptions!AX171:AX172)</f>
        <v>32174.14395</v>
      </c>
      <c r="AW21" s="167">
        <f>sum(Assumptions!AY171:AY172)</f>
        <v>32311.63057</v>
      </c>
      <c r="AX21" s="167">
        <f>sum(Assumptions!AZ171:AZ172)</f>
        <v>32442.24286</v>
      </c>
      <c r="AY21" s="167">
        <f>sum(Assumptions!BA171:BA172)</f>
        <v>32566.32454</v>
      </c>
      <c r="AZ21" s="167">
        <f>sum(Assumptions!BB171:BB172)</f>
        <v>32684.20213</v>
      </c>
      <c r="BA21" s="167">
        <f>sum(Assumptions!BC171:BC172)</f>
        <v>32796.18584</v>
      </c>
      <c r="BB21" s="167">
        <f>sum(Assumptions!BD171:BD172)</f>
        <v>32902.57037</v>
      </c>
      <c r="BC21" s="167">
        <f>sum(Assumptions!BE171:BE172)</f>
        <v>33003.63567</v>
      </c>
      <c r="BD21" s="167">
        <f>sum(Assumptions!BF171:BF172)</f>
        <v>33099.6477</v>
      </c>
      <c r="BE21" s="167">
        <f>sum(Assumptions!BG171:BG172)</f>
        <v>33190.85913</v>
      </c>
      <c r="BF21" s="167">
        <f>sum(Assumptions!BH171:BH172)</f>
        <v>33277.51</v>
      </c>
      <c r="BG21" s="167">
        <f>sum(Assumptions!BI171:BI172)</f>
        <v>33359.82832</v>
      </c>
      <c r="BH21" s="167">
        <f>sum(Assumptions!BJ171:BJ172)</f>
        <v>33438.03072</v>
      </c>
      <c r="BI21" s="167">
        <f>sum(Assumptions!BK171:BK172)</f>
        <v>33512.323</v>
      </c>
      <c r="BJ21" s="167">
        <f>sum(Assumptions!BL171:BL172)</f>
        <v>33582.90067</v>
      </c>
      <c r="BK21" s="167">
        <f>sum(Assumptions!BM171:BM172)</f>
        <v>33649.94945</v>
      </c>
      <c r="BL21" s="167">
        <f>sum(Assumptions!BN171:BN172)</f>
        <v>33713.6458</v>
      </c>
      <c r="BM21" s="167">
        <f>sum(Assumptions!BO171:BO172)</f>
        <v>33774.15733</v>
      </c>
      <c r="BN21" s="167"/>
    </row>
    <row r="22" outlineLevel="1">
      <c r="A22" s="167"/>
      <c r="B22" s="167" t="str">
        <f>Assumptions!B175</f>
        <v>Professional Fees</v>
      </c>
      <c r="C22" s="167"/>
      <c r="D22" s="167"/>
      <c r="E22" s="167"/>
      <c r="F22" s="167">
        <f>SUM(Assumptions!H176:H178)</f>
        <v>4000</v>
      </c>
      <c r="G22" s="167">
        <f>SUM(Assumptions!I176:I178)</f>
        <v>4000</v>
      </c>
      <c r="H22" s="167">
        <f>SUM(Assumptions!J176:J178)</f>
        <v>4000</v>
      </c>
      <c r="I22" s="167">
        <f>SUM(Assumptions!K176:K178)</f>
        <v>4000</v>
      </c>
      <c r="J22" s="167">
        <f>SUM(Assumptions!L176:L178)</f>
        <v>4000</v>
      </c>
      <c r="K22" s="167">
        <f>SUM(Assumptions!M176:M178)</f>
        <v>4000</v>
      </c>
      <c r="L22" s="167">
        <f>SUM(Assumptions!N176:N178)</f>
        <v>4000</v>
      </c>
      <c r="M22" s="167">
        <f>SUM(Assumptions!O176:O178)</f>
        <v>4000</v>
      </c>
      <c r="N22" s="167">
        <f>SUM(Assumptions!P176:P178)</f>
        <v>4000</v>
      </c>
      <c r="O22" s="167">
        <f>SUM(Assumptions!Q176:Q178)</f>
        <v>4000</v>
      </c>
      <c r="P22" s="167">
        <f>SUM(Assumptions!R176:R178)</f>
        <v>4000</v>
      </c>
      <c r="Q22" s="167">
        <f>SUM(Assumptions!S176:S178)</f>
        <v>4000</v>
      </c>
      <c r="R22" s="167">
        <f>SUM(Assumptions!T176:T178)</f>
        <v>4000</v>
      </c>
      <c r="S22" s="167">
        <f>SUM(Assumptions!U176:U178)</f>
        <v>4000</v>
      </c>
      <c r="T22" s="167">
        <f>SUM(Assumptions!V176:V178)</f>
        <v>4000</v>
      </c>
      <c r="U22" s="167">
        <f>SUM(Assumptions!W176:W178)</f>
        <v>4000</v>
      </c>
      <c r="V22" s="167">
        <f>SUM(Assumptions!X176:X178)</f>
        <v>4000</v>
      </c>
      <c r="W22" s="167">
        <f>SUM(Assumptions!Y176:Y178)</f>
        <v>4000</v>
      </c>
      <c r="X22" s="167">
        <f>SUM(Assumptions!Z176:Z178)</f>
        <v>4000</v>
      </c>
      <c r="Y22" s="167">
        <f>SUM(Assumptions!AA176:AA178)</f>
        <v>4000</v>
      </c>
      <c r="Z22" s="167">
        <f>SUM(Assumptions!AB176:AB178)</f>
        <v>4000</v>
      </c>
      <c r="AA22" s="167">
        <f>SUM(Assumptions!AC176:AC178)</f>
        <v>4000</v>
      </c>
      <c r="AB22" s="167">
        <f>SUM(Assumptions!AD176:AD178)</f>
        <v>4000</v>
      </c>
      <c r="AC22" s="167">
        <f>SUM(Assumptions!AE176:AE178)</f>
        <v>4000</v>
      </c>
      <c r="AD22" s="167">
        <f>SUM(Assumptions!AF176:AF178)</f>
        <v>4000</v>
      </c>
      <c r="AE22" s="167">
        <f>SUM(Assumptions!AG176:AG178)</f>
        <v>4000</v>
      </c>
      <c r="AF22" s="167">
        <f>SUM(Assumptions!AH176:AH178)</f>
        <v>4000</v>
      </c>
      <c r="AG22" s="167">
        <f>SUM(Assumptions!AI176:AI178)</f>
        <v>4000</v>
      </c>
      <c r="AH22" s="167">
        <f>SUM(Assumptions!AJ176:AJ178)</f>
        <v>4000</v>
      </c>
      <c r="AI22" s="167">
        <f>SUM(Assumptions!AK176:AK178)</f>
        <v>4000</v>
      </c>
      <c r="AJ22" s="167">
        <f>SUM(Assumptions!AL176:AL178)</f>
        <v>4000</v>
      </c>
      <c r="AK22" s="167">
        <f>SUM(Assumptions!AM176:AM178)</f>
        <v>4000</v>
      </c>
      <c r="AL22" s="167">
        <f>SUM(Assumptions!AN176:AN178)</f>
        <v>4000</v>
      </c>
      <c r="AM22" s="167">
        <f>SUM(Assumptions!AO176:AO178)</f>
        <v>4000</v>
      </c>
      <c r="AN22" s="167">
        <f>SUM(Assumptions!AP176:AP178)</f>
        <v>4000</v>
      </c>
      <c r="AO22" s="167">
        <f>SUM(Assumptions!AQ176:AQ178)</f>
        <v>4000</v>
      </c>
      <c r="AP22" s="167">
        <f>SUM(Assumptions!AR176:AR178)</f>
        <v>4000</v>
      </c>
      <c r="AQ22" s="167">
        <f>SUM(Assumptions!AS176:AS178)</f>
        <v>4000</v>
      </c>
      <c r="AR22" s="167">
        <f>SUM(Assumptions!AT176:AT178)</f>
        <v>4000</v>
      </c>
      <c r="AS22" s="167">
        <f>SUM(Assumptions!AU176:AU178)</f>
        <v>4000</v>
      </c>
      <c r="AT22" s="167">
        <f>SUM(Assumptions!AV176:AV178)</f>
        <v>4000</v>
      </c>
      <c r="AU22" s="167">
        <f>SUM(Assumptions!AW176:AW178)</f>
        <v>4000</v>
      </c>
      <c r="AV22" s="167">
        <f>SUM(Assumptions!AX176:AX178)</f>
        <v>4000</v>
      </c>
      <c r="AW22" s="167">
        <f>SUM(Assumptions!AY176:AY178)</f>
        <v>4000</v>
      </c>
      <c r="AX22" s="167">
        <f>SUM(Assumptions!AZ176:AZ178)</f>
        <v>4000</v>
      </c>
      <c r="AY22" s="167">
        <f>SUM(Assumptions!BA176:BA178)</f>
        <v>4000</v>
      </c>
      <c r="AZ22" s="167">
        <f>SUM(Assumptions!BB176:BB178)</f>
        <v>4000</v>
      </c>
      <c r="BA22" s="167">
        <f>SUM(Assumptions!BC176:BC178)</f>
        <v>4000</v>
      </c>
      <c r="BB22" s="167">
        <f>SUM(Assumptions!BD176:BD178)</f>
        <v>4000</v>
      </c>
      <c r="BC22" s="167">
        <f>SUM(Assumptions!BE176:BE178)</f>
        <v>4000</v>
      </c>
      <c r="BD22" s="167">
        <f>SUM(Assumptions!BF176:BF178)</f>
        <v>4000</v>
      </c>
      <c r="BE22" s="167">
        <f>SUM(Assumptions!BG176:BG178)</f>
        <v>4000</v>
      </c>
      <c r="BF22" s="167">
        <f>SUM(Assumptions!BH176:BH178)</f>
        <v>4000</v>
      </c>
      <c r="BG22" s="167">
        <f>SUM(Assumptions!BI176:BI178)</f>
        <v>4000</v>
      </c>
      <c r="BH22" s="167">
        <f>SUM(Assumptions!BJ176:BJ178)</f>
        <v>4000</v>
      </c>
      <c r="BI22" s="167">
        <f>SUM(Assumptions!BK176:BK178)</f>
        <v>4000</v>
      </c>
      <c r="BJ22" s="167">
        <f>SUM(Assumptions!BL176:BL178)</f>
        <v>4000</v>
      </c>
      <c r="BK22" s="167">
        <f>SUM(Assumptions!BM176:BM178)</f>
        <v>4000</v>
      </c>
      <c r="BL22" s="167">
        <f>SUM(Assumptions!BN176:BN178)</f>
        <v>4000</v>
      </c>
      <c r="BM22" s="167">
        <f>SUM(Assumptions!BO176:BO178)</f>
        <v>4000</v>
      </c>
      <c r="BN22" s="167"/>
    </row>
    <row r="23" outlineLevel="1">
      <c r="A23" s="167"/>
      <c r="B23" s="178" t="str">
        <f>Assumptions!B181</f>
        <v>Other</v>
      </c>
      <c r="C23" s="178"/>
      <c r="D23" s="178"/>
      <c r="E23" s="178"/>
      <c r="F23" s="178">
        <f>Assumptions!H182</f>
        <v>1203.75</v>
      </c>
      <c r="G23" s="178">
        <f>Assumptions!I182</f>
        <v>2403.025625</v>
      </c>
      <c r="H23" s="178">
        <f>Assumptions!J182</f>
        <v>3570.80734</v>
      </c>
      <c r="I23" s="178">
        <f>Assumptions!K182</f>
        <v>4709.606073</v>
      </c>
      <c r="J23" s="178">
        <f>Assumptions!L182</f>
        <v>5822.301953</v>
      </c>
      <c r="K23" s="178">
        <f>Assumptions!M182</f>
        <v>6911.709522</v>
      </c>
      <c r="L23" s="178">
        <f>Assumptions!N182</f>
        <v>7980.578252</v>
      </c>
      <c r="M23" s="178">
        <f>Assumptions!O182</f>
        <v>9031.599472</v>
      </c>
      <c r="N23" s="178">
        <f>Assumptions!P182</f>
        <v>10067.41325</v>
      </c>
      <c r="O23" s="178">
        <f>Assumptions!Q182</f>
        <v>11090.61511</v>
      </c>
      <c r="P23" s="178">
        <f>Assumptions!R182</f>
        <v>12103.76264</v>
      </c>
      <c r="Q23" s="178">
        <f>Assumptions!S182</f>
        <v>13109.38198</v>
      </c>
      <c r="R23" s="178">
        <f>Assumptions!T182</f>
        <v>14109.97421</v>
      </c>
      <c r="S23" s="178">
        <f>Assumptions!U182</f>
        <v>15108.02166</v>
      </c>
      <c r="T23" s="178">
        <f>Assumptions!V182</f>
        <v>16105.99421</v>
      </c>
      <c r="U23" s="178">
        <f>Assumptions!W182</f>
        <v>17106.3554</v>
      </c>
      <c r="V23" s="178">
        <f>Assumptions!X182</f>
        <v>18111.56871</v>
      </c>
      <c r="W23" s="178">
        <f>Assumptions!Y182</f>
        <v>18763.73255</v>
      </c>
      <c r="X23" s="178">
        <f>Assumptions!Z182</f>
        <v>19383.28819</v>
      </c>
      <c r="Y23" s="178">
        <f>Assumptions!AA182</f>
        <v>19971.86606</v>
      </c>
      <c r="Z23" s="178">
        <f>Assumptions!AB182</f>
        <v>20531.01503</v>
      </c>
      <c r="AA23" s="178">
        <f>Assumptions!AC182</f>
        <v>21062.20655</v>
      </c>
      <c r="AB23" s="178">
        <f>Assumptions!AD182</f>
        <v>21566.8385</v>
      </c>
      <c r="AC23" s="178">
        <f>Assumptions!AE182</f>
        <v>22046.23884</v>
      </c>
      <c r="AD23" s="178">
        <f>Assumptions!AF182</f>
        <v>22501.66917</v>
      </c>
      <c r="AE23" s="178">
        <f>Assumptions!AG182</f>
        <v>22934.32799</v>
      </c>
      <c r="AF23" s="178">
        <f>Assumptions!AH182</f>
        <v>23345.35386</v>
      </c>
      <c r="AG23" s="178">
        <f>Assumptions!AI182</f>
        <v>23735.82844</v>
      </c>
      <c r="AH23" s="178">
        <f>Assumptions!AJ182</f>
        <v>24106.77929</v>
      </c>
      <c r="AI23" s="178">
        <f>Assumptions!AK182</f>
        <v>24459.1826</v>
      </c>
      <c r="AJ23" s="178">
        <f>Assumptions!AL182</f>
        <v>24793.96574</v>
      </c>
      <c r="AK23" s="178">
        <f>Assumptions!AM182</f>
        <v>25112.00973</v>
      </c>
      <c r="AL23" s="178">
        <f>Assumptions!AN182</f>
        <v>25414.15152</v>
      </c>
      <c r="AM23" s="178">
        <f>Assumptions!AO182</f>
        <v>25701.18621</v>
      </c>
      <c r="AN23" s="178">
        <f>Assumptions!AP182</f>
        <v>25973.86918</v>
      </c>
      <c r="AO23" s="178">
        <f>Assumptions!AQ182</f>
        <v>26232.91799</v>
      </c>
      <c r="AP23" s="178">
        <f>Assumptions!AR182</f>
        <v>26479.01436</v>
      </c>
      <c r="AQ23" s="178">
        <f>Assumptions!AS182</f>
        <v>26712.80592</v>
      </c>
      <c r="AR23" s="178">
        <f>Assumptions!AT182</f>
        <v>26934.9079</v>
      </c>
      <c r="AS23" s="178">
        <f>Assumptions!AU182</f>
        <v>27145.90477</v>
      </c>
      <c r="AT23" s="178">
        <f>Assumptions!AV182</f>
        <v>27346.35181</v>
      </c>
      <c r="AU23" s="178">
        <f>Assumptions!AW182</f>
        <v>27536.77649</v>
      </c>
      <c r="AV23" s="178">
        <f>Assumptions!AX182</f>
        <v>27717.67994</v>
      </c>
      <c r="AW23" s="178">
        <f>Assumptions!AY182</f>
        <v>27889.53821</v>
      </c>
      <c r="AX23" s="178">
        <f>Assumptions!AZ182</f>
        <v>28052.80358</v>
      </c>
      <c r="AY23" s="178">
        <f>Assumptions!BA182</f>
        <v>28207.90567</v>
      </c>
      <c r="AZ23" s="178">
        <f>Assumptions!BB182</f>
        <v>28355.25266</v>
      </c>
      <c r="BA23" s="178">
        <f>Assumptions!BC182</f>
        <v>28495.2323</v>
      </c>
      <c r="BB23" s="178">
        <f>Assumptions!BD182</f>
        <v>28628.21296</v>
      </c>
      <c r="BC23" s="178">
        <f>Assumptions!BE182</f>
        <v>28754.54458</v>
      </c>
      <c r="BD23" s="178">
        <f>Assumptions!BF182</f>
        <v>28874.55963</v>
      </c>
      <c r="BE23" s="178">
        <f>Assumptions!BG182</f>
        <v>28988.57392</v>
      </c>
      <c r="BF23" s="178">
        <f>Assumptions!BH182</f>
        <v>29096.8875</v>
      </c>
      <c r="BG23" s="178">
        <f>Assumptions!BI182</f>
        <v>29199.78539</v>
      </c>
      <c r="BH23" s="178">
        <f>Assumptions!BJ182</f>
        <v>29297.5384</v>
      </c>
      <c r="BI23" s="178">
        <f>Assumptions!BK182</f>
        <v>29390.40375</v>
      </c>
      <c r="BJ23" s="178">
        <f>Assumptions!BL182</f>
        <v>29478.62584</v>
      </c>
      <c r="BK23" s="178">
        <f>Assumptions!BM182</f>
        <v>29562.43682</v>
      </c>
      <c r="BL23" s="178">
        <f>Assumptions!BN182</f>
        <v>29642.05725</v>
      </c>
      <c r="BM23" s="178">
        <f>Assumptions!BO182</f>
        <v>29717.69666</v>
      </c>
      <c r="BN23" s="167"/>
    </row>
    <row r="24" outlineLevel="1">
      <c r="A24" s="167"/>
      <c r="B24" s="176" t="s">
        <v>161</v>
      </c>
      <c r="C24" s="167"/>
      <c r="D24" s="167"/>
      <c r="E24" s="167"/>
      <c r="F24" s="179">
        <f t="shared" ref="F24:BM24" si="8">SUM(F19:F23)</f>
        <v>238166.75</v>
      </c>
      <c r="G24" s="179">
        <f t="shared" si="8"/>
        <v>240325.4461</v>
      </c>
      <c r="H24" s="179">
        <f t="shared" si="8"/>
        <v>242427.4532</v>
      </c>
      <c r="I24" s="179">
        <f t="shared" si="8"/>
        <v>244477.2909</v>
      </c>
      <c r="J24" s="179">
        <f t="shared" si="8"/>
        <v>246480.1435</v>
      </c>
      <c r="K24" s="179">
        <f t="shared" si="8"/>
        <v>248441.0771</v>
      </c>
      <c r="L24" s="179">
        <f t="shared" si="8"/>
        <v>250365.0409</v>
      </c>
      <c r="M24" s="179">
        <f t="shared" si="8"/>
        <v>252256.8791</v>
      </c>
      <c r="N24" s="179">
        <f t="shared" si="8"/>
        <v>254121.3438</v>
      </c>
      <c r="O24" s="179">
        <f t="shared" si="8"/>
        <v>255963.1072</v>
      </c>
      <c r="P24" s="179">
        <f t="shared" si="8"/>
        <v>257786.7727</v>
      </c>
      <c r="Q24" s="179">
        <f t="shared" si="8"/>
        <v>259596.8876</v>
      </c>
      <c r="R24" s="179">
        <f t="shared" si="8"/>
        <v>261397.9536</v>
      </c>
      <c r="S24" s="179">
        <f t="shared" si="8"/>
        <v>263194.439</v>
      </c>
      <c r="T24" s="179">
        <f t="shared" si="8"/>
        <v>264990.7896</v>
      </c>
      <c r="U24" s="179">
        <f t="shared" si="8"/>
        <v>266791.4397</v>
      </c>
      <c r="V24" s="179">
        <f t="shared" si="8"/>
        <v>268600.8237</v>
      </c>
      <c r="W24" s="179">
        <f t="shared" si="8"/>
        <v>269774.7186</v>
      </c>
      <c r="X24" s="179">
        <f t="shared" si="8"/>
        <v>270889.9188</v>
      </c>
      <c r="Y24" s="179">
        <f t="shared" si="8"/>
        <v>271949.3589</v>
      </c>
      <c r="Z24" s="179">
        <f t="shared" si="8"/>
        <v>272955.8271</v>
      </c>
      <c r="AA24" s="179">
        <f t="shared" si="8"/>
        <v>273911.9718</v>
      </c>
      <c r="AB24" s="179">
        <f t="shared" si="8"/>
        <v>274820.3093</v>
      </c>
      <c r="AC24" s="179">
        <f t="shared" si="8"/>
        <v>275683.2299</v>
      </c>
      <c r="AD24" s="179">
        <f t="shared" si="8"/>
        <v>276503.0045</v>
      </c>
      <c r="AE24" s="179">
        <f t="shared" si="8"/>
        <v>277281.7904</v>
      </c>
      <c r="AF24" s="179">
        <f t="shared" si="8"/>
        <v>278021.637</v>
      </c>
      <c r="AG24" s="179">
        <f t="shared" si="8"/>
        <v>278724.4912</v>
      </c>
      <c r="AH24" s="179">
        <f t="shared" si="8"/>
        <v>279392.2027</v>
      </c>
      <c r="AI24" s="179">
        <f t="shared" si="8"/>
        <v>280026.5287</v>
      </c>
      <c r="AJ24" s="179">
        <f t="shared" si="8"/>
        <v>280629.1383</v>
      </c>
      <c r="AK24" s="179">
        <f t="shared" si="8"/>
        <v>281201.6175</v>
      </c>
      <c r="AL24" s="179">
        <f t="shared" si="8"/>
        <v>281745.4727</v>
      </c>
      <c r="AM24" s="179">
        <f t="shared" si="8"/>
        <v>282262.1352</v>
      </c>
      <c r="AN24" s="179">
        <f t="shared" si="8"/>
        <v>282752.9645</v>
      </c>
      <c r="AO24" s="179">
        <f t="shared" si="8"/>
        <v>283219.2524</v>
      </c>
      <c r="AP24" s="179">
        <f t="shared" si="8"/>
        <v>283662.2259</v>
      </c>
      <c r="AQ24" s="179">
        <f t="shared" si="8"/>
        <v>284083.0507</v>
      </c>
      <c r="AR24" s="179">
        <f t="shared" si="8"/>
        <v>284482.8342</v>
      </c>
      <c r="AS24" s="179">
        <f t="shared" si="8"/>
        <v>284862.6286</v>
      </c>
      <c r="AT24" s="179">
        <f t="shared" si="8"/>
        <v>285223.4333</v>
      </c>
      <c r="AU24" s="179">
        <f t="shared" si="8"/>
        <v>285566.1977</v>
      </c>
      <c r="AV24" s="179">
        <f t="shared" si="8"/>
        <v>285891.8239</v>
      </c>
      <c r="AW24" s="179">
        <f t="shared" si="8"/>
        <v>286201.1688</v>
      </c>
      <c r="AX24" s="179">
        <f t="shared" si="8"/>
        <v>286495.0464</v>
      </c>
      <c r="AY24" s="179">
        <f t="shared" si="8"/>
        <v>286774.2302</v>
      </c>
      <c r="AZ24" s="179">
        <f t="shared" si="8"/>
        <v>287039.4548</v>
      </c>
      <c r="BA24" s="179">
        <f t="shared" si="8"/>
        <v>287291.4181</v>
      </c>
      <c r="BB24" s="179">
        <f t="shared" si="8"/>
        <v>287530.7833</v>
      </c>
      <c r="BC24" s="179">
        <f t="shared" si="8"/>
        <v>287758.1802</v>
      </c>
      <c r="BD24" s="179">
        <f t="shared" si="8"/>
        <v>287974.2073</v>
      </c>
      <c r="BE24" s="179">
        <f t="shared" si="8"/>
        <v>288179.4331</v>
      </c>
      <c r="BF24" s="179">
        <f t="shared" si="8"/>
        <v>288374.3975</v>
      </c>
      <c r="BG24" s="179">
        <f t="shared" si="8"/>
        <v>288559.6137</v>
      </c>
      <c r="BH24" s="179">
        <f t="shared" si="8"/>
        <v>288735.5691</v>
      </c>
      <c r="BI24" s="179">
        <f t="shared" si="8"/>
        <v>288902.7268</v>
      </c>
      <c r="BJ24" s="179">
        <f t="shared" si="8"/>
        <v>289061.5265</v>
      </c>
      <c r="BK24" s="179">
        <f t="shared" si="8"/>
        <v>289212.3863</v>
      </c>
      <c r="BL24" s="179">
        <f t="shared" si="8"/>
        <v>289355.703</v>
      </c>
      <c r="BM24" s="179">
        <f t="shared" si="8"/>
        <v>289491.854</v>
      </c>
      <c r="BN24" s="167"/>
    </row>
    <row r="25" outlineLevel="1">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c r="BE25" s="167"/>
      <c r="BF25" s="167"/>
      <c r="BG25" s="167"/>
      <c r="BH25" s="167"/>
      <c r="BI25" s="167"/>
      <c r="BJ25" s="167"/>
      <c r="BK25" s="167"/>
      <c r="BL25" s="167"/>
      <c r="BM25" s="167"/>
      <c r="BN25" s="167"/>
    </row>
    <row r="26" outlineLevel="1">
      <c r="A26" s="167"/>
      <c r="B26" s="170" t="s">
        <v>162</v>
      </c>
      <c r="C26" s="171"/>
      <c r="D26" s="171"/>
      <c r="E26" s="171"/>
      <c r="F26" s="172">
        <f t="shared" ref="F26:BM26" si="9">F15-F24</f>
        <v>-230342.375</v>
      </c>
      <c r="G26" s="172">
        <f t="shared" si="9"/>
        <v>-224705.7796</v>
      </c>
      <c r="H26" s="172">
        <f t="shared" si="9"/>
        <v>-219217.2055</v>
      </c>
      <c r="I26" s="172">
        <f t="shared" si="9"/>
        <v>-213864.8515</v>
      </c>
      <c r="J26" s="172">
        <f t="shared" si="9"/>
        <v>-208635.1808</v>
      </c>
      <c r="K26" s="172">
        <f t="shared" si="9"/>
        <v>-203514.9652</v>
      </c>
      <c r="L26" s="172">
        <f t="shared" si="9"/>
        <v>-198491.2822</v>
      </c>
      <c r="M26" s="172">
        <f t="shared" si="9"/>
        <v>-193551.4825</v>
      </c>
      <c r="N26" s="172">
        <f t="shared" si="9"/>
        <v>-188683.1577</v>
      </c>
      <c r="O26" s="172">
        <f t="shared" si="9"/>
        <v>-183874.109</v>
      </c>
      <c r="P26" s="172">
        <f t="shared" si="9"/>
        <v>-179112.3156</v>
      </c>
      <c r="Q26" s="172">
        <f t="shared" si="9"/>
        <v>-174385.9047</v>
      </c>
      <c r="R26" s="172">
        <f t="shared" si="9"/>
        <v>-169683.1212</v>
      </c>
      <c r="S26" s="172">
        <f t="shared" si="9"/>
        <v>-164992.2982</v>
      </c>
      <c r="T26" s="172">
        <f t="shared" si="9"/>
        <v>-160301.8272</v>
      </c>
      <c r="U26" s="172">
        <f t="shared" si="9"/>
        <v>-155600.1296</v>
      </c>
      <c r="V26" s="172">
        <f t="shared" si="9"/>
        <v>-150875.6271</v>
      </c>
      <c r="W26" s="172">
        <f t="shared" si="9"/>
        <v>-147810.457</v>
      </c>
      <c r="X26" s="172">
        <f t="shared" si="9"/>
        <v>-144898.5455</v>
      </c>
      <c r="Y26" s="172">
        <f t="shared" si="9"/>
        <v>-142132.2295</v>
      </c>
      <c r="Z26" s="172">
        <f t="shared" si="9"/>
        <v>-139504.2294</v>
      </c>
      <c r="AA26" s="172">
        <f t="shared" si="9"/>
        <v>-137007.6292</v>
      </c>
      <c r="AB26" s="172">
        <f t="shared" si="9"/>
        <v>-134635.8591</v>
      </c>
      <c r="AC26" s="172">
        <f t="shared" si="9"/>
        <v>-132382.6774</v>
      </c>
      <c r="AD26" s="172">
        <f t="shared" si="9"/>
        <v>-130242.1549</v>
      </c>
      <c r="AE26" s="172">
        <f t="shared" si="9"/>
        <v>-128208.6585</v>
      </c>
      <c r="AF26" s="172">
        <f t="shared" si="9"/>
        <v>-126276.8368</v>
      </c>
      <c r="AG26" s="172">
        <f t="shared" si="9"/>
        <v>-124441.6063</v>
      </c>
      <c r="AH26" s="172">
        <f t="shared" si="9"/>
        <v>-122698.1373</v>
      </c>
      <c r="AI26" s="172">
        <f t="shared" si="9"/>
        <v>-121041.8418</v>
      </c>
      <c r="AJ26" s="172">
        <f t="shared" si="9"/>
        <v>-119468.361</v>
      </c>
      <c r="AK26" s="172">
        <f t="shared" si="9"/>
        <v>-117973.5543</v>
      </c>
      <c r="AL26" s="172">
        <f t="shared" si="9"/>
        <v>-116553.4879</v>
      </c>
      <c r="AM26" s="172">
        <f t="shared" si="9"/>
        <v>-115204.4248</v>
      </c>
      <c r="AN26" s="172">
        <f t="shared" si="9"/>
        <v>-113922.8149</v>
      </c>
      <c r="AO26" s="172">
        <f t="shared" si="9"/>
        <v>-112705.2854</v>
      </c>
      <c r="AP26" s="172">
        <f t="shared" si="9"/>
        <v>-111548.6325</v>
      </c>
      <c r="AQ26" s="172">
        <f t="shared" si="9"/>
        <v>-110449.8122</v>
      </c>
      <c r="AR26" s="172">
        <f t="shared" si="9"/>
        <v>-109405.9329</v>
      </c>
      <c r="AS26" s="172">
        <f t="shared" si="9"/>
        <v>-108414.2476</v>
      </c>
      <c r="AT26" s="172">
        <f t="shared" si="9"/>
        <v>-107472.1465</v>
      </c>
      <c r="AU26" s="172">
        <f t="shared" si="9"/>
        <v>-106577.1505</v>
      </c>
      <c r="AV26" s="172">
        <f t="shared" si="9"/>
        <v>-105726.9043</v>
      </c>
      <c r="AW26" s="172">
        <f t="shared" si="9"/>
        <v>-104919.1704</v>
      </c>
      <c r="AX26" s="172">
        <f t="shared" si="9"/>
        <v>-104151.8232</v>
      </c>
      <c r="AY26" s="172">
        <f t="shared" si="9"/>
        <v>-103422.8433</v>
      </c>
      <c r="AZ26" s="172">
        <f t="shared" si="9"/>
        <v>-102730.3125</v>
      </c>
      <c r="BA26" s="172">
        <f t="shared" si="9"/>
        <v>-102072.4082</v>
      </c>
      <c r="BB26" s="172">
        <f t="shared" si="9"/>
        <v>-101447.3991</v>
      </c>
      <c r="BC26" s="172">
        <f t="shared" si="9"/>
        <v>-100853.6405</v>
      </c>
      <c r="BD26" s="172">
        <f t="shared" si="9"/>
        <v>-100289.5698</v>
      </c>
      <c r="BE26" s="172">
        <f t="shared" si="9"/>
        <v>-99753.70258</v>
      </c>
      <c r="BF26" s="172">
        <f t="shared" si="9"/>
        <v>-99244.62877</v>
      </c>
      <c r="BG26" s="172">
        <f t="shared" si="9"/>
        <v>-98761.00865</v>
      </c>
      <c r="BH26" s="172">
        <f t="shared" si="9"/>
        <v>-98301.56953</v>
      </c>
      <c r="BI26" s="172">
        <f t="shared" si="9"/>
        <v>-97865.10237</v>
      </c>
      <c r="BJ26" s="172">
        <f t="shared" si="9"/>
        <v>-97450.45857</v>
      </c>
      <c r="BK26" s="172">
        <f t="shared" si="9"/>
        <v>-97056.54696</v>
      </c>
      <c r="BL26" s="172">
        <f t="shared" si="9"/>
        <v>-96682.33093</v>
      </c>
      <c r="BM26" s="172">
        <f t="shared" si="9"/>
        <v>-96326.8257</v>
      </c>
      <c r="BN26" s="167"/>
    </row>
    <row r="27" outlineLevel="1">
      <c r="A27" s="167"/>
      <c r="B27" s="177" t="s">
        <v>163</v>
      </c>
      <c r="C27" s="167"/>
      <c r="D27" s="167"/>
      <c r="E27" s="167"/>
      <c r="F27" s="167">
        <f>SUM(Assumptions!H203:H206)-sum(Assumptions!E203:E206)</f>
        <v>0</v>
      </c>
      <c r="G27" s="167">
        <f>SUM(Assumptions!I203:I206)-sum(Assumptions!H203:H206)</f>
        <v>0</v>
      </c>
      <c r="H27" s="167">
        <f>SUM(Assumptions!J203:J206)-sum(Assumptions!I203:I206)</f>
        <v>0</v>
      </c>
      <c r="I27" s="167">
        <f>SUM(Assumptions!K203:K206)-sum(Assumptions!J203:J206)</f>
        <v>0</v>
      </c>
      <c r="J27" s="167">
        <f>SUM(Assumptions!L203:L206)-sum(Assumptions!K203:K206)</f>
        <v>0</v>
      </c>
      <c r="K27" s="167">
        <f>SUM(Assumptions!M203:M206)-sum(Assumptions!L203:L206)</f>
        <v>0</v>
      </c>
      <c r="L27" s="167">
        <f>SUM(Assumptions!N203:N206)-sum(Assumptions!M203:M206)</f>
        <v>0</v>
      </c>
      <c r="M27" s="167">
        <f>SUM(Assumptions!O203:O206)-sum(Assumptions!N203:N206)</f>
        <v>0</v>
      </c>
      <c r="N27" s="167">
        <f>SUM(Assumptions!P203:P206)-sum(Assumptions!O203:O206)</f>
        <v>0</v>
      </c>
      <c r="O27" s="167">
        <f>SUM(Assumptions!Q203:Q206)-sum(Assumptions!P203:P206)</f>
        <v>0</v>
      </c>
      <c r="P27" s="167">
        <f>SUM(Assumptions!R203:R206)-sum(Assumptions!Q203:Q206)</f>
        <v>0</v>
      </c>
      <c r="Q27" s="167">
        <f>SUM(Assumptions!S203:S206)-sum(Assumptions!R203:R206)</f>
        <v>0</v>
      </c>
      <c r="R27" s="167">
        <f>SUM(Assumptions!T203:T206)-sum(Assumptions!S203:S206)</f>
        <v>0</v>
      </c>
      <c r="S27" s="167">
        <f>SUM(Assumptions!U203:U206)-sum(Assumptions!T203:T206)</f>
        <v>0</v>
      </c>
      <c r="T27" s="167">
        <f>SUM(Assumptions!V203:V206)-sum(Assumptions!U203:U206)</f>
        <v>0</v>
      </c>
      <c r="U27" s="167">
        <f>SUM(Assumptions!W203:W206)-sum(Assumptions!V203:V206)</f>
        <v>0</v>
      </c>
      <c r="V27" s="167">
        <f>SUM(Assumptions!X203:X206)-sum(Assumptions!W203:W206)</f>
        <v>0</v>
      </c>
      <c r="W27" s="167">
        <f>SUM(Assumptions!Y203:Y206)-sum(Assumptions!X203:X206)</f>
        <v>0</v>
      </c>
      <c r="X27" s="167">
        <f>SUM(Assumptions!Z203:Z206)-sum(Assumptions!Y203:Y206)</f>
        <v>0</v>
      </c>
      <c r="Y27" s="167">
        <f>SUM(Assumptions!AA203:AA206)-sum(Assumptions!Z203:Z206)</f>
        <v>0</v>
      </c>
      <c r="Z27" s="167">
        <f>SUM(Assumptions!AB203:AB206)-sum(Assumptions!AA203:AA206)</f>
        <v>0</v>
      </c>
      <c r="AA27" s="167">
        <f>SUM(Assumptions!AC203:AC206)-sum(Assumptions!AB203:AB206)</f>
        <v>0</v>
      </c>
      <c r="AB27" s="167">
        <f>SUM(Assumptions!AD203:AD206)-sum(Assumptions!AC203:AC206)</f>
        <v>0</v>
      </c>
      <c r="AC27" s="167">
        <f>SUM(Assumptions!AE203:AE206)-sum(Assumptions!AD203:AD206)</f>
        <v>0</v>
      </c>
      <c r="AD27" s="167">
        <f>SUM(Assumptions!AF203:AF206)-sum(Assumptions!AE203:AE206)</f>
        <v>0</v>
      </c>
      <c r="AE27" s="167">
        <f>SUM(Assumptions!AG203:AG206)-sum(Assumptions!AF203:AF206)</f>
        <v>0</v>
      </c>
      <c r="AF27" s="167">
        <f>SUM(Assumptions!AH203:AH206)-sum(Assumptions!AG203:AG206)</f>
        <v>0</v>
      </c>
      <c r="AG27" s="167">
        <f>SUM(Assumptions!AI203:AI206)-sum(Assumptions!AH203:AH206)</f>
        <v>0</v>
      </c>
      <c r="AH27" s="167">
        <f>SUM(Assumptions!AJ203:AJ206)-sum(Assumptions!AI203:AI206)</f>
        <v>0</v>
      </c>
      <c r="AI27" s="167">
        <f>SUM(Assumptions!AK203:AK206)-sum(Assumptions!AJ203:AJ206)</f>
        <v>0</v>
      </c>
      <c r="AJ27" s="167">
        <f>SUM(Assumptions!AL203:AL206)-sum(Assumptions!AK203:AK206)</f>
        <v>0</v>
      </c>
      <c r="AK27" s="167">
        <f>SUM(Assumptions!AM203:AM206)-sum(Assumptions!AL203:AL206)</f>
        <v>0</v>
      </c>
      <c r="AL27" s="167">
        <f>SUM(Assumptions!AN203:AN206)-sum(Assumptions!AM203:AM206)</f>
        <v>0</v>
      </c>
      <c r="AM27" s="167">
        <f>SUM(Assumptions!AO203:AO206)-sum(Assumptions!AN203:AN206)</f>
        <v>0</v>
      </c>
      <c r="AN27" s="167">
        <f>SUM(Assumptions!AP203:AP206)-sum(Assumptions!AO203:AO206)</f>
        <v>0</v>
      </c>
      <c r="AO27" s="167">
        <f>SUM(Assumptions!AQ203:AQ206)-sum(Assumptions!AP203:AP206)</f>
        <v>0</v>
      </c>
      <c r="AP27" s="167">
        <f>SUM(Assumptions!AR203:AR206)-sum(Assumptions!AQ203:AQ206)</f>
        <v>0</v>
      </c>
      <c r="AQ27" s="167">
        <f>SUM(Assumptions!AS203:AS206)-sum(Assumptions!AR203:AR206)</f>
        <v>0</v>
      </c>
      <c r="AR27" s="167">
        <f>SUM(Assumptions!AT203:AT206)-sum(Assumptions!AS203:AS206)</f>
        <v>0</v>
      </c>
      <c r="AS27" s="167">
        <f>SUM(Assumptions!AU203:AU206)-sum(Assumptions!AT203:AT206)</f>
        <v>0</v>
      </c>
      <c r="AT27" s="167">
        <f>SUM(Assumptions!AV203:AV206)-sum(Assumptions!AU203:AU206)</f>
        <v>0</v>
      </c>
      <c r="AU27" s="167">
        <f>SUM(Assumptions!AW203:AW206)-sum(Assumptions!AV203:AV206)</f>
        <v>0</v>
      </c>
      <c r="AV27" s="167">
        <f>SUM(Assumptions!AX203:AX206)-sum(Assumptions!AW203:AW206)</f>
        <v>0</v>
      </c>
      <c r="AW27" s="167">
        <f>SUM(Assumptions!AY203:AY206)-sum(Assumptions!AX203:AX206)</f>
        <v>0</v>
      </c>
      <c r="AX27" s="167">
        <f>SUM(Assumptions!AZ203:AZ206)-sum(Assumptions!AY203:AY206)</f>
        <v>0</v>
      </c>
      <c r="AY27" s="167">
        <f>SUM(Assumptions!BA203:BA206)-sum(Assumptions!AZ203:AZ206)</f>
        <v>0</v>
      </c>
      <c r="AZ27" s="167">
        <f>SUM(Assumptions!BB203:BB206)-sum(Assumptions!BA203:BA206)</f>
        <v>0</v>
      </c>
      <c r="BA27" s="167">
        <f>SUM(Assumptions!BC203:BC206)-sum(Assumptions!BB203:BB206)</f>
        <v>0</v>
      </c>
      <c r="BB27" s="167">
        <f>SUM(Assumptions!BD203:BD206)-sum(Assumptions!BC203:BC206)</f>
        <v>0</v>
      </c>
      <c r="BC27" s="167">
        <f>SUM(Assumptions!BE203:BE206)-sum(Assumptions!BD203:BD206)</f>
        <v>0</v>
      </c>
      <c r="BD27" s="167">
        <f>SUM(Assumptions!BF203:BF206)-sum(Assumptions!BE203:BE206)</f>
        <v>0</v>
      </c>
      <c r="BE27" s="167">
        <f>SUM(Assumptions!BG203:BG206)-sum(Assumptions!BF203:BF206)</f>
        <v>0</v>
      </c>
      <c r="BF27" s="167">
        <f>SUM(Assumptions!BH203:BH206)-sum(Assumptions!BG203:BG206)</f>
        <v>0</v>
      </c>
      <c r="BG27" s="167">
        <f>SUM(Assumptions!BI203:BI206)-sum(Assumptions!BH203:BH206)</f>
        <v>0</v>
      </c>
      <c r="BH27" s="167">
        <f>SUM(Assumptions!BJ203:BJ206)-sum(Assumptions!BI203:BI206)</f>
        <v>0</v>
      </c>
      <c r="BI27" s="167">
        <f>SUM(Assumptions!BK203:BK206)-sum(Assumptions!BJ203:BJ206)</f>
        <v>0</v>
      </c>
      <c r="BJ27" s="167">
        <f>SUM(Assumptions!BL203:BL206)-sum(Assumptions!BK203:BK206)</f>
        <v>0</v>
      </c>
      <c r="BK27" s="167">
        <f>SUM(Assumptions!BM203:BM206)-sum(Assumptions!BL203:BL206)</f>
        <v>0</v>
      </c>
      <c r="BL27" s="167">
        <f>SUM(Assumptions!BN203:BN206)-sum(Assumptions!BM203:BM206)</f>
        <v>0</v>
      </c>
      <c r="BM27" s="167">
        <f>SUM(Assumptions!BO203:BO206)-sum(Assumptions!BN203:BN206)</f>
        <v>0</v>
      </c>
      <c r="BN27" s="167"/>
    </row>
    <row r="28" outlineLevel="1">
      <c r="A28" s="167"/>
      <c r="B28" s="170" t="s">
        <v>164</v>
      </c>
      <c r="C28" s="171"/>
      <c r="D28" s="171"/>
      <c r="E28" s="171"/>
      <c r="F28" s="172">
        <f t="shared" ref="F28:BM28" si="10">F26-F27</f>
        <v>-230342.375</v>
      </c>
      <c r="G28" s="172">
        <f t="shared" si="10"/>
        <v>-224705.7796</v>
      </c>
      <c r="H28" s="172">
        <f t="shared" si="10"/>
        <v>-219217.2055</v>
      </c>
      <c r="I28" s="172">
        <f t="shared" si="10"/>
        <v>-213864.8515</v>
      </c>
      <c r="J28" s="172">
        <f t="shared" si="10"/>
        <v>-208635.1808</v>
      </c>
      <c r="K28" s="172">
        <f t="shared" si="10"/>
        <v>-203514.9652</v>
      </c>
      <c r="L28" s="172">
        <f t="shared" si="10"/>
        <v>-198491.2822</v>
      </c>
      <c r="M28" s="172">
        <f t="shared" si="10"/>
        <v>-193551.4825</v>
      </c>
      <c r="N28" s="172">
        <f t="shared" si="10"/>
        <v>-188683.1577</v>
      </c>
      <c r="O28" s="172">
        <f t="shared" si="10"/>
        <v>-183874.109</v>
      </c>
      <c r="P28" s="172">
        <f t="shared" si="10"/>
        <v>-179112.3156</v>
      </c>
      <c r="Q28" s="172">
        <f t="shared" si="10"/>
        <v>-174385.9047</v>
      </c>
      <c r="R28" s="172">
        <f t="shared" si="10"/>
        <v>-169683.1212</v>
      </c>
      <c r="S28" s="172">
        <f t="shared" si="10"/>
        <v>-164992.2982</v>
      </c>
      <c r="T28" s="172">
        <f t="shared" si="10"/>
        <v>-160301.8272</v>
      </c>
      <c r="U28" s="172">
        <f t="shared" si="10"/>
        <v>-155600.1296</v>
      </c>
      <c r="V28" s="172">
        <f t="shared" si="10"/>
        <v>-150875.6271</v>
      </c>
      <c r="W28" s="172">
        <f t="shared" si="10"/>
        <v>-147810.457</v>
      </c>
      <c r="X28" s="172">
        <f t="shared" si="10"/>
        <v>-144898.5455</v>
      </c>
      <c r="Y28" s="172">
        <f t="shared" si="10"/>
        <v>-142132.2295</v>
      </c>
      <c r="Z28" s="172">
        <f t="shared" si="10"/>
        <v>-139504.2294</v>
      </c>
      <c r="AA28" s="172">
        <f t="shared" si="10"/>
        <v>-137007.6292</v>
      </c>
      <c r="AB28" s="172">
        <f t="shared" si="10"/>
        <v>-134635.8591</v>
      </c>
      <c r="AC28" s="172">
        <f t="shared" si="10"/>
        <v>-132382.6774</v>
      </c>
      <c r="AD28" s="172">
        <f t="shared" si="10"/>
        <v>-130242.1549</v>
      </c>
      <c r="AE28" s="172">
        <f t="shared" si="10"/>
        <v>-128208.6585</v>
      </c>
      <c r="AF28" s="172">
        <f t="shared" si="10"/>
        <v>-126276.8368</v>
      </c>
      <c r="AG28" s="172">
        <f t="shared" si="10"/>
        <v>-124441.6063</v>
      </c>
      <c r="AH28" s="172">
        <f t="shared" si="10"/>
        <v>-122698.1373</v>
      </c>
      <c r="AI28" s="172">
        <f t="shared" si="10"/>
        <v>-121041.8418</v>
      </c>
      <c r="AJ28" s="172">
        <f t="shared" si="10"/>
        <v>-119468.361</v>
      </c>
      <c r="AK28" s="172">
        <f t="shared" si="10"/>
        <v>-117973.5543</v>
      </c>
      <c r="AL28" s="172">
        <f t="shared" si="10"/>
        <v>-116553.4879</v>
      </c>
      <c r="AM28" s="172">
        <f t="shared" si="10"/>
        <v>-115204.4248</v>
      </c>
      <c r="AN28" s="172">
        <f t="shared" si="10"/>
        <v>-113922.8149</v>
      </c>
      <c r="AO28" s="172">
        <f t="shared" si="10"/>
        <v>-112705.2854</v>
      </c>
      <c r="AP28" s="172">
        <f t="shared" si="10"/>
        <v>-111548.6325</v>
      </c>
      <c r="AQ28" s="172">
        <f t="shared" si="10"/>
        <v>-110449.8122</v>
      </c>
      <c r="AR28" s="172">
        <f t="shared" si="10"/>
        <v>-109405.9329</v>
      </c>
      <c r="AS28" s="172">
        <f t="shared" si="10"/>
        <v>-108414.2476</v>
      </c>
      <c r="AT28" s="172">
        <f t="shared" si="10"/>
        <v>-107472.1465</v>
      </c>
      <c r="AU28" s="172">
        <f t="shared" si="10"/>
        <v>-106577.1505</v>
      </c>
      <c r="AV28" s="172">
        <f t="shared" si="10"/>
        <v>-105726.9043</v>
      </c>
      <c r="AW28" s="172">
        <f t="shared" si="10"/>
        <v>-104919.1704</v>
      </c>
      <c r="AX28" s="172">
        <f t="shared" si="10"/>
        <v>-104151.8232</v>
      </c>
      <c r="AY28" s="172">
        <f t="shared" si="10"/>
        <v>-103422.8433</v>
      </c>
      <c r="AZ28" s="172">
        <f t="shared" si="10"/>
        <v>-102730.3125</v>
      </c>
      <c r="BA28" s="172">
        <f t="shared" si="10"/>
        <v>-102072.4082</v>
      </c>
      <c r="BB28" s="172">
        <f t="shared" si="10"/>
        <v>-101447.3991</v>
      </c>
      <c r="BC28" s="172">
        <f t="shared" si="10"/>
        <v>-100853.6405</v>
      </c>
      <c r="BD28" s="172">
        <f t="shared" si="10"/>
        <v>-100289.5698</v>
      </c>
      <c r="BE28" s="172">
        <f t="shared" si="10"/>
        <v>-99753.70258</v>
      </c>
      <c r="BF28" s="172">
        <f t="shared" si="10"/>
        <v>-99244.62877</v>
      </c>
      <c r="BG28" s="172">
        <f t="shared" si="10"/>
        <v>-98761.00865</v>
      </c>
      <c r="BH28" s="172">
        <f t="shared" si="10"/>
        <v>-98301.56953</v>
      </c>
      <c r="BI28" s="172">
        <f t="shared" si="10"/>
        <v>-97865.10237</v>
      </c>
      <c r="BJ28" s="172">
        <f t="shared" si="10"/>
        <v>-97450.45857</v>
      </c>
      <c r="BK28" s="172">
        <f t="shared" si="10"/>
        <v>-97056.54696</v>
      </c>
      <c r="BL28" s="172">
        <f t="shared" si="10"/>
        <v>-96682.33093</v>
      </c>
      <c r="BM28" s="172">
        <f t="shared" si="10"/>
        <v>-96326.8257</v>
      </c>
      <c r="BN28" s="167"/>
    </row>
    <row r="29" outlineLevel="1">
      <c r="A29" s="167"/>
      <c r="B29" s="180" t="s">
        <v>165</v>
      </c>
      <c r="C29" s="178"/>
      <c r="D29" s="178"/>
      <c r="E29" s="178"/>
      <c r="F29" s="178">
        <f>IF(F28&gt;0,F28*Assumptions!$C$184,0)</f>
        <v>0</v>
      </c>
      <c r="G29" s="178">
        <f>IF(G28&gt;0,G28*Assumptions!$C$184,0)</f>
        <v>0</v>
      </c>
      <c r="H29" s="178">
        <f>IF(H28&gt;0,H28*Assumptions!$C$184,0)</f>
        <v>0</v>
      </c>
      <c r="I29" s="178">
        <f>IF(I28&gt;0,I28*Assumptions!$C$184,0)</f>
        <v>0</v>
      </c>
      <c r="J29" s="178">
        <f>IF(J28&gt;0,J28*Assumptions!$C$184,0)</f>
        <v>0</v>
      </c>
      <c r="K29" s="178">
        <f>IF(K28&gt;0,K28*Assumptions!$C$184,0)</f>
        <v>0</v>
      </c>
      <c r="L29" s="178">
        <f>IF(L28&gt;0,L28*Assumptions!$C$184,0)</f>
        <v>0</v>
      </c>
      <c r="M29" s="178">
        <f>IF(M28&gt;0,M28*Assumptions!$C$184,0)</f>
        <v>0</v>
      </c>
      <c r="N29" s="178">
        <f>IF(N28&gt;0,N28*Assumptions!$C$184,0)</f>
        <v>0</v>
      </c>
      <c r="O29" s="178">
        <f>IF(O28&gt;0,O28*Assumptions!$C$184,0)</f>
        <v>0</v>
      </c>
      <c r="P29" s="178">
        <f>IF(P28&gt;0,P28*Assumptions!$C$184,0)</f>
        <v>0</v>
      </c>
      <c r="Q29" s="178">
        <f>IF(Q28&gt;0,Q28*Assumptions!$C$184,0)</f>
        <v>0</v>
      </c>
      <c r="R29" s="178">
        <f>IF(R28&gt;0,R28*Assumptions!$C$184,0)</f>
        <v>0</v>
      </c>
      <c r="S29" s="178">
        <f>IF(S28&gt;0,S28*Assumptions!$C$184,0)</f>
        <v>0</v>
      </c>
      <c r="T29" s="178">
        <f>IF(T28&gt;0,T28*Assumptions!$C$184,0)</f>
        <v>0</v>
      </c>
      <c r="U29" s="178">
        <f>IF(U28&gt;0,U28*Assumptions!$C$184,0)</f>
        <v>0</v>
      </c>
      <c r="V29" s="178">
        <f>IF(V28&gt;0,V28*Assumptions!$C$184,0)</f>
        <v>0</v>
      </c>
      <c r="W29" s="178">
        <f>IF(W28&gt;0,W28*Assumptions!$C$184,0)</f>
        <v>0</v>
      </c>
      <c r="X29" s="178">
        <f>IF(X28&gt;0,X28*Assumptions!$C$184,0)</f>
        <v>0</v>
      </c>
      <c r="Y29" s="178">
        <f>IF(Y28&gt;0,Y28*Assumptions!$C$184,0)</f>
        <v>0</v>
      </c>
      <c r="Z29" s="178">
        <f>IF(Z28&gt;0,Z28*Assumptions!$C$184,0)</f>
        <v>0</v>
      </c>
      <c r="AA29" s="178">
        <f>IF(AA28&gt;0,AA28*Assumptions!$C$184,0)</f>
        <v>0</v>
      </c>
      <c r="AB29" s="178">
        <f>IF(AB28&gt;0,AB28*Assumptions!$C$184,0)</f>
        <v>0</v>
      </c>
      <c r="AC29" s="178">
        <f>IF(AC28&gt;0,AC28*Assumptions!$C$184,0)</f>
        <v>0</v>
      </c>
      <c r="AD29" s="178">
        <f>IF(AD28&gt;0,AD28*Assumptions!$C$184,0)</f>
        <v>0</v>
      </c>
      <c r="AE29" s="178">
        <f>IF(AE28&gt;0,AE28*Assumptions!$C$184,0)</f>
        <v>0</v>
      </c>
      <c r="AF29" s="178">
        <f>IF(AF28&gt;0,AF28*Assumptions!$C$184,0)</f>
        <v>0</v>
      </c>
      <c r="AG29" s="178">
        <f>IF(AG28&gt;0,AG28*Assumptions!$C$184,0)</f>
        <v>0</v>
      </c>
      <c r="AH29" s="178">
        <f>IF(AH28&gt;0,AH28*Assumptions!$C$184,0)</f>
        <v>0</v>
      </c>
      <c r="AI29" s="178">
        <f>IF(AI28&gt;0,AI28*Assumptions!$C$184,0)</f>
        <v>0</v>
      </c>
      <c r="AJ29" s="178">
        <f>IF(AJ28&gt;0,AJ28*Assumptions!$C$184,0)</f>
        <v>0</v>
      </c>
      <c r="AK29" s="178">
        <f>IF(AK28&gt;0,AK28*Assumptions!$C$184,0)</f>
        <v>0</v>
      </c>
      <c r="AL29" s="178">
        <f>IF(AL28&gt;0,AL28*Assumptions!$C$184,0)</f>
        <v>0</v>
      </c>
      <c r="AM29" s="178">
        <f>IF(AM28&gt;0,AM28*Assumptions!$C$184,0)</f>
        <v>0</v>
      </c>
      <c r="AN29" s="178">
        <f>IF(AN28&gt;0,AN28*Assumptions!$C$184,0)</f>
        <v>0</v>
      </c>
      <c r="AO29" s="178">
        <f>IF(AO28&gt;0,AO28*Assumptions!$C$184,0)</f>
        <v>0</v>
      </c>
      <c r="AP29" s="178">
        <f>IF(AP28&gt;0,AP28*Assumptions!$C$184,0)</f>
        <v>0</v>
      </c>
      <c r="AQ29" s="178">
        <f>IF(AQ28&gt;0,AQ28*Assumptions!$C$184,0)</f>
        <v>0</v>
      </c>
      <c r="AR29" s="178">
        <f>IF(AR28&gt;0,AR28*Assumptions!$C$184,0)</f>
        <v>0</v>
      </c>
      <c r="AS29" s="178">
        <f>IF(AS28&gt;0,AS28*Assumptions!$C$184,0)</f>
        <v>0</v>
      </c>
      <c r="AT29" s="178">
        <f>IF(AT28&gt;0,AT28*Assumptions!$C$184,0)</f>
        <v>0</v>
      </c>
      <c r="AU29" s="178">
        <f>IF(AU28&gt;0,AU28*Assumptions!$C$184,0)</f>
        <v>0</v>
      </c>
      <c r="AV29" s="178">
        <f>IF(AV28&gt;0,AV28*Assumptions!$C$184,0)</f>
        <v>0</v>
      </c>
      <c r="AW29" s="178">
        <f>IF(AW28&gt;0,AW28*Assumptions!$C$184,0)</f>
        <v>0</v>
      </c>
      <c r="AX29" s="178">
        <f>IF(AX28&gt;0,AX28*Assumptions!$C$184,0)</f>
        <v>0</v>
      </c>
      <c r="AY29" s="178">
        <f>IF(AY28&gt;0,AY28*Assumptions!$C$184,0)</f>
        <v>0</v>
      </c>
      <c r="AZ29" s="178">
        <f>IF(AZ28&gt;0,AZ28*Assumptions!$C$184,0)</f>
        <v>0</v>
      </c>
      <c r="BA29" s="178">
        <f>IF(BA28&gt;0,BA28*Assumptions!$C$184,0)</f>
        <v>0</v>
      </c>
      <c r="BB29" s="178">
        <f>IF(BB28&gt;0,BB28*Assumptions!$C$184,0)</f>
        <v>0</v>
      </c>
      <c r="BC29" s="178">
        <f>IF(BC28&gt;0,BC28*Assumptions!$C$184,0)</f>
        <v>0</v>
      </c>
      <c r="BD29" s="178">
        <f>IF(BD28&gt;0,BD28*Assumptions!$C$184,0)</f>
        <v>0</v>
      </c>
      <c r="BE29" s="178">
        <f>IF(BE28&gt;0,BE28*Assumptions!$C$184,0)</f>
        <v>0</v>
      </c>
      <c r="BF29" s="178">
        <f>IF(BF28&gt;0,BF28*Assumptions!$C$184,0)</f>
        <v>0</v>
      </c>
      <c r="BG29" s="178">
        <f>IF(BG28&gt;0,BG28*Assumptions!$C$184,0)</f>
        <v>0</v>
      </c>
      <c r="BH29" s="178">
        <f>IF(BH28&gt;0,BH28*Assumptions!$C$184,0)</f>
        <v>0</v>
      </c>
      <c r="BI29" s="178">
        <f>IF(BI28&gt;0,BI28*Assumptions!$C$184,0)</f>
        <v>0</v>
      </c>
      <c r="BJ29" s="178">
        <f>IF(BJ28&gt;0,BJ28*Assumptions!$C$184,0)</f>
        <v>0</v>
      </c>
      <c r="BK29" s="178">
        <f>IF(BK28&gt;0,BK28*Assumptions!$C$184,0)</f>
        <v>0</v>
      </c>
      <c r="BL29" s="178">
        <f>IF(BL28&gt;0,BL28*Assumptions!$C$184,0)</f>
        <v>0</v>
      </c>
      <c r="BM29" s="178">
        <f>IF(BM28&gt;0,BM28*Assumptions!$C$184,0)</f>
        <v>0</v>
      </c>
      <c r="BN29" s="167"/>
    </row>
    <row r="30" outlineLevel="1">
      <c r="A30" s="167"/>
      <c r="B30" s="176" t="s">
        <v>166</v>
      </c>
      <c r="C30" s="167"/>
      <c r="D30" s="167"/>
      <c r="E30" s="167"/>
      <c r="F30" s="179">
        <f t="shared" ref="F30:BM30" si="11">F28-F29</f>
        <v>-230342.375</v>
      </c>
      <c r="G30" s="179">
        <f t="shared" si="11"/>
        <v>-224705.7796</v>
      </c>
      <c r="H30" s="179">
        <f t="shared" si="11"/>
        <v>-219217.2055</v>
      </c>
      <c r="I30" s="179">
        <f t="shared" si="11"/>
        <v>-213864.8515</v>
      </c>
      <c r="J30" s="179">
        <f t="shared" si="11"/>
        <v>-208635.1808</v>
      </c>
      <c r="K30" s="179">
        <f t="shared" si="11"/>
        <v>-203514.9652</v>
      </c>
      <c r="L30" s="179">
        <f t="shared" si="11"/>
        <v>-198491.2822</v>
      </c>
      <c r="M30" s="179">
        <f t="shared" si="11"/>
        <v>-193551.4825</v>
      </c>
      <c r="N30" s="179">
        <f t="shared" si="11"/>
        <v>-188683.1577</v>
      </c>
      <c r="O30" s="179">
        <f t="shared" si="11"/>
        <v>-183874.109</v>
      </c>
      <c r="P30" s="179">
        <f t="shared" si="11"/>
        <v>-179112.3156</v>
      </c>
      <c r="Q30" s="179">
        <f t="shared" si="11"/>
        <v>-174385.9047</v>
      </c>
      <c r="R30" s="179">
        <f t="shared" si="11"/>
        <v>-169683.1212</v>
      </c>
      <c r="S30" s="179">
        <f t="shared" si="11"/>
        <v>-164992.2982</v>
      </c>
      <c r="T30" s="179">
        <f t="shared" si="11"/>
        <v>-160301.8272</v>
      </c>
      <c r="U30" s="179">
        <f t="shared" si="11"/>
        <v>-155600.1296</v>
      </c>
      <c r="V30" s="179">
        <f t="shared" si="11"/>
        <v>-150875.6271</v>
      </c>
      <c r="W30" s="179">
        <f t="shared" si="11"/>
        <v>-147810.457</v>
      </c>
      <c r="X30" s="179">
        <f t="shared" si="11"/>
        <v>-144898.5455</v>
      </c>
      <c r="Y30" s="179">
        <f t="shared" si="11"/>
        <v>-142132.2295</v>
      </c>
      <c r="Z30" s="179">
        <f t="shared" si="11"/>
        <v>-139504.2294</v>
      </c>
      <c r="AA30" s="179">
        <f t="shared" si="11"/>
        <v>-137007.6292</v>
      </c>
      <c r="AB30" s="179">
        <f t="shared" si="11"/>
        <v>-134635.8591</v>
      </c>
      <c r="AC30" s="179">
        <f t="shared" si="11"/>
        <v>-132382.6774</v>
      </c>
      <c r="AD30" s="179">
        <f t="shared" si="11"/>
        <v>-130242.1549</v>
      </c>
      <c r="AE30" s="179">
        <f t="shared" si="11"/>
        <v>-128208.6585</v>
      </c>
      <c r="AF30" s="179">
        <f t="shared" si="11"/>
        <v>-126276.8368</v>
      </c>
      <c r="AG30" s="179">
        <f t="shared" si="11"/>
        <v>-124441.6063</v>
      </c>
      <c r="AH30" s="179">
        <f t="shared" si="11"/>
        <v>-122698.1373</v>
      </c>
      <c r="AI30" s="179">
        <f t="shared" si="11"/>
        <v>-121041.8418</v>
      </c>
      <c r="AJ30" s="179">
        <f t="shared" si="11"/>
        <v>-119468.361</v>
      </c>
      <c r="AK30" s="179">
        <f t="shared" si="11"/>
        <v>-117973.5543</v>
      </c>
      <c r="AL30" s="179">
        <f t="shared" si="11"/>
        <v>-116553.4879</v>
      </c>
      <c r="AM30" s="179">
        <f t="shared" si="11"/>
        <v>-115204.4248</v>
      </c>
      <c r="AN30" s="179">
        <f t="shared" si="11"/>
        <v>-113922.8149</v>
      </c>
      <c r="AO30" s="179">
        <f t="shared" si="11"/>
        <v>-112705.2854</v>
      </c>
      <c r="AP30" s="179">
        <f t="shared" si="11"/>
        <v>-111548.6325</v>
      </c>
      <c r="AQ30" s="179">
        <f t="shared" si="11"/>
        <v>-110449.8122</v>
      </c>
      <c r="AR30" s="179">
        <f t="shared" si="11"/>
        <v>-109405.9329</v>
      </c>
      <c r="AS30" s="179">
        <f t="shared" si="11"/>
        <v>-108414.2476</v>
      </c>
      <c r="AT30" s="179">
        <f t="shared" si="11"/>
        <v>-107472.1465</v>
      </c>
      <c r="AU30" s="179">
        <f t="shared" si="11"/>
        <v>-106577.1505</v>
      </c>
      <c r="AV30" s="179">
        <f t="shared" si="11"/>
        <v>-105726.9043</v>
      </c>
      <c r="AW30" s="179">
        <f t="shared" si="11"/>
        <v>-104919.1704</v>
      </c>
      <c r="AX30" s="179">
        <f t="shared" si="11"/>
        <v>-104151.8232</v>
      </c>
      <c r="AY30" s="179">
        <f t="shared" si="11"/>
        <v>-103422.8433</v>
      </c>
      <c r="AZ30" s="179">
        <f t="shared" si="11"/>
        <v>-102730.3125</v>
      </c>
      <c r="BA30" s="179">
        <f t="shared" si="11"/>
        <v>-102072.4082</v>
      </c>
      <c r="BB30" s="179">
        <f t="shared" si="11"/>
        <v>-101447.3991</v>
      </c>
      <c r="BC30" s="179">
        <f t="shared" si="11"/>
        <v>-100853.6405</v>
      </c>
      <c r="BD30" s="179">
        <f t="shared" si="11"/>
        <v>-100289.5698</v>
      </c>
      <c r="BE30" s="179">
        <f t="shared" si="11"/>
        <v>-99753.70258</v>
      </c>
      <c r="BF30" s="179">
        <f t="shared" si="11"/>
        <v>-99244.62877</v>
      </c>
      <c r="BG30" s="179">
        <f t="shared" si="11"/>
        <v>-98761.00865</v>
      </c>
      <c r="BH30" s="179">
        <f t="shared" si="11"/>
        <v>-98301.56953</v>
      </c>
      <c r="BI30" s="179">
        <f t="shared" si="11"/>
        <v>-97865.10237</v>
      </c>
      <c r="BJ30" s="179">
        <f t="shared" si="11"/>
        <v>-97450.45857</v>
      </c>
      <c r="BK30" s="179">
        <f t="shared" si="11"/>
        <v>-97056.54696</v>
      </c>
      <c r="BL30" s="179">
        <f t="shared" si="11"/>
        <v>-96682.33093</v>
      </c>
      <c r="BM30" s="179">
        <f t="shared" si="11"/>
        <v>-96326.8257</v>
      </c>
      <c r="BN30" s="167"/>
    </row>
    <row r="31" outlineLevel="1">
      <c r="A31" s="30"/>
      <c r="B31" s="181" t="s">
        <v>167</v>
      </c>
      <c r="C31" s="30"/>
      <c r="D31" s="30"/>
      <c r="E31" s="30"/>
      <c r="F31" s="175">
        <f t="shared" ref="F31:BM31" si="12">F30/F8</f>
        <v>-19.13539979</v>
      </c>
      <c r="G31" s="175">
        <f t="shared" si="12"/>
        <v>-9.350952284</v>
      </c>
      <c r="H31" s="175">
        <f t="shared" si="12"/>
        <v>-6.139149628</v>
      </c>
      <c r="I31" s="175">
        <f t="shared" si="12"/>
        <v>-4.541034816</v>
      </c>
      <c r="J31" s="175">
        <f t="shared" si="12"/>
        <v>-3.583379607</v>
      </c>
      <c r="K31" s="175">
        <f t="shared" si="12"/>
        <v>-2.944495346</v>
      </c>
      <c r="L31" s="175">
        <f t="shared" si="12"/>
        <v>-2.487179199</v>
      </c>
      <c r="M31" s="175">
        <f t="shared" si="12"/>
        <v>-2.143047675</v>
      </c>
      <c r="N31" s="175">
        <f t="shared" si="12"/>
        <v>-1.874197006</v>
      </c>
      <c r="O31" s="175">
        <f t="shared" si="12"/>
        <v>-1.657925257</v>
      </c>
      <c r="P31" s="175">
        <f t="shared" si="12"/>
        <v>-1.479806908</v>
      </c>
      <c r="Q31" s="175">
        <f t="shared" si="12"/>
        <v>-1.330237421</v>
      </c>
      <c r="R31" s="175">
        <f t="shared" si="12"/>
        <v>-1.202575701</v>
      </c>
      <c r="S31" s="175">
        <f t="shared" si="12"/>
        <v>-1.092084072</v>
      </c>
      <c r="T31" s="175">
        <f t="shared" si="12"/>
        <v>-0.9952929646</v>
      </c>
      <c r="U31" s="175">
        <f t="shared" si="12"/>
        <v>-0.909604214</v>
      </c>
      <c r="V31" s="175">
        <f t="shared" si="12"/>
        <v>-0.8330345618</v>
      </c>
      <c r="W31" s="175">
        <f t="shared" si="12"/>
        <v>-0.7877454906</v>
      </c>
      <c r="X31" s="175">
        <f t="shared" si="12"/>
        <v>-0.747543678</v>
      </c>
      <c r="Y31" s="175">
        <f t="shared" si="12"/>
        <v>-0.7116622409</v>
      </c>
      <c r="Z31" s="175">
        <f t="shared" si="12"/>
        <v>-0.6794804308</v>
      </c>
      <c r="AA31" s="175">
        <f t="shared" si="12"/>
        <v>-0.6504903885</v>
      </c>
      <c r="AB31" s="175">
        <f t="shared" si="12"/>
        <v>-0.6242725799</v>
      </c>
      <c r="AC31" s="175">
        <f t="shared" si="12"/>
        <v>-0.6004773802</v>
      </c>
      <c r="AD31" s="175">
        <f t="shared" si="12"/>
        <v>-0.5788110823</v>
      </c>
      <c r="AE31" s="175">
        <f t="shared" si="12"/>
        <v>-0.559025137</v>
      </c>
      <c r="AF31" s="175">
        <f t="shared" si="12"/>
        <v>-0.5409077866</v>
      </c>
      <c r="AG31" s="175">
        <f t="shared" si="12"/>
        <v>-0.5242774931</v>
      </c>
      <c r="AH31" s="175">
        <f t="shared" si="12"/>
        <v>-0.5089777271</v>
      </c>
      <c r="AI31" s="175">
        <f t="shared" si="12"/>
        <v>-0.4948727999</v>
      </c>
      <c r="AJ31" s="175">
        <f t="shared" si="12"/>
        <v>-0.481844503</v>
      </c>
      <c r="AK31" s="175">
        <f t="shared" si="12"/>
        <v>-0.4697893778</v>
      </c>
      <c r="AL31" s="175">
        <f t="shared" si="12"/>
        <v>-0.458616483</v>
      </c>
      <c r="AM31" s="175">
        <f t="shared" si="12"/>
        <v>-0.4482455551</v>
      </c>
      <c r="AN31" s="175">
        <f t="shared" si="12"/>
        <v>-0.438605485</v>
      </c>
      <c r="AO31" s="175">
        <f t="shared" si="12"/>
        <v>-0.4296330492</v>
      </c>
      <c r="AP31" s="175">
        <f t="shared" si="12"/>
        <v>-0.4212718456</v>
      </c>
      <c r="AQ31" s="175">
        <f t="shared" si="12"/>
        <v>-0.4134713984</v>
      </c>
      <c r="AR31" s="175">
        <f t="shared" si="12"/>
        <v>-0.4061864006</v>
      </c>
      <c r="AS31" s="175">
        <f t="shared" si="12"/>
        <v>-0.3993760697</v>
      </c>
      <c r="AT31" s="175">
        <f t="shared" si="12"/>
        <v>-0.3930035979</v>
      </c>
      <c r="AU31" s="175">
        <f t="shared" si="12"/>
        <v>-0.3870356813</v>
      </c>
      <c r="AV31" s="175">
        <f t="shared" si="12"/>
        <v>-0.3814421139</v>
      </c>
      <c r="AW31" s="175">
        <f t="shared" si="12"/>
        <v>-0.3761954378</v>
      </c>
      <c r="AX31" s="175">
        <f t="shared" si="12"/>
        <v>-0.3712706393</v>
      </c>
      <c r="AY31" s="175">
        <f t="shared" si="12"/>
        <v>-0.3666448851</v>
      </c>
      <c r="AZ31" s="175">
        <f t="shared" si="12"/>
        <v>-0.3622972919</v>
      </c>
      <c r="BA31" s="175">
        <f t="shared" si="12"/>
        <v>-0.3582087246</v>
      </c>
      <c r="BB31" s="175">
        <f t="shared" si="12"/>
        <v>-0.3543616196</v>
      </c>
      <c r="BC31" s="175">
        <f t="shared" si="12"/>
        <v>-0.3507398289</v>
      </c>
      <c r="BD31" s="175">
        <f t="shared" si="12"/>
        <v>-0.3473284824</v>
      </c>
      <c r="BE31" s="175">
        <f t="shared" si="12"/>
        <v>-0.3441138666</v>
      </c>
      <c r="BF31" s="175">
        <f t="shared" si="12"/>
        <v>-0.3410833162</v>
      </c>
      <c r="BG31" s="175">
        <f t="shared" si="12"/>
        <v>-0.3382251182</v>
      </c>
      <c r="BH31" s="175">
        <f t="shared" si="12"/>
        <v>-0.3355284263</v>
      </c>
      <c r="BI31" s="175">
        <f t="shared" si="12"/>
        <v>-0.3329831846</v>
      </c>
      <c r="BJ31" s="175">
        <f t="shared" si="12"/>
        <v>-0.3305800586</v>
      </c>
      <c r="BK31" s="175">
        <f t="shared" si="12"/>
        <v>-0.3283103743</v>
      </c>
      <c r="BL31" s="175">
        <f t="shared" si="12"/>
        <v>-0.3261660624</v>
      </c>
      <c r="BM31" s="175">
        <f t="shared" si="12"/>
        <v>-0.3241396088</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65" t="s">
        <v>125</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2"/>
    </row>
    <row r="34" outlineLevel="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row>
    <row r="35" outlineLevel="1">
      <c r="A35" s="167"/>
      <c r="B35" s="176" t="s">
        <v>126</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row>
    <row r="36" outlineLevel="1">
      <c r="A36" s="167"/>
      <c r="B36" s="182" t="s">
        <v>168</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row>
    <row r="37" outlineLevel="1">
      <c r="A37" s="167"/>
      <c r="B37" s="177" t="s">
        <v>169</v>
      </c>
      <c r="C37" s="167"/>
      <c r="D37" s="167"/>
      <c r="E37" s="167"/>
      <c r="F37" s="167">
        <f t="shared" ref="F37:BM37" si="13">F80</f>
        <v>283828.8125</v>
      </c>
      <c r="G37" s="167">
        <f t="shared" si="13"/>
        <v>56304.73522</v>
      </c>
      <c r="H37" s="167">
        <f t="shared" si="13"/>
        <v>-165656.7573</v>
      </c>
      <c r="I37" s="167">
        <f t="shared" si="13"/>
        <v>-382197.7858</v>
      </c>
      <c r="J37" s="167">
        <f t="shared" si="13"/>
        <v>-593447.8019</v>
      </c>
      <c r="K37" s="167">
        <f t="shared" si="13"/>
        <v>-799522.875</v>
      </c>
      <c r="L37" s="167">
        <f t="shared" si="13"/>
        <v>-1000525.999</v>
      </c>
      <c r="M37" s="167">
        <f t="shared" si="13"/>
        <v>-1196547.381</v>
      </c>
      <c r="N37" s="167">
        <f t="shared" si="13"/>
        <v>-1387664.701</v>
      </c>
      <c r="O37" s="167">
        <f t="shared" si="13"/>
        <v>-1573943.335</v>
      </c>
      <c r="P37" s="167">
        <f t="shared" si="13"/>
        <v>-1755436.547</v>
      </c>
      <c r="Q37" s="167">
        <f t="shared" si="13"/>
        <v>-1932185.657</v>
      </c>
      <c r="R37" s="167">
        <f t="shared" si="13"/>
        <v>-2104220.17</v>
      </c>
      <c r="S37" s="167">
        <f t="shared" si="13"/>
        <v>-2271557.88</v>
      </c>
      <c r="T37" s="167">
        <f t="shared" si="13"/>
        <v>-2434204.942</v>
      </c>
      <c r="U37" s="167">
        <f t="shared" si="13"/>
        <v>-2592155.921</v>
      </c>
      <c r="V37" s="167">
        <f t="shared" si="13"/>
        <v>-2745393.799</v>
      </c>
      <c r="W37" s="167">
        <f t="shared" si="13"/>
        <v>-2894736.841</v>
      </c>
      <c r="X37" s="167">
        <f t="shared" si="13"/>
        <v>-3041091.342</v>
      </c>
      <c r="Y37" s="167">
        <f t="shared" si="13"/>
        <v>-3184606.73</v>
      </c>
      <c r="Z37" s="167">
        <f t="shared" si="13"/>
        <v>-3325424.959</v>
      </c>
      <c r="AA37" s="167">
        <f t="shared" si="13"/>
        <v>-3463680.889</v>
      </c>
      <c r="AB37" s="167">
        <f t="shared" si="13"/>
        <v>-3599502.633</v>
      </c>
      <c r="AC37" s="167">
        <f t="shared" si="13"/>
        <v>-3733011.901</v>
      </c>
      <c r="AD37" s="167">
        <f t="shared" si="13"/>
        <v>-3864324.317</v>
      </c>
      <c r="AE37" s="167">
        <f t="shared" si="13"/>
        <v>-3993549.724</v>
      </c>
      <c r="AF37" s="167">
        <f t="shared" si="13"/>
        <v>-4120792.472</v>
      </c>
      <c r="AG37" s="167">
        <f t="shared" si="13"/>
        <v>-4246151.693</v>
      </c>
      <c r="AH37" s="167">
        <f t="shared" si="13"/>
        <v>-4369721.565</v>
      </c>
      <c r="AI37" s="167">
        <f t="shared" si="13"/>
        <v>-4491591.554</v>
      </c>
      <c r="AJ37" s="167">
        <f t="shared" si="13"/>
        <v>-4611846.656</v>
      </c>
      <c r="AK37" s="167">
        <f t="shared" si="13"/>
        <v>-4730567.613</v>
      </c>
      <c r="AL37" s="167">
        <f t="shared" si="13"/>
        <v>-4847831.135</v>
      </c>
      <c r="AM37" s="167">
        <f t="shared" si="13"/>
        <v>-4963710.091</v>
      </c>
      <c r="AN37" s="167">
        <f t="shared" si="13"/>
        <v>-5078273.711</v>
      </c>
      <c r="AO37" s="167">
        <f t="shared" si="13"/>
        <v>-5191587.761</v>
      </c>
      <c r="AP37" s="167">
        <f t="shared" si="13"/>
        <v>-5303714.72</v>
      </c>
      <c r="AQ37" s="167">
        <f t="shared" si="13"/>
        <v>-5414713.942</v>
      </c>
      <c r="AR37" s="167">
        <f t="shared" si="13"/>
        <v>-5524641.815</v>
      </c>
      <c r="AS37" s="167">
        <f t="shared" si="13"/>
        <v>-5633551.905</v>
      </c>
      <c r="AT37" s="167">
        <f t="shared" si="13"/>
        <v>-5741495.102</v>
      </c>
      <c r="AU37" s="167">
        <f t="shared" si="13"/>
        <v>-5848519.751</v>
      </c>
      <c r="AV37" s="167">
        <f t="shared" si="13"/>
        <v>-5954671.778</v>
      </c>
      <c r="AW37" s="167">
        <f t="shared" si="13"/>
        <v>-6059994.815</v>
      </c>
      <c r="AX37" s="167">
        <f t="shared" si="13"/>
        <v>-6164530.312</v>
      </c>
      <c r="AY37" s="167">
        <f t="shared" si="13"/>
        <v>-6268317.645</v>
      </c>
      <c r="AZ37" s="167">
        <f t="shared" si="13"/>
        <v>-6371394.223</v>
      </c>
      <c r="BA37" s="167">
        <f t="shared" si="13"/>
        <v>-6473795.584</v>
      </c>
      <c r="BB37" s="167">
        <f t="shared" si="13"/>
        <v>-6575555.487</v>
      </c>
      <c r="BC37" s="167">
        <f t="shared" si="13"/>
        <v>-6676706.007</v>
      </c>
      <c r="BD37" s="167">
        <f t="shared" si="13"/>
        <v>-6777277.612</v>
      </c>
      <c r="BE37" s="167">
        <f t="shared" si="13"/>
        <v>-6877299.248</v>
      </c>
      <c r="BF37" s="167">
        <f t="shared" si="13"/>
        <v>-6976798.414</v>
      </c>
      <c r="BG37" s="167">
        <f t="shared" si="13"/>
        <v>-7075801.233</v>
      </c>
      <c r="BH37" s="167">
        <f t="shared" si="13"/>
        <v>-7174332.522</v>
      </c>
      <c r="BI37" s="167">
        <f t="shared" si="13"/>
        <v>-7272415.858</v>
      </c>
      <c r="BJ37" s="167">
        <f t="shared" si="13"/>
        <v>-7370073.638</v>
      </c>
      <c r="BK37" s="167">
        <f t="shared" si="13"/>
        <v>-7467327.141</v>
      </c>
      <c r="BL37" s="167">
        <f t="shared" si="13"/>
        <v>-7564196.58</v>
      </c>
      <c r="BM37" s="167">
        <f t="shared" si="13"/>
        <v>-7660701.158</v>
      </c>
      <c r="BN37" s="167"/>
    </row>
    <row r="38" outlineLevel="1">
      <c r="A38" s="167"/>
      <c r="B38" s="177" t="s">
        <v>170</v>
      </c>
      <c r="C38" s="167"/>
      <c r="D38" s="167"/>
      <c r="E38" s="167"/>
      <c r="F38" s="167">
        <f>Assumptions!H194</f>
        <v>6018.75</v>
      </c>
      <c r="G38" s="167">
        <f>Assumptions!I194</f>
        <v>12015.12813</v>
      </c>
      <c r="H38" s="167">
        <f>Assumptions!J194</f>
        <v>17854.0367</v>
      </c>
      <c r="I38" s="167">
        <f>Assumptions!K194</f>
        <v>23548.03037</v>
      </c>
      <c r="J38" s="167">
        <f>Assumptions!L194</f>
        <v>29111.50976</v>
      </c>
      <c r="K38" s="167">
        <f>Assumptions!M194</f>
        <v>34558.54761</v>
      </c>
      <c r="L38" s="167">
        <f>Assumptions!N194</f>
        <v>39902.89126</v>
      </c>
      <c r="M38" s="167">
        <f>Assumptions!O194</f>
        <v>45157.99736</v>
      </c>
      <c r="N38" s="167">
        <f>Assumptions!P194</f>
        <v>50337.06625</v>
      </c>
      <c r="O38" s="167">
        <f>Assumptions!Q194</f>
        <v>55453.07554</v>
      </c>
      <c r="P38" s="167">
        <f>Assumptions!R194</f>
        <v>60518.81319</v>
      </c>
      <c r="Q38" s="167">
        <f>Assumptions!S194</f>
        <v>65546.90988</v>
      </c>
      <c r="R38" s="167">
        <f>Assumptions!T194</f>
        <v>70549.87103</v>
      </c>
      <c r="S38" s="167">
        <f>Assumptions!U194</f>
        <v>75540.10832</v>
      </c>
      <c r="T38" s="167">
        <f>Assumptions!V194</f>
        <v>80529.97104</v>
      </c>
      <c r="U38" s="167">
        <f>Assumptions!W194</f>
        <v>85531.77701</v>
      </c>
      <c r="V38" s="167">
        <f>Assumptions!X194</f>
        <v>90557.84356</v>
      </c>
      <c r="W38" s="167">
        <f>Assumptions!Y194</f>
        <v>93818.66275</v>
      </c>
      <c r="X38" s="167">
        <f>Assumptions!Z194</f>
        <v>96916.44097</v>
      </c>
      <c r="Y38" s="167">
        <f>Assumptions!AA194</f>
        <v>99859.33029</v>
      </c>
      <c r="Z38" s="167">
        <f>Assumptions!AB194</f>
        <v>102655.0751</v>
      </c>
      <c r="AA38" s="167">
        <f>Assumptions!AC194</f>
        <v>105311.0327</v>
      </c>
      <c r="AB38" s="167">
        <f>Assumptions!AD194</f>
        <v>107834.1925</v>
      </c>
      <c r="AC38" s="167">
        <f>Assumptions!AE194</f>
        <v>110231.1942</v>
      </c>
      <c r="AD38" s="167">
        <f>Assumptions!AF194</f>
        <v>112508.3459</v>
      </c>
      <c r="AE38" s="167">
        <f>Assumptions!AG194</f>
        <v>114671.6399</v>
      </c>
      <c r="AF38" s="167">
        <f>Assumptions!AH194</f>
        <v>116726.7693</v>
      </c>
      <c r="AG38" s="167">
        <f>Assumptions!AI194</f>
        <v>118679.1422</v>
      </c>
      <c r="AH38" s="167">
        <f>Assumptions!AJ194</f>
        <v>120533.8965</v>
      </c>
      <c r="AI38" s="167">
        <f>Assumptions!AK194</f>
        <v>122295.913</v>
      </c>
      <c r="AJ38" s="167">
        <f>Assumptions!AL194</f>
        <v>123969.8287</v>
      </c>
      <c r="AK38" s="167">
        <f>Assumptions!AM194</f>
        <v>125560.0486</v>
      </c>
      <c r="AL38" s="167">
        <f>Assumptions!AN194</f>
        <v>127070.7576</v>
      </c>
      <c r="AM38" s="167">
        <f>Assumptions!AO194</f>
        <v>128505.9311</v>
      </c>
      <c r="AN38" s="167">
        <f>Assumptions!AP194</f>
        <v>129869.3459</v>
      </c>
      <c r="AO38" s="167">
        <f>Assumptions!AQ194</f>
        <v>131164.5899</v>
      </c>
      <c r="AP38" s="167">
        <f>Assumptions!AR194</f>
        <v>132395.0718</v>
      </c>
      <c r="AQ38" s="167">
        <f>Assumptions!AS194</f>
        <v>133564.0296</v>
      </c>
      <c r="AR38" s="167">
        <f>Assumptions!AT194</f>
        <v>134674.5395</v>
      </c>
      <c r="AS38" s="167">
        <f>Assumptions!AU194</f>
        <v>135729.5239</v>
      </c>
      <c r="AT38" s="167">
        <f>Assumptions!AV194</f>
        <v>136731.759</v>
      </c>
      <c r="AU38" s="167">
        <f>Assumptions!AW194</f>
        <v>137683.8825</v>
      </c>
      <c r="AV38" s="167">
        <f>Assumptions!AX194</f>
        <v>138588.3997</v>
      </c>
      <c r="AW38" s="167">
        <f>Assumptions!AY194</f>
        <v>139447.6911</v>
      </c>
      <c r="AX38" s="167">
        <f>Assumptions!AZ194</f>
        <v>140264.0179</v>
      </c>
      <c r="AY38" s="167">
        <f>Assumptions!BA194</f>
        <v>141039.5284</v>
      </c>
      <c r="AZ38" s="167">
        <f>Assumptions!BB194</f>
        <v>141776.2633</v>
      </c>
      <c r="BA38" s="167">
        <f>Assumptions!BC194</f>
        <v>142476.1615</v>
      </c>
      <c r="BB38" s="167">
        <f>Assumptions!BD194</f>
        <v>143141.0648</v>
      </c>
      <c r="BC38" s="167">
        <f>Assumptions!BE194</f>
        <v>143772.7229</v>
      </c>
      <c r="BD38" s="167">
        <f>Assumptions!BF194</f>
        <v>144372.7981</v>
      </c>
      <c r="BE38" s="167">
        <f>Assumptions!BG194</f>
        <v>144942.8696</v>
      </c>
      <c r="BF38" s="167">
        <f>Assumptions!BH194</f>
        <v>145484.4375</v>
      </c>
      <c r="BG38" s="167">
        <f>Assumptions!BI194</f>
        <v>145998.927</v>
      </c>
      <c r="BH38" s="167">
        <f>Assumptions!BJ194</f>
        <v>146487.692</v>
      </c>
      <c r="BI38" s="167">
        <f>Assumptions!BK194</f>
        <v>146952.0188</v>
      </c>
      <c r="BJ38" s="167">
        <f>Assumptions!BL194</f>
        <v>147393.1292</v>
      </c>
      <c r="BK38" s="167">
        <f>Assumptions!BM194</f>
        <v>147812.1841</v>
      </c>
      <c r="BL38" s="167">
        <f>Assumptions!BN194</f>
        <v>148210.2862</v>
      </c>
      <c r="BM38" s="167">
        <f>Assumptions!BO194</f>
        <v>148588.4833</v>
      </c>
      <c r="BN38" s="167"/>
    </row>
    <row r="39" outlineLevel="1">
      <c r="A39" s="167"/>
      <c r="B39" s="183" t="s">
        <v>171</v>
      </c>
      <c r="C39" s="184"/>
      <c r="D39" s="184"/>
      <c r="E39" s="184"/>
      <c r="F39" s="184">
        <f t="shared" ref="F39:BM39" si="14">SUM(F37:F38)</f>
        <v>289847.5625</v>
      </c>
      <c r="G39" s="185">
        <f t="shared" si="14"/>
        <v>68319.86334</v>
      </c>
      <c r="H39" s="185">
        <f t="shared" si="14"/>
        <v>-147802.7206</v>
      </c>
      <c r="I39" s="185">
        <f t="shared" si="14"/>
        <v>-358649.7554</v>
      </c>
      <c r="J39" s="185">
        <f t="shared" si="14"/>
        <v>-564336.2922</v>
      </c>
      <c r="K39" s="185">
        <f t="shared" si="14"/>
        <v>-764964.3274</v>
      </c>
      <c r="L39" s="185">
        <f t="shared" si="14"/>
        <v>-960623.1074</v>
      </c>
      <c r="M39" s="185">
        <f t="shared" si="14"/>
        <v>-1151389.384</v>
      </c>
      <c r="N39" s="185">
        <f t="shared" si="14"/>
        <v>-1337327.635</v>
      </c>
      <c r="O39" s="185">
        <f t="shared" si="14"/>
        <v>-1518490.259</v>
      </c>
      <c r="P39" s="185">
        <f t="shared" si="14"/>
        <v>-1694917.734</v>
      </c>
      <c r="Q39" s="185">
        <f t="shared" si="14"/>
        <v>-1866638.747</v>
      </c>
      <c r="R39" s="185">
        <f t="shared" si="14"/>
        <v>-2033670.299</v>
      </c>
      <c r="S39" s="185">
        <f t="shared" si="14"/>
        <v>-2196017.771</v>
      </c>
      <c r="T39" s="185">
        <f t="shared" si="14"/>
        <v>-2353674.971</v>
      </c>
      <c r="U39" s="185">
        <f t="shared" si="14"/>
        <v>-2506624.144</v>
      </c>
      <c r="V39" s="185">
        <f t="shared" si="14"/>
        <v>-2654835.956</v>
      </c>
      <c r="W39" s="185">
        <f t="shared" si="14"/>
        <v>-2800918.178</v>
      </c>
      <c r="X39" s="185">
        <f t="shared" si="14"/>
        <v>-2944174.901</v>
      </c>
      <c r="Y39" s="185">
        <f t="shared" si="14"/>
        <v>-3084747.4</v>
      </c>
      <c r="Z39" s="185">
        <f t="shared" si="14"/>
        <v>-3222769.884</v>
      </c>
      <c r="AA39" s="185">
        <f t="shared" si="14"/>
        <v>-3358369.856</v>
      </c>
      <c r="AB39" s="185">
        <f t="shared" si="14"/>
        <v>-3491668.44</v>
      </c>
      <c r="AC39" s="185">
        <f t="shared" si="14"/>
        <v>-3622780.707</v>
      </c>
      <c r="AD39" s="185">
        <f t="shared" si="14"/>
        <v>-3751815.971</v>
      </c>
      <c r="AE39" s="185">
        <f t="shared" si="14"/>
        <v>-3878878.084</v>
      </c>
      <c r="AF39" s="185">
        <f t="shared" si="14"/>
        <v>-4004065.702</v>
      </c>
      <c r="AG39" s="185">
        <f t="shared" si="14"/>
        <v>-4127472.551</v>
      </c>
      <c r="AH39" s="185">
        <f t="shared" si="14"/>
        <v>-4249187.668</v>
      </c>
      <c r="AI39" s="185">
        <f t="shared" si="14"/>
        <v>-4369295.641</v>
      </c>
      <c r="AJ39" s="185">
        <f t="shared" si="14"/>
        <v>-4487876.827</v>
      </c>
      <c r="AK39" s="185">
        <f t="shared" si="14"/>
        <v>-4605007.565</v>
      </c>
      <c r="AL39" s="185">
        <f t="shared" si="14"/>
        <v>-4720760.377</v>
      </c>
      <c r="AM39" s="185">
        <f t="shared" si="14"/>
        <v>-4835204.16</v>
      </c>
      <c r="AN39" s="185">
        <f t="shared" si="14"/>
        <v>-4948404.365</v>
      </c>
      <c r="AO39" s="185">
        <f t="shared" si="14"/>
        <v>-5060423.171</v>
      </c>
      <c r="AP39" s="185">
        <f t="shared" si="14"/>
        <v>-5171319.648</v>
      </c>
      <c r="AQ39" s="185">
        <f t="shared" si="14"/>
        <v>-5281149.913</v>
      </c>
      <c r="AR39" s="185">
        <f t="shared" si="14"/>
        <v>-5389967.275</v>
      </c>
      <c r="AS39" s="185">
        <f t="shared" si="14"/>
        <v>-5497822.381</v>
      </c>
      <c r="AT39" s="185">
        <f t="shared" si="14"/>
        <v>-5604763.343</v>
      </c>
      <c r="AU39" s="185">
        <f t="shared" si="14"/>
        <v>-5710835.868</v>
      </c>
      <c r="AV39" s="185">
        <f t="shared" si="14"/>
        <v>-5816083.378</v>
      </c>
      <c r="AW39" s="185">
        <f t="shared" si="14"/>
        <v>-5920547.124</v>
      </c>
      <c r="AX39" s="185">
        <f t="shared" si="14"/>
        <v>-6024266.294</v>
      </c>
      <c r="AY39" s="185">
        <f t="shared" si="14"/>
        <v>-6127278.117</v>
      </c>
      <c r="AZ39" s="185">
        <f t="shared" si="14"/>
        <v>-6229617.96</v>
      </c>
      <c r="BA39" s="185">
        <f t="shared" si="14"/>
        <v>-6331319.422</v>
      </c>
      <c r="BB39" s="185">
        <f t="shared" si="14"/>
        <v>-6432414.422</v>
      </c>
      <c r="BC39" s="185">
        <f t="shared" si="14"/>
        <v>-6532933.284</v>
      </c>
      <c r="BD39" s="185">
        <f t="shared" si="14"/>
        <v>-6632904.814</v>
      </c>
      <c r="BE39" s="185">
        <f t="shared" si="14"/>
        <v>-6732356.379</v>
      </c>
      <c r="BF39" s="185">
        <f t="shared" si="14"/>
        <v>-6831313.976</v>
      </c>
      <c r="BG39" s="185">
        <f t="shared" si="14"/>
        <v>-6929802.306</v>
      </c>
      <c r="BH39" s="185">
        <f t="shared" si="14"/>
        <v>-7027844.83</v>
      </c>
      <c r="BI39" s="185">
        <f t="shared" si="14"/>
        <v>-7125463.839</v>
      </c>
      <c r="BJ39" s="185">
        <f t="shared" si="14"/>
        <v>-7222680.509</v>
      </c>
      <c r="BK39" s="185">
        <f t="shared" si="14"/>
        <v>-7319514.957</v>
      </c>
      <c r="BL39" s="185">
        <f t="shared" si="14"/>
        <v>-7415986.294</v>
      </c>
      <c r="BM39" s="185">
        <f t="shared" si="14"/>
        <v>-7512112.675</v>
      </c>
      <c r="BN39" s="167"/>
    </row>
    <row r="40" outlineLevel="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row>
    <row r="41" outlineLevel="1">
      <c r="A41" s="167"/>
      <c r="B41" s="177" t="s">
        <v>130</v>
      </c>
      <c r="C41" s="167"/>
      <c r="D41" s="167"/>
      <c r="E41" s="167"/>
      <c r="F41" s="167">
        <f>SUM(Assumptions!H196:H200)</f>
        <v>0</v>
      </c>
      <c r="G41" s="167">
        <f>SUM(Assumptions!I196:I200)</f>
        <v>0</v>
      </c>
      <c r="H41" s="167">
        <f>SUM(Assumptions!J196:J200)</f>
        <v>0</v>
      </c>
      <c r="I41" s="167">
        <f>SUM(Assumptions!K196:K200)</f>
        <v>0</v>
      </c>
      <c r="J41" s="167">
        <f>SUM(Assumptions!L196:L200)</f>
        <v>0</v>
      </c>
      <c r="K41" s="167">
        <f>SUM(Assumptions!M196:M200)</f>
        <v>0</v>
      </c>
      <c r="L41" s="167">
        <f>SUM(Assumptions!N196:N200)</f>
        <v>0</v>
      </c>
      <c r="M41" s="167">
        <f>SUM(Assumptions!O196:O200)</f>
        <v>0</v>
      </c>
      <c r="N41" s="167">
        <f>SUM(Assumptions!P196:P200)</f>
        <v>0</v>
      </c>
      <c r="O41" s="167">
        <f>SUM(Assumptions!Q196:Q200)</f>
        <v>0</v>
      </c>
      <c r="P41" s="167">
        <f>SUM(Assumptions!R196:R200)</f>
        <v>0</v>
      </c>
      <c r="Q41" s="167">
        <f>SUM(Assumptions!S196:S200)</f>
        <v>0</v>
      </c>
      <c r="R41" s="167">
        <f>SUM(Assumptions!T196:T200)</f>
        <v>0</v>
      </c>
      <c r="S41" s="167">
        <f>SUM(Assumptions!U196:U200)</f>
        <v>0</v>
      </c>
      <c r="T41" s="167">
        <f>SUM(Assumptions!V196:V200)</f>
        <v>0</v>
      </c>
      <c r="U41" s="167">
        <f>SUM(Assumptions!W196:W200)</f>
        <v>0</v>
      </c>
      <c r="V41" s="167">
        <f>SUM(Assumptions!X196:X200)</f>
        <v>0</v>
      </c>
      <c r="W41" s="167">
        <f>SUM(Assumptions!Y196:Y200)</f>
        <v>0</v>
      </c>
      <c r="X41" s="167">
        <f>SUM(Assumptions!Z196:Z200)</f>
        <v>0</v>
      </c>
      <c r="Y41" s="167">
        <f>SUM(Assumptions!AA196:AA200)</f>
        <v>0</v>
      </c>
      <c r="Z41" s="167">
        <f>SUM(Assumptions!AB196:AB200)</f>
        <v>0</v>
      </c>
      <c r="AA41" s="167">
        <f>SUM(Assumptions!AC196:AC200)</f>
        <v>0</v>
      </c>
      <c r="AB41" s="167">
        <f>SUM(Assumptions!AD196:AD200)</f>
        <v>0</v>
      </c>
      <c r="AC41" s="167">
        <f>SUM(Assumptions!AE196:AE200)</f>
        <v>0</v>
      </c>
      <c r="AD41" s="167">
        <f>SUM(Assumptions!AF196:AF200)</f>
        <v>0</v>
      </c>
      <c r="AE41" s="167">
        <f>SUM(Assumptions!AG196:AG200)</f>
        <v>0</v>
      </c>
      <c r="AF41" s="167">
        <f>SUM(Assumptions!AH196:AH200)</f>
        <v>0</v>
      </c>
      <c r="AG41" s="167">
        <f>SUM(Assumptions!AI196:AI200)</f>
        <v>0</v>
      </c>
      <c r="AH41" s="167">
        <f>SUM(Assumptions!AJ196:AJ200)</f>
        <v>0</v>
      </c>
      <c r="AI41" s="167">
        <f>SUM(Assumptions!AK196:AK200)</f>
        <v>0</v>
      </c>
      <c r="AJ41" s="167">
        <f>SUM(Assumptions!AL196:AL200)</f>
        <v>0</v>
      </c>
      <c r="AK41" s="167">
        <f>SUM(Assumptions!AM196:AM200)</f>
        <v>0</v>
      </c>
      <c r="AL41" s="167">
        <f>SUM(Assumptions!AN196:AN200)</f>
        <v>0</v>
      </c>
      <c r="AM41" s="167">
        <f>SUM(Assumptions!AO196:AO200)</f>
        <v>0</v>
      </c>
      <c r="AN41" s="167">
        <f>SUM(Assumptions!AP196:AP200)</f>
        <v>0</v>
      </c>
      <c r="AO41" s="167">
        <f>SUM(Assumptions!AQ196:AQ200)</f>
        <v>0</v>
      </c>
      <c r="AP41" s="167">
        <f>SUM(Assumptions!AR196:AR200)</f>
        <v>0</v>
      </c>
      <c r="AQ41" s="167">
        <f>SUM(Assumptions!AS196:AS200)</f>
        <v>0</v>
      </c>
      <c r="AR41" s="167">
        <f>SUM(Assumptions!AT196:AT200)</f>
        <v>0</v>
      </c>
      <c r="AS41" s="167">
        <f>SUM(Assumptions!AU196:AU200)</f>
        <v>0</v>
      </c>
      <c r="AT41" s="167">
        <f>SUM(Assumptions!AV196:AV200)</f>
        <v>0</v>
      </c>
      <c r="AU41" s="167">
        <f>SUM(Assumptions!AW196:AW200)</f>
        <v>0</v>
      </c>
      <c r="AV41" s="167">
        <f>SUM(Assumptions!AX196:AX200)</f>
        <v>0</v>
      </c>
      <c r="AW41" s="167">
        <f>SUM(Assumptions!AY196:AY200)</f>
        <v>0</v>
      </c>
      <c r="AX41" s="167">
        <f>SUM(Assumptions!AZ196:AZ200)</f>
        <v>0</v>
      </c>
      <c r="AY41" s="167">
        <f>SUM(Assumptions!BA196:BA200)</f>
        <v>0</v>
      </c>
      <c r="AZ41" s="167">
        <f>SUM(Assumptions!BB196:BB200)</f>
        <v>0</v>
      </c>
      <c r="BA41" s="167">
        <f>SUM(Assumptions!BC196:BC200)</f>
        <v>0</v>
      </c>
      <c r="BB41" s="167">
        <f>SUM(Assumptions!BD196:BD200)</f>
        <v>0</v>
      </c>
      <c r="BC41" s="167">
        <f>SUM(Assumptions!BE196:BE200)</f>
        <v>0</v>
      </c>
      <c r="BD41" s="167">
        <f>SUM(Assumptions!BF196:BF200)</f>
        <v>0</v>
      </c>
      <c r="BE41" s="167">
        <f>SUM(Assumptions!BG196:BG200)</f>
        <v>0</v>
      </c>
      <c r="BF41" s="167">
        <f>SUM(Assumptions!BH196:BH200)</f>
        <v>0</v>
      </c>
      <c r="BG41" s="167">
        <f>SUM(Assumptions!BI196:BI200)</f>
        <v>0</v>
      </c>
      <c r="BH41" s="167">
        <f>SUM(Assumptions!BJ196:BJ200)</f>
        <v>0</v>
      </c>
      <c r="BI41" s="167">
        <f>SUM(Assumptions!BK196:BK200)</f>
        <v>0</v>
      </c>
      <c r="BJ41" s="167">
        <f>SUM(Assumptions!BL196:BL200)</f>
        <v>0</v>
      </c>
      <c r="BK41" s="167">
        <f>SUM(Assumptions!BM196:BM200)</f>
        <v>0</v>
      </c>
      <c r="BL41" s="167">
        <f>SUM(Assumptions!BN196:BN200)</f>
        <v>0</v>
      </c>
      <c r="BM41" s="167">
        <f>SUM(Assumptions!BO196:BO200)</f>
        <v>0</v>
      </c>
      <c r="BN41" s="167"/>
    </row>
    <row r="42" outlineLevel="1">
      <c r="A42" s="167"/>
      <c r="B42" s="177" t="s">
        <v>172</v>
      </c>
      <c r="C42" s="167"/>
      <c r="D42" s="167"/>
      <c r="E42" s="167"/>
      <c r="F42" s="167">
        <f>-SUM(Assumptions!H203:H206)</f>
        <v>0</v>
      </c>
      <c r="G42" s="167">
        <f>-SUM(Assumptions!I203:I206)</f>
        <v>0</v>
      </c>
      <c r="H42" s="167">
        <f>-SUM(Assumptions!J203:J206)</f>
        <v>0</v>
      </c>
      <c r="I42" s="167">
        <f>-SUM(Assumptions!K203:K206)</f>
        <v>0</v>
      </c>
      <c r="J42" s="167">
        <f>-SUM(Assumptions!L203:L206)</f>
        <v>0</v>
      </c>
      <c r="K42" s="167">
        <f>-SUM(Assumptions!M203:M206)</f>
        <v>0</v>
      </c>
      <c r="L42" s="167">
        <f>-SUM(Assumptions!N203:N206)</f>
        <v>0</v>
      </c>
      <c r="M42" s="167">
        <f>-SUM(Assumptions!O203:O206)</f>
        <v>0</v>
      </c>
      <c r="N42" s="167">
        <f>-SUM(Assumptions!P203:P206)</f>
        <v>0</v>
      </c>
      <c r="O42" s="167">
        <f>-SUM(Assumptions!Q203:Q206)</f>
        <v>0</v>
      </c>
      <c r="P42" s="167">
        <f>-SUM(Assumptions!R203:R206)</f>
        <v>0</v>
      </c>
      <c r="Q42" s="167">
        <f>-SUM(Assumptions!S203:S206)</f>
        <v>0</v>
      </c>
      <c r="R42" s="167">
        <f>-SUM(Assumptions!T203:T206)</f>
        <v>0</v>
      </c>
      <c r="S42" s="167">
        <f>-SUM(Assumptions!U203:U206)</f>
        <v>0</v>
      </c>
      <c r="T42" s="167">
        <f>-SUM(Assumptions!V203:V206)</f>
        <v>0</v>
      </c>
      <c r="U42" s="167">
        <f>-SUM(Assumptions!W203:W206)</f>
        <v>0</v>
      </c>
      <c r="V42" s="167">
        <f>-SUM(Assumptions!X203:X206)</f>
        <v>0</v>
      </c>
      <c r="W42" s="167">
        <f>-SUM(Assumptions!Y203:Y206)</f>
        <v>0</v>
      </c>
      <c r="X42" s="167">
        <f>-SUM(Assumptions!Z203:Z206)</f>
        <v>0</v>
      </c>
      <c r="Y42" s="167">
        <f>-SUM(Assumptions!AA203:AA206)</f>
        <v>0</v>
      </c>
      <c r="Z42" s="167">
        <f>-SUM(Assumptions!AB203:AB206)</f>
        <v>0</v>
      </c>
      <c r="AA42" s="167">
        <f>-SUM(Assumptions!AC203:AC206)</f>
        <v>0</v>
      </c>
      <c r="AB42" s="167">
        <f>-SUM(Assumptions!AD203:AD206)</f>
        <v>0</v>
      </c>
      <c r="AC42" s="167">
        <f>-SUM(Assumptions!AE203:AE206)</f>
        <v>0</v>
      </c>
      <c r="AD42" s="167">
        <f>-SUM(Assumptions!AF203:AF206)</f>
        <v>0</v>
      </c>
      <c r="AE42" s="167">
        <f>-SUM(Assumptions!AG203:AG206)</f>
        <v>0</v>
      </c>
      <c r="AF42" s="167">
        <f>-SUM(Assumptions!AH203:AH206)</f>
        <v>0</v>
      </c>
      <c r="AG42" s="167">
        <f>-SUM(Assumptions!AI203:AI206)</f>
        <v>0</v>
      </c>
      <c r="AH42" s="167">
        <f>-SUM(Assumptions!AJ203:AJ206)</f>
        <v>0</v>
      </c>
      <c r="AI42" s="167">
        <f>-SUM(Assumptions!AK203:AK206)</f>
        <v>0</v>
      </c>
      <c r="AJ42" s="167">
        <f>-SUM(Assumptions!AL203:AL206)</f>
        <v>0</v>
      </c>
      <c r="AK42" s="167">
        <f>-SUM(Assumptions!AM203:AM206)</f>
        <v>0</v>
      </c>
      <c r="AL42" s="167">
        <f>-SUM(Assumptions!AN203:AN206)</f>
        <v>0</v>
      </c>
      <c r="AM42" s="167">
        <f>-SUM(Assumptions!AO203:AO206)</f>
        <v>0</v>
      </c>
      <c r="AN42" s="167">
        <f>-SUM(Assumptions!AP203:AP206)</f>
        <v>0</v>
      </c>
      <c r="AO42" s="167">
        <f>-SUM(Assumptions!AQ203:AQ206)</f>
        <v>0</v>
      </c>
      <c r="AP42" s="167">
        <f>-SUM(Assumptions!AR203:AR206)</f>
        <v>0</v>
      </c>
      <c r="AQ42" s="167">
        <f>-SUM(Assumptions!AS203:AS206)</f>
        <v>0</v>
      </c>
      <c r="AR42" s="167">
        <f>-SUM(Assumptions!AT203:AT206)</f>
        <v>0</v>
      </c>
      <c r="AS42" s="167">
        <f>-SUM(Assumptions!AU203:AU206)</f>
        <v>0</v>
      </c>
      <c r="AT42" s="167">
        <f>-SUM(Assumptions!AV203:AV206)</f>
        <v>0</v>
      </c>
      <c r="AU42" s="167">
        <f>-SUM(Assumptions!AW203:AW206)</f>
        <v>0</v>
      </c>
      <c r="AV42" s="167">
        <f>-SUM(Assumptions!AX203:AX206)</f>
        <v>0</v>
      </c>
      <c r="AW42" s="167">
        <f>-SUM(Assumptions!AY203:AY206)</f>
        <v>0</v>
      </c>
      <c r="AX42" s="167">
        <f>-SUM(Assumptions!AZ203:AZ206)</f>
        <v>0</v>
      </c>
      <c r="AY42" s="167">
        <f>-SUM(Assumptions!BA203:BA206)</f>
        <v>0</v>
      </c>
      <c r="AZ42" s="167">
        <f>-SUM(Assumptions!BB203:BB206)</f>
        <v>0</v>
      </c>
      <c r="BA42" s="167">
        <f>-SUM(Assumptions!BC203:BC206)</f>
        <v>0</v>
      </c>
      <c r="BB42" s="167">
        <f>-SUM(Assumptions!BD203:BD206)</f>
        <v>0</v>
      </c>
      <c r="BC42" s="167">
        <f>-SUM(Assumptions!BE203:BE206)</f>
        <v>0</v>
      </c>
      <c r="BD42" s="167">
        <f>-SUM(Assumptions!BF203:BF206)</f>
        <v>0</v>
      </c>
      <c r="BE42" s="167">
        <f>-SUM(Assumptions!BG203:BG206)</f>
        <v>0</v>
      </c>
      <c r="BF42" s="167">
        <f>-SUM(Assumptions!BH203:BH206)</f>
        <v>0</v>
      </c>
      <c r="BG42" s="167">
        <f>-SUM(Assumptions!BI203:BI206)</f>
        <v>0</v>
      </c>
      <c r="BH42" s="167">
        <f>-SUM(Assumptions!BJ203:BJ206)</f>
        <v>0</v>
      </c>
      <c r="BI42" s="167">
        <f>-SUM(Assumptions!BK203:BK206)</f>
        <v>0</v>
      </c>
      <c r="BJ42" s="167">
        <f>-SUM(Assumptions!BL203:BL206)</f>
        <v>0</v>
      </c>
      <c r="BK42" s="167">
        <f>-SUM(Assumptions!BM203:BM206)</f>
        <v>0</v>
      </c>
      <c r="BL42" s="167">
        <f>-SUM(Assumptions!BN203:BN206)</f>
        <v>0</v>
      </c>
      <c r="BM42" s="167">
        <f>-SUM(Assumptions!BO203:BO206)</f>
        <v>0</v>
      </c>
      <c r="BN42" s="167"/>
    </row>
    <row r="43" outlineLevel="1">
      <c r="A43" s="167"/>
      <c r="B43" s="170" t="s">
        <v>173</v>
      </c>
      <c r="C43" s="171"/>
      <c r="D43" s="171"/>
      <c r="E43" s="171"/>
      <c r="F43" s="172">
        <f t="shared" ref="F43:BM43" si="15">SUM(F39:F42)</f>
        <v>289847.5625</v>
      </c>
      <c r="G43" s="172">
        <f t="shared" si="15"/>
        <v>68319.86334</v>
      </c>
      <c r="H43" s="172">
        <f t="shared" si="15"/>
        <v>-147802.7206</v>
      </c>
      <c r="I43" s="172">
        <f t="shared" si="15"/>
        <v>-358649.7554</v>
      </c>
      <c r="J43" s="172">
        <f t="shared" si="15"/>
        <v>-564336.2922</v>
      </c>
      <c r="K43" s="172">
        <f t="shared" si="15"/>
        <v>-764964.3274</v>
      </c>
      <c r="L43" s="172">
        <f t="shared" si="15"/>
        <v>-960623.1074</v>
      </c>
      <c r="M43" s="172">
        <f t="shared" si="15"/>
        <v>-1151389.384</v>
      </c>
      <c r="N43" s="172">
        <f t="shared" si="15"/>
        <v>-1337327.635</v>
      </c>
      <c r="O43" s="172">
        <f t="shared" si="15"/>
        <v>-1518490.259</v>
      </c>
      <c r="P43" s="172">
        <f t="shared" si="15"/>
        <v>-1694917.734</v>
      </c>
      <c r="Q43" s="172">
        <f t="shared" si="15"/>
        <v>-1866638.747</v>
      </c>
      <c r="R43" s="172">
        <f t="shared" si="15"/>
        <v>-2033670.299</v>
      </c>
      <c r="S43" s="172">
        <f t="shared" si="15"/>
        <v>-2196017.771</v>
      </c>
      <c r="T43" s="172">
        <f t="shared" si="15"/>
        <v>-2353674.971</v>
      </c>
      <c r="U43" s="172">
        <f t="shared" si="15"/>
        <v>-2506624.144</v>
      </c>
      <c r="V43" s="172">
        <f t="shared" si="15"/>
        <v>-2654835.956</v>
      </c>
      <c r="W43" s="172">
        <f t="shared" si="15"/>
        <v>-2800918.178</v>
      </c>
      <c r="X43" s="172">
        <f t="shared" si="15"/>
        <v>-2944174.901</v>
      </c>
      <c r="Y43" s="172">
        <f t="shared" si="15"/>
        <v>-3084747.4</v>
      </c>
      <c r="Z43" s="172">
        <f t="shared" si="15"/>
        <v>-3222769.884</v>
      </c>
      <c r="AA43" s="172">
        <f t="shared" si="15"/>
        <v>-3358369.856</v>
      </c>
      <c r="AB43" s="172">
        <f t="shared" si="15"/>
        <v>-3491668.44</v>
      </c>
      <c r="AC43" s="172">
        <f t="shared" si="15"/>
        <v>-3622780.707</v>
      </c>
      <c r="AD43" s="172">
        <f t="shared" si="15"/>
        <v>-3751815.971</v>
      </c>
      <c r="AE43" s="172">
        <f t="shared" si="15"/>
        <v>-3878878.084</v>
      </c>
      <c r="AF43" s="172">
        <f t="shared" si="15"/>
        <v>-4004065.702</v>
      </c>
      <c r="AG43" s="172">
        <f t="shared" si="15"/>
        <v>-4127472.551</v>
      </c>
      <c r="AH43" s="172">
        <f t="shared" si="15"/>
        <v>-4249187.668</v>
      </c>
      <c r="AI43" s="172">
        <f t="shared" si="15"/>
        <v>-4369295.641</v>
      </c>
      <c r="AJ43" s="172">
        <f t="shared" si="15"/>
        <v>-4487876.827</v>
      </c>
      <c r="AK43" s="172">
        <f t="shared" si="15"/>
        <v>-4605007.565</v>
      </c>
      <c r="AL43" s="172">
        <f t="shared" si="15"/>
        <v>-4720760.377</v>
      </c>
      <c r="AM43" s="172">
        <f t="shared" si="15"/>
        <v>-4835204.16</v>
      </c>
      <c r="AN43" s="172">
        <f t="shared" si="15"/>
        <v>-4948404.365</v>
      </c>
      <c r="AO43" s="172">
        <f t="shared" si="15"/>
        <v>-5060423.171</v>
      </c>
      <c r="AP43" s="172">
        <f t="shared" si="15"/>
        <v>-5171319.648</v>
      </c>
      <c r="AQ43" s="172">
        <f t="shared" si="15"/>
        <v>-5281149.913</v>
      </c>
      <c r="AR43" s="172">
        <f t="shared" si="15"/>
        <v>-5389967.275</v>
      </c>
      <c r="AS43" s="172">
        <f t="shared" si="15"/>
        <v>-5497822.381</v>
      </c>
      <c r="AT43" s="172">
        <f t="shared" si="15"/>
        <v>-5604763.343</v>
      </c>
      <c r="AU43" s="172">
        <f t="shared" si="15"/>
        <v>-5710835.868</v>
      </c>
      <c r="AV43" s="172">
        <f t="shared" si="15"/>
        <v>-5816083.378</v>
      </c>
      <c r="AW43" s="172">
        <f t="shared" si="15"/>
        <v>-5920547.124</v>
      </c>
      <c r="AX43" s="172">
        <f t="shared" si="15"/>
        <v>-6024266.294</v>
      </c>
      <c r="AY43" s="172">
        <f t="shared" si="15"/>
        <v>-6127278.117</v>
      </c>
      <c r="AZ43" s="172">
        <f t="shared" si="15"/>
        <v>-6229617.96</v>
      </c>
      <c r="BA43" s="172">
        <f t="shared" si="15"/>
        <v>-6331319.422</v>
      </c>
      <c r="BB43" s="172">
        <f t="shared" si="15"/>
        <v>-6432414.422</v>
      </c>
      <c r="BC43" s="172">
        <f t="shared" si="15"/>
        <v>-6532933.284</v>
      </c>
      <c r="BD43" s="172">
        <f t="shared" si="15"/>
        <v>-6632904.814</v>
      </c>
      <c r="BE43" s="172">
        <f t="shared" si="15"/>
        <v>-6732356.379</v>
      </c>
      <c r="BF43" s="172">
        <f t="shared" si="15"/>
        <v>-6831313.976</v>
      </c>
      <c r="BG43" s="172">
        <f t="shared" si="15"/>
        <v>-6929802.306</v>
      </c>
      <c r="BH43" s="172">
        <f t="shared" si="15"/>
        <v>-7027844.83</v>
      </c>
      <c r="BI43" s="172">
        <f t="shared" si="15"/>
        <v>-7125463.839</v>
      </c>
      <c r="BJ43" s="172">
        <f t="shared" si="15"/>
        <v>-7222680.509</v>
      </c>
      <c r="BK43" s="172">
        <f t="shared" si="15"/>
        <v>-7319514.957</v>
      </c>
      <c r="BL43" s="172">
        <f t="shared" si="15"/>
        <v>-7415986.294</v>
      </c>
      <c r="BM43" s="172">
        <f t="shared" si="15"/>
        <v>-7512112.675</v>
      </c>
      <c r="BN43" s="167"/>
    </row>
    <row r="44" outlineLevel="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row>
    <row r="45" outlineLevel="1">
      <c r="A45" s="167"/>
      <c r="B45" s="176" t="s">
        <v>174</v>
      </c>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row>
    <row r="46" outlineLevel="1">
      <c r="A46" s="167"/>
      <c r="B46" s="182" t="s">
        <v>140</v>
      </c>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row>
    <row r="47" outlineLevel="1">
      <c r="A47" s="167"/>
      <c r="B47" s="177" t="s">
        <v>175</v>
      </c>
      <c r="C47" s="167"/>
      <c r="D47" s="167"/>
      <c r="E47" s="167"/>
      <c r="F47" s="167">
        <f>Assumptions!H210</f>
        <v>20189.9375</v>
      </c>
      <c r="G47" s="167">
        <f>Assumptions!I210</f>
        <v>23368.01791</v>
      </c>
      <c r="H47" s="167">
        <f>Assumptions!J210</f>
        <v>26462.63945</v>
      </c>
      <c r="I47" s="167">
        <f>Assumptions!K210</f>
        <v>29480.45609</v>
      </c>
      <c r="J47" s="167">
        <f>Assumptions!L210</f>
        <v>32429.10018</v>
      </c>
      <c r="K47" s="167">
        <f>Assumptions!M210</f>
        <v>35316.03023</v>
      </c>
      <c r="L47" s="167">
        <f>Assumptions!N210</f>
        <v>38148.53237</v>
      </c>
      <c r="M47" s="167">
        <f>Assumptions!O210</f>
        <v>40933.7386</v>
      </c>
      <c r="N47" s="167">
        <f>Assumptions!P210</f>
        <v>43678.64511</v>
      </c>
      <c r="O47" s="167">
        <f>Assumptions!Q210</f>
        <v>46390.13004</v>
      </c>
      <c r="P47" s="167">
        <f>Assumptions!R210</f>
        <v>49074.97099</v>
      </c>
      <c r="Q47" s="167">
        <f>Assumptions!S210</f>
        <v>51739.86224</v>
      </c>
      <c r="R47" s="167">
        <f>Assumptions!T210</f>
        <v>54391.43164</v>
      </c>
      <c r="S47" s="167">
        <f>Assumptions!U210</f>
        <v>57036.25741</v>
      </c>
      <c r="T47" s="167">
        <f>Assumptions!V210</f>
        <v>59680.88465</v>
      </c>
      <c r="U47" s="167">
        <f>Assumptions!W210</f>
        <v>62331.84182</v>
      </c>
      <c r="V47" s="167">
        <f>Assumptions!X210</f>
        <v>64995.65709</v>
      </c>
      <c r="W47" s="167">
        <f>Assumptions!Y210</f>
        <v>66723.89126</v>
      </c>
      <c r="X47" s="167">
        <f>Assumptions!Z210</f>
        <v>68365.71372</v>
      </c>
      <c r="Y47" s="167">
        <f>Assumptions!AA210</f>
        <v>69925.44505</v>
      </c>
      <c r="Z47" s="167">
        <f>Assumptions!AB210</f>
        <v>71407.18982</v>
      </c>
      <c r="AA47" s="167">
        <f>Assumptions!AC210</f>
        <v>72814.84736</v>
      </c>
      <c r="AB47" s="167">
        <f>Assumptions!AD210</f>
        <v>74152.12201</v>
      </c>
      <c r="AC47" s="167">
        <f>Assumptions!AE210</f>
        <v>75422.53293</v>
      </c>
      <c r="AD47" s="167">
        <f>Assumptions!AF210</f>
        <v>76629.42331</v>
      </c>
      <c r="AE47" s="167">
        <f>Assumptions!AG210</f>
        <v>77775.96917</v>
      </c>
      <c r="AF47" s="167">
        <f>Assumptions!AH210</f>
        <v>78865.18773</v>
      </c>
      <c r="AG47" s="167">
        <f>Assumptions!AI210</f>
        <v>79899.94537</v>
      </c>
      <c r="AH47" s="167">
        <f>Assumptions!AJ210</f>
        <v>80882.96513</v>
      </c>
      <c r="AI47" s="167">
        <f>Assumptions!AK210</f>
        <v>81816.83389</v>
      </c>
      <c r="AJ47" s="167">
        <f>Assumptions!AL210</f>
        <v>82704.00922</v>
      </c>
      <c r="AK47" s="167">
        <f>Assumptions!AM210</f>
        <v>83546.82578</v>
      </c>
      <c r="AL47" s="167">
        <f>Assumptions!AN210</f>
        <v>84347.50152</v>
      </c>
      <c r="AM47" s="167">
        <f>Assumptions!AO210</f>
        <v>85108.14347</v>
      </c>
      <c r="AN47" s="167">
        <f>Assumptions!AP210</f>
        <v>85830.75332</v>
      </c>
      <c r="AO47" s="167">
        <f>Assumptions!AQ210</f>
        <v>86517.23267</v>
      </c>
      <c r="AP47" s="167">
        <f>Assumptions!AR210</f>
        <v>87169.38806</v>
      </c>
      <c r="AQ47" s="167">
        <f>Assumptions!AS210</f>
        <v>87788.93568</v>
      </c>
      <c r="AR47" s="167">
        <f>Assumptions!AT210</f>
        <v>88377.50592</v>
      </c>
      <c r="AS47" s="167">
        <f>Assumptions!AU210</f>
        <v>88936.64765</v>
      </c>
      <c r="AT47" s="167">
        <f>Assumptions!AV210</f>
        <v>89467.83229</v>
      </c>
      <c r="AU47" s="167">
        <f>Assumptions!AW210</f>
        <v>89972.4577</v>
      </c>
      <c r="AV47" s="167">
        <f>Assumptions!AX210</f>
        <v>90451.85184</v>
      </c>
      <c r="AW47" s="167">
        <f>Assumptions!AY210</f>
        <v>90907.27627</v>
      </c>
      <c r="AX47" s="167">
        <f>Assumptions!AZ210</f>
        <v>91339.92948</v>
      </c>
      <c r="AY47" s="167">
        <f>Assumptions!BA210</f>
        <v>91750.95003</v>
      </c>
      <c r="AZ47" s="167">
        <f>Assumptions!BB210</f>
        <v>92141.41955</v>
      </c>
      <c r="BA47" s="167">
        <f>Assumptions!BC210</f>
        <v>92512.3656</v>
      </c>
      <c r="BB47" s="167">
        <f>Assumptions!BD210</f>
        <v>92864.76434</v>
      </c>
      <c r="BC47" s="167">
        <f>Assumptions!BE210</f>
        <v>93199.54315</v>
      </c>
      <c r="BD47" s="167">
        <f>Assumptions!BF210</f>
        <v>93517.58301</v>
      </c>
      <c r="BE47" s="167">
        <f>Assumptions!BG210</f>
        <v>93819.72088</v>
      </c>
      <c r="BF47" s="167">
        <f>Assumptions!BH210</f>
        <v>94106.75186</v>
      </c>
      <c r="BG47" s="167">
        <f>Assumptions!BI210</f>
        <v>94379.43129</v>
      </c>
      <c r="BH47" s="167">
        <f>Assumptions!BJ210</f>
        <v>94638.47675</v>
      </c>
      <c r="BI47" s="167">
        <f>Assumptions!BK210</f>
        <v>94884.56994</v>
      </c>
      <c r="BJ47" s="167">
        <f>Assumptions!BL210</f>
        <v>95118.35846</v>
      </c>
      <c r="BK47" s="167">
        <f>Assumptions!BM210</f>
        <v>95340.45756</v>
      </c>
      <c r="BL47" s="167">
        <f>Assumptions!BN210</f>
        <v>95551.45171</v>
      </c>
      <c r="BM47" s="167">
        <f>Assumptions!BO210</f>
        <v>95751.89615</v>
      </c>
      <c r="BN47" s="167"/>
    </row>
    <row r="48" outlineLevel="1">
      <c r="A48" s="167"/>
      <c r="B48" s="186" t="s">
        <v>176</v>
      </c>
      <c r="C48" s="187"/>
      <c r="D48" s="187"/>
      <c r="E48" s="187"/>
      <c r="F48" s="186">
        <f t="shared" ref="F48:BM48" si="16">F47</f>
        <v>20189.9375</v>
      </c>
      <c r="G48" s="186">
        <f t="shared" si="16"/>
        <v>23368.01791</v>
      </c>
      <c r="H48" s="186">
        <f t="shared" si="16"/>
        <v>26462.63945</v>
      </c>
      <c r="I48" s="186">
        <f t="shared" si="16"/>
        <v>29480.45609</v>
      </c>
      <c r="J48" s="186">
        <f t="shared" si="16"/>
        <v>32429.10018</v>
      </c>
      <c r="K48" s="186">
        <f t="shared" si="16"/>
        <v>35316.03023</v>
      </c>
      <c r="L48" s="186">
        <f t="shared" si="16"/>
        <v>38148.53237</v>
      </c>
      <c r="M48" s="186">
        <f t="shared" si="16"/>
        <v>40933.7386</v>
      </c>
      <c r="N48" s="186">
        <f t="shared" si="16"/>
        <v>43678.64511</v>
      </c>
      <c r="O48" s="186">
        <f t="shared" si="16"/>
        <v>46390.13004</v>
      </c>
      <c r="P48" s="186">
        <f t="shared" si="16"/>
        <v>49074.97099</v>
      </c>
      <c r="Q48" s="186">
        <f t="shared" si="16"/>
        <v>51739.86224</v>
      </c>
      <c r="R48" s="186">
        <f t="shared" si="16"/>
        <v>54391.43164</v>
      </c>
      <c r="S48" s="186">
        <f t="shared" si="16"/>
        <v>57036.25741</v>
      </c>
      <c r="T48" s="186">
        <f t="shared" si="16"/>
        <v>59680.88465</v>
      </c>
      <c r="U48" s="186">
        <f t="shared" si="16"/>
        <v>62331.84182</v>
      </c>
      <c r="V48" s="186">
        <f t="shared" si="16"/>
        <v>64995.65709</v>
      </c>
      <c r="W48" s="186">
        <f t="shared" si="16"/>
        <v>66723.89126</v>
      </c>
      <c r="X48" s="186">
        <f t="shared" si="16"/>
        <v>68365.71372</v>
      </c>
      <c r="Y48" s="186">
        <f t="shared" si="16"/>
        <v>69925.44505</v>
      </c>
      <c r="Z48" s="186">
        <f t="shared" si="16"/>
        <v>71407.18982</v>
      </c>
      <c r="AA48" s="186">
        <f t="shared" si="16"/>
        <v>72814.84736</v>
      </c>
      <c r="AB48" s="186">
        <f t="shared" si="16"/>
        <v>74152.12201</v>
      </c>
      <c r="AC48" s="186">
        <f t="shared" si="16"/>
        <v>75422.53293</v>
      </c>
      <c r="AD48" s="186">
        <f t="shared" si="16"/>
        <v>76629.42331</v>
      </c>
      <c r="AE48" s="186">
        <f t="shared" si="16"/>
        <v>77775.96917</v>
      </c>
      <c r="AF48" s="186">
        <f t="shared" si="16"/>
        <v>78865.18773</v>
      </c>
      <c r="AG48" s="186">
        <f t="shared" si="16"/>
        <v>79899.94537</v>
      </c>
      <c r="AH48" s="186">
        <f t="shared" si="16"/>
        <v>80882.96513</v>
      </c>
      <c r="AI48" s="186">
        <f t="shared" si="16"/>
        <v>81816.83389</v>
      </c>
      <c r="AJ48" s="186">
        <f t="shared" si="16"/>
        <v>82704.00922</v>
      </c>
      <c r="AK48" s="186">
        <f t="shared" si="16"/>
        <v>83546.82578</v>
      </c>
      <c r="AL48" s="186">
        <f t="shared" si="16"/>
        <v>84347.50152</v>
      </c>
      <c r="AM48" s="186">
        <f t="shared" si="16"/>
        <v>85108.14347</v>
      </c>
      <c r="AN48" s="186">
        <f t="shared" si="16"/>
        <v>85830.75332</v>
      </c>
      <c r="AO48" s="186">
        <f t="shared" si="16"/>
        <v>86517.23267</v>
      </c>
      <c r="AP48" s="186">
        <f t="shared" si="16"/>
        <v>87169.38806</v>
      </c>
      <c r="AQ48" s="186">
        <f t="shared" si="16"/>
        <v>87788.93568</v>
      </c>
      <c r="AR48" s="186">
        <f t="shared" si="16"/>
        <v>88377.50592</v>
      </c>
      <c r="AS48" s="186">
        <f t="shared" si="16"/>
        <v>88936.64765</v>
      </c>
      <c r="AT48" s="186">
        <f t="shared" si="16"/>
        <v>89467.83229</v>
      </c>
      <c r="AU48" s="186">
        <f t="shared" si="16"/>
        <v>89972.4577</v>
      </c>
      <c r="AV48" s="186">
        <f t="shared" si="16"/>
        <v>90451.85184</v>
      </c>
      <c r="AW48" s="186">
        <f t="shared" si="16"/>
        <v>90907.27627</v>
      </c>
      <c r="AX48" s="186">
        <f t="shared" si="16"/>
        <v>91339.92948</v>
      </c>
      <c r="AY48" s="186">
        <f t="shared" si="16"/>
        <v>91750.95003</v>
      </c>
      <c r="AZ48" s="186">
        <f t="shared" si="16"/>
        <v>92141.41955</v>
      </c>
      <c r="BA48" s="186">
        <f t="shared" si="16"/>
        <v>92512.3656</v>
      </c>
      <c r="BB48" s="186">
        <f t="shared" si="16"/>
        <v>92864.76434</v>
      </c>
      <c r="BC48" s="186">
        <f t="shared" si="16"/>
        <v>93199.54315</v>
      </c>
      <c r="BD48" s="186">
        <f t="shared" si="16"/>
        <v>93517.58301</v>
      </c>
      <c r="BE48" s="186">
        <f t="shared" si="16"/>
        <v>93819.72088</v>
      </c>
      <c r="BF48" s="186">
        <f t="shared" si="16"/>
        <v>94106.75186</v>
      </c>
      <c r="BG48" s="186">
        <f t="shared" si="16"/>
        <v>94379.43129</v>
      </c>
      <c r="BH48" s="186">
        <f t="shared" si="16"/>
        <v>94638.47675</v>
      </c>
      <c r="BI48" s="186">
        <f t="shared" si="16"/>
        <v>94884.56994</v>
      </c>
      <c r="BJ48" s="186">
        <f t="shared" si="16"/>
        <v>95118.35846</v>
      </c>
      <c r="BK48" s="186">
        <f t="shared" si="16"/>
        <v>95340.45756</v>
      </c>
      <c r="BL48" s="186">
        <f t="shared" si="16"/>
        <v>95551.45171</v>
      </c>
      <c r="BM48" s="186">
        <f t="shared" si="16"/>
        <v>95751.89615</v>
      </c>
      <c r="BN48" s="167"/>
    </row>
    <row r="49" outlineLevel="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c r="BN49" s="167"/>
    </row>
    <row r="50" outlineLevel="1">
      <c r="A50" s="167"/>
      <c r="B50" s="182" t="s">
        <v>177</v>
      </c>
      <c r="C50" s="167"/>
      <c r="D50" s="167"/>
      <c r="E50" s="188" t="s">
        <v>178</v>
      </c>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c r="BN50" s="167"/>
    </row>
    <row r="51" outlineLevel="1">
      <c r="A51" s="167"/>
      <c r="B51" s="177" t="s">
        <v>179</v>
      </c>
      <c r="C51" s="167"/>
      <c r="D51" s="167"/>
      <c r="E51" s="189">
        <f>Assumptions!C192</f>
        <v>500000</v>
      </c>
      <c r="F51" s="167">
        <f>E51</f>
        <v>500000</v>
      </c>
      <c r="G51" s="167">
        <f>Assumptions!I224+$E51</f>
        <v>500000</v>
      </c>
      <c r="H51" s="167">
        <f>Assumptions!J224+$E51</f>
        <v>500000</v>
      </c>
      <c r="I51" s="167">
        <f>Assumptions!K224+$E51</f>
        <v>500000</v>
      </c>
      <c r="J51" s="167">
        <f>Assumptions!L224+$E51</f>
        <v>500000</v>
      </c>
      <c r="K51" s="167">
        <f>Assumptions!M224+$E51</f>
        <v>500000</v>
      </c>
      <c r="L51" s="167">
        <f>Assumptions!N224+$E51</f>
        <v>500000</v>
      </c>
      <c r="M51" s="167">
        <f>Assumptions!O224+$E51</f>
        <v>500000</v>
      </c>
      <c r="N51" s="167">
        <f>Assumptions!P224+$E51</f>
        <v>500000</v>
      </c>
      <c r="O51" s="167">
        <f>Assumptions!Q224+$E51</f>
        <v>500000</v>
      </c>
      <c r="P51" s="167">
        <f>Assumptions!R224+$E51</f>
        <v>500000</v>
      </c>
      <c r="Q51" s="167">
        <f>Assumptions!S224+$E51</f>
        <v>500000</v>
      </c>
      <c r="R51" s="167">
        <f>Assumptions!T224+$E51</f>
        <v>500000</v>
      </c>
      <c r="S51" s="167">
        <f>Assumptions!U224+$E51</f>
        <v>500000</v>
      </c>
      <c r="T51" s="167">
        <f>Assumptions!V224+$E51</f>
        <v>500000</v>
      </c>
      <c r="U51" s="167">
        <f>Assumptions!W224+$E51</f>
        <v>500000</v>
      </c>
      <c r="V51" s="167">
        <f>Assumptions!X224+$E51</f>
        <v>500000</v>
      </c>
      <c r="W51" s="167">
        <f>Assumptions!Y224+$E51</f>
        <v>500000</v>
      </c>
      <c r="X51" s="167">
        <f>Assumptions!Z224+$E51</f>
        <v>500000</v>
      </c>
      <c r="Y51" s="167">
        <f>Assumptions!AA224+$E51</f>
        <v>500000</v>
      </c>
      <c r="Z51" s="167">
        <f>Assumptions!AB224+$E51</f>
        <v>500000</v>
      </c>
      <c r="AA51" s="167">
        <f>Assumptions!AC224+$E51</f>
        <v>500000</v>
      </c>
      <c r="AB51" s="167">
        <f>Assumptions!AD224+$E51</f>
        <v>500000</v>
      </c>
      <c r="AC51" s="167">
        <f>Assumptions!AE224+$E51</f>
        <v>500000</v>
      </c>
      <c r="AD51" s="167">
        <f>Assumptions!AF224+$E51</f>
        <v>500000</v>
      </c>
      <c r="AE51" s="167">
        <f>Assumptions!AG224+$E51</f>
        <v>500000</v>
      </c>
      <c r="AF51" s="167">
        <f>Assumptions!AH224+$E51</f>
        <v>500000</v>
      </c>
      <c r="AG51" s="167">
        <f>Assumptions!AI224+$E51</f>
        <v>500000</v>
      </c>
      <c r="AH51" s="167">
        <f>Assumptions!AJ224+$E51</f>
        <v>500000</v>
      </c>
      <c r="AI51" s="167">
        <f>Assumptions!AK224+$E51</f>
        <v>500000</v>
      </c>
      <c r="AJ51" s="167">
        <f>Assumptions!AL224+$E51</f>
        <v>500000</v>
      </c>
      <c r="AK51" s="167">
        <f>Assumptions!AM224+$E51</f>
        <v>500000</v>
      </c>
      <c r="AL51" s="167">
        <f>Assumptions!AN224+$E51</f>
        <v>500000</v>
      </c>
      <c r="AM51" s="167">
        <f>Assumptions!AO224+$E51</f>
        <v>500000</v>
      </c>
      <c r="AN51" s="167">
        <f>Assumptions!AP224+$E51</f>
        <v>500000</v>
      </c>
      <c r="AO51" s="167">
        <f>Assumptions!AQ224+$E51</f>
        <v>500000</v>
      </c>
      <c r="AP51" s="167">
        <f>Assumptions!AR224+$E51</f>
        <v>500000</v>
      </c>
      <c r="AQ51" s="167">
        <f>Assumptions!AS224+$E51</f>
        <v>500000</v>
      </c>
      <c r="AR51" s="167">
        <f>Assumptions!AT224+$E51</f>
        <v>500000</v>
      </c>
      <c r="AS51" s="167">
        <f>Assumptions!AU224+$E51</f>
        <v>500000</v>
      </c>
      <c r="AT51" s="167">
        <f>Assumptions!AV224+$E51</f>
        <v>500000</v>
      </c>
      <c r="AU51" s="167">
        <f>Assumptions!AW224+$E51</f>
        <v>500000</v>
      </c>
      <c r="AV51" s="167">
        <f>Assumptions!AX224+$E51</f>
        <v>500000</v>
      </c>
      <c r="AW51" s="167">
        <f>Assumptions!AY224+$E51</f>
        <v>500000</v>
      </c>
      <c r="AX51" s="167">
        <f>Assumptions!AZ224+$E51</f>
        <v>500000</v>
      </c>
      <c r="AY51" s="167">
        <f>Assumptions!BA224+$E51</f>
        <v>500000</v>
      </c>
      <c r="AZ51" s="167">
        <f>Assumptions!BB224+$E51</f>
        <v>500000</v>
      </c>
      <c r="BA51" s="167">
        <f>Assumptions!BC224+$E51</f>
        <v>500000</v>
      </c>
      <c r="BB51" s="167">
        <f>Assumptions!BD224+$E51</f>
        <v>500000</v>
      </c>
      <c r="BC51" s="167">
        <f>Assumptions!BE224+$E51</f>
        <v>500000</v>
      </c>
      <c r="BD51" s="167">
        <f>Assumptions!BF224+$E51</f>
        <v>500000</v>
      </c>
      <c r="BE51" s="167">
        <f>Assumptions!BG224+$E51</f>
        <v>500000</v>
      </c>
      <c r="BF51" s="167">
        <f>Assumptions!BH224+$E51</f>
        <v>500000</v>
      </c>
      <c r="BG51" s="167">
        <f>Assumptions!BI224+$E51</f>
        <v>500000</v>
      </c>
      <c r="BH51" s="167">
        <f>Assumptions!BJ224+$E51</f>
        <v>500000</v>
      </c>
      <c r="BI51" s="167">
        <f>Assumptions!BK224+$E51</f>
        <v>500000</v>
      </c>
      <c r="BJ51" s="167">
        <f>Assumptions!BL224+$E51</f>
        <v>500000</v>
      </c>
      <c r="BK51" s="167">
        <f>Assumptions!BM224+$E51</f>
        <v>500000</v>
      </c>
      <c r="BL51" s="167">
        <f>Assumptions!BN224+$E51</f>
        <v>500000</v>
      </c>
      <c r="BM51" s="167">
        <f>Assumptions!BO224+$E51</f>
        <v>500000</v>
      </c>
      <c r="BN51" s="167"/>
    </row>
    <row r="52" outlineLevel="1">
      <c r="A52" s="167"/>
      <c r="B52" s="177" t="s">
        <v>180</v>
      </c>
      <c r="C52" s="167"/>
      <c r="D52" s="167"/>
      <c r="E52" s="167"/>
      <c r="F52" s="167">
        <f t="shared" ref="F52:BM52" si="17">E52+F30</f>
        <v>-230342.375</v>
      </c>
      <c r="G52" s="167">
        <f t="shared" si="17"/>
        <v>-455048.1546</v>
      </c>
      <c r="H52" s="167">
        <f t="shared" si="17"/>
        <v>-674265.3601</v>
      </c>
      <c r="I52" s="167">
        <f t="shared" si="17"/>
        <v>-888130.2115</v>
      </c>
      <c r="J52" s="167">
        <f t="shared" si="17"/>
        <v>-1096765.392</v>
      </c>
      <c r="K52" s="167">
        <f t="shared" si="17"/>
        <v>-1300280.358</v>
      </c>
      <c r="L52" s="167">
        <f t="shared" si="17"/>
        <v>-1498771.64</v>
      </c>
      <c r="M52" s="167">
        <f t="shared" si="17"/>
        <v>-1692323.122</v>
      </c>
      <c r="N52" s="167">
        <f t="shared" si="17"/>
        <v>-1881006.28</v>
      </c>
      <c r="O52" s="167">
        <f t="shared" si="17"/>
        <v>-2064880.389</v>
      </c>
      <c r="P52" s="167">
        <f t="shared" si="17"/>
        <v>-2243992.705</v>
      </c>
      <c r="Q52" s="167">
        <f t="shared" si="17"/>
        <v>-2418378.609</v>
      </c>
      <c r="R52" s="167">
        <f t="shared" si="17"/>
        <v>-2588061.731</v>
      </c>
      <c r="S52" s="167">
        <f t="shared" si="17"/>
        <v>-2753054.029</v>
      </c>
      <c r="T52" s="167">
        <f t="shared" si="17"/>
        <v>-2913355.856</v>
      </c>
      <c r="U52" s="167">
        <f t="shared" si="17"/>
        <v>-3068955.986</v>
      </c>
      <c r="V52" s="167">
        <f t="shared" si="17"/>
        <v>-3219831.613</v>
      </c>
      <c r="W52" s="167">
        <f t="shared" si="17"/>
        <v>-3367642.07</v>
      </c>
      <c r="X52" s="167">
        <f t="shared" si="17"/>
        <v>-3512540.615</v>
      </c>
      <c r="Y52" s="167">
        <f t="shared" si="17"/>
        <v>-3654672.845</v>
      </c>
      <c r="Z52" s="167">
        <f t="shared" si="17"/>
        <v>-3794177.074</v>
      </c>
      <c r="AA52" s="167">
        <f t="shared" si="17"/>
        <v>-3931184.703</v>
      </c>
      <c r="AB52" s="167">
        <f t="shared" si="17"/>
        <v>-4065820.562</v>
      </c>
      <c r="AC52" s="167">
        <f t="shared" si="17"/>
        <v>-4198203.24</v>
      </c>
      <c r="AD52" s="167">
        <f t="shared" si="17"/>
        <v>-4328445.395</v>
      </c>
      <c r="AE52" s="167">
        <f t="shared" si="17"/>
        <v>-4456654.053</v>
      </c>
      <c r="AF52" s="167">
        <f t="shared" si="17"/>
        <v>-4582930.89</v>
      </c>
      <c r="AG52" s="167">
        <f t="shared" si="17"/>
        <v>-4707372.496</v>
      </c>
      <c r="AH52" s="167">
        <f t="shared" si="17"/>
        <v>-4830070.634</v>
      </c>
      <c r="AI52" s="167">
        <f t="shared" si="17"/>
        <v>-4951112.475</v>
      </c>
      <c r="AJ52" s="167">
        <f t="shared" si="17"/>
        <v>-5070580.836</v>
      </c>
      <c r="AK52" s="167">
        <f t="shared" si="17"/>
        <v>-5188554.391</v>
      </c>
      <c r="AL52" s="167">
        <f t="shared" si="17"/>
        <v>-5305107.879</v>
      </c>
      <c r="AM52" s="167">
        <f t="shared" si="17"/>
        <v>-5420312.303</v>
      </c>
      <c r="AN52" s="167">
        <f t="shared" si="17"/>
        <v>-5534235.118</v>
      </c>
      <c r="AO52" s="167">
        <f t="shared" si="17"/>
        <v>-5646940.404</v>
      </c>
      <c r="AP52" s="167">
        <f t="shared" si="17"/>
        <v>-5758489.036</v>
      </c>
      <c r="AQ52" s="167">
        <f t="shared" si="17"/>
        <v>-5868938.848</v>
      </c>
      <c r="AR52" s="167">
        <f t="shared" si="17"/>
        <v>-5978344.781</v>
      </c>
      <c r="AS52" s="167">
        <f t="shared" si="17"/>
        <v>-6086759.029</v>
      </c>
      <c r="AT52" s="167">
        <f t="shared" si="17"/>
        <v>-6194231.175</v>
      </c>
      <c r="AU52" s="167">
        <f t="shared" si="17"/>
        <v>-6300808.326</v>
      </c>
      <c r="AV52" s="167">
        <f t="shared" si="17"/>
        <v>-6406535.23</v>
      </c>
      <c r="AW52" s="167">
        <f t="shared" si="17"/>
        <v>-6511454.4</v>
      </c>
      <c r="AX52" s="167">
        <f t="shared" si="17"/>
        <v>-6615606.224</v>
      </c>
      <c r="AY52" s="167">
        <f t="shared" si="17"/>
        <v>-6719029.067</v>
      </c>
      <c r="AZ52" s="167">
        <f t="shared" si="17"/>
        <v>-6821759.379</v>
      </c>
      <c r="BA52" s="167">
        <f t="shared" si="17"/>
        <v>-6923831.788</v>
      </c>
      <c r="BB52" s="167">
        <f t="shared" si="17"/>
        <v>-7025279.187</v>
      </c>
      <c r="BC52" s="167">
        <f t="shared" si="17"/>
        <v>-7126132.827</v>
      </c>
      <c r="BD52" s="167">
        <f t="shared" si="17"/>
        <v>-7226422.397</v>
      </c>
      <c r="BE52" s="167">
        <f t="shared" si="17"/>
        <v>-7326176.1</v>
      </c>
      <c r="BF52" s="167">
        <f t="shared" si="17"/>
        <v>-7425420.728</v>
      </c>
      <c r="BG52" s="167">
        <f t="shared" si="17"/>
        <v>-7524181.737</v>
      </c>
      <c r="BH52" s="167">
        <f t="shared" si="17"/>
        <v>-7622483.307</v>
      </c>
      <c r="BI52" s="167">
        <f t="shared" si="17"/>
        <v>-7720348.409</v>
      </c>
      <c r="BJ52" s="167">
        <f t="shared" si="17"/>
        <v>-7817798.867</v>
      </c>
      <c r="BK52" s="167">
        <f t="shared" si="17"/>
        <v>-7914855.414</v>
      </c>
      <c r="BL52" s="167">
        <f t="shared" si="17"/>
        <v>-8011537.745</v>
      </c>
      <c r="BM52" s="167">
        <f t="shared" si="17"/>
        <v>-8107864.571</v>
      </c>
      <c r="BN52" s="167"/>
    </row>
    <row r="53" outlineLevel="1">
      <c r="A53" s="167"/>
      <c r="B53" s="186" t="s">
        <v>181</v>
      </c>
      <c r="C53" s="187"/>
      <c r="D53" s="187"/>
      <c r="E53" s="187"/>
      <c r="F53" s="186">
        <f t="shared" ref="F53:BM53" si="18">SUM(F51:F52)</f>
        <v>269657.625</v>
      </c>
      <c r="G53" s="186">
        <f t="shared" si="18"/>
        <v>44951.84544</v>
      </c>
      <c r="H53" s="186">
        <f t="shared" si="18"/>
        <v>-174265.3601</v>
      </c>
      <c r="I53" s="186">
        <f t="shared" si="18"/>
        <v>-388130.2115</v>
      </c>
      <c r="J53" s="186">
        <f t="shared" si="18"/>
        <v>-596765.3923</v>
      </c>
      <c r="K53" s="186">
        <f t="shared" si="18"/>
        <v>-800280.3576</v>
      </c>
      <c r="L53" s="186">
        <f t="shared" si="18"/>
        <v>-998771.6398</v>
      </c>
      <c r="M53" s="186">
        <f t="shared" si="18"/>
        <v>-1192323.122</v>
      </c>
      <c r="N53" s="186">
        <f t="shared" si="18"/>
        <v>-1381006.28</v>
      </c>
      <c r="O53" s="186">
        <f t="shared" si="18"/>
        <v>-1564880.389</v>
      </c>
      <c r="P53" s="186">
        <f t="shared" si="18"/>
        <v>-1743992.705</v>
      </c>
      <c r="Q53" s="186">
        <f t="shared" si="18"/>
        <v>-1918378.609</v>
      </c>
      <c r="R53" s="186">
        <f t="shared" si="18"/>
        <v>-2088061.731</v>
      </c>
      <c r="S53" s="186">
        <f t="shared" si="18"/>
        <v>-2253054.029</v>
      </c>
      <c r="T53" s="186">
        <f t="shared" si="18"/>
        <v>-2413355.856</v>
      </c>
      <c r="U53" s="186">
        <f t="shared" si="18"/>
        <v>-2568955.986</v>
      </c>
      <c r="V53" s="186">
        <f t="shared" si="18"/>
        <v>-2719831.613</v>
      </c>
      <c r="W53" s="186">
        <f t="shared" si="18"/>
        <v>-2867642.07</v>
      </c>
      <c r="X53" s="186">
        <f t="shared" si="18"/>
        <v>-3012540.615</v>
      </c>
      <c r="Y53" s="186">
        <f t="shared" si="18"/>
        <v>-3154672.845</v>
      </c>
      <c r="Z53" s="186">
        <f t="shared" si="18"/>
        <v>-3294177.074</v>
      </c>
      <c r="AA53" s="186">
        <f t="shared" si="18"/>
        <v>-3431184.703</v>
      </c>
      <c r="AB53" s="186">
        <f t="shared" si="18"/>
        <v>-3565820.562</v>
      </c>
      <c r="AC53" s="186">
        <f t="shared" si="18"/>
        <v>-3698203.24</v>
      </c>
      <c r="AD53" s="186">
        <f t="shared" si="18"/>
        <v>-3828445.395</v>
      </c>
      <c r="AE53" s="186">
        <f t="shared" si="18"/>
        <v>-3956654.053</v>
      </c>
      <c r="AF53" s="186">
        <f t="shared" si="18"/>
        <v>-4082930.89</v>
      </c>
      <c r="AG53" s="186">
        <f t="shared" si="18"/>
        <v>-4207372.496</v>
      </c>
      <c r="AH53" s="186">
        <f t="shared" si="18"/>
        <v>-4330070.634</v>
      </c>
      <c r="AI53" s="186">
        <f t="shared" si="18"/>
        <v>-4451112.475</v>
      </c>
      <c r="AJ53" s="186">
        <f t="shared" si="18"/>
        <v>-4570580.836</v>
      </c>
      <c r="AK53" s="186">
        <f t="shared" si="18"/>
        <v>-4688554.391</v>
      </c>
      <c r="AL53" s="186">
        <f t="shared" si="18"/>
        <v>-4805107.879</v>
      </c>
      <c r="AM53" s="186">
        <f t="shared" si="18"/>
        <v>-4920312.303</v>
      </c>
      <c r="AN53" s="186">
        <f t="shared" si="18"/>
        <v>-5034235.118</v>
      </c>
      <c r="AO53" s="186">
        <f t="shared" si="18"/>
        <v>-5146940.404</v>
      </c>
      <c r="AP53" s="186">
        <f t="shared" si="18"/>
        <v>-5258489.036</v>
      </c>
      <c r="AQ53" s="186">
        <f t="shared" si="18"/>
        <v>-5368938.848</v>
      </c>
      <c r="AR53" s="186">
        <f t="shared" si="18"/>
        <v>-5478344.781</v>
      </c>
      <c r="AS53" s="186">
        <f t="shared" si="18"/>
        <v>-5586759.029</v>
      </c>
      <c r="AT53" s="186">
        <f t="shared" si="18"/>
        <v>-5694231.175</v>
      </c>
      <c r="AU53" s="186">
        <f t="shared" si="18"/>
        <v>-5800808.326</v>
      </c>
      <c r="AV53" s="186">
        <f t="shared" si="18"/>
        <v>-5906535.23</v>
      </c>
      <c r="AW53" s="186">
        <f t="shared" si="18"/>
        <v>-6011454.4</v>
      </c>
      <c r="AX53" s="186">
        <f t="shared" si="18"/>
        <v>-6115606.224</v>
      </c>
      <c r="AY53" s="186">
        <f t="shared" si="18"/>
        <v>-6219029.067</v>
      </c>
      <c r="AZ53" s="186">
        <f t="shared" si="18"/>
        <v>-6321759.379</v>
      </c>
      <c r="BA53" s="186">
        <f t="shared" si="18"/>
        <v>-6423831.788</v>
      </c>
      <c r="BB53" s="186">
        <f t="shared" si="18"/>
        <v>-6525279.187</v>
      </c>
      <c r="BC53" s="186">
        <f t="shared" si="18"/>
        <v>-6626132.827</v>
      </c>
      <c r="BD53" s="186">
        <f t="shared" si="18"/>
        <v>-6726422.397</v>
      </c>
      <c r="BE53" s="186">
        <f t="shared" si="18"/>
        <v>-6826176.1</v>
      </c>
      <c r="BF53" s="186">
        <f t="shared" si="18"/>
        <v>-6925420.728</v>
      </c>
      <c r="BG53" s="186">
        <f t="shared" si="18"/>
        <v>-7024181.737</v>
      </c>
      <c r="BH53" s="186">
        <f t="shared" si="18"/>
        <v>-7122483.307</v>
      </c>
      <c r="BI53" s="186">
        <f t="shared" si="18"/>
        <v>-7220348.409</v>
      </c>
      <c r="BJ53" s="186">
        <f t="shared" si="18"/>
        <v>-7317798.867</v>
      </c>
      <c r="BK53" s="186">
        <f t="shared" si="18"/>
        <v>-7414855.414</v>
      </c>
      <c r="BL53" s="186">
        <f t="shared" si="18"/>
        <v>-7511537.745</v>
      </c>
      <c r="BM53" s="186">
        <f t="shared" si="18"/>
        <v>-7607864.571</v>
      </c>
      <c r="BN53" s="167"/>
    </row>
    <row r="54" outlineLevel="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row>
    <row r="55" outlineLevel="1">
      <c r="A55" s="167"/>
      <c r="B55" s="170" t="s">
        <v>182</v>
      </c>
      <c r="C55" s="171"/>
      <c r="D55" s="171"/>
      <c r="E55" s="171"/>
      <c r="F55" s="172">
        <f t="shared" ref="F55:BM55" si="19">F53+F48</f>
        <v>289847.5625</v>
      </c>
      <c r="G55" s="172">
        <f t="shared" si="19"/>
        <v>68319.86334</v>
      </c>
      <c r="H55" s="172">
        <f t="shared" si="19"/>
        <v>-147802.7206</v>
      </c>
      <c r="I55" s="172">
        <f t="shared" si="19"/>
        <v>-358649.7554</v>
      </c>
      <c r="J55" s="172">
        <f t="shared" si="19"/>
        <v>-564336.2922</v>
      </c>
      <c r="K55" s="172">
        <f t="shared" si="19"/>
        <v>-764964.3274</v>
      </c>
      <c r="L55" s="172">
        <f t="shared" si="19"/>
        <v>-960623.1074</v>
      </c>
      <c r="M55" s="172">
        <f t="shared" si="19"/>
        <v>-1151389.384</v>
      </c>
      <c r="N55" s="172">
        <f t="shared" si="19"/>
        <v>-1337327.635</v>
      </c>
      <c r="O55" s="172">
        <f t="shared" si="19"/>
        <v>-1518490.259</v>
      </c>
      <c r="P55" s="172">
        <f t="shared" si="19"/>
        <v>-1694917.734</v>
      </c>
      <c r="Q55" s="172">
        <f t="shared" si="19"/>
        <v>-1866638.747</v>
      </c>
      <c r="R55" s="172">
        <f t="shared" si="19"/>
        <v>-2033670.299</v>
      </c>
      <c r="S55" s="172">
        <f t="shared" si="19"/>
        <v>-2196017.771</v>
      </c>
      <c r="T55" s="172">
        <f t="shared" si="19"/>
        <v>-2353674.971</v>
      </c>
      <c r="U55" s="172">
        <f t="shared" si="19"/>
        <v>-2506624.144</v>
      </c>
      <c r="V55" s="172">
        <f t="shared" si="19"/>
        <v>-2654835.956</v>
      </c>
      <c r="W55" s="172">
        <f t="shared" si="19"/>
        <v>-2800918.178</v>
      </c>
      <c r="X55" s="172">
        <f t="shared" si="19"/>
        <v>-2944174.901</v>
      </c>
      <c r="Y55" s="172">
        <f t="shared" si="19"/>
        <v>-3084747.4</v>
      </c>
      <c r="Z55" s="172">
        <f t="shared" si="19"/>
        <v>-3222769.884</v>
      </c>
      <c r="AA55" s="172">
        <f t="shared" si="19"/>
        <v>-3358369.856</v>
      </c>
      <c r="AB55" s="172">
        <f t="shared" si="19"/>
        <v>-3491668.44</v>
      </c>
      <c r="AC55" s="172">
        <f t="shared" si="19"/>
        <v>-3622780.707</v>
      </c>
      <c r="AD55" s="172">
        <f t="shared" si="19"/>
        <v>-3751815.971</v>
      </c>
      <c r="AE55" s="172">
        <f t="shared" si="19"/>
        <v>-3878878.084</v>
      </c>
      <c r="AF55" s="172">
        <f t="shared" si="19"/>
        <v>-4004065.702</v>
      </c>
      <c r="AG55" s="172">
        <f t="shared" si="19"/>
        <v>-4127472.551</v>
      </c>
      <c r="AH55" s="172">
        <f t="shared" si="19"/>
        <v>-4249187.668</v>
      </c>
      <c r="AI55" s="172">
        <f t="shared" si="19"/>
        <v>-4369295.641</v>
      </c>
      <c r="AJ55" s="172">
        <f t="shared" si="19"/>
        <v>-4487876.827</v>
      </c>
      <c r="AK55" s="172">
        <f t="shared" si="19"/>
        <v>-4605007.565</v>
      </c>
      <c r="AL55" s="172">
        <f t="shared" si="19"/>
        <v>-4720760.377</v>
      </c>
      <c r="AM55" s="172">
        <f t="shared" si="19"/>
        <v>-4835204.16</v>
      </c>
      <c r="AN55" s="172">
        <f t="shared" si="19"/>
        <v>-4948404.365</v>
      </c>
      <c r="AO55" s="172">
        <f t="shared" si="19"/>
        <v>-5060423.171</v>
      </c>
      <c r="AP55" s="172">
        <f t="shared" si="19"/>
        <v>-5171319.648</v>
      </c>
      <c r="AQ55" s="172">
        <f t="shared" si="19"/>
        <v>-5281149.913</v>
      </c>
      <c r="AR55" s="172">
        <f t="shared" si="19"/>
        <v>-5389967.275</v>
      </c>
      <c r="AS55" s="172">
        <f t="shared" si="19"/>
        <v>-5497822.381</v>
      </c>
      <c r="AT55" s="172">
        <f t="shared" si="19"/>
        <v>-5604763.343</v>
      </c>
      <c r="AU55" s="172">
        <f t="shared" si="19"/>
        <v>-5710835.868</v>
      </c>
      <c r="AV55" s="172">
        <f t="shared" si="19"/>
        <v>-5816083.378</v>
      </c>
      <c r="AW55" s="172">
        <f t="shared" si="19"/>
        <v>-5920547.124</v>
      </c>
      <c r="AX55" s="172">
        <f t="shared" si="19"/>
        <v>-6024266.294</v>
      </c>
      <c r="AY55" s="172">
        <f t="shared" si="19"/>
        <v>-6127278.117</v>
      </c>
      <c r="AZ55" s="172">
        <f t="shared" si="19"/>
        <v>-6229617.96</v>
      </c>
      <c r="BA55" s="172">
        <f t="shared" si="19"/>
        <v>-6331319.422</v>
      </c>
      <c r="BB55" s="172">
        <f t="shared" si="19"/>
        <v>-6432414.422</v>
      </c>
      <c r="BC55" s="172">
        <f t="shared" si="19"/>
        <v>-6532933.284</v>
      </c>
      <c r="BD55" s="172">
        <f t="shared" si="19"/>
        <v>-6632904.814</v>
      </c>
      <c r="BE55" s="172">
        <f t="shared" si="19"/>
        <v>-6732356.379</v>
      </c>
      <c r="BF55" s="172">
        <f t="shared" si="19"/>
        <v>-6831313.976</v>
      </c>
      <c r="BG55" s="172">
        <f t="shared" si="19"/>
        <v>-6929802.306</v>
      </c>
      <c r="BH55" s="172">
        <f t="shared" si="19"/>
        <v>-7027844.83</v>
      </c>
      <c r="BI55" s="172">
        <f t="shared" si="19"/>
        <v>-7125463.839</v>
      </c>
      <c r="BJ55" s="172">
        <f t="shared" si="19"/>
        <v>-7222680.509</v>
      </c>
      <c r="BK55" s="172">
        <f t="shared" si="19"/>
        <v>-7319514.957</v>
      </c>
      <c r="BL55" s="172">
        <f t="shared" si="19"/>
        <v>-7415986.294</v>
      </c>
      <c r="BM55" s="172">
        <f t="shared" si="19"/>
        <v>-7512112.675</v>
      </c>
      <c r="BN55" s="167"/>
    </row>
    <row r="56" outlineLevel="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row>
    <row r="57" outlineLevel="1">
      <c r="A57" s="30"/>
      <c r="B57" s="190" t="s">
        <v>183</v>
      </c>
      <c r="C57" s="30"/>
      <c r="D57" s="30"/>
      <c r="E57" s="30"/>
      <c r="F57" s="191" t="str">
        <f t="shared" ref="F57:BM57" si="20">IF(ABS(F55-F43)&gt;0.001,"ERROR","OK")</f>
        <v>OK</v>
      </c>
      <c r="G57" s="191" t="str">
        <f t="shared" si="20"/>
        <v>OK</v>
      </c>
      <c r="H57" s="191" t="str">
        <f t="shared" si="20"/>
        <v>OK</v>
      </c>
      <c r="I57" s="191" t="str">
        <f t="shared" si="20"/>
        <v>OK</v>
      </c>
      <c r="J57" s="191" t="str">
        <f t="shared" si="20"/>
        <v>OK</v>
      </c>
      <c r="K57" s="191" t="str">
        <f t="shared" si="20"/>
        <v>OK</v>
      </c>
      <c r="L57" s="191" t="str">
        <f t="shared" si="20"/>
        <v>OK</v>
      </c>
      <c r="M57" s="191" t="str">
        <f t="shared" si="20"/>
        <v>OK</v>
      </c>
      <c r="N57" s="191" t="str">
        <f t="shared" si="20"/>
        <v>OK</v>
      </c>
      <c r="O57" s="191" t="str">
        <f t="shared" si="20"/>
        <v>OK</v>
      </c>
      <c r="P57" s="191" t="str">
        <f t="shared" si="20"/>
        <v>OK</v>
      </c>
      <c r="Q57" s="191" t="str">
        <f t="shared" si="20"/>
        <v>OK</v>
      </c>
      <c r="R57" s="191" t="str">
        <f t="shared" si="20"/>
        <v>OK</v>
      </c>
      <c r="S57" s="191" t="str">
        <f t="shared" si="20"/>
        <v>OK</v>
      </c>
      <c r="T57" s="191" t="str">
        <f t="shared" si="20"/>
        <v>OK</v>
      </c>
      <c r="U57" s="191" t="str">
        <f t="shared" si="20"/>
        <v>OK</v>
      </c>
      <c r="V57" s="191" t="str">
        <f t="shared" si="20"/>
        <v>OK</v>
      </c>
      <c r="W57" s="191" t="str">
        <f t="shared" si="20"/>
        <v>OK</v>
      </c>
      <c r="X57" s="191" t="str">
        <f t="shared" si="20"/>
        <v>OK</v>
      </c>
      <c r="Y57" s="191" t="str">
        <f t="shared" si="20"/>
        <v>OK</v>
      </c>
      <c r="Z57" s="191" t="str">
        <f t="shared" si="20"/>
        <v>OK</v>
      </c>
      <c r="AA57" s="191" t="str">
        <f t="shared" si="20"/>
        <v>OK</v>
      </c>
      <c r="AB57" s="191" t="str">
        <f t="shared" si="20"/>
        <v>OK</v>
      </c>
      <c r="AC57" s="191" t="str">
        <f t="shared" si="20"/>
        <v>OK</v>
      </c>
      <c r="AD57" s="191" t="str">
        <f t="shared" si="20"/>
        <v>OK</v>
      </c>
      <c r="AE57" s="191" t="str">
        <f t="shared" si="20"/>
        <v>OK</v>
      </c>
      <c r="AF57" s="191" t="str">
        <f t="shared" si="20"/>
        <v>OK</v>
      </c>
      <c r="AG57" s="191" t="str">
        <f t="shared" si="20"/>
        <v>OK</v>
      </c>
      <c r="AH57" s="191" t="str">
        <f t="shared" si="20"/>
        <v>OK</v>
      </c>
      <c r="AI57" s="191" t="str">
        <f t="shared" si="20"/>
        <v>OK</v>
      </c>
      <c r="AJ57" s="191" t="str">
        <f t="shared" si="20"/>
        <v>OK</v>
      </c>
      <c r="AK57" s="191" t="str">
        <f t="shared" si="20"/>
        <v>OK</v>
      </c>
      <c r="AL57" s="191" t="str">
        <f t="shared" si="20"/>
        <v>OK</v>
      </c>
      <c r="AM57" s="191" t="str">
        <f t="shared" si="20"/>
        <v>OK</v>
      </c>
      <c r="AN57" s="191" t="str">
        <f t="shared" si="20"/>
        <v>OK</v>
      </c>
      <c r="AO57" s="191" t="str">
        <f t="shared" si="20"/>
        <v>OK</v>
      </c>
      <c r="AP57" s="191" t="str">
        <f t="shared" si="20"/>
        <v>OK</v>
      </c>
      <c r="AQ57" s="191" t="str">
        <f t="shared" si="20"/>
        <v>OK</v>
      </c>
      <c r="AR57" s="191" t="str">
        <f t="shared" si="20"/>
        <v>OK</v>
      </c>
      <c r="AS57" s="191" t="str">
        <f t="shared" si="20"/>
        <v>OK</v>
      </c>
      <c r="AT57" s="191" t="str">
        <f t="shared" si="20"/>
        <v>OK</v>
      </c>
      <c r="AU57" s="191" t="str">
        <f t="shared" si="20"/>
        <v>OK</v>
      </c>
      <c r="AV57" s="191" t="str">
        <f t="shared" si="20"/>
        <v>OK</v>
      </c>
      <c r="AW57" s="191" t="str">
        <f t="shared" si="20"/>
        <v>OK</v>
      </c>
      <c r="AX57" s="191" t="str">
        <f t="shared" si="20"/>
        <v>OK</v>
      </c>
      <c r="AY57" s="191" t="str">
        <f t="shared" si="20"/>
        <v>OK</v>
      </c>
      <c r="AZ57" s="191" t="str">
        <f t="shared" si="20"/>
        <v>OK</v>
      </c>
      <c r="BA57" s="191" t="str">
        <f t="shared" si="20"/>
        <v>OK</v>
      </c>
      <c r="BB57" s="191" t="str">
        <f t="shared" si="20"/>
        <v>OK</v>
      </c>
      <c r="BC57" s="191" t="str">
        <f t="shared" si="20"/>
        <v>OK</v>
      </c>
      <c r="BD57" s="191" t="str">
        <f t="shared" si="20"/>
        <v>OK</v>
      </c>
      <c r="BE57" s="191" t="str">
        <f t="shared" si="20"/>
        <v>OK</v>
      </c>
      <c r="BF57" s="191" t="str">
        <f t="shared" si="20"/>
        <v>OK</v>
      </c>
      <c r="BG57" s="191" t="str">
        <f t="shared" si="20"/>
        <v>OK</v>
      </c>
      <c r="BH57" s="191" t="str">
        <f t="shared" si="20"/>
        <v>OK</v>
      </c>
      <c r="BI57" s="191" t="str">
        <f t="shared" si="20"/>
        <v>OK</v>
      </c>
      <c r="BJ57" s="191" t="str">
        <f t="shared" si="20"/>
        <v>OK</v>
      </c>
      <c r="BK57" s="191" t="str">
        <f t="shared" si="20"/>
        <v>OK</v>
      </c>
      <c r="BL57" s="191" t="str">
        <f t="shared" si="20"/>
        <v>OK</v>
      </c>
      <c r="BM57" s="191" t="str">
        <f t="shared" si="20"/>
        <v>OK</v>
      </c>
      <c r="BN57" s="30"/>
    </row>
    <row r="58">
      <c r="A58" s="30"/>
      <c r="B58" s="192"/>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162"/>
    </row>
    <row r="59">
      <c r="A59" s="30"/>
      <c r="B59" s="165" t="s">
        <v>184</v>
      </c>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c r="BN59" s="162"/>
    </row>
    <row r="60" outlineLevel="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row>
    <row r="61" outlineLevel="1">
      <c r="A61" s="167"/>
      <c r="B61" s="176" t="s">
        <v>185</v>
      </c>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row>
    <row r="62" outlineLevel="1">
      <c r="A62" s="167"/>
      <c r="B62" s="177" t="s">
        <v>186</v>
      </c>
      <c r="C62" s="167"/>
      <c r="D62" s="167"/>
      <c r="E62" s="167"/>
      <c r="F62" s="167">
        <f t="shared" ref="F62:BM62" si="21">F52-E52</f>
        <v>-230342.375</v>
      </c>
      <c r="G62" s="167">
        <f t="shared" si="21"/>
        <v>-224705.7796</v>
      </c>
      <c r="H62" s="167">
        <f t="shared" si="21"/>
        <v>-219217.2055</v>
      </c>
      <c r="I62" s="167">
        <f t="shared" si="21"/>
        <v>-213864.8515</v>
      </c>
      <c r="J62" s="167">
        <f t="shared" si="21"/>
        <v>-208635.1808</v>
      </c>
      <c r="K62" s="167">
        <f t="shared" si="21"/>
        <v>-203514.9652</v>
      </c>
      <c r="L62" s="167">
        <f t="shared" si="21"/>
        <v>-198491.2822</v>
      </c>
      <c r="M62" s="167">
        <f t="shared" si="21"/>
        <v>-193551.4825</v>
      </c>
      <c r="N62" s="167">
        <f t="shared" si="21"/>
        <v>-188683.1577</v>
      </c>
      <c r="O62" s="167">
        <f t="shared" si="21"/>
        <v>-183874.109</v>
      </c>
      <c r="P62" s="167">
        <f t="shared" si="21"/>
        <v>-179112.3156</v>
      </c>
      <c r="Q62" s="167">
        <f t="shared" si="21"/>
        <v>-174385.9047</v>
      </c>
      <c r="R62" s="167">
        <f t="shared" si="21"/>
        <v>-169683.1212</v>
      </c>
      <c r="S62" s="167">
        <f t="shared" si="21"/>
        <v>-164992.2982</v>
      </c>
      <c r="T62" s="167">
        <f t="shared" si="21"/>
        <v>-160301.8272</v>
      </c>
      <c r="U62" s="167">
        <f t="shared" si="21"/>
        <v>-155600.1296</v>
      </c>
      <c r="V62" s="167">
        <f t="shared" si="21"/>
        <v>-150875.6271</v>
      </c>
      <c r="W62" s="167">
        <f t="shared" si="21"/>
        <v>-147810.457</v>
      </c>
      <c r="X62" s="167">
        <f t="shared" si="21"/>
        <v>-144898.5455</v>
      </c>
      <c r="Y62" s="167">
        <f t="shared" si="21"/>
        <v>-142132.2295</v>
      </c>
      <c r="Z62" s="167">
        <f t="shared" si="21"/>
        <v>-139504.2294</v>
      </c>
      <c r="AA62" s="167">
        <f t="shared" si="21"/>
        <v>-137007.6292</v>
      </c>
      <c r="AB62" s="167">
        <f t="shared" si="21"/>
        <v>-134635.8591</v>
      </c>
      <c r="AC62" s="167">
        <f t="shared" si="21"/>
        <v>-132382.6774</v>
      </c>
      <c r="AD62" s="167">
        <f t="shared" si="21"/>
        <v>-130242.1549</v>
      </c>
      <c r="AE62" s="167">
        <f t="shared" si="21"/>
        <v>-128208.6585</v>
      </c>
      <c r="AF62" s="167">
        <f t="shared" si="21"/>
        <v>-126276.8368</v>
      </c>
      <c r="AG62" s="167">
        <f t="shared" si="21"/>
        <v>-124441.6063</v>
      </c>
      <c r="AH62" s="167">
        <f t="shared" si="21"/>
        <v>-122698.1373</v>
      </c>
      <c r="AI62" s="167">
        <f t="shared" si="21"/>
        <v>-121041.8418</v>
      </c>
      <c r="AJ62" s="167">
        <f t="shared" si="21"/>
        <v>-119468.361</v>
      </c>
      <c r="AK62" s="167">
        <f t="shared" si="21"/>
        <v>-117973.5543</v>
      </c>
      <c r="AL62" s="167">
        <f t="shared" si="21"/>
        <v>-116553.4879</v>
      </c>
      <c r="AM62" s="167">
        <f t="shared" si="21"/>
        <v>-115204.4248</v>
      </c>
      <c r="AN62" s="167">
        <f t="shared" si="21"/>
        <v>-113922.8149</v>
      </c>
      <c r="AO62" s="167">
        <f t="shared" si="21"/>
        <v>-112705.2854</v>
      </c>
      <c r="AP62" s="167">
        <f t="shared" si="21"/>
        <v>-111548.6325</v>
      </c>
      <c r="AQ62" s="167">
        <f t="shared" si="21"/>
        <v>-110449.8122</v>
      </c>
      <c r="AR62" s="167">
        <f t="shared" si="21"/>
        <v>-109405.9329</v>
      </c>
      <c r="AS62" s="167">
        <f t="shared" si="21"/>
        <v>-108414.2476</v>
      </c>
      <c r="AT62" s="167">
        <f t="shared" si="21"/>
        <v>-107472.1465</v>
      </c>
      <c r="AU62" s="167">
        <f t="shared" si="21"/>
        <v>-106577.1505</v>
      </c>
      <c r="AV62" s="167">
        <f t="shared" si="21"/>
        <v>-105726.9043</v>
      </c>
      <c r="AW62" s="167">
        <f t="shared" si="21"/>
        <v>-104919.1704</v>
      </c>
      <c r="AX62" s="167">
        <f t="shared" si="21"/>
        <v>-104151.8232</v>
      </c>
      <c r="AY62" s="167">
        <f t="shared" si="21"/>
        <v>-103422.8433</v>
      </c>
      <c r="AZ62" s="167">
        <f t="shared" si="21"/>
        <v>-102730.3125</v>
      </c>
      <c r="BA62" s="167">
        <f t="shared" si="21"/>
        <v>-102072.4082</v>
      </c>
      <c r="BB62" s="167">
        <f t="shared" si="21"/>
        <v>-101447.3991</v>
      </c>
      <c r="BC62" s="167">
        <f t="shared" si="21"/>
        <v>-100853.6405</v>
      </c>
      <c r="BD62" s="167">
        <f t="shared" si="21"/>
        <v>-100289.5698</v>
      </c>
      <c r="BE62" s="167">
        <f t="shared" si="21"/>
        <v>-99753.70258</v>
      </c>
      <c r="BF62" s="167">
        <f t="shared" si="21"/>
        <v>-99244.62877</v>
      </c>
      <c r="BG62" s="167">
        <f t="shared" si="21"/>
        <v>-98761.00865</v>
      </c>
      <c r="BH62" s="167">
        <f t="shared" si="21"/>
        <v>-98301.56953</v>
      </c>
      <c r="BI62" s="167">
        <f t="shared" si="21"/>
        <v>-97865.10237</v>
      </c>
      <c r="BJ62" s="167">
        <f t="shared" si="21"/>
        <v>-97450.45857</v>
      </c>
      <c r="BK62" s="167">
        <f t="shared" si="21"/>
        <v>-97056.54696</v>
      </c>
      <c r="BL62" s="167">
        <f t="shared" si="21"/>
        <v>-96682.33093</v>
      </c>
      <c r="BM62" s="167">
        <f t="shared" si="21"/>
        <v>-96326.8257</v>
      </c>
      <c r="BN62" s="167"/>
    </row>
    <row r="63" outlineLevel="1">
      <c r="A63" s="167"/>
      <c r="B63" s="177" t="s">
        <v>163</v>
      </c>
      <c r="C63" s="167"/>
      <c r="D63" s="167"/>
      <c r="E63" s="167"/>
      <c r="F63" s="167">
        <f t="shared" ref="F63:BM63" si="22">E42-F42</f>
        <v>0</v>
      </c>
      <c r="G63" s="167">
        <f t="shared" si="22"/>
        <v>0</v>
      </c>
      <c r="H63" s="167">
        <f t="shared" si="22"/>
        <v>0</v>
      </c>
      <c r="I63" s="167">
        <f t="shared" si="22"/>
        <v>0</v>
      </c>
      <c r="J63" s="167">
        <f t="shared" si="22"/>
        <v>0</v>
      </c>
      <c r="K63" s="167">
        <f t="shared" si="22"/>
        <v>0</v>
      </c>
      <c r="L63" s="167">
        <f t="shared" si="22"/>
        <v>0</v>
      </c>
      <c r="M63" s="167">
        <f t="shared" si="22"/>
        <v>0</v>
      </c>
      <c r="N63" s="167">
        <f t="shared" si="22"/>
        <v>0</v>
      </c>
      <c r="O63" s="167">
        <f t="shared" si="22"/>
        <v>0</v>
      </c>
      <c r="P63" s="167">
        <f t="shared" si="22"/>
        <v>0</v>
      </c>
      <c r="Q63" s="167">
        <f t="shared" si="22"/>
        <v>0</v>
      </c>
      <c r="R63" s="167">
        <f t="shared" si="22"/>
        <v>0</v>
      </c>
      <c r="S63" s="167">
        <f t="shared" si="22"/>
        <v>0</v>
      </c>
      <c r="T63" s="167">
        <f t="shared" si="22"/>
        <v>0</v>
      </c>
      <c r="U63" s="167">
        <f t="shared" si="22"/>
        <v>0</v>
      </c>
      <c r="V63" s="167">
        <f t="shared" si="22"/>
        <v>0</v>
      </c>
      <c r="W63" s="167">
        <f t="shared" si="22"/>
        <v>0</v>
      </c>
      <c r="X63" s="167">
        <f t="shared" si="22"/>
        <v>0</v>
      </c>
      <c r="Y63" s="167">
        <f t="shared" si="22"/>
        <v>0</v>
      </c>
      <c r="Z63" s="167">
        <f t="shared" si="22"/>
        <v>0</v>
      </c>
      <c r="AA63" s="167">
        <f t="shared" si="22"/>
        <v>0</v>
      </c>
      <c r="AB63" s="167">
        <f t="shared" si="22"/>
        <v>0</v>
      </c>
      <c r="AC63" s="167">
        <f t="shared" si="22"/>
        <v>0</v>
      </c>
      <c r="AD63" s="167">
        <f t="shared" si="22"/>
        <v>0</v>
      </c>
      <c r="AE63" s="167">
        <f t="shared" si="22"/>
        <v>0</v>
      </c>
      <c r="AF63" s="167">
        <f t="shared" si="22"/>
        <v>0</v>
      </c>
      <c r="AG63" s="167">
        <f t="shared" si="22"/>
        <v>0</v>
      </c>
      <c r="AH63" s="167">
        <f t="shared" si="22"/>
        <v>0</v>
      </c>
      <c r="AI63" s="167">
        <f t="shared" si="22"/>
        <v>0</v>
      </c>
      <c r="AJ63" s="167">
        <f t="shared" si="22"/>
        <v>0</v>
      </c>
      <c r="AK63" s="167">
        <f t="shared" si="22"/>
        <v>0</v>
      </c>
      <c r="AL63" s="167">
        <f t="shared" si="22"/>
        <v>0</v>
      </c>
      <c r="AM63" s="167">
        <f t="shared" si="22"/>
        <v>0</v>
      </c>
      <c r="AN63" s="167">
        <f t="shared" si="22"/>
        <v>0</v>
      </c>
      <c r="AO63" s="167">
        <f t="shared" si="22"/>
        <v>0</v>
      </c>
      <c r="AP63" s="167">
        <f t="shared" si="22"/>
        <v>0</v>
      </c>
      <c r="AQ63" s="167">
        <f t="shared" si="22"/>
        <v>0</v>
      </c>
      <c r="AR63" s="167">
        <f t="shared" si="22"/>
        <v>0</v>
      </c>
      <c r="AS63" s="167">
        <f t="shared" si="22"/>
        <v>0</v>
      </c>
      <c r="AT63" s="167">
        <f t="shared" si="22"/>
        <v>0</v>
      </c>
      <c r="AU63" s="167">
        <f t="shared" si="22"/>
        <v>0</v>
      </c>
      <c r="AV63" s="167">
        <f t="shared" si="22"/>
        <v>0</v>
      </c>
      <c r="AW63" s="167">
        <f t="shared" si="22"/>
        <v>0</v>
      </c>
      <c r="AX63" s="167">
        <f t="shared" si="22"/>
        <v>0</v>
      </c>
      <c r="AY63" s="167">
        <f t="shared" si="22"/>
        <v>0</v>
      </c>
      <c r="AZ63" s="167">
        <f t="shared" si="22"/>
        <v>0</v>
      </c>
      <c r="BA63" s="167">
        <f t="shared" si="22"/>
        <v>0</v>
      </c>
      <c r="BB63" s="167">
        <f t="shared" si="22"/>
        <v>0</v>
      </c>
      <c r="BC63" s="167">
        <f t="shared" si="22"/>
        <v>0</v>
      </c>
      <c r="BD63" s="167">
        <f t="shared" si="22"/>
        <v>0</v>
      </c>
      <c r="BE63" s="167">
        <f t="shared" si="22"/>
        <v>0</v>
      </c>
      <c r="BF63" s="167">
        <f t="shared" si="22"/>
        <v>0</v>
      </c>
      <c r="BG63" s="167">
        <f t="shared" si="22"/>
        <v>0</v>
      </c>
      <c r="BH63" s="167">
        <f t="shared" si="22"/>
        <v>0</v>
      </c>
      <c r="BI63" s="167">
        <f t="shared" si="22"/>
        <v>0</v>
      </c>
      <c r="BJ63" s="167">
        <f t="shared" si="22"/>
        <v>0</v>
      </c>
      <c r="BK63" s="167">
        <f t="shared" si="22"/>
        <v>0</v>
      </c>
      <c r="BL63" s="167">
        <f t="shared" si="22"/>
        <v>0</v>
      </c>
      <c r="BM63" s="167">
        <f t="shared" si="22"/>
        <v>0</v>
      </c>
      <c r="BN63" s="167"/>
    </row>
    <row r="64" outlineLevel="1">
      <c r="A64" s="167"/>
      <c r="B64" s="177" t="s">
        <v>187</v>
      </c>
      <c r="C64" s="167"/>
      <c r="D64" s="167"/>
      <c r="E64" s="167"/>
      <c r="F64" s="167">
        <f t="shared" ref="F64:BM64" si="23">E38-F38</f>
        <v>-6018.75</v>
      </c>
      <c r="G64" s="167">
        <f t="shared" si="23"/>
        <v>-5996.378125</v>
      </c>
      <c r="H64" s="167">
        <f t="shared" si="23"/>
        <v>-5838.908573</v>
      </c>
      <c r="I64" s="167">
        <f t="shared" si="23"/>
        <v>-5693.993668</v>
      </c>
      <c r="J64" s="167">
        <f t="shared" si="23"/>
        <v>-5563.479399</v>
      </c>
      <c r="K64" s="167">
        <f t="shared" si="23"/>
        <v>-5447.037848</v>
      </c>
      <c r="L64" s="167">
        <f t="shared" si="23"/>
        <v>-5344.343646</v>
      </c>
      <c r="M64" s="167">
        <f t="shared" si="23"/>
        <v>-5255.106103</v>
      </c>
      <c r="N64" s="167">
        <f t="shared" si="23"/>
        <v>-5179.068884</v>
      </c>
      <c r="O64" s="167">
        <f t="shared" si="23"/>
        <v>-5116.009297</v>
      </c>
      <c r="P64" s="167">
        <f t="shared" si="23"/>
        <v>-5065.737649</v>
      </c>
      <c r="Q64" s="167">
        <f t="shared" si="23"/>
        <v>-5028.096691</v>
      </c>
      <c r="R64" s="167">
        <f t="shared" si="23"/>
        <v>-5002.961142</v>
      </c>
      <c r="S64" s="167">
        <f t="shared" si="23"/>
        <v>-4990.237297</v>
      </c>
      <c r="T64" s="167">
        <f t="shared" si="23"/>
        <v>-4989.862714</v>
      </c>
      <c r="U64" s="167">
        <f t="shared" si="23"/>
        <v>-5001.805977</v>
      </c>
      <c r="V64" s="167">
        <f t="shared" si="23"/>
        <v>-5026.066546</v>
      </c>
      <c r="W64" s="167">
        <f t="shared" si="23"/>
        <v>-3260.819187</v>
      </c>
      <c r="X64" s="167">
        <f t="shared" si="23"/>
        <v>-3097.778227</v>
      </c>
      <c r="Y64" s="167">
        <f t="shared" si="23"/>
        <v>-2942.889316</v>
      </c>
      <c r="Z64" s="167">
        <f t="shared" si="23"/>
        <v>-2795.74485</v>
      </c>
      <c r="AA64" s="167">
        <f t="shared" si="23"/>
        <v>-2655.957608</v>
      </c>
      <c r="AB64" s="167">
        <f t="shared" si="23"/>
        <v>-2523.159727</v>
      </c>
      <c r="AC64" s="167">
        <f t="shared" si="23"/>
        <v>-2397.001741</v>
      </c>
      <c r="AD64" s="167">
        <f t="shared" si="23"/>
        <v>-2277.151654</v>
      </c>
      <c r="AE64" s="167">
        <f t="shared" si="23"/>
        <v>-2163.294071</v>
      </c>
      <c r="AF64" s="167">
        <f t="shared" si="23"/>
        <v>-2055.129368</v>
      </c>
      <c r="AG64" s="167">
        <f t="shared" si="23"/>
        <v>-1952.372899</v>
      </c>
      <c r="AH64" s="167">
        <f t="shared" si="23"/>
        <v>-1854.754254</v>
      </c>
      <c r="AI64" s="167">
        <f t="shared" si="23"/>
        <v>-1762.016542</v>
      </c>
      <c r="AJ64" s="167">
        <f t="shared" si="23"/>
        <v>-1673.915715</v>
      </c>
      <c r="AK64" s="167">
        <f t="shared" si="23"/>
        <v>-1590.219929</v>
      </c>
      <c r="AL64" s="167">
        <f t="shared" si="23"/>
        <v>-1510.708932</v>
      </c>
      <c r="AM64" s="167">
        <f t="shared" si="23"/>
        <v>-1435.173486</v>
      </c>
      <c r="AN64" s="167">
        <f t="shared" si="23"/>
        <v>-1363.414811</v>
      </c>
      <c r="AO64" s="167">
        <f t="shared" si="23"/>
        <v>-1295.244071</v>
      </c>
      <c r="AP64" s="167">
        <f t="shared" si="23"/>
        <v>-1230.481867</v>
      </c>
      <c r="AQ64" s="167">
        <f t="shared" si="23"/>
        <v>-1168.957774</v>
      </c>
      <c r="AR64" s="167">
        <f t="shared" si="23"/>
        <v>-1110.509885</v>
      </c>
      <c r="AS64" s="167">
        <f t="shared" si="23"/>
        <v>-1054.984391</v>
      </c>
      <c r="AT64" s="167">
        <f t="shared" si="23"/>
        <v>-1002.235171</v>
      </c>
      <c r="AU64" s="167">
        <f t="shared" si="23"/>
        <v>-952.1234129</v>
      </c>
      <c r="AV64" s="167">
        <f t="shared" si="23"/>
        <v>-904.5172423</v>
      </c>
      <c r="AW64" s="167">
        <f t="shared" si="23"/>
        <v>-859.2913801</v>
      </c>
      <c r="AX64" s="167">
        <f t="shared" si="23"/>
        <v>-816.3268111</v>
      </c>
      <c r="AY64" s="167">
        <f t="shared" si="23"/>
        <v>-775.5104706</v>
      </c>
      <c r="AZ64" s="167">
        <f t="shared" si="23"/>
        <v>-736.7349471</v>
      </c>
      <c r="BA64" s="167">
        <f t="shared" si="23"/>
        <v>-699.8981997</v>
      </c>
      <c r="BB64" s="167">
        <f t="shared" si="23"/>
        <v>-664.9032897</v>
      </c>
      <c r="BC64" s="167">
        <f t="shared" si="23"/>
        <v>-631.6581252</v>
      </c>
      <c r="BD64" s="167">
        <f t="shared" si="23"/>
        <v>-600.075219</v>
      </c>
      <c r="BE64" s="167">
        <f t="shared" si="23"/>
        <v>-570.071458</v>
      </c>
      <c r="BF64" s="167">
        <f t="shared" si="23"/>
        <v>-541.5678851</v>
      </c>
      <c r="BG64" s="167">
        <f t="shared" si="23"/>
        <v>-514.4894909</v>
      </c>
      <c r="BH64" s="167">
        <f t="shared" si="23"/>
        <v>-488.7650163</v>
      </c>
      <c r="BI64" s="167">
        <f t="shared" si="23"/>
        <v>-464.3267655</v>
      </c>
      <c r="BJ64" s="167">
        <f t="shared" si="23"/>
        <v>-441.1104272</v>
      </c>
      <c r="BK64" s="167">
        <f t="shared" si="23"/>
        <v>-419.0549059</v>
      </c>
      <c r="BL64" s="167">
        <f t="shared" si="23"/>
        <v>-398.1021606</v>
      </c>
      <c r="BM64" s="167">
        <f t="shared" si="23"/>
        <v>-378.1970525</v>
      </c>
      <c r="BN64" s="167"/>
    </row>
    <row r="65" outlineLevel="1">
      <c r="A65" s="167"/>
      <c r="B65" s="177" t="s">
        <v>188</v>
      </c>
      <c r="C65" s="167"/>
      <c r="D65" s="167"/>
      <c r="E65" s="167"/>
      <c r="F65" s="167">
        <f t="shared" ref="F65:BM65" si="24">F47-E47</f>
        <v>20189.9375</v>
      </c>
      <c r="G65" s="167">
        <f t="shared" si="24"/>
        <v>3178.080406</v>
      </c>
      <c r="H65" s="167">
        <f t="shared" si="24"/>
        <v>3094.621544</v>
      </c>
      <c r="I65" s="167">
        <f t="shared" si="24"/>
        <v>3017.816644</v>
      </c>
      <c r="J65" s="167">
        <f t="shared" si="24"/>
        <v>2948.644082</v>
      </c>
      <c r="K65" s="167">
        <f t="shared" si="24"/>
        <v>2886.930059</v>
      </c>
      <c r="L65" s="167">
        <f t="shared" si="24"/>
        <v>2832.502133</v>
      </c>
      <c r="M65" s="167">
        <f t="shared" si="24"/>
        <v>2785.206234</v>
      </c>
      <c r="N65" s="167">
        <f t="shared" si="24"/>
        <v>2744.906508</v>
      </c>
      <c r="O65" s="167">
        <f t="shared" si="24"/>
        <v>2711.484927</v>
      </c>
      <c r="P65" s="167">
        <f t="shared" si="24"/>
        <v>2684.840954</v>
      </c>
      <c r="Q65" s="167">
        <f t="shared" si="24"/>
        <v>2664.891246</v>
      </c>
      <c r="R65" s="167">
        <f t="shared" si="24"/>
        <v>2651.569405</v>
      </c>
      <c r="S65" s="167">
        <f t="shared" si="24"/>
        <v>2644.825768</v>
      </c>
      <c r="T65" s="167">
        <f t="shared" si="24"/>
        <v>2644.627238</v>
      </c>
      <c r="U65" s="167">
        <f t="shared" si="24"/>
        <v>2650.957168</v>
      </c>
      <c r="V65" s="167">
        <f t="shared" si="24"/>
        <v>2663.815269</v>
      </c>
      <c r="W65" s="167">
        <f t="shared" si="24"/>
        <v>1728.234169</v>
      </c>
      <c r="X65" s="167">
        <f t="shared" si="24"/>
        <v>1641.822461</v>
      </c>
      <c r="Y65" s="167">
        <f t="shared" si="24"/>
        <v>1559.731338</v>
      </c>
      <c r="Z65" s="167">
        <f t="shared" si="24"/>
        <v>1481.744771</v>
      </c>
      <c r="AA65" s="167">
        <f t="shared" si="24"/>
        <v>1407.657532</v>
      </c>
      <c r="AB65" s="167">
        <f t="shared" si="24"/>
        <v>1337.274656</v>
      </c>
      <c r="AC65" s="167">
        <f t="shared" si="24"/>
        <v>1270.410923</v>
      </c>
      <c r="AD65" s="167">
        <f t="shared" si="24"/>
        <v>1206.890377</v>
      </c>
      <c r="AE65" s="167">
        <f t="shared" si="24"/>
        <v>1146.545858</v>
      </c>
      <c r="AF65" s="167">
        <f t="shared" si="24"/>
        <v>1089.218565</v>
      </c>
      <c r="AG65" s="167">
        <f t="shared" si="24"/>
        <v>1034.757637</v>
      </c>
      <c r="AH65" s="167">
        <f t="shared" si="24"/>
        <v>983.0197548</v>
      </c>
      <c r="AI65" s="167">
        <f t="shared" si="24"/>
        <v>933.8687671</v>
      </c>
      <c r="AJ65" s="167">
        <f t="shared" si="24"/>
        <v>887.1753287</v>
      </c>
      <c r="AK65" s="167">
        <f t="shared" si="24"/>
        <v>842.8165623</v>
      </c>
      <c r="AL65" s="167">
        <f t="shared" si="24"/>
        <v>800.6757342</v>
      </c>
      <c r="AM65" s="167">
        <f t="shared" si="24"/>
        <v>760.6419475</v>
      </c>
      <c r="AN65" s="167">
        <f t="shared" si="24"/>
        <v>722.6098501</v>
      </c>
      <c r="AO65" s="167">
        <f t="shared" si="24"/>
        <v>686.4793576</v>
      </c>
      <c r="AP65" s="167">
        <f t="shared" si="24"/>
        <v>652.1553897</v>
      </c>
      <c r="AQ65" s="167">
        <f t="shared" si="24"/>
        <v>619.5476202</v>
      </c>
      <c r="AR65" s="167">
        <f t="shared" si="24"/>
        <v>588.5702392</v>
      </c>
      <c r="AS65" s="167">
        <f t="shared" si="24"/>
        <v>559.1417272</v>
      </c>
      <c r="AT65" s="167">
        <f t="shared" si="24"/>
        <v>531.1846409</v>
      </c>
      <c r="AU65" s="167">
        <f t="shared" si="24"/>
        <v>504.6254088</v>
      </c>
      <c r="AV65" s="167">
        <f t="shared" si="24"/>
        <v>479.3941384</v>
      </c>
      <c r="AW65" s="167">
        <f t="shared" si="24"/>
        <v>455.4244315</v>
      </c>
      <c r="AX65" s="167">
        <f t="shared" si="24"/>
        <v>432.6532099</v>
      </c>
      <c r="AY65" s="167">
        <f t="shared" si="24"/>
        <v>411.0205494</v>
      </c>
      <c r="AZ65" s="167">
        <f t="shared" si="24"/>
        <v>390.4695219</v>
      </c>
      <c r="BA65" s="167">
        <f t="shared" si="24"/>
        <v>370.9460458</v>
      </c>
      <c r="BB65" s="167">
        <f t="shared" si="24"/>
        <v>352.3987435</v>
      </c>
      <c r="BC65" s="167">
        <f t="shared" si="24"/>
        <v>334.7788064</v>
      </c>
      <c r="BD65" s="167">
        <f t="shared" si="24"/>
        <v>318.0398661</v>
      </c>
      <c r="BE65" s="167">
        <f t="shared" si="24"/>
        <v>302.1378728</v>
      </c>
      <c r="BF65" s="167">
        <f t="shared" si="24"/>
        <v>287.0309791</v>
      </c>
      <c r="BG65" s="167">
        <f t="shared" si="24"/>
        <v>272.6794302</v>
      </c>
      <c r="BH65" s="167">
        <f t="shared" si="24"/>
        <v>259.0454586</v>
      </c>
      <c r="BI65" s="167">
        <f t="shared" si="24"/>
        <v>246.0931857</v>
      </c>
      <c r="BJ65" s="167">
        <f t="shared" si="24"/>
        <v>233.7885264</v>
      </c>
      <c r="BK65" s="167">
        <f t="shared" si="24"/>
        <v>222.0991001</v>
      </c>
      <c r="BL65" s="167">
        <f t="shared" si="24"/>
        <v>210.9941451</v>
      </c>
      <c r="BM65" s="167">
        <f t="shared" si="24"/>
        <v>200.4444378</v>
      </c>
      <c r="BN65" s="167"/>
    </row>
    <row r="66" outlineLevel="1">
      <c r="A66" s="167"/>
      <c r="B66" s="170" t="s">
        <v>189</v>
      </c>
      <c r="C66" s="171"/>
      <c r="D66" s="171"/>
      <c r="E66" s="171"/>
      <c r="F66" s="172">
        <f t="shared" ref="F66:BM66" si="25">SUM(F62:F65)</f>
        <v>-216171.1875</v>
      </c>
      <c r="G66" s="172">
        <f t="shared" si="25"/>
        <v>-227524.0773</v>
      </c>
      <c r="H66" s="172">
        <f t="shared" si="25"/>
        <v>-221961.4925</v>
      </c>
      <c r="I66" s="172">
        <f t="shared" si="25"/>
        <v>-216541.0285</v>
      </c>
      <c r="J66" s="172">
        <f t="shared" si="25"/>
        <v>-211250.0161</v>
      </c>
      <c r="K66" s="172">
        <f t="shared" si="25"/>
        <v>-206075.073</v>
      </c>
      <c r="L66" s="172">
        <f t="shared" si="25"/>
        <v>-201003.1237</v>
      </c>
      <c r="M66" s="172">
        <f t="shared" si="25"/>
        <v>-196021.3823</v>
      </c>
      <c r="N66" s="172">
        <f t="shared" si="25"/>
        <v>-191117.3201</v>
      </c>
      <c r="O66" s="172">
        <f t="shared" si="25"/>
        <v>-186278.6334</v>
      </c>
      <c r="P66" s="172">
        <f t="shared" si="25"/>
        <v>-181493.2123</v>
      </c>
      <c r="Q66" s="172">
        <f t="shared" si="25"/>
        <v>-176749.1102</v>
      </c>
      <c r="R66" s="172">
        <f t="shared" si="25"/>
        <v>-172034.513</v>
      </c>
      <c r="S66" s="172">
        <f t="shared" si="25"/>
        <v>-167337.7097</v>
      </c>
      <c r="T66" s="172">
        <f t="shared" si="25"/>
        <v>-162647.0627</v>
      </c>
      <c r="U66" s="172">
        <f t="shared" si="25"/>
        <v>-157950.9784</v>
      </c>
      <c r="V66" s="172">
        <f t="shared" si="25"/>
        <v>-153237.8783</v>
      </c>
      <c r="W66" s="172">
        <f t="shared" si="25"/>
        <v>-149343.042</v>
      </c>
      <c r="X66" s="172">
        <f t="shared" si="25"/>
        <v>-146354.5013</v>
      </c>
      <c r="Y66" s="172">
        <f t="shared" si="25"/>
        <v>-143515.3875</v>
      </c>
      <c r="Z66" s="172">
        <f t="shared" si="25"/>
        <v>-140818.2294</v>
      </c>
      <c r="AA66" s="172">
        <f t="shared" si="25"/>
        <v>-138255.9293</v>
      </c>
      <c r="AB66" s="172">
        <f t="shared" si="25"/>
        <v>-135821.7441</v>
      </c>
      <c r="AC66" s="172">
        <f t="shared" si="25"/>
        <v>-133509.2683</v>
      </c>
      <c r="AD66" s="172">
        <f t="shared" si="25"/>
        <v>-131312.4162</v>
      </c>
      <c r="AE66" s="172">
        <f t="shared" si="25"/>
        <v>-129225.4067</v>
      </c>
      <c r="AF66" s="172">
        <f t="shared" si="25"/>
        <v>-127242.7477</v>
      </c>
      <c r="AG66" s="172">
        <f t="shared" si="25"/>
        <v>-125359.2216</v>
      </c>
      <c r="AH66" s="172">
        <f t="shared" si="25"/>
        <v>-123569.8718</v>
      </c>
      <c r="AI66" s="172">
        <f t="shared" si="25"/>
        <v>-121869.9896</v>
      </c>
      <c r="AJ66" s="172">
        <f t="shared" si="25"/>
        <v>-120255.1014</v>
      </c>
      <c r="AK66" s="172">
        <f t="shared" si="25"/>
        <v>-118720.9576</v>
      </c>
      <c r="AL66" s="172">
        <f t="shared" si="25"/>
        <v>-117263.5211</v>
      </c>
      <c r="AM66" s="172">
        <f t="shared" si="25"/>
        <v>-115878.9563</v>
      </c>
      <c r="AN66" s="172">
        <f t="shared" si="25"/>
        <v>-114563.6198</v>
      </c>
      <c r="AO66" s="172">
        <f t="shared" si="25"/>
        <v>-113314.0502</v>
      </c>
      <c r="AP66" s="172">
        <f t="shared" si="25"/>
        <v>-112126.959</v>
      </c>
      <c r="AQ66" s="172">
        <f t="shared" si="25"/>
        <v>-110999.2223</v>
      </c>
      <c r="AR66" s="172">
        <f t="shared" si="25"/>
        <v>-109927.8725</v>
      </c>
      <c r="AS66" s="172">
        <f t="shared" si="25"/>
        <v>-108910.0902</v>
      </c>
      <c r="AT66" s="172">
        <f t="shared" si="25"/>
        <v>-107943.197</v>
      </c>
      <c r="AU66" s="172">
        <f t="shared" si="25"/>
        <v>-107024.6485</v>
      </c>
      <c r="AV66" s="172">
        <f t="shared" si="25"/>
        <v>-106152.0274</v>
      </c>
      <c r="AW66" s="172">
        <f t="shared" si="25"/>
        <v>-105323.0373</v>
      </c>
      <c r="AX66" s="172">
        <f t="shared" si="25"/>
        <v>-104535.4968</v>
      </c>
      <c r="AY66" s="172">
        <f t="shared" si="25"/>
        <v>-103787.3333</v>
      </c>
      <c r="AZ66" s="172">
        <f t="shared" si="25"/>
        <v>-103076.5779</v>
      </c>
      <c r="BA66" s="172">
        <f t="shared" si="25"/>
        <v>-102401.3603</v>
      </c>
      <c r="BB66" s="172">
        <f t="shared" si="25"/>
        <v>-101759.9036</v>
      </c>
      <c r="BC66" s="172">
        <f t="shared" si="25"/>
        <v>-101150.5198</v>
      </c>
      <c r="BD66" s="172">
        <f t="shared" si="25"/>
        <v>-100571.6051</v>
      </c>
      <c r="BE66" s="172">
        <f t="shared" si="25"/>
        <v>-100021.6362</v>
      </c>
      <c r="BF66" s="172">
        <f t="shared" si="25"/>
        <v>-99499.16568</v>
      </c>
      <c r="BG66" s="172">
        <f t="shared" si="25"/>
        <v>-99002.81871</v>
      </c>
      <c r="BH66" s="172">
        <f t="shared" si="25"/>
        <v>-98531.28909</v>
      </c>
      <c r="BI66" s="172">
        <f t="shared" si="25"/>
        <v>-98083.33595</v>
      </c>
      <c r="BJ66" s="172">
        <f t="shared" si="25"/>
        <v>-97657.78047</v>
      </c>
      <c r="BK66" s="172">
        <f t="shared" si="25"/>
        <v>-97253.50277</v>
      </c>
      <c r="BL66" s="172">
        <f t="shared" si="25"/>
        <v>-96869.43895</v>
      </c>
      <c r="BM66" s="172">
        <f t="shared" si="25"/>
        <v>-96504.57832</v>
      </c>
      <c r="BN66" s="167"/>
    </row>
    <row r="67" outlineLevel="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row>
    <row r="68" outlineLevel="1">
      <c r="A68" s="167"/>
      <c r="B68" s="176" t="s">
        <v>190</v>
      </c>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row>
    <row r="69" outlineLevel="1">
      <c r="A69" s="167"/>
      <c r="B69" s="177" t="s">
        <v>191</v>
      </c>
      <c r="C69" s="167"/>
      <c r="D69" s="167"/>
      <c r="E69" s="167"/>
      <c r="F69" s="167">
        <f t="shared" ref="F69:BM69" si="26">E41-F41</f>
        <v>0</v>
      </c>
      <c r="G69" s="167">
        <f t="shared" si="26"/>
        <v>0</v>
      </c>
      <c r="H69" s="167">
        <f t="shared" si="26"/>
        <v>0</v>
      </c>
      <c r="I69" s="167">
        <f t="shared" si="26"/>
        <v>0</v>
      </c>
      <c r="J69" s="167">
        <f t="shared" si="26"/>
        <v>0</v>
      </c>
      <c r="K69" s="167">
        <f t="shared" si="26"/>
        <v>0</v>
      </c>
      <c r="L69" s="167">
        <f t="shared" si="26"/>
        <v>0</v>
      </c>
      <c r="M69" s="167">
        <f t="shared" si="26"/>
        <v>0</v>
      </c>
      <c r="N69" s="167">
        <f t="shared" si="26"/>
        <v>0</v>
      </c>
      <c r="O69" s="167">
        <f t="shared" si="26"/>
        <v>0</v>
      </c>
      <c r="P69" s="167">
        <f t="shared" si="26"/>
        <v>0</v>
      </c>
      <c r="Q69" s="167">
        <f t="shared" si="26"/>
        <v>0</v>
      </c>
      <c r="R69" s="167">
        <f t="shared" si="26"/>
        <v>0</v>
      </c>
      <c r="S69" s="167">
        <f t="shared" si="26"/>
        <v>0</v>
      </c>
      <c r="T69" s="167">
        <f t="shared" si="26"/>
        <v>0</v>
      </c>
      <c r="U69" s="167">
        <f t="shared" si="26"/>
        <v>0</v>
      </c>
      <c r="V69" s="167">
        <f t="shared" si="26"/>
        <v>0</v>
      </c>
      <c r="W69" s="167">
        <f t="shared" si="26"/>
        <v>0</v>
      </c>
      <c r="X69" s="167">
        <f t="shared" si="26"/>
        <v>0</v>
      </c>
      <c r="Y69" s="167">
        <f t="shared" si="26"/>
        <v>0</v>
      </c>
      <c r="Z69" s="167">
        <f t="shared" si="26"/>
        <v>0</v>
      </c>
      <c r="AA69" s="167">
        <f t="shared" si="26"/>
        <v>0</v>
      </c>
      <c r="AB69" s="167">
        <f t="shared" si="26"/>
        <v>0</v>
      </c>
      <c r="AC69" s="167">
        <f t="shared" si="26"/>
        <v>0</v>
      </c>
      <c r="AD69" s="167">
        <f t="shared" si="26"/>
        <v>0</v>
      </c>
      <c r="AE69" s="167">
        <f t="shared" si="26"/>
        <v>0</v>
      </c>
      <c r="AF69" s="167">
        <f t="shared" si="26"/>
        <v>0</v>
      </c>
      <c r="AG69" s="167">
        <f t="shared" si="26"/>
        <v>0</v>
      </c>
      <c r="AH69" s="167">
        <f t="shared" si="26"/>
        <v>0</v>
      </c>
      <c r="AI69" s="167">
        <f t="shared" si="26"/>
        <v>0</v>
      </c>
      <c r="AJ69" s="167">
        <f t="shared" si="26"/>
        <v>0</v>
      </c>
      <c r="AK69" s="167">
        <f t="shared" si="26"/>
        <v>0</v>
      </c>
      <c r="AL69" s="167">
        <f t="shared" si="26"/>
        <v>0</v>
      </c>
      <c r="AM69" s="167">
        <f t="shared" si="26"/>
        <v>0</v>
      </c>
      <c r="AN69" s="167">
        <f t="shared" si="26"/>
        <v>0</v>
      </c>
      <c r="AO69" s="167">
        <f t="shared" si="26"/>
        <v>0</v>
      </c>
      <c r="AP69" s="167">
        <f t="shared" si="26"/>
        <v>0</v>
      </c>
      <c r="AQ69" s="167">
        <f t="shared" si="26"/>
        <v>0</v>
      </c>
      <c r="AR69" s="167">
        <f t="shared" si="26"/>
        <v>0</v>
      </c>
      <c r="AS69" s="167">
        <f t="shared" si="26"/>
        <v>0</v>
      </c>
      <c r="AT69" s="167">
        <f t="shared" si="26"/>
        <v>0</v>
      </c>
      <c r="AU69" s="167">
        <f t="shared" si="26"/>
        <v>0</v>
      </c>
      <c r="AV69" s="167">
        <f t="shared" si="26"/>
        <v>0</v>
      </c>
      <c r="AW69" s="167">
        <f t="shared" si="26"/>
        <v>0</v>
      </c>
      <c r="AX69" s="167">
        <f t="shared" si="26"/>
        <v>0</v>
      </c>
      <c r="AY69" s="167">
        <f t="shared" si="26"/>
        <v>0</v>
      </c>
      <c r="AZ69" s="167">
        <f t="shared" si="26"/>
        <v>0</v>
      </c>
      <c r="BA69" s="167">
        <f t="shared" si="26"/>
        <v>0</v>
      </c>
      <c r="BB69" s="167">
        <f t="shared" si="26"/>
        <v>0</v>
      </c>
      <c r="BC69" s="167">
        <f t="shared" si="26"/>
        <v>0</v>
      </c>
      <c r="BD69" s="167">
        <f t="shared" si="26"/>
        <v>0</v>
      </c>
      <c r="BE69" s="167">
        <f t="shared" si="26"/>
        <v>0</v>
      </c>
      <c r="BF69" s="167">
        <f t="shared" si="26"/>
        <v>0</v>
      </c>
      <c r="BG69" s="167">
        <f t="shared" si="26"/>
        <v>0</v>
      </c>
      <c r="BH69" s="167">
        <f t="shared" si="26"/>
        <v>0</v>
      </c>
      <c r="BI69" s="167">
        <f t="shared" si="26"/>
        <v>0</v>
      </c>
      <c r="BJ69" s="167">
        <f t="shared" si="26"/>
        <v>0</v>
      </c>
      <c r="BK69" s="167">
        <f t="shared" si="26"/>
        <v>0</v>
      </c>
      <c r="BL69" s="167">
        <f t="shared" si="26"/>
        <v>0</v>
      </c>
      <c r="BM69" s="167">
        <f t="shared" si="26"/>
        <v>0</v>
      </c>
      <c r="BN69" s="167"/>
    </row>
    <row r="70" outlineLevel="1">
      <c r="A70" s="167"/>
      <c r="B70" s="170" t="s">
        <v>192</v>
      </c>
      <c r="C70" s="171"/>
      <c r="D70" s="171"/>
      <c r="E70" s="171"/>
      <c r="F70" s="172">
        <f t="shared" ref="F70:BM70" si="27">F69</f>
        <v>0</v>
      </c>
      <c r="G70" s="172">
        <f t="shared" si="27"/>
        <v>0</v>
      </c>
      <c r="H70" s="172">
        <f t="shared" si="27"/>
        <v>0</v>
      </c>
      <c r="I70" s="172">
        <f t="shared" si="27"/>
        <v>0</v>
      </c>
      <c r="J70" s="172">
        <f t="shared" si="27"/>
        <v>0</v>
      </c>
      <c r="K70" s="172">
        <f t="shared" si="27"/>
        <v>0</v>
      </c>
      <c r="L70" s="172">
        <f t="shared" si="27"/>
        <v>0</v>
      </c>
      <c r="M70" s="172">
        <f t="shared" si="27"/>
        <v>0</v>
      </c>
      <c r="N70" s="172">
        <f t="shared" si="27"/>
        <v>0</v>
      </c>
      <c r="O70" s="172">
        <f t="shared" si="27"/>
        <v>0</v>
      </c>
      <c r="P70" s="172">
        <f t="shared" si="27"/>
        <v>0</v>
      </c>
      <c r="Q70" s="172">
        <f t="shared" si="27"/>
        <v>0</v>
      </c>
      <c r="R70" s="172">
        <f t="shared" si="27"/>
        <v>0</v>
      </c>
      <c r="S70" s="172">
        <f t="shared" si="27"/>
        <v>0</v>
      </c>
      <c r="T70" s="172">
        <f t="shared" si="27"/>
        <v>0</v>
      </c>
      <c r="U70" s="172">
        <f t="shared" si="27"/>
        <v>0</v>
      </c>
      <c r="V70" s="172">
        <f t="shared" si="27"/>
        <v>0</v>
      </c>
      <c r="W70" s="172">
        <f t="shared" si="27"/>
        <v>0</v>
      </c>
      <c r="X70" s="172">
        <f t="shared" si="27"/>
        <v>0</v>
      </c>
      <c r="Y70" s="172">
        <f t="shared" si="27"/>
        <v>0</v>
      </c>
      <c r="Z70" s="172">
        <f t="shared" si="27"/>
        <v>0</v>
      </c>
      <c r="AA70" s="172">
        <f t="shared" si="27"/>
        <v>0</v>
      </c>
      <c r="AB70" s="172">
        <f t="shared" si="27"/>
        <v>0</v>
      </c>
      <c r="AC70" s="172">
        <f t="shared" si="27"/>
        <v>0</v>
      </c>
      <c r="AD70" s="172">
        <f t="shared" si="27"/>
        <v>0</v>
      </c>
      <c r="AE70" s="172">
        <f t="shared" si="27"/>
        <v>0</v>
      </c>
      <c r="AF70" s="172">
        <f t="shared" si="27"/>
        <v>0</v>
      </c>
      <c r="AG70" s="172">
        <f t="shared" si="27"/>
        <v>0</v>
      </c>
      <c r="AH70" s="172">
        <f t="shared" si="27"/>
        <v>0</v>
      </c>
      <c r="AI70" s="172">
        <f t="shared" si="27"/>
        <v>0</v>
      </c>
      <c r="AJ70" s="172">
        <f t="shared" si="27"/>
        <v>0</v>
      </c>
      <c r="AK70" s="172">
        <f t="shared" si="27"/>
        <v>0</v>
      </c>
      <c r="AL70" s="172">
        <f t="shared" si="27"/>
        <v>0</v>
      </c>
      <c r="AM70" s="172">
        <f t="shared" si="27"/>
        <v>0</v>
      </c>
      <c r="AN70" s="172">
        <f t="shared" si="27"/>
        <v>0</v>
      </c>
      <c r="AO70" s="172">
        <f t="shared" si="27"/>
        <v>0</v>
      </c>
      <c r="AP70" s="172">
        <f t="shared" si="27"/>
        <v>0</v>
      </c>
      <c r="AQ70" s="172">
        <f t="shared" si="27"/>
        <v>0</v>
      </c>
      <c r="AR70" s="172">
        <f t="shared" si="27"/>
        <v>0</v>
      </c>
      <c r="AS70" s="172">
        <f t="shared" si="27"/>
        <v>0</v>
      </c>
      <c r="AT70" s="172">
        <f t="shared" si="27"/>
        <v>0</v>
      </c>
      <c r="AU70" s="172">
        <f t="shared" si="27"/>
        <v>0</v>
      </c>
      <c r="AV70" s="172">
        <f t="shared" si="27"/>
        <v>0</v>
      </c>
      <c r="AW70" s="172">
        <f t="shared" si="27"/>
        <v>0</v>
      </c>
      <c r="AX70" s="172">
        <f t="shared" si="27"/>
        <v>0</v>
      </c>
      <c r="AY70" s="172">
        <f t="shared" si="27"/>
        <v>0</v>
      </c>
      <c r="AZ70" s="172">
        <f t="shared" si="27"/>
        <v>0</v>
      </c>
      <c r="BA70" s="172">
        <f t="shared" si="27"/>
        <v>0</v>
      </c>
      <c r="BB70" s="172">
        <f t="shared" si="27"/>
        <v>0</v>
      </c>
      <c r="BC70" s="172">
        <f t="shared" si="27"/>
        <v>0</v>
      </c>
      <c r="BD70" s="172">
        <f t="shared" si="27"/>
        <v>0</v>
      </c>
      <c r="BE70" s="172">
        <f t="shared" si="27"/>
        <v>0</v>
      </c>
      <c r="BF70" s="172">
        <f t="shared" si="27"/>
        <v>0</v>
      </c>
      <c r="BG70" s="172">
        <f t="shared" si="27"/>
        <v>0</v>
      </c>
      <c r="BH70" s="172">
        <f t="shared" si="27"/>
        <v>0</v>
      </c>
      <c r="BI70" s="172">
        <f t="shared" si="27"/>
        <v>0</v>
      </c>
      <c r="BJ70" s="172">
        <f t="shared" si="27"/>
        <v>0</v>
      </c>
      <c r="BK70" s="172">
        <f t="shared" si="27"/>
        <v>0</v>
      </c>
      <c r="BL70" s="172">
        <f t="shared" si="27"/>
        <v>0</v>
      </c>
      <c r="BM70" s="172">
        <f t="shared" si="27"/>
        <v>0</v>
      </c>
      <c r="BN70" s="167"/>
    </row>
    <row r="71" outlineLevel="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row>
    <row r="72" outlineLevel="1">
      <c r="A72" s="167"/>
      <c r="B72" s="176" t="s">
        <v>193</v>
      </c>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c r="BN72" s="167"/>
    </row>
    <row r="73" outlineLevel="1">
      <c r="A73" s="167"/>
      <c r="B73" s="177" t="s">
        <v>194</v>
      </c>
      <c r="C73" s="167"/>
      <c r="D73" s="167"/>
      <c r="E73" s="167"/>
      <c r="F73" s="167">
        <f t="shared" ref="F73:BM73" si="28">F51-E51</f>
        <v>0</v>
      </c>
      <c r="G73" s="167">
        <f t="shared" si="28"/>
        <v>0</v>
      </c>
      <c r="H73" s="167">
        <f t="shared" si="28"/>
        <v>0</v>
      </c>
      <c r="I73" s="167">
        <f t="shared" si="28"/>
        <v>0</v>
      </c>
      <c r="J73" s="167">
        <f t="shared" si="28"/>
        <v>0</v>
      </c>
      <c r="K73" s="167">
        <f t="shared" si="28"/>
        <v>0</v>
      </c>
      <c r="L73" s="167">
        <f t="shared" si="28"/>
        <v>0</v>
      </c>
      <c r="M73" s="167">
        <f t="shared" si="28"/>
        <v>0</v>
      </c>
      <c r="N73" s="167">
        <f t="shared" si="28"/>
        <v>0</v>
      </c>
      <c r="O73" s="167">
        <f t="shared" si="28"/>
        <v>0</v>
      </c>
      <c r="P73" s="167">
        <f t="shared" si="28"/>
        <v>0</v>
      </c>
      <c r="Q73" s="167">
        <f t="shared" si="28"/>
        <v>0</v>
      </c>
      <c r="R73" s="167">
        <f t="shared" si="28"/>
        <v>0</v>
      </c>
      <c r="S73" s="167">
        <f t="shared" si="28"/>
        <v>0</v>
      </c>
      <c r="T73" s="167">
        <f t="shared" si="28"/>
        <v>0</v>
      </c>
      <c r="U73" s="167">
        <f t="shared" si="28"/>
        <v>0</v>
      </c>
      <c r="V73" s="167">
        <f t="shared" si="28"/>
        <v>0</v>
      </c>
      <c r="W73" s="167">
        <f t="shared" si="28"/>
        <v>0</v>
      </c>
      <c r="X73" s="167">
        <f t="shared" si="28"/>
        <v>0</v>
      </c>
      <c r="Y73" s="167">
        <f t="shared" si="28"/>
        <v>0</v>
      </c>
      <c r="Z73" s="167">
        <f t="shared" si="28"/>
        <v>0</v>
      </c>
      <c r="AA73" s="167">
        <f t="shared" si="28"/>
        <v>0</v>
      </c>
      <c r="AB73" s="167">
        <f t="shared" si="28"/>
        <v>0</v>
      </c>
      <c r="AC73" s="167">
        <f t="shared" si="28"/>
        <v>0</v>
      </c>
      <c r="AD73" s="167">
        <f t="shared" si="28"/>
        <v>0</v>
      </c>
      <c r="AE73" s="167">
        <f t="shared" si="28"/>
        <v>0</v>
      </c>
      <c r="AF73" s="167">
        <f t="shared" si="28"/>
        <v>0</v>
      </c>
      <c r="AG73" s="167">
        <f t="shared" si="28"/>
        <v>0</v>
      </c>
      <c r="AH73" s="167">
        <f t="shared" si="28"/>
        <v>0</v>
      </c>
      <c r="AI73" s="167">
        <f t="shared" si="28"/>
        <v>0</v>
      </c>
      <c r="AJ73" s="167">
        <f t="shared" si="28"/>
        <v>0</v>
      </c>
      <c r="AK73" s="167">
        <f t="shared" si="28"/>
        <v>0</v>
      </c>
      <c r="AL73" s="167">
        <f t="shared" si="28"/>
        <v>0</v>
      </c>
      <c r="AM73" s="167">
        <f t="shared" si="28"/>
        <v>0</v>
      </c>
      <c r="AN73" s="167">
        <f t="shared" si="28"/>
        <v>0</v>
      </c>
      <c r="AO73" s="167">
        <f t="shared" si="28"/>
        <v>0</v>
      </c>
      <c r="AP73" s="167">
        <f t="shared" si="28"/>
        <v>0</v>
      </c>
      <c r="AQ73" s="167">
        <f t="shared" si="28"/>
        <v>0</v>
      </c>
      <c r="AR73" s="167">
        <f t="shared" si="28"/>
        <v>0</v>
      </c>
      <c r="AS73" s="167">
        <f t="shared" si="28"/>
        <v>0</v>
      </c>
      <c r="AT73" s="167">
        <f t="shared" si="28"/>
        <v>0</v>
      </c>
      <c r="AU73" s="167">
        <f t="shared" si="28"/>
        <v>0</v>
      </c>
      <c r="AV73" s="167">
        <f t="shared" si="28"/>
        <v>0</v>
      </c>
      <c r="AW73" s="167">
        <f t="shared" si="28"/>
        <v>0</v>
      </c>
      <c r="AX73" s="167">
        <f t="shared" si="28"/>
        <v>0</v>
      </c>
      <c r="AY73" s="167">
        <f t="shared" si="28"/>
        <v>0</v>
      </c>
      <c r="AZ73" s="167">
        <f t="shared" si="28"/>
        <v>0</v>
      </c>
      <c r="BA73" s="167">
        <f t="shared" si="28"/>
        <v>0</v>
      </c>
      <c r="BB73" s="167">
        <f t="shared" si="28"/>
        <v>0</v>
      </c>
      <c r="BC73" s="167">
        <f t="shared" si="28"/>
        <v>0</v>
      </c>
      <c r="BD73" s="167">
        <f t="shared" si="28"/>
        <v>0</v>
      </c>
      <c r="BE73" s="167">
        <f t="shared" si="28"/>
        <v>0</v>
      </c>
      <c r="BF73" s="167">
        <f t="shared" si="28"/>
        <v>0</v>
      </c>
      <c r="BG73" s="167">
        <f t="shared" si="28"/>
        <v>0</v>
      </c>
      <c r="BH73" s="167">
        <f t="shared" si="28"/>
        <v>0</v>
      </c>
      <c r="BI73" s="167">
        <f t="shared" si="28"/>
        <v>0</v>
      </c>
      <c r="BJ73" s="167">
        <f t="shared" si="28"/>
        <v>0</v>
      </c>
      <c r="BK73" s="167">
        <f t="shared" si="28"/>
        <v>0</v>
      </c>
      <c r="BL73" s="167">
        <f t="shared" si="28"/>
        <v>0</v>
      </c>
      <c r="BM73" s="167">
        <f t="shared" si="28"/>
        <v>0</v>
      </c>
      <c r="BN73" s="167"/>
    </row>
    <row r="74" outlineLevel="1">
      <c r="A74" s="167"/>
      <c r="B74" s="170" t="s">
        <v>195</v>
      </c>
      <c r="C74" s="171"/>
      <c r="D74" s="171"/>
      <c r="E74" s="171"/>
      <c r="F74" s="172">
        <f t="shared" ref="F74:BM74" si="29">F73</f>
        <v>0</v>
      </c>
      <c r="G74" s="172">
        <f t="shared" si="29"/>
        <v>0</v>
      </c>
      <c r="H74" s="172">
        <f t="shared" si="29"/>
        <v>0</v>
      </c>
      <c r="I74" s="172">
        <f t="shared" si="29"/>
        <v>0</v>
      </c>
      <c r="J74" s="172">
        <f t="shared" si="29"/>
        <v>0</v>
      </c>
      <c r="K74" s="172">
        <f t="shared" si="29"/>
        <v>0</v>
      </c>
      <c r="L74" s="172">
        <f t="shared" si="29"/>
        <v>0</v>
      </c>
      <c r="M74" s="172">
        <f t="shared" si="29"/>
        <v>0</v>
      </c>
      <c r="N74" s="172">
        <f t="shared" si="29"/>
        <v>0</v>
      </c>
      <c r="O74" s="172">
        <f t="shared" si="29"/>
        <v>0</v>
      </c>
      <c r="P74" s="172">
        <f t="shared" si="29"/>
        <v>0</v>
      </c>
      <c r="Q74" s="172">
        <f t="shared" si="29"/>
        <v>0</v>
      </c>
      <c r="R74" s="172">
        <f t="shared" si="29"/>
        <v>0</v>
      </c>
      <c r="S74" s="172">
        <f t="shared" si="29"/>
        <v>0</v>
      </c>
      <c r="T74" s="172">
        <f t="shared" si="29"/>
        <v>0</v>
      </c>
      <c r="U74" s="172">
        <f t="shared" si="29"/>
        <v>0</v>
      </c>
      <c r="V74" s="172">
        <f t="shared" si="29"/>
        <v>0</v>
      </c>
      <c r="W74" s="172">
        <f t="shared" si="29"/>
        <v>0</v>
      </c>
      <c r="X74" s="172">
        <f t="shared" si="29"/>
        <v>0</v>
      </c>
      <c r="Y74" s="172">
        <f t="shared" si="29"/>
        <v>0</v>
      </c>
      <c r="Z74" s="172">
        <f t="shared" si="29"/>
        <v>0</v>
      </c>
      <c r="AA74" s="172">
        <f t="shared" si="29"/>
        <v>0</v>
      </c>
      <c r="AB74" s="172">
        <f t="shared" si="29"/>
        <v>0</v>
      </c>
      <c r="AC74" s="172">
        <f t="shared" si="29"/>
        <v>0</v>
      </c>
      <c r="AD74" s="172">
        <f t="shared" si="29"/>
        <v>0</v>
      </c>
      <c r="AE74" s="172">
        <f t="shared" si="29"/>
        <v>0</v>
      </c>
      <c r="AF74" s="172">
        <f t="shared" si="29"/>
        <v>0</v>
      </c>
      <c r="AG74" s="172">
        <f t="shared" si="29"/>
        <v>0</v>
      </c>
      <c r="AH74" s="172">
        <f t="shared" si="29"/>
        <v>0</v>
      </c>
      <c r="AI74" s="172">
        <f t="shared" si="29"/>
        <v>0</v>
      </c>
      <c r="AJ74" s="172">
        <f t="shared" si="29"/>
        <v>0</v>
      </c>
      <c r="AK74" s="172">
        <f t="shared" si="29"/>
        <v>0</v>
      </c>
      <c r="AL74" s="172">
        <f t="shared" si="29"/>
        <v>0</v>
      </c>
      <c r="AM74" s="172">
        <f t="shared" si="29"/>
        <v>0</v>
      </c>
      <c r="AN74" s="172">
        <f t="shared" si="29"/>
        <v>0</v>
      </c>
      <c r="AO74" s="172">
        <f t="shared" si="29"/>
        <v>0</v>
      </c>
      <c r="AP74" s="172">
        <f t="shared" si="29"/>
        <v>0</v>
      </c>
      <c r="AQ74" s="172">
        <f t="shared" si="29"/>
        <v>0</v>
      </c>
      <c r="AR74" s="172">
        <f t="shared" si="29"/>
        <v>0</v>
      </c>
      <c r="AS74" s="172">
        <f t="shared" si="29"/>
        <v>0</v>
      </c>
      <c r="AT74" s="172">
        <f t="shared" si="29"/>
        <v>0</v>
      </c>
      <c r="AU74" s="172">
        <f t="shared" si="29"/>
        <v>0</v>
      </c>
      <c r="AV74" s="172">
        <f t="shared" si="29"/>
        <v>0</v>
      </c>
      <c r="AW74" s="172">
        <f t="shared" si="29"/>
        <v>0</v>
      </c>
      <c r="AX74" s="172">
        <f t="shared" si="29"/>
        <v>0</v>
      </c>
      <c r="AY74" s="172">
        <f t="shared" si="29"/>
        <v>0</v>
      </c>
      <c r="AZ74" s="172">
        <f t="shared" si="29"/>
        <v>0</v>
      </c>
      <c r="BA74" s="172">
        <f t="shared" si="29"/>
        <v>0</v>
      </c>
      <c r="BB74" s="172">
        <f t="shared" si="29"/>
        <v>0</v>
      </c>
      <c r="BC74" s="172">
        <f t="shared" si="29"/>
        <v>0</v>
      </c>
      <c r="BD74" s="172">
        <f t="shared" si="29"/>
        <v>0</v>
      </c>
      <c r="BE74" s="172">
        <f t="shared" si="29"/>
        <v>0</v>
      </c>
      <c r="BF74" s="172">
        <f t="shared" si="29"/>
        <v>0</v>
      </c>
      <c r="BG74" s="172">
        <f t="shared" si="29"/>
        <v>0</v>
      </c>
      <c r="BH74" s="172">
        <f t="shared" si="29"/>
        <v>0</v>
      </c>
      <c r="BI74" s="172">
        <f t="shared" si="29"/>
        <v>0</v>
      </c>
      <c r="BJ74" s="172">
        <f t="shared" si="29"/>
        <v>0</v>
      </c>
      <c r="BK74" s="172">
        <f t="shared" si="29"/>
        <v>0</v>
      </c>
      <c r="BL74" s="172">
        <f t="shared" si="29"/>
        <v>0</v>
      </c>
      <c r="BM74" s="172">
        <f t="shared" si="29"/>
        <v>0</v>
      </c>
      <c r="BN74" s="167"/>
    </row>
    <row r="75" outlineLevel="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row>
    <row r="76" outlineLevel="1">
      <c r="A76" s="167"/>
      <c r="B76" s="176" t="s">
        <v>196</v>
      </c>
      <c r="C76" s="167"/>
      <c r="D76" s="167"/>
      <c r="E76" s="167"/>
      <c r="F76" s="179">
        <f>Assumptions!C192</f>
        <v>500000</v>
      </c>
      <c r="G76" s="179">
        <f t="shared" ref="G76:BM76" si="30">F80</f>
        <v>283828.8125</v>
      </c>
      <c r="H76" s="179">
        <f t="shared" si="30"/>
        <v>56304.73522</v>
      </c>
      <c r="I76" s="179">
        <f t="shared" si="30"/>
        <v>-165656.7573</v>
      </c>
      <c r="J76" s="179">
        <f t="shared" si="30"/>
        <v>-382197.7858</v>
      </c>
      <c r="K76" s="179">
        <f t="shared" si="30"/>
        <v>-593447.8019</v>
      </c>
      <c r="L76" s="179">
        <f t="shared" si="30"/>
        <v>-799522.875</v>
      </c>
      <c r="M76" s="179">
        <f t="shared" si="30"/>
        <v>-1000525.999</v>
      </c>
      <c r="N76" s="179">
        <f t="shared" si="30"/>
        <v>-1196547.381</v>
      </c>
      <c r="O76" s="179">
        <f t="shared" si="30"/>
        <v>-1387664.701</v>
      </c>
      <c r="P76" s="179">
        <f t="shared" si="30"/>
        <v>-1573943.335</v>
      </c>
      <c r="Q76" s="179">
        <f t="shared" si="30"/>
        <v>-1755436.547</v>
      </c>
      <c r="R76" s="179">
        <f t="shared" si="30"/>
        <v>-1932185.657</v>
      </c>
      <c r="S76" s="179">
        <f t="shared" si="30"/>
        <v>-2104220.17</v>
      </c>
      <c r="T76" s="179">
        <f t="shared" si="30"/>
        <v>-2271557.88</v>
      </c>
      <c r="U76" s="179">
        <f t="shared" si="30"/>
        <v>-2434204.942</v>
      </c>
      <c r="V76" s="179">
        <f t="shared" si="30"/>
        <v>-2592155.921</v>
      </c>
      <c r="W76" s="179">
        <f t="shared" si="30"/>
        <v>-2745393.799</v>
      </c>
      <c r="X76" s="179">
        <f t="shared" si="30"/>
        <v>-2894736.841</v>
      </c>
      <c r="Y76" s="179">
        <f t="shared" si="30"/>
        <v>-3041091.342</v>
      </c>
      <c r="Z76" s="179">
        <f t="shared" si="30"/>
        <v>-3184606.73</v>
      </c>
      <c r="AA76" s="179">
        <f t="shared" si="30"/>
        <v>-3325424.959</v>
      </c>
      <c r="AB76" s="179">
        <f t="shared" si="30"/>
        <v>-3463680.889</v>
      </c>
      <c r="AC76" s="179">
        <f t="shared" si="30"/>
        <v>-3599502.633</v>
      </c>
      <c r="AD76" s="179">
        <f t="shared" si="30"/>
        <v>-3733011.901</v>
      </c>
      <c r="AE76" s="179">
        <f t="shared" si="30"/>
        <v>-3864324.317</v>
      </c>
      <c r="AF76" s="179">
        <f t="shared" si="30"/>
        <v>-3993549.724</v>
      </c>
      <c r="AG76" s="179">
        <f t="shared" si="30"/>
        <v>-4120792.472</v>
      </c>
      <c r="AH76" s="179">
        <f t="shared" si="30"/>
        <v>-4246151.693</v>
      </c>
      <c r="AI76" s="179">
        <f t="shared" si="30"/>
        <v>-4369721.565</v>
      </c>
      <c r="AJ76" s="179">
        <f t="shared" si="30"/>
        <v>-4491591.554</v>
      </c>
      <c r="AK76" s="179">
        <f t="shared" si="30"/>
        <v>-4611846.656</v>
      </c>
      <c r="AL76" s="179">
        <f t="shared" si="30"/>
        <v>-4730567.613</v>
      </c>
      <c r="AM76" s="179">
        <f t="shared" si="30"/>
        <v>-4847831.135</v>
      </c>
      <c r="AN76" s="179">
        <f t="shared" si="30"/>
        <v>-4963710.091</v>
      </c>
      <c r="AO76" s="179">
        <f t="shared" si="30"/>
        <v>-5078273.711</v>
      </c>
      <c r="AP76" s="179">
        <f t="shared" si="30"/>
        <v>-5191587.761</v>
      </c>
      <c r="AQ76" s="179">
        <f t="shared" si="30"/>
        <v>-5303714.72</v>
      </c>
      <c r="AR76" s="179">
        <f t="shared" si="30"/>
        <v>-5414713.942</v>
      </c>
      <c r="AS76" s="179">
        <f t="shared" si="30"/>
        <v>-5524641.815</v>
      </c>
      <c r="AT76" s="179">
        <f t="shared" si="30"/>
        <v>-5633551.905</v>
      </c>
      <c r="AU76" s="179">
        <f t="shared" si="30"/>
        <v>-5741495.102</v>
      </c>
      <c r="AV76" s="179">
        <f t="shared" si="30"/>
        <v>-5848519.751</v>
      </c>
      <c r="AW76" s="179">
        <f t="shared" si="30"/>
        <v>-5954671.778</v>
      </c>
      <c r="AX76" s="179">
        <f t="shared" si="30"/>
        <v>-6059994.815</v>
      </c>
      <c r="AY76" s="179">
        <f t="shared" si="30"/>
        <v>-6164530.312</v>
      </c>
      <c r="AZ76" s="179">
        <f t="shared" si="30"/>
        <v>-6268317.645</v>
      </c>
      <c r="BA76" s="179">
        <f t="shared" si="30"/>
        <v>-6371394.223</v>
      </c>
      <c r="BB76" s="179">
        <f t="shared" si="30"/>
        <v>-6473795.584</v>
      </c>
      <c r="BC76" s="179">
        <f t="shared" si="30"/>
        <v>-6575555.487</v>
      </c>
      <c r="BD76" s="179">
        <f t="shared" si="30"/>
        <v>-6676706.007</v>
      </c>
      <c r="BE76" s="179">
        <f t="shared" si="30"/>
        <v>-6777277.612</v>
      </c>
      <c r="BF76" s="179">
        <f t="shared" si="30"/>
        <v>-6877299.248</v>
      </c>
      <c r="BG76" s="179">
        <f t="shared" si="30"/>
        <v>-6976798.414</v>
      </c>
      <c r="BH76" s="179">
        <f t="shared" si="30"/>
        <v>-7075801.233</v>
      </c>
      <c r="BI76" s="179">
        <f t="shared" si="30"/>
        <v>-7174332.522</v>
      </c>
      <c r="BJ76" s="179">
        <f t="shared" si="30"/>
        <v>-7272415.858</v>
      </c>
      <c r="BK76" s="179">
        <f t="shared" si="30"/>
        <v>-7370073.638</v>
      </c>
      <c r="BL76" s="179">
        <f t="shared" si="30"/>
        <v>-7467327.141</v>
      </c>
      <c r="BM76" s="179">
        <f t="shared" si="30"/>
        <v>-7564196.58</v>
      </c>
      <c r="BN76" s="167"/>
    </row>
    <row r="77" outlineLevel="1">
      <c r="A77" s="167"/>
      <c r="B77" s="179"/>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c r="BN77" s="167"/>
    </row>
    <row r="78" outlineLevel="1">
      <c r="A78" s="167"/>
      <c r="B78" s="176" t="s">
        <v>197</v>
      </c>
      <c r="C78" s="167"/>
      <c r="D78" s="167"/>
      <c r="E78" s="167"/>
      <c r="F78" s="179">
        <f t="shared" ref="F78:BM78" si="31">F74+F70+F66</f>
        <v>-216171.1875</v>
      </c>
      <c r="G78" s="179">
        <f t="shared" si="31"/>
        <v>-227524.0773</v>
      </c>
      <c r="H78" s="179">
        <f t="shared" si="31"/>
        <v>-221961.4925</v>
      </c>
      <c r="I78" s="179">
        <f t="shared" si="31"/>
        <v>-216541.0285</v>
      </c>
      <c r="J78" s="179">
        <f t="shared" si="31"/>
        <v>-211250.0161</v>
      </c>
      <c r="K78" s="179">
        <f t="shared" si="31"/>
        <v>-206075.073</v>
      </c>
      <c r="L78" s="179">
        <f t="shared" si="31"/>
        <v>-201003.1237</v>
      </c>
      <c r="M78" s="179">
        <f t="shared" si="31"/>
        <v>-196021.3823</v>
      </c>
      <c r="N78" s="179">
        <f t="shared" si="31"/>
        <v>-191117.3201</v>
      </c>
      <c r="O78" s="179">
        <f t="shared" si="31"/>
        <v>-186278.6334</v>
      </c>
      <c r="P78" s="179">
        <f t="shared" si="31"/>
        <v>-181493.2123</v>
      </c>
      <c r="Q78" s="179">
        <f t="shared" si="31"/>
        <v>-176749.1102</v>
      </c>
      <c r="R78" s="179">
        <f t="shared" si="31"/>
        <v>-172034.513</v>
      </c>
      <c r="S78" s="179">
        <f t="shared" si="31"/>
        <v>-167337.7097</v>
      </c>
      <c r="T78" s="179">
        <f t="shared" si="31"/>
        <v>-162647.0627</v>
      </c>
      <c r="U78" s="179">
        <f t="shared" si="31"/>
        <v>-157950.9784</v>
      </c>
      <c r="V78" s="179">
        <f t="shared" si="31"/>
        <v>-153237.8783</v>
      </c>
      <c r="W78" s="179">
        <f t="shared" si="31"/>
        <v>-149343.042</v>
      </c>
      <c r="X78" s="179">
        <f t="shared" si="31"/>
        <v>-146354.5013</v>
      </c>
      <c r="Y78" s="179">
        <f t="shared" si="31"/>
        <v>-143515.3875</v>
      </c>
      <c r="Z78" s="179">
        <f t="shared" si="31"/>
        <v>-140818.2294</v>
      </c>
      <c r="AA78" s="179">
        <f t="shared" si="31"/>
        <v>-138255.9293</v>
      </c>
      <c r="AB78" s="179">
        <f t="shared" si="31"/>
        <v>-135821.7441</v>
      </c>
      <c r="AC78" s="179">
        <f t="shared" si="31"/>
        <v>-133509.2683</v>
      </c>
      <c r="AD78" s="179">
        <f t="shared" si="31"/>
        <v>-131312.4162</v>
      </c>
      <c r="AE78" s="179">
        <f t="shared" si="31"/>
        <v>-129225.4067</v>
      </c>
      <c r="AF78" s="179">
        <f t="shared" si="31"/>
        <v>-127242.7477</v>
      </c>
      <c r="AG78" s="179">
        <f t="shared" si="31"/>
        <v>-125359.2216</v>
      </c>
      <c r="AH78" s="179">
        <f t="shared" si="31"/>
        <v>-123569.8718</v>
      </c>
      <c r="AI78" s="179">
        <f t="shared" si="31"/>
        <v>-121869.9896</v>
      </c>
      <c r="AJ78" s="179">
        <f t="shared" si="31"/>
        <v>-120255.1014</v>
      </c>
      <c r="AK78" s="179">
        <f t="shared" si="31"/>
        <v>-118720.9576</v>
      </c>
      <c r="AL78" s="179">
        <f t="shared" si="31"/>
        <v>-117263.5211</v>
      </c>
      <c r="AM78" s="179">
        <f t="shared" si="31"/>
        <v>-115878.9563</v>
      </c>
      <c r="AN78" s="179">
        <f t="shared" si="31"/>
        <v>-114563.6198</v>
      </c>
      <c r="AO78" s="179">
        <f t="shared" si="31"/>
        <v>-113314.0502</v>
      </c>
      <c r="AP78" s="179">
        <f t="shared" si="31"/>
        <v>-112126.959</v>
      </c>
      <c r="AQ78" s="179">
        <f t="shared" si="31"/>
        <v>-110999.2223</v>
      </c>
      <c r="AR78" s="179">
        <f t="shared" si="31"/>
        <v>-109927.8725</v>
      </c>
      <c r="AS78" s="179">
        <f t="shared" si="31"/>
        <v>-108910.0902</v>
      </c>
      <c r="AT78" s="179">
        <f t="shared" si="31"/>
        <v>-107943.197</v>
      </c>
      <c r="AU78" s="179">
        <f t="shared" si="31"/>
        <v>-107024.6485</v>
      </c>
      <c r="AV78" s="179">
        <f t="shared" si="31"/>
        <v>-106152.0274</v>
      </c>
      <c r="AW78" s="179">
        <f t="shared" si="31"/>
        <v>-105323.0373</v>
      </c>
      <c r="AX78" s="179">
        <f t="shared" si="31"/>
        <v>-104535.4968</v>
      </c>
      <c r="AY78" s="179">
        <f t="shared" si="31"/>
        <v>-103787.3333</v>
      </c>
      <c r="AZ78" s="179">
        <f t="shared" si="31"/>
        <v>-103076.5779</v>
      </c>
      <c r="BA78" s="179">
        <f t="shared" si="31"/>
        <v>-102401.3603</v>
      </c>
      <c r="BB78" s="179">
        <f t="shared" si="31"/>
        <v>-101759.9036</v>
      </c>
      <c r="BC78" s="179">
        <f t="shared" si="31"/>
        <v>-101150.5198</v>
      </c>
      <c r="BD78" s="179">
        <f t="shared" si="31"/>
        <v>-100571.6051</v>
      </c>
      <c r="BE78" s="179">
        <f t="shared" si="31"/>
        <v>-100021.6362</v>
      </c>
      <c r="BF78" s="179">
        <f t="shared" si="31"/>
        <v>-99499.16568</v>
      </c>
      <c r="BG78" s="179">
        <f t="shared" si="31"/>
        <v>-99002.81871</v>
      </c>
      <c r="BH78" s="179">
        <f t="shared" si="31"/>
        <v>-98531.28909</v>
      </c>
      <c r="BI78" s="179">
        <f t="shared" si="31"/>
        <v>-98083.33595</v>
      </c>
      <c r="BJ78" s="179">
        <f t="shared" si="31"/>
        <v>-97657.78047</v>
      </c>
      <c r="BK78" s="179">
        <f t="shared" si="31"/>
        <v>-97253.50277</v>
      </c>
      <c r="BL78" s="179">
        <f t="shared" si="31"/>
        <v>-96869.43895</v>
      </c>
      <c r="BM78" s="179">
        <f t="shared" si="31"/>
        <v>-96504.57832</v>
      </c>
      <c r="BN78" s="167"/>
    </row>
    <row r="79" outlineLevel="1">
      <c r="A79" s="167"/>
      <c r="B79" s="179"/>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c r="AD79" s="167"/>
      <c r="AE79" s="167"/>
      <c r="AF79" s="167"/>
      <c r="AG79" s="167"/>
      <c r="AH79" s="167"/>
      <c r="AI79" s="167"/>
      <c r="AJ79" s="167"/>
      <c r="AK79" s="167"/>
      <c r="AL79" s="167"/>
      <c r="AM79" s="167"/>
      <c r="AN79" s="167"/>
      <c r="AO79" s="167"/>
      <c r="AP79" s="167"/>
      <c r="AQ79" s="167"/>
      <c r="AR79" s="167"/>
      <c r="AS79" s="167"/>
      <c r="AT79" s="167"/>
      <c r="AU79" s="167"/>
      <c r="AV79" s="167"/>
      <c r="AW79" s="167"/>
      <c r="AX79" s="167"/>
      <c r="AY79" s="167"/>
      <c r="AZ79" s="167"/>
      <c r="BA79" s="167"/>
      <c r="BB79" s="167"/>
      <c r="BC79" s="167"/>
      <c r="BD79" s="167"/>
      <c r="BE79" s="167"/>
      <c r="BF79" s="167"/>
      <c r="BG79" s="167"/>
      <c r="BH79" s="167"/>
      <c r="BI79" s="167"/>
      <c r="BJ79" s="167"/>
      <c r="BK79" s="167"/>
      <c r="BL79" s="167"/>
      <c r="BM79" s="167"/>
      <c r="BN79" s="167"/>
    </row>
    <row r="80" outlineLevel="1">
      <c r="A80" s="167"/>
      <c r="B80" s="176" t="s">
        <v>198</v>
      </c>
      <c r="C80" s="167"/>
      <c r="D80" s="167"/>
      <c r="E80" s="179"/>
      <c r="F80" s="179">
        <f t="shared" ref="F80:BM80" si="32">F76+F78</f>
        <v>283828.8125</v>
      </c>
      <c r="G80" s="179">
        <f t="shared" si="32"/>
        <v>56304.73522</v>
      </c>
      <c r="H80" s="179">
        <f t="shared" si="32"/>
        <v>-165656.7573</v>
      </c>
      <c r="I80" s="179">
        <f t="shared" si="32"/>
        <v>-382197.7858</v>
      </c>
      <c r="J80" s="179">
        <f t="shared" si="32"/>
        <v>-593447.8019</v>
      </c>
      <c r="K80" s="179">
        <f t="shared" si="32"/>
        <v>-799522.875</v>
      </c>
      <c r="L80" s="179">
        <f t="shared" si="32"/>
        <v>-1000525.999</v>
      </c>
      <c r="M80" s="179">
        <f t="shared" si="32"/>
        <v>-1196547.381</v>
      </c>
      <c r="N80" s="179">
        <f t="shared" si="32"/>
        <v>-1387664.701</v>
      </c>
      <c r="O80" s="179">
        <f t="shared" si="32"/>
        <v>-1573943.335</v>
      </c>
      <c r="P80" s="179">
        <f t="shared" si="32"/>
        <v>-1755436.547</v>
      </c>
      <c r="Q80" s="179">
        <f t="shared" si="32"/>
        <v>-1932185.657</v>
      </c>
      <c r="R80" s="179">
        <f t="shared" si="32"/>
        <v>-2104220.17</v>
      </c>
      <c r="S80" s="179">
        <f t="shared" si="32"/>
        <v>-2271557.88</v>
      </c>
      <c r="T80" s="179">
        <f t="shared" si="32"/>
        <v>-2434204.942</v>
      </c>
      <c r="U80" s="179">
        <f t="shared" si="32"/>
        <v>-2592155.921</v>
      </c>
      <c r="V80" s="179">
        <f t="shared" si="32"/>
        <v>-2745393.799</v>
      </c>
      <c r="W80" s="179">
        <f t="shared" si="32"/>
        <v>-2894736.841</v>
      </c>
      <c r="X80" s="179">
        <f t="shared" si="32"/>
        <v>-3041091.342</v>
      </c>
      <c r="Y80" s="179">
        <f t="shared" si="32"/>
        <v>-3184606.73</v>
      </c>
      <c r="Z80" s="179">
        <f t="shared" si="32"/>
        <v>-3325424.959</v>
      </c>
      <c r="AA80" s="179">
        <f t="shared" si="32"/>
        <v>-3463680.889</v>
      </c>
      <c r="AB80" s="179">
        <f t="shared" si="32"/>
        <v>-3599502.633</v>
      </c>
      <c r="AC80" s="179">
        <f t="shared" si="32"/>
        <v>-3733011.901</v>
      </c>
      <c r="AD80" s="179">
        <f t="shared" si="32"/>
        <v>-3864324.317</v>
      </c>
      <c r="AE80" s="179">
        <f t="shared" si="32"/>
        <v>-3993549.724</v>
      </c>
      <c r="AF80" s="179">
        <f t="shared" si="32"/>
        <v>-4120792.472</v>
      </c>
      <c r="AG80" s="179">
        <f t="shared" si="32"/>
        <v>-4246151.693</v>
      </c>
      <c r="AH80" s="179">
        <f t="shared" si="32"/>
        <v>-4369721.565</v>
      </c>
      <c r="AI80" s="179">
        <f t="shared" si="32"/>
        <v>-4491591.554</v>
      </c>
      <c r="AJ80" s="179">
        <f t="shared" si="32"/>
        <v>-4611846.656</v>
      </c>
      <c r="AK80" s="179">
        <f t="shared" si="32"/>
        <v>-4730567.613</v>
      </c>
      <c r="AL80" s="179">
        <f t="shared" si="32"/>
        <v>-4847831.135</v>
      </c>
      <c r="AM80" s="179">
        <f t="shared" si="32"/>
        <v>-4963710.091</v>
      </c>
      <c r="AN80" s="179">
        <f t="shared" si="32"/>
        <v>-5078273.711</v>
      </c>
      <c r="AO80" s="179">
        <f t="shared" si="32"/>
        <v>-5191587.761</v>
      </c>
      <c r="AP80" s="179">
        <f t="shared" si="32"/>
        <v>-5303714.72</v>
      </c>
      <c r="AQ80" s="179">
        <f t="shared" si="32"/>
        <v>-5414713.942</v>
      </c>
      <c r="AR80" s="179">
        <f t="shared" si="32"/>
        <v>-5524641.815</v>
      </c>
      <c r="AS80" s="179">
        <f t="shared" si="32"/>
        <v>-5633551.905</v>
      </c>
      <c r="AT80" s="179">
        <f t="shared" si="32"/>
        <v>-5741495.102</v>
      </c>
      <c r="AU80" s="179">
        <f t="shared" si="32"/>
        <v>-5848519.751</v>
      </c>
      <c r="AV80" s="179">
        <f t="shared" si="32"/>
        <v>-5954671.778</v>
      </c>
      <c r="AW80" s="179">
        <f t="shared" si="32"/>
        <v>-6059994.815</v>
      </c>
      <c r="AX80" s="179">
        <f t="shared" si="32"/>
        <v>-6164530.312</v>
      </c>
      <c r="AY80" s="179">
        <f t="shared" si="32"/>
        <v>-6268317.645</v>
      </c>
      <c r="AZ80" s="179">
        <f t="shared" si="32"/>
        <v>-6371394.223</v>
      </c>
      <c r="BA80" s="179">
        <f t="shared" si="32"/>
        <v>-6473795.584</v>
      </c>
      <c r="BB80" s="179">
        <f t="shared" si="32"/>
        <v>-6575555.487</v>
      </c>
      <c r="BC80" s="179">
        <f t="shared" si="32"/>
        <v>-6676706.007</v>
      </c>
      <c r="BD80" s="179">
        <f t="shared" si="32"/>
        <v>-6777277.612</v>
      </c>
      <c r="BE80" s="179">
        <f t="shared" si="32"/>
        <v>-6877299.248</v>
      </c>
      <c r="BF80" s="179">
        <f t="shared" si="32"/>
        <v>-6976798.414</v>
      </c>
      <c r="BG80" s="179">
        <f t="shared" si="32"/>
        <v>-7075801.233</v>
      </c>
      <c r="BH80" s="179">
        <f t="shared" si="32"/>
        <v>-7174332.522</v>
      </c>
      <c r="BI80" s="179">
        <f t="shared" si="32"/>
        <v>-7272415.858</v>
      </c>
      <c r="BJ80" s="179">
        <f t="shared" si="32"/>
        <v>-7370073.638</v>
      </c>
      <c r="BK80" s="179">
        <f t="shared" si="32"/>
        <v>-7467327.141</v>
      </c>
      <c r="BL80" s="179">
        <f t="shared" si="32"/>
        <v>-7564196.58</v>
      </c>
      <c r="BM80" s="179">
        <f t="shared" si="32"/>
        <v>-7660701.158</v>
      </c>
      <c r="BN80" s="167"/>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9" t="s">
        <v>153</v>
      </c>
      <c r="C1007" s="39"/>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sheetData>
  <conditionalFormatting sqref="F26:BM26 F28:BM28 F30:BM30 F37:BM37 F39:BM39">
    <cfRule type="cellIs" dxfId="0" priority="1" operator="lessThan">
      <formula>0</formula>
    </cfRule>
  </conditionalFormatting>
  <conditionalFormatting sqref="F80:BM80">
    <cfRule type="cellIs" dxfId="1" priority="2" operator="lessThan">
      <formula>0</formula>
    </cfRule>
  </conditionalFormatting>
  <drawing r:id="rId1"/>
</worksheet>
</file>