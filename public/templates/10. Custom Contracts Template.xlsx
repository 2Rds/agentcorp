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<sst xmlns="http://schemas.openxmlformats.org/spreadsheetml/2006/main" count="175" uniqueCount="155">
  <si>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</si>
  <si>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</si>
  <si>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</si>
  <si>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</si>
  <si>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</si>
  <si>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</si>
  <si>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</si>
  <si>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</si>
  <si>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</si>
  <si>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</si>
  <si>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</si>
  <si>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</si>
  <si>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Revenue - Custom Contracts:</t>
  </si>
  <si>
    <t>Custom Contracts</t>
  </si>
  <si>
    <t>Custom Contract 1</t>
  </si>
  <si>
    <t>Custom Contract 2</t>
  </si>
  <si>
    <t>Custom Contract 3</t>
  </si>
  <si>
    <t>Custom Contract 4</t>
  </si>
  <si>
    <t>Custom Contract 5</t>
  </si>
  <si>
    <t>Custom Contract 6</t>
  </si>
  <si>
    <t>Revenue</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</si>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</sst>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_);_(&quot;$&quot;* \(#,##0\);_(&quot;$&quot;* &quot;-&quot;??_);_(@_)"/>
    <numFmt numFmtId="165" formatCode="#,##0;(#,##0)"/>
    <numFmt numFmtId="166" formatCode="&quot;$&quot;#,##0"/>
    <numFmt numFmtId="167" formatCode="m/d/yyyy"/>
    <numFmt numFmtId="168" formatCode="_(&quot;$&quot;* #,##0.00_);_(&quot;$&quot;* \(#,##0.00\);_(&quot;$&quot;* &quot;-&quot;??_);_(@_)"/>
  </numFmts>
  <fonts count="29">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color rgb="FF1B202B"/>
      <name val="Montserrat"/>
    </font>
    <font>
      <b/>
      <color rgb="FF434343"/>
      <name val="Montserrat"/>
    </font>
    <font>
      <b/>
      <i/>
      <color theme="1"/>
      <name val="Montserrat"/>
    </font>
    <font>
      <i/>
      <color theme="1"/>
      <name val="Montserrat"/>
    </font>
    <font>
      <color theme="1"/>
      <name val="Arial"/>
      <scheme val="minor"/>
    </font>
    <font>
      <i/>
      <color rgb="FF000000"/>
      <name val="Montserrat"/>
    </font>
    <font>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23">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left style="medium">
        <color rgb="FFFFFFFF"/>
      </left>
      <right style="medium">
        <color rgb="FFFFFFFF"/>
      </right>
      <top style="medium">
        <color rgb="FFFFFFFF"/>
      </top>
    </border>
    <border>
      <bottom style="thick">
        <color rgb="FF00CD95"/>
      </bottom>
    </border>
    <border>
      <right/>
    </border>
    <border>
      <left style="medium">
        <color rgb="FFFFFFFF"/>
      </left>
      <right style="medium">
        <color rgb="FFFFFFFF"/>
      </right>
      <top style="medium">
        <color rgb="FFFFFFFF"/>
      </top>
      <bottom style="medium">
        <color rgb="FFFFFFFF"/>
      </bottom>
    </border>
    <border>
      <bottom style="thick">
        <color rgb="FF000000"/>
      </bottom>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0"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9" fillId="5" fontId="17" numFmtId="14" xfId="0" applyAlignment="1" applyBorder="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10" fillId="6" fontId="18" numFmtId="0" xfId="0" applyAlignment="1" applyBorder="1" applyFill="1" applyFont="1">
      <alignment readingOrder="0" vertical="center"/>
    </xf>
    <xf borderId="10" fillId="6" fontId="13" numFmtId="0" xfId="0" applyAlignment="1" applyBorder="1" applyFont="1">
      <alignment vertical="center"/>
    </xf>
    <xf borderId="10" fillId="6" fontId="13" numFmtId="0" xfId="0" applyAlignment="1" applyBorder="1" applyFont="1">
      <alignment horizontal="right" vertical="center"/>
    </xf>
    <xf borderId="0" fillId="0" fontId="3" numFmtId="0" xfId="0" applyAlignment="1" applyFont="1">
      <alignment vertical="center"/>
    </xf>
    <xf borderId="11" fillId="0" fontId="17" numFmtId="3" xfId="0" applyAlignment="1" applyBorder="1" applyFont="1" applyNumberFormat="1">
      <alignment readingOrder="0" shrinkToFit="0" vertical="center" wrapText="0"/>
    </xf>
    <xf borderId="0" fillId="0" fontId="3" numFmtId="0" xfId="0" applyAlignment="1" applyFont="1">
      <alignment readingOrder="0" vertical="center"/>
    </xf>
    <xf borderId="0" fillId="0" fontId="3" numFmtId="164" xfId="0" applyAlignment="1" applyFont="1" applyNumberFormat="1">
      <alignment readingOrder="0" vertical="center"/>
    </xf>
    <xf borderId="0" fillId="0" fontId="3" numFmtId="164" xfId="0" applyAlignment="1" applyFont="1" applyNumberFormat="1">
      <alignment vertical="center"/>
    </xf>
    <xf borderId="0" fillId="0" fontId="13" numFmtId="164" xfId="0" applyAlignment="1" applyFont="1" applyNumberFormat="1">
      <alignment readingOrder="0" vertical="center"/>
    </xf>
    <xf borderId="12" fillId="5" fontId="19" numFmtId="164" xfId="0" applyAlignment="1" applyBorder="1" applyFont="1" applyNumberFormat="1">
      <alignment horizontal="center" readingOrder="0" vertical="center"/>
    </xf>
    <xf borderId="0" fillId="0" fontId="13" numFmtId="164" xfId="0" applyAlignment="1" applyFont="1" applyNumberFormat="1">
      <alignment horizontal="right" vertical="center"/>
    </xf>
    <xf borderId="13" fillId="0" fontId="13" numFmtId="164" xfId="0" applyAlignment="1" applyBorder="1" applyFont="1" applyNumberFormat="1">
      <alignment readingOrder="0" vertical="center"/>
    </xf>
    <xf borderId="13" fillId="0" fontId="3" numFmtId="164" xfId="0" applyAlignment="1" applyBorder="1" applyFont="1" applyNumberFormat="1">
      <alignment vertical="center"/>
    </xf>
    <xf borderId="14" fillId="5" fontId="19" numFmtId="164" xfId="0" applyAlignment="1" applyBorder="1" applyFont="1" applyNumberFormat="1">
      <alignment horizontal="center" readingOrder="0" vertical="center"/>
    </xf>
    <xf borderId="13" fillId="0" fontId="13" numFmtId="164" xfId="0" applyAlignment="1" applyBorder="1" applyFont="1" applyNumberFormat="1">
      <alignment horizontal="right" vertical="center"/>
    </xf>
    <xf borderId="13" fillId="0" fontId="13" numFmtId="164" xfId="0" applyAlignment="1" applyBorder="1" applyFont="1" applyNumberFormat="1">
      <alignment vertical="center"/>
    </xf>
    <xf borderId="0" fillId="0" fontId="20" numFmtId="164" xfId="0" applyAlignment="1" applyFont="1" applyNumberFormat="1">
      <alignment vertical="center"/>
    </xf>
    <xf borderId="0" fillId="3" fontId="17" numFmtId="164" xfId="0" applyAlignment="1" applyFont="1" applyNumberFormat="1">
      <alignment horizontal="right" vertical="center"/>
    </xf>
    <xf borderId="0" fillId="0" fontId="20" numFmtId="3" xfId="0" applyAlignment="1" applyFont="1" applyNumberFormat="1">
      <alignment vertical="center"/>
    </xf>
    <xf borderId="0" fillId="0" fontId="3" numFmtId="165" xfId="0" applyAlignment="1" applyFont="1" applyNumberFormat="1">
      <alignment vertical="center"/>
    </xf>
    <xf borderId="0" fillId="0" fontId="3" numFmtId="166" xfId="0" applyAlignment="1" applyFont="1" applyNumberFormat="1">
      <alignment vertical="center"/>
    </xf>
    <xf borderId="0" fillId="3" fontId="17" numFmtId="166" xfId="0" applyAlignment="1" applyFont="1" applyNumberFormat="1">
      <alignment horizontal="right" vertical="center"/>
    </xf>
    <xf borderId="15" fillId="7" fontId="13" numFmtId="0" xfId="0" applyAlignment="1" applyBorder="1" applyFill="1" applyFont="1">
      <alignment readingOrder="0" vertical="center"/>
    </xf>
    <xf borderId="0" fillId="0" fontId="21" numFmtId="0" xfId="0" applyAlignment="1" applyFont="1">
      <alignment readingOrder="0" vertical="center"/>
    </xf>
    <xf borderId="0" fillId="0" fontId="21" numFmtId="0" xfId="0" applyAlignment="1" applyFont="1">
      <alignment horizontal="center" readingOrder="0" vertical="center"/>
    </xf>
    <xf borderId="12" fillId="5" fontId="19" numFmtId="164" xfId="0" applyAlignment="1" applyBorder="1" applyFont="1" applyNumberFormat="1">
      <alignment horizontal="left" vertical="center"/>
    </xf>
    <xf borderId="12" fillId="5" fontId="19" numFmtId="9" xfId="0" applyAlignment="1" applyBorder="1" applyFont="1" applyNumberFormat="1">
      <alignment horizontal="center" readingOrder="0" vertical="center"/>
    </xf>
    <xf borderId="16" fillId="5" fontId="19" numFmtId="167" xfId="0" applyAlignment="1" applyBorder="1" applyFont="1" applyNumberFormat="1">
      <alignment horizontal="center" readingOrder="0" vertical="center"/>
    </xf>
    <xf borderId="0" fillId="0" fontId="17" numFmtId="0" xfId="0" applyAlignment="1" applyFont="1">
      <alignment readingOrder="0" vertical="center"/>
    </xf>
    <xf borderId="12" fillId="5" fontId="19" numFmtId="168" xfId="0" applyAlignment="1" applyBorder="1" applyFont="1" applyNumberFormat="1">
      <alignment horizontal="left" vertical="center"/>
    </xf>
    <xf borderId="12" fillId="5" fontId="19" numFmtId="10" xfId="0" applyAlignment="1" applyBorder="1" applyFont="1" applyNumberFormat="1">
      <alignment horizontal="center" readingOrder="0" vertical="center"/>
    </xf>
    <xf borderId="12" fillId="5" fontId="19" numFmtId="168" xfId="0" applyAlignment="1" applyBorder="1" applyFont="1" applyNumberFormat="1">
      <alignment horizontal="left" readingOrder="0" vertical="center"/>
    </xf>
    <xf borderId="14" fillId="5" fontId="19" numFmtId="168" xfId="0" applyAlignment="1" applyBorder="1" applyFont="1" applyNumberFormat="1">
      <alignment horizontal="left" readingOrder="0" vertical="center"/>
    </xf>
    <xf borderId="14" fillId="5" fontId="19" numFmtId="10" xfId="0" applyAlignment="1" applyBorder="1" applyFont="1" applyNumberFormat="1">
      <alignment horizontal="center" readingOrder="0" vertical="center"/>
    </xf>
    <xf borderId="13" fillId="0" fontId="13" numFmtId="0" xfId="0" applyAlignment="1" applyBorder="1" applyFont="1">
      <alignment vertical="center"/>
    </xf>
    <xf borderId="0" fillId="0" fontId="3" numFmtId="164" xfId="0" applyAlignment="1" applyFont="1" applyNumberFormat="1">
      <alignment vertical="bottom"/>
    </xf>
    <xf borderId="0" fillId="0" fontId="20" numFmtId="168" xfId="0" applyAlignment="1" applyFont="1" applyNumberFormat="1">
      <alignment vertical="bottom"/>
    </xf>
    <xf borderId="0" fillId="3" fontId="17" numFmtId="164" xfId="0" applyAlignment="1" applyFont="1" applyNumberFormat="1">
      <alignment horizontal="right" vertical="bottom"/>
    </xf>
    <xf borderId="0" fillId="0" fontId="13" numFmtId="164" xfId="0" applyAlignment="1" applyFont="1" applyNumberFormat="1">
      <alignment vertical="center"/>
    </xf>
    <xf borderId="16" fillId="5" fontId="19" numFmtId="164" xfId="0" applyAlignment="1" applyBorder="1" applyFont="1" applyNumberFormat="1">
      <alignment horizontal="center" readingOrder="0" vertical="center"/>
    </xf>
    <xf borderId="0" fillId="0" fontId="19" numFmtId="164" xfId="0" applyAlignment="1" applyFont="1" applyNumberFormat="1">
      <alignment horizontal="center" readingOrder="0" vertical="center"/>
    </xf>
    <xf borderId="14" fillId="5" fontId="19" numFmtId="164" xfId="0" applyAlignment="1" applyBorder="1" applyFont="1" applyNumberFormat="1">
      <alignment horizontal="left" readingOrder="0" vertical="center"/>
    </xf>
    <xf borderId="17" fillId="5" fontId="19" numFmtId="164" xfId="0" applyAlignment="1" applyBorder="1" applyFont="1" applyNumberFormat="1">
      <alignment horizontal="center" readingOrder="0" vertical="center"/>
    </xf>
    <xf borderId="0" fillId="0" fontId="3" numFmtId="164" xfId="0" applyFont="1" applyNumberFormat="1"/>
    <xf borderId="0" fillId="0" fontId="20" numFmtId="164" xfId="0" applyFont="1" applyNumberFormat="1"/>
    <xf borderId="0" fillId="3" fontId="17" numFmtId="164" xfId="0" applyAlignment="1" applyFont="1" applyNumberFormat="1">
      <alignment horizontal="right"/>
    </xf>
    <xf borderId="0" fillId="0" fontId="17" numFmtId="168" xfId="0" applyAlignment="1" applyFont="1" applyNumberFormat="1">
      <alignment readingOrder="0" vertical="center"/>
    </xf>
    <xf borderId="0" fillId="0" fontId="21" numFmtId="164" xfId="0" applyAlignment="1" applyFont="1" applyNumberFormat="1">
      <alignment horizontal="center" readingOrder="0" vertical="center"/>
    </xf>
    <xf borderId="0" fillId="0" fontId="20" numFmtId="168" xfId="0" applyFont="1" applyNumberFormat="1"/>
    <xf borderId="0" fillId="0" fontId="13" numFmtId="168" xfId="0" applyAlignment="1" applyFont="1" applyNumberFormat="1">
      <alignment vertical="center"/>
    </xf>
    <xf borderId="0" fillId="0" fontId="18" numFmtId="0" xfId="0" applyAlignment="1" applyFont="1">
      <alignment readingOrder="0" vertical="center"/>
    </xf>
    <xf borderId="18" fillId="0" fontId="17" numFmtId="0" xfId="0" applyAlignment="1" applyBorder="1" applyFont="1">
      <alignment readingOrder="0" vertical="center"/>
    </xf>
    <xf borderId="18" fillId="0" fontId="13" numFmtId="0" xfId="0" applyAlignment="1" applyBorder="1" applyFont="1">
      <alignment vertical="center"/>
    </xf>
    <xf borderId="0" fillId="0" fontId="13" numFmtId="168" xfId="0" applyAlignment="1" applyFont="1" applyNumberFormat="1">
      <alignment horizontal="right" vertical="center"/>
    </xf>
    <xf borderId="0" fillId="5" fontId="19" numFmtId="164" xfId="0" applyAlignment="1" applyFont="1" applyNumberFormat="1">
      <alignment horizontal="center" readingOrder="0" vertical="center"/>
    </xf>
    <xf borderId="9" fillId="5" fontId="19" numFmtId="3" xfId="0" applyAlignment="1" applyBorder="1" applyFont="1" applyNumberFormat="1">
      <alignment horizontal="center" readingOrder="0" vertical="center"/>
    </xf>
    <xf borderId="0" fillId="0" fontId="17" numFmtId="164" xfId="0" applyAlignment="1" applyFont="1" applyNumberFormat="1">
      <alignment horizontal="right" vertical="center"/>
    </xf>
    <xf borderId="0" fillId="0" fontId="21" numFmtId="168" xfId="0" applyAlignment="1" applyFont="1" applyNumberFormat="1">
      <alignment readingOrder="0" vertical="center"/>
    </xf>
    <xf borderId="0" fillId="0" fontId="21" numFmtId="0" xfId="0" applyAlignment="1" applyFont="1">
      <alignment horizontal="center" readingOrder="0" vertical="center"/>
    </xf>
    <xf borderId="12" fillId="5" fontId="19" numFmtId="167" xfId="0" applyAlignment="1" applyBorder="1" applyFont="1" applyNumberFormat="1">
      <alignment horizontal="center" readingOrder="0" vertical="center"/>
    </xf>
    <xf borderId="16" fillId="5" fontId="19" numFmtId="3" xfId="0" applyAlignment="1" applyBorder="1" applyFont="1" applyNumberFormat="1">
      <alignment horizontal="center" readingOrder="0" vertical="center"/>
    </xf>
    <xf borderId="12" fillId="5" fontId="19" numFmtId="3" xfId="0" applyAlignment="1" applyBorder="1" applyFont="1" applyNumberFormat="1">
      <alignment horizontal="center" readingOrder="0" vertical="center"/>
    </xf>
    <xf borderId="19" fillId="0" fontId="22" numFmtId="0" xfId="0" applyAlignment="1" applyBorder="1" applyFont="1">
      <alignment readingOrder="0" vertical="center"/>
    </xf>
    <xf borderId="19" fillId="0" fontId="13" numFmtId="0" xfId="0" applyAlignment="1" applyBorder="1" applyFont="1">
      <alignment vertical="center"/>
    </xf>
    <xf borderId="0" fillId="0" fontId="13" numFmtId="168" xfId="0" applyAlignment="1" applyFont="1" applyNumberFormat="1">
      <alignment readingOrder="0" vertical="center"/>
    </xf>
    <xf borderId="0" fillId="0" fontId="23" numFmtId="0" xfId="0" applyAlignment="1" applyFont="1">
      <alignment vertical="center"/>
    </xf>
    <xf borderId="12" fillId="5" fontId="19" numFmtId="164" xfId="0" applyAlignment="1" applyBorder="1" applyFont="1" applyNumberFormat="1">
      <alignment horizontal="right" readingOrder="0" vertical="center"/>
    </xf>
    <xf borderId="12" fillId="5" fontId="19" numFmtId="167" xfId="0" applyAlignment="1" applyBorder="1" applyFont="1" applyNumberFormat="1">
      <alignment horizontal="right" readingOrder="0" vertical="center"/>
    </xf>
    <xf borderId="0" fillId="0" fontId="23" numFmtId="164" xfId="0" applyAlignment="1" applyFont="1" applyNumberFormat="1">
      <alignment vertical="center"/>
    </xf>
    <xf borderId="0" fillId="0" fontId="17" numFmtId="0" xfId="0" applyAlignment="1" applyFont="1">
      <alignment vertical="center"/>
    </xf>
    <xf borderId="0" fillId="0" fontId="17" numFmtId="164"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10" fillId="6" fontId="18" numFmtId="0" xfId="0" applyAlignment="1" applyBorder="1" applyFont="1">
      <alignment readingOrder="0"/>
    </xf>
    <xf borderId="10" fillId="6" fontId="13" numFmtId="0" xfId="0" applyBorder="1" applyFont="1"/>
    <xf borderId="0" fillId="0" fontId="13" numFmtId="164" xfId="0" applyFont="1" applyNumberFormat="1"/>
    <xf borderId="20" fillId="0" fontId="17" numFmtId="164" xfId="0" applyAlignment="1" applyBorder="1" applyFont="1" applyNumberFormat="1">
      <alignment readingOrder="0"/>
    </xf>
    <xf borderId="20" fillId="0" fontId="17" numFmtId="164" xfId="0" applyBorder="1" applyFont="1" applyNumberFormat="1"/>
    <xf borderId="21" fillId="0" fontId="17" numFmtId="164" xfId="0" applyAlignment="1" applyBorder="1" applyFont="1" applyNumberFormat="1">
      <alignment readingOrder="0"/>
    </xf>
    <xf borderId="21" fillId="0" fontId="13" numFmtId="164" xfId="0" applyBorder="1" applyFont="1" applyNumberFormat="1"/>
    <xf borderId="21" fillId="0" fontId="17" numFmtId="164" xfId="0" applyBorder="1" applyFont="1" applyNumberFormat="1"/>
    <xf borderId="0" fillId="0" fontId="13" numFmtId="10" xfId="0" applyFont="1" applyNumberFormat="1"/>
    <xf borderId="0" fillId="0" fontId="22" numFmtId="10" xfId="0" applyAlignment="1" applyFont="1" applyNumberFormat="1">
      <alignment readingOrder="0"/>
    </xf>
    <xf borderId="0" fillId="0" fontId="22" numFmtId="10" xfId="0" applyFont="1" applyNumberFormat="1"/>
    <xf borderId="0" fillId="0" fontId="17" numFmtId="164" xfId="0" applyAlignment="1" applyFont="1" applyNumberFormat="1">
      <alignment readingOrder="0"/>
    </xf>
    <xf borderId="0" fillId="0" fontId="13" numFmtId="164" xfId="0" applyAlignment="1" applyFont="1" applyNumberFormat="1">
      <alignment readingOrder="0"/>
    </xf>
    <xf borderId="20" fillId="0" fontId="13" numFmtId="164" xfId="0" applyBorder="1" applyFont="1" applyNumberFormat="1"/>
    <xf borderId="0" fillId="0" fontId="17" numFmtId="164" xfId="0" applyFont="1" applyNumberFormat="1"/>
    <xf borderId="20" fillId="0" fontId="13" numFmtId="164" xfId="0" applyAlignment="1" applyBorder="1" applyFont="1" applyNumberFormat="1">
      <alignment readingOrder="0"/>
    </xf>
    <xf borderId="0" fillId="0" fontId="22" numFmtId="0" xfId="0" applyAlignment="1" applyFont="1">
      <alignment readingOrder="0"/>
    </xf>
    <xf borderId="0" fillId="0" fontId="24" numFmtId="164" xfId="0" applyAlignment="1" applyFont="1" applyNumberFormat="1">
      <alignment readingOrder="0"/>
    </xf>
    <xf borderId="22" fillId="0" fontId="22" numFmtId="164" xfId="0" applyAlignment="1" applyBorder="1" applyFont="1" applyNumberFormat="1">
      <alignment readingOrder="0"/>
    </xf>
    <xf borderId="22" fillId="0" fontId="22" numFmtId="164" xfId="0" applyBorder="1" applyFont="1" applyNumberFormat="1"/>
    <xf borderId="22" fillId="0" fontId="13" numFmtId="164" xfId="0" applyBorder="1" applyFont="1" applyNumberFormat="1"/>
    <xf borderId="22" fillId="0" fontId="24" numFmtId="164" xfId="0" applyAlignment="1" applyBorder="1" applyFont="1" applyNumberFormat="1">
      <alignment readingOrder="0"/>
    </xf>
    <xf borderId="22" fillId="0" fontId="25" numFmtId="164" xfId="0" applyBorder="1" applyFont="1" applyNumberFormat="1"/>
    <xf borderId="0" fillId="0" fontId="26" numFmtId="164" xfId="0" applyAlignment="1" applyFont="1" applyNumberFormat="1">
      <alignment horizontal="center" readingOrder="0"/>
    </xf>
    <xf borderId="0" fillId="0" fontId="25" numFmtId="164" xfId="0" applyAlignment="1" applyFont="1" applyNumberFormat="1">
      <alignment horizontal="center"/>
    </xf>
    <xf borderId="0" fillId="0" fontId="27" numFmtId="0" xfId="0" applyAlignment="1" applyFont="1">
      <alignment readingOrder="0"/>
    </xf>
    <xf borderId="0" fillId="0" fontId="28"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CR4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3.88"/>
    <col customWidth="1" min="3" max="3" width="12.38"/>
    <col customWidth="1" min="4" max="5" width="14.13"/>
  </cols>
  <sheetData>
    <row r="1">
      <c r="A1" s="39"/>
      <c r="B1" s="39" t="s">
        <v>8</v>
      </c>
      <c r="C1" s="40"/>
      <c r="D1" s="40"/>
      <c r="E1" s="40"/>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2"/>
      <c r="E2" s="42"/>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0"/>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0"/>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 r="A6" s="47"/>
      <c r="B6" s="48" t="s">
        <v>12</v>
      </c>
      <c r="C6" s="49"/>
      <c r="D6" s="49"/>
      <c r="E6" s="49"/>
      <c r="F6" s="49"/>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outlineLevel="1">
      <c r="A7" s="47"/>
      <c r="B7" s="47"/>
      <c r="C7" s="47"/>
      <c r="D7" s="47"/>
      <c r="E7" s="47"/>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outlineLevel="1">
      <c r="A8" s="51"/>
      <c r="B8" s="52" t="s">
        <v>13</v>
      </c>
      <c r="C8" s="51"/>
      <c r="D8" s="53"/>
      <c r="E8" s="53"/>
      <c r="F8" s="54"/>
      <c r="G8" s="54"/>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1"/>
      <c r="BK8" s="51"/>
      <c r="BL8" s="51"/>
      <c r="BM8" s="51"/>
      <c r="BN8" s="51"/>
    </row>
    <row r="9" outlineLevel="1">
      <c r="A9" s="55"/>
      <c r="B9" s="56" t="s">
        <v>14</v>
      </c>
      <c r="C9" s="55"/>
      <c r="D9" s="57">
        <v>5000.0</v>
      </c>
      <c r="E9" s="55"/>
      <c r="F9" s="58"/>
      <c r="G9" s="58">
        <f t="shared" ref="G9:G14" si="6">D9</f>
        <v>5000</v>
      </c>
      <c r="H9" s="58">
        <f t="shared" ref="H9:BN9" si="5">G9</f>
        <v>5000</v>
      </c>
      <c r="I9" s="58">
        <f t="shared" si="5"/>
        <v>5000</v>
      </c>
      <c r="J9" s="58">
        <f t="shared" si="5"/>
        <v>5000</v>
      </c>
      <c r="K9" s="58">
        <f t="shared" si="5"/>
        <v>5000</v>
      </c>
      <c r="L9" s="58">
        <f t="shared" si="5"/>
        <v>5000</v>
      </c>
      <c r="M9" s="58">
        <f t="shared" si="5"/>
        <v>5000</v>
      </c>
      <c r="N9" s="58">
        <f t="shared" si="5"/>
        <v>5000</v>
      </c>
      <c r="O9" s="58">
        <f t="shared" si="5"/>
        <v>5000</v>
      </c>
      <c r="P9" s="58">
        <f t="shared" si="5"/>
        <v>5000</v>
      </c>
      <c r="Q9" s="58">
        <f t="shared" si="5"/>
        <v>5000</v>
      </c>
      <c r="R9" s="58">
        <f t="shared" si="5"/>
        <v>5000</v>
      </c>
      <c r="S9" s="58">
        <f t="shared" si="5"/>
        <v>5000</v>
      </c>
      <c r="T9" s="58">
        <f t="shared" si="5"/>
        <v>5000</v>
      </c>
      <c r="U9" s="58">
        <f t="shared" si="5"/>
        <v>5000</v>
      </c>
      <c r="V9" s="58">
        <f t="shared" si="5"/>
        <v>5000</v>
      </c>
      <c r="W9" s="58">
        <f t="shared" si="5"/>
        <v>5000</v>
      </c>
      <c r="X9" s="58">
        <f t="shared" si="5"/>
        <v>5000</v>
      </c>
      <c r="Y9" s="58">
        <f t="shared" si="5"/>
        <v>5000</v>
      </c>
      <c r="Z9" s="58">
        <f t="shared" si="5"/>
        <v>5000</v>
      </c>
      <c r="AA9" s="58">
        <f t="shared" si="5"/>
        <v>5000</v>
      </c>
      <c r="AB9" s="58">
        <f t="shared" si="5"/>
        <v>5000</v>
      </c>
      <c r="AC9" s="58">
        <f t="shared" si="5"/>
        <v>5000</v>
      </c>
      <c r="AD9" s="58">
        <f t="shared" si="5"/>
        <v>5000</v>
      </c>
      <c r="AE9" s="58">
        <f t="shared" si="5"/>
        <v>5000</v>
      </c>
      <c r="AF9" s="58">
        <f t="shared" si="5"/>
        <v>5000</v>
      </c>
      <c r="AG9" s="58">
        <f t="shared" si="5"/>
        <v>5000</v>
      </c>
      <c r="AH9" s="58">
        <f t="shared" si="5"/>
        <v>5000</v>
      </c>
      <c r="AI9" s="58">
        <f t="shared" si="5"/>
        <v>5000</v>
      </c>
      <c r="AJ9" s="58">
        <f t="shared" si="5"/>
        <v>5000</v>
      </c>
      <c r="AK9" s="58">
        <f t="shared" si="5"/>
        <v>5000</v>
      </c>
      <c r="AL9" s="58">
        <f t="shared" si="5"/>
        <v>5000</v>
      </c>
      <c r="AM9" s="58">
        <f t="shared" si="5"/>
        <v>5000</v>
      </c>
      <c r="AN9" s="58">
        <f t="shared" si="5"/>
        <v>5000</v>
      </c>
      <c r="AO9" s="58">
        <f t="shared" si="5"/>
        <v>5000</v>
      </c>
      <c r="AP9" s="58">
        <f t="shared" si="5"/>
        <v>5000</v>
      </c>
      <c r="AQ9" s="58">
        <f t="shared" si="5"/>
        <v>5000</v>
      </c>
      <c r="AR9" s="58">
        <f t="shared" si="5"/>
        <v>5000</v>
      </c>
      <c r="AS9" s="58">
        <f t="shared" si="5"/>
        <v>5000</v>
      </c>
      <c r="AT9" s="58">
        <f t="shared" si="5"/>
        <v>5000</v>
      </c>
      <c r="AU9" s="58">
        <f t="shared" si="5"/>
        <v>5000</v>
      </c>
      <c r="AV9" s="58">
        <f t="shared" si="5"/>
        <v>5000</v>
      </c>
      <c r="AW9" s="58">
        <f t="shared" si="5"/>
        <v>5000</v>
      </c>
      <c r="AX9" s="58">
        <f t="shared" si="5"/>
        <v>5000</v>
      </c>
      <c r="AY9" s="58">
        <f t="shared" si="5"/>
        <v>5000</v>
      </c>
      <c r="AZ9" s="58">
        <f t="shared" si="5"/>
        <v>5000</v>
      </c>
      <c r="BA9" s="58">
        <f t="shared" si="5"/>
        <v>5000</v>
      </c>
      <c r="BB9" s="58">
        <f t="shared" si="5"/>
        <v>5000</v>
      </c>
      <c r="BC9" s="58">
        <f t="shared" si="5"/>
        <v>5000</v>
      </c>
      <c r="BD9" s="58">
        <f t="shared" si="5"/>
        <v>5000</v>
      </c>
      <c r="BE9" s="58">
        <f t="shared" si="5"/>
        <v>5000</v>
      </c>
      <c r="BF9" s="58">
        <f t="shared" si="5"/>
        <v>5000</v>
      </c>
      <c r="BG9" s="58">
        <f t="shared" si="5"/>
        <v>5000</v>
      </c>
      <c r="BH9" s="58">
        <f t="shared" si="5"/>
        <v>5000</v>
      </c>
      <c r="BI9" s="58">
        <f t="shared" si="5"/>
        <v>5000</v>
      </c>
      <c r="BJ9" s="58">
        <f t="shared" si="5"/>
        <v>5000</v>
      </c>
      <c r="BK9" s="58">
        <f t="shared" si="5"/>
        <v>5000</v>
      </c>
      <c r="BL9" s="58">
        <f t="shared" si="5"/>
        <v>5000</v>
      </c>
      <c r="BM9" s="58">
        <f t="shared" si="5"/>
        <v>5000</v>
      </c>
      <c r="BN9" s="58">
        <f t="shared" si="5"/>
        <v>5000</v>
      </c>
    </row>
    <row r="10" outlineLevel="1">
      <c r="A10" s="55"/>
      <c r="B10" s="56" t="s">
        <v>15</v>
      </c>
      <c r="C10" s="55"/>
      <c r="D10" s="57">
        <v>4000.0</v>
      </c>
      <c r="E10" s="55"/>
      <c r="F10" s="58"/>
      <c r="G10" s="58">
        <f t="shared" si="6"/>
        <v>4000</v>
      </c>
      <c r="H10" s="58">
        <f t="shared" ref="H10:BN10" si="7">G10</f>
        <v>4000</v>
      </c>
      <c r="I10" s="58">
        <f t="shared" si="7"/>
        <v>4000</v>
      </c>
      <c r="J10" s="58">
        <f t="shared" si="7"/>
        <v>4000</v>
      </c>
      <c r="K10" s="58">
        <f t="shared" si="7"/>
        <v>4000</v>
      </c>
      <c r="L10" s="58">
        <f t="shared" si="7"/>
        <v>4000</v>
      </c>
      <c r="M10" s="58">
        <f t="shared" si="7"/>
        <v>4000</v>
      </c>
      <c r="N10" s="58">
        <f t="shared" si="7"/>
        <v>4000</v>
      </c>
      <c r="O10" s="58">
        <f t="shared" si="7"/>
        <v>4000</v>
      </c>
      <c r="P10" s="58">
        <f t="shared" si="7"/>
        <v>4000</v>
      </c>
      <c r="Q10" s="58">
        <f t="shared" si="7"/>
        <v>4000</v>
      </c>
      <c r="R10" s="58">
        <f t="shared" si="7"/>
        <v>4000</v>
      </c>
      <c r="S10" s="58">
        <f t="shared" si="7"/>
        <v>4000</v>
      </c>
      <c r="T10" s="58">
        <f t="shared" si="7"/>
        <v>4000</v>
      </c>
      <c r="U10" s="58">
        <f t="shared" si="7"/>
        <v>4000</v>
      </c>
      <c r="V10" s="58">
        <f t="shared" si="7"/>
        <v>4000</v>
      </c>
      <c r="W10" s="58">
        <f t="shared" si="7"/>
        <v>4000</v>
      </c>
      <c r="X10" s="58">
        <f t="shared" si="7"/>
        <v>4000</v>
      </c>
      <c r="Y10" s="58">
        <f t="shared" si="7"/>
        <v>4000</v>
      </c>
      <c r="Z10" s="58">
        <f t="shared" si="7"/>
        <v>4000</v>
      </c>
      <c r="AA10" s="58">
        <f t="shared" si="7"/>
        <v>4000</v>
      </c>
      <c r="AB10" s="58">
        <f t="shared" si="7"/>
        <v>4000</v>
      </c>
      <c r="AC10" s="58">
        <f t="shared" si="7"/>
        <v>4000</v>
      </c>
      <c r="AD10" s="58">
        <f t="shared" si="7"/>
        <v>4000</v>
      </c>
      <c r="AE10" s="58">
        <f t="shared" si="7"/>
        <v>4000</v>
      </c>
      <c r="AF10" s="58">
        <f t="shared" si="7"/>
        <v>4000</v>
      </c>
      <c r="AG10" s="58">
        <f t="shared" si="7"/>
        <v>4000</v>
      </c>
      <c r="AH10" s="58">
        <f t="shared" si="7"/>
        <v>4000</v>
      </c>
      <c r="AI10" s="58">
        <f t="shared" si="7"/>
        <v>4000</v>
      </c>
      <c r="AJ10" s="58">
        <f t="shared" si="7"/>
        <v>4000</v>
      </c>
      <c r="AK10" s="58">
        <f t="shared" si="7"/>
        <v>4000</v>
      </c>
      <c r="AL10" s="58">
        <f t="shared" si="7"/>
        <v>4000</v>
      </c>
      <c r="AM10" s="58">
        <f t="shared" si="7"/>
        <v>4000</v>
      </c>
      <c r="AN10" s="58">
        <f t="shared" si="7"/>
        <v>4000</v>
      </c>
      <c r="AO10" s="58">
        <f t="shared" si="7"/>
        <v>4000</v>
      </c>
      <c r="AP10" s="58">
        <f t="shared" si="7"/>
        <v>4000</v>
      </c>
      <c r="AQ10" s="58">
        <f t="shared" si="7"/>
        <v>4000</v>
      </c>
      <c r="AR10" s="58">
        <f t="shared" si="7"/>
        <v>4000</v>
      </c>
      <c r="AS10" s="58">
        <f t="shared" si="7"/>
        <v>4000</v>
      </c>
      <c r="AT10" s="58">
        <f t="shared" si="7"/>
        <v>4000</v>
      </c>
      <c r="AU10" s="58">
        <f t="shared" si="7"/>
        <v>4000</v>
      </c>
      <c r="AV10" s="58">
        <f t="shared" si="7"/>
        <v>4000</v>
      </c>
      <c r="AW10" s="58">
        <f t="shared" si="7"/>
        <v>4000</v>
      </c>
      <c r="AX10" s="58">
        <f t="shared" si="7"/>
        <v>4000</v>
      </c>
      <c r="AY10" s="58">
        <f t="shared" si="7"/>
        <v>4000</v>
      </c>
      <c r="AZ10" s="58">
        <f t="shared" si="7"/>
        <v>4000</v>
      </c>
      <c r="BA10" s="58">
        <f t="shared" si="7"/>
        <v>4000</v>
      </c>
      <c r="BB10" s="58">
        <f t="shared" si="7"/>
        <v>4000</v>
      </c>
      <c r="BC10" s="58">
        <f t="shared" si="7"/>
        <v>4000</v>
      </c>
      <c r="BD10" s="58">
        <f t="shared" si="7"/>
        <v>4000</v>
      </c>
      <c r="BE10" s="58">
        <f t="shared" si="7"/>
        <v>4000</v>
      </c>
      <c r="BF10" s="58">
        <f t="shared" si="7"/>
        <v>4000</v>
      </c>
      <c r="BG10" s="58">
        <f t="shared" si="7"/>
        <v>4000</v>
      </c>
      <c r="BH10" s="58">
        <f t="shared" si="7"/>
        <v>4000</v>
      </c>
      <c r="BI10" s="58">
        <f t="shared" si="7"/>
        <v>4000</v>
      </c>
      <c r="BJ10" s="58">
        <f t="shared" si="7"/>
        <v>4000</v>
      </c>
      <c r="BK10" s="58">
        <f t="shared" si="7"/>
        <v>4000</v>
      </c>
      <c r="BL10" s="58">
        <f t="shared" si="7"/>
        <v>4000</v>
      </c>
      <c r="BM10" s="58">
        <f t="shared" si="7"/>
        <v>4000</v>
      </c>
      <c r="BN10" s="58">
        <f t="shared" si="7"/>
        <v>4000</v>
      </c>
    </row>
    <row r="11" outlineLevel="1">
      <c r="A11" s="55"/>
      <c r="B11" s="56" t="s">
        <v>16</v>
      </c>
      <c r="C11" s="55"/>
      <c r="D11" s="57">
        <v>3000.0</v>
      </c>
      <c r="E11" s="55"/>
      <c r="F11" s="58"/>
      <c r="G11" s="58">
        <f t="shared" si="6"/>
        <v>3000</v>
      </c>
      <c r="H11" s="58">
        <f t="shared" ref="H11:BN11" si="8">G11</f>
        <v>3000</v>
      </c>
      <c r="I11" s="58">
        <f t="shared" si="8"/>
        <v>3000</v>
      </c>
      <c r="J11" s="58">
        <f t="shared" si="8"/>
        <v>3000</v>
      </c>
      <c r="K11" s="58">
        <f t="shared" si="8"/>
        <v>3000</v>
      </c>
      <c r="L11" s="58">
        <f t="shared" si="8"/>
        <v>3000</v>
      </c>
      <c r="M11" s="58">
        <f t="shared" si="8"/>
        <v>3000</v>
      </c>
      <c r="N11" s="58">
        <f t="shared" si="8"/>
        <v>3000</v>
      </c>
      <c r="O11" s="58">
        <f t="shared" si="8"/>
        <v>3000</v>
      </c>
      <c r="P11" s="58">
        <f t="shared" si="8"/>
        <v>3000</v>
      </c>
      <c r="Q11" s="58">
        <f t="shared" si="8"/>
        <v>3000</v>
      </c>
      <c r="R11" s="58">
        <f t="shared" si="8"/>
        <v>3000</v>
      </c>
      <c r="S11" s="58">
        <f t="shared" si="8"/>
        <v>3000</v>
      </c>
      <c r="T11" s="58">
        <f t="shared" si="8"/>
        <v>3000</v>
      </c>
      <c r="U11" s="58">
        <f t="shared" si="8"/>
        <v>3000</v>
      </c>
      <c r="V11" s="58">
        <f t="shared" si="8"/>
        <v>3000</v>
      </c>
      <c r="W11" s="58">
        <f t="shared" si="8"/>
        <v>3000</v>
      </c>
      <c r="X11" s="58">
        <f t="shared" si="8"/>
        <v>3000</v>
      </c>
      <c r="Y11" s="58">
        <f t="shared" si="8"/>
        <v>3000</v>
      </c>
      <c r="Z11" s="58">
        <f t="shared" si="8"/>
        <v>3000</v>
      </c>
      <c r="AA11" s="58">
        <f t="shared" si="8"/>
        <v>3000</v>
      </c>
      <c r="AB11" s="58">
        <f t="shared" si="8"/>
        <v>3000</v>
      </c>
      <c r="AC11" s="58">
        <f t="shared" si="8"/>
        <v>3000</v>
      </c>
      <c r="AD11" s="58">
        <f t="shared" si="8"/>
        <v>3000</v>
      </c>
      <c r="AE11" s="58">
        <f t="shared" si="8"/>
        <v>3000</v>
      </c>
      <c r="AF11" s="58">
        <f t="shared" si="8"/>
        <v>3000</v>
      </c>
      <c r="AG11" s="58">
        <f t="shared" si="8"/>
        <v>3000</v>
      </c>
      <c r="AH11" s="58">
        <f t="shared" si="8"/>
        <v>3000</v>
      </c>
      <c r="AI11" s="58">
        <f t="shared" si="8"/>
        <v>3000</v>
      </c>
      <c r="AJ11" s="58">
        <f t="shared" si="8"/>
        <v>3000</v>
      </c>
      <c r="AK11" s="58">
        <f t="shared" si="8"/>
        <v>3000</v>
      </c>
      <c r="AL11" s="58">
        <f t="shared" si="8"/>
        <v>3000</v>
      </c>
      <c r="AM11" s="58">
        <f t="shared" si="8"/>
        <v>3000</v>
      </c>
      <c r="AN11" s="58">
        <f t="shared" si="8"/>
        <v>3000</v>
      </c>
      <c r="AO11" s="58">
        <f t="shared" si="8"/>
        <v>3000</v>
      </c>
      <c r="AP11" s="58">
        <f t="shared" si="8"/>
        <v>3000</v>
      </c>
      <c r="AQ11" s="58">
        <f t="shared" si="8"/>
        <v>3000</v>
      </c>
      <c r="AR11" s="58">
        <f t="shared" si="8"/>
        <v>3000</v>
      </c>
      <c r="AS11" s="58">
        <f t="shared" si="8"/>
        <v>3000</v>
      </c>
      <c r="AT11" s="58">
        <f t="shared" si="8"/>
        <v>3000</v>
      </c>
      <c r="AU11" s="58">
        <f t="shared" si="8"/>
        <v>3000</v>
      </c>
      <c r="AV11" s="58">
        <f t="shared" si="8"/>
        <v>3000</v>
      </c>
      <c r="AW11" s="58">
        <f t="shared" si="8"/>
        <v>3000</v>
      </c>
      <c r="AX11" s="58">
        <f t="shared" si="8"/>
        <v>3000</v>
      </c>
      <c r="AY11" s="58">
        <f t="shared" si="8"/>
        <v>3000</v>
      </c>
      <c r="AZ11" s="58">
        <f t="shared" si="8"/>
        <v>3000</v>
      </c>
      <c r="BA11" s="58">
        <f t="shared" si="8"/>
        <v>3000</v>
      </c>
      <c r="BB11" s="58">
        <f t="shared" si="8"/>
        <v>3000</v>
      </c>
      <c r="BC11" s="58">
        <f t="shared" si="8"/>
        <v>3000</v>
      </c>
      <c r="BD11" s="58">
        <f t="shared" si="8"/>
        <v>3000</v>
      </c>
      <c r="BE11" s="58">
        <f t="shared" si="8"/>
        <v>3000</v>
      </c>
      <c r="BF11" s="58">
        <f t="shared" si="8"/>
        <v>3000</v>
      </c>
      <c r="BG11" s="58">
        <f t="shared" si="8"/>
        <v>3000</v>
      </c>
      <c r="BH11" s="58">
        <f t="shared" si="8"/>
        <v>3000</v>
      </c>
      <c r="BI11" s="58">
        <f t="shared" si="8"/>
        <v>3000</v>
      </c>
      <c r="BJ11" s="58">
        <f t="shared" si="8"/>
        <v>3000</v>
      </c>
      <c r="BK11" s="58">
        <f t="shared" si="8"/>
        <v>3000</v>
      </c>
      <c r="BL11" s="58">
        <f t="shared" si="8"/>
        <v>3000</v>
      </c>
      <c r="BM11" s="58">
        <f t="shared" si="8"/>
        <v>3000</v>
      </c>
      <c r="BN11" s="58">
        <f t="shared" si="8"/>
        <v>3000</v>
      </c>
    </row>
    <row r="12" outlineLevel="1">
      <c r="A12" s="55"/>
      <c r="B12" s="56" t="s">
        <v>17</v>
      </c>
      <c r="C12" s="55"/>
      <c r="D12" s="57">
        <v>2000.0</v>
      </c>
      <c r="E12" s="55"/>
      <c r="F12" s="58"/>
      <c r="G12" s="58">
        <f t="shared" si="6"/>
        <v>2000</v>
      </c>
      <c r="H12" s="58">
        <f t="shared" ref="H12:BN12" si="9">G12</f>
        <v>2000</v>
      </c>
      <c r="I12" s="58">
        <f t="shared" si="9"/>
        <v>2000</v>
      </c>
      <c r="J12" s="58">
        <f t="shared" si="9"/>
        <v>2000</v>
      </c>
      <c r="K12" s="58">
        <f t="shared" si="9"/>
        <v>2000</v>
      </c>
      <c r="L12" s="58">
        <f t="shared" si="9"/>
        <v>2000</v>
      </c>
      <c r="M12" s="58">
        <f t="shared" si="9"/>
        <v>2000</v>
      </c>
      <c r="N12" s="58">
        <f t="shared" si="9"/>
        <v>2000</v>
      </c>
      <c r="O12" s="58">
        <f t="shared" si="9"/>
        <v>2000</v>
      </c>
      <c r="P12" s="58">
        <f t="shared" si="9"/>
        <v>2000</v>
      </c>
      <c r="Q12" s="58">
        <f t="shared" si="9"/>
        <v>2000</v>
      </c>
      <c r="R12" s="58">
        <f t="shared" si="9"/>
        <v>2000</v>
      </c>
      <c r="S12" s="58">
        <f t="shared" si="9"/>
        <v>2000</v>
      </c>
      <c r="T12" s="58">
        <f t="shared" si="9"/>
        <v>2000</v>
      </c>
      <c r="U12" s="58">
        <f t="shared" si="9"/>
        <v>2000</v>
      </c>
      <c r="V12" s="58">
        <f t="shared" si="9"/>
        <v>2000</v>
      </c>
      <c r="W12" s="58">
        <f t="shared" si="9"/>
        <v>2000</v>
      </c>
      <c r="X12" s="58">
        <f t="shared" si="9"/>
        <v>2000</v>
      </c>
      <c r="Y12" s="58">
        <f t="shared" si="9"/>
        <v>2000</v>
      </c>
      <c r="Z12" s="58">
        <f t="shared" si="9"/>
        <v>2000</v>
      </c>
      <c r="AA12" s="58">
        <f t="shared" si="9"/>
        <v>2000</v>
      </c>
      <c r="AB12" s="58">
        <f t="shared" si="9"/>
        <v>2000</v>
      </c>
      <c r="AC12" s="58">
        <f t="shared" si="9"/>
        <v>2000</v>
      </c>
      <c r="AD12" s="58">
        <f t="shared" si="9"/>
        <v>2000</v>
      </c>
      <c r="AE12" s="58">
        <f t="shared" si="9"/>
        <v>2000</v>
      </c>
      <c r="AF12" s="58">
        <f t="shared" si="9"/>
        <v>2000</v>
      </c>
      <c r="AG12" s="58">
        <f t="shared" si="9"/>
        <v>2000</v>
      </c>
      <c r="AH12" s="58">
        <f t="shared" si="9"/>
        <v>2000</v>
      </c>
      <c r="AI12" s="58">
        <f t="shared" si="9"/>
        <v>2000</v>
      </c>
      <c r="AJ12" s="58">
        <f t="shared" si="9"/>
        <v>2000</v>
      </c>
      <c r="AK12" s="58">
        <f t="shared" si="9"/>
        <v>2000</v>
      </c>
      <c r="AL12" s="58">
        <f t="shared" si="9"/>
        <v>2000</v>
      </c>
      <c r="AM12" s="58">
        <f t="shared" si="9"/>
        <v>2000</v>
      </c>
      <c r="AN12" s="58">
        <f t="shared" si="9"/>
        <v>2000</v>
      </c>
      <c r="AO12" s="58">
        <f t="shared" si="9"/>
        <v>2000</v>
      </c>
      <c r="AP12" s="58">
        <f t="shared" si="9"/>
        <v>2000</v>
      </c>
      <c r="AQ12" s="58">
        <f t="shared" si="9"/>
        <v>2000</v>
      </c>
      <c r="AR12" s="58">
        <f t="shared" si="9"/>
        <v>2000</v>
      </c>
      <c r="AS12" s="58">
        <f t="shared" si="9"/>
        <v>2000</v>
      </c>
      <c r="AT12" s="58">
        <f t="shared" si="9"/>
        <v>2000</v>
      </c>
      <c r="AU12" s="58">
        <f t="shared" si="9"/>
        <v>2000</v>
      </c>
      <c r="AV12" s="58">
        <f t="shared" si="9"/>
        <v>2000</v>
      </c>
      <c r="AW12" s="58">
        <f t="shared" si="9"/>
        <v>2000</v>
      </c>
      <c r="AX12" s="58">
        <f t="shared" si="9"/>
        <v>2000</v>
      </c>
      <c r="AY12" s="58">
        <f t="shared" si="9"/>
        <v>2000</v>
      </c>
      <c r="AZ12" s="58">
        <f t="shared" si="9"/>
        <v>2000</v>
      </c>
      <c r="BA12" s="58">
        <f t="shared" si="9"/>
        <v>2000</v>
      </c>
      <c r="BB12" s="58">
        <f t="shared" si="9"/>
        <v>2000</v>
      </c>
      <c r="BC12" s="58">
        <f t="shared" si="9"/>
        <v>2000</v>
      </c>
      <c r="BD12" s="58">
        <f t="shared" si="9"/>
        <v>2000</v>
      </c>
      <c r="BE12" s="58">
        <f t="shared" si="9"/>
        <v>2000</v>
      </c>
      <c r="BF12" s="58">
        <f t="shared" si="9"/>
        <v>2000</v>
      </c>
      <c r="BG12" s="58">
        <f t="shared" si="9"/>
        <v>2000</v>
      </c>
      <c r="BH12" s="58">
        <f t="shared" si="9"/>
        <v>2000</v>
      </c>
      <c r="BI12" s="58">
        <f t="shared" si="9"/>
        <v>2000</v>
      </c>
      <c r="BJ12" s="58">
        <f t="shared" si="9"/>
        <v>2000</v>
      </c>
      <c r="BK12" s="58">
        <f t="shared" si="9"/>
        <v>2000</v>
      </c>
      <c r="BL12" s="58">
        <f t="shared" si="9"/>
        <v>2000</v>
      </c>
      <c r="BM12" s="58">
        <f t="shared" si="9"/>
        <v>2000</v>
      </c>
      <c r="BN12" s="58">
        <f t="shared" si="9"/>
        <v>2000</v>
      </c>
    </row>
    <row r="13" outlineLevel="1">
      <c r="A13" s="55"/>
      <c r="B13" s="56" t="s">
        <v>18</v>
      </c>
      <c r="C13" s="55"/>
      <c r="D13" s="57">
        <v>1000.0</v>
      </c>
      <c r="E13" s="55"/>
      <c r="F13" s="58"/>
      <c r="G13" s="58">
        <f t="shared" si="6"/>
        <v>1000</v>
      </c>
      <c r="H13" s="58">
        <f t="shared" ref="H13:BN13" si="10">G13</f>
        <v>1000</v>
      </c>
      <c r="I13" s="58">
        <f t="shared" si="10"/>
        <v>1000</v>
      </c>
      <c r="J13" s="58">
        <f t="shared" si="10"/>
        <v>1000</v>
      </c>
      <c r="K13" s="58">
        <f t="shared" si="10"/>
        <v>1000</v>
      </c>
      <c r="L13" s="58">
        <f t="shared" si="10"/>
        <v>1000</v>
      </c>
      <c r="M13" s="58">
        <f t="shared" si="10"/>
        <v>1000</v>
      </c>
      <c r="N13" s="58">
        <f t="shared" si="10"/>
        <v>1000</v>
      </c>
      <c r="O13" s="58">
        <f t="shared" si="10"/>
        <v>1000</v>
      </c>
      <c r="P13" s="58">
        <f t="shared" si="10"/>
        <v>1000</v>
      </c>
      <c r="Q13" s="58">
        <f t="shared" si="10"/>
        <v>1000</v>
      </c>
      <c r="R13" s="58">
        <f t="shared" si="10"/>
        <v>1000</v>
      </c>
      <c r="S13" s="58">
        <f t="shared" si="10"/>
        <v>1000</v>
      </c>
      <c r="T13" s="58">
        <f t="shared" si="10"/>
        <v>1000</v>
      </c>
      <c r="U13" s="58">
        <f t="shared" si="10"/>
        <v>1000</v>
      </c>
      <c r="V13" s="58">
        <f t="shared" si="10"/>
        <v>1000</v>
      </c>
      <c r="W13" s="58">
        <f t="shared" si="10"/>
        <v>1000</v>
      </c>
      <c r="X13" s="58">
        <f t="shared" si="10"/>
        <v>1000</v>
      </c>
      <c r="Y13" s="58">
        <f t="shared" si="10"/>
        <v>1000</v>
      </c>
      <c r="Z13" s="58">
        <f t="shared" si="10"/>
        <v>1000</v>
      </c>
      <c r="AA13" s="58">
        <f t="shared" si="10"/>
        <v>1000</v>
      </c>
      <c r="AB13" s="58">
        <f t="shared" si="10"/>
        <v>1000</v>
      </c>
      <c r="AC13" s="58">
        <f t="shared" si="10"/>
        <v>1000</v>
      </c>
      <c r="AD13" s="58">
        <f t="shared" si="10"/>
        <v>1000</v>
      </c>
      <c r="AE13" s="58">
        <f t="shared" si="10"/>
        <v>1000</v>
      </c>
      <c r="AF13" s="58">
        <f t="shared" si="10"/>
        <v>1000</v>
      </c>
      <c r="AG13" s="58">
        <f t="shared" si="10"/>
        <v>1000</v>
      </c>
      <c r="AH13" s="58">
        <f t="shared" si="10"/>
        <v>1000</v>
      </c>
      <c r="AI13" s="58">
        <f t="shared" si="10"/>
        <v>1000</v>
      </c>
      <c r="AJ13" s="58">
        <f t="shared" si="10"/>
        <v>1000</v>
      </c>
      <c r="AK13" s="58">
        <f t="shared" si="10"/>
        <v>1000</v>
      </c>
      <c r="AL13" s="58">
        <f t="shared" si="10"/>
        <v>1000</v>
      </c>
      <c r="AM13" s="58">
        <f t="shared" si="10"/>
        <v>1000</v>
      </c>
      <c r="AN13" s="58">
        <f t="shared" si="10"/>
        <v>1000</v>
      </c>
      <c r="AO13" s="58">
        <f t="shared" si="10"/>
        <v>1000</v>
      </c>
      <c r="AP13" s="58">
        <f t="shared" si="10"/>
        <v>1000</v>
      </c>
      <c r="AQ13" s="58">
        <f t="shared" si="10"/>
        <v>1000</v>
      </c>
      <c r="AR13" s="58">
        <f t="shared" si="10"/>
        <v>1000</v>
      </c>
      <c r="AS13" s="58">
        <f t="shared" si="10"/>
        <v>1000</v>
      </c>
      <c r="AT13" s="58">
        <f t="shared" si="10"/>
        <v>1000</v>
      </c>
      <c r="AU13" s="58">
        <f t="shared" si="10"/>
        <v>1000</v>
      </c>
      <c r="AV13" s="58">
        <f t="shared" si="10"/>
        <v>1000</v>
      </c>
      <c r="AW13" s="58">
        <f t="shared" si="10"/>
        <v>1000</v>
      </c>
      <c r="AX13" s="58">
        <f t="shared" si="10"/>
        <v>1000</v>
      </c>
      <c r="AY13" s="58">
        <f t="shared" si="10"/>
        <v>1000</v>
      </c>
      <c r="AZ13" s="58">
        <f t="shared" si="10"/>
        <v>1000</v>
      </c>
      <c r="BA13" s="58">
        <f t="shared" si="10"/>
        <v>1000</v>
      </c>
      <c r="BB13" s="58">
        <f t="shared" si="10"/>
        <v>1000</v>
      </c>
      <c r="BC13" s="58">
        <f t="shared" si="10"/>
        <v>1000</v>
      </c>
      <c r="BD13" s="58">
        <f t="shared" si="10"/>
        <v>1000</v>
      </c>
      <c r="BE13" s="58">
        <f t="shared" si="10"/>
        <v>1000</v>
      </c>
      <c r="BF13" s="58">
        <f t="shared" si="10"/>
        <v>1000</v>
      </c>
      <c r="BG13" s="58">
        <f t="shared" si="10"/>
        <v>1000</v>
      </c>
      <c r="BH13" s="58">
        <f t="shared" si="10"/>
        <v>1000</v>
      </c>
      <c r="BI13" s="58">
        <f t="shared" si="10"/>
        <v>1000</v>
      </c>
      <c r="BJ13" s="58">
        <f t="shared" si="10"/>
        <v>1000</v>
      </c>
      <c r="BK13" s="58">
        <f t="shared" si="10"/>
        <v>1000</v>
      </c>
      <c r="BL13" s="58">
        <f t="shared" si="10"/>
        <v>1000</v>
      </c>
      <c r="BM13" s="58">
        <f t="shared" si="10"/>
        <v>1000</v>
      </c>
      <c r="BN13" s="58">
        <f t="shared" si="10"/>
        <v>1000</v>
      </c>
    </row>
    <row r="14" outlineLevel="1">
      <c r="A14" s="55"/>
      <c r="B14" s="59" t="s">
        <v>19</v>
      </c>
      <c r="C14" s="60"/>
      <c r="D14" s="61">
        <v>500.0</v>
      </c>
      <c r="E14" s="60"/>
      <c r="F14" s="62"/>
      <c r="G14" s="63">
        <f t="shared" si="6"/>
        <v>500</v>
      </c>
      <c r="H14" s="63">
        <f t="shared" ref="H14:BN14" si="11">G14</f>
        <v>500</v>
      </c>
      <c r="I14" s="63">
        <f t="shared" si="11"/>
        <v>500</v>
      </c>
      <c r="J14" s="63">
        <f t="shared" si="11"/>
        <v>500</v>
      </c>
      <c r="K14" s="63">
        <f t="shared" si="11"/>
        <v>500</v>
      </c>
      <c r="L14" s="63">
        <f t="shared" si="11"/>
        <v>500</v>
      </c>
      <c r="M14" s="63">
        <f t="shared" si="11"/>
        <v>500</v>
      </c>
      <c r="N14" s="63">
        <f t="shared" si="11"/>
        <v>500</v>
      </c>
      <c r="O14" s="63">
        <f t="shared" si="11"/>
        <v>500</v>
      </c>
      <c r="P14" s="63">
        <f t="shared" si="11"/>
        <v>500</v>
      </c>
      <c r="Q14" s="63">
        <f t="shared" si="11"/>
        <v>500</v>
      </c>
      <c r="R14" s="63">
        <f t="shared" si="11"/>
        <v>500</v>
      </c>
      <c r="S14" s="63">
        <f t="shared" si="11"/>
        <v>500</v>
      </c>
      <c r="T14" s="63">
        <f t="shared" si="11"/>
        <v>500</v>
      </c>
      <c r="U14" s="63">
        <f t="shared" si="11"/>
        <v>500</v>
      </c>
      <c r="V14" s="63">
        <f t="shared" si="11"/>
        <v>500</v>
      </c>
      <c r="W14" s="63">
        <f t="shared" si="11"/>
        <v>500</v>
      </c>
      <c r="X14" s="63">
        <f t="shared" si="11"/>
        <v>500</v>
      </c>
      <c r="Y14" s="63">
        <f t="shared" si="11"/>
        <v>500</v>
      </c>
      <c r="Z14" s="63">
        <f t="shared" si="11"/>
        <v>500</v>
      </c>
      <c r="AA14" s="63">
        <f t="shared" si="11"/>
        <v>500</v>
      </c>
      <c r="AB14" s="63">
        <f t="shared" si="11"/>
        <v>500</v>
      </c>
      <c r="AC14" s="63">
        <f t="shared" si="11"/>
        <v>500</v>
      </c>
      <c r="AD14" s="63">
        <f t="shared" si="11"/>
        <v>500</v>
      </c>
      <c r="AE14" s="63">
        <f t="shared" si="11"/>
        <v>500</v>
      </c>
      <c r="AF14" s="63">
        <f t="shared" si="11"/>
        <v>500</v>
      </c>
      <c r="AG14" s="63">
        <f t="shared" si="11"/>
        <v>500</v>
      </c>
      <c r="AH14" s="63">
        <f t="shared" si="11"/>
        <v>500</v>
      </c>
      <c r="AI14" s="63">
        <f t="shared" si="11"/>
        <v>500</v>
      </c>
      <c r="AJ14" s="63">
        <f t="shared" si="11"/>
        <v>500</v>
      </c>
      <c r="AK14" s="63">
        <f t="shared" si="11"/>
        <v>500</v>
      </c>
      <c r="AL14" s="63">
        <f t="shared" si="11"/>
        <v>500</v>
      </c>
      <c r="AM14" s="63">
        <f t="shared" si="11"/>
        <v>500</v>
      </c>
      <c r="AN14" s="63">
        <f t="shared" si="11"/>
        <v>500</v>
      </c>
      <c r="AO14" s="63">
        <f t="shared" si="11"/>
        <v>500</v>
      </c>
      <c r="AP14" s="63">
        <f t="shared" si="11"/>
        <v>500</v>
      </c>
      <c r="AQ14" s="63">
        <f t="shared" si="11"/>
        <v>500</v>
      </c>
      <c r="AR14" s="63">
        <f t="shared" si="11"/>
        <v>500</v>
      </c>
      <c r="AS14" s="63">
        <f t="shared" si="11"/>
        <v>500</v>
      </c>
      <c r="AT14" s="63">
        <f t="shared" si="11"/>
        <v>500</v>
      </c>
      <c r="AU14" s="63">
        <f t="shared" si="11"/>
        <v>500</v>
      </c>
      <c r="AV14" s="63">
        <f t="shared" si="11"/>
        <v>500</v>
      </c>
      <c r="AW14" s="63">
        <f t="shared" si="11"/>
        <v>500</v>
      </c>
      <c r="AX14" s="63">
        <f t="shared" si="11"/>
        <v>500</v>
      </c>
      <c r="AY14" s="63">
        <f t="shared" si="11"/>
        <v>500</v>
      </c>
      <c r="AZ14" s="63">
        <f t="shared" si="11"/>
        <v>500</v>
      </c>
      <c r="BA14" s="63">
        <f t="shared" si="11"/>
        <v>500</v>
      </c>
      <c r="BB14" s="63">
        <f t="shared" si="11"/>
        <v>500</v>
      </c>
      <c r="BC14" s="63">
        <f t="shared" si="11"/>
        <v>500</v>
      </c>
      <c r="BD14" s="63">
        <f t="shared" si="11"/>
        <v>500</v>
      </c>
      <c r="BE14" s="63">
        <f t="shared" si="11"/>
        <v>500</v>
      </c>
      <c r="BF14" s="63">
        <f t="shared" si="11"/>
        <v>500</v>
      </c>
      <c r="BG14" s="63">
        <f t="shared" si="11"/>
        <v>500</v>
      </c>
      <c r="BH14" s="63">
        <f t="shared" si="11"/>
        <v>500</v>
      </c>
      <c r="BI14" s="63">
        <f t="shared" si="11"/>
        <v>500</v>
      </c>
      <c r="BJ14" s="63">
        <f t="shared" si="11"/>
        <v>500</v>
      </c>
      <c r="BK14" s="63">
        <f t="shared" si="11"/>
        <v>500</v>
      </c>
      <c r="BL14" s="63">
        <f t="shared" si="11"/>
        <v>500</v>
      </c>
      <c r="BM14" s="63">
        <f t="shared" si="11"/>
        <v>500</v>
      </c>
      <c r="BN14" s="63">
        <f t="shared" si="11"/>
        <v>500</v>
      </c>
    </row>
    <row r="15" outlineLevel="1">
      <c r="A15" s="55"/>
      <c r="B15" s="64" t="s">
        <v>20</v>
      </c>
      <c r="C15" s="55"/>
      <c r="D15" s="55"/>
      <c r="E15" s="55"/>
      <c r="F15" s="55"/>
      <c r="G15" s="65">
        <f t="shared" ref="G15:BN15" si="12">sum(G9:G14)</f>
        <v>15500</v>
      </c>
      <c r="H15" s="65">
        <f t="shared" si="12"/>
        <v>15500</v>
      </c>
      <c r="I15" s="65">
        <f t="shared" si="12"/>
        <v>15500</v>
      </c>
      <c r="J15" s="65">
        <f t="shared" si="12"/>
        <v>15500</v>
      </c>
      <c r="K15" s="65">
        <f t="shared" si="12"/>
        <v>15500</v>
      </c>
      <c r="L15" s="65">
        <f t="shared" si="12"/>
        <v>15500</v>
      </c>
      <c r="M15" s="65">
        <f t="shared" si="12"/>
        <v>15500</v>
      </c>
      <c r="N15" s="65">
        <f t="shared" si="12"/>
        <v>15500</v>
      </c>
      <c r="O15" s="65">
        <f t="shared" si="12"/>
        <v>15500</v>
      </c>
      <c r="P15" s="65">
        <f t="shared" si="12"/>
        <v>15500</v>
      </c>
      <c r="Q15" s="65">
        <f t="shared" si="12"/>
        <v>15500</v>
      </c>
      <c r="R15" s="65">
        <f t="shared" si="12"/>
        <v>15500</v>
      </c>
      <c r="S15" s="65">
        <f t="shared" si="12"/>
        <v>15500</v>
      </c>
      <c r="T15" s="65">
        <f t="shared" si="12"/>
        <v>15500</v>
      </c>
      <c r="U15" s="65">
        <f t="shared" si="12"/>
        <v>15500</v>
      </c>
      <c r="V15" s="65">
        <f t="shared" si="12"/>
        <v>15500</v>
      </c>
      <c r="W15" s="65">
        <f t="shared" si="12"/>
        <v>15500</v>
      </c>
      <c r="X15" s="65">
        <f t="shared" si="12"/>
        <v>15500</v>
      </c>
      <c r="Y15" s="65">
        <f t="shared" si="12"/>
        <v>15500</v>
      </c>
      <c r="Z15" s="65">
        <f t="shared" si="12"/>
        <v>15500</v>
      </c>
      <c r="AA15" s="65">
        <f t="shared" si="12"/>
        <v>15500</v>
      </c>
      <c r="AB15" s="65">
        <f t="shared" si="12"/>
        <v>15500</v>
      </c>
      <c r="AC15" s="65">
        <f t="shared" si="12"/>
        <v>15500</v>
      </c>
      <c r="AD15" s="65">
        <f t="shared" si="12"/>
        <v>15500</v>
      </c>
      <c r="AE15" s="65">
        <f t="shared" si="12"/>
        <v>15500</v>
      </c>
      <c r="AF15" s="65">
        <f t="shared" si="12"/>
        <v>15500</v>
      </c>
      <c r="AG15" s="65">
        <f t="shared" si="12"/>
        <v>15500</v>
      </c>
      <c r="AH15" s="65">
        <f t="shared" si="12"/>
        <v>15500</v>
      </c>
      <c r="AI15" s="65">
        <f t="shared" si="12"/>
        <v>15500</v>
      </c>
      <c r="AJ15" s="65">
        <f t="shared" si="12"/>
        <v>15500</v>
      </c>
      <c r="AK15" s="65">
        <f t="shared" si="12"/>
        <v>15500</v>
      </c>
      <c r="AL15" s="65">
        <f t="shared" si="12"/>
        <v>15500</v>
      </c>
      <c r="AM15" s="65">
        <f t="shared" si="12"/>
        <v>15500</v>
      </c>
      <c r="AN15" s="65">
        <f t="shared" si="12"/>
        <v>15500</v>
      </c>
      <c r="AO15" s="65">
        <f t="shared" si="12"/>
        <v>15500</v>
      </c>
      <c r="AP15" s="65">
        <f t="shared" si="12"/>
        <v>15500</v>
      </c>
      <c r="AQ15" s="65">
        <f t="shared" si="12"/>
        <v>15500</v>
      </c>
      <c r="AR15" s="65">
        <f t="shared" si="12"/>
        <v>15500</v>
      </c>
      <c r="AS15" s="65">
        <f t="shared" si="12"/>
        <v>15500</v>
      </c>
      <c r="AT15" s="65">
        <f t="shared" si="12"/>
        <v>15500</v>
      </c>
      <c r="AU15" s="65">
        <f t="shared" si="12"/>
        <v>15500</v>
      </c>
      <c r="AV15" s="65">
        <f t="shared" si="12"/>
        <v>15500</v>
      </c>
      <c r="AW15" s="65">
        <f t="shared" si="12"/>
        <v>15500</v>
      </c>
      <c r="AX15" s="65">
        <f t="shared" si="12"/>
        <v>15500</v>
      </c>
      <c r="AY15" s="65">
        <f t="shared" si="12"/>
        <v>15500</v>
      </c>
      <c r="AZ15" s="65">
        <f t="shared" si="12"/>
        <v>15500</v>
      </c>
      <c r="BA15" s="65">
        <f t="shared" si="12"/>
        <v>15500</v>
      </c>
      <c r="BB15" s="65">
        <f t="shared" si="12"/>
        <v>15500</v>
      </c>
      <c r="BC15" s="65">
        <f t="shared" si="12"/>
        <v>15500</v>
      </c>
      <c r="BD15" s="65">
        <f t="shared" si="12"/>
        <v>15500</v>
      </c>
      <c r="BE15" s="65">
        <f t="shared" si="12"/>
        <v>15500</v>
      </c>
      <c r="BF15" s="65">
        <f t="shared" si="12"/>
        <v>15500</v>
      </c>
      <c r="BG15" s="65">
        <f t="shared" si="12"/>
        <v>15500</v>
      </c>
      <c r="BH15" s="65">
        <f t="shared" si="12"/>
        <v>15500</v>
      </c>
      <c r="BI15" s="65">
        <f t="shared" si="12"/>
        <v>15500</v>
      </c>
      <c r="BJ15" s="65">
        <f t="shared" si="12"/>
        <v>15500</v>
      </c>
      <c r="BK15" s="65">
        <f t="shared" si="12"/>
        <v>15500</v>
      </c>
      <c r="BL15" s="65">
        <f t="shared" si="12"/>
        <v>15500</v>
      </c>
      <c r="BM15" s="65">
        <f t="shared" si="12"/>
        <v>15500</v>
      </c>
      <c r="BN15" s="65">
        <f t="shared" si="12"/>
        <v>15500</v>
      </c>
    </row>
    <row r="16" outlineLevel="1">
      <c r="A16" s="51"/>
      <c r="B16" s="66"/>
      <c r="C16" s="51"/>
      <c r="D16" s="67"/>
      <c r="E16" s="67"/>
      <c r="F16" s="68"/>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row>
    <row r="17" outlineLevel="1">
      <c r="A17" s="51"/>
      <c r="B17" s="70" t="s">
        <v>21</v>
      </c>
      <c r="C17" s="51"/>
      <c r="D17" s="67"/>
      <c r="E17" s="67"/>
      <c r="F17" s="68"/>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row>
    <row r="18" outlineLevel="1">
      <c r="A18" s="51"/>
      <c r="B18" s="66"/>
      <c r="C18" s="51"/>
      <c r="D18" s="67"/>
      <c r="E18" s="67"/>
      <c r="F18" s="68"/>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row>
    <row r="19">
      <c r="A19" s="47"/>
      <c r="B19" s="47"/>
      <c r="C19" s="47"/>
      <c r="D19" s="47"/>
      <c r="E19" s="47"/>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row>
    <row r="20">
      <c r="A20" s="47"/>
      <c r="B20" s="48" t="s">
        <v>22</v>
      </c>
      <c r="C20" s="49"/>
      <c r="D20" s="49"/>
      <c r="E20" s="49"/>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row>
    <row r="21" outlineLevel="1">
      <c r="A21" s="47"/>
      <c r="B21" s="47"/>
      <c r="C21" s="47"/>
      <c r="D21" s="47"/>
      <c r="E21" s="47"/>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outlineLevel="1">
      <c r="A22" s="47"/>
      <c r="B22" s="71" t="s">
        <v>23</v>
      </c>
      <c r="C22" s="72" t="s">
        <v>24</v>
      </c>
      <c r="D22" s="72" t="s">
        <v>25</v>
      </c>
      <c r="E22" s="72" t="s">
        <v>26</v>
      </c>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row>
    <row r="23" outlineLevel="1">
      <c r="A23" s="47"/>
      <c r="B23" s="73" t="s">
        <v>27</v>
      </c>
      <c r="C23" s="57">
        <v>100000.0</v>
      </c>
      <c r="D23" s="74">
        <v>0.2</v>
      </c>
      <c r="E23" s="75">
        <v>43831.0</v>
      </c>
      <c r="F23" s="58"/>
      <c r="G23" s="58">
        <f t="shared" ref="G23:BN23" si="13">IF(G$4&gt;=$E23,($C23/12)*(1+$D23),0)</f>
        <v>10000</v>
      </c>
      <c r="H23" s="58">
        <f t="shared" si="13"/>
        <v>10000</v>
      </c>
      <c r="I23" s="58">
        <f t="shared" si="13"/>
        <v>10000</v>
      </c>
      <c r="J23" s="58">
        <f t="shared" si="13"/>
        <v>10000</v>
      </c>
      <c r="K23" s="58">
        <f t="shared" si="13"/>
        <v>10000</v>
      </c>
      <c r="L23" s="58">
        <f t="shared" si="13"/>
        <v>10000</v>
      </c>
      <c r="M23" s="58">
        <f t="shared" si="13"/>
        <v>10000</v>
      </c>
      <c r="N23" s="58">
        <f t="shared" si="13"/>
        <v>10000</v>
      </c>
      <c r="O23" s="58">
        <f t="shared" si="13"/>
        <v>10000</v>
      </c>
      <c r="P23" s="58">
        <f t="shared" si="13"/>
        <v>10000</v>
      </c>
      <c r="Q23" s="58">
        <f t="shared" si="13"/>
        <v>10000</v>
      </c>
      <c r="R23" s="58">
        <f t="shared" si="13"/>
        <v>10000</v>
      </c>
      <c r="S23" s="58">
        <f t="shared" si="13"/>
        <v>10000</v>
      </c>
      <c r="T23" s="58">
        <f t="shared" si="13"/>
        <v>10000</v>
      </c>
      <c r="U23" s="58">
        <f t="shared" si="13"/>
        <v>10000</v>
      </c>
      <c r="V23" s="58">
        <f t="shared" si="13"/>
        <v>10000</v>
      </c>
      <c r="W23" s="58">
        <f t="shared" si="13"/>
        <v>10000</v>
      </c>
      <c r="X23" s="58">
        <f t="shared" si="13"/>
        <v>10000</v>
      </c>
      <c r="Y23" s="58">
        <f t="shared" si="13"/>
        <v>10000</v>
      </c>
      <c r="Z23" s="58">
        <f t="shared" si="13"/>
        <v>10000</v>
      </c>
      <c r="AA23" s="58">
        <f t="shared" si="13"/>
        <v>10000</v>
      </c>
      <c r="AB23" s="58">
        <f t="shared" si="13"/>
        <v>10000</v>
      </c>
      <c r="AC23" s="58">
        <f t="shared" si="13"/>
        <v>10000</v>
      </c>
      <c r="AD23" s="58">
        <f t="shared" si="13"/>
        <v>10000</v>
      </c>
      <c r="AE23" s="58">
        <f t="shared" si="13"/>
        <v>10000</v>
      </c>
      <c r="AF23" s="58">
        <f t="shared" si="13"/>
        <v>10000</v>
      </c>
      <c r="AG23" s="58">
        <f t="shared" si="13"/>
        <v>10000</v>
      </c>
      <c r="AH23" s="58">
        <f t="shared" si="13"/>
        <v>10000</v>
      </c>
      <c r="AI23" s="58">
        <f t="shared" si="13"/>
        <v>10000</v>
      </c>
      <c r="AJ23" s="58">
        <f t="shared" si="13"/>
        <v>10000</v>
      </c>
      <c r="AK23" s="58">
        <f t="shared" si="13"/>
        <v>10000</v>
      </c>
      <c r="AL23" s="58">
        <f t="shared" si="13"/>
        <v>10000</v>
      </c>
      <c r="AM23" s="58">
        <f t="shared" si="13"/>
        <v>10000</v>
      </c>
      <c r="AN23" s="58">
        <f t="shared" si="13"/>
        <v>10000</v>
      </c>
      <c r="AO23" s="58">
        <f t="shared" si="13"/>
        <v>10000</v>
      </c>
      <c r="AP23" s="58">
        <f t="shared" si="13"/>
        <v>10000</v>
      </c>
      <c r="AQ23" s="58">
        <f t="shared" si="13"/>
        <v>10000</v>
      </c>
      <c r="AR23" s="58">
        <f t="shared" si="13"/>
        <v>10000</v>
      </c>
      <c r="AS23" s="58">
        <f t="shared" si="13"/>
        <v>10000</v>
      </c>
      <c r="AT23" s="58">
        <f t="shared" si="13"/>
        <v>10000</v>
      </c>
      <c r="AU23" s="58">
        <f t="shared" si="13"/>
        <v>10000</v>
      </c>
      <c r="AV23" s="58">
        <f t="shared" si="13"/>
        <v>10000</v>
      </c>
      <c r="AW23" s="58">
        <f t="shared" si="13"/>
        <v>10000</v>
      </c>
      <c r="AX23" s="58">
        <f t="shared" si="13"/>
        <v>10000</v>
      </c>
      <c r="AY23" s="58">
        <f t="shared" si="13"/>
        <v>10000</v>
      </c>
      <c r="AZ23" s="58">
        <f t="shared" si="13"/>
        <v>10000</v>
      </c>
      <c r="BA23" s="58">
        <f t="shared" si="13"/>
        <v>10000</v>
      </c>
      <c r="BB23" s="58">
        <f t="shared" si="13"/>
        <v>10000</v>
      </c>
      <c r="BC23" s="58">
        <f t="shared" si="13"/>
        <v>10000</v>
      </c>
      <c r="BD23" s="58">
        <f t="shared" si="13"/>
        <v>10000</v>
      </c>
      <c r="BE23" s="58">
        <f t="shared" si="13"/>
        <v>10000</v>
      </c>
      <c r="BF23" s="58">
        <f t="shared" si="13"/>
        <v>10000</v>
      </c>
      <c r="BG23" s="58">
        <f t="shared" si="13"/>
        <v>10000</v>
      </c>
      <c r="BH23" s="58">
        <f t="shared" si="13"/>
        <v>10000</v>
      </c>
      <c r="BI23" s="58">
        <f t="shared" si="13"/>
        <v>10000</v>
      </c>
      <c r="BJ23" s="58">
        <f t="shared" si="13"/>
        <v>10000</v>
      </c>
      <c r="BK23" s="58">
        <f t="shared" si="13"/>
        <v>10000</v>
      </c>
      <c r="BL23" s="58">
        <f t="shared" si="13"/>
        <v>10000</v>
      </c>
      <c r="BM23" s="58">
        <f t="shared" si="13"/>
        <v>10000</v>
      </c>
      <c r="BN23" s="58">
        <f t="shared" si="13"/>
        <v>10000</v>
      </c>
    </row>
    <row r="24" outlineLevel="1">
      <c r="A24" s="47"/>
      <c r="B24" s="73" t="s">
        <v>28</v>
      </c>
      <c r="C24" s="57">
        <v>100000.0</v>
      </c>
      <c r="D24" s="74">
        <v>0.2</v>
      </c>
      <c r="E24" s="75">
        <v>43831.0</v>
      </c>
      <c r="F24" s="58"/>
      <c r="G24" s="58">
        <f t="shared" ref="G24:BN24" si="14">IF(G$4&gt;=$E24,($C24/12)*(1+$D24),0)</f>
        <v>10000</v>
      </c>
      <c r="H24" s="58">
        <f t="shared" si="14"/>
        <v>10000</v>
      </c>
      <c r="I24" s="58">
        <f t="shared" si="14"/>
        <v>10000</v>
      </c>
      <c r="J24" s="58">
        <f t="shared" si="14"/>
        <v>10000</v>
      </c>
      <c r="K24" s="58">
        <f t="shared" si="14"/>
        <v>10000</v>
      </c>
      <c r="L24" s="58">
        <f t="shared" si="14"/>
        <v>10000</v>
      </c>
      <c r="M24" s="58">
        <f t="shared" si="14"/>
        <v>10000</v>
      </c>
      <c r="N24" s="58">
        <f t="shared" si="14"/>
        <v>10000</v>
      </c>
      <c r="O24" s="58">
        <f t="shared" si="14"/>
        <v>10000</v>
      </c>
      <c r="P24" s="58">
        <f t="shared" si="14"/>
        <v>10000</v>
      </c>
      <c r="Q24" s="58">
        <f t="shared" si="14"/>
        <v>10000</v>
      </c>
      <c r="R24" s="58">
        <f t="shared" si="14"/>
        <v>10000</v>
      </c>
      <c r="S24" s="58">
        <f t="shared" si="14"/>
        <v>10000</v>
      </c>
      <c r="T24" s="58">
        <f t="shared" si="14"/>
        <v>10000</v>
      </c>
      <c r="U24" s="58">
        <f t="shared" si="14"/>
        <v>10000</v>
      </c>
      <c r="V24" s="58">
        <f t="shared" si="14"/>
        <v>10000</v>
      </c>
      <c r="W24" s="58">
        <f t="shared" si="14"/>
        <v>10000</v>
      </c>
      <c r="X24" s="58">
        <f t="shared" si="14"/>
        <v>10000</v>
      </c>
      <c r="Y24" s="58">
        <f t="shared" si="14"/>
        <v>10000</v>
      </c>
      <c r="Z24" s="58">
        <f t="shared" si="14"/>
        <v>10000</v>
      </c>
      <c r="AA24" s="58">
        <f t="shared" si="14"/>
        <v>10000</v>
      </c>
      <c r="AB24" s="58">
        <f t="shared" si="14"/>
        <v>10000</v>
      </c>
      <c r="AC24" s="58">
        <f t="shared" si="14"/>
        <v>10000</v>
      </c>
      <c r="AD24" s="58">
        <f t="shared" si="14"/>
        <v>10000</v>
      </c>
      <c r="AE24" s="58">
        <f t="shared" si="14"/>
        <v>10000</v>
      </c>
      <c r="AF24" s="58">
        <f t="shared" si="14"/>
        <v>10000</v>
      </c>
      <c r="AG24" s="58">
        <f t="shared" si="14"/>
        <v>10000</v>
      </c>
      <c r="AH24" s="58">
        <f t="shared" si="14"/>
        <v>10000</v>
      </c>
      <c r="AI24" s="58">
        <f t="shared" si="14"/>
        <v>10000</v>
      </c>
      <c r="AJ24" s="58">
        <f t="shared" si="14"/>
        <v>10000</v>
      </c>
      <c r="AK24" s="58">
        <f t="shared" si="14"/>
        <v>10000</v>
      </c>
      <c r="AL24" s="58">
        <f t="shared" si="14"/>
        <v>10000</v>
      </c>
      <c r="AM24" s="58">
        <f t="shared" si="14"/>
        <v>10000</v>
      </c>
      <c r="AN24" s="58">
        <f t="shared" si="14"/>
        <v>10000</v>
      </c>
      <c r="AO24" s="58">
        <f t="shared" si="14"/>
        <v>10000</v>
      </c>
      <c r="AP24" s="58">
        <f t="shared" si="14"/>
        <v>10000</v>
      </c>
      <c r="AQ24" s="58">
        <f t="shared" si="14"/>
        <v>10000</v>
      </c>
      <c r="AR24" s="58">
        <f t="shared" si="14"/>
        <v>10000</v>
      </c>
      <c r="AS24" s="58">
        <f t="shared" si="14"/>
        <v>10000</v>
      </c>
      <c r="AT24" s="58">
        <f t="shared" si="14"/>
        <v>10000</v>
      </c>
      <c r="AU24" s="58">
        <f t="shared" si="14"/>
        <v>10000</v>
      </c>
      <c r="AV24" s="58">
        <f t="shared" si="14"/>
        <v>10000</v>
      </c>
      <c r="AW24" s="58">
        <f t="shared" si="14"/>
        <v>10000</v>
      </c>
      <c r="AX24" s="58">
        <f t="shared" si="14"/>
        <v>10000</v>
      </c>
      <c r="AY24" s="58">
        <f t="shared" si="14"/>
        <v>10000</v>
      </c>
      <c r="AZ24" s="58">
        <f t="shared" si="14"/>
        <v>10000</v>
      </c>
      <c r="BA24" s="58">
        <f t="shared" si="14"/>
        <v>10000</v>
      </c>
      <c r="BB24" s="58">
        <f t="shared" si="14"/>
        <v>10000</v>
      </c>
      <c r="BC24" s="58">
        <f t="shared" si="14"/>
        <v>10000</v>
      </c>
      <c r="BD24" s="58">
        <f t="shared" si="14"/>
        <v>10000</v>
      </c>
      <c r="BE24" s="58">
        <f t="shared" si="14"/>
        <v>10000</v>
      </c>
      <c r="BF24" s="58">
        <f t="shared" si="14"/>
        <v>10000</v>
      </c>
      <c r="BG24" s="58">
        <f t="shared" si="14"/>
        <v>10000</v>
      </c>
      <c r="BH24" s="58">
        <f t="shared" si="14"/>
        <v>10000</v>
      </c>
      <c r="BI24" s="58">
        <f t="shared" si="14"/>
        <v>10000</v>
      </c>
      <c r="BJ24" s="58">
        <f t="shared" si="14"/>
        <v>10000</v>
      </c>
      <c r="BK24" s="58">
        <f t="shared" si="14"/>
        <v>10000</v>
      </c>
      <c r="BL24" s="58">
        <f t="shared" si="14"/>
        <v>10000</v>
      </c>
      <c r="BM24" s="58">
        <f t="shared" si="14"/>
        <v>10000</v>
      </c>
      <c r="BN24" s="58">
        <f t="shared" si="14"/>
        <v>10000</v>
      </c>
    </row>
    <row r="25" outlineLevel="1">
      <c r="A25" s="47"/>
      <c r="B25" s="73" t="s">
        <v>29</v>
      </c>
      <c r="C25" s="57">
        <v>100000.0</v>
      </c>
      <c r="D25" s="74">
        <v>0.2</v>
      </c>
      <c r="E25" s="75">
        <v>44075.0</v>
      </c>
      <c r="F25" s="58"/>
      <c r="G25" s="58">
        <f t="shared" ref="G25:BN25" si="15">IF(G$4&gt;=$E25,($C25/12)*(1+$D25),0)</f>
        <v>10000</v>
      </c>
      <c r="H25" s="58">
        <f t="shared" si="15"/>
        <v>10000</v>
      </c>
      <c r="I25" s="58">
        <f t="shared" si="15"/>
        <v>10000</v>
      </c>
      <c r="J25" s="58">
        <f t="shared" si="15"/>
        <v>10000</v>
      </c>
      <c r="K25" s="58">
        <f t="shared" si="15"/>
        <v>10000</v>
      </c>
      <c r="L25" s="58">
        <f t="shared" si="15"/>
        <v>10000</v>
      </c>
      <c r="M25" s="58">
        <f t="shared" si="15"/>
        <v>10000</v>
      </c>
      <c r="N25" s="58">
        <f t="shared" si="15"/>
        <v>10000</v>
      </c>
      <c r="O25" s="58">
        <f t="shared" si="15"/>
        <v>10000</v>
      </c>
      <c r="P25" s="58">
        <f t="shared" si="15"/>
        <v>10000</v>
      </c>
      <c r="Q25" s="58">
        <f t="shared" si="15"/>
        <v>10000</v>
      </c>
      <c r="R25" s="58">
        <f t="shared" si="15"/>
        <v>10000</v>
      </c>
      <c r="S25" s="58">
        <f t="shared" si="15"/>
        <v>10000</v>
      </c>
      <c r="T25" s="58">
        <f t="shared" si="15"/>
        <v>10000</v>
      </c>
      <c r="U25" s="58">
        <f t="shared" si="15"/>
        <v>10000</v>
      </c>
      <c r="V25" s="58">
        <f t="shared" si="15"/>
        <v>10000</v>
      </c>
      <c r="W25" s="58">
        <f t="shared" si="15"/>
        <v>10000</v>
      </c>
      <c r="X25" s="58">
        <f t="shared" si="15"/>
        <v>10000</v>
      </c>
      <c r="Y25" s="58">
        <f t="shared" si="15"/>
        <v>10000</v>
      </c>
      <c r="Z25" s="58">
        <f t="shared" si="15"/>
        <v>10000</v>
      </c>
      <c r="AA25" s="58">
        <f t="shared" si="15"/>
        <v>10000</v>
      </c>
      <c r="AB25" s="58">
        <f t="shared" si="15"/>
        <v>10000</v>
      </c>
      <c r="AC25" s="58">
        <f t="shared" si="15"/>
        <v>10000</v>
      </c>
      <c r="AD25" s="58">
        <f t="shared" si="15"/>
        <v>10000</v>
      </c>
      <c r="AE25" s="58">
        <f t="shared" si="15"/>
        <v>10000</v>
      </c>
      <c r="AF25" s="58">
        <f t="shared" si="15"/>
        <v>10000</v>
      </c>
      <c r="AG25" s="58">
        <f t="shared" si="15"/>
        <v>10000</v>
      </c>
      <c r="AH25" s="58">
        <f t="shared" si="15"/>
        <v>10000</v>
      </c>
      <c r="AI25" s="58">
        <f t="shared" si="15"/>
        <v>10000</v>
      </c>
      <c r="AJ25" s="58">
        <f t="shared" si="15"/>
        <v>10000</v>
      </c>
      <c r="AK25" s="58">
        <f t="shared" si="15"/>
        <v>10000</v>
      </c>
      <c r="AL25" s="58">
        <f t="shared" si="15"/>
        <v>10000</v>
      </c>
      <c r="AM25" s="58">
        <f t="shared" si="15"/>
        <v>10000</v>
      </c>
      <c r="AN25" s="58">
        <f t="shared" si="15"/>
        <v>10000</v>
      </c>
      <c r="AO25" s="58">
        <f t="shared" si="15"/>
        <v>10000</v>
      </c>
      <c r="AP25" s="58">
        <f t="shared" si="15"/>
        <v>10000</v>
      </c>
      <c r="AQ25" s="58">
        <f t="shared" si="15"/>
        <v>10000</v>
      </c>
      <c r="AR25" s="58">
        <f t="shared" si="15"/>
        <v>10000</v>
      </c>
      <c r="AS25" s="58">
        <f t="shared" si="15"/>
        <v>10000</v>
      </c>
      <c r="AT25" s="58">
        <f t="shared" si="15"/>
        <v>10000</v>
      </c>
      <c r="AU25" s="58">
        <f t="shared" si="15"/>
        <v>10000</v>
      </c>
      <c r="AV25" s="58">
        <f t="shared" si="15"/>
        <v>10000</v>
      </c>
      <c r="AW25" s="58">
        <f t="shared" si="15"/>
        <v>10000</v>
      </c>
      <c r="AX25" s="58">
        <f t="shared" si="15"/>
        <v>10000</v>
      </c>
      <c r="AY25" s="58">
        <f t="shared" si="15"/>
        <v>10000</v>
      </c>
      <c r="AZ25" s="58">
        <f t="shared" si="15"/>
        <v>10000</v>
      </c>
      <c r="BA25" s="58">
        <f t="shared" si="15"/>
        <v>10000</v>
      </c>
      <c r="BB25" s="58">
        <f t="shared" si="15"/>
        <v>10000</v>
      </c>
      <c r="BC25" s="58">
        <f t="shared" si="15"/>
        <v>10000</v>
      </c>
      <c r="BD25" s="58">
        <f t="shared" si="15"/>
        <v>10000</v>
      </c>
      <c r="BE25" s="58">
        <f t="shared" si="15"/>
        <v>10000</v>
      </c>
      <c r="BF25" s="58">
        <f t="shared" si="15"/>
        <v>10000</v>
      </c>
      <c r="BG25" s="58">
        <f t="shared" si="15"/>
        <v>10000</v>
      </c>
      <c r="BH25" s="58">
        <f t="shared" si="15"/>
        <v>10000</v>
      </c>
      <c r="BI25" s="58">
        <f t="shared" si="15"/>
        <v>10000</v>
      </c>
      <c r="BJ25" s="58">
        <f t="shared" si="15"/>
        <v>10000</v>
      </c>
      <c r="BK25" s="58">
        <f t="shared" si="15"/>
        <v>10000</v>
      </c>
      <c r="BL25" s="58">
        <f t="shared" si="15"/>
        <v>10000</v>
      </c>
      <c r="BM25" s="58">
        <f t="shared" si="15"/>
        <v>10000</v>
      </c>
      <c r="BN25" s="58">
        <f t="shared" si="15"/>
        <v>10000</v>
      </c>
    </row>
    <row r="26" outlineLevel="1">
      <c r="A26" s="47"/>
      <c r="B26" s="73" t="s">
        <v>30</v>
      </c>
      <c r="C26" s="57">
        <v>100000.0</v>
      </c>
      <c r="D26" s="74">
        <v>0.2</v>
      </c>
      <c r="E26" s="75">
        <v>43831.0</v>
      </c>
      <c r="F26" s="58"/>
      <c r="G26" s="58">
        <f t="shared" ref="G26:BN26" si="16">IF(G$4&gt;=$E26,($C26/12)*(1+$D26),0)</f>
        <v>10000</v>
      </c>
      <c r="H26" s="58">
        <f t="shared" si="16"/>
        <v>10000</v>
      </c>
      <c r="I26" s="58">
        <f t="shared" si="16"/>
        <v>10000</v>
      </c>
      <c r="J26" s="58">
        <f t="shared" si="16"/>
        <v>10000</v>
      </c>
      <c r="K26" s="58">
        <f t="shared" si="16"/>
        <v>10000</v>
      </c>
      <c r="L26" s="58">
        <f t="shared" si="16"/>
        <v>10000</v>
      </c>
      <c r="M26" s="58">
        <f t="shared" si="16"/>
        <v>10000</v>
      </c>
      <c r="N26" s="58">
        <f t="shared" si="16"/>
        <v>10000</v>
      </c>
      <c r="O26" s="58">
        <f t="shared" si="16"/>
        <v>10000</v>
      </c>
      <c r="P26" s="58">
        <f t="shared" si="16"/>
        <v>10000</v>
      </c>
      <c r="Q26" s="58">
        <f t="shared" si="16"/>
        <v>10000</v>
      </c>
      <c r="R26" s="58">
        <f t="shared" si="16"/>
        <v>10000</v>
      </c>
      <c r="S26" s="58">
        <f t="shared" si="16"/>
        <v>10000</v>
      </c>
      <c r="T26" s="58">
        <f t="shared" si="16"/>
        <v>10000</v>
      </c>
      <c r="U26" s="58">
        <f t="shared" si="16"/>
        <v>10000</v>
      </c>
      <c r="V26" s="58">
        <f t="shared" si="16"/>
        <v>10000</v>
      </c>
      <c r="W26" s="58">
        <f t="shared" si="16"/>
        <v>10000</v>
      </c>
      <c r="X26" s="58">
        <f t="shared" si="16"/>
        <v>10000</v>
      </c>
      <c r="Y26" s="58">
        <f t="shared" si="16"/>
        <v>10000</v>
      </c>
      <c r="Z26" s="58">
        <f t="shared" si="16"/>
        <v>10000</v>
      </c>
      <c r="AA26" s="58">
        <f t="shared" si="16"/>
        <v>10000</v>
      </c>
      <c r="AB26" s="58">
        <f t="shared" si="16"/>
        <v>10000</v>
      </c>
      <c r="AC26" s="58">
        <f t="shared" si="16"/>
        <v>10000</v>
      </c>
      <c r="AD26" s="58">
        <f t="shared" si="16"/>
        <v>10000</v>
      </c>
      <c r="AE26" s="58">
        <f t="shared" si="16"/>
        <v>10000</v>
      </c>
      <c r="AF26" s="58">
        <f t="shared" si="16"/>
        <v>10000</v>
      </c>
      <c r="AG26" s="58">
        <f t="shared" si="16"/>
        <v>10000</v>
      </c>
      <c r="AH26" s="58">
        <f t="shared" si="16"/>
        <v>10000</v>
      </c>
      <c r="AI26" s="58">
        <f t="shared" si="16"/>
        <v>10000</v>
      </c>
      <c r="AJ26" s="58">
        <f t="shared" si="16"/>
        <v>10000</v>
      </c>
      <c r="AK26" s="58">
        <f t="shared" si="16"/>
        <v>10000</v>
      </c>
      <c r="AL26" s="58">
        <f t="shared" si="16"/>
        <v>10000</v>
      </c>
      <c r="AM26" s="58">
        <f t="shared" si="16"/>
        <v>10000</v>
      </c>
      <c r="AN26" s="58">
        <f t="shared" si="16"/>
        <v>10000</v>
      </c>
      <c r="AO26" s="58">
        <f t="shared" si="16"/>
        <v>10000</v>
      </c>
      <c r="AP26" s="58">
        <f t="shared" si="16"/>
        <v>10000</v>
      </c>
      <c r="AQ26" s="58">
        <f t="shared" si="16"/>
        <v>10000</v>
      </c>
      <c r="AR26" s="58">
        <f t="shared" si="16"/>
        <v>10000</v>
      </c>
      <c r="AS26" s="58">
        <f t="shared" si="16"/>
        <v>10000</v>
      </c>
      <c r="AT26" s="58">
        <f t="shared" si="16"/>
        <v>10000</v>
      </c>
      <c r="AU26" s="58">
        <f t="shared" si="16"/>
        <v>10000</v>
      </c>
      <c r="AV26" s="58">
        <f t="shared" si="16"/>
        <v>10000</v>
      </c>
      <c r="AW26" s="58">
        <f t="shared" si="16"/>
        <v>10000</v>
      </c>
      <c r="AX26" s="58">
        <f t="shared" si="16"/>
        <v>10000</v>
      </c>
      <c r="AY26" s="58">
        <f t="shared" si="16"/>
        <v>10000</v>
      </c>
      <c r="AZ26" s="58">
        <f t="shared" si="16"/>
        <v>10000</v>
      </c>
      <c r="BA26" s="58">
        <f t="shared" si="16"/>
        <v>10000</v>
      </c>
      <c r="BB26" s="58">
        <f t="shared" si="16"/>
        <v>10000</v>
      </c>
      <c r="BC26" s="58">
        <f t="shared" si="16"/>
        <v>10000</v>
      </c>
      <c r="BD26" s="58">
        <f t="shared" si="16"/>
        <v>10000</v>
      </c>
      <c r="BE26" s="58">
        <f t="shared" si="16"/>
        <v>10000</v>
      </c>
      <c r="BF26" s="58">
        <f t="shared" si="16"/>
        <v>10000</v>
      </c>
      <c r="BG26" s="58">
        <f t="shared" si="16"/>
        <v>10000</v>
      </c>
      <c r="BH26" s="58">
        <f t="shared" si="16"/>
        <v>10000</v>
      </c>
      <c r="BI26" s="58">
        <f t="shared" si="16"/>
        <v>10000</v>
      </c>
      <c r="BJ26" s="58">
        <f t="shared" si="16"/>
        <v>10000</v>
      </c>
      <c r="BK26" s="58">
        <f t="shared" si="16"/>
        <v>10000</v>
      </c>
      <c r="BL26" s="58">
        <f t="shared" si="16"/>
        <v>10000</v>
      </c>
      <c r="BM26" s="58">
        <f t="shared" si="16"/>
        <v>10000</v>
      </c>
      <c r="BN26" s="58">
        <f t="shared" si="16"/>
        <v>10000</v>
      </c>
    </row>
    <row r="27" outlineLevel="1">
      <c r="A27" s="47"/>
      <c r="B27" s="73" t="s">
        <v>31</v>
      </c>
      <c r="C27" s="57">
        <v>100000.0</v>
      </c>
      <c r="D27" s="74">
        <v>0.2</v>
      </c>
      <c r="E27" s="75">
        <v>43891.0</v>
      </c>
      <c r="F27" s="58"/>
      <c r="G27" s="58">
        <f t="shared" ref="G27:BN27" si="17">IF(G$4&gt;=$E27,($C27/12)*(1+$D27),0)</f>
        <v>10000</v>
      </c>
      <c r="H27" s="58">
        <f t="shared" si="17"/>
        <v>10000</v>
      </c>
      <c r="I27" s="58">
        <f t="shared" si="17"/>
        <v>10000</v>
      </c>
      <c r="J27" s="58">
        <f t="shared" si="17"/>
        <v>10000</v>
      </c>
      <c r="K27" s="58">
        <f t="shared" si="17"/>
        <v>10000</v>
      </c>
      <c r="L27" s="58">
        <f t="shared" si="17"/>
        <v>10000</v>
      </c>
      <c r="M27" s="58">
        <f t="shared" si="17"/>
        <v>10000</v>
      </c>
      <c r="N27" s="58">
        <f t="shared" si="17"/>
        <v>10000</v>
      </c>
      <c r="O27" s="58">
        <f t="shared" si="17"/>
        <v>10000</v>
      </c>
      <c r="P27" s="58">
        <f t="shared" si="17"/>
        <v>10000</v>
      </c>
      <c r="Q27" s="58">
        <f t="shared" si="17"/>
        <v>10000</v>
      </c>
      <c r="R27" s="58">
        <f t="shared" si="17"/>
        <v>10000</v>
      </c>
      <c r="S27" s="58">
        <f t="shared" si="17"/>
        <v>10000</v>
      </c>
      <c r="T27" s="58">
        <f t="shared" si="17"/>
        <v>10000</v>
      </c>
      <c r="U27" s="58">
        <f t="shared" si="17"/>
        <v>10000</v>
      </c>
      <c r="V27" s="58">
        <f t="shared" si="17"/>
        <v>10000</v>
      </c>
      <c r="W27" s="58">
        <f t="shared" si="17"/>
        <v>10000</v>
      </c>
      <c r="X27" s="58">
        <f t="shared" si="17"/>
        <v>10000</v>
      </c>
      <c r="Y27" s="58">
        <f t="shared" si="17"/>
        <v>10000</v>
      </c>
      <c r="Z27" s="58">
        <f t="shared" si="17"/>
        <v>10000</v>
      </c>
      <c r="AA27" s="58">
        <f t="shared" si="17"/>
        <v>10000</v>
      </c>
      <c r="AB27" s="58">
        <f t="shared" si="17"/>
        <v>10000</v>
      </c>
      <c r="AC27" s="58">
        <f t="shared" si="17"/>
        <v>10000</v>
      </c>
      <c r="AD27" s="58">
        <f t="shared" si="17"/>
        <v>10000</v>
      </c>
      <c r="AE27" s="58">
        <f t="shared" si="17"/>
        <v>10000</v>
      </c>
      <c r="AF27" s="58">
        <f t="shared" si="17"/>
        <v>10000</v>
      </c>
      <c r="AG27" s="58">
        <f t="shared" si="17"/>
        <v>10000</v>
      </c>
      <c r="AH27" s="58">
        <f t="shared" si="17"/>
        <v>10000</v>
      </c>
      <c r="AI27" s="58">
        <f t="shared" si="17"/>
        <v>10000</v>
      </c>
      <c r="AJ27" s="58">
        <f t="shared" si="17"/>
        <v>10000</v>
      </c>
      <c r="AK27" s="58">
        <f t="shared" si="17"/>
        <v>10000</v>
      </c>
      <c r="AL27" s="58">
        <f t="shared" si="17"/>
        <v>10000</v>
      </c>
      <c r="AM27" s="58">
        <f t="shared" si="17"/>
        <v>10000</v>
      </c>
      <c r="AN27" s="58">
        <f t="shared" si="17"/>
        <v>10000</v>
      </c>
      <c r="AO27" s="58">
        <f t="shared" si="17"/>
        <v>10000</v>
      </c>
      <c r="AP27" s="58">
        <f t="shared" si="17"/>
        <v>10000</v>
      </c>
      <c r="AQ27" s="58">
        <f t="shared" si="17"/>
        <v>10000</v>
      </c>
      <c r="AR27" s="58">
        <f t="shared" si="17"/>
        <v>10000</v>
      </c>
      <c r="AS27" s="58">
        <f t="shared" si="17"/>
        <v>10000</v>
      </c>
      <c r="AT27" s="58">
        <f t="shared" si="17"/>
        <v>10000</v>
      </c>
      <c r="AU27" s="58">
        <f t="shared" si="17"/>
        <v>10000</v>
      </c>
      <c r="AV27" s="58">
        <f t="shared" si="17"/>
        <v>10000</v>
      </c>
      <c r="AW27" s="58">
        <f t="shared" si="17"/>
        <v>10000</v>
      </c>
      <c r="AX27" s="58">
        <f t="shared" si="17"/>
        <v>10000</v>
      </c>
      <c r="AY27" s="58">
        <f t="shared" si="17"/>
        <v>10000</v>
      </c>
      <c r="AZ27" s="58">
        <f t="shared" si="17"/>
        <v>10000</v>
      </c>
      <c r="BA27" s="58">
        <f t="shared" si="17"/>
        <v>10000</v>
      </c>
      <c r="BB27" s="58">
        <f t="shared" si="17"/>
        <v>10000</v>
      </c>
      <c r="BC27" s="58">
        <f t="shared" si="17"/>
        <v>10000</v>
      </c>
      <c r="BD27" s="58">
        <f t="shared" si="17"/>
        <v>10000</v>
      </c>
      <c r="BE27" s="58">
        <f t="shared" si="17"/>
        <v>10000</v>
      </c>
      <c r="BF27" s="58">
        <f t="shared" si="17"/>
        <v>10000</v>
      </c>
      <c r="BG27" s="58">
        <f t="shared" si="17"/>
        <v>10000</v>
      </c>
      <c r="BH27" s="58">
        <f t="shared" si="17"/>
        <v>10000</v>
      </c>
      <c r="BI27" s="58">
        <f t="shared" si="17"/>
        <v>10000</v>
      </c>
      <c r="BJ27" s="58">
        <f t="shared" si="17"/>
        <v>10000</v>
      </c>
      <c r="BK27" s="58">
        <f t="shared" si="17"/>
        <v>10000</v>
      </c>
      <c r="BL27" s="58">
        <f t="shared" si="17"/>
        <v>10000</v>
      </c>
      <c r="BM27" s="58">
        <f t="shared" si="17"/>
        <v>10000</v>
      </c>
      <c r="BN27" s="58">
        <f t="shared" si="17"/>
        <v>10000</v>
      </c>
    </row>
    <row r="28" outlineLevel="1">
      <c r="A28" s="47"/>
      <c r="B28" s="73" t="s">
        <v>32</v>
      </c>
      <c r="C28" s="57">
        <v>75000.0</v>
      </c>
      <c r="D28" s="74">
        <v>0.2</v>
      </c>
      <c r="E28" s="75">
        <v>43983.0</v>
      </c>
      <c r="F28" s="58"/>
      <c r="G28" s="58">
        <f t="shared" ref="G28:BN28" si="18">IF(G$4&gt;=$E28,($C28/12)*(1+$D28),0)</f>
        <v>7500</v>
      </c>
      <c r="H28" s="58">
        <f t="shared" si="18"/>
        <v>7500</v>
      </c>
      <c r="I28" s="58">
        <f t="shared" si="18"/>
        <v>7500</v>
      </c>
      <c r="J28" s="58">
        <f t="shared" si="18"/>
        <v>7500</v>
      </c>
      <c r="K28" s="58">
        <f t="shared" si="18"/>
        <v>7500</v>
      </c>
      <c r="L28" s="58">
        <f t="shared" si="18"/>
        <v>7500</v>
      </c>
      <c r="M28" s="58">
        <f t="shared" si="18"/>
        <v>7500</v>
      </c>
      <c r="N28" s="58">
        <f t="shared" si="18"/>
        <v>7500</v>
      </c>
      <c r="O28" s="58">
        <f t="shared" si="18"/>
        <v>7500</v>
      </c>
      <c r="P28" s="58">
        <f t="shared" si="18"/>
        <v>7500</v>
      </c>
      <c r="Q28" s="58">
        <f t="shared" si="18"/>
        <v>7500</v>
      </c>
      <c r="R28" s="58">
        <f t="shared" si="18"/>
        <v>7500</v>
      </c>
      <c r="S28" s="58">
        <f t="shared" si="18"/>
        <v>7500</v>
      </c>
      <c r="T28" s="58">
        <f t="shared" si="18"/>
        <v>7500</v>
      </c>
      <c r="U28" s="58">
        <f t="shared" si="18"/>
        <v>7500</v>
      </c>
      <c r="V28" s="58">
        <f t="shared" si="18"/>
        <v>7500</v>
      </c>
      <c r="W28" s="58">
        <f t="shared" si="18"/>
        <v>7500</v>
      </c>
      <c r="X28" s="58">
        <f t="shared" si="18"/>
        <v>7500</v>
      </c>
      <c r="Y28" s="58">
        <f t="shared" si="18"/>
        <v>7500</v>
      </c>
      <c r="Z28" s="58">
        <f t="shared" si="18"/>
        <v>7500</v>
      </c>
      <c r="AA28" s="58">
        <f t="shared" si="18"/>
        <v>7500</v>
      </c>
      <c r="AB28" s="58">
        <f t="shared" si="18"/>
        <v>7500</v>
      </c>
      <c r="AC28" s="58">
        <f t="shared" si="18"/>
        <v>7500</v>
      </c>
      <c r="AD28" s="58">
        <f t="shared" si="18"/>
        <v>7500</v>
      </c>
      <c r="AE28" s="58">
        <f t="shared" si="18"/>
        <v>7500</v>
      </c>
      <c r="AF28" s="58">
        <f t="shared" si="18"/>
        <v>7500</v>
      </c>
      <c r="AG28" s="58">
        <f t="shared" si="18"/>
        <v>7500</v>
      </c>
      <c r="AH28" s="58">
        <f t="shared" si="18"/>
        <v>7500</v>
      </c>
      <c r="AI28" s="58">
        <f t="shared" si="18"/>
        <v>7500</v>
      </c>
      <c r="AJ28" s="58">
        <f t="shared" si="18"/>
        <v>7500</v>
      </c>
      <c r="AK28" s="58">
        <f t="shared" si="18"/>
        <v>7500</v>
      </c>
      <c r="AL28" s="58">
        <f t="shared" si="18"/>
        <v>7500</v>
      </c>
      <c r="AM28" s="58">
        <f t="shared" si="18"/>
        <v>7500</v>
      </c>
      <c r="AN28" s="58">
        <f t="shared" si="18"/>
        <v>7500</v>
      </c>
      <c r="AO28" s="58">
        <f t="shared" si="18"/>
        <v>7500</v>
      </c>
      <c r="AP28" s="58">
        <f t="shared" si="18"/>
        <v>7500</v>
      </c>
      <c r="AQ28" s="58">
        <f t="shared" si="18"/>
        <v>7500</v>
      </c>
      <c r="AR28" s="58">
        <f t="shared" si="18"/>
        <v>7500</v>
      </c>
      <c r="AS28" s="58">
        <f t="shared" si="18"/>
        <v>7500</v>
      </c>
      <c r="AT28" s="58">
        <f t="shared" si="18"/>
        <v>7500</v>
      </c>
      <c r="AU28" s="58">
        <f t="shared" si="18"/>
        <v>7500</v>
      </c>
      <c r="AV28" s="58">
        <f t="shared" si="18"/>
        <v>7500</v>
      </c>
      <c r="AW28" s="58">
        <f t="shared" si="18"/>
        <v>7500</v>
      </c>
      <c r="AX28" s="58">
        <f t="shared" si="18"/>
        <v>7500</v>
      </c>
      <c r="AY28" s="58">
        <f t="shared" si="18"/>
        <v>7500</v>
      </c>
      <c r="AZ28" s="58">
        <f t="shared" si="18"/>
        <v>7500</v>
      </c>
      <c r="BA28" s="58">
        <f t="shared" si="18"/>
        <v>7500</v>
      </c>
      <c r="BB28" s="58">
        <f t="shared" si="18"/>
        <v>7500</v>
      </c>
      <c r="BC28" s="58">
        <f t="shared" si="18"/>
        <v>7500</v>
      </c>
      <c r="BD28" s="58">
        <f t="shared" si="18"/>
        <v>7500</v>
      </c>
      <c r="BE28" s="58">
        <f t="shared" si="18"/>
        <v>7500</v>
      </c>
      <c r="BF28" s="58">
        <f t="shared" si="18"/>
        <v>7500</v>
      </c>
      <c r="BG28" s="58">
        <f t="shared" si="18"/>
        <v>7500</v>
      </c>
      <c r="BH28" s="58">
        <f t="shared" si="18"/>
        <v>7500</v>
      </c>
      <c r="BI28" s="58">
        <f t="shared" si="18"/>
        <v>7500</v>
      </c>
      <c r="BJ28" s="58">
        <f t="shared" si="18"/>
        <v>7500</v>
      </c>
      <c r="BK28" s="58">
        <f t="shared" si="18"/>
        <v>7500</v>
      </c>
      <c r="BL28" s="58">
        <f t="shared" si="18"/>
        <v>7500</v>
      </c>
      <c r="BM28" s="58">
        <f t="shared" si="18"/>
        <v>7500</v>
      </c>
      <c r="BN28" s="58">
        <f t="shared" si="18"/>
        <v>7500</v>
      </c>
    </row>
    <row r="29" outlineLevel="1">
      <c r="A29" s="47"/>
      <c r="B29" s="73" t="s">
        <v>33</v>
      </c>
      <c r="C29" s="57">
        <v>50000.0</v>
      </c>
      <c r="D29" s="74">
        <v>0.2</v>
      </c>
      <c r="E29" s="75">
        <v>44075.0</v>
      </c>
      <c r="F29" s="58"/>
      <c r="G29" s="58">
        <f t="shared" ref="G29:BN29" si="19">IF(G$4&gt;=$E29,($C29/12)*(1+$D29),0)</f>
        <v>5000</v>
      </c>
      <c r="H29" s="58">
        <f t="shared" si="19"/>
        <v>5000</v>
      </c>
      <c r="I29" s="58">
        <f t="shared" si="19"/>
        <v>5000</v>
      </c>
      <c r="J29" s="58">
        <f t="shared" si="19"/>
        <v>5000</v>
      </c>
      <c r="K29" s="58">
        <f t="shared" si="19"/>
        <v>5000</v>
      </c>
      <c r="L29" s="58">
        <f t="shared" si="19"/>
        <v>5000</v>
      </c>
      <c r="M29" s="58">
        <f t="shared" si="19"/>
        <v>5000</v>
      </c>
      <c r="N29" s="58">
        <f t="shared" si="19"/>
        <v>5000</v>
      </c>
      <c r="O29" s="58">
        <f t="shared" si="19"/>
        <v>5000</v>
      </c>
      <c r="P29" s="58">
        <f t="shared" si="19"/>
        <v>5000</v>
      </c>
      <c r="Q29" s="58">
        <f t="shared" si="19"/>
        <v>5000</v>
      </c>
      <c r="R29" s="58">
        <f t="shared" si="19"/>
        <v>5000</v>
      </c>
      <c r="S29" s="58">
        <f t="shared" si="19"/>
        <v>5000</v>
      </c>
      <c r="T29" s="58">
        <f t="shared" si="19"/>
        <v>5000</v>
      </c>
      <c r="U29" s="58">
        <f t="shared" si="19"/>
        <v>5000</v>
      </c>
      <c r="V29" s="58">
        <f t="shared" si="19"/>
        <v>5000</v>
      </c>
      <c r="W29" s="58">
        <f t="shared" si="19"/>
        <v>5000</v>
      </c>
      <c r="X29" s="58">
        <f t="shared" si="19"/>
        <v>5000</v>
      </c>
      <c r="Y29" s="58">
        <f t="shared" si="19"/>
        <v>5000</v>
      </c>
      <c r="Z29" s="58">
        <f t="shared" si="19"/>
        <v>5000</v>
      </c>
      <c r="AA29" s="58">
        <f t="shared" si="19"/>
        <v>5000</v>
      </c>
      <c r="AB29" s="58">
        <f t="shared" si="19"/>
        <v>5000</v>
      </c>
      <c r="AC29" s="58">
        <f t="shared" si="19"/>
        <v>5000</v>
      </c>
      <c r="AD29" s="58">
        <f t="shared" si="19"/>
        <v>5000</v>
      </c>
      <c r="AE29" s="58">
        <f t="shared" si="19"/>
        <v>5000</v>
      </c>
      <c r="AF29" s="58">
        <f t="shared" si="19"/>
        <v>5000</v>
      </c>
      <c r="AG29" s="58">
        <f t="shared" si="19"/>
        <v>5000</v>
      </c>
      <c r="AH29" s="58">
        <f t="shared" si="19"/>
        <v>5000</v>
      </c>
      <c r="AI29" s="58">
        <f t="shared" si="19"/>
        <v>5000</v>
      </c>
      <c r="AJ29" s="58">
        <f t="shared" si="19"/>
        <v>5000</v>
      </c>
      <c r="AK29" s="58">
        <f t="shared" si="19"/>
        <v>5000</v>
      </c>
      <c r="AL29" s="58">
        <f t="shared" si="19"/>
        <v>5000</v>
      </c>
      <c r="AM29" s="58">
        <f t="shared" si="19"/>
        <v>5000</v>
      </c>
      <c r="AN29" s="58">
        <f t="shared" si="19"/>
        <v>5000</v>
      </c>
      <c r="AO29" s="58">
        <f t="shared" si="19"/>
        <v>5000</v>
      </c>
      <c r="AP29" s="58">
        <f t="shared" si="19"/>
        <v>5000</v>
      </c>
      <c r="AQ29" s="58">
        <f t="shared" si="19"/>
        <v>5000</v>
      </c>
      <c r="AR29" s="58">
        <f t="shared" si="19"/>
        <v>5000</v>
      </c>
      <c r="AS29" s="58">
        <f t="shared" si="19"/>
        <v>5000</v>
      </c>
      <c r="AT29" s="58">
        <f t="shared" si="19"/>
        <v>5000</v>
      </c>
      <c r="AU29" s="58">
        <f t="shared" si="19"/>
        <v>5000</v>
      </c>
      <c r="AV29" s="58">
        <f t="shared" si="19"/>
        <v>5000</v>
      </c>
      <c r="AW29" s="58">
        <f t="shared" si="19"/>
        <v>5000</v>
      </c>
      <c r="AX29" s="58">
        <f t="shared" si="19"/>
        <v>5000</v>
      </c>
      <c r="AY29" s="58">
        <f t="shared" si="19"/>
        <v>5000</v>
      </c>
      <c r="AZ29" s="58">
        <f t="shared" si="19"/>
        <v>5000</v>
      </c>
      <c r="BA29" s="58">
        <f t="shared" si="19"/>
        <v>5000</v>
      </c>
      <c r="BB29" s="58">
        <f t="shared" si="19"/>
        <v>5000</v>
      </c>
      <c r="BC29" s="58">
        <f t="shared" si="19"/>
        <v>5000</v>
      </c>
      <c r="BD29" s="58">
        <f t="shared" si="19"/>
        <v>5000</v>
      </c>
      <c r="BE29" s="58">
        <f t="shared" si="19"/>
        <v>5000</v>
      </c>
      <c r="BF29" s="58">
        <f t="shared" si="19"/>
        <v>5000</v>
      </c>
      <c r="BG29" s="58">
        <f t="shared" si="19"/>
        <v>5000</v>
      </c>
      <c r="BH29" s="58">
        <f t="shared" si="19"/>
        <v>5000</v>
      </c>
      <c r="BI29" s="58">
        <f t="shared" si="19"/>
        <v>5000</v>
      </c>
      <c r="BJ29" s="58">
        <f t="shared" si="19"/>
        <v>5000</v>
      </c>
      <c r="BK29" s="58">
        <f t="shared" si="19"/>
        <v>5000</v>
      </c>
      <c r="BL29" s="58">
        <f t="shared" si="19"/>
        <v>5000</v>
      </c>
      <c r="BM29" s="58">
        <f t="shared" si="19"/>
        <v>5000</v>
      </c>
      <c r="BN29" s="58">
        <f t="shared" si="19"/>
        <v>5000</v>
      </c>
    </row>
    <row r="30" outlineLevel="1">
      <c r="A30" s="47"/>
      <c r="B30" s="73" t="s">
        <v>34</v>
      </c>
      <c r="C30" s="57">
        <v>80000.0</v>
      </c>
      <c r="D30" s="74">
        <v>0.2</v>
      </c>
      <c r="E30" s="75">
        <v>44166.0</v>
      </c>
      <c r="F30" s="58"/>
      <c r="G30" s="58">
        <f t="shared" ref="G30:BN30" si="20">IF(G$4&gt;=$E30,($C30/12)*(1+$D30),0)</f>
        <v>8000</v>
      </c>
      <c r="H30" s="58">
        <f t="shared" si="20"/>
        <v>8000</v>
      </c>
      <c r="I30" s="58">
        <f t="shared" si="20"/>
        <v>8000</v>
      </c>
      <c r="J30" s="58">
        <f t="shared" si="20"/>
        <v>8000</v>
      </c>
      <c r="K30" s="58">
        <f t="shared" si="20"/>
        <v>8000</v>
      </c>
      <c r="L30" s="58">
        <f t="shared" si="20"/>
        <v>8000</v>
      </c>
      <c r="M30" s="58">
        <f t="shared" si="20"/>
        <v>8000</v>
      </c>
      <c r="N30" s="58">
        <f t="shared" si="20"/>
        <v>8000</v>
      </c>
      <c r="O30" s="58">
        <f t="shared" si="20"/>
        <v>8000</v>
      </c>
      <c r="P30" s="58">
        <f t="shared" si="20"/>
        <v>8000</v>
      </c>
      <c r="Q30" s="58">
        <f t="shared" si="20"/>
        <v>8000</v>
      </c>
      <c r="R30" s="58">
        <f t="shared" si="20"/>
        <v>8000</v>
      </c>
      <c r="S30" s="58">
        <f t="shared" si="20"/>
        <v>8000</v>
      </c>
      <c r="T30" s="58">
        <f t="shared" si="20"/>
        <v>8000</v>
      </c>
      <c r="U30" s="58">
        <f t="shared" si="20"/>
        <v>8000</v>
      </c>
      <c r="V30" s="58">
        <f t="shared" si="20"/>
        <v>8000</v>
      </c>
      <c r="W30" s="58">
        <f t="shared" si="20"/>
        <v>8000</v>
      </c>
      <c r="X30" s="58">
        <f t="shared" si="20"/>
        <v>8000</v>
      </c>
      <c r="Y30" s="58">
        <f t="shared" si="20"/>
        <v>8000</v>
      </c>
      <c r="Z30" s="58">
        <f t="shared" si="20"/>
        <v>8000</v>
      </c>
      <c r="AA30" s="58">
        <f t="shared" si="20"/>
        <v>8000</v>
      </c>
      <c r="AB30" s="58">
        <f t="shared" si="20"/>
        <v>8000</v>
      </c>
      <c r="AC30" s="58">
        <f t="shared" si="20"/>
        <v>8000</v>
      </c>
      <c r="AD30" s="58">
        <f t="shared" si="20"/>
        <v>8000</v>
      </c>
      <c r="AE30" s="58">
        <f t="shared" si="20"/>
        <v>8000</v>
      </c>
      <c r="AF30" s="58">
        <f t="shared" si="20"/>
        <v>8000</v>
      </c>
      <c r="AG30" s="58">
        <f t="shared" si="20"/>
        <v>8000</v>
      </c>
      <c r="AH30" s="58">
        <f t="shared" si="20"/>
        <v>8000</v>
      </c>
      <c r="AI30" s="58">
        <f t="shared" si="20"/>
        <v>8000</v>
      </c>
      <c r="AJ30" s="58">
        <f t="shared" si="20"/>
        <v>8000</v>
      </c>
      <c r="AK30" s="58">
        <f t="shared" si="20"/>
        <v>8000</v>
      </c>
      <c r="AL30" s="58">
        <f t="shared" si="20"/>
        <v>8000</v>
      </c>
      <c r="AM30" s="58">
        <f t="shared" si="20"/>
        <v>8000</v>
      </c>
      <c r="AN30" s="58">
        <f t="shared" si="20"/>
        <v>8000</v>
      </c>
      <c r="AO30" s="58">
        <f t="shared" si="20"/>
        <v>8000</v>
      </c>
      <c r="AP30" s="58">
        <f t="shared" si="20"/>
        <v>8000</v>
      </c>
      <c r="AQ30" s="58">
        <f t="shared" si="20"/>
        <v>8000</v>
      </c>
      <c r="AR30" s="58">
        <f t="shared" si="20"/>
        <v>8000</v>
      </c>
      <c r="AS30" s="58">
        <f t="shared" si="20"/>
        <v>8000</v>
      </c>
      <c r="AT30" s="58">
        <f t="shared" si="20"/>
        <v>8000</v>
      </c>
      <c r="AU30" s="58">
        <f t="shared" si="20"/>
        <v>8000</v>
      </c>
      <c r="AV30" s="58">
        <f t="shared" si="20"/>
        <v>8000</v>
      </c>
      <c r="AW30" s="58">
        <f t="shared" si="20"/>
        <v>8000</v>
      </c>
      <c r="AX30" s="58">
        <f t="shared" si="20"/>
        <v>8000</v>
      </c>
      <c r="AY30" s="58">
        <f t="shared" si="20"/>
        <v>8000</v>
      </c>
      <c r="AZ30" s="58">
        <f t="shared" si="20"/>
        <v>8000</v>
      </c>
      <c r="BA30" s="58">
        <f t="shared" si="20"/>
        <v>8000</v>
      </c>
      <c r="BB30" s="58">
        <f t="shared" si="20"/>
        <v>8000</v>
      </c>
      <c r="BC30" s="58">
        <f t="shared" si="20"/>
        <v>8000</v>
      </c>
      <c r="BD30" s="58">
        <f t="shared" si="20"/>
        <v>8000</v>
      </c>
      <c r="BE30" s="58">
        <f t="shared" si="20"/>
        <v>8000</v>
      </c>
      <c r="BF30" s="58">
        <f t="shared" si="20"/>
        <v>8000</v>
      </c>
      <c r="BG30" s="58">
        <f t="shared" si="20"/>
        <v>8000</v>
      </c>
      <c r="BH30" s="58">
        <f t="shared" si="20"/>
        <v>8000</v>
      </c>
      <c r="BI30" s="58">
        <f t="shared" si="20"/>
        <v>8000</v>
      </c>
      <c r="BJ30" s="58">
        <f t="shared" si="20"/>
        <v>8000</v>
      </c>
      <c r="BK30" s="58">
        <f t="shared" si="20"/>
        <v>8000</v>
      </c>
      <c r="BL30" s="58">
        <f t="shared" si="20"/>
        <v>8000</v>
      </c>
      <c r="BM30" s="58">
        <f t="shared" si="20"/>
        <v>8000</v>
      </c>
      <c r="BN30" s="58">
        <f t="shared" si="20"/>
        <v>8000</v>
      </c>
    </row>
    <row r="31" outlineLevel="1">
      <c r="A31" s="47"/>
      <c r="B31" s="73" t="s">
        <v>35</v>
      </c>
      <c r="C31" s="57">
        <v>90000.0</v>
      </c>
      <c r="D31" s="74">
        <v>0.2</v>
      </c>
      <c r="E31" s="75">
        <v>44256.0</v>
      </c>
      <c r="F31" s="58"/>
      <c r="G31" s="58">
        <f t="shared" ref="G31:BN31" si="21">IF(G$4&gt;=$E31,($C31/12)*(1+$D31),0)</f>
        <v>9000</v>
      </c>
      <c r="H31" s="58">
        <f t="shared" si="21"/>
        <v>9000</v>
      </c>
      <c r="I31" s="58">
        <f t="shared" si="21"/>
        <v>9000</v>
      </c>
      <c r="J31" s="58">
        <f t="shared" si="21"/>
        <v>9000</v>
      </c>
      <c r="K31" s="58">
        <f t="shared" si="21"/>
        <v>9000</v>
      </c>
      <c r="L31" s="58">
        <f t="shared" si="21"/>
        <v>9000</v>
      </c>
      <c r="M31" s="58">
        <f t="shared" si="21"/>
        <v>9000</v>
      </c>
      <c r="N31" s="58">
        <f t="shared" si="21"/>
        <v>9000</v>
      </c>
      <c r="O31" s="58">
        <f t="shared" si="21"/>
        <v>9000</v>
      </c>
      <c r="P31" s="58">
        <f t="shared" si="21"/>
        <v>9000</v>
      </c>
      <c r="Q31" s="58">
        <f t="shared" si="21"/>
        <v>9000</v>
      </c>
      <c r="R31" s="58">
        <f t="shared" si="21"/>
        <v>9000</v>
      </c>
      <c r="S31" s="58">
        <f t="shared" si="21"/>
        <v>9000</v>
      </c>
      <c r="T31" s="58">
        <f t="shared" si="21"/>
        <v>9000</v>
      </c>
      <c r="U31" s="58">
        <f t="shared" si="21"/>
        <v>9000</v>
      </c>
      <c r="V31" s="58">
        <f t="shared" si="21"/>
        <v>9000</v>
      </c>
      <c r="W31" s="58">
        <f t="shared" si="21"/>
        <v>9000</v>
      </c>
      <c r="X31" s="58">
        <f t="shared" si="21"/>
        <v>9000</v>
      </c>
      <c r="Y31" s="58">
        <f t="shared" si="21"/>
        <v>9000</v>
      </c>
      <c r="Z31" s="58">
        <f t="shared" si="21"/>
        <v>9000</v>
      </c>
      <c r="AA31" s="58">
        <f t="shared" si="21"/>
        <v>9000</v>
      </c>
      <c r="AB31" s="58">
        <f t="shared" si="21"/>
        <v>9000</v>
      </c>
      <c r="AC31" s="58">
        <f t="shared" si="21"/>
        <v>9000</v>
      </c>
      <c r="AD31" s="58">
        <f t="shared" si="21"/>
        <v>9000</v>
      </c>
      <c r="AE31" s="58">
        <f t="shared" si="21"/>
        <v>9000</v>
      </c>
      <c r="AF31" s="58">
        <f t="shared" si="21"/>
        <v>9000</v>
      </c>
      <c r="AG31" s="58">
        <f t="shared" si="21"/>
        <v>9000</v>
      </c>
      <c r="AH31" s="58">
        <f t="shared" si="21"/>
        <v>9000</v>
      </c>
      <c r="AI31" s="58">
        <f t="shared" si="21"/>
        <v>9000</v>
      </c>
      <c r="AJ31" s="58">
        <f t="shared" si="21"/>
        <v>9000</v>
      </c>
      <c r="AK31" s="58">
        <f t="shared" si="21"/>
        <v>9000</v>
      </c>
      <c r="AL31" s="58">
        <f t="shared" si="21"/>
        <v>9000</v>
      </c>
      <c r="AM31" s="58">
        <f t="shared" si="21"/>
        <v>9000</v>
      </c>
      <c r="AN31" s="58">
        <f t="shared" si="21"/>
        <v>9000</v>
      </c>
      <c r="AO31" s="58">
        <f t="shared" si="21"/>
        <v>9000</v>
      </c>
      <c r="AP31" s="58">
        <f t="shared" si="21"/>
        <v>9000</v>
      </c>
      <c r="AQ31" s="58">
        <f t="shared" si="21"/>
        <v>9000</v>
      </c>
      <c r="AR31" s="58">
        <f t="shared" si="21"/>
        <v>9000</v>
      </c>
      <c r="AS31" s="58">
        <f t="shared" si="21"/>
        <v>9000</v>
      </c>
      <c r="AT31" s="58">
        <f t="shared" si="21"/>
        <v>9000</v>
      </c>
      <c r="AU31" s="58">
        <f t="shared" si="21"/>
        <v>9000</v>
      </c>
      <c r="AV31" s="58">
        <f t="shared" si="21"/>
        <v>9000</v>
      </c>
      <c r="AW31" s="58">
        <f t="shared" si="21"/>
        <v>9000</v>
      </c>
      <c r="AX31" s="58">
        <f t="shared" si="21"/>
        <v>9000</v>
      </c>
      <c r="AY31" s="58">
        <f t="shared" si="21"/>
        <v>9000</v>
      </c>
      <c r="AZ31" s="58">
        <f t="shared" si="21"/>
        <v>9000</v>
      </c>
      <c r="BA31" s="58">
        <f t="shared" si="21"/>
        <v>9000</v>
      </c>
      <c r="BB31" s="58">
        <f t="shared" si="21"/>
        <v>9000</v>
      </c>
      <c r="BC31" s="58">
        <f t="shared" si="21"/>
        <v>9000</v>
      </c>
      <c r="BD31" s="58">
        <f t="shared" si="21"/>
        <v>9000</v>
      </c>
      <c r="BE31" s="58">
        <f t="shared" si="21"/>
        <v>9000</v>
      </c>
      <c r="BF31" s="58">
        <f t="shared" si="21"/>
        <v>9000</v>
      </c>
      <c r="BG31" s="58">
        <f t="shared" si="21"/>
        <v>9000</v>
      </c>
      <c r="BH31" s="58">
        <f t="shared" si="21"/>
        <v>9000</v>
      </c>
      <c r="BI31" s="58">
        <f t="shared" si="21"/>
        <v>9000</v>
      </c>
      <c r="BJ31" s="58">
        <f t="shared" si="21"/>
        <v>9000</v>
      </c>
      <c r="BK31" s="58">
        <f t="shared" si="21"/>
        <v>9000</v>
      </c>
      <c r="BL31" s="58">
        <f t="shared" si="21"/>
        <v>9000</v>
      </c>
      <c r="BM31" s="58">
        <f t="shared" si="21"/>
        <v>9000</v>
      </c>
      <c r="BN31" s="58">
        <f t="shared" si="21"/>
        <v>9000</v>
      </c>
    </row>
    <row r="32" outlineLevel="1">
      <c r="A32" s="47"/>
      <c r="B32" s="73" t="s">
        <v>36</v>
      </c>
      <c r="C32" s="57">
        <v>45000.0</v>
      </c>
      <c r="D32" s="74">
        <v>0.2</v>
      </c>
      <c r="E32" s="75">
        <v>44348.0</v>
      </c>
      <c r="F32" s="58"/>
      <c r="G32" s="58">
        <f t="shared" ref="G32:BN32" si="22">IF(G$4&gt;=$E32,($C32/12)*(1+$D32),0)</f>
        <v>4500</v>
      </c>
      <c r="H32" s="58">
        <f t="shared" si="22"/>
        <v>4500</v>
      </c>
      <c r="I32" s="58">
        <f t="shared" si="22"/>
        <v>4500</v>
      </c>
      <c r="J32" s="58">
        <f t="shared" si="22"/>
        <v>4500</v>
      </c>
      <c r="K32" s="58">
        <f t="shared" si="22"/>
        <v>4500</v>
      </c>
      <c r="L32" s="58">
        <f t="shared" si="22"/>
        <v>4500</v>
      </c>
      <c r="M32" s="58">
        <f t="shared" si="22"/>
        <v>4500</v>
      </c>
      <c r="N32" s="58">
        <f t="shared" si="22"/>
        <v>4500</v>
      </c>
      <c r="O32" s="58">
        <f t="shared" si="22"/>
        <v>4500</v>
      </c>
      <c r="P32" s="58">
        <f t="shared" si="22"/>
        <v>4500</v>
      </c>
      <c r="Q32" s="58">
        <f t="shared" si="22"/>
        <v>4500</v>
      </c>
      <c r="R32" s="58">
        <f t="shared" si="22"/>
        <v>4500</v>
      </c>
      <c r="S32" s="58">
        <f t="shared" si="22"/>
        <v>4500</v>
      </c>
      <c r="T32" s="58">
        <f t="shared" si="22"/>
        <v>4500</v>
      </c>
      <c r="U32" s="58">
        <f t="shared" si="22"/>
        <v>4500</v>
      </c>
      <c r="V32" s="58">
        <f t="shared" si="22"/>
        <v>4500</v>
      </c>
      <c r="W32" s="58">
        <f t="shared" si="22"/>
        <v>4500</v>
      </c>
      <c r="X32" s="58">
        <f t="shared" si="22"/>
        <v>4500</v>
      </c>
      <c r="Y32" s="58">
        <f t="shared" si="22"/>
        <v>4500</v>
      </c>
      <c r="Z32" s="58">
        <f t="shared" si="22"/>
        <v>4500</v>
      </c>
      <c r="AA32" s="58">
        <f t="shared" si="22"/>
        <v>4500</v>
      </c>
      <c r="AB32" s="58">
        <f t="shared" si="22"/>
        <v>4500</v>
      </c>
      <c r="AC32" s="58">
        <f t="shared" si="22"/>
        <v>4500</v>
      </c>
      <c r="AD32" s="58">
        <f t="shared" si="22"/>
        <v>4500</v>
      </c>
      <c r="AE32" s="58">
        <f t="shared" si="22"/>
        <v>4500</v>
      </c>
      <c r="AF32" s="58">
        <f t="shared" si="22"/>
        <v>4500</v>
      </c>
      <c r="AG32" s="58">
        <f t="shared" si="22"/>
        <v>4500</v>
      </c>
      <c r="AH32" s="58">
        <f t="shared" si="22"/>
        <v>4500</v>
      </c>
      <c r="AI32" s="58">
        <f t="shared" si="22"/>
        <v>4500</v>
      </c>
      <c r="AJ32" s="58">
        <f t="shared" si="22"/>
        <v>4500</v>
      </c>
      <c r="AK32" s="58">
        <f t="shared" si="22"/>
        <v>4500</v>
      </c>
      <c r="AL32" s="58">
        <f t="shared" si="22"/>
        <v>4500</v>
      </c>
      <c r="AM32" s="58">
        <f t="shared" si="22"/>
        <v>4500</v>
      </c>
      <c r="AN32" s="58">
        <f t="shared" si="22"/>
        <v>4500</v>
      </c>
      <c r="AO32" s="58">
        <f t="shared" si="22"/>
        <v>4500</v>
      </c>
      <c r="AP32" s="58">
        <f t="shared" si="22"/>
        <v>4500</v>
      </c>
      <c r="AQ32" s="58">
        <f t="shared" si="22"/>
        <v>4500</v>
      </c>
      <c r="AR32" s="58">
        <f t="shared" si="22"/>
        <v>4500</v>
      </c>
      <c r="AS32" s="58">
        <f t="shared" si="22"/>
        <v>4500</v>
      </c>
      <c r="AT32" s="58">
        <f t="shared" si="22"/>
        <v>4500</v>
      </c>
      <c r="AU32" s="58">
        <f t="shared" si="22"/>
        <v>4500</v>
      </c>
      <c r="AV32" s="58">
        <f t="shared" si="22"/>
        <v>4500</v>
      </c>
      <c r="AW32" s="58">
        <f t="shared" si="22"/>
        <v>4500</v>
      </c>
      <c r="AX32" s="58">
        <f t="shared" si="22"/>
        <v>4500</v>
      </c>
      <c r="AY32" s="58">
        <f t="shared" si="22"/>
        <v>4500</v>
      </c>
      <c r="AZ32" s="58">
        <f t="shared" si="22"/>
        <v>4500</v>
      </c>
      <c r="BA32" s="58">
        <f t="shared" si="22"/>
        <v>4500</v>
      </c>
      <c r="BB32" s="58">
        <f t="shared" si="22"/>
        <v>4500</v>
      </c>
      <c r="BC32" s="58">
        <f t="shared" si="22"/>
        <v>4500</v>
      </c>
      <c r="BD32" s="58">
        <f t="shared" si="22"/>
        <v>4500</v>
      </c>
      <c r="BE32" s="58">
        <f t="shared" si="22"/>
        <v>4500</v>
      </c>
      <c r="BF32" s="58">
        <f t="shared" si="22"/>
        <v>4500</v>
      </c>
      <c r="BG32" s="58">
        <f t="shared" si="22"/>
        <v>4500</v>
      </c>
      <c r="BH32" s="58">
        <f t="shared" si="22"/>
        <v>4500</v>
      </c>
      <c r="BI32" s="58">
        <f t="shared" si="22"/>
        <v>4500</v>
      </c>
      <c r="BJ32" s="58">
        <f t="shared" si="22"/>
        <v>4500</v>
      </c>
      <c r="BK32" s="58">
        <f t="shared" si="22"/>
        <v>4500</v>
      </c>
      <c r="BL32" s="58">
        <f t="shared" si="22"/>
        <v>4500</v>
      </c>
      <c r="BM32" s="58">
        <f t="shared" si="22"/>
        <v>4500</v>
      </c>
      <c r="BN32" s="58">
        <f t="shared" si="22"/>
        <v>4500</v>
      </c>
    </row>
    <row r="33" outlineLevel="1">
      <c r="A33" s="47"/>
      <c r="B33" s="73" t="s">
        <v>37</v>
      </c>
      <c r="C33" s="57">
        <v>100000.0</v>
      </c>
      <c r="D33" s="74">
        <v>0.2</v>
      </c>
      <c r="E33" s="75">
        <v>43831.0</v>
      </c>
      <c r="F33" s="58"/>
      <c r="G33" s="58">
        <f t="shared" ref="G33:BN33" si="23">IF(G$4&gt;=$E33,($C33/12)*(1+$D33),0)</f>
        <v>10000</v>
      </c>
      <c r="H33" s="58">
        <f t="shared" si="23"/>
        <v>10000</v>
      </c>
      <c r="I33" s="58">
        <f t="shared" si="23"/>
        <v>10000</v>
      </c>
      <c r="J33" s="58">
        <f t="shared" si="23"/>
        <v>10000</v>
      </c>
      <c r="K33" s="58">
        <f t="shared" si="23"/>
        <v>10000</v>
      </c>
      <c r="L33" s="58">
        <f t="shared" si="23"/>
        <v>10000</v>
      </c>
      <c r="M33" s="58">
        <f t="shared" si="23"/>
        <v>10000</v>
      </c>
      <c r="N33" s="58">
        <f t="shared" si="23"/>
        <v>10000</v>
      </c>
      <c r="O33" s="58">
        <f t="shared" si="23"/>
        <v>10000</v>
      </c>
      <c r="P33" s="58">
        <f t="shared" si="23"/>
        <v>10000</v>
      </c>
      <c r="Q33" s="58">
        <f t="shared" si="23"/>
        <v>10000</v>
      </c>
      <c r="R33" s="58">
        <f t="shared" si="23"/>
        <v>10000</v>
      </c>
      <c r="S33" s="58">
        <f t="shared" si="23"/>
        <v>10000</v>
      </c>
      <c r="T33" s="58">
        <f t="shared" si="23"/>
        <v>10000</v>
      </c>
      <c r="U33" s="58">
        <f t="shared" si="23"/>
        <v>10000</v>
      </c>
      <c r="V33" s="58">
        <f t="shared" si="23"/>
        <v>10000</v>
      </c>
      <c r="W33" s="58">
        <f t="shared" si="23"/>
        <v>10000</v>
      </c>
      <c r="X33" s="58">
        <f t="shared" si="23"/>
        <v>10000</v>
      </c>
      <c r="Y33" s="58">
        <f t="shared" si="23"/>
        <v>10000</v>
      </c>
      <c r="Z33" s="58">
        <f t="shared" si="23"/>
        <v>10000</v>
      </c>
      <c r="AA33" s="58">
        <f t="shared" si="23"/>
        <v>10000</v>
      </c>
      <c r="AB33" s="58">
        <f t="shared" si="23"/>
        <v>10000</v>
      </c>
      <c r="AC33" s="58">
        <f t="shared" si="23"/>
        <v>10000</v>
      </c>
      <c r="AD33" s="58">
        <f t="shared" si="23"/>
        <v>10000</v>
      </c>
      <c r="AE33" s="58">
        <f t="shared" si="23"/>
        <v>10000</v>
      </c>
      <c r="AF33" s="58">
        <f t="shared" si="23"/>
        <v>10000</v>
      </c>
      <c r="AG33" s="58">
        <f t="shared" si="23"/>
        <v>10000</v>
      </c>
      <c r="AH33" s="58">
        <f t="shared" si="23"/>
        <v>10000</v>
      </c>
      <c r="AI33" s="58">
        <f t="shared" si="23"/>
        <v>10000</v>
      </c>
      <c r="AJ33" s="58">
        <f t="shared" si="23"/>
        <v>10000</v>
      </c>
      <c r="AK33" s="58">
        <f t="shared" si="23"/>
        <v>10000</v>
      </c>
      <c r="AL33" s="58">
        <f t="shared" si="23"/>
        <v>10000</v>
      </c>
      <c r="AM33" s="58">
        <f t="shared" si="23"/>
        <v>10000</v>
      </c>
      <c r="AN33" s="58">
        <f t="shared" si="23"/>
        <v>10000</v>
      </c>
      <c r="AO33" s="58">
        <f t="shared" si="23"/>
        <v>10000</v>
      </c>
      <c r="AP33" s="58">
        <f t="shared" si="23"/>
        <v>10000</v>
      </c>
      <c r="AQ33" s="58">
        <f t="shared" si="23"/>
        <v>10000</v>
      </c>
      <c r="AR33" s="58">
        <f t="shared" si="23"/>
        <v>10000</v>
      </c>
      <c r="AS33" s="58">
        <f t="shared" si="23"/>
        <v>10000</v>
      </c>
      <c r="AT33" s="58">
        <f t="shared" si="23"/>
        <v>10000</v>
      </c>
      <c r="AU33" s="58">
        <f t="shared" si="23"/>
        <v>10000</v>
      </c>
      <c r="AV33" s="58">
        <f t="shared" si="23"/>
        <v>10000</v>
      </c>
      <c r="AW33" s="58">
        <f t="shared" si="23"/>
        <v>10000</v>
      </c>
      <c r="AX33" s="58">
        <f t="shared" si="23"/>
        <v>10000</v>
      </c>
      <c r="AY33" s="58">
        <f t="shared" si="23"/>
        <v>10000</v>
      </c>
      <c r="AZ33" s="58">
        <f t="shared" si="23"/>
        <v>10000</v>
      </c>
      <c r="BA33" s="58">
        <f t="shared" si="23"/>
        <v>10000</v>
      </c>
      <c r="BB33" s="58">
        <f t="shared" si="23"/>
        <v>10000</v>
      </c>
      <c r="BC33" s="58">
        <f t="shared" si="23"/>
        <v>10000</v>
      </c>
      <c r="BD33" s="58">
        <f t="shared" si="23"/>
        <v>10000</v>
      </c>
      <c r="BE33" s="58">
        <f t="shared" si="23"/>
        <v>10000</v>
      </c>
      <c r="BF33" s="58">
        <f t="shared" si="23"/>
        <v>10000</v>
      </c>
      <c r="BG33" s="58">
        <f t="shared" si="23"/>
        <v>10000</v>
      </c>
      <c r="BH33" s="58">
        <f t="shared" si="23"/>
        <v>10000</v>
      </c>
      <c r="BI33" s="58">
        <f t="shared" si="23"/>
        <v>10000</v>
      </c>
      <c r="BJ33" s="58">
        <f t="shared" si="23"/>
        <v>10000</v>
      </c>
      <c r="BK33" s="58">
        <f t="shared" si="23"/>
        <v>10000</v>
      </c>
      <c r="BL33" s="58">
        <f t="shared" si="23"/>
        <v>10000</v>
      </c>
      <c r="BM33" s="58">
        <f t="shared" si="23"/>
        <v>10000</v>
      </c>
      <c r="BN33" s="58">
        <f t="shared" si="23"/>
        <v>10000</v>
      </c>
    </row>
    <row r="34" outlineLevel="1">
      <c r="A34" s="47"/>
      <c r="B34" s="73" t="s">
        <v>38</v>
      </c>
      <c r="C34" s="57">
        <v>100000.0</v>
      </c>
      <c r="D34" s="74">
        <v>0.2</v>
      </c>
      <c r="E34" s="75">
        <v>43831.0</v>
      </c>
      <c r="F34" s="58"/>
      <c r="G34" s="58">
        <f t="shared" ref="G34:BN34" si="24">IF(G$4&gt;=$E34,($C34/12)*(1+$D34),0)</f>
        <v>10000</v>
      </c>
      <c r="H34" s="58">
        <f t="shared" si="24"/>
        <v>10000</v>
      </c>
      <c r="I34" s="58">
        <f t="shared" si="24"/>
        <v>10000</v>
      </c>
      <c r="J34" s="58">
        <f t="shared" si="24"/>
        <v>10000</v>
      </c>
      <c r="K34" s="58">
        <f t="shared" si="24"/>
        <v>10000</v>
      </c>
      <c r="L34" s="58">
        <f t="shared" si="24"/>
        <v>10000</v>
      </c>
      <c r="M34" s="58">
        <f t="shared" si="24"/>
        <v>10000</v>
      </c>
      <c r="N34" s="58">
        <f t="shared" si="24"/>
        <v>10000</v>
      </c>
      <c r="O34" s="58">
        <f t="shared" si="24"/>
        <v>10000</v>
      </c>
      <c r="P34" s="58">
        <f t="shared" si="24"/>
        <v>10000</v>
      </c>
      <c r="Q34" s="58">
        <f t="shared" si="24"/>
        <v>10000</v>
      </c>
      <c r="R34" s="58">
        <f t="shared" si="24"/>
        <v>10000</v>
      </c>
      <c r="S34" s="58">
        <f t="shared" si="24"/>
        <v>10000</v>
      </c>
      <c r="T34" s="58">
        <f t="shared" si="24"/>
        <v>10000</v>
      </c>
      <c r="U34" s="58">
        <f t="shared" si="24"/>
        <v>10000</v>
      </c>
      <c r="V34" s="58">
        <f t="shared" si="24"/>
        <v>10000</v>
      </c>
      <c r="W34" s="58">
        <f t="shared" si="24"/>
        <v>10000</v>
      </c>
      <c r="X34" s="58">
        <f t="shared" si="24"/>
        <v>10000</v>
      </c>
      <c r="Y34" s="58">
        <f t="shared" si="24"/>
        <v>10000</v>
      </c>
      <c r="Z34" s="58">
        <f t="shared" si="24"/>
        <v>10000</v>
      </c>
      <c r="AA34" s="58">
        <f t="shared" si="24"/>
        <v>10000</v>
      </c>
      <c r="AB34" s="58">
        <f t="shared" si="24"/>
        <v>10000</v>
      </c>
      <c r="AC34" s="58">
        <f t="shared" si="24"/>
        <v>10000</v>
      </c>
      <c r="AD34" s="58">
        <f t="shared" si="24"/>
        <v>10000</v>
      </c>
      <c r="AE34" s="58">
        <f t="shared" si="24"/>
        <v>10000</v>
      </c>
      <c r="AF34" s="58">
        <f t="shared" si="24"/>
        <v>10000</v>
      </c>
      <c r="AG34" s="58">
        <f t="shared" si="24"/>
        <v>10000</v>
      </c>
      <c r="AH34" s="58">
        <f t="shared" si="24"/>
        <v>10000</v>
      </c>
      <c r="AI34" s="58">
        <f t="shared" si="24"/>
        <v>10000</v>
      </c>
      <c r="AJ34" s="58">
        <f t="shared" si="24"/>
        <v>10000</v>
      </c>
      <c r="AK34" s="58">
        <f t="shared" si="24"/>
        <v>10000</v>
      </c>
      <c r="AL34" s="58">
        <f t="shared" si="24"/>
        <v>10000</v>
      </c>
      <c r="AM34" s="58">
        <f t="shared" si="24"/>
        <v>10000</v>
      </c>
      <c r="AN34" s="58">
        <f t="shared" si="24"/>
        <v>10000</v>
      </c>
      <c r="AO34" s="58">
        <f t="shared" si="24"/>
        <v>10000</v>
      </c>
      <c r="AP34" s="58">
        <f t="shared" si="24"/>
        <v>10000</v>
      </c>
      <c r="AQ34" s="58">
        <f t="shared" si="24"/>
        <v>10000</v>
      </c>
      <c r="AR34" s="58">
        <f t="shared" si="24"/>
        <v>10000</v>
      </c>
      <c r="AS34" s="58">
        <f t="shared" si="24"/>
        <v>10000</v>
      </c>
      <c r="AT34" s="58">
        <f t="shared" si="24"/>
        <v>10000</v>
      </c>
      <c r="AU34" s="58">
        <f t="shared" si="24"/>
        <v>10000</v>
      </c>
      <c r="AV34" s="58">
        <f t="shared" si="24"/>
        <v>10000</v>
      </c>
      <c r="AW34" s="58">
        <f t="shared" si="24"/>
        <v>10000</v>
      </c>
      <c r="AX34" s="58">
        <f t="shared" si="24"/>
        <v>10000</v>
      </c>
      <c r="AY34" s="58">
        <f t="shared" si="24"/>
        <v>10000</v>
      </c>
      <c r="AZ34" s="58">
        <f t="shared" si="24"/>
        <v>10000</v>
      </c>
      <c r="BA34" s="58">
        <f t="shared" si="24"/>
        <v>10000</v>
      </c>
      <c r="BB34" s="58">
        <f t="shared" si="24"/>
        <v>10000</v>
      </c>
      <c r="BC34" s="58">
        <f t="shared" si="24"/>
        <v>10000</v>
      </c>
      <c r="BD34" s="58">
        <f t="shared" si="24"/>
        <v>10000</v>
      </c>
      <c r="BE34" s="58">
        <f t="shared" si="24"/>
        <v>10000</v>
      </c>
      <c r="BF34" s="58">
        <f t="shared" si="24"/>
        <v>10000</v>
      </c>
      <c r="BG34" s="58">
        <f t="shared" si="24"/>
        <v>10000</v>
      </c>
      <c r="BH34" s="58">
        <f t="shared" si="24"/>
        <v>10000</v>
      </c>
      <c r="BI34" s="58">
        <f t="shared" si="24"/>
        <v>10000</v>
      </c>
      <c r="BJ34" s="58">
        <f t="shared" si="24"/>
        <v>10000</v>
      </c>
      <c r="BK34" s="58">
        <f t="shared" si="24"/>
        <v>10000</v>
      </c>
      <c r="BL34" s="58">
        <f t="shared" si="24"/>
        <v>10000</v>
      </c>
      <c r="BM34" s="58">
        <f t="shared" si="24"/>
        <v>10000</v>
      </c>
      <c r="BN34" s="58">
        <f t="shared" si="24"/>
        <v>10000</v>
      </c>
    </row>
    <row r="35" outlineLevel="1">
      <c r="A35" s="47"/>
      <c r="B35" s="73" t="s">
        <v>39</v>
      </c>
      <c r="C35" s="57">
        <v>100000.0</v>
      </c>
      <c r="D35" s="74">
        <v>0.2</v>
      </c>
      <c r="E35" s="75">
        <v>44075.0</v>
      </c>
      <c r="F35" s="58"/>
      <c r="G35" s="58">
        <f t="shared" ref="G35:BN35" si="25">IF(G$4&gt;=$E35,($C35/12)*(1+$D35),0)</f>
        <v>10000</v>
      </c>
      <c r="H35" s="58">
        <f t="shared" si="25"/>
        <v>10000</v>
      </c>
      <c r="I35" s="58">
        <f t="shared" si="25"/>
        <v>10000</v>
      </c>
      <c r="J35" s="58">
        <f t="shared" si="25"/>
        <v>10000</v>
      </c>
      <c r="K35" s="58">
        <f t="shared" si="25"/>
        <v>10000</v>
      </c>
      <c r="L35" s="58">
        <f t="shared" si="25"/>
        <v>10000</v>
      </c>
      <c r="M35" s="58">
        <f t="shared" si="25"/>
        <v>10000</v>
      </c>
      <c r="N35" s="58">
        <f t="shared" si="25"/>
        <v>10000</v>
      </c>
      <c r="O35" s="58">
        <f t="shared" si="25"/>
        <v>10000</v>
      </c>
      <c r="P35" s="58">
        <f t="shared" si="25"/>
        <v>10000</v>
      </c>
      <c r="Q35" s="58">
        <f t="shared" si="25"/>
        <v>10000</v>
      </c>
      <c r="R35" s="58">
        <f t="shared" si="25"/>
        <v>10000</v>
      </c>
      <c r="S35" s="58">
        <f t="shared" si="25"/>
        <v>10000</v>
      </c>
      <c r="T35" s="58">
        <f t="shared" si="25"/>
        <v>10000</v>
      </c>
      <c r="U35" s="58">
        <f t="shared" si="25"/>
        <v>10000</v>
      </c>
      <c r="V35" s="58">
        <f t="shared" si="25"/>
        <v>10000</v>
      </c>
      <c r="W35" s="58">
        <f t="shared" si="25"/>
        <v>10000</v>
      </c>
      <c r="X35" s="58">
        <f t="shared" si="25"/>
        <v>10000</v>
      </c>
      <c r="Y35" s="58">
        <f t="shared" si="25"/>
        <v>10000</v>
      </c>
      <c r="Z35" s="58">
        <f t="shared" si="25"/>
        <v>10000</v>
      </c>
      <c r="AA35" s="58">
        <f t="shared" si="25"/>
        <v>10000</v>
      </c>
      <c r="AB35" s="58">
        <f t="shared" si="25"/>
        <v>10000</v>
      </c>
      <c r="AC35" s="58">
        <f t="shared" si="25"/>
        <v>10000</v>
      </c>
      <c r="AD35" s="58">
        <f t="shared" si="25"/>
        <v>10000</v>
      </c>
      <c r="AE35" s="58">
        <f t="shared" si="25"/>
        <v>10000</v>
      </c>
      <c r="AF35" s="58">
        <f t="shared" si="25"/>
        <v>10000</v>
      </c>
      <c r="AG35" s="58">
        <f t="shared" si="25"/>
        <v>10000</v>
      </c>
      <c r="AH35" s="58">
        <f t="shared" si="25"/>
        <v>10000</v>
      </c>
      <c r="AI35" s="58">
        <f t="shared" si="25"/>
        <v>10000</v>
      </c>
      <c r="AJ35" s="58">
        <f t="shared" si="25"/>
        <v>10000</v>
      </c>
      <c r="AK35" s="58">
        <f t="shared" si="25"/>
        <v>10000</v>
      </c>
      <c r="AL35" s="58">
        <f t="shared" si="25"/>
        <v>10000</v>
      </c>
      <c r="AM35" s="58">
        <f t="shared" si="25"/>
        <v>10000</v>
      </c>
      <c r="AN35" s="58">
        <f t="shared" si="25"/>
        <v>10000</v>
      </c>
      <c r="AO35" s="58">
        <f t="shared" si="25"/>
        <v>10000</v>
      </c>
      <c r="AP35" s="58">
        <f t="shared" si="25"/>
        <v>10000</v>
      </c>
      <c r="AQ35" s="58">
        <f t="shared" si="25"/>
        <v>10000</v>
      </c>
      <c r="AR35" s="58">
        <f t="shared" si="25"/>
        <v>10000</v>
      </c>
      <c r="AS35" s="58">
        <f t="shared" si="25"/>
        <v>10000</v>
      </c>
      <c r="AT35" s="58">
        <f t="shared" si="25"/>
        <v>10000</v>
      </c>
      <c r="AU35" s="58">
        <f t="shared" si="25"/>
        <v>10000</v>
      </c>
      <c r="AV35" s="58">
        <f t="shared" si="25"/>
        <v>10000</v>
      </c>
      <c r="AW35" s="58">
        <f t="shared" si="25"/>
        <v>10000</v>
      </c>
      <c r="AX35" s="58">
        <f t="shared" si="25"/>
        <v>10000</v>
      </c>
      <c r="AY35" s="58">
        <f t="shared" si="25"/>
        <v>10000</v>
      </c>
      <c r="AZ35" s="58">
        <f t="shared" si="25"/>
        <v>10000</v>
      </c>
      <c r="BA35" s="58">
        <f t="shared" si="25"/>
        <v>10000</v>
      </c>
      <c r="BB35" s="58">
        <f t="shared" si="25"/>
        <v>10000</v>
      </c>
      <c r="BC35" s="58">
        <f t="shared" si="25"/>
        <v>10000</v>
      </c>
      <c r="BD35" s="58">
        <f t="shared" si="25"/>
        <v>10000</v>
      </c>
      <c r="BE35" s="58">
        <f t="shared" si="25"/>
        <v>10000</v>
      </c>
      <c r="BF35" s="58">
        <f t="shared" si="25"/>
        <v>10000</v>
      </c>
      <c r="BG35" s="58">
        <f t="shared" si="25"/>
        <v>10000</v>
      </c>
      <c r="BH35" s="58">
        <f t="shared" si="25"/>
        <v>10000</v>
      </c>
      <c r="BI35" s="58">
        <f t="shared" si="25"/>
        <v>10000</v>
      </c>
      <c r="BJ35" s="58">
        <f t="shared" si="25"/>
        <v>10000</v>
      </c>
      <c r="BK35" s="58">
        <f t="shared" si="25"/>
        <v>10000</v>
      </c>
      <c r="BL35" s="58">
        <f t="shared" si="25"/>
        <v>10000</v>
      </c>
      <c r="BM35" s="58">
        <f t="shared" si="25"/>
        <v>10000</v>
      </c>
      <c r="BN35" s="58">
        <f t="shared" si="25"/>
        <v>10000</v>
      </c>
    </row>
    <row r="36" outlineLevel="1">
      <c r="A36" s="47"/>
      <c r="B36" s="73" t="s">
        <v>40</v>
      </c>
      <c r="C36" s="57">
        <v>100000.0</v>
      </c>
      <c r="D36" s="74">
        <v>0.2</v>
      </c>
      <c r="E36" s="75">
        <v>43831.0</v>
      </c>
      <c r="F36" s="58"/>
      <c r="G36" s="58">
        <f t="shared" ref="G36:BN36" si="26">IF(G$4&gt;=$E36,($C36/12)*(1+$D36),0)</f>
        <v>10000</v>
      </c>
      <c r="H36" s="58">
        <f t="shared" si="26"/>
        <v>10000</v>
      </c>
      <c r="I36" s="58">
        <f t="shared" si="26"/>
        <v>10000</v>
      </c>
      <c r="J36" s="58">
        <f t="shared" si="26"/>
        <v>10000</v>
      </c>
      <c r="K36" s="58">
        <f t="shared" si="26"/>
        <v>10000</v>
      </c>
      <c r="L36" s="58">
        <f t="shared" si="26"/>
        <v>10000</v>
      </c>
      <c r="M36" s="58">
        <f t="shared" si="26"/>
        <v>10000</v>
      </c>
      <c r="N36" s="58">
        <f t="shared" si="26"/>
        <v>10000</v>
      </c>
      <c r="O36" s="58">
        <f t="shared" si="26"/>
        <v>10000</v>
      </c>
      <c r="P36" s="58">
        <f t="shared" si="26"/>
        <v>10000</v>
      </c>
      <c r="Q36" s="58">
        <f t="shared" si="26"/>
        <v>10000</v>
      </c>
      <c r="R36" s="58">
        <f t="shared" si="26"/>
        <v>10000</v>
      </c>
      <c r="S36" s="58">
        <f t="shared" si="26"/>
        <v>10000</v>
      </c>
      <c r="T36" s="58">
        <f t="shared" si="26"/>
        <v>10000</v>
      </c>
      <c r="U36" s="58">
        <f t="shared" si="26"/>
        <v>10000</v>
      </c>
      <c r="V36" s="58">
        <f t="shared" si="26"/>
        <v>10000</v>
      </c>
      <c r="W36" s="58">
        <f t="shared" si="26"/>
        <v>10000</v>
      </c>
      <c r="X36" s="58">
        <f t="shared" si="26"/>
        <v>10000</v>
      </c>
      <c r="Y36" s="58">
        <f t="shared" si="26"/>
        <v>10000</v>
      </c>
      <c r="Z36" s="58">
        <f t="shared" si="26"/>
        <v>10000</v>
      </c>
      <c r="AA36" s="58">
        <f t="shared" si="26"/>
        <v>10000</v>
      </c>
      <c r="AB36" s="58">
        <f t="shared" si="26"/>
        <v>10000</v>
      </c>
      <c r="AC36" s="58">
        <f t="shared" si="26"/>
        <v>10000</v>
      </c>
      <c r="AD36" s="58">
        <f t="shared" si="26"/>
        <v>10000</v>
      </c>
      <c r="AE36" s="58">
        <f t="shared" si="26"/>
        <v>10000</v>
      </c>
      <c r="AF36" s="58">
        <f t="shared" si="26"/>
        <v>10000</v>
      </c>
      <c r="AG36" s="58">
        <f t="shared" si="26"/>
        <v>10000</v>
      </c>
      <c r="AH36" s="58">
        <f t="shared" si="26"/>
        <v>10000</v>
      </c>
      <c r="AI36" s="58">
        <f t="shared" si="26"/>
        <v>10000</v>
      </c>
      <c r="AJ36" s="58">
        <f t="shared" si="26"/>
        <v>10000</v>
      </c>
      <c r="AK36" s="58">
        <f t="shared" si="26"/>
        <v>10000</v>
      </c>
      <c r="AL36" s="58">
        <f t="shared" si="26"/>
        <v>10000</v>
      </c>
      <c r="AM36" s="58">
        <f t="shared" si="26"/>
        <v>10000</v>
      </c>
      <c r="AN36" s="58">
        <f t="shared" si="26"/>
        <v>10000</v>
      </c>
      <c r="AO36" s="58">
        <f t="shared" si="26"/>
        <v>10000</v>
      </c>
      <c r="AP36" s="58">
        <f t="shared" si="26"/>
        <v>10000</v>
      </c>
      <c r="AQ36" s="58">
        <f t="shared" si="26"/>
        <v>10000</v>
      </c>
      <c r="AR36" s="58">
        <f t="shared" si="26"/>
        <v>10000</v>
      </c>
      <c r="AS36" s="58">
        <f t="shared" si="26"/>
        <v>10000</v>
      </c>
      <c r="AT36" s="58">
        <f t="shared" si="26"/>
        <v>10000</v>
      </c>
      <c r="AU36" s="58">
        <f t="shared" si="26"/>
        <v>10000</v>
      </c>
      <c r="AV36" s="58">
        <f t="shared" si="26"/>
        <v>10000</v>
      </c>
      <c r="AW36" s="58">
        <f t="shared" si="26"/>
        <v>10000</v>
      </c>
      <c r="AX36" s="58">
        <f t="shared" si="26"/>
        <v>10000</v>
      </c>
      <c r="AY36" s="58">
        <f t="shared" si="26"/>
        <v>10000</v>
      </c>
      <c r="AZ36" s="58">
        <f t="shared" si="26"/>
        <v>10000</v>
      </c>
      <c r="BA36" s="58">
        <f t="shared" si="26"/>
        <v>10000</v>
      </c>
      <c r="BB36" s="58">
        <f t="shared" si="26"/>
        <v>10000</v>
      </c>
      <c r="BC36" s="58">
        <f t="shared" si="26"/>
        <v>10000</v>
      </c>
      <c r="BD36" s="58">
        <f t="shared" si="26"/>
        <v>10000</v>
      </c>
      <c r="BE36" s="58">
        <f t="shared" si="26"/>
        <v>10000</v>
      </c>
      <c r="BF36" s="58">
        <f t="shared" si="26"/>
        <v>10000</v>
      </c>
      <c r="BG36" s="58">
        <f t="shared" si="26"/>
        <v>10000</v>
      </c>
      <c r="BH36" s="58">
        <f t="shared" si="26"/>
        <v>10000</v>
      </c>
      <c r="BI36" s="58">
        <f t="shared" si="26"/>
        <v>10000</v>
      </c>
      <c r="BJ36" s="58">
        <f t="shared" si="26"/>
        <v>10000</v>
      </c>
      <c r="BK36" s="58">
        <f t="shared" si="26"/>
        <v>10000</v>
      </c>
      <c r="BL36" s="58">
        <f t="shared" si="26"/>
        <v>10000</v>
      </c>
      <c r="BM36" s="58">
        <f t="shared" si="26"/>
        <v>10000</v>
      </c>
      <c r="BN36" s="58">
        <f t="shared" si="26"/>
        <v>10000</v>
      </c>
    </row>
    <row r="37" outlineLevel="1">
      <c r="A37" s="47"/>
      <c r="B37" s="73" t="s">
        <v>41</v>
      </c>
      <c r="C37" s="57">
        <v>100000.0</v>
      </c>
      <c r="D37" s="74">
        <v>0.2</v>
      </c>
      <c r="E37" s="75">
        <v>43891.0</v>
      </c>
      <c r="F37" s="58"/>
      <c r="G37" s="58">
        <f t="shared" ref="G37:BN37" si="27">IF(G$4&gt;=$E37,($C37/12)*(1+$D37),0)</f>
        <v>10000</v>
      </c>
      <c r="H37" s="58">
        <f t="shared" si="27"/>
        <v>10000</v>
      </c>
      <c r="I37" s="58">
        <f t="shared" si="27"/>
        <v>10000</v>
      </c>
      <c r="J37" s="58">
        <f t="shared" si="27"/>
        <v>10000</v>
      </c>
      <c r="K37" s="58">
        <f t="shared" si="27"/>
        <v>10000</v>
      </c>
      <c r="L37" s="58">
        <f t="shared" si="27"/>
        <v>10000</v>
      </c>
      <c r="M37" s="58">
        <f t="shared" si="27"/>
        <v>10000</v>
      </c>
      <c r="N37" s="58">
        <f t="shared" si="27"/>
        <v>10000</v>
      </c>
      <c r="O37" s="58">
        <f t="shared" si="27"/>
        <v>10000</v>
      </c>
      <c r="P37" s="58">
        <f t="shared" si="27"/>
        <v>10000</v>
      </c>
      <c r="Q37" s="58">
        <f t="shared" si="27"/>
        <v>10000</v>
      </c>
      <c r="R37" s="58">
        <f t="shared" si="27"/>
        <v>10000</v>
      </c>
      <c r="S37" s="58">
        <f t="shared" si="27"/>
        <v>10000</v>
      </c>
      <c r="T37" s="58">
        <f t="shared" si="27"/>
        <v>10000</v>
      </c>
      <c r="U37" s="58">
        <f t="shared" si="27"/>
        <v>10000</v>
      </c>
      <c r="V37" s="58">
        <f t="shared" si="27"/>
        <v>10000</v>
      </c>
      <c r="W37" s="58">
        <f t="shared" si="27"/>
        <v>10000</v>
      </c>
      <c r="X37" s="58">
        <f t="shared" si="27"/>
        <v>10000</v>
      </c>
      <c r="Y37" s="58">
        <f t="shared" si="27"/>
        <v>10000</v>
      </c>
      <c r="Z37" s="58">
        <f t="shared" si="27"/>
        <v>10000</v>
      </c>
      <c r="AA37" s="58">
        <f t="shared" si="27"/>
        <v>10000</v>
      </c>
      <c r="AB37" s="58">
        <f t="shared" si="27"/>
        <v>10000</v>
      </c>
      <c r="AC37" s="58">
        <f t="shared" si="27"/>
        <v>10000</v>
      </c>
      <c r="AD37" s="58">
        <f t="shared" si="27"/>
        <v>10000</v>
      </c>
      <c r="AE37" s="58">
        <f t="shared" si="27"/>
        <v>10000</v>
      </c>
      <c r="AF37" s="58">
        <f t="shared" si="27"/>
        <v>10000</v>
      </c>
      <c r="AG37" s="58">
        <f t="shared" si="27"/>
        <v>10000</v>
      </c>
      <c r="AH37" s="58">
        <f t="shared" si="27"/>
        <v>10000</v>
      </c>
      <c r="AI37" s="58">
        <f t="shared" si="27"/>
        <v>10000</v>
      </c>
      <c r="AJ37" s="58">
        <f t="shared" si="27"/>
        <v>10000</v>
      </c>
      <c r="AK37" s="58">
        <f t="shared" si="27"/>
        <v>10000</v>
      </c>
      <c r="AL37" s="58">
        <f t="shared" si="27"/>
        <v>10000</v>
      </c>
      <c r="AM37" s="58">
        <f t="shared" si="27"/>
        <v>10000</v>
      </c>
      <c r="AN37" s="58">
        <f t="shared" si="27"/>
        <v>10000</v>
      </c>
      <c r="AO37" s="58">
        <f t="shared" si="27"/>
        <v>10000</v>
      </c>
      <c r="AP37" s="58">
        <f t="shared" si="27"/>
        <v>10000</v>
      </c>
      <c r="AQ37" s="58">
        <f t="shared" si="27"/>
        <v>10000</v>
      </c>
      <c r="AR37" s="58">
        <f t="shared" si="27"/>
        <v>10000</v>
      </c>
      <c r="AS37" s="58">
        <f t="shared" si="27"/>
        <v>10000</v>
      </c>
      <c r="AT37" s="58">
        <f t="shared" si="27"/>
        <v>10000</v>
      </c>
      <c r="AU37" s="58">
        <f t="shared" si="27"/>
        <v>10000</v>
      </c>
      <c r="AV37" s="58">
        <f t="shared" si="27"/>
        <v>10000</v>
      </c>
      <c r="AW37" s="58">
        <f t="shared" si="27"/>
        <v>10000</v>
      </c>
      <c r="AX37" s="58">
        <f t="shared" si="27"/>
        <v>10000</v>
      </c>
      <c r="AY37" s="58">
        <f t="shared" si="27"/>
        <v>10000</v>
      </c>
      <c r="AZ37" s="58">
        <f t="shared" si="27"/>
        <v>10000</v>
      </c>
      <c r="BA37" s="58">
        <f t="shared" si="27"/>
        <v>10000</v>
      </c>
      <c r="BB37" s="58">
        <f t="shared" si="27"/>
        <v>10000</v>
      </c>
      <c r="BC37" s="58">
        <f t="shared" si="27"/>
        <v>10000</v>
      </c>
      <c r="BD37" s="58">
        <f t="shared" si="27"/>
        <v>10000</v>
      </c>
      <c r="BE37" s="58">
        <f t="shared" si="27"/>
        <v>10000</v>
      </c>
      <c r="BF37" s="58">
        <f t="shared" si="27"/>
        <v>10000</v>
      </c>
      <c r="BG37" s="58">
        <f t="shared" si="27"/>
        <v>10000</v>
      </c>
      <c r="BH37" s="58">
        <f t="shared" si="27"/>
        <v>10000</v>
      </c>
      <c r="BI37" s="58">
        <f t="shared" si="27"/>
        <v>10000</v>
      </c>
      <c r="BJ37" s="58">
        <f t="shared" si="27"/>
        <v>10000</v>
      </c>
      <c r="BK37" s="58">
        <f t="shared" si="27"/>
        <v>10000</v>
      </c>
      <c r="BL37" s="58">
        <f t="shared" si="27"/>
        <v>10000</v>
      </c>
      <c r="BM37" s="58">
        <f t="shared" si="27"/>
        <v>10000</v>
      </c>
      <c r="BN37" s="58">
        <f t="shared" si="27"/>
        <v>10000</v>
      </c>
    </row>
    <row r="38" outlineLevel="1">
      <c r="A38" s="47"/>
      <c r="B38" s="73" t="s">
        <v>42</v>
      </c>
      <c r="C38" s="57">
        <v>75000.0</v>
      </c>
      <c r="D38" s="74">
        <v>0.2</v>
      </c>
      <c r="E38" s="75">
        <v>43983.0</v>
      </c>
      <c r="F38" s="58"/>
      <c r="G38" s="58">
        <f t="shared" ref="G38:BN38" si="28">IF(G$4&gt;=$E38,($C38/12)*(1+$D38),0)</f>
        <v>7500</v>
      </c>
      <c r="H38" s="58">
        <f t="shared" si="28"/>
        <v>7500</v>
      </c>
      <c r="I38" s="58">
        <f t="shared" si="28"/>
        <v>7500</v>
      </c>
      <c r="J38" s="58">
        <f t="shared" si="28"/>
        <v>7500</v>
      </c>
      <c r="K38" s="58">
        <f t="shared" si="28"/>
        <v>7500</v>
      </c>
      <c r="L38" s="58">
        <f t="shared" si="28"/>
        <v>7500</v>
      </c>
      <c r="M38" s="58">
        <f t="shared" si="28"/>
        <v>7500</v>
      </c>
      <c r="N38" s="58">
        <f t="shared" si="28"/>
        <v>7500</v>
      </c>
      <c r="O38" s="58">
        <f t="shared" si="28"/>
        <v>7500</v>
      </c>
      <c r="P38" s="58">
        <f t="shared" si="28"/>
        <v>7500</v>
      </c>
      <c r="Q38" s="58">
        <f t="shared" si="28"/>
        <v>7500</v>
      </c>
      <c r="R38" s="58">
        <f t="shared" si="28"/>
        <v>7500</v>
      </c>
      <c r="S38" s="58">
        <f t="shared" si="28"/>
        <v>7500</v>
      </c>
      <c r="T38" s="58">
        <f t="shared" si="28"/>
        <v>7500</v>
      </c>
      <c r="U38" s="58">
        <f t="shared" si="28"/>
        <v>7500</v>
      </c>
      <c r="V38" s="58">
        <f t="shared" si="28"/>
        <v>7500</v>
      </c>
      <c r="W38" s="58">
        <f t="shared" si="28"/>
        <v>7500</v>
      </c>
      <c r="X38" s="58">
        <f t="shared" si="28"/>
        <v>7500</v>
      </c>
      <c r="Y38" s="58">
        <f t="shared" si="28"/>
        <v>7500</v>
      </c>
      <c r="Z38" s="58">
        <f t="shared" si="28"/>
        <v>7500</v>
      </c>
      <c r="AA38" s="58">
        <f t="shared" si="28"/>
        <v>7500</v>
      </c>
      <c r="AB38" s="58">
        <f t="shared" si="28"/>
        <v>7500</v>
      </c>
      <c r="AC38" s="58">
        <f t="shared" si="28"/>
        <v>7500</v>
      </c>
      <c r="AD38" s="58">
        <f t="shared" si="28"/>
        <v>7500</v>
      </c>
      <c r="AE38" s="58">
        <f t="shared" si="28"/>
        <v>7500</v>
      </c>
      <c r="AF38" s="58">
        <f t="shared" si="28"/>
        <v>7500</v>
      </c>
      <c r="AG38" s="58">
        <f t="shared" si="28"/>
        <v>7500</v>
      </c>
      <c r="AH38" s="58">
        <f t="shared" si="28"/>
        <v>7500</v>
      </c>
      <c r="AI38" s="58">
        <f t="shared" si="28"/>
        <v>7500</v>
      </c>
      <c r="AJ38" s="58">
        <f t="shared" si="28"/>
        <v>7500</v>
      </c>
      <c r="AK38" s="58">
        <f t="shared" si="28"/>
        <v>7500</v>
      </c>
      <c r="AL38" s="58">
        <f t="shared" si="28"/>
        <v>7500</v>
      </c>
      <c r="AM38" s="58">
        <f t="shared" si="28"/>
        <v>7500</v>
      </c>
      <c r="AN38" s="58">
        <f t="shared" si="28"/>
        <v>7500</v>
      </c>
      <c r="AO38" s="58">
        <f t="shared" si="28"/>
        <v>7500</v>
      </c>
      <c r="AP38" s="58">
        <f t="shared" si="28"/>
        <v>7500</v>
      </c>
      <c r="AQ38" s="58">
        <f t="shared" si="28"/>
        <v>7500</v>
      </c>
      <c r="AR38" s="58">
        <f t="shared" si="28"/>
        <v>7500</v>
      </c>
      <c r="AS38" s="58">
        <f t="shared" si="28"/>
        <v>7500</v>
      </c>
      <c r="AT38" s="58">
        <f t="shared" si="28"/>
        <v>7500</v>
      </c>
      <c r="AU38" s="58">
        <f t="shared" si="28"/>
        <v>7500</v>
      </c>
      <c r="AV38" s="58">
        <f t="shared" si="28"/>
        <v>7500</v>
      </c>
      <c r="AW38" s="58">
        <f t="shared" si="28"/>
        <v>7500</v>
      </c>
      <c r="AX38" s="58">
        <f t="shared" si="28"/>
        <v>7500</v>
      </c>
      <c r="AY38" s="58">
        <f t="shared" si="28"/>
        <v>7500</v>
      </c>
      <c r="AZ38" s="58">
        <f t="shared" si="28"/>
        <v>7500</v>
      </c>
      <c r="BA38" s="58">
        <f t="shared" si="28"/>
        <v>7500</v>
      </c>
      <c r="BB38" s="58">
        <f t="shared" si="28"/>
        <v>7500</v>
      </c>
      <c r="BC38" s="58">
        <f t="shared" si="28"/>
        <v>7500</v>
      </c>
      <c r="BD38" s="58">
        <f t="shared" si="28"/>
        <v>7500</v>
      </c>
      <c r="BE38" s="58">
        <f t="shared" si="28"/>
        <v>7500</v>
      </c>
      <c r="BF38" s="58">
        <f t="shared" si="28"/>
        <v>7500</v>
      </c>
      <c r="BG38" s="58">
        <f t="shared" si="28"/>
        <v>7500</v>
      </c>
      <c r="BH38" s="58">
        <f t="shared" si="28"/>
        <v>7500</v>
      </c>
      <c r="BI38" s="58">
        <f t="shared" si="28"/>
        <v>7500</v>
      </c>
      <c r="BJ38" s="58">
        <f t="shared" si="28"/>
        <v>7500</v>
      </c>
      <c r="BK38" s="58">
        <f t="shared" si="28"/>
        <v>7500</v>
      </c>
      <c r="BL38" s="58">
        <f t="shared" si="28"/>
        <v>7500</v>
      </c>
      <c r="BM38" s="58">
        <f t="shared" si="28"/>
        <v>7500</v>
      </c>
      <c r="BN38" s="58">
        <f t="shared" si="28"/>
        <v>7500</v>
      </c>
    </row>
    <row r="39" outlineLevel="1">
      <c r="A39" s="47"/>
      <c r="B39" s="73" t="s">
        <v>43</v>
      </c>
      <c r="C39" s="57">
        <v>50000.0</v>
      </c>
      <c r="D39" s="74">
        <v>0.2</v>
      </c>
      <c r="E39" s="75">
        <v>44075.0</v>
      </c>
      <c r="F39" s="58"/>
      <c r="G39" s="58">
        <f t="shared" ref="G39:BN39" si="29">IF(G$4&gt;=$E39,($C39/12)*(1+$D39),0)</f>
        <v>5000</v>
      </c>
      <c r="H39" s="58">
        <f t="shared" si="29"/>
        <v>5000</v>
      </c>
      <c r="I39" s="58">
        <f t="shared" si="29"/>
        <v>5000</v>
      </c>
      <c r="J39" s="58">
        <f t="shared" si="29"/>
        <v>5000</v>
      </c>
      <c r="K39" s="58">
        <f t="shared" si="29"/>
        <v>5000</v>
      </c>
      <c r="L39" s="58">
        <f t="shared" si="29"/>
        <v>5000</v>
      </c>
      <c r="M39" s="58">
        <f t="shared" si="29"/>
        <v>5000</v>
      </c>
      <c r="N39" s="58">
        <f t="shared" si="29"/>
        <v>5000</v>
      </c>
      <c r="O39" s="58">
        <f t="shared" si="29"/>
        <v>5000</v>
      </c>
      <c r="P39" s="58">
        <f t="shared" si="29"/>
        <v>5000</v>
      </c>
      <c r="Q39" s="58">
        <f t="shared" si="29"/>
        <v>5000</v>
      </c>
      <c r="R39" s="58">
        <f t="shared" si="29"/>
        <v>5000</v>
      </c>
      <c r="S39" s="58">
        <f t="shared" si="29"/>
        <v>5000</v>
      </c>
      <c r="T39" s="58">
        <f t="shared" si="29"/>
        <v>5000</v>
      </c>
      <c r="U39" s="58">
        <f t="shared" si="29"/>
        <v>5000</v>
      </c>
      <c r="V39" s="58">
        <f t="shared" si="29"/>
        <v>5000</v>
      </c>
      <c r="W39" s="58">
        <f t="shared" si="29"/>
        <v>5000</v>
      </c>
      <c r="X39" s="58">
        <f t="shared" si="29"/>
        <v>5000</v>
      </c>
      <c r="Y39" s="58">
        <f t="shared" si="29"/>
        <v>5000</v>
      </c>
      <c r="Z39" s="58">
        <f t="shared" si="29"/>
        <v>5000</v>
      </c>
      <c r="AA39" s="58">
        <f t="shared" si="29"/>
        <v>5000</v>
      </c>
      <c r="AB39" s="58">
        <f t="shared" si="29"/>
        <v>5000</v>
      </c>
      <c r="AC39" s="58">
        <f t="shared" si="29"/>
        <v>5000</v>
      </c>
      <c r="AD39" s="58">
        <f t="shared" si="29"/>
        <v>5000</v>
      </c>
      <c r="AE39" s="58">
        <f t="shared" si="29"/>
        <v>5000</v>
      </c>
      <c r="AF39" s="58">
        <f t="shared" si="29"/>
        <v>5000</v>
      </c>
      <c r="AG39" s="58">
        <f t="shared" si="29"/>
        <v>5000</v>
      </c>
      <c r="AH39" s="58">
        <f t="shared" si="29"/>
        <v>5000</v>
      </c>
      <c r="AI39" s="58">
        <f t="shared" si="29"/>
        <v>5000</v>
      </c>
      <c r="AJ39" s="58">
        <f t="shared" si="29"/>
        <v>5000</v>
      </c>
      <c r="AK39" s="58">
        <f t="shared" si="29"/>
        <v>5000</v>
      </c>
      <c r="AL39" s="58">
        <f t="shared" si="29"/>
        <v>5000</v>
      </c>
      <c r="AM39" s="58">
        <f t="shared" si="29"/>
        <v>5000</v>
      </c>
      <c r="AN39" s="58">
        <f t="shared" si="29"/>
        <v>5000</v>
      </c>
      <c r="AO39" s="58">
        <f t="shared" si="29"/>
        <v>5000</v>
      </c>
      <c r="AP39" s="58">
        <f t="shared" si="29"/>
        <v>5000</v>
      </c>
      <c r="AQ39" s="58">
        <f t="shared" si="29"/>
        <v>5000</v>
      </c>
      <c r="AR39" s="58">
        <f t="shared" si="29"/>
        <v>5000</v>
      </c>
      <c r="AS39" s="58">
        <f t="shared" si="29"/>
        <v>5000</v>
      </c>
      <c r="AT39" s="58">
        <f t="shared" si="29"/>
        <v>5000</v>
      </c>
      <c r="AU39" s="58">
        <f t="shared" si="29"/>
        <v>5000</v>
      </c>
      <c r="AV39" s="58">
        <f t="shared" si="29"/>
        <v>5000</v>
      </c>
      <c r="AW39" s="58">
        <f t="shared" si="29"/>
        <v>5000</v>
      </c>
      <c r="AX39" s="58">
        <f t="shared" si="29"/>
        <v>5000</v>
      </c>
      <c r="AY39" s="58">
        <f t="shared" si="29"/>
        <v>5000</v>
      </c>
      <c r="AZ39" s="58">
        <f t="shared" si="29"/>
        <v>5000</v>
      </c>
      <c r="BA39" s="58">
        <f t="shared" si="29"/>
        <v>5000</v>
      </c>
      <c r="BB39" s="58">
        <f t="shared" si="29"/>
        <v>5000</v>
      </c>
      <c r="BC39" s="58">
        <f t="shared" si="29"/>
        <v>5000</v>
      </c>
      <c r="BD39" s="58">
        <f t="shared" si="29"/>
        <v>5000</v>
      </c>
      <c r="BE39" s="58">
        <f t="shared" si="29"/>
        <v>5000</v>
      </c>
      <c r="BF39" s="58">
        <f t="shared" si="29"/>
        <v>5000</v>
      </c>
      <c r="BG39" s="58">
        <f t="shared" si="29"/>
        <v>5000</v>
      </c>
      <c r="BH39" s="58">
        <f t="shared" si="29"/>
        <v>5000</v>
      </c>
      <c r="BI39" s="58">
        <f t="shared" si="29"/>
        <v>5000</v>
      </c>
      <c r="BJ39" s="58">
        <f t="shared" si="29"/>
        <v>5000</v>
      </c>
      <c r="BK39" s="58">
        <f t="shared" si="29"/>
        <v>5000</v>
      </c>
      <c r="BL39" s="58">
        <f t="shared" si="29"/>
        <v>5000</v>
      </c>
      <c r="BM39" s="58">
        <f t="shared" si="29"/>
        <v>5000</v>
      </c>
      <c r="BN39" s="58">
        <f t="shared" si="29"/>
        <v>5000</v>
      </c>
    </row>
    <row r="40" outlineLevel="1">
      <c r="A40" s="47"/>
      <c r="B40" s="73" t="s">
        <v>44</v>
      </c>
      <c r="C40" s="57">
        <v>80000.0</v>
      </c>
      <c r="D40" s="74">
        <v>0.2</v>
      </c>
      <c r="E40" s="75">
        <v>44166.0</v>
      </c>
      <c r="F40" s="58"/>
      <c r="G40" s="58">
        <f t="shared" ref="G40:BN40" si="30">IF(G$4&gt;=$E40,($C40/12)*(1+$D40),0)</f>
        <v>8000</v>
      </c>
      <c r="H40" s="58">
        <f t="shared" si="30"/>
        <v>8000</v>
      </c>
      <c r="I40" s="58">
        <f t="shared" si="30"/>
        <v>8000</v>
      </c>
      <c r="J40" s="58">
        <f t="shared" si="30"/>
        <v>8000</v>
      </c>
      <c r="K40" s="58">
        <f t="shared" si="30"/>
        <v>8000</v>
      </c>
      <c r="L40" s="58">
        <f t="shared" si="30"/>
        <v>8000</v>
      </c>
      <c r="M40" s="58">
        <f t="shared" si="30"/>
        <v>8000</v>
      </c>
      <c r="N40" s="58">
        <f t="shared" si="30"/>
        <v>8000</v>
      </c>
      <c r="O40" s="58">
        <f t="shared" si="30"/>
        <v>8000</v>
      </c>
      <c r="P40" s="58">
        <f t="shared" si="30"/>
        <v>8000</v>
      </c>
      <c r="Q40" s="58">
        <f t="shared" si="30"/>
        <v>8000</v>
      </c>
      <c r="R40" s="58">
        <f t="shared" si="30"/>
        <v>8000</v>
      </c>
      <c r="S40" s="58">
        <f t="shared" si="30"/>
        <v>8000</v>
      </c>
      <c r="T40" s="58">
        <f t="shared" si="30"/>
        <v>8000</v>
      </c>
      <c r="U40" s="58">
        <f t="shared" si="30"/>
        <v>8000</v>
      </c>
      <c r="V40" s="58">
        <f t="shared" si="30"/>
        <v>8000</v>
      </c>
      <c r="W40" s="58">
        <f t="shared" si="30"/>
        <v>8000</v>
      </c>
      <c r="X40" s="58">
        <f t="shared" si="30"/>
        <v>8000</v>
      </c>
      <c r="Y40" s="58">
        <f t="shared" si="30"/>
        <v>8000</v>
      </c>
      <c r="Z40" s="58">
        <f t="shared" si="30"/>
        <v>8000</v>
      </c>
      <c r="AA40" s="58">
        <f t="shared" si="30"/>
        <v>8000</v>
      </c>
      <c r="AB40" s="58">
        <f t="shared" si="30"/>
        <v>8000</v>
      </c>
      <c r="AC40" s="58">
        <f t="shared" si="30"/>
        <v>8000</v>
      </c>
      <c r="AD40" s="58">
        <f t="shared" si="30"/>
        <v>8000</v>
      </c>
      <c r="AE40" s="58">
        <f t="shared" si="30"/>
        <v>8000</v>
      </c>
      <c r="AF40" s="58">
        <f t="shared" si="30"/>
        <v>8000</v>
      </c>
      <c r="AG40" s="58">
        <f t="shared" si="30"/>
        <v>8000</v>
      </c>
      <c r="AH40" s="58">
        <f t="shared" si="30"/>
        <v>8000</v>
      </c>
      <c r="AI40" s="58">
        <f t="shared" si="30"/>
        <v>8000</v>
      </c>
      <c r="AJ40" s="58">
        <f t="shared" si="30"/>
        <v>8000</v>
      </c>
      <c r="AK40" s="58">
        <f t="shared" si="30"/>
        <v>8000</v>
      </c>
      <c r="AL40" s="58">
        <f t="shared" si="30"/>
        <v>8000</v>
      </c>
      <c r="AM40" s="58">
        <f t="shared" si="30"/>
        <v>8000</v>
      </c>
      <c r="AN40" s="58">
        <f t="shared" si="30"/>
        <v>8000</v>
      </c>
      <c r="AO40" s="58">
        <f t="shared" si="30"/>
        <v>8000</v>
      </c>
      <c r="AP40" s="58">
        <f t="shared" si="30"/>
        <v>8000</v>
      </c>
      <c r="AQ40" s="58">
        <f t="shared" si="30"/>
        <v>8000</v>
      </c>
      <c r="AR40" s="58">
        <f t="shared" si="30"/>
        <v>8000</v>
      </c>
      <c r="AS40" s="58">
        <f t="shared" si="30"/>
        <v>8000</v>
      </c>
      <c r="AT40" s="58">
        <f t="shared" si="30"/>
        <v>8000</v>
      </c>
      <c r="AU40" s="58">
        <f t="shared" si="30"/>
        <v>8000</v>
      </c>
      <c r="AV40" s="58">
        <f t="shared" si="30"/>
        <v>8000</v>
      </c>
      <c r="AW40" s="58">
        <f t="shared" si="30"/>
        <v>8000</v>
      </c>
      <c r="AX40" s="58">
        <f t="shared" si="30"/>
        <v>8000</v>
      </c>
      <c r="AY40" s="58">
        <f t="shared" si="30"/>
        <v>8000</v>
      </c>
      <c r="AZ40" s="58">
        <f t="shared" si="30"/>
        <v>8000</v>
      </c>
      <c r="BA40" s="58">
        <f t="shared" si="30"/>
        <v>8000</v>
      </c>
      <c r="BB40" s="58">
        <f t="shared" si="30"/>
        <v>8000</v>
      </c>
      <c r="BC40" s="58">
        <f t="shared" si="30"/>
        <v>8000</v>
      </c>
      <c r="BD40" s="58">
        <f t="shared" si="30"/>
        <v>8000</v>
      </c>
      <c r="BE40" s="58">
        <f t="shared" si="30"/>
        <v>8000</v>
      </c>
      <c r="BF40" s="58">
        <f t="shared" si="30"/>
        <v>8000</v>
      </c>
      <c r="BG40" s="58">
        <f t="shared" si="30"/>
        <v>8000</v>
      </c>
      <c r="BH40" s="58">
        <f t="shared" si="30"/>
        <v>8000</v>
      </c>
      <c r="BI40" s="58">
        <f t="shared" si="30"/>
        <v>8000</v>
      </c>
      <c r="BJ40" s="58">
        <f t="shared" si="30"/>
        <v>8000</v>
      </c>
      <c r="BK40" s="58">
        <f t="shared" si="30"/>
        <v>8000</v>
      </c>
      <c r="BL40" s="58">
        <f t="shared" si="30"/>
        <v>8000</v>
      </c>
      <c r="BM40" s="58">
        <f t="shared" si="30"/>
        <v>8000</v>
      </c>
      <c r="BN40" s="58">
        <f t="shared" si="30"/>
        <v>8000</v>
      </c>
    </row>
    <row r="41" outlineLevel="1">
      <c r="A41" s="47"/>
      <c r="B41" s="73" t="s">
        <v>45</v>
      </c>
      <c r="C41" s="57">
        <v>90000.0</v>
      </c>
      <c r="D41" s="74">
        <v>0.2</v>
      </c>
      <c r="E41" s="75">
        <v>44256.0</v>
      </c>
      <c r="F41" s="58"/>
      <c r="G41" s="58">
        <f t="shared" ref="G41:BN41" si="31">IF(G$4&gt;=$E41,($C41/12)*(1+$D41),0)</f>
        <v>9000</v>
      </c>
      <c r="H41" s="58">
        <f t="shared" si="31"/>
        <v>9000</v>
      </c>
      <c r="I41" s="58">
        <f t="shared" si="31"/>
        <v>9000</v>
      </c>
      <c r="J41" s="58">
        <f t="shared" si="31"/>
        <v>9000</v>
      </c>
      <c r="K41" s="58">
        <f t="shared" si="31"/>
        <v>9000</v>
      </c>
      <c r="L41" s="58">
        <f t="shared" si="31"/>
        <v>9000</v>
      </c>
      <c r="M41" s="58">
        <f t="shared" si="31"/>
        <v>9000</v>
      </c>
      <c r="N41" s="58">
        <f t="shared" si="31"/>
        <v>9000</v>
      </c>
      <c r="O41" s="58">
        <f t="shared" si="31"/>
        <v>9000</v>
      </c>
      <c r="P41" s="58">
        <f t="shared" si="31"/>
        <v>9000</v>
      </c>
      <c r="Q41" s="58">
        <f t="shared" si="31"/>
        <v>9000</v>
      </c>
      <c r="R41" s="58">
        <f t="shared" si="31"/>
        <v>9000</v>
      </c>
      <c r="S41" s="58">
        <f t="shared" si="31"/>
        <v>9000</v>
      </c>
      <c r="T41" s="58">
        <f t="shared" si="31"/>
        <v>9000</v>
      </c>
      <c r="U41" s="58">
        <f t="shared" si="31"/>
        <v>9000</v>
      </c>
      <c r="V41" s="58">
        <f t="shared" si="31"/>
        <v>9000</v>
      </c>
      <c r="W41" s="58">
        <f t="shared" si="31"/>
        <v>9000</v>
      </c>
      <c r="X41" s="58">
        <f t="shared" si="31"/>
        <v>9000</v>
      </c>
      <c r="Y41" s="58">
        <f t="shared" si="31"/>
        <v>9000</v>
      </c>
      <c r="Z41" s="58">
        <f t="shared" si="31"/>
        <v>9000</v>
      </c>
      <c r="AA41" s="58">
        <f t="shared" si="31"/>
        <v>9000</v>
      </c>
      <c r="AB41" s="58">
        <f t="shared" si="31"/>
        <v>9000</v>
      </c>
      <c r="AC41" s="58">
        <f t="shared" si="31"/>
        <v>9000</v>
      </c>
      <c r="AD41" s="58">
        <f t="shared" si="31"/>
        <v>9000</v>
      </c>
      <c r="AE41" s="58">
        <f t="shared" si="31"/>
        <v>9000</v>
      </c>
      <c r="AF41" s="58">
        <f t="shared" si="31"/>
        <v>9000</v>
      </c>
      <c r="AG41" s="58">
        <f t="shared" si="31"/>
        <v>9000</v>
      </c>
      <c r="AH41" s="58">
        <f t="shared" si="31"/>
        <v>9000</v>
      </c>
      <c r="AI41" s="58">
        <f t="shared" si="31"/>
        <v>9000</v>
      </c>
      <c r="AJ41" s="58">
        <f t="shared" si="31"/>
        <v>9000</v>
      </c>
      <c r="AK41" s="58">
        <f t="shared" si="31"/>
        <v>9000</v>
      </c>
      <c r="AL41" s="58">
        <f t="shared" si="31"/>
        <v>9000</v>
      </c>
      <c r="AM41" s="58">
        <f t="shared" si="31"/>
        <v>9000</v>
      </c>
      <c r="AN41" s="58">
        <f t="shared" si="31"/>
        <v>9000</v>
      </c>
      <c r="AO41" s="58">
        <f t="shared" si="31"/>
        <v>9000</v>
      </c>
      <c r="AP41" s="58">
        <f t="shared" si="31"/>
        <v>9000</v>
      </c>
      <c r="AQ41" s="58">
        <f t="shared" si="31"/>
        <v>9000</v>
      </c>
      <c r="AR41" s="58">
        <f t="shared" si="31"/>
        <v>9000</v>
      </c>
      <c r="AS41" s="58">
        <f t="shared" si="31"/>
        <v>9000</v>
      </c>
      <c r="AT41" s="58">
        <f t="shared" si="31"/>
        <v>9000</v>
      </c>
      <c r="AU41" s="58">
        <f t="shared" si="31"/>
        <v>9000</v>
      </c>
      <c r="AV41" s="58">
        <f t="shared" si="31"/>
        <v>9000</v>
      </c>
      <c r="AW41" s="58">
        <f t="shared" si="31"/>
        <v>9000</v>
      </c>
      <c r="AX41" s="58">
        <f t="shared" si="31"/>
        <v>9000</v>
      </c>
      <c r="AY41" s="58">
        <f t="shared" si="31"/>
        <v>9000</v>
      </c>
      <c r="AZ41" s="58">
        <f t="shared" si="31"/>
        <v>9000</v>
      </c>
      <c r="BA41" s="58">
        <f t="shared" si="31"/>
        <v>9000</v>
      </c>
      <c r="BB41" s="58">
        <f t="shared" si="31"/>
        <v>9000</v>
      </c>
      <c r="BC41" s="58">
        <f t="shared" si="31"/>
        <v>9000</v>
      </c>
      <c r="BD41" s="58">
        <f t="shared" si="31"/>
        <v>9000</v>
      </c>
      <c r="BE41" s="58">
        <f t="shared" si="31"/>
        <v>9000</v>
      </c>
      <c r="BF41" s="58">
        <f t="shared" si="31"/>
        <v>9000</v>
      </c>
      <c r="BG41" s="58">
        <f t="shared" si="31"/>
        <v>9000</v>
      </c>
      <c r="BH41" s="58">
        <f t="shared" si="31"/>
        <v>9000</v>
      </c>
      <c r="BI41" s="58">
        <f t="shared" si="31"/>
        <v>9000</v>
      </c>
      <c r="BJ41" s="58">
        <f t="shared" si="31"/>
        <v>9000</v>
      </c>
      <c r="BK41" s="58">
        <f t="shared" si="31"/>
        <v>9000</v>
      </c>
      <c r="BL41" s="58">
        <f t="shared" si="31"/>
        <v>9000</v>
      </c>
      <c r="BM41" s="58">
        <f t="shared" si="31"/>
        <v>9000</v>
      </c>
      <c r="BN41" s="58">
        <f t="shared" si="31"/>
        <v>9000</v>
      </c>
    </row>
    <row r="42" outlineLevel="1">
      <c r="A42" s="47"/>
      <c r="B42" s="73" t="s">
        <v>46</v>
      </c>
      <c r="C42" s="57">
        <v>45000.0</v>
      </c>
      <c r="D42" s="74">
        <v>0.2</v>
      </c>
      <c r="E42" s="75">
        <v>44348.0</v>
      </c>
      <c r="F42" s="58"/>
      <c r="G42" s="58">
        <f t="shared" ref="G42:BN42" si="32">IF(G$4&gt;=$E42,($C42/12)*(1+$D42),0)</f>
        <v>4500</v>
      </c>
      <c r="H42" s="58">
        <f t="shared" si="32"/>
        <v>4500</v>
      </c>
      <c r="I42" s="58">
        <f t="shared" si="32"/>
        <v>4500</v>
      </c>
      <c r="J42" s="58">
        <f t="shared" si="32"/>
        <v>4500</v>
      </c>
      <c r="K42" s="58">
        <f t="shared" si="32"/>
        <v>4500</v>
      </c>
      <c r="L42" s="58">
        <f t="shared" si="32"/>
        <v>4500</v>
      </c>
      <c r="M42" s="58">
        <f t="shared" si="32"/>
        <v>4500</v>
      </c>
      <c r="N42" s="58">
        <f t="shared" si="32"/>
        <v>4500</v>
      </c>
      <c r="O42" s="58">
        <f t="shared" si="32"/>
        <v>4500</v>
      </c>
      <c r="P42" s="58">
        <f t="shared" si="32"/>
        <v>4500</v>
      </c>
      <c r="Q42" s="58">
        <f t="shared" si="32"/>
        <v>4500</v>
      </c>
      <c r="R42" s="58">
        <f t="shared" si="32"/>
        <v>4500</v>
      </c>
      <c r="S42" s="58">
        <f t="shared" si="32"/>
        <v>4500</v>
      </c>
      <c r="T42" s="58">
        <f t="shared" si="32"/>
        <v>4500</v>
      </c>
      <c r="U42" s="58">
        <f t="shared" si="32"/>
        <v>4500</v>
      </c>
      <c r="V42" s="58">
        <f t="shared" si="32"/>
        <v>4500</v>
      </c>
      <c r="W42" s="58">
        <f t="shared" si="32"/>
        <v>4500</v>
      </c>
      <c r="X42" s="58">
        <f t="shared" si="32"/>
        <v>4500</v>
      </c>
      <c r="Y42" s="58">
        <f t="shared" si="32"/>
        <v>4500</v>
      </c>
      <c r="Z42" s="58">
        <f t="shared" si="32"/>
        <v>4500</v>
      </c>
      <c r="AA42" s="58">
        <f t="shared" si="32"/>
        <v>4500</v>
      </c>
      <c r="AB42" s="58">
        <f t="shared" si="32"/>
        <v>4500</v>
      </c>
      <c r="AC42" s="58">
        <f t="shared" si="32"/>
        <v>4500</v>
      </c>
      <c r="AD42" s="58">
        <f t="shared" si="32"/>
        <v>4500</v>
      </c>
      <c r="AE42" s="58">
        <f t="shared" si="32"/>
        <v>4500</v>
      </c>
      <c r="AF42" s="58">
        <f t="shared" si="32"/>
        <v>4500</v>
      </c>
      <c r="AG42" s="58">
        <f t="shared" si="32"/>
        <v>4500</v>
      </c>
      <c r="AH42" s="58">
        <f t="shared" si="32"/>
        <v>4500</v>
      </c>
      <c r="AI42" s="58">
        <f t="shared" si="32"/>
        <v>4500</v>
      </c>
      <c r="AJ42" s="58">
        <f t="shared" si="32"/>
        <v>4500</v>
      </c>
      <c r="AK42" s="58">
        <f t="shared" si="32"/>
        <v>4500</v>
      </c>
      <c r="AL42" s="58">
        <f t="shared" si="32"/>
        <v>4500</v>
      </c>
      <c r="AM42" s="58">
        <f t="shared" si="32"/>
        <v>4500</v>
      </c>
      <c r="AN42" s="58">
        <f t="shared" si="32"/>
        <v>4500</v>
      </c>
      <c r="AO42" s="58">
        <f t="shared" si="32"/>
        <v>4500</v>
      </c>
      <c r="AP42" s="58">
        <f t="shared" si="32"/>
        <v>4500</v>
      </c>
      <c r="AQ42" s="58">
        <f t="shared" si="32"/>
        <v>4500</v>
      </c>
      <c r="AR42" s="58">
        <f t="shared" si="32"/>
        <v>4500</v>
      </c>
      <c r="AS42" s="58">
        <f t="shared" si="32"/>
        <v>4500</v>
      </c>
      <c r="AT42" s="58">
        <f t="shared" si="32"/>
        <v>4500</v>
      </c>
      <c r="AU42" s="58">
        <f t="shared" si="32"/>
        <v>4500</v>
      </c>
      <c r="AV42" s="58">
        <f t="shared" si="32"/>
        <v>4500</v>
      </c>
      <c r="AW42" s="58">
        <f t="shared" si="32"/>
        <v>4500</v>
      </c>
      <c r="AX42" s="58">
        <f t="shared" si="32"/>
        <v>4500</v>
      </c>
      <c r="AY42" s="58">
        <f t="shared" si="32"/>
        <v>4500</v>
      </c>
      <c r="AZ42" s="58">
        <f t="shared" si="32"/>
        <v>4500</v>
      </c>
      <c r="BA42" s="58">
        <f t="shared" si="32"/>
        <v>4500</v>
      </c>
      <c r="BB42" s="58">
        <f t="shared" si="32"/>
        <v>4500</v>
      </c>
      <c r="BC42" s="58">
        <f t="shared" si="32"/>
        <v>4500</v>
      </c>
      <c r="BD42" s="58">
        <f t="shared" si="32"/>
        <v>4500</v>
      </c>
      <c r="BE42" s="58">
        <f t="shared" si="32"/>
        <v>4500</v>
      </c>
      <c r="BF42" s="58">
        <f t="shared" si="32"/>
        <v>4500</v>
      </c>
      <c r="BG42" s="58">
        <f t="shared" si="32"/>
        <v>4500</v>
      </c>
      <c r="BH42" s="58">
        <f t="shared" si="32"/>
        <v>4500</v>
      </c>
      <c r="BI42" s="58">
        <f t="shared" si="32"/>
        <v>4500</v>
      </c>
      <c r="BJ42" s="58">
        <f t="shared" si="32"/>
        <v>4500</v>
      </c>
      <c r="BK42" s="58">
        <f t="shared" si="32"/>
        <v>4500</v>
      </c>
      <c r="BL42" s="58">
        <f t="shared" si="32"/>
        <v>4500</v>
      </c>
      <c r="BM42" s="58">
        <f t="shared" si="32"/>
        <v>4500</v>
      </c>
      <c r="BN42" s="58">
        <f t="shared" si="32"/>
        <v>4500</v>
      </c>
    </row>
    <row r="43" outlineLevel="1">
      <c r="A43" s="47"/>
      <c r="B43" s="73" t="s">
        <v>47</v>
      </c>
      <c r="C43" s="57">
        <v>75000.0</v>
      </c>
      <c r="D43" s="74">
        <v>0.2</v>
      </c>
      <c r="E43" s="75">
        <v>43983.0</v>
      </c>
      <c r="F43" s="58"/>
      <c r="G43" s="58">
        <f t="shared" ref="G43:BN43" si="33">IF(G$4&gt;=$E43,($C43/12)*(1+$D43),0)</f>
        <v>7500</v>
      </c>
      <c r="H43" s="58">
        <f t="shared" si="33"/>
        <v>7500</v>
      </c>
      <c r="I43" s="58">
        <f t="shared" si="33"/>
        <v>7500</v>
      </c>
      <c r="J43" s="58">
        <f t="shared" si="33"/>
        <v>7500</v>
      </c>
      <c r="K43" s="58">
        <f t="shared" si="33"/>
        <v>7500</v>
      </c>
      <c r="L43" s="58">
        <f t="shared" si="33"/>
        <v>7500</v>
      </c>
      <c r="M43" s="58">
        <f t="shared" si="33"/>
        <v>7500</v>
      </c>
      <c r="N43" s="58">
        <f t="shared" si="33"/>
        <v>7500</v>
      </c>
      <c r="O43" s="58">
        <f t="shared" si="33"/>
        <v>7500</v>
      </c>
      <c r="P43" s="58">
        <f t="shared" si="33"/>
        <v>7500</v>
      </c>
      <c r="Q43" s="58">
        <f t="shared" si="33"/>
        <v>7500</v>
      </c>
      <c r="R43" s="58">
        <f t="shared" si="33"/>
        <v>7500</v>
      </c>
      <c r="S43" s="58">
        <f t="shared" si="33"/>
        <v>7500</v>
      </c>
      <c r="T43" s="58">
        <f t="shared" si="33"/>
        <v>7500</v>
      </c>
      <c r="U43" s="58">
        <f t="shared" si="33"/>
        <v>7500</v>
      </c>
      <c r="V43" s="58">
        <f t="shared" si="33"/>
        <v>7500</v>
      </c>
      <c r="W43" s="58">
        <f t="shared" si="33"/>
        <v>7500</v>
      </c>
      <c r="X43" s="58">
        <f t="shared" si="33"/>
        <v>7500</v>
      </c>
      <c r="Y43" s="58">
        <f t="shared" si="33"/>
        <v>7500</v>
      </c>
      <c r="Z43" s="58">
        <f t="shared" si="33"/>
        <v>7500</v>
      </c>
      <c r="AA43" s="58">
        <f t="shared" si="33"/>
        <v>7500</v>
      </c>
      <c r="AB43" s="58">
        <f t="shared" si="33"/>
        <v>7500</v>
      </c>
      <c r="AC43" s="58">
        <f t="shared" si="33"/>
        <v>7500</v>
      </c>
      <c r="AD43" s="58">
        <f t="shared" si="33"/>
        <v>7500</v>
      </c>
      <c r="AE43" s="58">
        <f t="shared" si="33"/>
        <v>7500</v>
      </c>
      <c r="AF43" s="58">
        <f t="shared" si="33"/>
        <v>7500</v>
      </c>
      <c r="AG43" s="58">
        <f t="shared" si="33"/>
        <v>7500</v>
      </c>
      <c r="AH43" s="58">
        <f t="shared" si="33"/>
        <v>7500</v>
      </c>
      <c r="AI43" s="58">
        <f t="shared" si="33"/>
        <v>7500</v>
      </c>
      <c r="AJ43" s="58">
        <f t="shared" si="33"/>
        <v>7500</v>
      </c>
      <c r="AK43" s="58">
        <f t="shared" si="33"/>
        <v>7500</v>
      </c>
      <c r="AL43" s="58">
        <f t="shared" si="33"/>
        <v>7500</v>
      </c>
      <c r="AM43" s="58">
        <f t="shared" si="33"/>
        <v>7500</v>
      </c>
      <c r="AN43" s="58">
        <f t="shared" si="33"/>
        <v>7500</v>
      </c>
      <c r="AO43" s="58">
        <f t="shared" si="33"/>
        <v>7500</v>
      </c>
      <c r="AP43" s="58">
        <f t="shared" si="33"/>
        <v>7500</v>
      </c>
      <c r="AQ43" s="58">
        <f t="shared" si="33"/>
        <v>7500</v>
      </c>
      <c r="AR43" s="58">
        <f t="shared" si="33"/>
        <v>7500</v>
      </c>
      <c r="AS43" s="58">
        <f t="shared" si="33"/>
        <v>7500</v>
      </c>
      <c r="AT43" s="58">
        <f t="shared" si="33"/>
        <v>7500</v>
      </c>
      <c r="AU43" s="58">
        <f t="shared" si="33"/>
        <v>7500</v>
      </c>
      <c r="AV43" s="58">
        <f t="shared" si="33"/>
        <v>7500</v>
      </c>
      <c r="AW43" s="58">
        <f t="shared" si="33"/>
        <v>7500</v>
      </c>
      <c r="AX43" s="58">
        <f t="shared" si="33"/>
        <v>7500</v>
      </c>
      <c r="AY43" s="58">
        <f t="shared" si="33"/>
        <v>7500</v>
      </c>
      <c r="AZ43" s="58">
        <f t="shared" si="33"/>
        <v>7500</v>
      </c>
      <c r="BA43" s="58">
        <f t="shared" si="33"/>
        <v>7500</v>
      </c>
      <c r="BB43" s="58">
        <f t="shared" si="33"/>
        <v>7500</v>
      </c>
      <c r="BC43" s="58">
        <f t="shared" si="33"/>
        <v>7500</v>
      </c>
      <c r="BD43" s="58">
        <f t="shared" si="33"/>
        <v>7500</v>
      </c>
      <c r="BE43" s="58">
        <f t="shared" si="33"/>
        <v>7500</v>
      </c>
      <c r="BF43" s="58">
        <f t="shared" si="33"/>
        <v>7500</v>
      </c>
      <c r="BG43" s="58">
        <f t="shared" si="33"/>
        <v>7500</v>
      </c>
      <c r="BH43" s="58">
        <f t="shared" si="33"/>
        <v>7500</v>
      </c>
      <c r="BI43" s="58">
        <f t="shared" si="33"/>
        <v>7500</v>
      </c>
      <c r="BJ43" s="58">
        <f t="shared" si="33"/>
        <v>7500</v>
      </c>
      <c r="BK43" s="58">
        <f t="shared" si="33"/>
        <v>7500</v>
      </c>
      <c r="BL43" s="58">
        <f t="shared" si="33"/>
        <v>7500</v>
      </c>
      <c r="BM43" s="58">
        <f t="shared" si="33"/>
        <v>7500</v>
      </c>
      <c r="BN43" s="58">
        <f t="shared" si="33"/>
        <v>7500</v>
      </c>
    </row>
    <row r="44" outlineLevel="1">
      <c r="A44" s="47"/>
      <c r="B44" s="73" t="s">
        <v>48</v>
      </c>
      <c r="C44" s="57">
        <v>50000.0</v>
      </c>
      <c r="D44" s="74">
        <v>0.2</v>
      </c>
      <c r="E44" s="75">
        <v>44075.0</v>
      </c>
      <c r="F44" s="58"/>
      <c r="G44" s="58">
        <f t="shared" ref="G44:BN44" si="34">IF(G$4&gt;=$E44,($C44/12)*(1+$D44),0)</f>
        <v>5000</v>
      </c>
      <c r="H44" s="58">
        <f t="shared" si="34"/>
        <v>5000</v>
      </c>
      <c r="I44" s="58">
        <f t="shared" si="34"/>
        <v>5000</v>
      </c>
      <c r="J44" s="58">
        <f t="shared" si="34"/>
        <v>5000</v>
      </c>
      <c r="K44" s="58">
        <f t="shared" si="34"/>
        <v>5000</v>
      </c>
      <c r="L44" s="58">
        <f t="shared" si="34"/>
        <v>5000</v>
      </c>
      <c r="M44" s="58">
        <f t="shared" si="34"/>
        <v>5000</v>
      </c>
      <c r="N44" s="58">
        <f t="shared" si="34"/>
        <v>5000</v>
      </c>
      <c r="O44" s="58">
        <f t="shared" si="34"/>
        <v>5000</v>
      </c>
      <c r="P44" s="58">
        <f t="shared" si="34"/>
        <v>5000</v>
      </c>
      <c r="Q44" s="58">
        <f t="shared" si="34"/>
        <v>5000</v>
      </c>
      <c r="R44" s="58">
        <f t="shared" si="34"/>
        <v>5000</v>
      </c>
      <c r="S44" s="58">
        <f t="shared" si="34"/>
        <v>5000</v>
      </c>
      <c r="T44" s="58">
        <f t="shared" si="34"/>
        <v>5000</v>
      </c>
      <c r="U44" s="58">
        <f t="shared" si="34"/>
        <v>5000</v>
      </c>
      <c r="V44" s="58">
        <f t="shared" si="34"/>
        <v>5000</v>
      </c>
      <c r="W44" s="58">
        <f t="shared" si="34"/>
        <v>5000</v>
      </c>
      <c r="X44" s="58">
        <f t="shared" si="34"/>
        <v>5000</v>
      </c>
      <c r="Y44" s="58">
        <f t="shared" si="34"/>
        <v>5000</v>
      </c>
      <c r="Z44" s="58">
        <f t="shared" si="34"/>
        <v>5000</v>
      </c>
      <c r="AA44" s="58">
        <f t="shared" si="34"/>
        <v>5000</v>
      </c>
      <c r="AB44" s="58">
        <f t="shared" si="34"/>
        <v>5000</v>
      </c>
      <c r="AC44" s="58">
        <f t="shared" si="34"/>
        <v>5000</v>
      </c>
      <c r="AD44" s="58">
        <f t="shared" si="34"/>
        <v>5000</v>
      </c>
      <c r="AE44" s="58">
        <f t="shared" si="34"/>
        <v>5000</v>
      </c>
      <c r="AF44" s="58">
        <f t="shared" si="34"/>
        <v>5000</v>
      </c>
      <c r="AG44" s="58">
        <f t="shared" si="34"/>
        <v>5000</v>
      </c>
      <c r="AH44" s="58">
        <f t="shared" si="34"/>
        <v>5000</v>
      </c>
      <c r="AI44" s="58">
        <f t="shared" si="34"/>
        <v>5000</v>
      </c>
      <c r="AJ44" s="58">
        <f t="shared" si="34"/>
        <v>5000</v>
      </c>
      <c r="AK44" s="58">
        <f t="shared" si="34"/>
        <v>5000</v>
      </c>
      <c r="AL44" s="58">
        <f t="shared" si="34"/>
        <v>5000</v>
      </c>
      <c r="AM44" s="58">
        <f t="shared" si="34"/>
        <v>5000</v>
      </c>
      <c r="AN44" s="58">
        <f t="shared" si="34"/>
        <v>5000</v>
      </c>
      <c r="AO44" s="58">
        <f t="shared" si="34"/>
        <v>5000</v>
      </c>
      <c r="AP44" s="58">
        <f t="shared" si="34"/>
        <v>5000</v>
      </c>
      <c r="AQ44" s="58">
        <f t="shared" si="34"/>
        <v>5000</v>
      </c>
      <c r="AR44" s="58">
        <f t="shared" si="34"/>
        <v>5000</v>
      </c>
      <c r="AS44" s="58">
        <f t="shared" si="34"/>
        <v>5000</v>
      </c>
      <c r="AT44" s="58">
        <f t="shared" si="34"/>
        <v>5000</v>
      </c>
      <c r="AU44" s="58">
        <f t="shared" si="34"/>
        <v>5000</v>
      </c>
      <c r="AV44" s="58">
        <f t="shared" si="34"/>
        <v>5000</v>
      </c>
      <c r="AW44" s="58">
        <f t="shared" si="34"/>
        <v>5000</v>
      </c>
      <c r="AX44" s="58">
        <f t="shared" si="34"/>
        <v>5000</v>
      </c>
      <c r="AY44" s="58">
        <f t="shared" si="34"/>
        <v>5000</v>
      </c>
      <c r="AZ44" s="58">
        <f t="shared" si="34"/>
        <v>5000</v>
      </c>
      <c r="BA44" s="58">
        <f t="shared" si="34"/>
        <v>5000</v>
      </c>
      <c r="BB44" s="58">
        <f t="shared" si="34"/>
        <v>5000</v>
      </c>
      <c r="BC44" s="58">
        <f t="shared" si="34"/>
        <v>5000</v>
      </c>
      <c r="BD44" s="58">
        <f t="shared" si="34"/>
        <v>5000</v>
      </c>
      <c r="BE44" s="58">
        <f t="shared" si="34"/>
        <v>5000</v>
      </c>
      <c r="BF44" s="58">
        <f t="shared" si="34"/>
        <v>5000</v>
      </c>
      <c r="BG44" s="58">
        <f t="shared" si="34"/>
        <v>5000</v>
      </c>
      <c r="BH44" s="58">
        <f t="shared" si="34"/>
        <v>5000</v>
      </c>
      <c r="BI44" s="58">
        <f t="shared" si="34"/>
        <v>5000</v>
      </c>
      <c r="BJ44" s="58">
        <f t="shared" si="34"/>
        <v>5000</v>
      </c>
      <c r="BK44" s="58">
        <f t="shared" si="34"/>
        <v>5000</v>
      </c>
      <c r="BL44" s="58">
        <f t="shared" si="34"/>
        <v>5000</v>
      </c>
      <c r="BM44" s="58">
        <f t="shared" si="34"/>
        <v>5000</v>
      </c>
      <c r="BN44" s="58">
        <f t="shared" si="34"/>
        <v>5000</v>
      </c>
    </row>
    <row r="45" outlineLevel="1">
      <c r="A45" s="47"/>
      <c r="B45" s="73" t="s">
        <v>49</v>
      </c>
      <c r="C45" s="57">
        <v>80000.0</v>
      </c>
      <c r="D45" s="74">
        <v>0.2</v>
      </c>
      <c r="E45" s="75">
        <v>44166.0</v>
      </c>
      <c r="F45" s="58"/>
      <c r="G45" s="58">
        <f t="shared" ref="G45:BN45" si="35">IF(G$4&gt;=$E45,($C45/12)*(1+$D45),0)</f>
        <v>8000</v>
      </c>
      <c r="H45" s="58">
        <f t="shared" si="35"/>
        <v>8000</v>
      </c>
      <c r="I45" s="58">
        <f t="shared" si="35"/>
        <v>8000</v>
      </c>
      <c r="J45" s="58">
        <f t="shared" si="35"/>
        <v>8000</v>
      </c>
      <c r="K45" s="58">
        <f t="shared" si="35"/>
        <v>8000</v>
      </c>
      <c r="L45" s="58">
        <f t="shared" si="35"/>
        <v>8000</v>
      </c>
      <c r="M45" s="58">
        <f t="shared" si="35"/>
        <v>8000</v>
      </c>
      <c r="N45" s="58">
        <f t="shared" si="35"/>
        <v>8000</v>
      </c>
      <c r="O45" s="58">
        <f t="shared" si="35"/>
        <v>8000</v>
      </c>
      <c r="P45" s="58">
        <f t="shared" si="35"/>
        <v>8000</v>
      </c>
      <c r="Q45" s="58">
        <f t="shared" si="35"/>
        <v>8000</v>
      </c>
      <c r="R45" s="58">
        <f t="shared" si="35"/>
        <v>8000</v>
      </c>
      <c r="S45" s="58">
        <f t="shared" si="35"/>
        <v>8000</v>
      </c>
      <c r="T45" s="58">
        <f t="shared" si="35"/>
        <v>8000</v>
      </c>
      <c r="U45" s="58">
        <f t="shared" si="35"/>
        <v>8000</v>
      </c>
      <c r="V45" s="58">
        <f t="shared" si="35"/>
        <v>8000</v>
      </c>
      <c r="W45" s="58">
        <f t="shared" si="35"/>
        <v>8000</v>
      </c>
      <c r="X45" s="58">
        <f t="shared" si="35"/>
        <v>8000</v>
      </c>
      <c r="Y45" s="58">
        <f t="shared" si="35"/>
        <v>8000</v>
      </c>
      <c r="Z45" s="58">
        <f t="shared" si="35"/>
        <v>8000</v>
      </c>
      <c r="AA45" s="58">
        <f t="shared" si="35"/>
        <v>8000</v>
      </c>
      <c r="AB45" s="58">
        <f t="shared" si="35"/>
        <v>8000</v>
      </c>
      <c r="AC45" s="58">
        <f t="shared" si="35"/>
        <v>8000</v>
      </c>
      <c r="AD45" s="58">
        <f t="shared" si="35"/>
        <v>8000</v>
      </c>
      <c r="AE45" s="58">
        <f t="shared" si="35"/>
        <v>8000</v>
      </c>
      <c r="AF45" s="58">
        <f t="shared" si="35"/>
        <v>8000</v>
      </c>
      <c r="AG45" s="58">
        <f t="shared" si="35"/>
        <v>8000</v>
      </c>
      <c r="AH45" s="58">
        <f t="shared" si="35"/>
        <v>8000</v>
      </c>
      <c r="AI45" s="58">
        <f t="shared" si="35"/>
        <v>8000</v>
      </c>
      <c r="AJ45" s="58">
        <f t="shared" si="35"/>
        <v>8000</v>
      </c>
      <c r="AK45" s="58">
        <f t="shared" si="35"/>
        <v>8000</v>
      </c>
      <c r="AL45" s="58">
        <f t="shared" si="35"/>
        <v>8000</v>
      </c>
      <c r="AM45" s="58">
        <f t="shared" si="35"/>
        <v>8000</v>
      </c>
      <c r="AN45" s="58">
        <f t="shared" si="35"/>
        <v>8000</v>
      </c>
      <c r="AO45" s="58">
        <f t="shared" si="35"/>
        <v>8000</v>
      </c>
      <c r="AP45" s="58">
        <f t="shared" si="35"/>
        <v>8000</v>
      </c>
      <c r="AQ45" s="58">
        <f t="shared" si="35"/>
        <v>8000</v>
      </c>
      <c r="AR45" s="58">
        <f t="shared" si="35"/>
        <v>8000</v>
      </c>
      <c r="AS45" s="58">
        <f t="shared" si="35"/>
        <v>8000</v>
      </c>
      <c r="AT45" s="58">
        <f t="shared" si="35"/>
        <v>8000</v>
      </c>
      <c r="AU45" s="58">
        <f t="shared" si="35"/>
        <v>8000</v>
      </c>
      <c r="AV45" s="58">
        <f t="shared" si="35"/>
        <v>8000</v>
      </c>
      <c r="AW45" s="58">
        <f t="shared" si="35"/>
        <v>8000</v>
      </c>
      <c r="AX45" s="58">
        <f t="shared" si="35"/>
        <v>8000</v>
      </c>
      <c r="AY45" s="58">
        <f t="shared" si="35"/>
        <v>8000</v>
      </c>
      <c r="AZ45" s="58">
        <f t="shared" si="35"/>
        <v>8000</v>
      </c>
      <c r="BA45" s="58">
        <f t="shared" si="35"/>
        <v>8000</v>
      </c>
      <c r="BB45" s="58">
        <f t="shared" si="35"/>
        <v>8000</v>
      </c>
      <c r="BC45" s="58">
        <f t="shared" si="35"/>
        <v>8000</v>
      </c>
      <c r="BD45" s="58">
        <f t="shared" si="35"/>
        <v>8000</v>
      </c>
      <c r="BE45" s="58">
        <f t="shared" si="35"/>
        <v>8000</v>
      </c>
      <c r="BF45" s="58">
        <f t="shared" si="35"/>
        <v>8000</v>
      </c>
      <c r="BG45" s="58">
        <f t="shared" si="35"/>
        <v>8000</v>
      </c>
      <c r="BH45" s="58">
        <f t="shared" si="35"/>
        <v>8000</v>
      </c>
      <c r="BI45" s="58">
        <f t="shared" si="35"/>
        <v>8000</v>
      </c>
      <c r="BJ45" s="58">
        <f t="shared" si="35"/>
        <v>8000</v>
      </c>
      <c r="BK45" s="58">
        <f t="shared" si="35"/>
        <v>8000</v>
      </c>
      <c r="BL45" s="58">
        <f t="shared" si="35"/>
        <v>8000</v>
      </c>
      <c r="BM45" s="58">
        <f t="shared" si="35"/>
        <v>8000</v>
      </c>
      <c r="BN45" s="58">
        <f t="shared" si="35"/>
        <v>8000</v>
      </c>
    </row>
    <row r="46" outlineLevel="1">
      <c r="A46" s="47"/>
      <c r="B46" s="73" t="s">
        <v>50</v>
      </c>
      <c r="C46" s="57">
        <v>90000.0</v>
      </c>
      <c r="D46" s="74">
        <v>0.2</v>
      </c>
      <c r="E46" s="75">
        <v>44256.0</v>
      </c>
      <c r="F46" s="58"/>
      <c r="G46" s="58">
        <f t="shared" ref="G46:BN46" si="36">IF(G$4&gt;=$E46,($C46/12)*(1+$D46),0)</f>
        <v>9000</v>
      </c>
      <c r="H46" s="58">
        <f t="shared" si="36"/>
        <v>9000</v>
      </c>
      <c r="I46" s="58">
        <f t="shared" si="36"/>
        <v>9000</v>
      </c>
      <c r="J46" s="58">
        <f t="shared" si="36"/>
        <v>9000</v>
      </c>
      <c r="K46" s="58">
        <f t="shared" si="36"/>
        <v>9000</v>
      </c>
      <c r="L46" s="58">
        <f t="shared" si="36"/>
        <v>9000</v>
      </c>
      <c r="M46" s="58">
        <f t="shared" si="36"/>
        <v>9000</v>
      </c>
      <c r="N46" s="58">
        <f t="shared" si="36"/>
        <v>9000</v>
      </c>
      <c r="O46" s="58">
        <f t="shared" si="36"/>
        <v>9000</v>
      </c>
      <c r="P46" s="58">
        <f t="shared" si="36"/>
        <v>9000</v>
      </c>
      <c r="Q46" s="58">
        <f t="shared" si="36"/>
        <v>9000</v>
      </c>
      <c r="R46" s="58">
        <f t="shared" si="36"/>
        <v>9000</v>
      </c>
      <c r="S46" s="58">
        <f t="shared" si="36"/>
        <v>9000</v>
      </c>
      <c r="T46" s="58">
        <f t="shared" si="36"/>
        <v>9000</v>
      </c>
      <c r="U46" s="58">
        <f t="shared" si="36"/>
        <v>9000</v>
      </c>
      <c r="V46" s="58">
        <f t="shared" si="36"/>
        <v>9000</v>
      </c>
      <c r="W46" s="58">
        <f t="shared" si="36"/>
        <v>9000</v>
      </c>
      <c r="X46" s="58">
        <f t="shared" si="36"/>
        <v>9000</v>
      </c>
      <c r="Y46" s="58">
        <f t="shared" si="36"/>
        <v>9000</v>
      </c>
      <c r="Z46" s="58">
        <f t="shared" si="36"/>
        <v>9000</v>
      </c>
      <c r="AA46" s="58">
        <f t="shared" si="36"/>
        <v>9000</v>
      </c>
      <c r="AB46" s="58">
        <f t="shared" si="36"/>
        <v>9000</v>
      </c>
      <c r="AC46" s="58">
        <f t="shared" si="36"/>
        <v>9000</v>
      </c>
      <c r="AD46" s="58">
        <f t="shared" si="36"/>
        <v>9000</v>
      </c>
      <c r="AE46" s="58">
        <f t="shared" si="36"/>
        <v>9000</v>
      </c>
      <c r="AF46" s="58">
        <f t="shared" si="36"/>
        <v>9000</v>
      </c>
      <c r="AG46" s="58">
        <f t="shared" si="36"/>
        <v>9000</v>
      </c>
      <c r="AH46" s="58">
        <f t="shared" si="36"/>
        <v>9000</v>
      </c>
      <c r="AI46" s="58">
        <f t="shared" si="36"/>
        <v>9000</v>
      </c>
      <c r="AJ46" s="58">
        <f t="shared" si="36"/>
        <v>9000</v>
      </c>
      <c r="AK46" s="58">
        <f t="shared" si="36"/>
        <v>9000</v>
      </c>
      <c r="AL46" s="58">
        <f t="shared" si="36"/>
        <v>9000</v>
      </c>
      <c r="AM46" s="58">
        <f t="shared" si="36"/>
        <v>9000</v>
      </c>
      <c r="AN46" s="58">
        <f t="shared" si="36"/>
        <v>9000</v>
      </c>
      <c r="AO46" s="58">
        <f t="shared" si="36"/>
        <v>9000</v>
      </c>
      <c r="AP46" s="58">
        <f t="shared" si="36"/>
        <v>9000</v>
      </c>
      <c r="AQ46" s="58">
        <f t="shared" si="36"/>
        <v>9000</v>
      </c>
      <c r="AR46" s="58">
        <f t="shared" si="36"/>
        <v>9000</v>
      </c>
      <c r="AS46" s="58">
        <f t="shared" si="36"/>
        <v>9000</v>
      </c>
      <c r="AT46" s="58">
        <f t="shared" si="36"/>
        <v>9000</v>
      </c>
      <c r="AU46" s="58">
        <f t="shared" si="36"/>
        <v>9000</v>
      </c>
      <c r="AV46" s="58">
        <f t="shared" si="36"/>
        <v>9000</v>
      </c>
      <c r="AW46" s="58">
        <f t="shared" si="36"/>
        <v>9000</v>
      </c>
      <c r="AX46" s="58">
        <f t="shared" si="36"/>
        <v>9000</v>
      </c>
      <c r="AY46" s="58">
        <f t="shared" si="36"/>
        <v>9000</v>
      </c>
      <c r="AZ46" s="58">
        <f t="shared" si="36"/>
        <v>9000</v>
      </c>
      <c r="BA46" s="58">
        <f t="shared" si="36"/>
        <v>9000</v>
      </c>
      <c r="BB46" s="58">
        <f t="shared" si="36"/>
        <v>9000</v>
      </c>
      <c r="BC46" s="58">
        <f t="shared" si="36"/>
        <v>9000</v>
      </c>
      <c r="BD46" s="58">
        <f t="shared" si="36"/>
        <v>9000</v>
      </c>
      <c r="BE46" s="58">
        <f t="shared" si="36"/>
        <v>9000</v>
      </c>
      <c r="BF46" s="58">
        <f t="shared" si="36"/>
        <v>9000</v>
      </c>
      <c r="BG46" s="58">
        <f t="shared" si="36"/>
        <v>9000</v>
      </c>
      <c r="BH46" s="58">
        <f t="shared" si="36"/>
        <v>9000</v>
      </c>
      <c r="BI46" s="58">
        <f t="shared" si="36"/>
        <v>9000</v>
      </c>
      <c r="BJ46" s="58">
        <f t="shared" si="36"/>
        <v>9000</v>
      </c>
      <c r="BK46" s="58">
        <f t="shared" si="36"/>
        <v>9000</v>
      </c>
      <c r="BL46" s="58">
        <f t="shared" si="36"/>
        <v>9000</v>
      </c>
      <c r="BM46" s="58">
        <f t="shared" si="36"/>
        <v>9000</v>
      </c>
      <c r="BN46" s="58">
        <f t="shared" si="36"/>
        <v>9000</v>
      </c>
    </row>
    <row r="47" outlineLevel="1">
      <c r="A47" s="47"/>
      <c r="B47" s="73" t="s">
        <v>51</v>
      </c>
      <c r="C47" s="57">
        <v>45000.0</v>
      </c>
      <c r="D47" s="74">
        <v>0.2</v>
      </c>
      <c r="E47" s="75">
        <v>44348.0</v>
      </c>
      <c r="F47" s="58"/>
      <c r="G47" s="58">
        <f t="shared" ref="G47:BN47" si="37">IF(G$4&gt;=$E47,($C47/12)*(1+$D47),0)</f>
        <v>4500</v>
      </c>
      <c r="H47" s="58">
        <f t="shared" si="37"/>
        <v>4500</v>
      </c>
      <c r="I47" s="58">
        <f t="shared" si="37"/>
        <v>4500</v>
      </c>
      <c r="J47" s="58">
        <f t="shared" si="37"/>
        <v>4500</v>
      </c>
      <c r="K47" s="58">
        <f t="shared" si="37"/>
        <v>4500</v>
      </c>
      <c r="L47" s="58">
        <f t="shared" si="37"/>
        <v>4500</v>
      </c>
      <c r="M47" s="58">
        <f t="shared" si="37"/>
        <v>4500</v>
      </c>
      <c r="N47" s="58">
        <f t="shared" si="37"/>
        <v>4500</v>
      </c>
      <c r="O47" s="58">
        <f t="shared" si="37"/>
        <v>4500</v>
      </c>
      <c r="P47" s="58">
        <f t="shared" si="37"/>
        <v>4500</v>
      </c>
      <c r="Q47" s="58">
        <f t="shared" si="37"/>
        <v>4500</v>
      </c>
      <c r="R47" s="58">
        <f t="shared" si="37"/>
        <v>4500</v>
      </c>
      <c r="S47" s="58">
        <f t="shared" si="37"/>
        <v>4500</v>
      </c>
      <c r="T47" s="58">
        <f t="shared" si="37"/>
        <v>4500</v>
      </c>
      <c r="U47" s="58">
        <f t="shared" si="37"/>
        <v>4500</v>
      </c>
      <c r="V47" s="58">
        <f t="shared" si="37"/>
        <v>4500</v>
      </c>
      <c r="W47" s="58">
        <f t="shared" si="37"/>
        <v>4500</v>
      </c>
      <c r="X47" s="58">
        <f t="shared" si="37"/>
        <v>4500</v>
      </c>
      <c r="Y47" s="58">
        <f t="shared" si="37"/>
        <v>4500</v>
      </c>
      <c r="Z47" s="58">
        <f t="shared" si="37"/>
        <v>4500</v>
      </c>
      <c r="AA47" s="58">
        <f t="shared" si="37"/>
        <v>4500</v>
      </c>
      <c r="AB47" s="58">
        <f t="shared" si="37"/>
        <v>4500</v>
      </c>
      <c r="AC47" s="58">
        <f t="shared" si="37"/>
        <v>4500</v>
      </c>
      <c r="AD47" s="58">
        <f t="shared" si="37"/>
        <v>4500</v>
      </c>
      <c r="AE47" s="58">
        <f t="shared" si="37"/>
        <v>4500</v>
      </c>
      <c r="AF47" s="58">
        <f t="shared" si="37"/>
        <v>4500</v>
      </c>
      <c r="AG47" s="58">
        <f t="shared" si="37"/>
        <v>4500</v>
      </c>
      <c r="AH47" s="58">
        <f t="shared" si="37"/>
        <v>4500</v>
      </c>
      <c r="AI47" s="58">
        <f t="shared" si="37"/>
        <v>4500</v>
      </c>
      <c r="AJ47" s="58">
        <f t="shared" si="37"/>
        <v>4500</v>
      </c>
      <c r="AK47" s="58">
        <f t="shared" si="37"/>
        <v>4500</v>
      </c>
      <c r="AL47" s="58">
        <f t="shared" si="37"/>
        <v>4500</v>
      </c>
      <c r="AM47" s="58">
        <f t="shared" si="37"/>
        <v>4500</v>
      </c>
      <c r="AN47" s="58">
        <f t="shared" si="37"/>
        <v>4500</v>
      </c>
      <c r="AO47" s="58">
        <f t="shared" si="37"/>
        <v>4500</v>
      </c>
      <c r="AP47" s="58">
        <f t="shared" si="37"/>
        <v>4500</v>
      </c>
      <c r="AQ47" s="58">
        <f t="shared" si="37"/>
        <v>4500</v>
      </c>
      <c r="AR47" s="58">
        <f t="shared" si="37"/>
        <v>4500</v>
      </c>
      <c r="AS47" s="58">
        <f t="shared" si="37"/>
        <v>4500</v>
      </c>
      <c r="AT47" s="58">
        <f t="shared" si="37"/>
        <v>4500</v>
      </c>
      <c r="AU47" s="58">
        <f t="shared" si="37"/>
        <v>4500</v>
      </c>
      <c r="AV47" s="58">
        <f t="shared" si="37"/>
        <v>4500</v>
      </c>
      <c r="AW47" s="58">
        <f t="shared" si="37"/>
        <v>4500</v>
      </c>
      <c r="AX47" s="58">
        <f t="shared" si="37"/>
        <v>4500</v>
      </c>
      <c r="AY47" s="58">
        <f t="shared" si="37"/>
        <v>4500</v>
      </c>
      <c r="AZ47" s="58">
        <f t="shared" si="37"/>
        <v>4500</v>
      </c>
      <c r="BA47" s="58">
        <f t="shared" si="37"/>
        <v>4500</v>
      </c>
      <c r="BB47" s="58">
        <f t="shared" si="37"/>
        <v>4500</v>
      </c>
      <c r="BC47" s="58">
        <f t="shared" si="37"/>
        <v>4500</v>
      </c>
      <c r="BD47" s="58">
        <f t="shared" si="37"/>
        <v>4500</v>
      </c>
      <c r="BE47" s="58">
        <f t="shared" si="37"/>
        <v>4500</v>
      </c>
      <c r="BF47" s="58">
        <f t="shared" si="37"/>
        <v>4500</v>
      </c>
      <c r="BG47" s="58">
        <f t="shared" si="37"/>
        <v>4500</v>
      </c>
      <c r="BH47" s="58">
        <f t="shared" si="37"/>
        <v>4500</v>
      </c>
      <c r="BI47" s="58">
        <f t="shared" si="37"/>
        <v>4500</v>
      </c>
      <c r="BJ47" s="58">
        <f t="shared" si="37"/>
        <v>4500</v>
      </c>
      <c r="BK47" s="58">
        <f t="shared" si="37"/>
        <v>4500</v>
      </c>
      <c r="BL47" s="58">
        <f t="shared" si="37"/>
        <v>4500</v>
      </c>
      <c r="BM47" s="58">
        <f t="shared" si="37"/>
        <v>4500</v>
      </c>
      <c r="BN47" s="58">
        <f t="shared" si="37"/>
        <v>4500</v>
      </c>
    </row>
    <row r="48">
      <c r="A48" s="47"/>
      <c r="B48" s="47"/>
      <c r="C48" s="47"/>
      <c r="D48" s="47"/>
      <c r="E48" s="47"/>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row>
    <row r="49">
      <c r="A49" s="47"/>
      <c r="B49" s="48" t="s">
        <v>52</v>
      </c>
      <c r="C49" s="49"/>
      <c r="D49" s="49"/>
      <c r="E49" s="49"/>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row>
    <row r="50" outlineLevel="1">
      <c r="A50" s="47"/>
      <c r="B50" s="47"/>
      <c r="C50" s="47"/>
      <c r="D50" s="47"/>
      <c r="E50" s="47"/>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row>
    <row r="51" outlineLevel="1">
      <c r="A51" s="47"/>
      <c r="B51" s="76" t="s">
        <v>53</v>
      </c>
      <c r="C51" s="72" t="s">
        <v>54</v>
      </c>
      <c r="D51" s="47"/>
      <c r="E51" s="47"/>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row>
    <row r="52" outlineLevel="1">
      <c r="A52" s="47"/>
      <c r="B52" s="77" t="s">
        <v>55</v>
      </c>
      <c r="C52" s="78">
        <v>0.02</v>
      </c>
      <c r="D52" s="47"/>
      <c r="E52" s="47"/>
      <c r="F52" s="58"/>
      <c r="G52" s="58">
        <f>Financials!F$8*$C52</f>
        <v>310</v>
      </c>
      <c r="H52" s="58">
        <f>Financials!G$8*$C52</f>
        <v>310</v>
      </c>
      <c r="I52" s="58">
        <f>Financials!H$8*$C52</f>
        <v>310</v>
      </c>
      <c r="J52" s="58">
        <f>Financials!I$8*$C52</f>
        <v>310</v>
      </c>
      <c r="K52" s="58">
        <f>Financials!J$8*$C52</f>
        <v>310</v>
      </c>
      <c r="L52" s="58">
        <f>Financials!K$8*$C52</f>
        <v>310</v>
      </c>
      <c r="M52" s="58">
        <f>Financials!L$8*$C52</f>
        <v>310</v>
      </c>
      <c r="N52" s="58">
        <f>Financials!M$8*$C52</f>
        <v>310</v>
      </c>
      <c r="O52" s="58">
        <f>Financials!N$8*$C52</f>
        <v>310</v>
      </c>
      <c r="P52" s="58">
        <f>Financials!O$8*$C52</f>
        <v>310</v>
      </c>
      <c r="Q52" s="58">
        <f>Financials!P$8*$C52</f>
        <v>310</v>
      </c>
      <c r="R52" s="58">
        <f>Financials!Q$8*$C52</f>
        <v>310</v>
      </c>
      <c r="S52" s="58">
        <f>Financials!R$8*$C52</f>
        <v>310</v>
      </c>
      <c r="T52" s="58">
        <f>Financials!S$8*$C52</f>
        <v>310</v>
      </c>
      <c r="U52" s="58">
        <f>Financials!T$8*$C52</f>
        <v>310</v>
      </c>
      <c r="V52" s="58">
        <f>Financials!U$8*$C52</f>
        <v>310</v>
      </c>
      <c r="W52" s="58">
        <f>Financials!V$8*$C52</f>
        <v>310</v>
      </c>
      <c r="X52" s="58">
        <f>Financials!W$8*$C52</f>
        <v>310</v>
      </c>
      <c r="Y52" s="58">
        <f>Financials!X$8*$C52</f>
        <v>310</v>
      </c>
      <c r="Z52" s="58">
        <f>Financials!Y$8*$C52</f>
        <v>310</v>
      </c>
      <c r="AA52" s="58">
        <f>Financials!Z$8*$C52</f>
        <v>310</v>
      </c>
      <c r="AB52" s="58">
        <f>Financials!AA$8*$C52</f>
        <v>310</v>
      </c>
      <c r="AC52" s="58">
        <f>Financials!AB$8*$C52</f>
        <v>310</v>
      </c>
      <c r="AD52" s="58">
        <f>Financials!AC$8*$C52</f>
        <v>310</v>
      </c>
      <c r="AE52" s="58">
        <f>Financials!AD$8*$C52</f>
        <v>310</v>
      </c>
      <c r="AF52" s="58">
        <f>Financials!AE$8*$C52</f>
        <v>310</v>
      </c>
      <c r="AG52" s="58">
        <f>Financials!AF$8*$C52</f>
        <v>310</v>
      </c>
      <c r="AH52" s="58">
        <f>Financials!AG$8*$C52</f>
        <v>310</v>
      </c>
      <c r="AI52" s="58">
        <f>Financials!AH$8*$C52</f>
        <v>310</v>
      </c>
      <c r="AJ52" s="58">
        <f>Financials!AI$8*$C52</f>
        <v>310</v>
      </c>
      <c r="AK52" s="58">
        <f>Financials!AJ$8*$C52</f>
        <v>310</v>
      </c>
      <c r="AL52" s="58">
        <f>Financials!AK$8*$C52</f>
        <v>310</v>
      </c>
      <c r="AM52" s="58">
        <f>Financials!AL$8*$C52</f>
        <v>310</v>
      </c>
      <c r="AN52" s="58">
        <f>Financials!AM$8*$C52</f>
        <v>310</v>
      </c>
      <c r="AO52" s="58">
        <f>Financials!AN$8*$C52</f>
        <v>310</v>
      </c>
      <c r="AP52" s="58">
        <f>Financials!AO$8*$C52</f>
        <v>310</v>
      </c>
      <c r="AQ52" s="58">
        <f>Financials!AP$8*$C52</f>
        <v>310</v>
      </c>
      <c r="AR52" s="58">
        <f>Financials!AQ$8*$C52</f>
        <v>310</v>
      </c>
      <c r="AS52" s="58">
        <f>Financials!AR$8*$C52</f>
        <v>310</v>
      </c>
      <c r="AT52" s="58">
        <f>Financials!AS$8*$C52</f>
        <v>310</v>
      </c>
      <c r="AU52" s="58">
        <f>Financials!AT$8*$C52</f>
        <v>310</v>
      </c>
      <c r="AV52" s="58">
        <f>Financials!AU$8*$C52</f>
        <v>310</v>
      </c>
      <c r="AW52" s="58">
        <f>Financials!AV$8*$C52</f>
        <v>310</v>
      </c>
      <c r="AX52" s="58">
        <f>Financials!AW$8*$C52</f>
        <v>310</v>
      </c>
      <c r="AY52" s="58">
        <f>Financials!AX$8*$C52</f>
        <v>310</v>
      </c>
      <c r="AZ52" s="58">
        <f>Financials!AY$8*$C52</f>
        <v>310</v>
      </c>
      <c r="BA52" s="58">
        <f>Financials!AZ$8*$C52</f>
        <v>310</v>
      </c>
      <c r="BB52" s="58">
        <f>Financials!BA$8*$C52</f>
        <v>310</v>
      </c>
      <c r="BC52" s="58">
        <f>Financials!BB$8*$C52</f>
        <v>310</v>
      </c>
      <c r="BD52" s="58">
        <f>Financials!BC$8*$C52</f>
        <v>310</v>
      </c>
      <c r="BE52" s="58">
        <f>Financials!BD$8*$C52</f>
        <v>310</v>
      </c>
      <c r="BF52" s="58">
        <f>Financials!BE$8*$C52</f>
        <v>310</v>
      </c>
      <c r="BG52" s="58">
        <f>Financials!BF$8*$C52</f>
        <v>310</v>
      </c>
      <c r="BH52" s="58">
        <f>Financials!BG$8*$C52</f>
        <v>310</v>
      </c>
      <c r="BI52" s="58">
        <f>Financials!BH$8*$C52</f>
        <v>310</v>
      </c>
      <c r="BJ52" s="58">
        <f>Financials!BI$8*$C52</f>
        <v>310</v>
      </c>
      <c r="BK52" s="58">
        <f>Financials!BJ$8*$C52</f>
        <v>310</v>
      </c>
      <c r="BL52" s="58">
        <f>Financials!BK$8*$C52</f>
        <v>310</v>
      </c>
      <c r="BM52" s="58">
        <f>Financials!BL$8*$C52</f>
        <v>310</v>
      </c>
      <c r="BN52" s="58">
        <f>Financials!BM$8*$C52</f>
        <v>310</v>
      </c>
    </row>
    <row r="53" outlineLevel="1">
      <c r="A53" s="47"/>
      <c r="B53" s="77" t="s">
        <v>56</v>
      </c>
      <c r="C53" s="78">
        <v>0.03</v>
      </c>
      <c r="D53" s="47"/>
      <c r="E53" s="47"/>
      <c r="F53" s="58"/>
      <c r="G53" s="58">
        <f>Financials!F$8*$C53</f>
        <v>465</v>
      </c>
      <c r="H53" s="58">
        <f>Financials!G$8*$C53</f>
        <v>465</v>
      </c>
      <c r="I53" s="58">
        <f>Financials!H$8*$C53</f>
        <v>465</v>
      </c>
      <c r="J53" s="58">
        <f>Financials!I$8*$C53</f>
        <v>465</v>
      </c>
      <c r="K53" s="58">
        <f>Financials!J$8*$C53</f>
        <v>465</v>
      </c>
      <c r="L53" s="58">
        <f>Financials!K$8*$C53</f>
        <v>465</v>
      </c>
      <c r="M53" s="58">
        <f>Financials!L$8*$C53</f>
        <v>465</v>
      </c>
      <c r="N53" s="58">
        <f>Financials!M$8*$C53</f>
        <v>465</v>
      </c>
      <c r="O53" s="58">
        <f>Financials!N$8*$C53</f>
        <v>465</v>
      </c>
      <c r="P53" s="58">
        <f>Financials!O$8*$C53</f>
        <v>465</v>
      </c>
      <c r="Q53" s="58">
        <f>Financials!P$8*$C53</f>
        <v>465</v>
      </c>
      <c r="R53" s="58">
        <f>Financials!Q$8*$C53</f>
        <v>465</v>
      </c>
      <c r="S53" s="58">
        <f>Financials!R$8*$C53</f>
        <v>465</v>
      </c>
      <c r="T53" s="58">
        <f>Financials!S$8*$C53</f>
        <v>465</v>
      </c>
      <c r="U53" s="58">
        <f>Financials!T$8*$C53</f>
        <v>465</v>
      </c>
      <c r="V53" s="58">
        <f>Financials!U$8*$C53</f>
        <v>465</v>
      </c>
      <c r="W53" s="58">
        <f>Financials!V$8*$C53</f>
        <v>465</v>
      </c>
      <c r="X53" s="58">
        <f>Financials!W$8*$C53</f>
        <v>465</v>
      </c>
      <c r="Y53" s="58">
        <f>Financials!X$8*$C53</f>
        <v>465</v>
      </c>
      <c r="Z53" s="58">
        <f>Financials!Y$8*$C53</f>
        <v>465</v>
      </c>
      <c r="AA53" s="58">
        <f>Financials!Z$8*$C53</f>
        <v>465</v>
      </c>
      <c r="AB53" s="58">
        <f>Financials!AA$8*$C53</f>
        <v>465</v>
      </c>
      <c r="AC53" s="58">
        <f>Financials!AB$8*$C53</f>
        <v>465</v>
      </c>
      <c r="AD53" s="58">
        <f>Financials!AC$8*$C53</f>
        <v>465</v>
      </c>
      <c r="AE53" s="58">
        <f>Financials!AD$8*$C53</f>
        <v>465</v>
      </c>
      <c r="AF53" s="58">
        <f>Financials!AE$8*$C53</f>
        <v>465</v>
      </c>
      <c r="AG53" s="58">
        <f>Financials!AF$8*$C53</f>
        <v>465</v>
      </c>
      <c r="AH53" s="58">
        <f>Financials!AG$8*$C53</f>
        <v>465</v>
      </c>
      <c r="AI53" s="58">
        <f>Financials!AH$8*$C53</f>
        <v>465</v>
      </c>
      <c r="AJ53" s="58">
        <f>Financials!AI$8*$C53</f>
        <v>465</v>
      </c>
      <c r="AK53" s="58">
        <f>Financials!AJ$8*$C53</f>
        <v>465</v>
      </c>
      <c r="AL53" s="58">
        <f>Financials!AK$8*$C53</f>
        <v>465</v>
      </c>
      <c r="AM53" s="58">
        <f>Financials!AL$8*$C53</f>
        <v>465</v>
      </c>
      <c r="AN53" s="58">
        <f>Financials!AM$8*$C53</f>
        <v>465</v>
      </c>
      <c r="AO53" s="58">
        <f>Financials!AN$8*$C53</f>
        <v>465</v>
      </c>
      <c r="AP53" s="58">
        <f>Financials!AO$8*$C53</f>
        <v>465</v>
      </c>
      <c r="AQ53" s="58">
        <f>Financials!AP$8*$C53</f>
        <v>465</v>
      </c>
      <c r="AR53" s="58">
        <f>Financials!AQ$8*$C53</f>
        <v>465</v>
      </c>
      <c r="AS53" s="58">
        <f>Financials!AR$8*$C53</f>
        <v>465</v>
      </c>
      <c r="AT53" s="58">
        <f>Financials!AS$8*$C53</f>
        <v>465</v>
      </c>
      <c r="AU53" s="58">
        <f>Financials!AT$8*$C53</f>
        <v>465</v>
      </c>
      <c r="AV53" s="58">
        <f>Financials!AU$8*$C53</f>
        <v>465</v>
      </c>
      <c r="AW53" s="58">
        <f>Financials!AV$8*$C53</f>
        <v>465</v>
      </c>
      <c r="AX53" s="58">
        <f>Financials!AW$8*$C53</f>
        <v>465</v>
      </c>
      <c r="AY53" s="58">
        <f>Financials!AX$8*$C53</f>
        <v>465</v>
      </c>
      <c r="AZ53" s="58">
        <f>Financials!AY$8*$C53</f>
        <v>465</v>
      </c>
      <c r="BA53" s="58">
        <f>Financials!AZ$8*$C53</f>
        <v>465</v>
      </c>
      <c r="BB53" s="58">
        <f>Financials!BA$8*$C53</f>
        <v>465</v>
      </c>
      <c r="BC53" s="58">
        <f>Financials!BB$8*$C53</f>
        <v>465</v>
      </c>
      <c r="BD53" s="58">
        <f>Financials!BC$8*$C53</f>
        <v>465</v>
      </c>
      <c r="BE53" s="58">
        <f>Financials!BD$8*$C53</f>
        <v>465</v>
      </c>
      <c r="BF53" s="58">
        <f>Financials!BE$8*$C53</f>
        <v>465</v>
      </c>
      <c r="BG53" s="58">
        <f>Financials!BF$8*$C53</f>
        <v>465</v>
      </c>
      <c r="BH53" s="58">
        <f>Financials!BG$8*$C53</f>
        <v>465</v>
      </c>
      <c r="BI53" s="58">
        <f>Financials!BH$8*$C53</f>
        <v>465</v>
      </c>
      <c r="BJ53" s="58">
        <f>Financials!BI$8*$C53</f>
        <v>465</v>
      </c>
      <c r="BK53" s="58">
        <f>Financials!BJ$8*$C53</f>
        <v>465</v>
      </c>
      <c r="BL53" s="58">
        <f>Financials!BK$8*$C53</f>
        <v>465</v>
      </c>
      <c r="BM53" s="58">
        <f>Financials!BL$8*$C53</f>
        <v>465</v>
      </c>
      <c r="BN53" s="58">
        <f>Financials!BM$8*$C53</f>
        <v>465</v>
      </c>
    </row>
    <row r="54" outlineLevel="1">
      <c r="A54" s="47"/>
      <c r="B54" s="77" t="s">
        <v>57</v>
      </c>
      <c r="C54" s="78">
        <v>0.05</v>
      </c>
      <c r="D54" s="47"/>
      <c r="E54" s="47"/>
      <c r="F54" s="58"/>
      <c r="G54" s="58">
        <f>Financials!F$8*$C54</f>
        <v>775</v>
      </c>
      <c r="H54" s="58">
        <f>Financials!G$8*$C54</f>
        <v>775</v>
      </c>
      <c r="I54" s="58">
        <f>Financials!H$8*$C54</f>
        <v>775</v>
      </c>
      <c r="J54" s="58">
        <f>Financials!I$8*$C54</f>
        <v>775</v>
      </c>
      <c r="K54" s="58">
        <f>Financials!J$8*$C54</f>
        <v>775</v>
      </c>
      <c r="L54" s="58">
        <f>Financials!K$8*$C54</f>
        <v>775</v>
      </c>
      <c r="M54" s="58">
        <f>Financials!L$8*$C54</f>
        <v>775</v>
      </c>
      <c r="N54" s="58">
        <f>Financials!M$8*$C54</f>
        <v>775</v>
      </c>
      <c r="O54" s="58">
        <f>Financials!N$8*$C54</f>
        <v>775</v>
      </c>
      <c r="P54" s="58">
        <f>Financials!O$8*$C54</f>
        <v>775</v>
      </c>
      <c r="Q54" s="58">
        <f>Financials!P$8*$C54</f>
        <v>775</v>
      </c>
      <c r="R54" s="58">
        <f>Financials!Q$8*$C54</f>
        <v>775</v>
      </c>
      <c r="S54" s="58">
        <f>Financials!R$8*$C54</f>
        <v>775</v>
      </c>
      <c r="T54" s="58">
        <f>Financials!S$8*$C54</f>
        <v>775</v>
      </c>
      <c r="U54" s="58">
        <f>Financials!T$8*$C54</f>
        <v>775</v>
      </c>
      <c r="V54" s="58">
        <f>Financials!U$8*$C54</f>
        <v>775</v>
      </c>
      <c r="W54" s="58">
        <f>Financials!V$8*$C54</f>
        <v>775</v>
      </c>
      <c r="X54" s="58">
        <f>Financials!W$8*$C54</f>
        <v>775</v>
      </c>
      <c r="Y54" s="58">
        <f>Financials!X$8*$C54</f>
        <v>775</v>
      </c>
      <c r="Z54" s="58">
        <f>Financials!Y$8*$C54</f>
        <v>775</v>
      </c>
      <c r="AA54" s="58">
        <f>Financials!Z$8*$C54</f>
        <v>775</v>
      </c>
      <c r="AB54" s="58">
        <f>Financials!AA$8*$C54</f>
        <v>775</v>
      </c>
      <c r="AC54" s="58">
        <f>Financials!AB$8*$C54</f>
        <v>775</v>
      </c>
      <c r="AD54" s="58">
        <f>Financials!AC$8*$C54</f>
        <v>775</v>
      </c>
      <c r="AE54" s="58">
        <f>Financials!AD$8*$C54</f>
        <v>775</v>
      </c>
      <c r="AF54" s="58">
        <f>Financials!AE$8*$C54</f>
        <v>775</v>
      </c>
      <c r="AG54" s="58">
        <f>Financials!AF$8*$C54</f>
        <v>775</v>
      </c>
      <c r="AH54" s="58">
        <f>Financials!AG$8*$C54</f>
        <v>775</v>
      </c>
      <c r="AI54" s="58">
        <f>Financials!AH$8*$C54</f>
        <v>775</v>
      </c>
      <c r="AJ54" s="58">
        <f>Financials!AI$8*$C54</f>
        <v>775</v>
      </c>
      <c r="AK54" s="58">
        <f>Financials!AJ$8*$C54</f>
        <v>775</v>
      </c>
      <c r="AL54" s="58">
        <f>Financials!AK$8*$C54</f>
        <v>775</v>
      </c>
      <c r="AM54" s="58">
        <f>Financials!AL$8*$C54</f>
        <v>775</v>
      </c>
      <c r="AN54" s="58">
        <f>Financials!AM$8*$C54</f>
        <v>775</v>
      </c>
      <c r="AO54" s="58">
        <f>Financials!AN$8*$C54</f>
        <v>775</v>
      </c>
      <c r="AP54" s="58">
        <f>Financials!AO$8*$C54</f>
        <v>775</v>
      </c>
      <c r="AQ54" s="58">
        <f>Financials!AP$8*$C54</f>
        <v>775</v>
      </c>
      <c r="AR54" s="58">
        <f>Financials!AQ$8*$C54</f>
        <v>775</v>
      </c>
      <c r="AS54" s="58">
        <f>Financials!AR$8*$C54</f>
        <v>775</v>
      </c>
      <c r="AT54" s="58">
        <f>Financials!AS$8*$C54</f>
        <v>775</v>
      </c>
      <c r="AU54" s="58">
        <f>Financials!AT$8*$C54</f>
        <v>775</v>
      </c>
      <c r="AV54" s="58">
        <f>Financials!AU$8*$C54</f>
        <v>775</v>
      </c>
      <c r="AW54" s="58">
        <f>Financials!AV$8*$C54</f>
        <v>775</v>
      </c>
      <c r="AX54" s="58">
        <f>Financials!AW$8*$C54</f>
        <v>775</v>
      </c>
      <c r="AY54" s="58">
        <f>Financials!AX$8*$C54</f>
        <v>775</v>
      </c>
      <c r="AZ54" s="58">
        <f>Financials!AY$8*$C54</f>
        <v>775</v>
      </c>
      <c r="BA54" s="58">
        <f>Financials!AZ$8*$C54</f>
        <v>775</v>
      </c>
      <c r="BB54" s="58">
        <f>Financials!BA$8*$C54</f>
        <v>775</v>
      </c>
      <c r="BC54" s="58">
        <f>Financials!BB$8*$C54</f>
        <v>775</v>
      </c>
      <c r="BD54" s="58">
        <f>Financials!BC$8*$C54</f>
        <v>775</v>
      </c>
      <c r="BE54" s="58">
        <f>Financials!BD$8*$C54</f>
        <v>775</v>
      </c>
      <c r="BF54" s="58">
        <f>Financials!BE$8*$C54</f>
        <v>775</v>
      </c>
      <c r="BG54" s="58">
        <f>Financials!BF$8*$C54</f>
        <v>775</v>
      </c>
      <c r="BH54" s="58">
        <f>Financials!BG$8*$C54</f>
        <v>775</v>
      </c>
      <c r="BI54" s="58">
        <f>Financials!BH$8*$C54</f>
        <v>775</v>
      </c>
      <c r="BJ54" s="58">
        <f>Financials!BI$8*$C54</f>
        <v>775</v>
      </c>
      <c r="BK54" s="58">
        <f>Financials!BJ$8*$C54</f>
        <v>775</v>
      </c>
      <c r="BL54" s="58">
        <f>Financials!BK$8*$C54</f>
        <v>775</v>
      </c>
      <c r="BM54" s="58">
        <f>Financials!BL$8*$C54</f>
        <v>775</v>
      </c>
      <c r="BN54" s="58">
        <f>Financials!BM$8*$C54</f>
        <v>775</v>
      </c>
    </row>
    <row r="55" outlineLevel="1">
      <c r="A55" s="47"/>
      <c r="B55" s="79" t="s">
        <v>58</v>
      </c>
      <c r="C55" s="78">
        <v>0.05</v>
      </c>
      <c r="D55" s="47"/>
      <c r="E55" s="47"/>
      <c r="F55" s="58"/>
      <c r="G55" s="58">
        <f>Financials!F$8*$C55</f>
        <v>775</v>
      </c>
      <c r="H55" s="58">
        <f>Financials!G$8*$C55</f>
        <v>775</v>
      </c>
      <c r="I55" s="58">
        <f>Financials!H$8*$C55</f>
        <v>775</v>
      </c>
      <c r="J55" s="58">
        <f>Financials!I$8*$C55</f>
        <v>775</v>
      </c>
      <c r="K55" s="58">
        <f>Financials!J$8*$C55</f>
        <v>775</v>
      </c>
      <c r="L55" s="58">
        <f>Financials!K$8*$C55</f>
        <v>775</v>
      </c>
      <c r="M55" s="58">
        <f>Financials!L$8*$C55</f>
        <v>775</v>
      </c>
      <c r="N55" s="58">
        <f>Financials!M$8*$C55</f>
        <v>775</v>
      </c>
      <c r="O55" s="58">
        <f>Financials!N$8*$C55</f>
        <v>775</v>
      </c>
      <c r="P55" s="58">
        <f>Financials!O$8*$C55</f>
        <v>775</v>
      </c>
      <c r="Q55" s="58">
        <f>Financials!P$8*$C55</f>
        <v>775</v>
      </c>
      <c r="R55" s="58">
        <f>Financials!Q$8*$C55</f>
        <v>775</v>
      </c>
      <c r="S55" s="58">
        <f>Financials!R$8*$C55</f>
        <v>775</v>
      </c>
      <c r="T55" s="58">
        <f>Financials!S$8*$C55</f>
        <v>775</v>
      </c>
      <c r="U55" s="58">
        <f>Financials!T$8*$C55</f>
        <v>775</v>
      </c>
      <c r="V55" s="58">
        <f>Financials!U$8*$C55</f>
        <v>775</v>
      </c>
      <c r="W55" s="58">
        <f>Financials!V$8*$C55</f>
        <v>775</v>
      </c>
      <c r="X55" s="58">
        <f>Financials!W$8*$C55</f>
        <v>775</v>
      </c>
      <c r="Y55" s="58">
        <f>Financials!X$8*$C55</f>
        <v>775</v>
      </c>
      <c r="Z55" s="58">
        <f>Financials!Y$8*$C55</f>
        <v>775</v>
      </c>
      <c r="AA55" s="58">
        <f>Financials!Z$8*$C55</f>
        <v>775</v>
      </c>
      <c r="AB55" s="58">
        <f>Financials!AA$8*$C55</f>
        <v>775</v>
      </c>
      <c r="AC55" s="58">
        <f>Financials!AB$8*$C55</f>
        <v>775</v>
      </c>
      <c r="AD55" s="58">
        <f>Financials!AC$8*$C55</f>
        <v>775</v>
      </c>
      <c r="AE55" s="58">
        <f>Financials!AD$8*$C55</f>
        <v>775</v>
      </c>
      <c r="AF55" s="58">
        <f>Financials!AE$8*$C55</f>
        <v>775</v>
      </c>
      <c r="AG55" s="58">
        <f>Financials!AF$8*$C55</f>
        <v>775</v>
      </c>
      <c r="AH55" s="58">
        <f>Financials!AG$8*$C55</f>
        <v>775</v>
      </c>
      <c r="AI55" s="58">
        <f>Financials!AH$8*$C55</f>
        <v>775</v>
      </c>
      <c r="AJ55" s="58">
        <f>Financials!AI$8*$C55</f>
        <v>775</v>
      </c>
      <c r="AK55" s="58">
        <f>Financials!AJ$8*$C55</f>
        <v>775</v>
      </c>
      <c r="AL55" s="58">
        <f>Financials!AK$8*$C55</f>
        <v>775</v>
      </c>
      <c r="AM55" s="58">
        <f>Financials!AL$8*$C55</f>
        <v>775</v>
      </c>
      <c r="AN55" s="58">
        <f>Financials!AM$8*$C55</f>
        <v>775</v>
      </c>
      <c r="AO55" s="58">
        <f>Financials!AN$8*$C55</f>
        <v>775</v>
      </c>
      <c r="AP55" s="58">
        <f>Financials!AO$8*$C55</f>
        <v>775</v>
      </c>
      <c r="AQ55" s="58">
        <f>Financials!AP$8*$C55</f>
        <v>775</v>
      </c>
      <c r="AR55" s="58">
        <f>Financials!AQ$8*$C55</f>
        <v>775</v>
      </c>
      <c r="AS55" s="58">
        <f>Financials!AR$8*$C55</f>
        <v>775</v>
      </c>
      <c r="AT55" s="58">
        <f>Financials!AS$8*$C55</f>
        <v>775</v>
      </c>
      <c r="AU55" s="58">
        <f>Financials!AT$8*$C55</f>
        <v>775</v>
      </c>
      <c r="AV55" s="58">
        <f>Financials!AU$8*$C55</f>
        <v>775</v>
      </c>
      <c r="AW55" s="58">
        <f>Financials!AV$8*$C55</f>
        <v>775</v>
      </c>
      <c r="AX55" s="58">
        <f>Financials!AW$8*$C55</f>
        <v>775</v>
      </c>
      <c r="AY55" s="58">
        <f>Financials!AX$8*$C55</f>
        <v>775</v>
      </c>
      <c r="AZ55" s="58">
        <f>Financials!AY$8*$C55</f>
        <v>775</v>
      </c>
      <c r="BA55" s="58">
        <f>Financials!AZ$8*$C55</f>
        <v>775</v>
      </c>
      <c r="BB55" s="58">
        <f>Financials!BA$8*$C55</f>
        <v>775</v>
      </c>
      <c r="BC55" s="58">
        <f>Financials!BB$8*$C55</f>
        <v>775</v>
      </c>
      <c r="BD55" s="58">
        <f>Financials!BC$8*$C55</f>
        <v>775</v>
      </c>
      <c r="BE55" s="58">
        <f>Financials!BD$8*$C55</f>
        <v>775</v>
      </c>
      <c r="BF55" s="58">
        <f>Financials!BE$8*$C55</f>
        <v>775</v>
      </c>
      <c r="BG55" s="58">
        <f>Financials!BF$8*$C55</f>
        <v>775</v>
      </c>
      <c r="BH55" s="58">
        <f>Financials!BG$8*$C55</f>
        <v>775</v>
      </c>
      <c r="BI55" s="58">
        <f>Financials!BH$8*$C55</f>
        <v>775</v>
      </c>
      <c r="BJ55" s="58">
        <f>Financials!BI$8*$C55</f>
        <v>775</v>
      </c>
      <c r="BK55" s="58">
        <f>Financials!BJ$8*$C55</f>
        <v>775</v>
      </c>
      <c r="BL55" s="58">
        <f>Financials!BK$8*$C55</f>
        <v>775</v>
      </c>
      <c r="BM55" s="58">
        <f>Financials!BL$8*$C55</f>
        <v>775</v>
      </c>
      <c r="BN55" s="58">
        <f>Financials!BM$8*$C55</f>
        <v>775</v>
      </c>
    </row>
    <row r="56" outlineLevel="1">
      <c r="A56" s="47"/>
      <c r="B56" s="79" t="s">
        <v>59</v>
      </c>
      <c r="C56" s="78">
        <v>0.05</v>
      </c>
      <c r="D56" s="47"/>
      <c r="E56" s="47"/>
      <c r="F56" s="58"/>
      <c r="G56" s="58">
        <f>Financials!F$8*$C56</f>
        <v>775</v>
      </c>
      <c r="H56" s="58">
        <f>Financials!G$8*$C56</f>
        <v>775</v>
      </c>
      <c r="I56" s="58">
        <f>Financials!H$8*$C56</f>
        <v>775</v>
      </c>
      <c r="J56" s="58">
        <f>Financials!I$8*$C56</f>
        <v>775</v>
      </c>
      <c r="K56" s="58">
        <f>Financials!J$8*$C56</f>
        <v>775</v>
      </c>
      <c r="L56" s="58">
        <f>Financials!K$8*$C56</f>
        <v>775</v>
      </c>
      <c r="M56" s="58">
        <f>Financials!L$8*$C56</f>
        <v>775</v>
      </c>
      <c r="N56" s="58">
        <f>Financials!M$8*$C56</f>
        <v>775</v>
      </c>
      <c r="O56" s="58">
        <f>Financials!N$8*$C56</f>
        <v>775</v>
      </c>
      <c r="P56" s="58">
        <f>Financials!O$8*$C56</f>
        <v>775</v>
      </c>
      <c r="Q56" s="58">
        <f>Financials!P$8*$C56</f>
        <v>775</v>
      </c>
      <c r="R56" s="58">
        <f>Financials!Q$8*$C56</f>
        <v>775</v>
      </c>
      <c r="S56" s="58">
        <f>Financials!R$8*$C56</f>
        <v>775</v>
      </c>
      <c r="T56" s="58">
        <f>Financials!S$8*$C56</f>
        <v>775</v>
      </c>
      <c r="U56" s="58">
        <f>Financials!T$8*$C56</f>
        <v>775</v>
      </c>
      <c r="V56" s="58">
        <f>Financials!U$8*$C56</f>
        <v>775</v>
      </c>
      <c r="W56" s="58">
        <f>Financials!V$8*$C56</f>
        <v>775</v>
      </c>
      <c r="X56" s="58">
        <f>Financials!W$8*$C56</f>
        <v>775</v>
      </c>
      <c r="Y56" s="58">
        <f>Financials!X$8*$C56</f>
        <v>775</v>
      </c>
      <c r="Z56" s="58">
        <f>Financials!Y$8*$C56</f>
        <v>775</v>
      </c>
      <c r="AA56" s="58">
        <f>Financials!Z$8*$C56</f>
        <v>775</v>
      </c>
      <c r="AB56" s="58">
        <f>Financials!AA$8*$C56</f>
        <v>775</v>
      </c>
      <c r="AC56" s="58">
        <f>Financials!AB$8*$C56</f>
        <v>775</v>
      </c>
      <c r="AD56" s="58">
        <f>Financials!AC$8*$C56</f>
        <v>775</v>
      </c>
      <c r="AE56" s="58">
        <f>Financials!AD$8*$C56</f>
        <v>775</v>
      </c>
      <c r="AF56" s="58">
        <f>Financials!AE$8*$C56</f>
        <v>775</v>
      </c>
      <c r="AG56" s="58">
        <f>Financials!AF$8*$C56</f>
        <v>775</v>
      </c>
      <c r="AH56" s="58">
        <f>Financials!AG$8*$C56</f>
        <v>775</v>
      </c>
      <c r="AI56" s="58">
        <f>Financials!AH$8*$C56</f>
        <v>775</v>
      </c>
      <c r="AJ56" s="58">
        <f>Financials!AI$8*$C56</f>
        <v>775</v>
      </c>
      <c r="AK56" s="58">
        <f>Financials!AJ$8*$C56</f>
        <v>775</v>
      </c>
      <c r="AL56" s="58">
        <f>Financials!AK$8*$C56</f>
        <v>775</v>
      </c>
      <c r="AM56" s="58">
        <f>Financials!AL$8*$C56</f>
        <v>775</v>
      </c>
      <c r="AN56" s="58">
        <f>Financials!AM$8*$C56</f>
        <v>775</v>
      </c>
      <c r="AO56" s="58">
        <f>Financials!AN$8*$C56</f>
        <v>775</v>
      </c>
      <c r="AP56" s="58">
        <f>Financials!AO$8*$C56</f>
        <v>775</v>
      </c>
      <c r="AQ56" s="58">
        <f>Financials!AP$8*$C56</f>
        <v>775</v>
      </c>
      <c r="AR56" s="58">
        <f>Financials!AQ$8*$C56</f>
        <v>775</v>
      </c>
      <c r="AS56" s="58">
        <f>Financials!AR$8*$C56</f>
        <v>775</v>
      </c>
      <c r="AT56" s="58">
        <f>Financials!AS$8*$C56</f>
        <v>775</v>
      </c>
      <c r="AU56" s="58">
        <f>Financials!AT$8*$C56</f>
        <v>775</v>
      </c>
      <c r="AV56" s="58">
        <f>Financials!AU$8*$C56</f>
        <v>775</v>
      </c>
      <c r="AW56" s="58">
        <f>Financials!AV$8*$C56</f>
        <v>775</v>
      </c>
      <c r="AX56" s="58">
        <f>Financials!AW$8*$C56</f>
        <v>775</v>
      </c>
      <c r="AY56" s="58">
        <f>Financials!AX$8*$C56</f>
        <v>775</v>
      </c>
      <c r="AZ56" s="58">
        <f>Financials!AY$8*$C56</f>
        <v>775</v>
      </c>
      <c r="BA56" s="58">
        <f>Financials!AZ$8*$C56</f>
        <v>775</v>
      </c>
      <c r="BB56" s="58">
        <f>Financials!BA$8*$C56</f>
        <v>775</v>
      </c>
      <c r="BC56" s="58">
        <f>Financials!BB$8*$C56</f>
        <v>775</v>
      </c>
      <c r="BD56" s="58">
        <f>Financials!BC$8*$C56</f>
        <v>775</v>
      </c>
      <c r="BE56" s="58">
        <f>Financials!BD$8*$C56</f>
        <v>775</v>
      </c>
      <c r="BF56" s="58">
        <f>Financials!BE$8*$C56</f>
        <v>775</v>
      </c>
      <c r="BG56" s="58">
        <f>Financials!BF$8*$C56</f>
        <v>775</v>
      </c>
      <c r="BH56" s="58">
        <f>Financials!BG$8*$C56</f>
        <v>775</v>
      </c>
      <c r="BI56" s="58">
        <f>Financials!BH$8*$C56</f>
        <v>775</v>
      </c>
      <c r="BJ56" s="58">
        <f>Financials!BI$8*$C56</f>
        <v>775</v>
      </c>
      <c r="BK56" s="58">
        <f>Financials!BJ$8*$C56</f>
        <v>775</v>
      </c>
      <c r="BL56" s="58">
        <f>Financials!BK$8*$C56</f>
        <v>775</v>
      </c>
      <c r="BM56" s="58">
        <f>Financials!BL$8*$C56</f>
        <v>775</v>
      </c>
      <c r="BN56" s="58">
        <f>Financials!BM$8*$C56</f>
        <v>775</v>
      </c>
    </row>
    <row r="57" outlineLevel="1">
      <c r="A57" s="47"/>
      <c r="B57" s="79" t="s">
        <v>60</v>
      </c>
      <c r="C57" s="78">
        <v>0.05</v>
      </c>
      <c r="D57" s="47"/>
      <c r="E57" s="47"/>
      <c r="F57" s="58"/>
      <c r="G57" s="58">
        <f>Financials!F$8*$C57</f>
        <v>775</v>
      </c>
      <c r="H57" s="58">
        <f>Financials!G$8*$C57</f>
        <v>775</v>
      </c>
      <c r="I57" s="58">
        <f>Financials!H$8*$C57</f>
        <v>775</v>
      </c>
      <c r="J57" s="58">
        <f>Financials!I$8*$C57</f>
        <v>775</v>
      </c>
      <c r="K57" s="58">
        <f>Financials!J$8*$C57</f>
        <v>775</v>
      </c>
      <c r="L57" s="58">
        <f>Financials!K$8*$C57</f>
        <v>775</v>
      </c>
      <c r="M57" s="58">
        <f>Financials!L$8*$C57</f>
        <v>775</v>
      </c>
      <c r="N57" s="58">
        <f>Financials!M$8*$C57</f>
        <v>775</v>
      </c>
      <c r="O57" s="58">
        <f>Financials!N$8*$C57</f>
        <v>775</v>
      </c>
      <c r="P57" s="58">
        <f>Financials!O$8*$C57</f>
        <v>775</v>
      </c>
      <c r="Q57" s="58">
        <f>Financials!P$8*$C57</f>
        <v>775</v>
      </c>
      <c r="R57" s="58">
        <f>Financials!Q$8*$C57</f>
        <v>775</v>
      </c>
      <c r="S57" s="58">
        <f>Financials!R$8*$C57</f>
        <v>775</v>
      </c>
      <c r="T57" s="58">
        <f>Financials!S$8*$C57</f>
        <v>775</v>
      </c>
      <c r="U57" s="58">
        <f>Financials!T$8*$C57</f>
        <v>775</v>
      </c>
      <c r="V57" s="58">
        <f>Financials!U$8*$C57</f>
        <v>775</v>
      </c>
      <c r="W57" s="58">
        <f>Financials!V$8*$C57</f>
        <v>775</v>
      </c>
      <c r="X57" s="58">
        <f>Financials!W$8*$C57</f>
        <v>775</v>
      </c>
      <c r="Y57" s="58">
        <f>Financials!X$8*$C57</f>
        <v>775</v>
      </c>
      <c r="Z57" s="58">
        <f>Financials!Y$8*$C57</f>
        <v>775</v>
      </c>
      <c r="AA57" s="58">
        <f>Financials!Z$8*$C57</f>
        <v>775</v>
      </c>
      <c r="AB57" s="58">
        <f>Financials!AA$8*$C57</f>
        <v>775</v>
      </c>
      <c r="AC57" s="58">
        <f>Financials!AB$8*$C57</f>
        <v>775</v>
      </c>
      <c r="AD57" s="58">
        <f>Financials!AC$8*$C57</f>
        <v>775</v>
      </c>
      <c r="AE57" s="58">
        <f>Financials!AD$8*$C57</f>
        <v>775</v>
      </c>
      <c r="AF57" s="58">
        <f>Financials!AE$8*$C57</f>
        <v>775</v>
      </c>
      <c r="AG57" s="58">
        <f>Financials!AF$8*$C57</f>
        <v>775</v>
      </c>
      <c r="AH57" s="58">
        <f>Financials!AG$8*$C57</f>
        <v>775</v>
      </c>
      <c r="AI57" s="58">
        <f>Financials!AH$8*$C57</f>
        <v>775</v>
      </c>
      <c r="AJ57" s="58">
        <f>Financials!AI$8*$C57</f>
        <v>775</v>
      </c>
      <c r="AK57" s="58">
        <f>Financials!AJ$8*$C57</f>
        <v>775</v>
      </c>
      <c r="AL57" s="58">
        <f>Financials!AK$8*$C57</f>
        <v>775</v>
      </c>
      <c r="AM57" s="58">
        <f>Financials!AL$8*$C57</f>
        <v>775</v>
      </c>
      <c r="AN57" s="58">
        <f>Financials!AM$8*$C57</f>
        <v>775</v>
      </c>
      <c r="AO57" s="58">
        <f>Financials!AN$8*$C57</f>
        <v>775</v>
      </c>
      <c r="AP57" s="58">
        <f>Financials!AO$8*$C57</f>
        <v>775</v>
      </c>
      <c r="AQ57" s="58">
        <f>Financials!AP$8*$C57</f>
        <v>775</v>
      </c>
      <c r="AR57" s="58">
        <f>Financials!AQ$8*$C57</f>
        <v>775</v>
      </c>
      <c r="AS57" s="58">
        <f>Financials!AR$8*$C57</f>
        <v>775</v>
      </c>
      <c r="AT57" s="58">
        <f>Financials!AS$8*$C57</f>
        <v>775</v>
      </c>
      <c r="AU57" s="58">
        <f>Financials!AT$8*$C57</f>
        <v>775</v>
      </c>
      <c r="AV57" s="58">
        <f>Financials!AU$8*$C57</f>
        <v>775</v>
      </c>
      <c r="AW57" s="58">
        <f>Financials!AV$8*$C57</f>
        <v>775</v>
      </c>
      <c r="AX57" s="58">
        <f>Financials!AW$8*$C57</f>
        <v>775</v>
      </c>
      <c r="AY57" s="58">
        <f>Financials!AX$8*$C57</f>
        <v>775</v>
      </c>
      <c r="AZ57" s="58">
        <f>Financials!AY$8*$C57</f>
        <v>775</v>
      </c>
      <c r="BA57" s="58">
        <f>Financials!AZ$8*$C57</f>
        <v>775</v>
      </c>
      <c r="BB57" s="58">
        <f>Financials!BA$8*$C57</f>
        <v>775</v>
      </c>
      <c r="BC57" s="58">
        <f>Financials!BB$8*$C57</f>
        <v>775</v>
      </c>
      <c r="BD57" s="58">
        <f>Financials!BC$8*$C57</f>
        <v>775</v>
      </c>
      <c r="BE57" s="58">
        <f>Financials!BD$8*$C57</f>
        <v>775</v>
      </c>
      <c r="BF57" s="58">
        <f>Financials!BE$8*$C57</f>
        <v>775</v>
      </c>
      <c r="BG57" s="58">
        <f>Financials!BF$8*$C57</f>
        <v>775</v>
      </c>
      <c r="BH57" s="58">
        <f>Financials!BG$8*$C57</f>
        <v>775</v>
      </c>
      <c r="BI57" s="58">
        <f>Financials!BH$8*$C57</f>
        <v>775</v>
      </c>
      <c r="BJ57" s="58">
        <f>Financials!BI$8*$C57</f>
        <v>775</v>
      </c>
      <c r="BK57" s="58">
        <f>Financials!BJ$8*$C57</f>
        <v>775</v>
      </c>
      <c r="BL57" s="58">
        <f>Financials!BK$8*$C57</f>
        <v>775</v>
      </c>
      <c r="BM57" s="58">
        <f>Financials!BL$8*$C57</f>
        <v>775</v>
      </c>
      <c r="BN57" s="58">
        <f>Financials!BM$8*$C57</f>
        <v>775</v>
      </c>
    </row>
    <row r="58" outlineLevel="1">
      <c r="A58" s="47"/>
      <c r="B58" s="79" t="s">
        <v>61</v>
      </c>
      <c r="C58" s="78">
        <v>0.05</v>
      </c>
      <c r="D58" s="47"/>
      <c r="E58" s="47"/>
      <c r="F58" s="58"/>
      <c r="G58" s="58">
        <f>Financials!F$8*$C58</f>
        <v>775</v>
      </c>
      <c r="H58" s="58">
        <f>Financials!G$8*$C58</f>
        <v>775</v>
      </c>
      <c r="I58" s="58">
        <f>Financials!H$8*$C58</f>
        <v>775</v>
      </c>
      <c r="J58" s="58">
        <f>Financials!I$8*$C58</f>
        <v>775</v>
      </c>
      <c r="K58" s="58">
        <f>Financials!J$8*$C58</f>
        <v>775</v>
      </c>
      <c r="L58" s="58">
        <f>Financials!K$8*$C58</f>
        <v>775</v>
      </c>
      <c r="M58" s="58">
        <f>Financials!L$8*$C58</f>
        <v>775</v>
      </c>
      <c r="N58" s="58">
        <f>Financials!M$8*$C58</f>
        <v>775</v>
      </c>
      <c r="O58" s="58">
        <f>Financials!N$8*$C58</f>
        <v>775</v>
      </c>
      <c r="P58" s="58">
        <f>Financials!O$8*$C58</f>
        <v>775</v>
      </c>
      <c r="Q58" s="58">
        <f>Financials!P$8*$C58</f>
        <v>775</v>
      </c>
      <c r="R58" s="58">
        <f>Financials!Q$8*$C58</f>
        <v>775</v>
      </c>
      <c r="S58" s="58">
        <f>Financials!R$8*$C58</f>
        <v>775</v>
      </c>
      <c r="T58" s="58">
        <f>Financials!S$8*$C58</f>
        <v>775</v>
      </c>
      <c r="U58" s="58">
        <f>Financials!T$8*$C58</f>
        <v>775</v>
      </c>
      <c r="V58" s="58">
        <f>Financials!U$8*$C58</f>
        <v>775</v>
      </c>
      <c r="W58" s="58">
        <f>Financials!V$8*$C58</f>
        <v>775</v>
      </c>
      <c r="X58" s="58">
        <f>Financials!W$8*$C58</f>
        <v>775</v>
      </c>
      <c r="Y58" s="58">
        <f>Financials!X$8*$C58</f>
        <v>775</v>
      </c>
      <c r="Z58" s="58">
        <f>Financials!Y$8*$C58</f>
        <v>775</v>
      </c>
      <c r="AA58" s="58">
        <f>Financials!Z$8*$C58</f>
        <v>775</v>
      </c>
      <c r="AB58" s="58">
        <f>Financials!AA$8*$C58</f>
        <v>775</v>
      </c>
      <c r="AC58" s="58">
        <f>Financials!AB$8*$C58</f>
        <v>775</v>
      </c>
      <c r="AD58" s="58">
        <f>Financials!AC$8*$C58</f>
        <v>775</v>
      </c>
      <c r="AE58" s="58">
        <f>Financials!AD$8*$C58</f>
        <v>775</v>
      </c>
      <c r="AF58" s="58">
        <f>Financials!AE$8*$C58</f>
        <v>775</v>
      </c>
      <c r="AG58" s="58">
        <f>Financials!AF$8*$C58</f>
        <v>775</v>
      </c>
      <c r="AH58" s="58">
        <f>Financials!AG$8*$C58</f>
        <v>775</v>
      </c>
      <c r="AI58" s="58">
        <f>Financials!AH$8*$C58</f>
        <v>775</v>
      </c>
      <c r="AJ58" s="58">
        <f>Financials!AI$8*$C58</f>
        <v>775</v>
      </c>
      <c r="AK58" s="58">
        <f>Financials!AJ$8*$C58</f>
        <v>775</v>
      </c>
      <c r="AL58" s="58">
        <f>Financials!AK$8*$C58</f>
        <v>775</v>
      </c>
      <c r="AM58" s="58">
        <f>Financials!AL$8*$C58</f>
        <v>775</v>
      </c>
      <c r="AN58" s="58">
        <f>Financials!AM$8*$C58</f>
        <v>775</v>
      </c>
      <c r="AO58" s="58">
        <f>Financials!AN$8*$C58</f>
        <v>775</v>
      </c>
      <c r="AP58" s="58">
        <f>Financials!AO$8*$C58</f>
        <v>775</v>
      </c>
      <c r="AQ58" s="58">
        <f>Financials!AP$8*$C58</f>
        <v>775</v>
      </c>
      <c r="AR58" s="58">
        <f>Financials!AQ$8*$C58</f>
        <v>775</v>
      </c>
      <c r="AS58" s="58">
        <f>Financials!AR$8*$C58</f>
        <v>775</v>
      </c>
      <c r="AT58" s="58">
        <f>Financials!AS$8*$C58</f>
        <v>775</v>
      </c>
      <c r="AU58" s="58">
        <f>Financials!AT$8*$C58</f>
        <v>775</v>
      </c>
      <c r="AV58" s="58">
        <f>Financials!AU$8*$C58</f>
        <v>775</v>
      </c>
      <c r="AW58" s="58">
        <f>Financials!AV$8*$C58</f>
        <v>775</v>
      </c>
      <c r="AX58" s="58">
        <f>Financials!AW$8*$C58</f>
        <v>775</v>
      </c>
      <c r="AY58" s="58">
        <f>Financials!AX$8*$C58</f>
        <v>775</v>
      </c>
      <c r="AZ58" s="58">
        <f>Financials!AY$8*$C58</f>
        <v>775</v>
      </c>
      <c r="BA58" s="58">
        <f>Financials!AZ$8*$C58</f>
        <v>775</v>
      </c>
      <c r="BB58" s="58">
        <f>Financials!BA$8*$C58</f>
        <v>775</v>
      </c>
      <c r="BC58" s="58">
        <f>Financials!BB$8*$C58</f>
        <v>775</v>
      </c>
      <c r="BD58" s="58">
        <f>Financials!BC$8*$C58</f>
        <v>775</v>
      </c>
      <c r="BE58" s="58">
        <f>Financials!BD$8*$C58</f>
        <v>775</v>
      </c>
      <c r="BF58" s="58">
        <f>Financials!BE$8*$C58</f>
        <v>775</v>
      </c>
      <c r="BG58" s="58">
        <f>Financials!BF$8*$C58</f>
        <v>775</v>
      </c>
      <c r="BH58" s="58">
        <f>Financials!BG$8*$C58</f>
        <v>775</v>
      </c>
      <c r="BI58" s="58">
        <f>Financials!BH$8*$C58</f>
        <v>775</v>
      </c>
      <c r="BJ58" s="58">
        <f>Financials!BI$8*$C58</f>
        <v>775</v>
      </c>
      <c r="BK58" s="58">
        <f>Financials!BJ$8*$C58</f>
        <v>775</v>
      </c>
      <c r="BL58" s="58">
        <f>Financials!BK$8*$C58</f>
        <v>775</v>
      </c>
      <c r="BM58" s="58">
        <f>Financials!BL$8*$C58</f>
        <v>775</v>
      </c>
      <c r="BN58" s="58">
        <f>Financials!BM$8*$C58</f>
        <v>775</v>
      </c>
    </row>
    <row r="59" outlineLevel="1">
      <c r="A59" s="47"/>
      <c r="B59" s="80" t="s">
        <v>62</v>
      </c>
      <c r="C59" s="81">
        <v>0.05</v>
      </c>
      <c r="D59" s="82"/>
      <c r="E59" s="82"/>
      <c r="F59" s="62"/>
      <c r="G59" s="62">
        <f>Financials!F$8*$C59</f>
        <v>775</v>
      </c>
      <c r="H59" s="62">
        <f>Financials!G$8*$C59</f>
        <v>775</v>
      </c>
      <c r="I59" s="62">
        <f>Financials!H$8*$C59</f>
        <v>775</v>
      </c>
      <c r="J59" s="62">
        <f>Financials!I$8*$C59</f>
        <v>775</v>
      </c>
      <c r="K59" s="62">
        <f>Financials!J$8*$C59</f>
        <v>775</v>
      </c>
      <c r="L59" s="62">
        <f>Financials!K$8*$C59</f>
        <v>775</v>
      </c>
      <c r="M59" s="62">
        <f>Financials!L$8*$C59</f>
        <v>775</v>
      </c>
      <c r="N59" s="62">
        <f>Financials!M$8*$C59</f>
        <v>775</v>
      </c>
      <c r="O59" s="62">
        <f>Financials!N$8*$C59</f>
        <v>775</v>
      </c>
      <c r="P59" s="62">
        <f>Financials!O$8*$C59</f>
        <v>775</v>
      </c>
      <c r="Q59" s="62">
        <f>Financials!P$8*$C59</f>
        <v>775</v>
      </c>
      <c r="R59" s="62">
        <f>Financials!Q$8*$C59</f>
        <v>775</v>
      </c>
      <c r="S59" s="62">
        <f>Financials!R$8*$C59</f>
        <v>775</v>
      </c>
      <c r="T59" s="62">
        <f>Financials!S$8*$C59</f>
        <v>775</v>
      </c>
      <c r="U59" s="62">
        <f>Financials!T$8*$C59</f>
        <v>775</v>
      </c>
      <c r="V59" s="62">
        <f>Financials!U$8*$C59</f>
        <v>775</v>
      </c>
      <c r="W59" s="62">
        <f>Financials!V$8*$C59</f>
        <v>775</v>
      </c>
      <c r="X59" s="62">
        <f>Financials!W$8*$C59</f>
        <v>775</v>
      </c>
      <c r="Y59" s="62">
        <f>Financials!X$8*$C59</f>
        <v>775</v>
      </c>
      <c r="Z59" s="62">
        <f>Financials!Y$8*$C59</f>
        <v>775</v>
      </c>
      <c r="AA59" s="62">
        <f>Financials!Z$8*$C59</f>
        <v>775</v>
      </c>
      <c r="AB59" s="62">
        <f>Financials!AA$8*$C59</f>
        <v>775</v>
      </c>
      <c r="AC59" s="62">
        <f>Financials!AB$8*$C59</f>
        <v>775</v>
      </c>
      <c r="AD59" s="62">
        <f>Financials!AC$8*$C59</f>
        <v>775</v>
      </c>
      <c r="AE59" s="62">
        <f>Financials!AD$8*$C59</f>
        <v>775</v>
      </c>
      <c r="AF59" s="62">
        <f>Financials!AE$8*$C59</f>
        <v>775</v>
      </c>
      <c r="AG59" s="62">
        <f>Financials!AF$8*$C59</f>
        <v>775</v>
      </c>
      <c r="AH59" s="62">
        <f>Financials!AG$8*$C59</f>
        <v>775</v>
      </c>
      <c r="AI59" s="62">
        <f>Financials!AH$8*$C59</f>
        <v>775</v>
      </c>
      <c r="AJ59" s="62">
        <f>Financials!AI$8*$C59</f>
        <v>775</v>
      </c>
      <c r="AK59" s="62">
        <f>Financials!AJ$8*$C59</f>
        <v>775</v>
      </c>
      <c r="AL59" s="62">
        <f>Financials!AK$8*$C59</f>
        <v>775</v>
      </c>
      <c r="AM59" s="62">
        <f>Financials!AL$8*$C59</f>
        <v>775</v>
      </c>
      <c r="AN59" s="62">
        <f>Financials!AM$8*$C59</f>
        <v>775</v>
      </c>
      <c r="AO59" s="62">
        <f>Financials!AN$8*$C59</f>
        <v>775</v>
      </c>
      <c r="AP59" s="62">
        <f>Financials!AO$8*$C59</f>
        <v>775</v>
      </c>
      <c r="AQ59" s="62">
        <f>Financials!AP$8*$C59</f>
        <v>775</v>
      </c>
      <c r="AR59" s="62">
        <f>Financials!AQ$8*$C59</f>
        <v>775</v>
      </c>
      <c r="AS59" s="62">
        <f>Financials!AR$8*$C59</f>
        <v>775</v>
      </c>
      <c r="AT59" s="62">
        <f>Financials!AS$8*$C59</f>
        <v>775</v>
      </c>
      <c r="AU59" s="62">
        <f>Financials!AT$8*$C59</f>
        <v>775</v>
      </c>
      <c r="AV59" s="62">
        <f>Financials!AU$8*$C59</f>
        <v>775</v>
      </c>
      <c r="AW59" s="62">
        <f>Financials!AV$8*$C59</f>
        <v>775</v>
      </c>
      <c r="AX59" s="62">
        <f>Financials!AW$8*$C59</f>
        <v>775</v>
      </c>
      <c r="AY59" s="62">
        <f>Financials!AX$8*$C59</f>
        <v>775</v>
      </c>
      <c r="AZ59" s="62">
        <f>Financials!AY$8*$C59</f>
        <v>775</v>
      </c>
      <c r="BA59" s="62">
        <f>Financials!AZ$8*$C59</f>
        <v>775</v>
      </c>
      <c r="BB59" s="62">
        <f>Financials!BA$8*$C59</f>
        <v>775</v>
      </c>
      <c r="BC59" s="62">
        <f>Financials!BB$8*$C59</f>
        <v>775</v>
      </c>
      <c r="BD59" s="62">
        <f>Financials!BC$8*$C59</f>
        <v>775</v>
      </c>
      <c r="BE59" s="62">
        <f>Financials!BD$8*$C59</f>
        <v>775</v>
      </c>
      <c r="BF59" s="62">
        <f>Financials!BE$8*$C59</f>
        <v>775</v>
      </c>
      <c r="BG59" s="62">
        <f>Financials!BF$8*$C59</f>
        <v>775</v>
      </c>
      <c r="BH59" s="62">
        <f>Financials!BG$8*$C59</f>
        <v>775</v>
      </c>
      <c r="BI59" s="62">
        <f>Financials!BH$8*$C59</f>
        <v>775</v>
      </c>
      <c r="BJ59" s="62">
        <f>Financials!BI$8*$C59</f>
        <v>775</v>
      </c>
      <c r="BK59" s="62">
        <f>Financials!BJ$8*$C59</f>
        <v>775</v>
      </c>
      <c r="BL59" s="62">
        <f>Financials!BK$8*$C59</f>
        <v>775</v>
      </c>
      <c r="BM59" s="62">
        <f>Financials!BL$8*$C59</f>
        <v>775</v>
      </c>
      <c r="BN59" s="62">
        <f>Financials!BM$8*$C59</f>
        <v>775</v>
      </c>
    </row>
    <row r="60" outlineLevel="1">
      <c r="A60" s="83"/>
      <c r="B60" s="84" t="s">
        <v>63</v>
      </c>
      <c r="C60" s="83"/>
      <c r="D60" s="83"/>
      <c r="E60" s="83"/>
      <c r="F60" s="83"/>
      <c r="G60" s="85">
        <f t="shared" ref="G60:BN60" si="38">sum(G52:G59)</f>
        <v>5425</v>
      </c>
      <c r="H60" s="85">
        <f t="shared" si="38"/>
        <v>5425</v>
      </c>
      <c r="I60" s="85">
        <f t="shared" si="38"/>
        <v>5425</v>
      </c>
      <c r="J60" s="85">
        <f t="shared" si="38"/>
        <v>5425</v>
      </c>
      <c r="K60" s="85">
        <f t="shared" si="38"/>
        <v>5425</v>
      </c>
      <c r="L60" s="85">
        <f t="shared" si="38"/>
        <v>5425</v>
      </c>
      <c r="M60" s="85">
        <f t="shared" si="38"/>
        <v>5425</v>
      </c>
      <c r="N60" s="85">
        <f t="shared" si="38"/>
        <v>5425</v>
      </c>
      <c r="O60" s="85">
        <f t="shared" si="38"/>
        <v>5425</v>
      </c>
      <c r="P60" s="85">
        <f t="shared" si="38"/>
        <v>5425</v>
      </c>
      <c r="Q60" s="85">
        <f t="shared" si="38"/>
        <v>5425</v>
      </c>
      <c r="R60" s="85">
        <f t="shared" si="38"/>
        <v>5425</v>
      </c>
      <c r="S60" s="85">
        <f t="shared" si="38"/>
        <v>5425</v>
      </c>
      <c r="T60" s="85">
        <f t="shared" si="38"/>
        <v>5425</v>
      </c>
      <c r="U60" s="85">
        <f t="shared" si="38"/>
        <v>5425</v>
      </c>
      <c r="V60" s="85">
        <f t="shared" si="38"/>
        <v>5425</v>
      </c>
      <c r="W60" s="85">
        <f t="shared" si="38"/>
        <v>5425</v>
      </c>
      <c r="X60" s="85">
        <f t="shared" si="38"/>
        <v>5425</v>
      </c>
      <c r="Y60" s="85">
        <f t="shared" si="38"/>
        <v>5425</v>
      </c>
      <c r="Z60" s="85">
        <f t="shared" si="38"/>
        <v>5425</v>
      </c>
      <c r="AA60" s="85">
        <f t="shared" si="38"/>
        <v>5425</v>
      </c>
      <c r="AB60" s="85">
        <f t="shared" si="38"/>
        <v>5425</v>
      </c>
      <c r="AC60" s="85">
        <f t="shared" si="38"/>
        <v>5425</v>
      </c>
      <c r="AD60" s="85">
        <f t="shared" si="38"/>
        <v>5425</v>
      </c>
      <c r="AE60" s="85">
        <f t="shared" si="38"/>
        <v>5425</v>
      </c>
      <c r="AF60" s="85">
        <f t="shared" si="38"/>
        <v>5425</v>
      </c>
      <c r="AG60" s="85">
        <f t="shared" si="38"/>
        <v>5425</v>
      </c>
      <c r="AH60" s="85">
        <f t="shared" si="38"/>
        <v>5425</v>
      </c>
      <c r="AI60" s="85">
        <f t="shared" si="38"/>
        <v>5425</v>
      </c>
      <c r="AJ60" s="85">
        <f t="shared" si="38"/>
        <v>5425</v>
      </c>
      <c r="AK60" s="85">
        <f t="shared" si="38"/>
        <v>5425</v>
      </c>
      <c r="AL60" s="85">
        <f t="shared" si="38"/>
        <v>5425</v>
      </c>
      <c r="AM60" s="85">
        <f t="shared" si="38"/>
        <v>5425</v>
      </c>
      <c r="AN60" s="85">
        <f t="shared" si="38"/>
        <v>5425</v>
      </c>
      <c r="AO60" s="85">
        <f t="shared" si="38"/>
        <v>5425</v>
      </c>
      <c r="AP60" s="85">
        <f t="shared" si="38"/>
        <v>5425</v>
      </c>
      <c r="AQ60" s="85">
        <f t="shared" si="38"/>
        <v>5425</v>
      </c>
      <c r="AR60" s="85">
        <f t="shared" si="38"/>
        <v>5425</v>
      </c>
      <c r="AS60" s="85">
        <f t="shared" si="38"/>
        <v>5425</v>
      </c>
      <c r="AT60" s="85">
        <f t="shared" si="38"/>
        <v>5425</v>
      </c>
      <c r="AU60" s="85">
        <f t="shared" si="38"/>
        <v>5425</v>
      </c>
      <c r="AV60" s="85">
        <f t="shared" si="38"/>
        <v>5425</v>
      </c>
      <c r="AW60" s="85">
        <f t="shared" si="38"/>
        <v>5425</v>
      </c>
      <c r="AX60" s="85">
        <f t="shared" si="38"/>
        <v>5425</v>
      </c>
      <c r="AY60" s="85">
        <f t="shared" si="38"/>
        <v>5425</v>
      </c>
      <c r="AZ60" s="85">
        <f t="shared" si="38"/>
        <v>5425</v>
      </c>
      <c r="BA60" s="85">
        <f t="shared" si="38"/>
        <v>5425</v>
      </c>
      <c r="BB60" s="85">
        <f t="shared" si="38"/>
        <v>5425</v>
      </c>
      <c r="BC60" s="85">
        <f t="shared" si="38"/>
        <v>5425</v>
      </c>
      <c r="BD60" s="85">
        <f t="shared" si="38"/>
        <v>5425</v>
      </c>
      <c r="BE60" s="85">
        <f t="shared" si="38"/>
        <v>5425</v>
      </c>
      <c r="BF60" s="85">
        <f t="shared" si="38"/>
        <v>5425</v>
      </c>
      <c r="BG60" s="85">
        <f t="shared" si="38"/>
        <v>5425</v>
      </c>
      <c r="BH60" s="85">
        <f t="shared" si="38"/>
        <v>5425</v>
      </c>
      <c r="BI60" s="85">
        <f t="shared" si="38"/>
        <v>5425</v>
      </c>
      <c r="BJ60" s="85">
        <f t="shared" si="38"/>
        <v>5425</v>
      </c>
      <c r="BK60" s="85">
        <f t="shared" si="38"/>
        <v>5425</v>
      </c>
      <c r="BL60" s="85">
        <f t="shared" si="38"/>
        <v>5425</v>
      </c>
      <c r="BM60" s="85">
        <f t="shared" si="38"/>
        <v>5425</v>
      </c>
      <c r="BN60" s="85">
        <f t="shared" si="38"/>
        <v>5425</v>
      </c>
    </row>
    <row r="61" outlineLevel="1">
      <c r="A61" s="47"/>
      <c r="B61" s="76"/>
      <c r="C61" s="47"/>
      <c r="D61" s="47"/>
      <c r="E61" s="47"/>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row>
    <row r="62" outlineLevel="1">
      <c r="A62" s="47"/>
      <c r="B62" s="76" t="s">
        <v>64</v>
      </c>
      <c r="C62" s="76"/>
      <c r="D62" s="72"/>
      <c r="E62" s="47"/>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row>
    <row r="63" outlineLevel="1">
      <c r="A63" s="86"/>
      <c r="B63" s="73" t="s">
        <v>65</v>
      </c>
      <c r="C63" s="87">
        <v>2500.0</v>
      </c>
      <c r="D63" s="88"/>
      <c r="E63" s="86"/>
      <c r="F63" s="58"/>
      <c r="G63" s="58">
        <f t="shared" ref="G63:G70" si="40">C63</f>
        <v>2500</v>
      </c>
      <c r="H63" s="58">
        <f t="shared" ref="H63:BN63" si="39">G63</f>
        <v>2500</v>
      </c>
      <c r="I63" s="58">
        <f t="shared" si="39"/>
        <v>2500</v>
      </c>
      <c r="J63" s="58">
        <f t="shared" si="39"/>
        <v>2500</v>
      </c>
      <c r="K63" s="58">
        <f t="shared" si="39"/>
        <v>2500</v>
      </c>
      <c r="L63" s="58">
        <f t="shared" si="39"/>
        <v>2500</v>
      </c>
      <c r="M63" s="58">
        <f t="shared" si="39"/>
        <v>2500</v>
      </c>
      <c r="N63" s="58">
        <f t="shared" si="39"/>
        <v>2500</v>
      </c>
      <c r="O63" s="58">
        <f t="shared" si="39"/>
        <v>2500</v>
      </c>
      <c r="P63" s="58">
        <f t="shared" si="39"/>
        <v>2500</v>
      </c>
      <c r="Q63" s="58">
        <f t="shared" si="39"/>
        <v>2500</v>
      </c>
      <c r="R63" s="58">
        <f t="shared" si="39"/>
        <v>2500</v>
      </c>
      <c r="S63" s="58">
        <f t="shared" si="39"/>
        <v>2500</v>
      </c>
      <c r="T63" s="58">
        <f t="shared" si="39"/>
        <v>2500</v>
      </c>
      <c r="U63" s="58">
        <f t="shared" si="39"/>
        <v>2500</v>
      </c>
      <c r="V63" s="58">
        <f t="shared" si="39"/>
        <v>2500</v>
      </c>
      <c r="W63" s="58">
        <f t="shared" si="39"/>
        <v>2500</v>
      </c>
      <c r="X63" s="58">
        <f t="shared" si="39"/>
        <v>2500</v>
      </c>
      <c r="Y63" s="58">
        <f t="shared" si="39"/>
        <v>2500</v>
      </c>
      <c r="Z63" s="58">
        <f t="shared" si="39"/>
        <v>2500</v>
      </c>
      <c r="AA63" s="58">
        <f t="shared" si="39"/>
        <v>2500</v>
      </c>
      <c r="AB63" s="58">
        <f t="shared" si="39"/>
        <v>2500</v>
      </c>
      <c r="AC63" s="58">
        <f t="shared" si="39"/>
        <v>2500</v>
      </c>
      <c r="AD63" s="58">
        <f t="shared" si="39"/>
        <v>2500</v>
      </c>
      <c r="AE63" s="58">
        <f t="shared" si="39"/>
        <v>2500</v>
      </c>
      <c r="AF63" s="58">
        <f t="shared" si="39"/>
        <v>2500</v>
      </c>
      <c r="AG63" s="58">
        <f t="shared" si="39"/>
        <v>2500</v>
      </c>
      <c r="AH63" s="58">
        <f t="shared" si="39"/>
        <v>2500</v>
      </c>
      <c r="AI63" s="58">
        <f t="shared" si="39"/>
        <v>2500</v>
      </c>
      <c r="AJ63" s="58">
        <f t="shared" si="39"/>
        <v>2500</v>
      </c>
      <c r="AK63" s="58">
        <f t="shared" si="39"/>
        <v>2500</v>
      </c>
      <c r="AL63" s="58">
        <f t="shared" si="39"/>
        <v>2500</v>
      </c>
      <c r="AM63" s="58">
        <f t="shared" si="39"/>
        <v>2500</v>
      </c>
      <c r="AN63" s="58">
        <f t="shared" si="39"/>
        <v>2500</v>
      </c>
      <c r="AO63" s="58">
        <f t="shared" si="39"/>
        <v>2500</v>
      </c>
      <c r="AP63" s="58">
        <f t="shared" si="39"/>
        <v>2500</v>
      </c>
      <c r="AQ63" s="58">
        <f t="shared" si="39"/>
        <v>2500</v>
      </c>
      <c r="AR63" s="58">
        <f t="shared" si="39"/>
        <v>2500</v>
      </c>
      <c r="AS63" s="58">
        <f t="shared" si="39"/>
        <v>2500</v>
      </c>
      <c r="AT63" s="58">
        <f t="shared" si="39"/>
        <v>2500</v>
      </c>
      <c r="AU63" s="58">
        <f t="shared" si="39"/>
        <v>2500</v>
      </c>
      <c r="AV63" s="58">
        <f t="shared" si="39"/>
        <v>2500</v>
      </c>
      <c r="AW63" s="58">
        <f t="shared" si="39"/>
        <v>2500</v>
      </c>
      <c r="AX63" s="58">
        <f t="shared" si="39"/>
        <v>2500</v>
      </c>
      <c r="AY63" s="58">
        <f t="shared" si="39"/>
        <v>2500</v>
      </c>
      <c r="AZ63" s="58">
        <f t="shared" si="39"/>
        <v>2500</v>
      </c>
      <c r="BA63" s="58">
        <f t="shared" si="39"/>
        <v>2500</v>
      </c>
      <c r="BB63" s="58">
        <f t="shared" si="39"/>
        <v>2500</v>
      </c>
      <c r="BC63" s="58">
        <f t="shared" si="39"/>
        <v>2500</v>
      </c>
      <c r="BD63" s="58">
        <f t="shared" si="39"/>
        <v>2500</v>
      </c>
      <c r="BE63" s="58">
        <f t="shared" si="39"/>
        <v>2500</v>
      </c>
      <c r="BF63" s="58">
        <f t="shared" si="39"/>
        <v>2500</v>
      </c>
      <c r="BG63" s="58">
        <f t="shared" si="39"/>
        <v>2500</v>
      </c>
      <c r="BH63" s="58">
        <f t="shared" si="39"/>
        <v>2500</v>
      </c>
      <c r="BI63" s="58">
        <f t="shared" si="39"/>
        <v>2500</v>
      </c>
      <c r="BJ63" s="58">
        <f t="shared" si="39"/>
        <v>2500</v>
      </c>
      <c r="BK63" s="58">
        <f t="shared" si="39"/>
        <v>2500</v>
      </c>
      <c r="BL63" s="58">
        <f t="shared" si="39"/>
        <v>2500</v>
      </c>
      <c r="BM63" s="58">
        <f t="shared" si="39"/>
        <v>2500</v>
      </c>
      <c r="BN63" s="58">
        <f t="shared" si="39"/>
        <v>2500</v>
      </c>
    </row>
    <row r="64" outlineLevel="1">
      <c r="A64" s="86"/>
      <c r="B64" s="73" t="s">
        <v>66</v>
      </c>
      <c r="C64" s="87">
        <v>2500.0</v>
      </c>
      <c r="D64" s="88"/>
      <c r="E64" s="86"/>
      <c r="F64" s="58"/>
      <c r="G64" s="58">
        <f t="shared" si="40"/>
        <v>2500</v>
      </c>
      <c r="H64" s="58">
        <f t="shared" ref="H64:BN64" si="41">G64</f>
        <v>2500</v>
      </c>
      <c r="I64" s="58">
        <f t="shared" si="41"/>
        <v>2500</v>
      </c>
      <c r="J64" s="58">
        <f t="shared" si="41"/>
        <v>2500</v>
      </c>
      <c r="K64" s="58">
        <f t="shared" si="41"/>
        <v>2500</v>
      </c>
      <c r="L64" s="58">
        <f t="shared" si="41"/>
        <v>2500</v>
      </c>
      <c r="M64" s="58">
        <f t="shared" si="41"/>
        <v>2500</v>
      </c>
      <c r="N64" s="58">
        <f t="shared" si="41"/>
        <v>2500</v>
      </c>
      <c r="O64" s="58">
        <f t="shared" si="41"/>
        <v>2500</v>
      </c>
      <c r="P64" s="58">
        <f t="shared" si="41"/>
        <v>2500</v>
      </c>
      <c r="Q64" s="58">
        <f t="shared" si="41"/>
        <v>2500</v>
      </c>
      <c r="R64" s="58">
        <f t="shared" si="41"/>
        <v>2500</v>
      </c>
      <c r="S64" s="58">
        <f t="shared" si="41"/>
        <v>2500</v>
      </c>
      <c r="T64" s="58">
        <f t="shared" si="41"/>
        <v>2500</v>
      </c>
      <c r="U64" s="58">
        <f t="shared" si="41"/>
        <v>2500</v>
      </c>
      <c r="V64" s="58">
        <f t="shared" si="41"/>
        <v>2500</v>
      </c>
      <c r="W64" s="58">
        <f t="shared" si="41"/>
        <v>2500</v>
      </c>
      <c r="X64" s="58">
        <f t="shared" si="41"/>
        <v>2500</v>
      </c>
      <c r="Y64" s="58">
        <f t="shared" si="41"/>
        <v>2500</v>
      </c>
      <c r="Z64" s="58">
        <f t="shared" si="41"/>
        <v>2500</v>
      </c>
      <c r="AA64" s="58">
        <f t="shared" si="41"/>
        <v>2500</v>
      </c>
      <c r="AB64" s="58">
        <f t="shared" si="41"/>
        <v>2500</v>
      </c>
      <c r="AC64" s="58">
        <f t="shared" si="41"/>
        <v>2500</v>
      </c>
      <c r="AD64" s="58">
        <f t="shared" si="41"/>
        <v>2500</v>
      </c>
      <c r="AE64" s="58">
        <f t="shared" si="41"/>
        <v>2500</v>
      </c>
      <c r="AF64" s="58">
        <f t="shared" si="41"/>
        <v>2500</v>
      </c>
      <c r="AG64" s="58">
        <f t="shared" si="41"/>
        <v>2500</v>
      </c>
      <c r="AH64" s="58">
        <f t="shared" si="41"/>
        <v>2500</v>
      </c>
      <c r="AI64" s="58">
        <f t="shared" si="41"/>
        <v>2500</v>
      </c>
      <c r="AJ64" s="58">
        <f t="shared" si="41"/>
        <v>2500</v>
      </c>
      <c r="AK64" s="58">
        <f t="shared" si="41"/>
        <v>2500</v>
      </c>
      <c r="AL64" s="58">
        <f t="shared" si="41"/>
        <v>2500</v>
      </c>
      <c r="AM64" s="58">
        <f t="shared" si="41"/>
        <v>2500</v>
      </c>
      <c r="AN64" s="58">
        <f t="shared" si="41"/>
        <v>2500</v>
      </c>
      <c r="AO64" s="58">
        <f t="shared" si="41"/>
        <v>2500</v>
      </c>
      <c r="AP64" s="58">
        <f t="shared" si="41"/>
        <v>2500</v>
      </c>
      <c r="AQ64" s="58">
        <f t="shared" si="41"/>
        <v>2500</v>
      </c>
      <c r="AR64" s="58">
        <f t="shared" si="41"/>
        <v>2500</v>
      </c>
      <c r="AS64" s="58">
        <f t="shared" si="41"/>
        <v>2500</v>
      </c>
      <c r="AT64" s="58">
        <f t="shared" si="41"/>
        <v>2500</v>
      </c>
      <c r="AU64" s="58">
        <f t="shared" si="41"/>
        <v>2500</v>
      </c>
      <c r="AV64" s="58">
        <f t="shared" si="41"/>
        <v>2500</v>
      </c>
      <c r="AW64" s="58">
        <f t="shared" si="41"/>
        <v>2500</v>
      </c>
      <c r="AX64" s="58">
        <f t="shared" si="41"/>
        <v>2500</v>
      </c>
      <c r="AY64" s="58">
        <f t="shared" si="41"/>
        <v>2500</v>
      </c>
      <c r="AZ64" s="58">
        <f t="shared" si="41"/>
        <v>2500</v>
      </c>
      <c r="BA64" s="58">
        <f t="shared" si="41"/>
        <v>2500</v>
      </c>
      <c r="BB64" s="58">
        <f t="shared" si="41"/>
        <v>2500</v>
      </c>
      <c r="BC64" s="58">
        <f t="shared" si="41"/>
        <v>2500</v>
      </c>
      <c r="BD64" s="58">
        <f t="shared" si="41"/>
        <v>2500</v>
      </c>
      <c r="BE64" s="58">
        <f t="shared" si="41"/>
        <v>2500</v>
      </c>
      <c r="BF64" s="58">
        <f t="shared" si="41"/>
        <v>2500</v>
      </c>
      <c r="BG64" s="58">
        <f t="shared" si="41"/>
        <v>2500</v>
      </c>
      <c r="BH64" s="58">
        <f t="shared" si="41"/>
        <v>2500</v>
      </c>
      <c r="BI64" s="58">
        <f t="shared" si="41"/>
        <v>2500</v>
      </c>
      <c r="BJ64" s="58">
        <f t="shared" si="41"/>
        <v>2500</v>
      </c>
      <c r="BK64" s="58">
        <f t="shared" si="41"/>
        <v>2500</v>
      </c>
      <c r="BL64" s="58">
        <f t="shared" si="41"/>
        <v>2500</v>
      </c>
      <c r="BM64" s="58">
        <f t="shared" si="41"/>
        <v>2500</v>
      </c>
      <c r="BN64" s="58">
        <f t="shared" si="41"/>
        <v>2500</v>
      </c>
    </row>
    <row r="65" outlineLevel="1">
      <c r="A65" s="86"/>
      <c r="B65" s="73" t="s">
        <v>67</v>
      </c>
      <c r="C65" s="87">
        <v>2500.0</v>
      </c>
      <c r="D65" s="86"/>
      <c r="E65" s="86"/>
      <c r="F65" s="58"/>
      <c r="G65" s="58">
        <f t="shared" si="40"/>
        <v>2500</v>
      </c>
      <c r="H65" s="58">
        <f t="shared" ref="H65:BN65" si="42">G65</f>
        <v>2500</v>
      </c>
      <c r="I65" s="58">
        <f t="shared" si="42"/>
        <v>2500</v>
      </c>
      <c r="J65" s="58">
        <f t="shared" si="42"/>
        <v>2500</v>
      </c>
      <c r="K65" s="58">
        <f t="shared" si="42"/>
        <v>2500</v>
      </c>
      <c r="L65" s="58">
        <f t="shared" si="42"/>
        <v>2500</v>
      </c>
      <c r="M65" s="58">
        <f t="shared" si="42"/>
        <v>2500</v>
      </c>
      <c r="N65" s="58">
        <f t="shared" si="42"/>
        <v>2500</v>
      </c>
      <c r="O65" s="58">
        <f t="shared" si="42"/>
        <v>2500</v>
      </c>
      <c r="P65" s="58">
        <f t="shared" si="42"/>
        <v>2500</v>
      </c>
      <c r="Q65" s="58">
        <f t="shared" si="42"/>
        <v>2500</v>
      </c>
      <c r="R65" s="58">
        <f t="shared" si="42"/>
        <v>2500</v>
      </c>
      <c r="S65" s="58">
        <f t="shared" si="42"/>
        <v>2500</v>
      </c>
      <c r="T65" s="58">
        <f t="shared" si="42"/>
        <v>2500</v>
      </c>
      <c r="U65" s="58">
        <f t="shared" si="42"/>
        <v>2500</v>
      </c>
      <c r="V65" s="58">
        <f t="shared" si="42"/>
        <v>2500</v>
      </c>
      <c r="W65" s="58">
        <f t="shared" si="42"/>
        <v>2500</v>
      </c>
      <c r="X65" s="58">
        <f t="shared" si="42"/>
        <v>2500</v>
      </c>
      <c r="Y65" s="58">
        <f t="shared" si="42"/>
        <v>2500</v>
      </c>
      <c r="Z65" s="58">
        <f t="shared" si="42"/>
        <v>2500</v>
      </c>
      <c r="AA65" s="58">
        <f t="shared" si="42"/>
        <v>2500</v>
      </c>
      <c r="AB65" s="58">
        <f t="shared" si="42"/>
        <v>2500</v>
      </c>
      <c r="AC65" s="58">
        <f t="shared" si="42"/>
        <v>2500</v>
      </c>
      <c r="AD65" s="58">
        <f t="shared" si="42"/>
        <v>2500</v>
      </c>
      <c r="AE65" s="58">
        <f t="shared" si="42"/>
        <v>2500</v>
      </c>
      <c r="AF65" s="58">
        <f t="shared" si="42"/>
        <v>2500</v>
      </c>
      <c r="AG65" s="58">
        <f t="shared" si="42"/>
        <v>2500</v>
      </c>
      <c r="AH65" s="58">
        <f t="shared" si="42"/>
        <v>2500</v>
      </c>
      <c r="AI65" s="58">
        <f t="shared" si="42"/>
        <v>2500</v>
      </c>
      <c r="AJ65" s="58">
        <f t="shared" si="42"/>
        <v>2500</v>
      </c>
      <c r="AK65" s="58">
        <f t="shared" si="42"/>
        <v>2500</v>
      </c>
      <c r="AL65" s="58">
        <f t="shared" si="42"/>
        <v>2500</v>
      </c>
      <c r="AM65" s="58">
        <f t="shared" si="42"/>
        <v>2500</v>
      </c>
      <c r="AN65" s="58">
        <f t="shared" si="42"/>
        <v>2500</v>
      </c>
      <c r="AO65" s="58">
        <f t="shared" si="42"/>
        <v>2500</v>
      </c>
      <c r="AP65" s="58">
        <f t="shared" si="42"/>
        <v>2500</v>
      </c>
      <c r="AQ65" s="58">
        <f t="shared" si="42"/>
        <v>2500</v>
      </c>
      <c r="AR65" s="58">
        <f t="shared" si="42"/>
        <v>2500</v>
      </c>
      <c r="AS65" s="58">
        <f t="shared" si="42"/>
        <v>2500</v>
      </c>
      <c r="AT65" s="58">
        <f t="shared" si="42"/>
        <v>2500</v>
      </c>
      <c r="AU65" s="58">
        <f t="shared" si="42"/>
        <v>2500</v>
      </c>
      <c r="AV65" s="58">
        <f t="shared" si="42"/>
        <v>2500</v>
      </c>
      <c r="AW65" s="58">
        <f t="shared" si="42"/>
        <v>2500</v>
      </c>
      <c r="AX65" s="58">
        <f t="shared" si="42"/>
        <v>2500</v>
      </c>
      <c r="AY65" s="58">
        <f t="shared" si="42"/>
        <v>2500</v>
      </c>
      <c r="AZ65" s="58">
        <f t="shared" si="42"/>
        <v>2500</v>
      </c>
      <c r="BA65" s="58">
        <f t="shared" si="42"/>
        <v>2500</v>
      </c>
      <c r="BB65" s="58">
        <f t="shared" si="42"/>
        <v>2500</v>
      </c>
      <c r="BC65" s="58">
        <f t="shared" si="42"/>
        <v>2500</v>
      </c>
      <c r="BD65" s="58">
        <f t="shared" si="42"/>
        <v>2500</v>
      </c>
      <c r="BE65" s="58">
        <f t="shared" si="42"/>
        <v>2500</v>
      </c>
      <c r="BF65" s="58">
        <f t="shared" si="42"/>
        <v>2500</v>
      </c>
      <c r="BG65" s="58">
        <f t="shared" si="42"/>
        <v>2500</v>
      </c>
      <c r="BH65" s="58">
        <f t="shared" si="42"/>
        <v>2500</v>
      </c>
      <c r="BI65" s="58">
        <f t="shared" si="42"/>
        <v>2500</v>
      </c>
      <c r="BJ65" s="58">
        <f t="shared" si="42"/>
        <v>2500</v>
      </c>
      <c r="BK65" s="58">
        <f t="shared" si="42"/>
        <v>2500</v>
      </c>
      <c r="BL65" s="58">
        <f t="shared" si="42"/>
        <v>2500</v>
      </c>
      <c r="BM65" s="58">
        <f t="shared" si="42"/>
        <v>2500</v>
      </c>
      <c r="BN65" s="58">
        <f t="shared" si="42"/>
        <v>2500</v>
      </c>
    </row>
    <row r="66" outlineLevel="1">
      <c r="A66" s="86"/>
      <c r="B66" s="73" t="s">
        <v>68</v>
      </c>
      <c r="C66" s="87">
        <v>2500.0</v>
      </c>
      <c r="D66" s="86"/>
      <c r="E66" s="86"/>
      <c r="F66" s="58"/>
      <c r="G66" s="58">
        <f t="shared" si="40"/>
        <v>2500</v>
      </c>
      <c r="H66" s="58">
        <f t="shared" ref="H66:BN66" si="43">G66</f>
        <v>2500</v>
      </c>
      <c r="I66" s="58">
        <f t="shared" si="43"/>
        <v>2500</v>
      </c>
      <c r="J66" s="58">
        <f t="shared" si="43"/>
        <v>2500</v>
      </c>
      <c r="K66" s="58">
        <f t="shared" si="43"/>
        <v>2500</v>
      </c>
      <c r="L66" s="58">
        <f t="shared" si="43"/>
        <v>2500</v>
      </c>
      <c r="M66" s="58">
        <f t="shared" si="43"/>
        <v>2500</v>
      </c>
      <c r="N66" s="58">
        <f t="shared" si="43"/>
        <v>2500</v>
      </c>
      <c r="O66" s="58">
        <f t="shared" si="43"/>
        <v>2500</v>
      </c>
      <c r="P66" s="58">
        <f t="shared" si="43"/>
        <v>2500</v>
      </c>
      <c r="Q66" s="58">
        <f t="shared" si="43"/>
        <v>2500</v>
      </c>
      <c r="R66" s="58">
        <f t="shared" si="43"/>
        <v>2500</v>
      </c>
      <c r="S66" s="58">
        <f t="shared" si="43"/>
        <v>2500</v>
      </c>
      <c r="T66" s="58">
        <f t="shared" si="43"/>
        <v>2500</v>
      </c>
      <c r="U66" s="58">
        <f t="shared" si="43"/>
        <v>2500</v>
      </c>
      <c r="V66" s="58">
        <f t="shared" si="43"/>
        <v>2500</v>
      </c>
      <c r="W66" s="58">
        <f t="shared" si="43"/>
        <v>2500</v>
      </c>
      <c r="X66" s="58">
        <f t="shared" si="43"/>
        <v>2500</v>
      </c>
      <c r="Y66" s="58">
        <f t="shared" si="43"/>
        <v>2500</v>
      </c>
      <c r="Z66" s="58">
        <f t="shared" si="43"/>
        <v>2500</v>
      </c>
      <c r="AA66" s="58">
        <f t="shared" si="43"/>
        <v>2500</v>
      </c>
      <c r="AB66" s="58">
        <f t="shared" si="43"/>
        <v>2500</v>
      </c>
      <c r="AC66" s="58">
        <f t="shared" si="43"/>
        <v>2500</v>
      </c>
      <c r="AD66" s="58">
        <f t="shared" si="43"/>
        <v>2500</v>
      </c>
      <c r="AE66" s="58">
        <f t="shared" si="43"/>
        <v>2500</v>
      </c>
      <c r="AF66" s="58">
        <f t="shared" si="43"/>
        <v>2500</v>
      </c>
      <c r="AG66" s="58">
        <f t="shared" si="43"/>
        <v>2500</v>
      </c>
      <c r="AH66" s="58">
        <f t="shared" si="43"/>
        <v>2500</v>
      </c>
      <c r="AI66" s="58">
        <f t="shared" si="43"/>
        <v>2500</v>
      </c>
      <c r="AJ66" s="58">
        <f t="shared" si="43"/>
        <v>2500</v>
      </c>
      <c r="AK66" s="58">
        <f t="shared" si="43"/>
        <v>2500</v>
      </c>
      <c r="AL66" s="58">
        <f t="shared" si="43"/>
        <v>2500</v>
      </c>
      <c r="AM66" s="58">
        <f t="shared" si="43"/>
        <v>2500</v>
      </c>
      <c r="AN66" s="58">
        <f t="shared" si="43"/>
        <v>2500</v>
      </c>
      <c r="AO66" s="58">
        <f t="shared" si="43"/>
        <v>2500</v>
      </c>
      <c r="AP66" s="58">
        <f t="shared" si="43"/>
        <v>2500</v>
      </c>
      <c r="AQ66" s="58">
        <f t="shared" si="43"/>
        <v>2500</v>
      </c>
      <c r="AR66" s="58">
        <f t="shared" si="43"/>
        <v>2500</v>
      </c>
      <c r="AS66" s="58">
        <f t="shared" si="43"/>
        <v>2500</v>
      </c>
      <c r="AT66" s="58">
        <f t="shared" si="43"/>
        <v>2500</v>
      </c>
      <c r="AU66" s="58">
        <f t="shared" si="43"/>
        <v>2500</v>
      </c>
      <c r="AV66" s="58">
        <f t="shared" si="43"/>
        <v>2500</v>
      </c>
      <c r="AW66" s="58">
        <f t="shared" si="43"/>
        <v>2500</v>
      </c>
      <c r="AX66" s="58">
        <f t="shared" si="43"/>
        <v>2500</v>
      </c>
      <c r="AY66" s="58">
        <f t="shared" si="43"/>
        <v>2500</v>
      </c>
      <c r="AZ66" s="58">
        <f t="shared" si="43"/>
        <v>2500</v>
      </c>
      <c r="BA66" s="58">
        <f t="shared" si="43"/>
        <v>2500</v>
      </c>
      <c r="BB66" s="58">
        <f t="shared" si="43"/>
        <v>2500</v>
      </c>
      <c r="BC66" s="58">
        <f t="shared" si="43"/>
        <v>2500</v>
      </c>
      <c r="BD66" s="58">
        <f t="shared" si="43"/>
        <v>2500</v>
      </c>
      <c r="BE66" s="58">
        <f t="shared" si="43"/>
        <v>2500</v>
      </c>
      <c r="BF66" s="58">
        <f t="shared" si="43"/>
        <v>2500</v>
      </c>
      <c r="BG66" s="58">
        <f t="shared" si="43"/>
        <v>2500</v>
      </c>
      <c r="BH66" s="58">
        <f t="shared" si="43"/>
        <v>2500</v>
      </c>
      <c r="BI66" s="58">
        <f t="shared" si="43"/>
        <v>2500</v>
      </c>
      <c r="BJ66" s="58">
        <f t="shared" si="43"/>
        <v>2500</v>
      </c>
      <c r="BK66" s="58">
        <f t="shared" si="43"/>
        <v>2500</v>
      </c>
      <c r="BL66" s="58">
        <f t="shared" si="43"/>
        <v>2500</v>
      </c>
      <c r="BM66" s="58">
        <f t="shared" si="43"/>
        <v>2500</v>
      </c>
      <c r="BN66" s="58">
        <f t="shared" si="43"/>
        <v>2500</v>
      </c>
    </row>
    <row r="67" outlineLevel="1">
      <c r="A67" s="86"/>
      <c r="B67" s="73" t="s">
        <v>69</v>
      </c>
      <c r="C67" s="87">
        <v>2500.0</v>
      </c>
      <c r="D67" s="86"/>
      <c r="E67" s="86"/>
      <c r="F67" s="58"/>
      <c r="G67" s="58">
        <f t="shared" si="40"/>
        <v>2500</v>
      </c>
      <c r="H67" s="58">
        <f t="shared" ref="H67:BN67" si="44">G67</f>
        <v>2500</v>
      </c>
      <c r="I67" s="58">
        <f t="shared" si="44"/>
        <v>2500</v>
      </c>
      <c r="J67" s="58">
        <f t="shared" si="44"/>
        <v>2500</v>
      </c>
      <c r="K67" s="58">
        <f t="shared" si="44"/>
        <v>2500</v>
      </c>
      <c r="L67" s="58">
        <f t="shared" si="44"/>
        <v>2500</v>
      </c>
      <c r="M67" s="58">
        <f t="shared" si="44"/>
        <v>2500</v>
      </c>
      <c r="N67" s="58">
        <f t="shared" si="44"/>
        <v>2500</v>
      </c>
      <c r="O67" s="58">
        <f t="shared" si="44"/>
        <v>2500</v>
      </c>
      <c r="P67" s="58">
        <f t="shared" si="44"/>
        <v>2500</v>
      </c>
      <c r="Q67" s="58">
        <f t="shared" si="44"/>
        <v>2500</v>
      </c>
      <c r="R67" s="58">
        <f t="shared" si="44"/>
        <v>2500</v>
      </c>
      <c r="S67" s="58">
        <f t="shared" si="44"/>
        <v>2500</v>
      </c>
      <c r="T67" s="58">
        <f t="shared" si="44"/>
        <v>2500</v>
      </c>
      <c r="U67" s="58">
        <f t="shared" si="44"/>
        <v>2500</v>
      </c>
      <c r="V67" s="58">
        <f t="shared" si="44"/>
        <v>2500</v>
      </c>
      <c r="W67" s="58">
        <f t="shared" si="44"/>
        <v>2500</v>
      </c>
      <c r="X67" s="58">
        <f t="shared" si="44"/>
        <v>2500</v>
      </c>
      <c r="Y67" s="58">
        <f t="shared" si="44"/>
        <v>2500</v>
      </c>
      <c r="Z67" s="58">
        <f t="shared" si="44"/>
        <v>2500</v>
      </c>
      <c r="AA67" s="58">
        <f t="shared" si="44"/>
        <v>2500</v>
      </c>
      <c r="AB67" s="58">
        <f t="shared" si="44"/>
        <v>2500</v>
      </c>
      <c r="AC67" s="58">
        <f t="shared" si="44"/>
        <v>2500</v>
      </c>
      <c r="AD67" s="58">
        <f t="shared" si="44"/>
        <v>2500</v>
      </c>
      <c r="AE67" s="58">
        <f t="shared" si="44"/>
        <v>2500</v>
      </c>
      <c r="AF67" s="58">
        <f t="shared" si="44"/>
        <v>2500</v>
      </c>
      <c r="AG67" s="58">
        <f t="shared" si="44"/>
        <v>2500</v>
      </c>
      <c r="AH67" s="58">
        <f t="shared" si="44"/>
        <v>2500</v>
      </c>
      <c r="AI67" s="58">
        <f t="shared" si="44"/>
        <v>2500</v>
      </c>
      <c r="AJ67" s="58">
        <f t="shared" si="44"/>
        <v>2500</v>
      </c>
      <c r="AK67" s="58">
        <f t="shared" si="44"/>
        <v>2500</v>
      </c>
      <c r="AL67" s="58">
        <f t="shared" si="44"/>
        <v>2500</v>
      </c>
      <c r="AM67" s="58">
        <f t="shared" si="44"/>
        <v>2500</v>
      </c>
      <c r="AN67" s="58">
        <f t="shared" si="44"/>
        <v>2500</v>
      </c>
      <c r="AO67" s="58">
        <f t="shared" si="44"/>
        <v>2500</v>
      </c>
      <c r="AP67" s="58">
        <f t="shared" si="44"/>
        <v>2500</v>
      </c>
      <c r="AQ67" s="58">
        <f t="shared" si="44"/>
        <v>2500</v>
      </c>
      <c r="AR67" s="58">
        <f t="shared" si="44"/>
        <v>2500</v>
      </c>
      <c r="AS67" s="58">
        <f t="shared" si="44"/>
        <v>2500</v>
      </c>
      <c r="AT67" s="58">
        <f t="shared" si="44"/>
        <v>2500</v>
      </c>
      <c r="AU67" s="58">
        <f t="shared" si="44"/>
        <v>2500</v>
      </c>
      <c r="AV67" s="58">
        <f t="shared" si="44"/>
        <v>2500</v>
      </c>
      <c r="AW67" s="58">
        <f t="shared" si="44"/>
        <v>2500</v>
      </c>
      <c r="AX67" s="58">
        <f t="shared" si="44"/>
        <v>2500</v>
      </c>
      <c r="AY67" s="58">
        <f t="shared" si="44"/>
        <v>2500</v>
      </c>
      <c r="AZ67" s="58">
        <f t="shared" si="44"/>
        <v>2500</v>
      </c>
      <c r="BA67" s="58">
        <f t="shared" si="44"/>
        <v>2500</v>
      </c>
      <c r="BB67" s="58">
        <f t="shared" si="44"/>
        <v>2500</v>
      </c>
      <c r="BC67" s="58">
        <f t="shared" si="44"/>
        <v>2500</v>
      </c>
      <c r="BD67" s="58">
        <f t="shared" si="44"/>
        <v>2500</v>
      </c>
      <c r="BE67" s="58">
        <f t="shared" si="44"/>
        <v>2500</v>
      </c>
      <c r="BF67" s="58">
        <f t="shared" si="44"/>
        <v>2500</v>
      </c>
      <c r="BG67" s="58">
        <f t="shared" si="44"/>
        <v>2500</v>
      </c>
      <c r="BH67" s="58">
        <f t="shared" si="44"/>
        <v>2500</v>
      </c>
      <c r="BI67" s="58">
        <f t="shared" si="44"/>
        <v>2500</v>
      </c>
      <c r="BJ67" s="58">
        <f t="shared" si="44"/>
        <v>2500</v>
      </c>
      <c r="BK67" s="58">
        <f t="shared" si="44"/>
        <v>2500</v>
      </c>
      <c r="BL67" s="58">
        <f t="shared" si="44"/>
        <v>2500</v>
      </c>
      <c r="BM67" s="58">
        <f t="shared" si="44"/>
        <v>2500</v>
      </c>
      <c r="BN67" s="58">
        <f t="shared" si="44"/>
        <v>2500</v>
      </c>
    </row>
    <row r="68" outlineLevel="1">
      <c r="A68" s="86"/>
      <c r="B68" s="73" t="s">
        <v>70</v>
      </c>
      <c r="C68" s="87">
        <v>2500.0</v>
      </c>
      <c r="D68" s="86"/>
      <c r="E68" s="86"/>
      <c r="F68" s="58"/>
      <c r="G68" s="58">
        <f t="shared" si="40"/>
        <v>2500</v>
      </c>
      <c r="H68" s="58">
        <f t="shared" ref="H68:BN68" si="45">G68</f>
        <v>2500</v>
      </c>
      <c r="I68" s="58">
        <f t="shared" si="45"/>
        <v>2500</v>
      </c>
      <c r="J68" s="58">
        <f t="shared" si="45"/>
        <v>2500</v>
      </c>
      <c r="K68" s="58">
        <f t="shared" si="45"/>
        <v>2500</v>
      </c>
      <c r="L68" s="58">
        <f t="shared" si="45"/>
        <v>2500</v>
      </c>
      <c r="M68" s="58">
        <f t="shared" si="45"/>
        <v>2500</v>
      </c>
      <c r="N68" s="58">
        <f t="shared" si="45"/>
        <v>2500</v>
      </c>
      <c r="O68" s="58">
        <f t="shared" si="45"/>
        <v>2500</v>
      </c>
      <c r="P68" s="58">
        <f t="shared" si="45"/>
        <v>2500</v>
      </c>
      <c r="Q68" s="58">
        <f t="shared" si="45"/>
        <v>2500</v>
      </c>
      <c r="R68" s="58">
        <f t="shared" si="45"/>
        <v>2500</v>
      </c>
      <c r="S68" s="58">
        <f t="shared" si="45"/>
        <v>2500</v>
      </c>
      <c r="T68" s="58">
        <f t="shared" si="45"/>
        <v>2500</v>
      </c>
      <c r="U68" s="58">
        <f t="shared" si="45"/>
        <v>2500</v>
      </c>
      <c r="V68" s="58">
        <f t="shared" si="45"/>
        <v>2500</v>
      </c>
      <c r="W68" s="58">
        <f t="shared" si="45"/>
        <v>2500</v>
      </c>
      <c r="X68" s="58">
        <f t="shared" si="45"/>
        <v>2500</v>
      </c>
      <c r="Y68" s="58">
        <f t="shared" si="45"/>
        <v>2500</v>
      </c>
      <c r="Z68" s="58">
        <f t="shared" si="45"/>
        <v>2500</v>
      </c>
      <c r="AA68" s="58">
        <f t="shared" si="45"/>
        <v>2500</v>
      </c>
      <c r="AB68" s="58">
        <f t="shared" si="45"/>
        <v>2500</v>
      </c>
      <c r="AC68" s="58">
        <f t="shared" si="45"/>
        <v>2500</v>
      </c>
      <c r="AD68" s="58">
        <f t="shared" si="45"/>
        <v>2500</v>
      </c>
      <c r="AE68" s="58">
        <f t="shared" si="45"/>
        <v>2500</v>
      </c>
      <c r="AF68" s="58">
        <f t="shared" si="45"/>
        <v>2500</v>
      </c>
      <c r="AG68" s="58">
        <f t="shared" si="45"/>
        <v>2500</v>
      </c>
      <c r="AH68" s="58">
        <f t="shared" si="45"/>
        <v>2500</v>
      </c>
      <c r="AI68" s="58">
        <f t="shared" si="45"/>
        <v>2500</v>
      </c>
      <c r="AJ68" s="58">
        <f t="shared" si="45"/>
        <v>2500</v>
      </c>
      <c r="AK68" s="58">
        <f t="shared" si="45"/>
        <v>2500</v>
      </c>
      <c r="AL68" s="58">
        <f t="shared" si="45"/>
        <v>2500</v>
      </c>
      <c r="AM68" s="58">
        <f t="shared" si="45"/>
        <v>2500</v>
      </c>
      <c r="AN68" s="58">
        <f t="shared" si="45"/>
        <v>2500</v>
      </c>
      <c r="AO68" s="58">
        <f t="shared" si="45"/>
        <v>2500</v>
      </c>
      <c r="AP68" s="58">
        <f t="shared" si="45"/>
        <v>2500</v>
      </c>
      <c r="AQ68" s="58">
        <f t="shared" si="45"/>
        <v>2500</v>
      </c>
      <c r="AR68" s="58">
        <f t="shared" si="45"/>
        <v>2500</v>
      </c>
      <c r="AS68" s="58">
        <f t="shared" si="45"/>
        <v>2500</v>
      </c>
      <c r="AT68" s="58">
        <f t="shared" si="45"/>
        <v>2500</v>
      </c>
      <c r="AU68" s="58">
        <f t="shared" si="45"/>
        <v>2500</v>
      </c>
      <c r="AV68" s="58">
        <f t="shared" si="45"/>
        <v>2500</v>
      </c>
      <c r="AW68" s="58">
        <f t="shared" si="45"/>
        <v>2500</v>
      </c>
      <c r="AX68" s="58">
        <f t="shared" si="45"/>
        <v>2500</v>
      </c>
      <c r="AY68" s="58">
        <f t="shared" si="45"/>
        <v>2500</v>
      </c>
      <c r="AZ68" s="58">
        <f t="shared" si="45"/>
        <v>2500</v>
      </c>
      <c r="BA68" s="58">
        <f t="shared" si="45"/>
        <v>2500</v>
      </c>
      <c r="BB68" s="58">
        <f t="shared" si="45"/>
        <v>2500</v>
      </c>
      <c r="BC68" s="58">
        <f t="shared" si="45"/>
        <v>2500</v>
      </c>
      <c r="BD68" s="58">
        <f t="shared" si="45"/>
        <v>2500</v>
      </c>
      <c r="BE68" s="58">
        <f t="shared" si="45"/>
        <v>2500</v>
      </c>
      <c r="BF68" s="58">
        <f t="shared" si="45"/>
        <v>2500</v>
      </c>
      <c r="BG68" s="58">
        <f t="shared" si="45"/>
        <v>2500</v>
      </c>
      <c r="BH68" s="58">
        <f t="shared" si="45"/>
        <v>2500</v>
      </c>
      <c r="BI68" s="58">
        <f t="shared" si="45"/>
        <v>2500</v>
      </c>
      <c r="BJ68" s="58">
        <f t="shared" si="45"/>
        <v>2500</v>
      </c>
      <c r="BK68" s="58">
        <f t="shared" si="45"/>
        <v>2500</v>
      </c>
      <c r="BL68" s="58">
        <f t="shared" si="45"/>
        <v>2500</v>
      </c>
      <c r="BM68" s="58">
        <f t="shared" si="45"/>
        <v>2500</v>
      </c>
      <c r="BN68" s="58">
        <f t="shared" si="45"/>
        <v>2500</v>
      </c>
    </row>
    <row r="69" outlineLevel="1">
      <c r="A69" s="86"/>
      <c r="B69" s="73" t="s">
        <v>71</v>
      </c>
      <c r="C69" s="87">
        <v>2500.0</v>
      </c>
      <c r="D69" s="86"/>
      <c r="E69" s="86"/>
      <c r="F69" s="58"/>
      <c r="G69" s="58">
        <f t="shared" si="40"/>
        <v>2500</v>
      </c>
      <c r="H69" s="58">
        <f t="shared" ref="H69:BN69" si="46">G69</f>
        <v>2500</v>
      </c>
      <c r="I69" s="58">
        <f t="shared" si="46"/>
        <v>2500</v>
      </c>
      <c r="J69" s="58">
        <f t="shared" si="46"/>
        <v>2500</v>
      </c>
      <c r="K69" s="58">
        <f t="shared" si="46"/>
        <v>2500</v>
      </c>
      <c r="L69" s="58">
        <f t="shared" si="46"/>
        <v>2500</v>
      </c>
      <c r="M69" s="58">
        <f t="shared" si="46"/>
        <v>2500</v>
      </c>
      <c r="N69" s="58">
        <f t="shared" si="46"/>
        <v>2500</v>
      </c>
      <c r="O69" s="58">
        <f t="shared" si="46"/>
        <v>2500</v>
      </c>
      <c r="P69" s="58">
        <f t="shared" si="46"/>
        <v>2500</v>
      </c>
      <c r="Q69" s="58">
        <f t="shared" si="46"/>
        <v>2500</v>
      </c>
      <c r="R69" s="58">
        <f t="shared" si="46"/>
        <v>2500</v>
      </c>
      <c r="S69" s="58">
        <f t="shared" si="46"/>
        <v>2500</v>
      </c>
      <c r="T69" s="58">
        <f t="shared" si="46"/>
        <v>2500</v>
      </c>
      <c r="U69" s="58">
        <f t="shared" si="46"/>
        <v>2500</v>
      </c>
      <c r="V69" s="58">
        <f t="shared" si="46"/>
        <v>2500</v>
      </c>
      <c r="W69" s="58">
        <f t="shared" si="46"/>
        <v>2500</v>
      </c>
      <c r="X69" s="58">
        <f t="shared" si="46"/>
        <v>2500</v>
      </c>
      <c r="Y69" s="58">
        <f t="shared" si="46"/>
        <v>2500</v>
      </c>
      <c r="Z69" s="58">
        <f t="shared" si="46"/>
        <v>2500</v>
      </c>
      <c r="AA69" s="58">
        <f t="shared" si="46"/>
        <v>2500</v>
      </c>
      <c r="AB69" s="58">
        <f t="shared" si="46"/>
        <v>2500</v>
      </c>
      <c r="AC69" s="58">
        <f t="shared" si="46"/>
        <v>2500</v>
      </c>
      <c r="AD69" s="58">
        <f t="shared" si="46"/>
        <v>2500</v>
      </c>
      <c r="AE69" s="58">
        <f t="shared" si="46"/>
        <v>2500</v>
      </c>
      <c r="AF69" s="58">
        <f t="shared" si="46"/>
        <v>2500</v>
      </c>
      <c r="AG69" s="58">
        <f t="shared" si="46"/>
        <v>2500</v>
      </c>
      <c r="AH69" s="58">
        <f t="shared" si="46"/>
        <v>2500</v>
      </c>
      <c r="AI69" s="58">
        <f t="shared" si="46"/>
        <v>2500</v>
      </c>
      <c r="AJ69" s="58">
        <f t="shared" si="46"/>
        <v>2500</v>
      </c>
      <c r="AK69" s="58">
        <f t="shared" si="46"/>
        <v>2500</v>
      </c>
      <c r="AL69" s="58">
        <f t="shared" si="46"/>
        <v>2500</v>
      </c>
      <c r="AM69" s="58">
        <f t="shared" si="46"/>
        <v>2500</v>
      </c>
      <c r="AN69" s="58">
        <f t="shared" si="46"/>
        <v>2500</v>
      </c>
      <c r="AO69" s="58">
        <f t="shared" si="46"/>
        <v>2500</v>
      </c>
      <c r="AP69" s="58">
        <f t="shared" si="46"/>
        <v>2500</v>
      </c>
      <c r="AQ69" s="58">
        <f t="shared" si="46"/>
        <v>2500</v>
      </c>
      <c r="AR69" s="58">
        <f t="shared" si="46"/>
        <v>2500</v>
      </c>
      <c r="AS69" s="58">
        <f t="shared" si="46"/>
        <v>2500</v>
      </c>
      <c r="AT69" s="58">
        <f t="shared" si="46"/>
        <v>2500</v>
      </c>
      <c r="AU69" s="58">
        <f t="shared" si="46"/>
        <v>2500</v>
      </c>
      <c r="AV69" s="58">
        <f t="shared" si="46"/>
        <v>2500</v>
      </c>
      <c r="AW69" s="58">
        <f t="shared" si="46"/>
        <v>2500</v>
      </c>
      <c r="AX69" s="58">
        <f t="shared" si="46"/>
        <v>2500</v>
      </c>
      <c r="AY69" s="58">
        <f t="shared" si="46"/>
        <v>2500</v>
      </c>
      <c r="AZ69" s="58">
        <f t="shared" si="46"/>
        <v>2500</v>
      </c>
      <c r="BA69" s="58">
        <f t="shared" si="46"/>
        <v>2500</v>
      </c>
      <c r="BB69" s="58">
        <f t="shared" si="46"/>
        <v>2500</v>
      </c>
      <c r="BC69" s="58">
        <f t="shared" si="46"/>
        <v>2500</v>
      </c>
      <c r="BD69" s="58">
        <f t="shared" si="46"/>
        <v>2500</v>
      </c>
      <c r="BE69" s="58">
        <f t="shared" si="46"/>
        <v>2500</v>
      </c>
      <c r="BF69" s="58">
        <f t="shared" si="46"/>
        <v>2500</v>
      </c>
      <c r="BG69" s="58">
        <f t="shared" si="46"/>
        <v>2500</v>
      </c>
      <c r="BH69" s="58">
        <f t="shared" si="46"/>
        <v>2500</v>
      </c>
      <c r="BI69" s="58">
        <f t="shared" si="46"/>
        <v>2500</v>
      </c>
      <c r="BJ69" s="58">
        <f t="shared" si="46"/>
        <v>2500</v>
      </c>
      <c r="BK69" s="58">
        <f t="shared" si="46"/>
        <v>2500</v>
      </c>
      <c r="BL69" s="58">
        <f t="shared" si="46"/>
        <v>2500</v>
      </c>
      <c r="BM69" s="58">
        <f t="shared" si="46"/>
        <v>2500</v>
      </c>
      <c r="BN69" s="58">
        <f t="shared" si="46"/>
        <v>2500</v>
      </c>
    </row>
    <row r="70" outlineLevel="1">
      <c r="A70" s="86"/>
      <c r="B70" s="89" t="s">
        <v>72</v>
      </c>
      <c r="C70" s="90">
        <v>2500.0</v>
      </c>
      <c r="D70" s="63"/>
      <c r="E70" s="63"/>
      <c r="F70" s="62"/>
      <c r="G70" s="62">
        <f t="shared" si="40"/>
        <v>2500</v>
      </c>
      <c r="H70" s="62">
        <f t="shared" ref="H70:BN70" si="47">G70</f>
        <v>2500</v>
      </c>
      <c r="I70" s="62">
        <f t="shared" si="47"/>
        <v>2500</v>
      </c>
      <c r="J70" s="62">
        <f t="shared" si="47"/>
        <v>2500</v>
      </c>
      <c r="K70" s="62">
        <f t="shared" si="47"/>
        <v>2500</v>
      </c>
      <c r="L70" s="62">
        <f t="shared" si="47"/>
        <v>2500</v>
      </c>
      <c r="M70" s="62">
        <f t="shared" si="47"/>
        <v>2500</v>
      </c>
      <c r="N70" s="62">
        <f t="shared" si="47"/>
        <v>2500</v>
      </c>
      <c r="O70" s="62">
        <f t="shared" si="47"/>
        <v>2500</v>
      </c>
      <c r="P70" s="62">
        <f t="shared" si="47"/>
        <v>2500</v>
      </c>
      <c r="Q70" s="62">
        <f t="shared" si="47"/>
        <v>2500</v>
      </c>
      <c r="R70" s="62">
        <f t="shared" si="47"/>
        <v>2500</v>
      </c>
      <c r="S70" s="62">
        <f t="shared" si="47"/>
        <v>2500</v>
      </c>
      <c r="T70" s="62">
        <f t="shared" si="47"/>
        <v>2500</v>
      </c>
      <c r="U70" s="62">
        <f t="shared" si="47"/>
        <v>2500</v>
      </c>
      <c r="V70" s="62">
        <f t="shared" si="47"/>
        <v>2500</v>
      </c>
      <c r="W70" s="62">
        <f t="shared" si="47"/>
        <v>2500</v>
      </c>
      <c r="X70" s="62">
        <f t="shared" si="47"/>
        <v>2500</v>
      </c>
      <c r="Y70" s="62">
        <f t="shared" si="47"/>
        <v>2500</v>
      </c>
      <c r="Z70" s="62">
        <f t="shared" si="47"/>
        <v>2500</v>
      </c>
      <c r="AA70" s="62">
        <f t="shared" si="47"/>
        <v>2500</v>
      </c>
      <c r="AB70" s="62">
        <f t="shared" si="47"/>
        <v>2500</v>
      </c>
      <c r="AC70" s="62">
        <f t="shared" si="47"/>
        <v>2500</v>
      </c>
      <c r="AD70" s="62">
        <f t="shared" si="47"/>
        <v>2500</v>
      </c>
      <c r="AE70" s="62">
        <f t="shared" si="47"/>
        <v>2500</v>
      </c>
      <c r="AF70" s="62">
        <f t="shared" si="47"/>
        <v>2500</v>
      </c>
      <c r="AG70" s="62">
        <f t="shared" si="47"/>
        <v>2500</v>
      </c>
      <c r="AH70" s="62">
        <f t="shared" si="47"/>
        <v>2500</v>
      </c>
      <c r="AI70" s="62">
        <f t="shared" si="47"/>
        <v>2500</v>
      </c>
      <c r="AJ70" s="62">
        <f t="shared" si="47"/>
        <v>2500</v>
      </c>
      <c r="AK70" s="62">
        <f t="shared" si="47"/>
        <v>2500</v>
      </c>
      <c r="AL70" s="62">
        <f t="shared" si="47"/>
        <v>2500</v>
      </c>
      <c r="AM70" s="62">
        <f t="shared" si="47"/>
        <v>2500</v>
      </c>
      <c r="AN70" s="62">
        <f t="shared" si="47"/>
        <v>2500</v>
      </c>
      <c r="AO70" s="62">
        <f t="shared" si="47"/>
        <v>2500</v>
      </c>
      <c r="AP70" s="62">
        <f t="shared" si="47"/>
        <v>2500</v>
      </c>
      <c r="AQ70" s="62">
        <f t="shared" si="47"/>
        <v>2500</v>
      </c>
      <c r="AR70" s="62">
        <f t="shared" si="47"/>
        <v>2500</v>
      </c>
      <c r="AS70" s="62">
        <f t="shared" si="47"/>
        <v>2500</v>
      </c>
      <c r="AT70" s="62">
        <f t="shared" si="47"/>
        <v>2500</v>
      </c>
      <c r="AU70" s="62">
        <f t="shared" si="47"/>
        <v>2500</v>
      </c>
      <c r="AV70" s="62">
        <f t="shared" si="47"/>
        <v>2500</v>
      </c>
      <c r="AW70" s="62">
        <f t="shared" si="47"/>
        <v>2500</v>
      </c>
      <c r="AX70" s="62">
        <f t="shared" si="47"/>
        <v>2500</v>
      </c>
      <c r="AY70" s="62">
        <f t="shared" si="47"/>
        <v>2500</v>
      </c>
      <c r="AZ70" s="62">
        <f t="shared" si="47"/>
        <v>2500</v>
      </c>
      <c r="BA70" s="62">
        <f t="shared" si="47"/>
        <v>2500</v>
      </c>
      <c r="BB70" s="62">
        <f t="shared" si="47"/>
        <v>2500</v>
      </c>
      <c r="BC70" s="62">
        <f t="shared" si="47"/>
        <v>2500</v>
      </c>
      <c r="BD70" s="62">
        <f t="shared" si="47"/>
        <v>2500</v>
      </c>
      <c r="BE70" s="62">
        <f t="shared" si="47"/>
        <v>2500</v>
      </c>
      <c r="BF70" s="62">
        <f t="shared" si="47"/>
        <v>2500</v>
      </c>
      <c r="BG70" s="62">
        <f t="shared" si="47"/>
        <v>2500</v>
      </c>
      <c r="BH70" s="62">
        <f t="shared" si="47"/>
        <v>2500</v>
      </c>
      <c r="BI70" s="62">
        <f t="shared" si="47"/>
        <v>2500</v>
      </c>
      <c r="BJ70" s="62">
        <f t="shared" si="47"/>
        <v>2500</v>
      </c>
      <c r="BK70" s="62">
        <f t="shared" si="47"/>
        <v>2500</v>
      </c>
      <c r="BL70" s="62">
        <f t="shared" si="47"/>
        <v>2500</v>
      </c>
      <c r="BM70" s="62">
        <f t="shared" si="47"/>
        <v>2500</v>
      </c>
      <c r="BN70" s="62">
        <f t="shared" si="47"/>
        <v>2500</v>
      </c>
    </row>
    <row r="71" outlineLevel="1">
      <c r="A71" s="91"/>
      <c r="B71" s="92" t="s">
        <v>63</v>
      </c>
      <c r="C71" s="91"/>
      <c r="D71" s="91"/>
      <c r="E71" s="91"/>
      <c r="F71" s="91"/>
      <c r="G71" s="93">
        <f t="shared" ref="G71:BN71" si="48">sum(G63:G70)</f>
        <v>20000</v>
      </c>
      <c r="H71" s="93">
        <f t="shared" si="48"/>
        <v>20000</v>
      </c>
      <c r="I71" s="93">
        <f t="shared" si="48"/>
        <v>20000</v>
      </c>
      <c r="J71" s="93">
        <f t="shared" si="48"/>
        <v>20000</v>
      </c>
      <c r="K71" s="93">
        <f t="shared" si="48"/>
        <v>20000</v>
      </c>
      <c r="L71" s="93">
        <f t="shared" si="48"/>
        <v>20000</v>
      </c>
      <c r="M71" s="93">
        <f t="shared" si="48"/>
        <v>20000</v>
      </c>
      <c r="N71" s="93">
        <f t="shared" si="48"/>
        <v>20000</v>
      </c>
      <c r="O71" s="93">
        <f t="shared" si="48"/>
        <v>20000</v>
      </c>
      <c r="P71" s="93">
        <f t="shared" si="48"/>
        <v>20000</v>
      </c>
      <c r="Q71" s="93">
        <f t="shared" si="48"/>
        <v>20000</v>
      </c>
      <c r="R71" s="93">
        <f t="shared" si="48"/>
        <v>20000</v>
      </c>
      <c r="S71" s="93">
        <f t="shared" si="48"/>
        <v>20000</v>
      </c>
      <c r="T71" s="93">
        <f t="shared" si="48"/>
        <v>20000</v>
      </c>
      <c r="U71" s="93">
        <f t="shared" si="48"/>
        <v>20000</v>
      </c>
      <c r="V71" s="93">
        <f t="shared" si="48"/>
        <v>20000</v>
      </c>
      <c r="W71" s="93">
        <f t="shared" si="48"/>
        <v>20000</v>
      </c>
      <c r="X71" s="93">
        <f t="shared" si="48"/>
        <v>20000</v>
      </c>
      <c r="Y71" s="93">
        <f t="shared" si="48"/>
        <v>20000</v>
      </c>
      <c r="Z71" s="93">
        <f t="shared" si="48"/>
        <v>20000</v>
      </c>
      <c r="AA71" s="93">
        <f t="shared" si="48"/>
        <v>20000</v>
      </c>
      <c r="AB71" s="93">
        <f t="shared" si="48"/>
        <v>20000</v>
      </c>
      <c r="AC71" s="93">
        <f t="shared" si="48"/>
        <v>20000</v>
      </c>
      <c r="AD71" s="93">
        <f t="shared" si="48"/>
        <v>20000</v>
      </c>
      <c r="AE71" s="93">
        <f t="shared" si="48"/>
        <v>20000</v>
      </c>
      <c r="AF71" s="93">
        <f t="shared" si="48"/>
        <v>20000</v>
      </c>
      <c r="AG71" s="93">
        <f t="shared" si="48"/>
        <v>20000</v>
      </c>
      <c r="AH71" s="93">
        <f t="shared" si="48"/>
        <v>20000</v>
      </c>
      <c r="AI71" s="93">
        <f t="shared" si="48"/>
        <v>20000</v>
      </c>
      <c r="AJ71" s="93">
        <f t="shared" si="48"/>
        <v>20000</v>
      </c>
      <c r="AK71" s="93">
        <f t="shared" si="48"/>
        <v>20000</v>
      </c>
      <c r="AL71" s="93">
        <f t="shared" si="48"/>
        <v>20000</v>
      </c>
      <c r="AM71" s="93">
        <f t="shared" si="48"/>
        <v>20000</v>
      </c>
      <c r="AN71" s="93">
        <f t="shared" si="48"/>
        <v>20000</v>
      </c>
      <c r="AO71" s="93">
        <f t="shared" si="48"/>
        <v>20000</v>
      </c>
      <c r="AP71" s="93">
        <f t="shared" si="48"/>
        <v>20000</v>
      </c>
      <c r="AQ71" s="93">
        <f t="shared" si="48"/>
        <v>20000</v>
      </c>
      <c r="AR71" s="93">
        <f t="shared" si="48"/>
        <v>20000</v>
      </c>
      <c r="AS71" s="93">
        <f t="shared" si="48"/>
        <v>20000</v>
      </c>
      <c r="AT71" s="93">
        <f t="shared" si="48"/>
        <v>20000</v>
      </c>
      <c r="AU71" s="93">
        <f t="shared" si="48"/>
        <v>20000</v>
      </c>
      <c r="AV71" s="93">
        <f t="shared" si="48"/>
        <v>20000</v>
      </c>
      <c r="AW71" s="93">
        <f t="shared" si="48"/>
        <v>20000</v>
      </c>
      <c r="AX71" s="93">
        <f t="shared" si="48"/>
        <v>20000</v>
      </c>
      <c r="AY71" s="93">
        <f t="shared" si="48"/>
        <v>20000</v>
      </c>
      <c r="AZ71" s="93">
        <f t="shared" si="48"/>
        <v>20000</v>
      </c>
      <c r="BA71" s="93">
        <f t="shared" si="48"/>
        <v>20000</v>
      </c>
      <c r="BB71" s="93">
        <f t="shared" si="48"/>
        <v>20000</v>
      </c>
      <c r="BC71" s="93">
        <f t="shared" si="48"/>
        <v>20000</v>
      </c>
      <c r="BD71" s="93">
        <f t="shared" si="48"/>
        <v>20000</v>
      </c>
      <c r="BE71" s="93">
        <f t="shared" si="48"/>
        <v>20000</v>
      </c>
      <c r="BF71" s="93">
        <f t="shared" si="48"/>
        <v>20000</v>
      </c>
      <c r="BG71" s="93">
        <f t="shared" si="48"/>
        <v>20000</v>
      </c>
      <c r="BH71" s="93">
        <f t="shared" si="48"/>
        <v>20000</v>
      </c>
      <c r="BI71" s="93">
        <f t="shared" si="48"/>
        <v>20000</v>
      </c>
      <c r="BJ71" s="93">
        <f t="shared" si="48"/>
        <v>20000</v>
      </c>
      <c r="BK71" s="93">
        <f t="shared" si="48"/>
        <v>20000</v>
      </c>
      <c r="BL71" s="93">
        <f t="shared" si="48"/>
        <v>20000</v>
      </c>
      <c r="BM71" s="93">
        <f t="shared" si="48"/>
        <v>20000</v>
      </c>
      <c r="BN71" s="93">
        <f t="shared" si="48"/>
        <v>20000</v>
      </c>
    </row>
    <row r="72" outlineLevel="1">
      <c r="A72" s="47"/>
      <c r="B72" s="47"/>
      <c r="C72" s="47"/>
      <c r="D72" s="86"/>
      <c r="E72" s="86"/>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row>
    <row r="73" outlineLevel="1">
      <c r="A73" s="47"/>
      <c r="B73" s="94" t="s">
        <v>73</v>
      </c>
      <c r="C73" s="72" t="s">
        <v>54</v>
      </c>
      <c r="D73" s="95"/>
      <c r="E73" s="86"/>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row>
    <row r="74" outlineLevel="1">
      <c r="A74" s="47"/>
      <c r="B74" s="77" t="s">
        <v>74</v>
      </c>
      <c r="C74" s="78">
        <v>0.08</v>
      </c>
      <c r="D74" s="86"/>
      <c r="E74" s="86"/>
      <c r="F74" s="58"/>
      <c r="G74" s="58">
        <f>Financials!F$8*$C74</f>
        <v>1240</v>
      </c>
      <c r="H74" s="58">
        <f>Financials!G$8*$C74</f>
        <v>1240</v>
      </c>
      <c r="I74" s="58">
        <f>Financials!H$8*$C74</f>
        <v>1240</v>
      </c>
      <c r="J74" s="58">
        <f>Financials!I$8*$C74</f>
        <v>1240</v>
      </c>
      <c r="K74" s="58">
        <f>Financials!J$8*$C74</f>
        <v>1240</v>
      </c>
      <c r="L74" s="58">
        <f>Financials!K$8*$C74</f>
        <v>1240</v>
      </c>
      <c r="M74" s="58">
        <f>Financials!L$8*$C74</f>
        <v>1240</v>
      </c>
      <c r="N74" s="58">
        <f>Financials!M$8*$C74</f>
        <v>1240</v>
      </c>
      <c r="O74" s="58">
        <f>Financials!N$8*$C74</f>
        <v>1240</v>
      </c>
      <c r="P74" s="58">
        <f>Financials!O$8*$C74</f>
        <v>1240</v>
      </c>
      <c r="Q74" s="58">
        <f>Financials!P$8*$C74</f>
        <v>1240</v>
      </c>
      <c r="R74" s="58">
        <f>Financials!Q$8*$C74</f>
        <v>1240</v>
      </c>
      <c r="S74" s="58">
        <f>Financials!R$8*$C74</f>
        <v>1240</v>
      </c>
      <c r="T74" s="58">
        <f>Financials!S$8*$C74</f>
        <v>1240</v>
      </c>
      <c r="U74" s="58">
        <f>Financials!T$8*$C74</f>
        <v>1240</v>
      </c>
      <c r="V74" s="58">
        <f>Financials!U$8*$C74</f>
        <v>1240</v>
      </c>
      <c r="W74" s="58">
        <f>Financials!V$8*$C74</f>
        <v>1240</v>
      </c>
      <c r="X74" s="58">
        <f>Financials!W$8*$C74</f>
        <v>1240</v>
      </c>
      <c r="Y74" s="58">
        <f>Financials!X$8*$C74</f>
        <v>1240</v>
      </c>
      <c r="Z74" s="58">
        <f>Financials!Y$8*$C74</f>
        <v>1240</v>
      </c>
      <c r="AA74" s="58">
        <f>Financials!Z$8*$C74</f>
        <v>1240</v>
      </c>
      <c r="AB74" s="58">
        <f>Financials!AA$8*$C74</f>
        <v>1240</v>
      </c>
      <c r="AC74" s="58">
        <f>Financials!AB$8*$C74</f>
        <v>1240</v>
      </c>
      <c r="AD74" s="58">
        <f>Financials!AC$8*$C74</f>
        <v>1240</v>
      </c>
      <c r="AE74" s="58">
        <f>Financials!AD$8*$C74</f>
        <v>1240</v>
      </c>
      <c r="AF74" s="58">
        <f>Financials!AE$8*$C74</f>
        <v>1240</v>
      </c>
      <c r="AG74" s="58">
        <f>Financials!AF$8*$C74</f>
        <v>1240</v>
      </c>
      <c r="AH74" s="58">
        <f>Financials!AG$8*$C74</f>
        <v>1240</v>
      </c>
      <c r="AI74" s="58">
        <f>Financials!AH$8*$C74</f>
        <v>1240</v>
      </c>
      <c r="AJ74" s="58">
        <f>Financials!AI$8*$C74</f>
        <v>1240</v>
      </c>
      <c r="AK74" s="58">
        <f>Financials!AJ$8*$C74</f>
        <v>1240</v>
      </c>
      <c r="AL74" s="58">
        <f>Financials!AK$8*$C74</f>
        <v>1240</v>
      </c>
      <c r="AM74" s="58">
        <f>Financials!AL$8*$C74</f>
        <v>1240</v>
      </c>
      <c r="AN74" s="58">
        <f>Financials!AM$8*$C74</f>
        <v>1240</v>
      </c>
      <c r="AO74" s="58">
        <f>Financials!AN$8*$C74</f>
        <v>1240</v>
      </c>
      <c r="AP74" s="58">
        <f>Financials!AO$8*$C74</f>
        <v>1240</v>
      </c>
      <c r="AQ74" s="58">
        <f>Financials!AP$8*$C74</f>
        <v>1240</v>
      </c>
      <c r="AR74" s="58">
        <f>Financials!AQ$8*$C74</f>
        <v>1240</v>
      </c>
      <c r="AS74" s="58">
        <f>Financials!AR$8*$C74</f>
        <v>1240</v>
      </c>
      <c r="AT74" s="58">
        <f>Financials!AS$8*$C74</f>
        <v>1240</v>
      </c>
      <c r="AU74" s="58">
        <f>Financials!AT$8*$C74</f>
        <v>1240</v>
      </c>
      <c r="AV74" s="58">
        <f>Financials!AU$8*$C74</f>
        <v>1240</v>
      </c>
      <c r="AW74" s="58">
        <f>Financials!AV$8*$C74</f>
        <v>1240</v>
      </c>
      <c r="AX74" s="58">
        <f>Financials!AW$8*$C74</f>
        <v>1240</v>
      </c>
      <c r="AY74" s="58">
        <f>Financials!AX$8*$C74</f>
        <v>1240</v>
      </c>
      <c r="AZ74" s="58">
        <f>Financials!AY$8*$C74</f>
        <v>1240</v>
      </c>
      <c r="BA74" s="58">
        <f>Financials!AZ$8*$C74</f>
        <v>1240</v>
      </c>
      <c r="BB74" s="58">
        <f>Financials!BA$8*$C74</f>
        <v>1240</v>
      </c>
      <c r="BC74" s="58">
        <f>Financials!BB$8*$C74</f>
        <v>1240</v>
      </c>
      <c r="BD74" s="58">
        <f>Financials!BC$8*$C74</f>
        <v>1240</v>
      </c>
      <c r="BE74" s="58">
        <f>Financials!BD$8*$C74</f>
        <v>1240</v>
      </c>
      <c r="BF74" s="58">
        <f>Financials!BE$8*$C74</f>
        <v>1240</v>
      </c>
      <c r="BG74" s="58">
        <f>Financials!BF$8*$C74</f>
        <v>1240</v>
      </c>
      <c r="BH74" s="58">
        <f>Financials!BG$8*$C74</f>
        <v>1240</v>
      </c>
      <c r="BI74" s="58">
        <f>Financials!BH$8*$C74</f>
        <v>1240</v>
      </c>
      <c r="BJ74" s="58">
        <f>Financials!BI$8*$C74</f>
        <v>1240</v>
      </c>
      <c r="BK74" s="58">
        <f>Financials!BJ$8*$C74</f>
        <v>1240</v>
      </c>
      <c r="BL74" s="58">
        <f>Financials!BK$8*$C74</f>
        <v>1240</v>
      </c>
      <c r="BM74" s="58">
        <f>Financials!BL$8*$C74</f>
        <v>1240</v>
      </c>
      <c r="BN74" s="58">
        <f>Financials!BM$8*$C74</f>
        <v>1240</v>
      </c>
    </row>
    <row r="75" outlineLevel="1">
      <c r="A75" s="47"/>
      <c r="B75" s="80" t="s">
        <v>75</v>
      </c>
      <c r="C75" s="90">
        <v>10000.0</v>
      </c>
      <c r="D75" s="63"/>
      <c r="E75" s="63"/>
      <c r="F75" s="62"/>
      <c r="G75" s="62">
        <f>C75</f>
        <v>10000</v>
      </c>
      <c r="H75" s="62">
        <f t="shared" ref="H75:BN75" si="49">G75</f>
        <v>10000</v>
      </c>
      <c r="I75" s="62">
        <f t="shared" si="49"/>
        <v>10000</v>
      </c>
      <c r="J75" s="62">
        <f t="shared" si="49"/>
        <v>10000</v>
      </c>
      <c r="K75" s="62">
        <f t="shared" si="49"/>
        <v>10000</v>
      </c>
      <c r="L75" s="62">
        <f t="shared" si="49"/>
        <v>10000</v>
      </c>
      <c r="M75" s="62">
        <f t="shared" si="49"/>
        <v>10000</v>
      </c>
      <c r="N75" s="62">
        <f t="shared" si="49"/>
        <v>10000</v>
      </c>
      <c r="O75" s="62">
        <f t="shared" si="49"/>
        <v>10000</v>
      </c>
      <c r="P75" s="62">
        <f t="shared" si="49"/>
        <v>10000</v>
      </c>
      <c r="Q75" s="62">
        <f t="shared" si="49"/>
        <v>10000</v>
      </c>
      <c r="R75" s="62">
        <f t="shared" si="49"/>
        <v>10000</v>
      </c>
      <c r="S75" s="62">
        <f t="shared" si="49"/>
        <v>10000</v>
      </c>
      <c r="T75" s="62">
        <f t="shared" si="49"/>
        <v>10000</v>
      </c>
      <c r="U75" s="62">
        <f t="shared" si="49"/>
        <v>10000</v>
      </c>
      <c r="V75" s="62">
        <f t="shared" si="49"/>
        <v>10000</v>
      </c>
      <c r="W75" s="62">
        <f t="shared" si="49"/>
        <v>10000</v>
      </c>
      <c r="X75" s="62">
        <f t="shared" si="49"/>
        <v>10000</v>
      </c>
      <c r="Y75" s="62">
        <f t="shared" si="49"/>
        <v>10000</v>
      </c>
      <c r="Z75" s="62">
        <f t="shared" si="49"/>
        <v>10000</v>
      </c>
      <c r="AA75" s="62">
        <f t="shared" si="49"/>
        <v>10000</v>
      </c>
      <c r="AB75" s="62">
        <f t="shared" si="49"/>
        <v>10000</v>
      </c>
      <c r="AC75" s="62">
        <f t="shared" si="49"/>
        <v>10000</v>
      </c>
      <c r="AD75" s="62">
        <f t="shared" si="49"/>
        <v>10000</v>
      </c>
      <c r="AE75" s="62">
        <f t="shared" si="49"/>
        <v>10000</v>
      </c>
      <c r="AF75" s="62">
        <f t="shared" si="49"/>
        <v>10000</v>
      </c>
      <c r="AG75" s="62">
        <f t="shared" si="49"/>
        <v>10000</v>
      </c>
      <c r="AH75" s="62">
        <f t="shared" si="49"/>
        <v>10000</v>
      </c>
      <c r="AI75" s="62">
        <f t="shared" si="49"/>
        <v>10000</v>
      </c>
      <c r="AJ75" s="62">
        <f t="shared" si="49"/>
        <v>10000</v>
      </c>
      <c r="AK75" s="62">
        <f t="shared" si="49"/>
        <v>10000</v>
      </c>
      <c r="AL75" s="62">
        <f t="shared" si="49"/>
        <v>10000</v>
      </c>
      <c r="AM75" s="62">
        <f t="shared" si="49"/>
        <v>10000</v>
      </c>
      <c r="AN75" s="62">
        <f t="shared" si="49"/>
        <v>10000</v>
      </c>
      <c r="AO75" s="62">
        <f t="shared" si="49"/>
        <v>10000</v>
      </c>
      <c r="AP75" s="62">
        <f t="shared" si="49"/>
        <v>10000</v>
      </c>
      <c r="AQ75" s="62">
        <f t="shared" si="49"/>
        <v>10000</v>
      </c>
      <c r="AR75" s="62">
        <f t="shared" si="49"/>
        <v>10000</v>
      </c>
      <c r="AS75" s="62">
        <f t="shared" si="49"/>
        <v>10000</v>
      </c>
      <c r="AT75" s="62">
        <f t="shared" si="49"/>
        <v>10000</v>
      </c>
      <c r="AU75" s="62">
        <f t="shared" si="49"/>
        <v>10000</v>
      </c>
      <c r="AV75" s="62">
        <f t="shared" si="49"/>
        <v>10000</v>
      </c>
      <c r="AW75" s="62">
        <f t="shared" si="49"/>
        <v>10000</v>
      </c>
      <c r="AX75" s="62">
        <f t="shared" si="49"/>
        <v>10000</v>
      </c>
      <c r="AY75" s="62">
        <f t="shared" si="49"/>
        <v>10000</v>
      </c>
      <c r="AZ75" s="62">
        <f t="shared" si="49"/>
        <v>10000</v>
      </c>
      <c r="BA75" s="62">
        <f t="shared" si="49"/>
        <v>10000</v>
      </c>
      <c r="BB75" s="62">
        <f t="shared" si="49"/>
        <v>10000</v>
      </c>
      <c r="BC75" s="62">
        <f t="shared" si="49"/>
        <v>10000</v>
      </c>
      <c r="BD75" s="62">
        <f t="shared" si="49"/>
        <v>10000</v>
      </c>
      <c r="BE75" s="62">
        <f t="shared" si="49"/>
        <v>10000</v>
      </c>
      <c r="BF75" s="62">
        <f t="shared" si="49"/>
        <v>10000</v>
      </c>
      <c r="BG75" s="62">
        <f t="shared" si="49"/>
        <v>10000</v>
      </c>
      <c r="BH75" s="62">
        <f t="shared" si="49"/>
        <v>10000</v>
      </c>
      <c r="BI75" s="62">
        <f t="shared" si="49"/>
        <v>10000</v>
      </c>
      <c r="BJ75" s="62">
        <f t="shared" si="49"/>
        <v>10000</v>
      </c>
      <c r="BK75" s="62">
        <f t="shared" si="49"/>
        <v>10000</v>
      </c>
      <c r="BL75" s="62">
        <f t="shared" si="49"/>
        <v>10000</v>
      </c>
      <c r="BM75" s="62">
        <f t="shared" si="49"/>
        <v>10000</v>
      </c>
      <c r="BN75" s="62">
        <f t="shared" si="49"/>
        <v>10000</v>
      </c>
    </row>
    <row r="76" outlineLevel="1">
      <c r="A76" s="91"/>
      <c r="B76" s="96" t="s">
        <v>63</v>
      </c>
      <c r="C76" s="91"/>
      <c r="D76" s="91"/>
      <c r="E76" s="91"/>
      <c r="F76" s="91"/>
      <c r="G76" s="93">
        <f t="shared" ref="G76:BN76" si="50">sum(G74:G75)</f>
        <v>11240</v>
      </c>
      <c r="H76" s="93">
        <f t="shared" si="50"/>
        <v>11240</v>
      </c>
      <c r="I76" s="93">
        <f t="shared" si="50"/>
        <v>11240</v>
      </c>
      <c r="J76" s="93">
        <f t="shared" si="50"/>
        <v>11240</v>
      </c>
      <c r="K76" s="93">
        <f t="shared" si="50"/>
        <v>11240</v>
      </c>
      <c r="L76" s="93">
        <f t="shared" si="50"/>
        <v>11240</v>
      </c>
      <c r="M76" s="93">
        <f t="shared" si="50"/>
        <v>11240</v>
      </c>
      <c r="N76" s="93">
        <f t="shared" si="50"/>
        <v>11240</v>
      </c>
      <c r="O76" s="93">
        <f t="shared" si="50"/>
        <v>11240</v>
      </c>
      <c r="P76" s="93">
        <f t="shared" si="50"/>
        <v>11240</v>
      </c>
      <c r="Q76" s="93">
        <f t="shared" si="50"/>
        <v>11240</v>
      </c>
      <c r="R76" s="93">
        <f t="shared" si="50"/>
        <v>11240</v>
      </c>
      <c r="S76" s="93">
        <f t="shared" si="50"/>
        <v>11240</v>
      </c>
      <c r="T76" s="93">
        <f t="shared" si="50"/>
        <v>11240</v>
      </c>
      <c r="U76" s="93">
        <f t="shared" si="50"/>
        <v>11240</v>
      </c>
      <c r="V76" s="93">
        <f t="shared" si="50"/>
        <v>11240</v>
      </c>
      <c r="W76" s="93">
        <f t="shared" si="50"/>
        <v>11240</v>
      </c>
      <c r="X76" s="93">
        <f t="shared" si="50"/>
        <v>11240</v>
      </c>
      <c r="Y76" s="93">
        <f t="shared" si="50"/>
        <v>11240</v>
      </c>
      <c r="Z76" s="93">
        <f t="shared" si="50"/>
        <v>11240</v>
      </c>
      <c r="AA76" s="93">
        <f t="shared" si="50"/>
        <v>11240</v>
      </c>
      <c r="AB76" s="93">
        <f t="shared" si="50"/>
        <v>11240</v>
      </c>
      <c r="AC76" s="93">
        <f t="shared" si="50"/>
        <v>11240</v>
      </c>
      <c r="AD76" s="93">
        <f t="shared" si="50"/>
        <v>11240</v>
      </c>
      <c r="AE76" s="93">
        <f t="shared" si="50"/>
        <v>11240</v>
      </c>
      <c r="AF76" s="93">
        <f t="shared" si="50"/>
        <v>11240</v>
      </c>
      <c r="AG76" s="93">
        <f t="shared" si="50"/>
        <v>11240</v>
      </c>
      <c r="AH76" s="93">
        <f t="shared" si="50"/>
        <v>11240</v>
      </c>
      <c r="AI76" s="93">
        <f t="shared" si="50"/>
        <v>11240</v>
      </c>
      <c r="AJ76" s="93">
        <f t="shared" si="50"/>
        <v>11240</v>
      </c>
      <c r="AK76" s="93">
        <f t="shared" si="50"/>
        <v>11240</v>
      </c>
      <c r="AL76" s="93">
        <f t="shared" si="50"/>
        <v>11240</v>
      </c>
      <c r="AM76" s="93">
        <f t="shared" si="50"/>
        <v>11240</v>
      </c>
      <c r="AN76" s="93">
        <f t="shared" si="50"/>
        <v>11240</v>
      </c>
      <c r="AO76" s="93">
        <f t="shared" si="50"/>
        <v>11240</v>
      </c>
      <c r="AP76" s="93">
        <f t="shared" si="50"/>
        <v>11240</v>
      </c>
      <c r="AQ76" s="93">
        <f t="shared" si="50"/>
        <v>11240</v>
      </c>
      <c r="AR76" s="93">
        <f t="shared" si="50"/>
        <v>11240</v>
      </c>
      <c r="AS76" s="93">
        <f t="shared" si="50"/>
        <v>11240</v>
      </c>
      <c r="AT76" s="93">
        <f t="shared" si="50"/>
        <v>11240</v>
      </c>
      <c r="AU76" s="93">
        <f t="shared" si="50"/>
        <v>11240</v>
      </c>
      <c r="AV76" s="93">
        <f t="shared" si="50"/>
        <v>11240</v>
      </c>
      <c r="AW76" s="93">
        <f t="shared" si="50"/>
        <v>11240</v>
      </c>
      <c r="AX76" s="93">
        <f t="shared" si="50"/>
        <v>11240</v>
      </c>
      <c r="AY76" s="93">
        <f t="shared" si="50"/>
        <v>11240</v>
      </c>
      <c r="AZ76" s="93">
        <f t="shared" si="50"/>
        <v>11240</v>
      </c>
      <c r="BA76" s="93">
        <f t="shared" si="50"/>
        <v>11240</v>
      </c>
      <c r="BB76" s="93">
        <f t="shared" si="50"/>
        <v>11240</v>
      </c>
      <c r="BC76" s="93">
        <f t="shared" si="50"/>
        <v>11240</v>
      </c>
      <c r="BD76" s="93">
        <f t="shared" si="50"/>
        <v>11240</v>
      </c>
      <c r="BE76" s="93">
        <f t="shared" si="50"/>
        <v>11240</v>
      </c>
      <c r="BF76" s="93">
        <f t="shared" si="50"/>
        <v>11240</v>
      </c>
      <c r="BG76" s="93">
        <f t="shared" si="50"/>
        <v>11240</v>
      </c>
      <c r="BH76" s="93">
        <f t="shared" si="50"/>
        <v>11240</v>
      </c>
      <c r="BI76" s="93">
        <f t="shared" si="50"/>
        <v>11240</v>
      </c>
      <c r="BJ76" s="93">
        <f t="shared" si="50"/>
        <v>11240</v>
      </c>
      <c r="BK76" s="93">
        <f t="shared" si="50"/>
        <v>11240</v>
      </c>
      <c r="BL76" s="93">
        <f t="shared" si="50"/>
        <v>11240</v>
      </c>
      <c r="BM76" s="93">
        <f t="shared" si="50"/>
        <v>11240</v>
      </c>
      <c r="BN76" s="93">
        <f t="shared" si="50"/>
        <v>11240</v>
      </c>
    </row>
    <row r="77" outlineLevel="1">
      <c r="A77" s="47"/>
      <c r="B77" s="97"/>
      <c r="C77" s="47"/>
      <c r="D77" s="86"/>
      <c r="E77" s="86"/>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row>
    <row r="78" outlineLevel="1">
      <c r="A78" s="47"/>
      <c r="B78" s="94" t="s">
        <v>76</v>
      </c>
      <c r="C78" s="76"/>
      <c r="D78" s="95"/>
      <c r="E78" s="86"/>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row>
    <row r="79" outlineLevel="1">
      <c r="A79" s="47"/>
      <c r="B79" s="77" t="s">
        <v>77</v>
      </c>
      <c r="C79" s="87">
        <v>2000.0</v>
      </c>
      <c r="D79" s="88"/>
      <c r="E79" s="86"/>
      <c r="F79" s="58"/>
      <c r="G79" s="58">
        <f t="shared" ref="G79:G81" si="52">C79</f>
        <v>2000</v>
      </c>
      <c r="H79" s="58">
        <f t="shared" ref="H79:BN79" si="51">G79</f>
        <v>2000</v>
      </c>
      <c r="I79" s="58">
        <f t="shared" si="51"/>
        <v>2000</v>
      </c>
      <c r="J79" s="58">
        <f t="shared" si="51"/>
        <v>2000</v>
      </c>
      <c r="K79" s="58">
        <f t="shared" si="51"/>
        <v>2000</v>
      </c>
      <c r="L79" s="58">
        <f t="shared" si="51"/>
        <v>2000</v>
      </c>
      <c r="M79" s="58">
        <f t="shared" si="51"/>
        <v>2000</v>
      </c>
      <c r="N79" s="58">
        <f t="shared" si="51"/>
        <v>2000</v>
      </c>
      <c r="O79" s="58">
        <f t="shared" si="51"/>
        <v>2000</v>
      </c>
      <c r="P79" s="58">
        <f t="shared" si="51"/>
        <v>2000</v>
      </c>
      <c r="Q79" s="58">
        <f t="shared" si="51"/>
        <v>2000</v>
      </c>
      <c r="R79" s="58">
        <f t="shared" si="51"/>
        <v>2000</v>
      </c>
      <c r="S79" s="58">
        <f t="shared" si="51"/>
        <v>2000</v>
      </c>
      <c r="T79" s="58">
        <f t="shared" si="51"/>
        <v>2000</v>
      </c>
      <c r="U79" s="58">
        <f t="shared" si="51"/>
        <v>2000</v>
      </c>
      <c r="V79" s="58">
        <f t="shared" si="51"/>
        <v>2000</v>
      </c>
      <c r="W79" s="58">
        <f t="shared" si="51"/>
        <v>2000</v>
      </c>
      <c r="X79" s="58">
        <f t="shared" si="51"/>
        <v>2000</v>
      </c>
      <c r="Y79" s="58">
        <f t="shared" si="51"/>
        <v>2000</v>
      </c>
      <c r="Z79" s="58">
        <f t="shared" si="51"/>
        <v>2000</v>
      </c>
      <c r="AA79" s="58">
        <f t="shared" si="51"/>
        <v>2000</v>
      </c>
      <c r="AB79" s="58">
        <f t="shared" si="51"/>
        <v>2000</v>
      </c>
      <c r="AC79" s="58">
        <f t="shared" si="51"/>
        <v>2000</v>
      </c>
      <c r="AD79" s="58">
        <f t="shared" si="51"/>
        <v>2000</v>
      </c>
      <c r="AE79" s="58">
        <f t="shared" si="51"/>
        <v>2000</v>
      </c>
      <c r="AF79" s="58">
        <f t="shared" si="51"/>
        <v>2000</v>
      </c>
      <c r="AG79" s="58">
        <f t="shared" si="51"/>
        <v>2000</v>
      </c>
      <c r="AH79" s="58">
        <f t="shared" si="51"/>
        <v>2000</v>
      </c>
      <c r="AI79" s="58">
        <f t="shared" si="51"/>
        <v>2000</v>
      </c>
      <c r="AJ79" s="58">
        <f t="shared" si="51"/>
        <v>2000</v>
      </c>
      <c r="AK79" s="58">
        <f t="shared" si="51"/>
        <v>2000</v>
      </c>
      <c r="AL79" s="58">
        <f t="shared" si="51"/>
        <v>2000</v>
      </c>
      <c r="AM79" s="58">
        <f t="shared" si="51"/>
        <v>2000</v>
      </c>
      <c r="AN79" s="58">
        <f t="shared" si="51"/>
        <v>2000</v>
      </c>
      <c r="AO79" s="58">
        <f t="shared" si="51"/>
        <v>2000</v>
      </c>
      <c r="AP79" s="58">
        <f t="shared" si="51"/>
        <v>2000</v>
      </c>
      <c r="AQ79" s="58">
        <f t="shared" si="51"/>
        <v>2000</v>
      </c>
      <c r="AR79" s="58">
        <f t="shared" si="51"/>
        <v>2000</v>
      </c>
      <c r="AS79" s="58">
        <f t="shared" si="51"/>
        <v>2000</v>
      </c>
      <c r="AT79" s="58">
        <f t="shared" si="51"/>
        <v>2000</v>
      </c>
      <c r="AU79" s="58">
        <f t="shared" si="51"/>
        <v>2000</v>
      </c>
      <c r="AV79" s="58">
        <f t="shared" si="51"/>
        <v>2000</v>
      </c>
      <c r="AW79" s="58">
        <f t="shared" si="51"/>
        <v>2000</v>
      </c>
      <c r="AX79" s="58">
        <f t="shared" si="51"/>
        <v>2000</v>
      </c>
      <c r="AY79" s="58">
        <f t="shared" si="51"/>
        <v>2000</v>
      </c>
      <c r="AZ79" s="58">
        <f t="shared" si="51"/>
        <v>2000</v>
      </c>
      <c r="BA79" s="58">
        <f t="shared" si="51"/>
        <v>2000</v>
      </c>
      <c r="BB79" s="58">
        <f t="shared" si="51"/>
        <v>2000</v>
      </c>
      <c r="BC79" s="58">
        <f t="shared" si="51"/>
        <v>2000</v>
      </c>
      <c r="BD79" s="58">
        <f t="shared" si="51"/>
        <v>2000</v>
      </c>
      <c r="BE79" s="58">
        <f t="shared" si="51"/>
        <v>2000</v>
      </c>
      <c r="BF79" s="58">
        <f t="shared" si="51"/>
        <v>2000</v>
      </c>
      <c r="BG79" s="58">
        <f t="shared" si="51"/>
        <v>2000</v>
      </c>
      <c r="BH79" s="58">
        <f t="shared" si="51"/>
        <v>2000</v>
      </c>
      <c r="BI79" s="58">
        <f t="shared" si="51"/>
        <v>2000</v>
      </c>
      <c r="BJ79" s="58">
        <f t="shared" si="51"/>
        <v>2000</v>
      </c>
      <c r="BK79" s="58">
        <f t="shared" si="51"/>
        <v>2000</v>
      </c>
      <c r="BL79" s="58">
        <f t="shared" si="51"/>
        <v>2000</v>
      </c>
      <c r="BM79" s="58">
        <f t="shared" si="51"/>
        <v>2000</v>
      </c>
      <c r="BN79" s="58">
        <f t="shared" si="51"/>
        <v>2000</v>
      </c>
    </row>
    <row r="80" outlineLevel="1">
      <c r="A80" s="47"/>
      <c r="B80" s="77" t="s">
        <v>78</v>
      </c>
      <c r="C80" s="87">
        <v>1000.0</v>
      </c>
      <c r="D80" s="88"/>
      <c r="E80" s="86"/>
      <c r="F80" s="58"/>
      <c r="G80" s="58">
        <f t="shared" si="52"/>
        <v>1000</v>
      </c>
      <c r="H80" s="58">
        <f t="shared" ref="H80:BN80" si="53">G80</f>
        <v>1000</v>
      </c>
      <c r="I80" s="58">
        <f t="shared" si="53"/>
        <v>1000</v>
      </c>
      <c r="J80" s="58">
        <f t="shared" si="53"/>
        <v>1000</v>
      </c>
      <c r="K80" s="58">
        <f t="shared" si="53"/>
        <v>1000</v>
      </c>
      <c r="L80" s="58">
        <f t="shared" si="53"/>
        <v>1000</v>
      </c>
      <c r="M80" s="58">
        <f t="shared" si="53"/>
        <v>1000</v>
      </c>
      <c r="N80" s="58">
        <f t="shared" si="53"/>
        <v>1000</v>
      </c>
      <c r="O80" s="58">
        <f t="shared" si="53"/>
        <v>1000</v>
      </c>
      <c r="P80" s="58">
        <f t="shared" si="53"/>
        <v>1000</v>
      </c>
      <c r="Q80" s="58">
        <f t="shared" si="53"/>
        <v>1000</v>
      </c>
      <c r="R80" s="58">
        <f t="shared" si="53"/>
        <v>1000</v>
      </c>
      <c r="S80" s="58">
        <f t="shared" si="53"/>
        <v>1000</v>
      </c>
      <c r="T80" s="58">
        <f t="shared" si="53"/>
        <v>1000</v>
      </c>
      <c r="U80" s="58">
        <f t="shared" si="53"/>
        <v>1000</v>
      </c>
      <c r="V80" s="58">
        <f t="shared" si="53"/>
        <v>1000</v>
      </c>
      <c r="W80" s="58">
        <f t="shared" si="53"/>
        <v>1000</v>
      </c>
      <c r="X80" s="58">
        <f t="shared" si="53"/>
        <v>1000</v>
      </c>
      <c r="Y80" s="58">
        <f t="shared" si="53"/>
        <v>1000</v>
      </c>
      <c r="Z80" s="58">
        <f t="shared" si="53"/>
        <v>1000</v>
      </c>
      <c r="AA80" s="58">
        <f t="shared" si="53"/>
        <v>1000</v>
      </c>
      <c r="AB80" s="58">
        <f t="shared" si="53"/>
        <v>1000</v>
      </c>
      <c r="AC80" s="58">
        <f t="shared" si="53"/>
        <v>1000</v>
      </c>
      <c r="AD80" s="58">
        <f t="shared" si="53"/>
        <v>1000</v>
      </c>
      <c r="AE80" s="58">
        <f t="shared" si="53"/>
        <v>1000</v>
      </c>
      <c r="AF80" s="58">
        <f t="shared" si="53"/>
        <v>1000</v>
      </c>
      <c r="AG80" s="58">
        <f t="shared" si="53"/>
        <v>1000</v>
      </c>
      <c r="AH80" s="58">
        <f t="shared" si="53"/>
        <v>1000</v>
      </c>
      <c r="AI80" s="58">
        <f t="shared" si="53"/>
        <v>1000</v>
      </c>
      <c r="AJ80" s="58">
        <f t="shared" si="53"/>
        <v>1000</v>
      </c>
      <c r="AK80" s="58">
        <f t="shared" si="53"/>
        <v>1000</v>
      </c>
      <c r="AL80" s="58">
        <f t="shared" si="53"/>
        <v>1000</v>
      </c>
      <c r="AM80" s="58">
        <f t="shared" si="53"/>
        <v>1000</v>
      </c>
      <c r="AN80" s="58">
        <f t="shared" si="53"/>
        <v>1000</v>
      </c>
      <c r="AO80" s="58">
        <f t="shared" si="53"/>
        <v>1000</v>
      </c>
      <c r="AP80" s="58">
        <f t="shared" si="53"/>
        <v>1000</v>
      </c>
      <c r="AQ80" s="58">
        <f t="shared" si="53"/>
        <v>1000</v>
      </c>
      <c r="AR80" s="58">
        <f t="shared" si="53"/>
        <v>1000</v>
      </c>
      <c r="AS80" s="58">
        <f t="shared" si="53"/>
        <v>1000</v>
      </c>
      <c r="AT80" s="58">
        <f t="shared" si="53"/>
        <v>1000</v>
      </c>
      <c r="AU80" s="58">
        <f t="shared" si="53"/>
        <v>1000</v>
      </c>
      <c r="AV80" s="58">
        <f t="shared" si="53"/>
        <v>1000</v>
      </c>
      <c r="AW80" s="58">
        <f t="shared" si="53"/>
        <v>1000</v>
      </c>
      <c r="AX80" s="58">
        <f t="shared" si="53"/>
        <v>1000</v>
      </c>
      <c r="AY80" s="58">
        <f t="shared" si="53"/>
        <v>1000</v>
      </c>
      <c r="AZ80" s="58">
        <f t="shared" si="53"/>
        <v>1000</v>
      </c>
      <c r="BA80" s="58">
        <f t="shared" si="53"/>
        <v>1000</v>
      </c>
      <c r="BB80" s="58">
        <f t="shared" si="53"/>
        <v>1000</v>
      </c>
      <c r="BC80" s="58">
        <f t="shared" si="53"/>
        <v>1000</v>
      </c>
      <c r="BD80" s="58">
        <f t="shared" si="53"/>
        <v>1000</v>
      </c>
      <c r="BE80" s="58">
        <f t="shared" si="53"/>
        <v>1000</v>
      </c>
      <c r="BF80" s="58">
        <f t="shared" si="53"/>
        <v>1000</v>
      </c>
      <c r="BG80" s="58">
        <f t="shared" si="53"/>
        <v>1000</v>
      </c>
      <c r="BH80" s="58">
        <f t="shared" si="53"/>
        <v>1000</v>
      </c>
      <c r="BI80" s="58">
        <f t="shared" si="53"/>
        <v>1000</v>
      </c>
      <c r="BJ80" s="58">
        <f t="shared" si="53"/>
        <v>1000</v>
      </c>
      <c r="BK80" s="58">
        <f t="shared" si="53"/>
        <v>1000</v>
      </c>
      <c r="BL80" s="58">
        <f t="shared" si="53"/>
        <v>1000</v>
      </c>
      <c r="BM80" s="58">
        <f t="shared" si="53"/>
        <v>1000</v>
      </c>
      <c r="BN80" s="58">
        <f t="shared" si="53"/>
        <v>1000</v>
      </c>
    </row>
    <row r="81" outlineLevel="1">
      <c r="A81" s="47"/>
      <c r="B81" s="80" t="s">
        <v>57</v>
      </c>
      <c r="C81" s="90">
        <v>2000.0</v>
      </c>
      <c r="D81" s="63"/>
      <c r="E81" s="63"/>
      <c r="F81" s="62"/>
      <c r="G81" s="62">
        <f t="shared" si="52"/>
        <v>2000</v>
      </c>
      <c r="H81" s="62">
        <f t="shared" ref="H81:BN81" si="54">G81</f>
        <v>2000</v>
      </c>
      <c r="I81" s="62">
        <f t="shared" si="54"/>
        <v>2000</v>
      </c>
      <c r="J81" s="62">
        <f t="shared" si="54"/>
        <v>2000</v>
      </c>
      <c r="K81" s="62">
        <f t="shared" si="54"/>
        <v>2000</v>
      </c>
      <c r="L81" s="62">
        <f t="shared" si="54"/>
        <v>2000</v>
      </c>
      <c r="M81" s="62">
        <f t="shared" si="54"/>
        <v>2000</v>
      </c>
      <c r="N81" s="62">
        <f t="shared" si="54"/>
        <v>2000</v>
      </c>
      <c r="O81" s="62">
        <f t="shared" si="54"/>
        <v>2000</v>
      </c>
      <c r="P81" s="62">
        <f t="shared" si="54"/>
        <v>2000</v>
      </c>
      <c r="Q81" s="62">
        <f t="shared" si="54"/>
        <v>2000</v>
      </c>
      <c r="R81" s="62">
        <f t="shared" si="54"/>
        <v>2000</v>
      </c>
      <c r="S81" s="62">
        <f t="shared" si="54"/>
        <v>2000</v>
      </c>
      <c r="T81" s="62">
        <f t="shared" si="54"/>
        <v>2000</v>
      </c>
      <c r="U81" s="62">
        <f t="shared" si="54"/>
        <v>2000</v>
      </c>
      <c r="V81" s="62">
        <f t="shared" si="54"/>
        <v>2000</v>
      </c>
      <c r="W81" s="62">
        <f t="shared" si="54"/>
        <v>2000</v>
      </c>
      <c r="X81" s="62">
        <f t="shared" si="54"/>
        <v>2000</v>
      </c>
      <c r="Y81" s="62">
        <f t="shared" si="54"/>
        <v>2000</v>
      </c>
      <c r="Z81" s="62">
        <f t="shared" si="54"/>
        <v>2000</v>
      </c>
      <c r="AA81" s="62">
        <f t="shared" si="54"/>
        <v>2000</v>
      </c>
      <c r="AB81" s="62">
        <f t="shared" si="54"/>
        <v>2000</v>
      </c>
      <c r="AC81" s="62">
        <f t="shared" si="54"/>
        <v>2000</v>
      </c>
      <c r="AD81" s="62">
        <f t="shared" si="54"/>
        <v>2000</v>
      </c>
      <c r="AE81" s="62">
        <f t="shared" si="54"/>
        <v>2000</v>
      </c>
      <c r="AF81" s="62">
        <f t="shared" si="54"/>
        <v>2000</v>
      </c>
      <c r="AG81" s="62">
        <f t="shared" si="54"/>
        <v>2000</v>
      </c>
      <c r="AH81" s="62">
        <f t="shared" si="54"/>
        <v>2000</v>
      </c>
      <c r="AI81" s="62">
        <f t="shared" si="54"/>
        <v>2000</v>
      </c>
      <c r="AJ81" s="62">
        <f t="shared" si="54"/>
        <v>2000</v>
      </c>
      <c r="AK81" s="62">
        <f t="shared" si="54"/>
        <v>2000</v>
      </c>
      <c r="AL81" s="62">
        <f t="shared" si="54"/>
        <v>2000</v>
      </c>
      <c r="AM81" s="62">
        <f t="shared" si="54"/>
        <v>2000</v>
      </c>
      <c r="AN81" s="62">
        <f t="shared" si="54"/>
        <v>2000</v>
      </c>
      <c r="AO81" s="62">
        <f t="shared" si="54"/>
        <v>2000</v>
      </c>
      <c r="AP81" s="62">
        <f t="shared" si="54"/>
        <v>2000</v>
      </c>
      <c r="AQ81" s="62">
        <f t="shared" si="54"/>
        <v>2000</v>
      </c>
      <c r="AR81" s="62">
        <f t="shared" si="54"/>
        <v>2000</v>
      </c>
      <c r="AS81" s="62">
        <f t="shared" si="54"/>
        <v>2000</v>
      </c>
      <c r="AT81" s="62">
        <f t="shared" si="54"/>
        <v>2000</v>
      </c>
      <c r="AU81" s="62">
        <f t="shared" si="54"/>
        <v>2000</v>
      </c>
      <c r="AV81" s="62">
        <f t="shared" si="54"/>
        <v>2000</v>
      </c>
      <c r="AW81" s="62">
        <f t="shared" si="54"/>
        <v>2000</v>
      </c>
      <c r="AX81" s="62">
        <f t="shared" si="54"/>
        <v>2000</v>
      </c>
      <c r="AY81" s="62">
        <f t="shared" si="54"/>
        <v>2000</v>
      </c>
      <c r="AZ81" s="62">
        <f t="shared" si="54"/>
        <v>2000</v>
      </c>
      <c r="BA81" s="62">
        <f t="shared" si="54"/>
        <v>2000</v>
      </c>
      <c r="BB81" s="62">
        <f t="shared" si="54"/>
        <v>2000</v>
      </c>
      <c r="BC81" s="62">
        <f t="shared" si="54"/>
        <v>2000</v>
      </c>
      <c r="BD81" s="62">
        <f t="shared" si="54"/>
        <v>2000</v>
      </c>
      <c r="BE81" s="62">
        <f t="shared" si="54"/>
        <v>2000</v>
      </c>
      <c r="BF81" s="62">
        <f t="shared" si="54"/>
        <v>2000</v>
      </c>
      <c r="BG81" s="62">
        <f t="shared" si="54"/>
        <v>2000</v>
      </c>
      <c r="BH81" s="62">
        <f t="shared" si="54"/>
        <v>2000</v>
      </c>
      <c r="BI81" s="62">
        <f t="shared" si="54"/>
        <v>2000</v>
      </c>
      <c r="BJ81" s="62">
        <f t="shared" si="54"/>
        <v>2000</v>
      </c>
      <c r="BK81" s="62">
        <f t="shared" si="54"/>
        <v>2000</v>
      </c>
      <c r="BL81" s="62">
        <f t="shared" si="54"/>
        <v>2000</v>
      </c>
      <c r="BM81" s="62">
        <f t="shared" si="54"/>
        <v>2000</v>
      </c>
      <c r="BN81" s="62">
        <f t="shared" si="54"/>
        <v>2000</v>
      </c>
    </row>
    <row r="82" outlineLevel="1">
      <c r="A82" s="91"/>
      <c r="B82" s="96" t="s">
        <v>63</v>
      </c>
      <c r="C82" s="91"/>
      <c r="D82" s="91"/>
      <c r="E82" s="91"/>
      <c r="F82" s="91"/>
      <c r="G82" s="93">
        <f t="shared" ref="G82:BN82" si="55">sum(G79:G81)</f>
        <v>5000</v>
      </c>
      <c r="H82" s="93">
        <f t="shared" si="55"/>
        <v>5000</v>
      </c>
      <c r="I82" s="93">
        <f t="shared" si="55"/>
        <v>5000</v>
      </c>
      <c r="J82" s="93">
        <f t="shared" si="55"/>
        <v>5000</v>
      </c>
      <c r="K82" s="93">
        <f t="shared" si="55"/>
        <v>5000</v>
      </c>
      <c r="L82" s="93">
        <f t="shared" si="55"/>
        <v>5000</v>
      </c>
      <c r="M82" s="93">
        <f t="shared" si="55"/>
        <v>5000</v>
      </c>
      <c r="N82" s="93">
        <f t="shared" si="55"/>
        <v>5000</v>
      </c>
      <c r="O82" s="93">
        <f t="shared" si="55"/>
        <v>5000</v>
      </c>
      <c r="P82" s="93">
        <f t="shared" si="55"/>
        <v>5000</v>
      </c>
      <c r="Q82" s="93">
        <f t="shared" si="55"/>
        <v>5000</v>
      </c>
      <c r="R82" s="93">
        <f t="shared" si="55"/>
        <v>5000</v>
      </c>
      <c r="S82" s="93">
        <f t="shared" si="55"/>
        <v>5000</v>
      </c>
      <c r="T82" s="93">
        <f t="shared" si="55"/>
        <v>5000</v>
      </c>
      <c r="U82" s="93">
        <f t="shared" si="55"/>
        <v>5000</v>
      </c>
      <c r="V82" s="93">
        <f t="shared" si="55"/>
        <v>5000</v>
      </c>
      <c r="W82" s="93">
        <f t="shared" si="55"/>
        <v>5000</v>
      </c>
      <c r="X82" s="93">
        <f t="shared" si="55"/>
        <v>5000</v>
      </c>
      <c r="Y82" s="93">
        <f t="shared" si="55"/>
        <v>5000</v>
      </c>
      <c r="Z82" s="93">
        <f t="shared" si="55"/>
        <v>5000</v>
      </c>
      <c r="AA82" s="93">
        <f t="shared" si="55"/>
        <v>5000</v>
      </c>
      <c r="AB82" s="93">
        <f t="shared" si="55"/>
        <v>5000</v>
      </c>
      <c r="AC82" s="93">
        <f t="shared" si="55"/>
        <v>5000</v>
      </c>
      <c r="AD82" s="93">
        <f t="shared" si="55"/>
        <v>5000</v>
      </c>
      <c r="AE82" s="93">
        <f t="shared" si="55"/>
        <v>5000</v>
      </c>
      <c r="AF82" s="93">
        <f t="shared" si="55"/>
        <v>5000</v>
      </c>
      <c r="AG82" s="93">
        <f t="shared" si="55"/>
        <v>5000</v>
      </c>
      <c r="AH82" s="93">
        <f t="shared" si="55"/>
        <v>5000</v>
      </c>
      <c r="AI82" s="93">
        <f t="shared" si="55"/>
        <v>5000</v>
      </c>
      <c r="AJ82" s="93">
        <f t="shared" si="55"/>
        <v>5000</v>
      </c>
      <c r="AK82" s="93">
        <f t="shared" si="55"/>
        <v>5000</v>
      </c>
      <c r="AL82" s="93">
        <f t="shared" si="55"/>
        <v>5000</v>
      </c>
      <c r="AM82" s="93">
        <f t="shared" si="55"/>
        <v>5000</v>
      </c>
      <c r="AN82" s="93">
        <f t="shared" si="55"/>
        <v>5000</v>
      </c>
      <c r="AO82" s="93">
        <f t="shared" si="55"/>
        <v>5000</v>
      </c>
      <c r="AP82" s="93">
        <f t="shared" si="55"/>
        <v>5000</v>
      </c>
      <c r="AQ82" s="93">
        <f t="shared" si="55"/>
        <v>5000</v>
      </c>
      <c r="AR82" s="93">
        <f t="shared" si="55"/>
        <v>5000</v>
      </c>
      <c r="AS82" s="93">
        <f t="shared" si="55"/>
        <v>5000</v>
      </c>
      <c r="AT82" s="93">
        <f t="shared" si="55"/>
        <v>5000</v>
      </c>
      <c r="AU82" s="93">
        <f t="shared" si="55"/>
        <v>5000</v>
      </c>
      <c r="AV82" s="93">
        <f t="shared" si="55"/>
        <v>5000</v>
      </c>
      <c r="AW82" s="93">
        <f t="shared" si="55"/>
        <v>5000</v>
      </c>
      <c r="AX82" s="93">
        <f t="shared" si="55"/>
        <v>5000</v>
      </c>
      <c r="AY82" s="93">
        <f t="shared" si="55"/>
        <v>5000</v>
      </c>
      <c r="AZ82" s="93">
        <f t="shared" si="55"/>
        <v>5000</v>
      </c>
      <c r="BA82" s="93">
        <f t="shared" si="55"/>
        <v>5000</v>
      </c>
      <c r="BB82" s="93">
        <f t="shared" si="55"/>
        <v>5000</v>
      </c>
      <c r="BC82" s="93">
        <f t="shared" si="55"/>
        <v>5000</v>
      </c>
      <c r="BD82" s="93">
        <f t="shared" si="55"/>
        <v>5000</v>
      </c>
      <c r="BE82" s="93">
        <f t="shared" si="55"/>
        <v>5000</v>
      </c>
      <c r="BF82" s="93">
        <f t="shared" si="55"/>
        <v>5000</v>
      </c>
      <c r="BG82" s="93">
        <f t="shared" si="55"/>
        <v>5000</v>
      </c>
      <c r="BH82" s="93">
        <f t="shared" si="55"/>
        <v>5000</v>
      </c>
      <c r="BI82" s="93">
        <f t="shared" si="55"/>
        <v>5000</v>
      </c>
      <c r="BJ82" s="93">
        <f t="shared" si="55"/>
        <v>5000</v>
      </c>
      <c r="BK82" s="93">
        <f t="shared" si="55"/>
        <v>5000</v>
      </c>
      <c r="BL82" s="93">
        <f t="shared" si="55"/>
        <v>5000</v>
      </c>
      <c r="BM82" s="93">
        <f t="shared" si="55"/>
        <v>5000</v>
      </c>
      <c r="BN82" s="93">
        <f t="shared" si="55"/>
        <v>5000</v>
      </c>
    </row>
    <row r="83" outlineLevel="1">
      <c r="A83" s="47"/>
      <c r="B83" s="97"/>
      <c r="C83" s="47"/>
      <c r="D83" s="86"/>
      <c r="E83" s="86"/>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row>
    <row r="84" outlineLevel="1">
      <c r="A84" s="47"/>
      <c r="B84" s="94" t="s">
        <v>57</v>
      </c>
      <c r="C84" s="72" t="s">
        <v>54</v>
      </c>
      <c r="D84" s="86"/>
      <c r="E84" s="86"/>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row>
    <row r="85" outlineLevel="1">
      <c r="A85" s="47"/>
      <c r="B85" s="77" t="s">
        <v>79</v>
      </c>
      <c r="C85" s="74">
        <v>0.1</v>
      </c>
      <c r="D85" s="86"/>
      <c r="E85" s="86"/>
      <c r="F85" s="58"/>
      <c r="G85" s="58">
        <f>Financials!F$8*$C85</f>
        <v>1550</v>
      </c>
      <c r="H85" s="58">
        <f>Financials!G$8*$C85</f>
        <v>1550</v>
      </c>
      <c r="I85" s="58">
        <f>Financials!H$8*$C85</f>
        <v>1550</v>
      </c>
      <c r="J85" s="58">
        <f>Financials!I$8*$C85</f>
        <v>1550</v>
      </c>
      <c r="K85" s="58">
        <f>Financials!J$8*$C85</f>
        <v>1550</v>
      </c>
      <c r="L85" s="58">
        <f>Financials!K$8*$C85</f>
        <v>1550</v>
      </c>
      <c r="M85" s="58">
        <f>Financials!L$8*$C85</f>
        <v>1550</v>
      </c>
      <c r="N85" s="58">
        <f>Financials!M$8*$C85</f>
        <v>1550</v>
      </c>
      <c r="O85" s="58">
        <f>Financials!N$8*$C85</f>
        <v>1550</v>
      </c>
      <c r="P85" s="58">
        <f>Financials!O$8*$C85</f>
        <v>1550</v>
      </c>
      <c r="Q85" s="58">
        <f>Financials!P$8*$C85</f>
        <v>1550</v>
      </c>
      <c r="R85" s="58">
        <f>Financials!Q$8*$C85</f>
        <v>1550</v>
      </c>
      <c r="S85" s="58">
        <f>Financials!R$8*$C85</f>
        <v>1550</v>
      </c>
      <c r="T85" s="58">
        <f>Financials!S$8*$C85</f>
        <v>1550</v>
      </c>
      <c r="U85" s="58">
        <f>Financials!T$8*$C85</f>
        <v>1550</v>
      </c>
      <c r="V85" s="58">
        <f>Financials!U$8*$C85</f>
        <v>1550</v>
      </c>
      <c r="W85" s="58">
        <f>Financials!V$8*$C85</f>
        <v>1550</v>
      </c>
      <c r="X85" s="58">
        <f>Financials!W$8*$C85</f>
        <v>1550</v>
      </c>
      <c r="Y85" s="58">
        <f>Financials!X$8*$C85</f>
        <v>1550</v>
      </c>
      <c r="Z85" s="58">
        <f>Financials!Y$8*$C85</f>
        <v>1550</v>
      </c>
      <c r="AA85" s="58">
        <f>Financials!Z$8*$C85</f>
        <v>1550</v>
      </c>
      <c r="AB85" s="58">
        <f>Financials!AA$8*$C85</f>
        <v>1550</v>
      </c>
      <c r="AC85" s="58">
        <f>Financials!AB$8*$C85</f>
        <v>1550</v>
      </c>
      <c r="AD85" s="58">
        <f>Financials!AC$8*$C85</f>
        <v>1550</v>
      </c>
      <c r="AE85" s="58">
        <f>Financials!AD$8*$C85</f>
        <v>1550</v>
      </c>
      <c r="AF85" s="58">
        <f>Financials!AE$8*$C85</f>
        <v>1550</v>
      </c>
      <c r="AG85" s="58">
        <f>Financials!AF$8*$C85</f>
        <v>1550</v>
      </c>
      <c r="AH85" s="58">
        <f>Financials!AG$8*$C85</f>
        <v>1550</v>
      </c>
      <c r="AI85" s="58">
        <f>Financials!AH$8*$C85</f>
        <v>1550</v>
      </c>
      <c r="AJ85" s="58">
        <f>Financials!AI$8*$C85</f>
        <v>1550</v>
      </c>
      <c r="AK85" s="58">
        <f>Financials!AJ$8*$C85</f>
        <v>1550</v>
      </c>
      <c r="AL85" s="58">
        <f>Financials!AK$8*$C85</f>
        <v>1550</v>
      </c>
      <c r="AM85" s="58">
        <f>Financials!AL$8*$C85</f>
        <v>1550</v>
      </c>
      <c r="AN85" s="58">
        <f>Financials!AM$8*$C85</f>
        <v>1550</v>
      </c>
      <c r="AO85" s="58">
        <f>Financials!AN$8*$C85</f>
        <v>1550</v>
      </c>
      <c r="AP85" s="58">
        <f>Financials!AO$8*$C85</f>
        <v>1550</v>
      </c>
      <c r="AQ85" s="58">
        <f>Financials!AP$8*$C85</f>
        <v>1550</v>
      </c>
      <c r="AR85" s="58">
        <f>Financials!AQ$8*$C85</f>
        <v>1550</v>
      </c>
      <c r="AS85" s="58">
        <f>Financials!AR$8*$C85</f>
        <v>1550</v>
      </c>
      <c r="AT85" s="58">
        <f>Financials!AS$8*$C85</f>
        <v>1550</v>
      </c>
      <c r="AU85" s="58">
        <f>Financials!AT$8*$C85</f>
        <v>1550</v>
      </c>
      <c r="AV85" s="58">
        <f>Financials!AU$8*$C85</f>
        <v>1550</v>
      </c>
      <c r="AW85" s="58">
        <f>Financials!AV$8*$C85</f>
        <v>1550</v>
      </c>
      <c r="AX85" s="58">
        <f>Financials!AW$8*$C85</f>
        <v>1550</v>
      </c>
      <c r="AY85" s="58">
        <f>Financials!AX$8*$C85</f>
        <v>1550</v>
      </c>
      <c r="AZ85" s="58">
        <f>Financials!AY$8*$C85</f>
        <v>1550</v>
      </c>
      <c r="BA85" s="58">
        <f>Financials!AZ$8*$C85</f>
        <v>1550</v>
      </c>
      <c r="BB85" s="58">
        <f>Financials!BA$8*$C85</f>
        <v>1550</v>
      </c>
      <c r="BC85" s="58">
        <f>Financials!BB$8*$C85</f>
        <v>1550</v>
      </c>
      <c r="BD85" s="58">
        <f>Financials!BC$8*$C85</f>
        <v>1550</v>
      </c>
      <c r="BE85" s="58">
        <f>Financials!BD$8*$C85</f>
        <v>1550</v>
      </c>
      <c r="BF85" s="58">
        <f>Financials!BE$8*$C85</f>
        <v>1550</v>
      </c>
      <c r="BG85" s="58">
        <f>Financials!BF$8*$C85</f>
        <v>1550</v>
      </c>
      <c r="BH85" s="58">
        <f>Financials!BG$8*$C85</f>
        <v>1550</v>
      </c>
      <c r="BI85" s="58">
        <f>Financials!BH$8*$C85</f>
        <v>1550</v>
      </c>
      <c r="BJ85" s="58">
        <f>Financials!BI$8*$C85</f>
        <v>1550</v>
      </c>
      <c r="BK85" s="58">
        <f>Financials!BJ$8*$C85</f>
        <v>1550</v>
      </c>
      <c r="BL85" s="58">
        <f>Financials!BK$8*$C85</f>
        <v>1550</v>
      </c>
      <c r="BM85" s="58">
        <f>Financials!BL$8*$C85</f>
        <v>1550</v>
      </c>
      <c r="BN85" s="58">
        <f>Financials!BM$8*$C85</f>
        <v>1550</v>
      </c>
    </row>
    <row r="86" outlineLevel="1">
      <c r="A86" s="47"/>
      <c r="B86" s="39"/>
      <c r="C86" s="47"/>
      <c r="D86" s="47"/>
      <c r="E86" s="47"/>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row>
    <row r="87" outlineLevel="1">
      <c r="A87" s="47"/>
      <c r="B87" s="39" t="s">
        <v>80</v>
      </c>
      <c r="C87" s="74">
        <v>0.27</v>
      </c>
      <c r="D87" s="47"/>
      <c r="E87" s="47"/>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row>
    <row r="88" outlineLevel="1">
      <c r="A88" s="47"/>
      <c r="B88" s="47"/>
      <c r="C88" s="47"/>
      <c r="D88" s="47"/>
      <c r="E88" s="47"/>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row>
    <row r="89" outlineLevel="1">
      <c r="A89" s="47"/>
      <c r="B89" s="70" t="s">
        <v>21</v>
      </c>
      <c r="C89" s="47"/>
      <c r="D89" s="47"/>
      <c r="E89" s="47"/>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row>
    <row r="90">
      <c r="A90" s="47"/>
      <c r="B90" s="98"/>
      <c r="C90" s="47"/>
      <c r="D90" s="47"/>
      <c r="E90" s="47"/>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row>
    <row r="91">
      <c r="A91" s="47"/>
      <c r="B91" s="48" t="s">
        <v>81</v>
      </c>
      <c r="C91" s="49"/>
      <c r="D91" s="49"/>
      <c r="E91" s="49"/>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row>
    <row r="92" outlineLevel="1">
      <c r="A92" s="47"/>
      <c r="B92" s="47"/>
      <c r="C92" s="47"/>
      <c r="D92" s="47"/>
      <c r="E92" s="47"/>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row>
    <row r="93" outlineLevel="1">
      <c r="A93" s="47"/>
      <c r="B93" s="99" t="s">
        <v>82</v>
      </c>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c r="BM93" s="100"/>
      <c r="BN93" s="100"/>
    </row>
    <row r="94" outlineLevel="1">
      <c r="A94" s="47"/>
      <c r="B94" s="39"/>
      <c r="C94" s="47"/>
      <c r="D94" s="47"/>
      <c r="E94" s="47"/>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row>
    <row r="95" outlineLevel="1">
      <c r="A95" s="86"/>
      <c r="B95" s="56" t="s">
        <v>83</v>
      </c>
      <c r="C95" s="102">
        <v>500000.0</v>
      </c>
      <c r="D95" s="86"/>
      <c r="E95" s="86"/>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row>
    <row r="96" outlineLevel="1">
      <c r="A96" s="47"/>
      <c r="B96" s="39"/>
      <c r="C96" s="47"/>
      <c r="D96" s="47"/>
      <c r="E96" s="47"/>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row>
    <row r="97" outlineLevel="1">
      <c r="A97" s="47"/>
      <c r="B97" s="94" t="s">
        <v>84</v>
      </c>
      <c r="C97" s="103">
        <v>15.0</v>
      </c>
      <c r="D97" s="39" t="s">
        <v>85</v>
      </c>
      <c r="E97" s="47"/>
      <c r="F97" s="104"/>
      <c r="G97" s="104">
        <f>sum(Financials!F8)*($C97/30)</f>
        <v>7750</v>
      </c>
      <c r="H97" s="104">
        <f>sum(Financials!G8)*($C97/30)</f>
        <v>7750</v>
      </c>
      <c r="I97" s="104">
        <f>sum(Financials!H8)*($C97/30)</f>
        <v>7750</v>
      </c>
      <c r="J97" s="104">
        <f>sum(Financials!I8)*($C97/30)</f>
        <v>7750</v>
      </c>
      <c r="K97" s="104">
        <f>sum(Financials!J8)*($C97/30)</f>
        <v>7750</v>
      </c>
      <c r="L97" s="104">
        <f>sum(Financials!K8)*($C97/30)</f>
        <v>7750</v>
      </c>
      <c r="M97" s="104">
        <f>sum(Financials!L8)*($C97/30)</f>
        <v>7750</v>
      </c>
      <c r="N97" s="104">
        <f>sum(Financials!M8)*($C97/30)</f>
        <v>7750</v>
      </c>
      <c r="O97" s="104">
        <f>sum(Financials!N8)*($C97/30)</f>
        <v>7750</v>
      </c>
      <c r="P97" s="104">
        <f>sum(Financials!O8)*($C97/30)</f>
        <v>7750</v>
      </c>
      <c r="Q97" s="104">
        <f>sum(Financials!P8)*($C97/30)</f>
        <v>7750</v>
      </c>
      <c r="R97" s="104">
        <f>sum(Financials!Q8)*($C97/30)</f>
        <v>7750</v>
      </c>
      <c r="S97" s="104">
        <f>sum(Financials!R8)*($C97/30)</f>
        <v>7750</v>
      </c>
      <c r="T97" s="104">
        <f>sum(Financials!S8)*($C97/30)</f>
        <v>7750</v>
      </c>
      <c r="U97" s="104">
        <f>sum(Financials!T8)*($C97/30)</f>
        <v>7750</v>
      </c>
      <c r="V97" s="104">
        <f>sum(Financials!U8)*($C97/30)</f>
        <v>7750</v>
      </c>
      <c r="W97" s="104">
        <f>sum(Financials!V8)*($C97/30)</f>
        <v>7750</v>
      </c>
      <c r="X97" s="104">
        <f>sum(Financials!W8)*($C97/30)</f>
        <v>7750</v>
      </c>
      <c r="Y97" s="104">
        <f>sum(Financials!X8)*($C97/30)</f>
        <v>7750</v>
      </c>
      <c r="Z97" s="104">
        <f>sum(Financials!Y8)*($C97/30)</f>
        <v>7750</v>
      </c>
      <c r="AA97" s="104">
        <f>sum(Financials!Z8)*($C97/30)</f>
        <v>7750</v>
      </c>
      <c r="AB97" s="104">
        <f>sum(Financials!AA8)*($C97/30)</f>
        <v>7750</v>
      </c>
      <c r="AC97" s="104">
        <f>sum(Financials!AB8)*($C97/30)</f>
        <v>7750</v>
      </c>
      <c r="AD97" s="104">
        <f>sum(Financials!AC8)*($C97/30)</f>
        <v>7750</v>
      </c>
      <c r="AE97" s="104">
        <f>sum(Financials!AD8)*($C97/30)</f>
        <v>7750</v>
      </c>
      <c r="AF97" s="104">
        <f>sum(Financials!AE8)*($C97/30)</f>
        <v>7750</v>
      </c>
      <c r="AG97" s="104">
        <f>sum(Financials!AF8)*($C97/30)</f>
        <v>7750</v>
      </c>
      <c r="AH97" s="104">
        <f>sum(Financials!AG8)*($C97/30)</f>
        <v>7750</v>
      </c>
      <c r="AI97" s="104">
        <f>sum(Financials!AH8)*($C97/30)</f>
        <v>7750</v>
      </c>
      <c r="AJ97" s="104">
        <f>sum(Financials!AI8)*($C97/30)</f>
        <v>7750</v>
      </c>
      <c r="AK97" s="104">
        <f>sum(Financials!AJ8)*($C97/30)</f>
        <v>7750</v>
      </c>
      <c r="AL97" s="104">
        <f>sum(Financials!AK8)*($C97/30)</f>
        <v>7750</v>
      </c>
      <c r="AM97" s="104">
        <f>sum(Financials!AL8)*($C97/30)</f>
        <v>7750</v>
      </c>
      <c r="AN97" s="104">
        <f>sum(Financials!AM8)*($C97/30)</f>
        <v>7750</v>
      </c>
      <c r="AO97" s="104">
        <f>sum(Financials!AN8)*($C97/30)</f>
        <v>7750</v>
      </c>
      <c r="AP97" s="104">
        <f>sum(Financials!AO8)*($C97/30)</f>
        <v>7750</v>
      </c>
      <c r="AQ97" s="104">
        <f>sum(Financials!AP8)*($C97/30)</f>
        <v>7750</v>
      </c>
      <c r="AR97" s="104">
        <f>sum(Financials!AQ8)*($C97/30)</f>
        <v>7750</v>
      </c>
      <c r="AS97" s="104">
        <f>sum(Financials!AR8)*($C97/30)</f>
        <v>7750</v>
      </c>
      <c r="AT97" s="104">
        <f>sum(Financials!AS8)*($C97/30)</f>
        <v>7750</v>
      </c>
      <c r="AU97" s="104">
        <f>sum(Financials!AT8)*($C97/30)</f>
        <v>7750</v>
      </c>
      <c r="AV97" s="104">
        <f>sum(Financials!AU8)*($C97/30)</f>
        <v>7750</v>
      </c>
      <c r="AW97" s="104">
        <f>sum(Financials!AV8)*($C97/30)</f>
        <v>7750</v>
      </c>
      <c r="AX97" s="104">
        <f>sum(Financials!AW8)*($C97/30)</f>
        <v>7750</v>
      </c>
      <c r="AY97" s="104">
        <f>sum(Financials!AX8)*($C97/30)</f>
        <v>7750</v>
      </c>
      <c r="AZ97" s="104">
        <f>sum(Financials!AY8)*($C97/30)</f>
        <v>7750</v>
      </c>
      <c r="BA97" s="104">
        <f>sum(Financials!AZ8)*($C97/30)</f>
        <v>7750</v>
      </c>
      <c r="BB97" s="104">
        <f>sum(Financials!BA8)*($C97/30)</f>
        <v>7750</v>
      </c>
      <c r="BC97" s="104">
        <f>sum(Financials!BB8)*($C97/30)</f>
        <v>7750</v>
      </c>
      <c r="BD97" s="104">
        <f>sum(Financials!BC8)*($C97/30)</f>
        <v>7750</v>
      </c>
      <c r="BE97" s="104">
        <f>sum(Financials!BD8)*($C97/30)</f>
        <v>7750</v>
      </c>
      <c r="BF97" s="104">
        <f>sum(Financials!BE8)*($C97/30)</f>
        <v>7750</v>
      </c>
      <c r="BG97" s="104">
        <f>sum(Financials!BF8)*($C97/30)</f>
        <v>7750</v>
      </c>
      <c r="BH97" s="104">
        <f>sum(Financials!BG8)*($C97/30)</f>
        <v>7750</v>
      </c>
      <c r="BI97" s="104">
        <f>sum(Financials!BH8)*($C97/30)</f>
        <v>7750</v>
      </c>
      <c r="BJ97" s="104">
        <f>sum(Financials!BI8)*($C97/30)</f>
        <v>7750</v>
      </c>
      <c r="BK97" s="104">
        <f>sum(Financials!BJ8)*($C97/30)</f>
        <v>7750</v>
      </c>
      <c r="BL97" s="104">
        <f>sum(Financials!BK8)*($C97/30)</f>
        <v>7750</v>
      </c>
      <c r="BM97" s="104">
        <f>sum(Financials!BL8)*($C97/30)</f>
        <v>7750</v>
      </c>
      <c r="BN97" s="104">
        <f>sum(Financials!BM8)*($C97/30)</f>
        <v>7750</v>
      </c>
    </row>
    <row r="98" outlineLevel="1">
      <c r="A98" s="47"/>
      <c r="B98" s="47"/>
      <c r="C98" s="47"/>
      <c r="D98" s="47"/>
      <c r="E98" s="47"/>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row>
    <row r="99" outlineLevel="1">
      <c r="A99" s="47"/>
      <c r="B99" s="105" t="s">
        <v>86</v>
      </c>
      <c r="C99" s="106" t="s">
        <v>87</v>
      </c>
      <c r="D99" s="106" t="s">
        <v>88</v>
      </c>
      <c r="E99" s="106" t="s">
        <v>89</v>
      </c>
      <c r="F99" s="47"/>
      <c r="G99" s="97" t="s">
        <v>90</v>
      </c>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row>
    <row r="100" outlineLevel="1">
      <c r="A100" s="47"/>
      <c r="B100" s="79" t="s">
        <v>91</v>
      </c>
      <c r="C100" s="57">
        <v>0.0</v>
      </c>
      <c r="D100" s="107">
        <v>44562.0</v>
      </c>
      <c r="E100" s="108">
        <v>5.0</v>
      </c>
      <c r="F100" s="58"/>
      <c r="G100" s="101">
        <f t="shared" ref="G100:BN100" si="56">if(G$4&gt;=$D100,$C100,0)</f>
        <v>0</v>
      </c>
      <c r="H100" s="101">
        <f t="shared" si="56"/>
        <v>0</v>
      </c>
      <c r="I100" s="101">
        <f t="shared" si="56"/>
        <v>0</v>
      </c>
      <c r="J100" s="101">
        <f t="shared" si="56"/>
        <v>0</v>
      </c>
      <c r="K100" s="101">
        <f t="shared" si="56"/>
        <v>0</v>
      </c>
      <c r="L100" s="101">
        <f t="shared" si="56"/>
        <v>0</v>
      </c>
      <c r="M100" s="101">
        <f t="shared" si="56"/>
        <v>0</v>
      </c>
      <c r="N100" s="101">
        <f t="shared" si="56"/>
        <v>0</v>
      </c>
      <c r="O100" s="101">
        <f t="shared" si="56"/>
        <v>0</v>
      </c>
      <c r="P100" s="101">
        <f t="shared" si="56"/>
        <v>0</v>
      </c>
      <c r="Q100" s="101">
        <f t="shared" si="56"/>
        <v>0</v>
      </c>
      <c r="R100" s="101">
        <f t="shared" si="56"/>
        <v>0</v>
      </c>
      <c r="S100" s="101">
        <f t="shared" si="56"/>
        <v>0</v>
      </c>
      <c r="T100" s="101">
        <f t="shared" si="56"/>
        <v>0</v>
      </c>
      <c r="U100" s="101">
        <f t="shared" si="56"/>
        <v>0</v>
      </c>
      <c r="V100" s="101">
        <f t="shared" si="56"/>
        <v>0</v>
      </c>
      <c r="W100" s="101">
        <f t="shared" si="56"/>
        <v>0</v>
      </c>
      <c r="X100" s="101">
        <f t="shared" si="56"/>
        <v>0</v>
      </c>
      <c r="Y100" s="101">
        <f t="shared" si="56"/>
        <v>0</v>
      </c>
      <c r="Z100" s="101">
        <f t="shared" si="56"/>
        <v>0</v>
      </c>
      <c r="AA100" s="101">
        <f t="shared" si="56"/>
        <v>0</v>
      </c>
      <c r="AB100" s="101">
        <f t="shared" si="56"/>
        <v>0</v>
      </c>
      <c r="AC100" s="101">
        <f t="shared" si="56"/>
        <v>0</v>
      </c>
      <c r="AD100" s="101">
        <f t="shared" si="56"/>
        <v>0</v>
      </c>
      <c r="AE100" s="101">
        <f t="shared" si="56"/>
        <v>0</v>
      </c>
      <c r="AF100" s="101">
        <f t="shared" si="56"/>
        <v>0</v>
      </c>
      <c r="AG100" s="101">
        <f t="shared" si="56"/>
        <v>0</v>
      </c>
      <c r="AH100" s="101">
        <f t="shared" si="56"/>
        <v>0</v>
      </c>
      <c r="AI100" s="101">
        <f t="shared" si="56"/>
        <v>0</v>
      </c>
      <c r="AJ100" s="101">
        <f t="shared" si="56"/>
        <v>0</v>
      </c>
      <c r="AK100" s="101">
        <f t="shared" si="56"/>
        <v>0</v>
      </c>
      <c r="AL100" s="101">
        <f t="shared" si="56"/>
        <v>0</v>
      </c>
      <c r="AM100" s="101">
        <f t="shared" si="56"/>
        <v>0</v>
      </c>
      <c r="AN100" s="101">
        <f t="shared" si="56"/>
        <v>0</v>
      </c>
      <c r="AO100" s="101">
        <f t="shared" si="56"/>
        <v>0</v>
      </c>
      <c r="AP100" s="101">
        <f t="shared" si="56"/>
        <v>0</v>
      </c>
      <c r="AQ100" s="101">
        <f t="shared" si="56"/>
        <v>0</v>
      </c>
      <c r="AR100" s="101">
        <f t="shared" si="56"/>
        <v>0</v>
      </c>
      <c r="AS100" s="101">
        <f t="shared" si="56"/>
        <v>0</v>
      </c>
      <c r="AT100" s="101">
        <f t="shared" si="56"/>
        <v>0</v>
      </c>
      <c r="AU100" s="101">
        <f t="shared" si="56"/>
        <v>0</v>
      </c>
      <c r="AV100" s="101">
        <f t="shared" si="56"/>
        <v>0</v>
      </c>
      <c r="AW100" s="101">
        <f t="shared" si="56"/>
        <v>0</v>
      </c>
      <c r="AX100" s="101">
        <f t="shared" si="56"/>
        <v>0</v>
      </c>
      <c r="AY100" s="101">
        <f t="shared" si="56"/>
        <v>0</v>
      </c>
      <c r="AZ100" s="101">
        <f t="shared" si="56"/>
        <v>0</v>
      </c>
      <c r="BA100" s="101">
        <f t="shared" si="56"/>
        <v>0</v>
      </c>
      <c r="BB100" s="101">
        <f t="shared" si="56"/>
        <v>0</v>
      </c>
      <c r="BC100" s="101">
        <f t="shared" si="56"/>
        <v>0</v>
      </c>
      <c r="BD100" s="101">
        <f t="shared" si="56"/>
        <v>0</v>
      </c>
      <c r="BE100" s="101">
        <f t="shared" si="56"/>
        <v>0</v>
      </c>
      <c r="BF100" s="101">
        <f t="shared" si="56"/>
        <v>0</v>
      </c>
      <c r="BG100" s="101">
        <f t="shared" si="56"/>
        <v>0</v>
      </c>
      <c r="BH100" s="101">
        <f t="shared" si="56"/>
        <v>0</v>
      </c>
      <c r="BI100" s="101">
        <f t="shared" si="56"/>
        <v>0</v>
      </c>
      <c r="BJ100" s="101">
        <f t="shared" si="56"/>
        <v>0</v>
      </c>
      <c r="BK100" s="101">
        <f t="shared" si="56"/>
        <v>0</v>
      </c>
      <c r="BL100" s="101">
        <f t="shared" si="56"/>
        <v>0</v>
      </c>
      <c r="BM100" s="101">
        <f t="shared" si="56"/>
        <v>0</v>
      </c>
      <c r="BN100" s="101">
        <f t="shared" si="56"/>
        <v>0</v>
      </c>
    </row>
    <row r="101" outlineLevel="1">
      <c r="A101" s="47"/>
      <c r="B101" s="79" t="s">
        <v>92</v>
      </c>
      <c r="C101" s="57">
        <v>0.0</v>
      </c>
      <c r="D101" s="107">
        <v>44562.0</v>
      </c>
      <c r="E101" s="108">
        <v>5.0</v>
      </c>
      <c r="F101" s="58"/>
      <c r="G101" s="101">
        <f t="shared" ref="G101:BN101" si="57">if(G$4&gt;=$D101,$C101,0)</f>
        <v>0</v>
      </c>
      <c r="H101" s="101">
        <f t="shared" si="57"/>
        <v>0</v>
      </c>
      <c r="I101" s="101">
        <f t="shared" si="57"/>
        <v>0</v>
      </c>
      <c r="J101" s="101">
        <f t="shared" si="57"/>
        <v>0</v>
      </c>
      <c r="K101" s="101">
        <f t="shared" si="57"/>
        <v>0</v>
      </c>
      <c r="L101" s="101">
        <f t="shared" si="57"/>
        <v>0</v>
      </c>
      <c r="M101" s="101">
        <f t="shared" si="57"/>
        <v>0</v>
      </c>
      <c r="N101" s="101">
        <f t="shared" si="57"/>
        <v>0</v>
      </c>
      <c r="O101" s="101">
        <f t="shared" si="57"/>
        <v>0</v>
      </c>
      <c r="P101" s="101">
        <f t="shared" si="57"/>
        <v>0</v>
      </c>
      <c r="Q101" s="101">
        <f t="shared" si="57"/>
        <v>0</v>
      </c>
      <c r="R101" s="101">
        <f t="shared" si="57"/>
        <v>0</v>
      </c>
      <c r="S101" s="101">
        <f t="shared" si="57"/>
        <v>0</v>
      </c>
      <c r="T101" s="101">
        <f t="shared" si="57"/>
        <v>0</v>
      </c>
      <c r="U101" s="101">
        <f t="shared" si="57"/>
        <v>0</v>
      </c>
      <c r="V101" s="101">
        <f t="shared" si="57"/>
        <v>0</v>
      </c>
      <c r="W101" s="101">
        <f t="shared" si="57"/>
        <v>0</v>
      </c>
      <c r="X101" s="101">
        <f t="shared" si="57"/>
        <v>0</v>
      </c>
      <c r="Y101" s="101">
        <f t="shared" si="57"/>
        <v>0</v>
      </c>
      <c r="Z101" s="101">
        <f t="shared" si="57"/>
        <v>0</v>
      </c>
      <c r="AA101" s="101">
        <f t="shared" si="57"/>
        <v>0</v>
      </c>
      <c r="AB101" s="101">
        <f t="shared" si="57"/>
        <v>0</v>
      </c>
      <c r="AC101" s="101">
        <f t="shared" si="57"/>
        <v>0</v>
      </c>
      <c r="AD101" s="101">
        <f t="shared" si="57"/>
        <v>0</v>
      </c>
      <c r="AE101" s="101">
        <f t="shared" si="57"/>
        <v>0</v>
      </c>
      <c r="AF101" s="101">
        <f t="shared" si="57"/>
        <v>0</v>
      </c>
      <c r="AG101" s="101">
        <f t="shared" si="57"/>
        <v>0</v>
      </c>
      <c r="AH101" s="101">
        <f t="shared" si="57"/>
        <v>0</v>
      </c>
      <c r="AI101" s="101">
        <f t="shared" si="57"/>
        <v>0</v>
      </c>
      <c r="AJ101" s="101">
        <f t="shared" si="57"/>
        <v>0</v>
      </c>
      <c r="AK101" s="101">
        <f t="shared" si="57"/>
        <v>0</v>
      </c>
      <c r="AL101" s="101">
        <f t="shared" si="57"/>
        <v>0</v>
      </c>
      <c r="AM101" s="101">
        <f t="shared" si="57"/>
        <v>0</v>
      </c>
      <c r="AN101" s="101">
        <f t="shared" si="57"/>
        <v>0</v>
      </c>
      <c r="AO101" s="101">
        <f t="shared" si="57"/>
        <v>0</v>
      </c>
      <c r="AP101" s="101">
        <f t="shared" si="57"/>
        <v>0</v>
      </c>
      <c r="AQ101" s="101">
        <f t="shared" si="57"/>
        <v>0</v>
      </c>
      <c r="AR101" s="101">
        <f t="shared" si="57"/>
        <v>0</v>
      </c>
      <c r="AS101" s="101">
        <f t="shared" si="57"/>
        <v>0</v>
      </c>
      <c r="AT101" s="101">
        <f t="shared" si="57"/>
        <v>0</v>
      </c>
      <c r="AU101" s="101">
        <f t="shared" si="57"/>
        <v>0</v>
      </c>
      <c r="AV101" s="101">
        <f t="shared" si="57"/>
        <v>0</v>
      </c>
      <c r="AW101" s="101">
        <f t="shared" si="57"/>
        <v>0</v>
      </c>
      <c r="AX101" s="101">
        <f t="shared" si="57"/>
        <v>0</v>
      </c>
      <c r="AY101" s="101">
        <f t="shared" si="57"/>
        <v>0</v>
      </c>
      <c r="AZ101" s="101">
        <f t="shared" si="57"/>
        <v>0</v>
      </c>
      <c r="BA101" s="101">
        <f t="shared" si="57"/>
        <v>0</v>
      </c>
      <c r="BB101" s="101">
        <f t="shared" si="57"/>
        <v>0</v>
      </c>
      <c r="BC101" s="101">
        <f t="shared" si="57"/>
        <v>0</v>
      </c>
      <c r="BD101" s="101">
        <f t="shared" si="57"/>
        <v>0</v>
      </c>
      <c r="BE101" s="101">
        <f t="shared" si="57"/>
        <v>0</v>
      </c>
      <c r="BF101" s="101">
        <f t="shared" si="57"/>
        <v>0</v>
      </c>
      <c r="BG101" s="101">
        <f t="shared" si="57"/>
        <v>0</v>
      </c>
      <c r="BH101" s="101">
        <f t="shared" si="57"/>
        <v>0</v>
      </c>
      <c r="BI101" s="101">
        <f t="shared" si="57"/>
        <v>0</v>
      </c>
      <c r="BJ101" s="101">
        <f t="shared" si="57"/>
        <v>0</v>
      </c>
      <c r="BK101" s="101">
        <f t="shared" si="57"/>
        <v>0</v>
      </c>
      <c r="BL101" s="101">
        <f t="shared" si="57"/>
        <v>0</v>
      </c>
      <c r="BM101" s="101">
        <f t="shared" si="57"/>
        <v>0</v>
      </c>
      <c r="BN101" s="101">
        <f t="shared" si="57"/>
        <v>0</v>
      </c>
    </row>
    <row r="102" outlineLevel="1">
      <c r="A102" s="47"/>
      <c r="B102" s="79" t="s">
        <v>93</v>
      </c>
      <c r="C102" s="57">
        <v>0.0</v>
      </c>
      <c r="D102" s="107">
        <v>44562.0</v>
      </c>
      <c r="E102" s="108">
        <v>5.0</v>
      </c>
      <c r="F102" s="58"/>
      <c r="G102" s="101">
        <f t="shared" ref="G102:BN102" si="58">if(G$4&gt;=$D102,$C102,0)</f>
        <v>0</v>
      </c>
      <c r="H102" s="101">
        <f t="shared" si="58"/>
        <v>0</v>
      </c>
      <c r="I102" s="101">
        <f t="shared" si="58"/>
        <v>0</v>
      </c>
      <c r="J102" s="101">
        <f t="shared" si="58"/>
        <v>0</v>
      </c>
      <c r="K102" s="101">
        <f t="shared" si="58"/>
        <v>0</v>
      </c>
      <c r="L102" s="101">
        <f t="shared" si="58"/>
        <v>0</v>
      </c>
      <c r="M102" s="101">
        <f t="shared" si="58"/>
        <v>0</v>
      </c>
      <c r="N102" s="101">
        <f t="shared" si="58"/>
        <v>0</v>
      </c>
      <c r="O102" s="101">
        <f t="shared" si="58"/>
        <v>0</v>
      </c>
      <c r="P102" s="101">
        <f t="shared" si="58"/>
        <v>0</v>
      </c>
      <c r="Q102" s="101">
        <f t="shared" si="58"/>
        <v>0</v>
      </c>
      <c r="R102" s="101">
        <f t="shared" si="58"/>
        <v>0</v>
      </c>
      <c r="S102" s="101">
        <f t="shared" si="58"/>
        <v>0</v>
      </c>
      <c r="T102" s="101">
        <f t="shared" si="58"/>
        <v>0</v>
      </c>
      <c r="U102" s="101">
        <f t="shared" si="58"/>
        <v>0</v>
      </c>
      <c r="V102" s="101">
        <f t="shared" si="58"/>
        <v>0</v>
      </c>
      <c r="W102" s="101">
        <f t="shared" si="58"/>
        <v>0</v>
      </c>
      <c r="X102" s="101">
        <f t="shared" si="58"/>
        <v>0</v>
      </c>
      <c r="Y102" s="101">
        <f t="shared" si="58"/>
        <v>0</v>
      </c>
      <c r="Z102" s="101">
        <f t="shared" si="58"/>
        <v>0</v>
      </c>
      <c r="AA102" s="101">
        <f t="shared" si="58"/>
        <v>0</v>
      </c>
      <c r="AB102" s="101">
        <f t="shared" si="58"/>
        <v>0</v>
      </c>
      <c r="AC102" s="101">
        <f t="shared" si="58"/>
        <v>0</v>
      </c>
      <c r="AD102" s="101">
        <f t="shared" si="58"/>
        <v>0</v>
      </c>
      <c r="AE102" s="101">
        <f t="shared" si="58"/>
        <v>0</v>
      </c>
      <c r="AF102" s="101">
        <f t="shared" si="58"/>
        <v>0</v>
      </c>
      <c r="AG102" s="101">
        <f t="shared" si="58"/>
        <v>0</v>
      </c>
      <c r="AH102" s="101">
        <f t="shared" si="58"/>
        <v>0</v>
      </c>
      <c r="AI102" s="101">
        <f t="shared" si="58"/>
        <v>0</v>
      </c>
      <c r="AJ102" s="101">
        <f t="shared" si="58"/>
        <v>0</v>
      </c>
      <c r="AK102" s="101">
        <f t="shared" si="58"/>
        <v>0</v>
      </c>
      <c r="AL102" s="101">
        <f t="shared" si="58"/>
        <v>0</v>
      </c>
      <c r="AM102" s="101">
        <f t="shared" si="58"/>
        <v>0</v>
      </c>
      <c r="AN102" s="101">
        <f t="shared" si="58"/>
        <v>0</v>
      </c>
      <c r="AO102" s="101">
        <f t="shared" si="58"/>
        <v>0</v>
      </c>
      <c r="AP102" s="101">
        <f t="shared" si="58"/>
        <v>0</v>
      </c>
      <c r="AQ102" s="101">
        <f t="shared" si="58"/>
        <v>0</v>
      </c>
      <c r="AR102" s="101">
        <f t="shared" si="58"/>
        <v>0</v>
      </c>
      <c r="AS102" s="101">
        <f t="shared" si="58"/>
        <v>0</v>
      </c>
      <c r="AT102" s="101">
        <f t="shared" si="58"/>
        <v>0</v>
      </c>
      <c r="AU102" s="101">
        <f t="shared" si="58"/>
        <v>0</v>
      </c>
      <c r="AV102" s="101">
        <f t="shared" si="58"/>
        <v>0</v>
      </c>
      <c r="AW102" s="101">
        <f t="shared" si="58"/>
        <v>0</v>
      </c>
      <c r="AX102" s="101">
        <f t="shared" si="58"/>
        <v>0</v>
      </c>
      <c r="AY102" s="101">
        <f t="shared" si="58"/>
        <v>0</v>
      </c>
      <c r="AZ102" s="101">
        <f t="shared" si="58"/>
        <v>0</v>
      </c>
      <c r="BA102" s="101">
        <f t="shared" si="58"/>
        <v>0</v>
      </c>
      <c r="BB102" s="101">
        <f t="shared" si="58"/>
        <v>0</v>
      </c>
      <c r="BC102" s="101">
        <f t="shared" si="58"/>
        <v>0</v>
      </c>
      <c r="BD102" s="101">
        <f t="shared" si="58"/>
        <v>0</v>
      </c>
      <c r="BE102" s="101">
        <f t="shared" si="58"/>
        <v>0</v>
      </c>
      <c r="BF102" s="101">
        <f t="shared" si="58"/>
        <v>0</v>
      </c>
      <c r="BG102" s="101">
        <f t="shared" si="58"/>
        <v>0</v>
      </c>
      <c r="BH102" s="101">
        <f t="shared" si="58"/>
        <v>0</v>
      </c>
      <c r="BI102" s="101">
        <f t="shared" si="58"/>
        <v>0</v>
      </c>
      <c r="BJ102" s="101">
        <f t="shared" si="58"/>
        <v>0</v>
      </c>
      <c r="BK102" s="101">
        <f t="shared" si="58"/>
        <v>0</v>
      </c>
      <c r="BL102" s="101">
        <f t="shared" si="58"/>
        <v>0</v>
      </c>
      <c r="BM102" s="101">
        <f t="shared" si="58"/>
        <v>0</v>
      </c>
      <c r="BN102" s="101">
        <f t="shared" si="58"/>
        <v>0</v>
      </c>
    </row>
    <row r="103" outlineLevel="1">
      <c r="A103" s="47"/>
      <c r="B103" s="79" t="s">
        <v>94</v>
      </c>
      <c r="C103" s="57">
        <v>0.0</v>
      </c>
      <c r="D103" s="107">
        <v>44562.0</v>
      </c>
      <c r="E103" s="108">
        <v>5.0</v>
      </c>
      <c r="F103" s="58"/>
      <c r="G103" s="101">
        <f t="shared" ref="G103:BN103" si="59">if(G$4&gt;=$D103,$C103,0)</f>
        <v>0</v>
      </c>
      <c r="H103" s="101">
        <f t="shared" si="59"/>
        <v>0</v>
      </c>
      <c r="I103" s="101">
        <f t="shared" si="59"/>
        <v>0</v>
      </c>
      <c r="J103" s="101">
        <f t="shared" si="59"/>
        <v>0</v>
      </c>
      <c r="K103" s="101">
        <f t="shared" si="59"/>
        <v>0</v>
      </c>
      <c r="L103" s="101">
        <f t="shared" si="59"/>
        <v>0</v>
      </c>
      <c r="M103" s="101">
        <f t="shared" si="59"/>
        <v>0</v>
      </c>
      <c r="N103" s="101">
        <f t="shared" si="59"/>
        <v>0</v>
      </c>
      <c r="O103" s="101">
        <f t="shared" si="59"/>
        <v>0</v>
      </c>
      <c r="P103" s="101">
        <f t="shared" si="59"/>
        <v>0</v>
      </c>
      <c r="Q103" s="101">
        <f t="shared" si="59"/>
        <v>0</v>
      </c>
      <c r="R103" s="101">
        <f t="shared" si="59"/>
        <v>0</v>
      </c>
      <c r="S103" s="101">
        <f t="shared" si="59"/>
        <v>0</v>
      </c>
      <c r="T103" s="101">
        <f t="shared" si="59"/>
        <v>0</v>
      </c>
      <c r="U103" s="101">
        <f t="shared" si="59"/>
        <v>0</v>
      </c>
      <c r="V103" s="101">
        <f t="shared" si="59"/>
        <v>0</v>
      </c>
      <c r="W103" s="101">
        <f t="shared" si="59"/>
        <v>0</v>
      </c>
      <c r="X103" s="101">
        <f t="shared" si="59"/>
        <v>0</v>
      </c>
      <c r="Y103" s="101">
        <f t="shared" si="59"/>
        <v>0</v>
      </c>
      <c r="Z103" s="101">
        <f t="shared" si="59"/>
        <v>0</v>
      </c>
      <c r="AA103" s="101">
        <f t="shared" si="59"/>
        <v>0</v>
      </c>
      <c r="AB103" s="101">
        <f t="shared" si="59"/>
        <v>0</v>
      </c>
      <c r="AC103" s="101">
        <f t="shared" si="59"/>
        <v>0</v>
      </c>
      <c r="AD103" s="101">
        <f t="shared" si="59"/>
        <v>0</v>
      </c>
      <c r="AE103" s="101">
        <f t="shared" si="59"/>
        <v>0</v>
      </c>
      <c r="AF103" s="101">
        <f t="shared" si="59"/>
        <v>0</v>
      </c>
      <c r="AG103" s="101">
        <f t="shared" si="59"/>
        <v>0</v>
      </c>
      <c r="AH103" s="101">
        <f t="shared" si="59"/>
        <v>0</v>
      </c>
      <c r="AI103" s="101">
        <f t="shared" si="59"/>
        <v>0</v>
      </c>
      <c r="AJ103" s="101">
        <f t="shared" si="59"/>
        <v>0</v>
      </c>
      <c r="AK103" s="101">
        <f t="shared" si="59"/>
        <v>0</v>
      </c>
      <c r="AL103" s="101">
        <f t="shared" si="59"/>
        <v>0</v>
      </c>
      <c r="AM103" s="101">
        <f t="shared" si="59"/>
        <v>0</v>
      </c>
      <c r="AN103" s="101">
        <f t="shared" si="59"/>
        <v>0</v>
      </c>
      <c r="AO103" s="101">
        <f t="shared" si="59"/>
        <v>0</v>
      </c>
      <c r="AP103" s="101">
        <f t="shared" si="59"/>
        <v>0</v>
      </c>
      <c r="AQ103" s="101">
        <f t="shared" si="59"/>
        <v>0</v>
      </c>
      <c r="AR103" s="101">
        <f t="shared" si="59"/>
        <v>0</v>
      </c>
      <c r="AS103" s="101">
        <f t="shared" si="59"/>
        <v>0</v>
      </c>
      <c r="AT103" s="101">
        <f t="shared" si="59"/>
        <v>0</v>
      </c>
      <c r="AU103" s="101">
        <f t="shared" si="59"/>
        <v>0</v>
      </c>
      <c r="AV103" s="101">
        <f t="shared" si="59"/>
        <v>0</v>
      </c>
      <c r="AW103" s="101">
        <f t="shared" si="59"/>
        <v>0</v>
      </c>
      <c r="AX103" s="101">
        <f t="shared" si="59"/>
        <v>0</v>
      </c>
      <c r="AY103" s="101">
        <f t="shared" si="59"/>
        <v>0</v>
      </c>
      <c r="AZ103" s="101">
        <f t="shared" si="59"/>
        <v>0</v>
      </c>
      <c r="BA103" s="101">
        <f t="shared" si="59"/>
        <v>0</v>
      </c>
      <c r="BB103" s="101">
        <f t="shared" si="59"/>
        <v>0</v>
      </c>
      <c r="BC103" s="101">
        <f t="shared" si="59"/>
        <v>0</v>
      </c>
      <c r="BD103" s="101">
        <f t="shared" si="59"/>
        <v>0</v>
      </c>
      <c r="BE103" s="101">
        <f t="shared" si="59"/>
        <v>0</v>
      </c>
      <c r="BF103" s="101">
        <f t="shared" si="59"/>
        <v>0</v>
      </c>
      <c r="BG103" s="101">
        <f t="shared" si="59"/>
        <v>0</v>
      </c>
      <c r="BH103" s="101">
        <f t="shared" si="59"/>
        <v>0</v>
      </c>
      <c r="BI103" s="101">
        <f t="shared" si="59"/>
        <v>0</v>
      </c>
      <c r="BJ103" s="101">
        <f t="shared" si="59"/>
        <v>0</v>
      </c>
      <c r="BK103" s="101">
        <f t="shared" si="59"/>
        <v>0</v>
      </c>
      <c r="BL103" s="101">
        <f t="shared" si="59"/>
        <v>0</v>
      </c>
      <c r="BM103" s="101">
        <f t="shared" si="59"/>
        <v>0</v>
      </c>
      <c r="BN103" s="101">
        <f t="shared" si="59"/>
        <v>0</v>
      </c>
    </row>
    <row r="104" outlineLevel="1">
      <c r="A104" s="47"/>
      <c r="B104" s="39"/>
      <c r="C104" s="47"/>
      <c r="D104" s="47"/>
      <c r="E104" s="47"/>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row>
    <row r="105" outlineLevel="1">
      <c r="A105" s="47"/>
      <c r="B105" s="39"/>
      <c r="C105" s="47"/>
      <c r="D105" s="47"/>
      <c r="E105" s="47"/>
      <c r="F105" s="47"/>
      <c r="G105" s="47" t="s">
        <v>95</v>
      </c>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row>
    <row r="106" outlineLevel="1">
      <c r="A106" s="86"/>
      <c r="B106" s="56" t="str">
        <f t="shared" ref="B106:B109" si="61">B100</f>
        <v>Asset 1</v>
      </c>
      <c r="C106" s="86"/>
      <c r="D106" s="86"/>
      <c r="E106" s="86"/>
      <c r="F106" s="58"/>
      <c r="G106" s="58">
        <f t="shared" ref="G106:G109" si="62">MIN(E106+ IF(G$4&gt;=$D100,$C100/($E100*12),0),$C100)</f>
        <v>0</v>
      </c>
      <c r="H106" s="58">
        <f t="shared" ref="H106:BN106" si="60">MIN(G106+ IF(H$4&gt;=$D100,$C100/($E100*12),0),$C100)</f>
        <v>0</v>
      </c>
      <c r="I106" s="58">
        <f t="shared" si="60"/>
        <v>0</v>
      </c>
      <c r="J106" s="58">
        <f t="shared" si="60"/>
        <v>0</v>
      </c>
      <c r="K106" s="58">
        <f t="shared" si="60"/>
        <v>0</v>
      </c>
      <c r="L106" s="58">
        <f t="shared" si="60"/>
        <v>0</v>
      </c>
      <c r="M106" s="58">
        <f t="shared" si="60"/>
        <v>0</v>
      </c>
      <c r="N106" s="58">
        <f t="shared" si="60"/>
        <v>0</v>
      </c>
      <c r="O106" s="58">
        <f t="shared" si="60"/>
        <v>0</v>
      </c>
      <c r="P106" s="58">
        <f t="shared" si="60"/>
        <v>0</v>
      </c>
      <c r="Q106" s="58">
        <f t="shared" si="60"/>
        <v>0</v>
      </c>
      <c r="R106" s="58">
        <f t="shared" si="60"/>
        <v>0</v>
      </c>
      <c r="S106" s="58">
        <f t="shared" si="60"/>
        <v>0</v>
      </c>
      <c r="T106" s="58">
        <f t="shared" si="60"/>
        <v>0</v>
      </c>
      <c r="U106" s="58">
        <f t="shared" si="60"/>
        <v>0</v>
      </c>
      <c r="V106" s="58">
        <f t="shared" si="60"/>
        <v>0</v>
      </c>
      <c r="W106" s="58">
        <f t="shared" si="60"/>
        <v>0</v>
      </c>
      <c r="X106" s="58">
        <f t="shared" si="60"/>
        <v>0</v>
      </c>
      <c r="Y106" s="58">
        <f t="shared" si="60"/>
        <v>0</v>
      </c>
      <c r="Z106" s="58">
        <f t="shared" si="60"/>
        <v>0</v>
      </c>
      <c r="AA106" s="58">
        <f t="shared" si="60"/>
        <v>0</v>
      </c>
      <c r="AB106" s="58">
        <f t="shared" si="60"/>
        <v>0</v>
      </c>
      <c r="AC106" s="58">
        <f t="shared" si="60"/>
        <v>0</v>
      </c>
      <c r="AD106" s="58">
        <f t="shared" si="60"/>
        <v>0</v>
      </c>
      <c r="AE106" s="58">
        <f t="shared" si="60"/>
        <v>0</v>
      </c>
      <c r="AF106" s="58">
        <f t="shared" si="60"/>
        <v>0</v>
      </c>
      <c r="AG106" s="58">
        <f t="shared" si="60"/>
        <v>0</v>
      </c>
      <c r="AH106" s="58">
        <f t="shared" si="60"/>
        <v>0</v>
      </c>
      <c r="AI106" s="58">
        <f t="shared" si="60"/>
        <v>0</v>
      </c>
      <c r="AJ106" s="58">
        <f t="shared" si="60"/>
        <v>0</v>
      </c>
      <c r="AK106" s="58">
        <f t="shared" si="60"/>
        <v>0</v>
      </c>
      <c r="AL106" s="58">
        <f t="shared" si="60"/>
        <v>0</v>
      </c>
      <c r="AM106" s="58">
        <f t="shared" si="60"/>
        <v>0</v>
      </c>
      <c r="AN106" s="58">
        <f t="shared" si="60"/>
        <v>0</v>
      </c>
      <c r="AO106" s="58">
        <f t="shared" si="60"/>
        <v>0</v>
      </c>
      <c r="AP106" s="58">
        <f t="shared" si="60"/>
        <v>0</v>
      </c>
      <c r="AQ106" s="58">
        <f t="shared" si="60"/>
        <v>0</v>
      </c>
      <c r="AR106" s="58">
        <f t="shared" si="60"/>
        <v>0</v>
      </c>
      <c r="AS106" s="58">
        <f t="shared" si="60"/>
        <v>0</v>
      </c>
      <c r="AT106" s="58">
        <f t="shared" si="60"/>
        <v>0</v>
      </c>
      <c r="AU106" s="58">
        <f t="shared" si="60"/>
        <v>0</v>
      </c>
      <c r="AV106" s="58">
        <f t="shared" si="60"/>
        <v>0</v>
      </c>
      <c r="AW106" s="58">
        <f t="shared" si="60"/>
        <v>0</v>
      </c>
      <c r="AX106" s="58">
        <f t="shared" si="60"/>
        <v>0</v>
      </c>
      <c r="AY106" s="58">
        <f t="shared" si="60"/>
        <v>0</v>
      </c>
      <c r="AZ106" s="58">
        <f t="shared" si="60"/>
        <v>0</v>
      </c>
      <c r="BA106" s="58">
        <f t="shared" si="60"/>
        <v>0</v>
      </c>
      <c r="BB106" s="58">
        <f t="shared" si="60"/>
        <v>0</v>
      </c>
      <c r="BC106" s="58">
        <f t="shared" si="60"/>
        <v>0</v>
      </c>
      <c r="BD106" s="58">
        <f t="shared" si="60"/>
        <v>0</v>
      </c>
      <c r="BE106" s="58">
        <f t="shared" si="60"/>
        <v>0</v>
      </c>
      <c r="BF106" s="58">
        <f t="shared" si="60"/>
        <v>0</v>
      </c>
      <c r="BG106" s="58">
        <f t="shared" si="60"/>
        <v>0</v>
      </c>
      <c r="BH106" s="58">
        <f t="shared" si="60"/>
        <v>0</v>
      </c>
      <c r="BI106" s="58">
        <f t="shared" si="60"/>
        <v>0</v>
      </c>
      <c r="BJ106" s="58">
        <f t="shared" si="60"/>
        <v>0</v>
      </c>
      <c r="BK106" s="58">
        <f t="shared" si="60"/>
        <v>0</v>
      </c>
      <c r="BL106" s="58">
        <f t="shared" si="60"/>
        <v>0</v>
      </c>
      <c r="BM106" s="58">
        <f t="shared" si="60"/>
        <v>0</v>
      </c>
      <c r="BN106" s="58">
        <f t="shared" si="60"/>
        <v>0</v>
      </c>
    </row>
    <row r="107" outlineLevel="1">
      <c r="A107" s="86"/>
      <c r="B107" s="56" t="str">
        <f t="shared" si="61"/>
        <v>Asset 2</v>
      </c>
      <c r="C107" s="86"/>
      <c r="D107" s="86"/>
      <c r="E107" s="86"/>
      <c r="F107" s="58"/>
      <c r="G107" s="58">
        <f t="shared" si="62"/>
        <v>0</v>
      </c>
      <c r="H107" s="58">
        <f t="shared" ref="H107:BN107" si="63">MIN(G107+ IF(H$4&gt;=$D101,$C101/($E101*12),0),$C101)</f>
        <v>0</v>
      </c>
      <c r="I107" s="58">
        <f t="shared" si="63"/>
        <v>0</v>
      </c>
      <c r="J107" s="58">
        <f t="shared" si="63"/>
        <v>0</v>
      </c>
      <c r="K107" s="58">
        <f t="shared" si="63"/>
        <v>0</v>
      </c>
      <c r="L107" s="58">
        <f t="shared" si="63"/>
        <v>0</v>
      </c>
      <c r="M107" s="58">
        <f t="shared" si="63"/>
        <v>0</v>
      </c>
      <c r="N107" s="58">
        <f t="shared" si="63"/>
        <v>0</v>
      </c>
      <c r="O107" s="58">
        <f t="shared" si="63"/>
        <v>0</v>
      </c>
      <c r="P107" s="58">
        <f t="shared" si="63"/>
        <v>0</v>
      </c>
      <c r="Q107" s="58">
        <f t="shared" si="63"/>
        <v>0</v>
      </c>
      <c r="R107" s="58">
        <f t="shared" si="63"/>
        <v>0</v>
      </c>
      <c r="S107" s="58">
        <f t="shared" si="63"/>
        <v>0</v>
      </c>
      <c r="T107" s="58">
        <f t="shared" si="63"/>
        <v>0</v>
      </c>
      <c r="U107" s="58">
        <f t="shared" si="63"/>
        <v>0</v>
      </c>
      <c r="V107" s="58">
        <f t="shared" si="63"/>
        <v>0</v>
      </c>
      <c r="W107" s="58">
        <f t="shared" si="63"/>
        <v>0</v>
      </c>
      <c r="X107" s="58">
        <f t="shared" si="63"/>
        <v>0</v>
      </c>
      <c r="Y107" s="58">
        <f t="shared" si="63"/>
        <v>0</v>
      </c>
      <c r="Z107" s="58">
        <f t="shared" si="63"/>
        <v>0</v>
      </c>
      <c r="AA107" s="58">
        <f t="shared" si="63"/>
        <v>0</v>
      </c>
      <c r="AB107" s="58">
        <f t="shared" si="63"/>
        <v>0</v>
      </c>
      <c r="AC107" s="58">
        <f t="shared" si="63"/>
        <v>0</v>
      </c>
      <c r="AD107" s="58">
        <f t="shared" si="63"/>
        <v>0</v>
      </c>
      <c r="AE107" s="58">
        <f t="shared" si="63"/>
        <v>0</v>
      </c>
      <c r="AF107" s="58">
        <f t="shared" si="63"/>
        <v>0</v>
      </c>
      <c r="AG107" s="58">
        <f t="shared" si="63"/>
        <v>0</v>
      </c>
      <c r="AH107" s="58">
        <f t="shared" si="63"/>
        <v>0</v>
      </c>
      <c r="AI107" s="58">
        <f t="shared" si="63"/>
        <v>0</v>
      </c>
      <c r="AJ107" s="58">
        <f t="shared" si="63"/>
        <v>0</v>
      </c>
      <c r="AK107" s="58">
        <f t="shared" si="63"/>
        <v>0</v>
      </c>
      <c r="AL107" s="58">
        <f t="shared" si="63"/>
        <v>0</v>
      </c>
      <c r="AM107" s="58">
        <f t="shared" si="63"/>
        <v>0</v>
      </c>
      <c r="AN107" s="58">
        <f t="shared" si="63"/>
        <v>0</v>
      </c>
      <c r="AO107" s="58">
        <f t="shared" si="63"/>
        <v>0</v>
      </c>
      <c r="AP107" s="58">
        <f t="shared" si="63"/>
        <v>0</v>
      </c>
      <c r="AQ107" s="58">
        <f t="shared" si="63"/>
        <v>0</v>
      </c>
      <c r="AR107" s="58">
        <f t="shared" si="63"/>
        <v>0</v>
      </c>
      <c r="AS107" s="58">
        <f t="shared" si="63"/>
        <v>0</v>
      </c>
      <c r="AT107" s="58">
        <f t="shared" si="63"/>
        <v>0</v>
      </c>
      <c r="AU107" s="58">
        <f t="shared" si="63"/>
        <v>0</v>
      </c>
      <c r="AV107" s="58">
        <f t="shared" si="63"/>
        <v>0</v>
      </c>
      <c r="AW107" s="58">
        <f t="shared" si="63"/>
        <v>0</v>
      </c>
      <c r="AX107" s="58">
        <f t="shared" si="63"/>
        <v>0</v>
      </c>
      <c r="AY107" s="58">
        <f t="shared" si="63"/>
        <v>0</v>
      </c>
      <c r="AZ107" s="58">
        <f t="shared" si="63"/>
        <v>0</v>
      </c>
      <c r="BA107" s="58">
        <f t="shared" si="63"/>
        <v>0</v>
      </c>
      <c r="BB107" s="58">
        <f t="shared" si="63"/>
        <v>0</v>
      </c>
      <c r="BC107" s="58">
        <f t="shared" si="63"/>
        <v>0</v>
      </c>
      <c r="BD107" s="58">
        <f t="shared" si="63"/>
        <v>0</v>
      </c>
      <c r="BE107" s="58">
        <f t="shared" si="63"/>
        <v>0</v>
      </c>
      <c r="BF107" s="58">
        <f t="shared" si="63"/>
        <v>0</v>
      </c>
      <c r="BG107" s="58">
        <f t="shared" si="63"/>
        <v>0</v>
      </c>
      <c r="BH107" s="58">
        <f t="shared" si="63"/>
        <v>0</v>
      </c>
      <c r="BI107" s="58">
        <f t="shared" si="63"/>
        <v>0</v>
      </c>
      <c r="BJ107" s="58">
        <f t="shared" si="63"/>
        <v>0</v>
      </c>
      <c r="BK107" s="58">
        <f t="shared" si="63"/>
        <v>0</v>
      </c>
      <c r="BL107" s="58">
        <f t="shared" si="63"/>
        <v>0</v>
      </c>
      <c r="BM107" s="58">
        <f t="shared" si="63"/>
        <v>0</v>
      </c>
      <c r="BN107" s="58">
        <f t="shared" si="63"/>
        <v>0</v>
      </c>
    </row>
    <row r="108" outlineLevel="1">
      <c r="A108" s="86"/>
      <c r="B108" s="56" t="str">
        <f t="shared" si="61"/>
        <v>Asset 3</v>
      </c>
      <c r="C108" s="86"/>
      <c r="D108" s="86"/>
      <c r="E108" s="86"/>
      <c r="F108" s="58"/>
      <c r="G108" s="58">
        <f t="shared" si="62"/>
        <v>0</v>
      </c>
      <c r="H108" s="58">
        <f t="shared" ref="H108:BN108" si="64">MIN(G108+ IF(H$4&gt;=$D102,$C102/($E102*12),0),$C102)</f>
        <v>0</v>
      </c>
      <c r="I108" s="58">
        <f t="shared" si="64"/>
        <v>0</v>
      </c>
      <c r="J108" s="58">
        <f t="shared" si="64"/>
        <v>0</v>
      </c>
      <c r="K108" s="58">
        <f t="shared" si="64"/>
        <v>0</v>
      </c>
      <c r="L108" s="58">
        <f t="shared" si="64"/>
        <v>0</v>
      </c>
      <c r="M108" s="58">
        <f t="shared" si="64"/>
        <v>0</v>
      </c>
      <c r="N108" s="58">
        <f t="shared" si="64"/>
        <v>0</v>
      </c>
      <c r="O108" s="58">
        <f t="shared" si="64"/>
        <v>0</v>
      </c>
      <c r="P108" s="58">
        <f t="shared" si="64"/>
        <v>0</v>
      </c>
      <c r="Q108" s="58">
        <f t="shared" si="64"/>
        <v>0</v>
      </c>
      <c r="R108" s="58">
        <f t="shared" si="64"/>
        <v>0</v>
      </c>
      <c r="S108" s="58">
        <f t="shared" si="64"/>
        <v>0</v>
      </c>
      <c r="T108" s="58">
        <f t="shared" si="64"/>
        <v>0</v>
      </c>
      <c r="U108" s="58">
        <f t="shared" si="64"/>
        <v>0</v>
      </c>
      <c r="V108" s="58">
        <f t="shared" si="64"/>
        <v>0</v>
      </c>
      <c r="W108" s="58">
        <f t="shared" si="64"/>
        <v>0</v>
      </c>
      <c r="X108" s="58">
        <f t="shared" si="64"/>
        <v>0</v>
      </c>
      <c r="Y108" s="58">
        <f t="shared" si="64"/>
        <v>0</v>
      </c>
      <c r="Z108" s="58">
        <f t="shared" si="64"/>
        <v>0</v>
      </c>
      <c r="AA108" s="58">
        <f t="shared" si="64"/>
        <v>0</v>
      </c>
      <c r="AB108" s="58">
        <f t="shared" si="64"/>
        <v>0</v>
      </c>
      <c r="AC108" s="58">
        <f t="shared" si="64"/>
        <v>0</v>
      </c>
      <c r="AD108" s="58">
        <f t="shared" si="64"/>
        <v>0</v>
      </c>
      <c r="AE108" s="58">
        <f t="shared" si="64"/>
        <v>0</v>
      </c>
      <c r="AF108" s="58">
        <f t="shared" si="64"/>
        <v>0</v>
      </c>
      <c r="AG108" s="58">
        <f t="shared" si="64"/>
        <v>0</v>
      </c>
      <c r="AH108" s="58">
        <f t="shared" si="64"/>
        <v>0</v>
      </c>
      <c r="AI108" s="58">
        <f t="shared" si="64"/>
        <v>0</v>
      </c>
      <c r="AJ108" s="58">
        <f t="shared" si="64"/>
        <v>0</v>
      </c>
      <c r="AK108" s="58">
        <f t="shared" si="64"/>
        <v>0</v>
      </c>
      <c r="AL108" s="58">
        <f t="shared" si="64"/>
        <v>0</v>
      </c>
      <c r="AM108" s="58">
        <f t="shared" si="64"/>
        <v>0</v>
      </c>
      <c r="AN108" s="58">
        <f t="shared" si="64"/>
        <v>0</v>
      </c>
      <c r="AO108" s="58">
        <f t="shared" si="64"/>
        <v>0</v>
      </c>
      <c r="AP108" s="58">
        <f t="shared" si="64"/>
        <v>0</v>
      </c>
      <c r="AQ108" s="58">
        <f t="shared" si="64"/>
        <v>0</v>
      </c>
      <c r="AR108" s="58">
        <f t="shared" si="64"/>
        <v>0</v>
      </c>
      <c r="AS108" s="58">
        <f t="shared" si="64"/>
        <v>0</v>
      </c>
      <c r="AT108" s="58">
        <f t="shared" si="64"/>
        <v>0</v>
      </c>
      <c r="AU108" s="58">
        <f t="shared" si="64"/>
        <v>0</v>
      </c>
      <c r="AV108" s="58">
        <f t="shared" si="64"/>
        <v>0</v>
      </c>
      <c r="AW108" s="58">
        <f t="shared" si="64"/>
        <v>0</v>
      </c>
      <c r="AX108" s="58">
        <f t="shared" si="64"/>
        <v>0</v>
      </c>
      <c r="AY108" s="58">
        <f t="shared" si="64"/>
        <v>0</v>
      </c>
      <c r="AZ108" s="58">
        <f t="shared" si="64"/>
        <v>0</v>
      </c>
      <c r="BA108" s="58">
        <f t="shared" si="64"/>
        <v>0</v>
      </c>
      <c r="BB108" s="58">
        <f t="shared" si="64"/>
        <v>0</v>
      </c>
      <c r="BC108" s="58">
        <f t="shared" si="64"/>
        <v>0</v>
      </c>
      <c r="BD108" s="58">
        <f t="shared" si="64"/>
        <v>0</v>
      </c>
      <c r="BE108" s="58">
        <f t="shared" si="64"/>
        <v>0</v>
      </c>
      <c r="BF108" s="58">
        <f t="shared" si="64"/>
        <v>0</v>
      </c>
      <c r="BG108" s="58">
        <f t="shared" si="64"/>
        <v>0</v>
      </c>
      <c r="BH108" s="58">
        <f t="shared" si="64"/>
        <v>0</v>
      </c>
      <c r="BI108" s="58">
        <f t="shared" si="64"/>
        <v>0</v>
      </c>
      <c r="BJ108" s="58">
        <f t="shared" si="64"/>
        <v>0</v>
      </c>
      <c r="BK108" s="58">
        <f t="shared" si="64"/>
        <v>0</v>
      </c>
      <c r="BL108" s="58">
        <f t="shared" si="64"/>
        <v>0</v>
      </c>
      <c r="BM108" s="58">
        <f t="shared" si="64"/>
        <v>0</v>
      </c>
      <c r="BN108" s="58">
        <f t="shared" si="64"/>
        <v>0</v>
      </c>
    </row>
    <row r="109" outlineLevel="1">
      <c r="A109" s="86"/>
      <c r="B109" s="56" t="str">
        <f t="shared" si="61"/>
        <v>Asset 4</v>
      </c>
      <c r="C109" s="86"/>
      <c r="D109" s="86"/>
      <c r="E109" s="86"/>
      <c r="F109" s="58"/>
      <c r="G109" s="58">
        <f t="shared" si="62"/>
        <v>0</v>
      </c>
      <c r="H109" s="58">
        <f t="shared" ref="H109:BN109" si="65">MIN(G109+ IF(H$4&gt;=$D103,$C103/($E103*12),0),$C103)</f>
        <v>0</v>
      </c>
      <c r="I109" s="58">
        <f t="shared" si="65"/>
        <v>0</v>
      </c>
      <c r="J109" s="58">
        <f t="shared" si="65"/>
        <v>0</v>
      </c>
      <c r="K109" s="58">
        <f t="shared" si="65"/>
        <v>0</v>
      </c>
      <c r="L109" s="58">
        <f t="shared" si="65"/>
        <v>0</v>
      </c>
      <c r="M109" s="58">
        <f t="shared" si="65"/>
        <v>0</v>
      </c>
      <c r="N109" s="58">
        <f t="shared" si="65"/>
        <v>0</v>
      </c>
      <c r="O109" s="58">
        <f t="shared" si="65"/>
        <v>0</v>
      </c>
      <c r="P109" s="58">
        <f t="shared" si="65"/>
        <v>0</v>
      </c>
      <c r="Q109" s="58">
        <f t="shared" si="65"/>
        <v>0</v>
      </c>
      <c r="R109" s="58">
        <f t="shared" si="65"/>
        <v>0</v>
      </c>
      <c r="S109" s="58">
        <f t="shared" si="65"/>
        <v>0</v>
      </c>
      <c r="T109" s="58">
        <f t="shared" si="65"/>
        <v>0</v>
      </c>
      <c r="U109" s="58">
        <f t="shared" si="65"/>
        <v>0</v>
      </c>
      <c r="V109" s="58">
        <f t="shared" si="65"/>
        <v>0</v>
      </c>
      <c r="W109" s="58">
        <f t="shared" si="65"/>
        <v>0</v>
      </c>
      <c r="X109" s="58">
        <f t="shared" si="65"/>
        <v>0</v>
      </c>
      <c r="Y109" s="58">
        <f t="shared" si="65"/>
        <v>0</v>
      </c>
      <c r="Z109" s="58">
        <f t="shared" si="65"/>
        <v>0</v>
      </c>
      <c r="AA109" s="58">
        <f t="shared" si="65"/>
        <v>0</v>
      </c>
      <c r="AB109" s="58">
        <f t="shared" si="65"/>
        <v>0</v>
      </c>
      <c r="AC109" s="58">
        <f t="shared" si="65"/>
        <v>0</v>
      </c>
      <c r="AD109" s="58">
        <f t="shared" si="65"/>
        <v>0</v>
      </c>
      <c r="AE109" s="58">
        <f t="shared" si="65"/>
        <v>0</v>
      </c>
      <c r="AF109" s="58">
        <f t="shared" si="65"/>
        <v>0</v>
      </c>
      <c r="AG109" s="58">
        <f t="shared" si="65"/>
        <v>0</v>
      </c>
      <c r="AH109" s="58">
        <f t="shared" si="65"/>
        <v>0</v>
      </c>
      <c r="AI109" s="58">
        <f t="shared" si="65"/>
        <v>0</v>
      </c>
      <c r="AJ109" s="58">
        <f t="shared" si="65"/>
        <v>0</v>
      </c>
      <c r="AK109" s="58">
        <f t="shared" si="65"/>
        <v>0</v>
      </c>
      <c r="AL109" s="58">
        <f t="shared" si="65"/>
        <v>0</v>
      </c>
      <c r="AM109" s="58">
        <f t="shared" si="65"/>
        <v>0</v>
      </c>
      <c r="AN109" s="58">
        <f t="shared" si="65"/>
        <v>0</v>
      </c>
      <c r="AO109" s="58">
        <f t="shared" si="65"/>
        <v>0</v>
      </c>
      <c r="AP109" s="58">
        <f t="shared" si="65"/>
        <v>0</v>
      </c>
      <c r="AQ109" s="58">
        <f t="shared" si="65"/>
        <v>0</v>
      </c>
      <c r="AR109" s="58">
        <f t="shared" si="65"/>
        <v>0</v>
      </c>
      <c r="AS109" s="58">
        <f t="shared" si="65"/>
        <v>0</v>
      </c>
      <c r="AT109" s="58">
        <f t="shared" si="65"/>
        <v>0</v>
      </c>
      <c r="AU109" s="58">
        <f t="shared" si="65"/>
        <v>0</v>
      </c>
      <c r="AV109" s="58">
        <f t="shared" si="65"/>
        <v>0</v>
      </c>
      <c r="AW109" s="58">
        <f t="shared" si="65"/>
        <v>0</v>
      </c>
      <c r="AX109" s="58">
        <f t="shared" si="65"/>
        <v>0</v>
      </c>
      <c r="AY109" s="58">
        <f t="shared" si="65"/>
        <v>0</v>
      </c>
      <c r="AZ109" s="58">
        <f t="shared" si="65"/>
        <v>0</v>
      </c>
      <c r="BA109" s="58">
        <f t="shared" si="65"/>
        <v>0</v>
      </c>
      <c r="BB109" s="58">
        <f t="shared" si="65"/>
        <v>0</v>
      </c>
      <c r="BC109" s="58">
        <f t="shared" si="65"/>
        <v>0</v>
      </c>
      <c r="BD109" s="58">
        <f t="shared" si="65"/>
        <v>0</v>
      </c>
      <c r="BE109" s="58">
        <f t="shared" si="65"/>
        <v>0</v>
      </c>
      <c r="BF109" s="58">
        <f t="shared" si="65"/>
        <v>0</v>
      </c>
      <c r="BG109" s="58">
        <f t="shared" si="65"/>
        <v>0</v>
      </c>
      <c r="BH109" s="58">
        <f t="shared" si="65"/>
        <v>0</v>
      </c>
      <c r="BI109" s="58">
        <f t="shared" si="65"/>
        <v>0</v>
      </c>
      <c r="BJ109" s="58">
        <f t="shared" si="65"/>
        <v>0</v>
      </c>
      <c r="BK109" s="58">
        <f t="shared" si="65"/>
        <v>0</v>
      </c>
      <c r="BL109" s="58">
        <f t="shared" si="65"/>
        <v>0</v>
      </c>
      <c r="BM109" s="58">
        <f t="shared" si="65"/>
        <v>0</v>
      </c>
      <c r="BN109" s="58">
        <f t="shared" si="65"/>
        <v>0</v>
      </c>
    </row>
    <row r="110" outlineLevel="1">
      <c r="A110" s="47"/>
      <c r="B110" s="39"/>
      <c r="C110" s="47"/>
      <c r="D110" s="47"/>
      <c r="E110" s="47"/>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row>
    <row r="111" outlineLevel="1">
      <c r="A111" s="47"/>
      <c r="B111" s="99" t="s">
        <v>96</v>
      </c>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row>
    <row r="112" outlineLevel="1">
      <c r="A112" s="47"/>
      <c r="B112" s="39"/>
      <c r="C112" s="47"/>
      <c r="D112" s="47"/>
      <c r="E112" s="47"/>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row>
    <row r="113" outlineLevel="1">
      <c r="A113" s="47"/>
      <c r="B113" s="76" t="s">
        <v>97</v>
      </c>
      <c r="C113" s="109">
        <v>15.0</v>
      </c>
      <c r="D113" s="39" t="s">
        <v>98</v>
      </c>
      <c r="E113" s="47"/>
      <c r="F113" s="104"/>
      <c r="G113" s="104">
        <f t="shared" ref="G113:BN113" si="66">SUM(G60,G71,G76,G82,G85)*$C113/30</f>
        <v>21607.5</v>
      </c>
      <c r="H113" s="104">
        <f t="shared" si="66"/>
        <v>21607.5</v>
      </c>
      <c r="I113" s="104">
        <f t="shared" si="66"/>
        <v>21607.5</v>
      </c>
      <c r="J113" s="104">
        <f t="shared" si="66"/>
        <v>21607.5</v>
      </c>
      <c r="K113" s="104">
        <f t="shared" si="66"/>
        <v>21607.5</v>
      </c>
      <c r="L113" s="104">
        <f t="shared" si="66"/>
        <v>21607.5</v>
      </c>
      <c r="M113" s="104">
        <f t="shared" si="66"/>
        <v>21607.5</v>
      </c>
      <c r="N113" s="104">
        <f t="shared" si="66"/>
        <v>21607.5</v>
      </c>
      <c r="O113" s="104">
        <f t="shared" si="66"/>
        <v>21607.5</v>
      </c>
      <c r="P113" s="104">
        <f t="shared" si="66"/>
        <v>21607.5</v>
      </c>
      <c r="Q113" s="104">
        <f t="shared" si="66"/>
        <v>21607.5</v>
      </c>
      <c r="R113" s="104">
        <f t="shared" si="66"/>
        <v>21607.5</v>
      </c>
      <c r="S113" s="104">
        <f t="shared" si="66"/>
        <v>21607.5</v>
      </c>
      <c r="T113" s="104">
        <f t="shared" si="66"/>
        <v>21607.5</v>
      </c>
      <c r="U113" s="104">
        <f t="shared" si="66"/>
        <v>21607.5</v>
      </c>
      <c r="V113" s="104">
        <f t="shared" si="66"/>
        <v>21607.5</v>
      </c>
      <c r="W113" s="104">
        <f t="shared" si="66"/>
        <v>21607.5</v>
      </c>
      <c r="X113" s="104">
        <f t="shared" si="66"/>
        <v>21607.5</v>
      </c>
      <c r="Y113" s="104">
        <f t="shared" si="66"/>
        <v>21607.5</v>
      </c>
      <c r="Z113" s="104">
        <f t="shared" si="66"/>
        <v>21607.5</v>
      </c>
      <c r="AA113" s="104">
        <f t="shared" si="66"/>
        <v>21607.5</v>
      </c>
      <c r="AB113" s="104">
        <f t="shared" si="66"/>
        <v>21607.5</v>
      </c>
      <c r="AC113" s="104">
        <f t="shared" si="66"/>
        <v>21607.5</v>
      </c>
      <c r="AD113" s="104">
        <f t="shared" si="66"/>
        <v>21607.5</v>
      </c>
      <c r="AE113" s="104">
        <f t="shared" si="66"/>
        <v>21607.5</v>
      </c>
      <c r="AF113" s="104">
        <f t="shared" si="66"/>
        <v>21607.5</v>
      </c>
      <c r="AG113" s="104">
        <f t="shared" si="66"/>
        <v>21607.5</v>
      </c>
      <c r="AH113" s="104">
        <f t="shared" si="66"/>
        <v>21607.5</v>
      </c>
      <c r="AI113" s="104">
        <f t="shared" si="66"/>
        <v>21607.5</v>
      </c>
      <c r="AJ113" s="104">
        <f t="shared" si="66"/>
        <v>21607.5</v>
      </c>
      <c r="AK113" s="104">
        <f t="shared" si="66"/>
        <v>21607.5</v>
      </c>
      <c r="AL113" s="104">
        <f t="shared" si="66"/>
        <v>21607.5</v>
      </c>
      <c r="AM113" s="104">
        <f t="shared" si="66"/>
        <v>21607.5</v>
      </c>
      <c r="AN113" s="104">
        <f t="shared" si="66"/>
        <v>21607.5</v>
      </c>
      <c r="AO113" s="104">
        <f t="shared" si="66"/>
        <v>21607.5</v>
      </c>
      <c r="AP113" s="104">
        <f t="shared" si="66"/>
        <v>21607.5</v>
      </c>
      <c r="AQ113" s="104">
        <f t="shared" si="66"/>
        <v>21607.5</v>
      </c>
      <c r="AR113" s="104">
        <f t="shared" si="66"/>
        <v>21607.5</v>
      </c>
      <c r="AS113" s="104">
        <f t="shared" si="66"/>
        <v>21607.5</v>
      </c>
      <c r="AT113" s="104">
        <f t="shared" si="66"/>
        <v>21607.5</v>
      </c>
      <c r="AU113" s="104">
        <f t="shared" si="66"/>
        <v>21607.5</v>
      </c>
      <c r="AV113" s="104">
        <f t="shared" si="66"/>
        <v>21607.5</v>
      </c>
      <c r="AW113" s="104">
        <f t="shared" si="66"/>
        <v>21607.5</v>
      </c>
      <c r="AX113" s="104">
        <f t="shared" si="66"/>
        <v>21607.5</v>
      </c>
      <c r="AY113" s="104">
        <f t="shared" si="66"/>
        <v>21607.5</v>
      </c>
      <c r="AZ113" s="104">
        <f t="shared" si="66"/>
        <v>21607.5</v>
      </c>
      <c r="BA113" s="104">
        <f t="shared" si="66"/>
        <v>21607.5</v>
      </c>
      <c r="BB113" s="104">
        <f t="shared" si="66"/>
        <v>21607.5</v>
      </c>
      <c r="BC113" s="104">
        <f t="shared" si="66"/>
        <v>21607.5</v>
      </c>
      <c r="BD113" s="104">
        <f t="shared" si="66"/>
        <v>21607.5</v>
      </c>
      <c r="BE113" s="104">
        <f t="shared" si="66"/>
        <v>21607.5</v>
      </c>
      <c r="BF113" s="104">
        <f t="shared" si="66"/>
        <v>21607.5</v>
      </c>
      <c r="BG113" s="104">
        <f t="shared" si="66"/>
        <v>21607.5</v>
      </c>
      <c r="BH113" s="104">
        <f t="shared" si="66"/>
        <v>21607.5</v>
      </c>
      <c r="BI113" s="104">
        <f t="shared" si="66"/>
        <v>21607.5</v>
      </c>
      <c r="BJ113" s="104">
        <f t="shared" si="66"/>
        <v>21607.5</v>
      </c>
      <c r="BK113" s="104">
        <f t="shared" si="66"/>
        <v>21607.5</v>
      </c>
      <c r="BL113" s="104">
        <f t="shared" si="66"/>
        <v>21607.5</v>
      </c>
      <c r="BM113" s="104">
        <f t="shared" si="66"/>
        <v>21607.5</v>
      </c>
      <c r="BN113" s="104">
        <f t="shared" si="66"/>
        <v>21607.5</v>
      </c>
    </row>
    <row r="114" outlineLevel="1">
      <c r="A114" s="47"/>
      <c r="B114" s="47"/>
      <c r="C114" s="47"/>
      <c r="D114" s="47"/>
      <c r="E114" s="47"/>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row>
    <row r="115" outlineLevel="1">
      <c r="A115" s="47"/>
      <c r="B115" s="99" t="s">
        <v>99</v>
      </c>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row>
    <row r="116" outlineLevel="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row>
    <row r="117" outlineLevel="1">
      <c r="A117" s="86"/>
      <c r="B117" s="56" t="s">
        <v>100</v>
      </c>
      <c r="C117" s="57">
        <v>120000.0</v>
      </c>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row>
    <row r="118" outlineLevel="1">
      <c r="A118" s="47"/>
      <c r="B118" s="39" t="s">
        <v>101</v>
      </c>
      <c r="C118" s="78">
        <v>0.09</v>
      </c>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row>
    <row r="119" outlineLevel="1">
      <c r="A119" s="47"/>
      <c r="B119" s="39"/>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row>
    <row r="120" outlineLevel="1">
      <c r="A120" s="47"/>
      <c r="B120" s="110" t="s">
        <v>102</v>
      </c>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row>
    <row r="121" outlineLevel="1">
      <c r="A121" s="47"/>
      <c r="B121" s="112" t="s">
        <v>103</v>
      </c>
      <c r="C121" s="39" t="s">
        <v>104</v>
      </c>
      <c r="D121" s="39" t="s">
        <v>105</v>
      </c>
      <c r="E121" s="113"/>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row>
    <row r="122" outlineLevel="1">
      <c r="A122" s="47"/>
      <c r="B122" s="79" t="s">
        <v>106</v>
      </c>
      <c r="C122" s="114">
        <v>0.0</v>
      </c>
      <c r="D122" s="115">
        <v>44562.0</v>
      </c>
      <c r="E122" s="116"/>
      <c r="F122" s="58"/>
      <c r="G122" s="58">
        <f t="shared" ref="G122:BN122" si="67">IF(AND(Month(G$4)=Month($D122),Year(G$4)=Year($D122)),$C122,0)</f>
        <v>0</v>
      </c>
      <c r="H122" s="58">
        <f t="shared" si="67"/>
        <v>0</v>
      </c>
      <c r="I122" s="58">
        <f t="shared" si="67"/>
        <v>0</v>
      </c>
      <c r="J122" s="58">
        <f t="shared" si="67"/>
        <v>0</v>
      </c>
      <c r="K122" s="58">
        <f t="shared" si="67"/>
        <v>0</v>
      </c>
      <c r="L122" s="58">
        <f t="shared" si="67"/>
        <v>0</v>
      </c>
      <c r="M122" s="58">
        <f t="shared" si="67"/>
        <v>0</v>
      </c>
      <c r="N122" s="58">
        <f t="shared" si="67"/>
        <v>0</v>
      </c>
      <c r="O122" s="58">
        <f t="shared" si="67"/>
        <v>0</v>
      </c>
      <c r="P122" s="58">
        <f t="shared" si="67"/>
        <v>0</v>
      </c>
      <c r="Q122" s="58">
        <f t="shared" si="67"/>
        <v>0</v>
      </c>
      <c r="R122" s="58">
        <f t="shared" si="67"/>
        <v>0</v>
      </c>
      <c r="S122" s="58">
        <f t="shared" si="67"/>
        <v>0</v>
      </c>
      <c r="T122" s="58">
        <f t="shared" si="67"/>
        <v>0</v>
      </c>
      <c r="U122" s="58">
        <f t="shared" si="67"/>
        <v>0</v>
      </c>
      <c r="V122" s="58">
        <f t="shared" si="67"/>
        <v>0</v>
      </c>
      <c r="W122" s="58">
        <f t="shared" si="67"/>
        <v>0</v>
      </c>
      <c r="X122" s="58">
        <f t="shared" si="67"/>
        <v>0</v>
      </c>
      <c r="Y122" s="58">
        <f t="shared" si="67"/>
        <v>0</v>
      </c>
      <c r="Z122" s="58">
        <f t="shared" si="67"/>
        <v>0</v>
      </c>
      <c r="AA122" s="58">
        <f t="shared" si="67"/>
        <v>0</v>
      </c>
      <c r="AB122" s="58">
        <f t="shared" si="67"/>
        <v>0</v>
      </c>
      <c r="AC122" s="58">
        <f t="shared" si="67"/>
        <v>0</v>
      </c>
      <c r="AD122" s="58">
        <f t="shared" si="67"/>
        <v>0</v>
      </c>
      <c r="AE122" s="58">
        <f t="shared" si="67"/>
        <v>0</v>
      </c>
      <c r="AF122" s="58">
        <f t="shared" si="67"/>
        <v>0</v>
      </c>
      <c r="AG122" s="58">
        <f t="shared" si="67"/>
        <v>0</v>
      </c>
      <c r="AH122" s="58">
        <f t="shared" si="67"/>
        <v>0</v>
      </c>
      <c r="AI122" s="58">
        <f t="shared" si="67"/>
        <v>0</v>
      </c>
      <c r="AJ122" s="58">
        <f t="shared" si="67"/>
        <v>0</v>
      </c>
      <c r="AK122" s="58">
        <f t="shared" si="67"/>
        <v>0</v>
      </c>
      <c r="AL122" s="58">
        <f t="shared" si="67"/>
        <v>0</v>
      </c>
      <c r="AM122" s="58">
        <f t="shared" si="67"/>
        <v>0</v>
      </c>
      <c r="AN122" s="58">
        <f t="shared" si="67"/>
        <v>0</v>
      </c>
      <c r="AO122" s="58">
        <f t="shared" si="67"/>
        <v>0</v>
      </c>
      <c r="AP122" s="58">
        <f t="shared" si="67"/>
        <v>0</v>
      </c>
      <c r="AQ122" s="58">
        <f t="shared" si="67"/>
        <v>0</v>
      </c>
      <c r="AR122" s="58">
        <f t="shared" si="67"/>
        <v>0</v>
      </c>
      <c r="AS122" s="58">
        <f t="shared" si="67"/>
        <v>0</v>
      </c>
      <c r="AT122" s="58">
        <f t="shared" si="67"/>
        <v>0</v>
      </c>
      <c r="AU122" s="58">
        <f t="shared" si="67"/>
        <v>0</v>
      </c>
      <c r="AV122" s="58">
        <f t="shared" si="67"/>
        <v>0</v>
      </c>
      <c r="AW122" s="58">
        <f t="shared" si="67"/>
        <v>0</v>
      </c>
      <c r="AX122" s="58">
        <f t="shared" si="67"/>
        <v>0</v>
      </c>
      <c r="AY122" s="58">
        <f t="shared" si="67"/>
        <v>0</v>
      </c>
      <c r="AZ122" s="58">
        <f t="shared" si="67"/>
        <v>0</v>
      </c>
      <c r="BA122" s="58">
        <f t="shared" si="67"/>
        <v>0</v>
      </c>
      <c r="BB122" s="58">
        <f t="shared" si="67"/>
        <v>0</v>
      </c>
      <c r="BC122" s="58">
        <f t="shared" si="67"/>
        <v>0</v>
      </c>
      <c r="BD122" s="58">
        <f t="shared" si="67"/>
        <v>0</v>
      </c>
      <c r="BE122" s="58">
        <f t="shared" si="67"/>
        <v>0</v>
      </c>
      <c r="BF122" s="58">
        <f t="shared" si="67"/>
        <v>0</v>
      </c>
      <c r="BG122" s="58">
        <f t="shared" si="67"/>
        <v>0</v>
      </c>
      <c r="BH122" s="58">
        <f t="shared" si="67"/>
        <v>0</v>
      </c>
      <c r="BI122" s="58">
        <f t="shared" si="67"/>
        <v>0</v>
      </c>
      <c r="BJ122" s="58">
        <f t="shared" si="67"/>
        <v>0</v>
      </c>
      <c r="BK122" s="58">
        <f t="shared" si="67"/>
        <v>0</v>
      </c>
      <c r="BL122" s="58">
        <f t="shared" si="67"/>
        <v>0</v>
      </c>
      <c r="BM122" s="58">
        <f t="shared" si="67"/>
        <v>0</v>
      </c>
      <c r="BN122" s="58">
        <f t="shared" si="67"/>
        <v>0</v>
      </c>
    </row>
    <row r="123" outlineLevel="1">
      <c r="A123" s="47"/>
      <c r="B123" s="79" t="s">
        <v>107</v>
      </c>
      <c r="C123" s="114">
        <v>0.0</v>
      </c>
      <c r="D123" s="115"/>
      <c r="E123" s="116"/>
      <c r="F123" s="58"/>
      <c r="G123" s="58">
        <f t="shared" ref="G123:BN123" si="68">IF(AND(Month(G$4)=Month($D123),Year(G$4)=Year($D123)),$C123,0)</f>
        <v>0</v>
      </c>
      <c r="H123" s="58">
        <f t="shared" si="68"/>
        <v>0</v>
      </c>
      <c r="I123" s="58">
        <f t="shared" si="68"/>
        <v>0</v>
      </c>
      <c r="J123" s="58">
        <f t="shared" si="68"/>
        <v>0</v>
      </c>
      <c r="K123" s="58">
        <f t="shared" si="68"/>
        <v>0</v>
      </c>
      <c r="L123" s="58">
        <f t="shared" si="68"/>
        <v>0</v>
      </c>
      <c r="M123" s="58">
        <f t="shared" si="68"/>
        <v>0</v>
      </c>
      <c r="N123" s="58">
        <f t="shared" si="68"/>
        <v>0</v>
      </c>
      <c r="O123" s="58">
        <f t="shared" si="68"/>
        <v>0</v>
      </c>
      <c r="P123" s="58">
        <f t="shared" si="68"/>
        <v>0</v>
      </c>
      <c r="Q123" s="58">
        <f t="shared" si="68"/>
        <v>0</v>
      </c>
      <c r="R123" s="58">
        <f t="shared" si="68"/>
        <v>0</v>
      </c>
      <c r="S123" s="58">
        <f t="shared" si="68"/>
        <v>0</v>
      </c>
      <c r="T123" s="58">
        <f t="shared" si="68"/>
        <v>0</v>
      </c>
      <c r="U123" s="58">
        <f t="shared" si="68"/>
        <v>0</v>
      </c>
      <c r="V123" s="58">
        <f t="shared" si="68"/>
        <v>0</v>
      </c>
      <c r="W123" s="58">
        <f t="shared" si="68"/>
        <v>0</v>
      </c>
      <c r="X123" s="58">
        <f t="shared" si="68"/>
        <v>0</v>
      </c>
      <c r="Y123" s="58">
        <f t="shared" si="68"/>
        <v>0</v>
      </c>
      <c r="Z123" s="58">
        <f t="shared" si="68"/>
        <v>0</v>
      </c>
      <c r="AA123" s="58">
        <f t="shared" si="68"/>
        <v>0</v>
      </c>
      <c r="AB123" s="58">
        <f t="shared" si="68"/>
        <v>0</v>
      </c>
      <c r="AC123" s="58">
        <f t="shared" si="68"/>
        <v>0</v>
      </c>
      <c r="AD123" s="58">
        <f t="shared" si="68"/>
        <v>0</v>
      </c>
      <c r="AE123" s="58">
        <f t="shared" si="68"/>
        <v>0</v>
      </c>
      <c r="AF123" s="58">
        <f t="shared" si="68"/>
        <v>0</v>
      </c>
      <c r="AG123" s="58">
        <f t="shared" si="68"/>
        <v>0</v>
      </c>
      <c r="AH123" s="58">
        <f t="shared" si="68"/>
        <v>0</v>
      </c>
      <c r="AI123" s="58">
        <f t="shared" si="68"/>
        <v>0</v>
      </c>
      <c r="AJ123" s="58">
        <f t="shared" si="68"/>
        <v>0</v>
      </c>
      <c r="AK123" s="58">
        <f t="shared" si="68"/>
        <v>0</v>
      </c>
      <c r="AL123" s="58">
        <f t="shared" si="68"/>
        <v>0</v>
      </c>
      <c r="AM123" s="58">
        <f t="shared" si="68"/>
        <v>0</v>
      </c>
      <c r="AN123" s="58">
        <f t="shared" si="68"/>
        <v>0</v>
      </c>
      <c r="AO123" s="58">
        <f t="shared" si="68"/>
        <v>0</v>
      </c>
      <c r="AP123" s="58">
        <f t="shared" si="68"/>
        <v>0</v>
      </c>
      <c r="AQ123" s="58">
        <f t="shared" si="68"/>
        <v>0</v>
      </c>
      <c r="AR123" s="58">
        <f t="shared" si="68"/>
        <v>0</v>
      </c>
      <c r="AS123" s="58">
        <f t="shared" si="68"/>
        <v>0</v>
      </c>
      <c r="AT123" s="58">
        <f t="shared" si="68"/>
        <v>0</v>
      </c>
      <c r="AU123" s="58">
        <f t="shared" si="68"/>
        <v>0</v>
      </c>
      <c r="AV123" s="58">
        <f t="shared" si="68"/>
        <v>0</v>
      </c>
      <c r="AW123" s="58">
        <f t="shared" si="68"/>
        <v>0</v>
      </c>
      <c r="AX123" s="58">
        <f t="shared" si="68"/>
        <v>0</v>
      </c>
      <c r="AY123" s="58">
        <f t="shared" si="68"/>
        <v>0</v>
      </c>
      <c r="AZ123" s="58">
        <f t="shared" si="68"/>
        <v>0</v>
      </c>
      <c r="BA123" s="58">
        <f t="shared" si="68"/>
        <v>0</v>
      </c>
      <c r="BB123" s="58">
        <f t="shared" si="68"/>
        <v>0</v>
      </c>
      <c r="BC123" s="58">
        <f t="shared" si="68"/>
        <v>0</v>
      </c>
      <c r="BD123" s="58">
        <f t="shared" si="68"/>
        <v>0</v>
      </c>
      <c r="BE123" s="58">
        <f t="shared" si="68"/>
        <v>0</v>
      </c>
      <c r="BF123" s="58">
        <f t="shared" si="68"/>
        <v>0</v>
      </c>
      <c r="BG123" s="58">
        <f t="shared" si="68"/>
        <v>0</v>
      </c>
      <c r="BH123" s="58">
        <f t="shared" si="68"/>
        <v>0</v>
      </c>
      <c r="BI123" s="58">
        <f t="shared" si="68"/>
        <v>0</v>
      </c>
      <c r="BJ123" s="58">
        <f t="shared" si="68"/>
        <v>0</v>
      </c>
      <c r="BK123" s="58">
        <f t="shared" si="68"/>
        <v>0</v>
      </c>
      <c r="BL123" s="58">
        <f t="shared" si="68"/>
        <v>0</v>
      </c>
      <c r="BM123" s="58">
        <f t="shared" si="68"/>
        <v>0</v>
      </c>
      <c r="BN123" s="58">
        <f t="shared" si="68"/>
        <v>0</v>
      </c>
    </row>
    <row r="124" outlineLevel="1">
      <c r="A124" s="47"/>
      <c r="B124" s="79" t="s">
        <v>108</v>
      </c>
      <c r="C124" s="114">
        <v>0.0</v>
      </c>
      <c r="D124" s="115"/>
      <c r="E124" s="116"/>
      <c r="F124" s="58"/>
      <c r="G124" s="58">
        <f t="shared" ref="G124:BN124" si="69">IF(AND(Month(G$4)=Month($D124),Year(G$4)=Year($D124)),$C124,0)</f>
        <v>0</v>
      </c>
      <c r="H124" s="58">
        <f t="shared" si="69"/>
        <v>0</v>
      </c>
      <c r="I124" s="58">
        <f t="shared" si="69"/>
        <v>0</v>
      </c>
      <c r="J124" s="58">
        <f t="shared" si="69"/>
        <v>0</v>
      </c>
      <c r="K124" s="58">
        <f t="shared" si="69"/>
        <v>0</v>
      </c>
      <c r="L124" s="58">
        <f t="shared" si="69"/>
        <v>0</v>
      </c>
      <c r="M124" s="58">
        <f t="shared" si="69"/>
        <v>0</v>
      </c>
      <c r="N124" s="58">
        <f t="shared" si="69"/>
        <v>0</v>
      </c>
      <c r="O124" s="58">
        <f t="shared" si="69"/>
        <v>0</v>
      </c>
      <c r="P124" s="58">
        <f t="shared" si="69"/>
        <v>0</v>
      </c>
      <c r="Q124" s="58">
        <f t="shared" si="69"/>
        <v>0</v>
      </c>
      <c r="R124" s="58">
        <f t="shared" si="69"/>
        <v>0</v>
      </c>
      <c r="S124" s="58">
        <f t="shared" si="69"/>
        <v>0</v>
      </c>
      <c r="T124" s="58">
        <f t="shared" si="69"/>
        <v>0</v>
      </c>
      <c r="U124" s="58">
        <f t="shared" si="69"/>
        <v>0</v>
      </c>
      <c r="V124" s="58">
        <f t="shared" si="69"/>
        <v>0</v>
      </c>
      <c r="W124" s="58">
        <f t="shared" si="69"/>
        <v>0</v>
      </c>
      <c r="X124" s="58">
        <f t="shared" si="69"/>
        <v>0</v>
      </c>
      <c r="Y124" s="58">
        <f t="shared" si="69"/>
        <v>0</v>
      </c>
      <c r="Z124" s="58">
        <f t="shared" si="69"/>
        <v>0</v>
      </c>
      <c r="AA124" s="58">
        <f t="shared" si="69"/>
        <v>0</v>
      </c>
      <c r="AB124" s="58">
        <f t="shared" si="69"/>
        <v>0</v>
      </c>
      <c r="AC124" s="58">
        <f t="shared" si="69"/>
        <v>0</v>
      </c>
      <c r="AD124" s="58">
        <f t="shared" si="69"/>
        <v>0</v>
      </c>
      <c r="AE124" s="58">
        <f t="shared" si="69"/>
        <v>0</v>
      </c>
      <c r="AF124" s="58">
        <f t="shared" si="69"/>
        <v>0</v>
      </c>
      <c r="AG124" s="58">
        <f t="shared" si="69"/>
        <v>0</v>
      </c>
      <c r="AH124" s="58">
        <f t="shared" si="69"/>
        <v>0</v>
      </c>
      <c r="AI124" s="58">
        <f t="shared" si="69"/>
        <v>0</v>
      </c>
      <c r="AJ124" s="58">
        <f t="shared" si="69"/>
        <v>0</v>
      </c>
      <c r="AK124" s="58">
        <f t="shared" si="69"/>
        <v>0</v>
      </c>
      <c r="AL124" s="58">
        <f t="shared" si="69"/>
        <v>0</v>
      </c>
      <c r="AM124" s="58">
        <f t="shared" si="69"/>
        <v>0</v>
      </c>
      <c r="AN124" s="58">
        <f t="shared" si="69"/>
        <v>0</v>
      </c>
      <c r="AO124" s="58">
        <f t="shared" si="69"/>
        <v>0</v>
      </c>
      <c r="AP124" s="58">
        <f t="shared" si="69"/>
        <v>0</v>
      </c>
      <c r="AQ124" s="58">
        <f t="shared" si="69"/>
        <v>0</v>
      </c>
      <c r="AR124" s="58">
        <f t="shared" si="69"/>
        <v>0</v>
      </c>
      <c r="AS124" s="58">
        <f t="shared" si="69"/>
        <v>0</v>
      </c>
      <c r="AT124" s="58">
        <f t="shared" si="69"/>
        <v>0</v>
      </c>
      <c r="AU124" s="58">
        <f t="shared" si="69"/>
        <v>0</v>
      </c>
      <c r="AV124" s="58">
        <f t="shared" si="69"/>
        <v>0</v>
      </c>
      <c r="AW124" s="58">
        <f t="shared" si="69"/>
        <v>0</v>
      </c>
      <c r="AX124" s="58">
        <f t="shared" si="69"/>
        <v>0</v>
      </c>
      <c r="AY124" s="58">
        <f t="shared" si="69"/>
        <v>0</v>
      </c>
      <c r="AZ124" s="58">
        <f t="shared" si="69"/>
        <v>0</v>
      </c>
      <c r="BA124" s="58">
        <f t="shared" si="69"/>
        <v>0</v>
      </c>
      <c r="BB124" s="58">
        <f t="shared" si="69"/>
        <v>0</v>
      </c>
      <c r="BC124" s="58">
        <f t="shared" si="69"/>
        <v>0</v>
      </c>
      <c r="BD124" s="58">
        <f t="shared" si="69"/>
        <v>0</v>
      </c>
      <c r="BE124" s="58">
        <f t="shared" si="69"/>
        <v>0</v>
      </c>
      <c r="BF124" s="58">
        <f t="shared" si="69"/>
        <v>0</v>
      </c>
      <c r="BG124" s="58">
        <f t="shared" si="69"/>
        <v>0</v>
      </c>
      <c r="BH124" s="58">
        <f t="shared" si="69"/>
        <v>0</v>
      </c>
      <c r="BI124" s="58">
        <f t="shared" si="69"/>
        <v>0</v>
      </c>
      <c r="BJ124" s="58">
        <f t="shared" si="69"/>
        <v>0</v>
      </c>
      <c r="BK124" s="58">
        <f t="shared" si="69"/>
        <v>0</v>
      </c>
      <c r="BL124" s="58">
        <f t="shared" si="69"/>
        <v>0</v>
      </c>
      <c r="BM124" s="58">
        <f t="shared" si="69"/>
        <v>0</v>
      </c>
      <c r="BN124" s="58">
        <f t="shared" si="69"/>
        <v>0</v>
      </c>
    </row>
    <row r="125" outlineLevel="1">
      <c r="A125" s="47"/>
      <c r="B125" s="79" t="s">
        <v>108</v>
      </c>
      <c r="C125" s="114">
        <v>0.0</v>
      </c>
      <c r="D125" s="115"/>
      <c r="E125" s="116"/>
      <c r="F125" s="58"/>
      <c r="G125" s="58">
        <f t="shared" ref="G125:BN125" si="70">IF(AND(Month(G$4)=Month($D125),Year(G$4)=Year($D125)),$C125,0)</f>
        <v>0</v>
      </c>
      <c r="H125" s="58">
        <f t="shared" si="70"/>
        <v>0</v>
      </c>
      <c r="I125" s="58">
        <f t="shared" si="70"/>
        <v>0</v>
      </c>
      <c r="J125" s="58">
        <f t="shared" si="70"/>
        <v>0</v>
      </c>
      <c r="K125" s="58">
        <f t="shared" si="70"/>
        <v>0</v>
      </c>
      <c r="L125" s="58">
        <f t="shared" si="70"/>
        <v>0</v>
      </c>
      <c r="M125" s="58">
        <f t="shared" si="70"/>
        <v>0</v>
      </c>
      <c r="N125" s="58">
        <f t="shared" si="70"/>
        <v>0</v>
      </c>
      <c r="O125" s="58">
        <f t="shared" si="70"/>
        <v>0</v>
      </c>
      <c r="P125" s="58">
        <f t="shared" si="70"/>
        <v>0</v>
      </c>
      <c r="Q125" s="58">
        <f t="shared" si="70"/>
        <v>0</v>
      </c>
      <c r="R125" s="58">
        <f t="shared" si="70"/>
        <v>0</v>
      </c>
      <c r="S125" s="58">
        <f t="shared" si="70"/>
        <v>0</v>
      </c>
      <c r="T125" s="58">
        <f t="shared" si="70"/>
        <v>0</v>
      </c>
      <c r="U125" s="58">
        <f t="shared" si="70"/>
        <v>0</v>
      </c>
      <c r="V125" s="58">
        <f t="shared" si="70"/>
        <v>0</v>
      </c>
      <c r="W125" s="58">
        <f t="shared" si="70"/>
        <v>0</v>
      </c>
      <c r="X125" s="58">
        <f t="shared" si="70"/>
        <v>0</v>
      </c>
      <c r="Y125" s="58">
        <f t="shared" si="70"/>
        <v>0</v>
      </c>
      <c r="Z125" s="58">
        <f t="shared" si="70"/>
        <v>0</v>
      </c>
      <c r="AA125" s="58">
        <f t="shared" si="70"/>
        <v>0</v>
      </c>
      <c r="AB125" s="58">
        <f t="shared" si="70"/>
        <v>0</v>
      </c>
      <c r="AC125" s="58">
        <f t="shared" si="70"/>
        <v>0</v>
      </c>
      <c r="AD125" s="58">
        <f t="shared" si="70"/>
        <v>0</v>
      </c>
      <c r="AE125" s="58">
        <f t="shared" si="70"/>
        <v>0</v>
      </c>
      <c r="AF125" s="58">
        <f t="shared" si="70"/>
        <v>0</v>
      </c>
      <c r="AG125" s="58">
        <f t="shared" si="70"/>
        <v>0</v>
      </c>
      <c r="AH125" s="58">
        <f t="shared" si="70"/>
        <v>0</v>
      </c>
      <c r="AI125" s="58">
        <f t="shared" si="70"/>
        <v>0</v>
      </c>
      <c r="AJ125" s="58">
        <f t="shared" si="70"/>
        <v>0</v>
      </c>
      <c r="AK125" s="58">
        <f t="shared" si="70"/>
        <v>0</v>
      </c>
      <c r="AL125" s="58">
        <f t="shared" si="70"/>
        <v>0</v>
      </c>
      <c r="AM125" s="58">
        <f t="shared" si="70"/>
        <v>0</v>
      </c>
      <c r="AN125" s="58">
        <f t="shared" si="70"/>
        <v>0</v>
      </c>
      <c r="AO125" s="58">
        <f t="shared" si="70"/>
        <v>0</v>
      </c>
      <c r="AP125" s="58">
        <f t="shared" si="70"/>
        <v>0</v>
      </c>
      <c r="AQ125" s="58">
        <f t="shared" si="70"/>
        <v>0</v>
      </c>
      <c r="AR125" s="58">
        <f t="shared" si="70"/>
        <v>0</v>
      </c>
      <c r="AS125" s="58">
        <f t="shared" si="70"/>
        <v>0</v>
      </c>
      <c r="AT125" s="58">
        <f t="shared" si="70"/>
        <v>0</v>
      </c>
      <c r="AU125" s="58">
        <f t="shared" si="70"/>
        <v>0</v>
      </c>
      <c r="AV125" s="58">
        <f t="shared" si="70"/>
        <v>0</v>
      </c>
      <c r="AW125" s="58">
        <f t="shared" si="70"/>
        <v>0</v>
      </c>
      <c r="AX125" s="58">
        <f t="shared" si="70"/>
        <v>0</v>
      </c>
      <c r="AY125" s="58">
        <f t="shared" si="70"/>
        <v>0</v>
      </c>
      <c r="AZ125" s="58">
        <f t="shared" si="70"/>
        <v>0</v>
      </c>
      <c r="BA125" s="58">
        <f t="shared" si="70"/>
        <v>0</v>
      </c>
      <c r="BB125" s="58">
        <f t="shared" si="70"/>
        <v>0</v>
      </c>
      <c r="BC125" s="58">
        <f t="shared" si="70"/>
        <v>0</v>
      </c>
      <c r="BD125" s="58">
        <f t="shared" si="70"/>
        <v>0</v>
      </c>
      <c r="BE125" s="58">
        <f t="shared" si="70"/>
        <v>0</v>
      </c>
      <c r="BF125" s="58">
        <f t="shared" si="70"/>
        <v>0</v>
      </c>
      <c r="BG125" s="58">
        <f t="shared" si="70"/>
        <v>0</v>
      </c>
      <c r="BH125" s="58">
        <f t="shared" si="70"/>
        <v>0</v>
      </c>
      <c r="BI125" s="58">
        <f t="shared" si="70"/>
        <v>0</v>
      </c>
      <c r="BJ125" s="58">
        <f t="shared" si="70"/>
        <v>0</v>
      </c>
      <c r="BK125" s="58">
        <f t="shared" si="70"/>
        <v>0</v>
      </c>
      <c r="BL125" s="58">
        <f t="shared" si="70"/>
        <v>0</v>
      </c>
      <c r="BM125" s="58">
        <f t="shared" si="70"/>
        <v>0</v>
      </c>
      <c r="BN125" s="58">
        <f t="shared" si="70"/>
        <v>0</v>
      </c>
    </row>
    <row r="126" outlineLevel="1">
      <c r="A126" s="47"/>
      <c r="B126" s="97"/>
      <c r="C126" s="47"/>
      <c r="D126" s="47"/>
      <c r="E126" s="86"/>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row>
    <row r="127" outlineLevel="1">
      <c r="A127" s="47"/>
      <c r="B127" s="94" t="s">
        <v>102</v>
      </c>
      <c r="C127" s="117"/>
      <c r="D127" s="117"/>
      <c r="E127" s="118"/>
      <c r="F127" s="104"/>
      <c r="G127" s="104">
        <f>SUM(G122:G125)</f>
        <v>0</v>
      </c>
      <c r="H127" s="104">
        <f t="shared" ref="H127:BN127" si="71">G127+sum(H122:H125)</f>
        <v>0</v>
      </c>
      <c r="I127" s="104">
        <f t="shared" si="71"/>
        <v>0</v>
      </c>
      <c r="J127" s="104">
        <f t="shared" si="71"/>
        <v>0</v>
      </c>
      <c r="K127" s="104">
        <f t="shared" si="71"/>
        <v>0</v>
      </c>
      <c r="L127" s="104">
        <f t="shared" si="71"/>
        <v>0</v>
      </c>
      <c r="M127" s="104">
        <f t="shared" si="71"/>
        <v>0</v>
      </c>
      <c r="N127" s="104">
        <f t="shared" si="71"/>
        <v>0</v>
      </c>
      <c r="O127" s="104">
        <f t="shared" si="71"/>
        <v>0</v>
      </c>
      <c r="P127" s="104">
        <f t="shared" si="71"/>
        <v>0</v>
      </c>
      <c r="Q127" s="104">
        <f t="shared" si="71"/>
        <v>0</v>
      </c>
      <c r="R127" s="104">
        <f t="shared" si="71"/>
        <v>0</v>
      </c>
      <c r="S127" s="104">
        <f t="shared" si="71"/>
        <v>0</v>
      </c>
      <c r="T127" s="104">
        <f t="shared" si="71"/>
        <v>0</v>
      </c>
      <c r="U127" s="104">
        <f t="shared" si="71"/>
        <v>0</v>
      </c>
      <c r="V127" s="104">
        <f t="shared" si="71"/>
        <v>0</v>
      </c>
      <c r="W127" s="104">
        <f t="shared" si="71"/>
        <v>0</v>
      </c>
      <c r="X127" s="104">
        <f t="shared" si="71"/>
        <v>0</v>
      </c>
      <c r="Y127" s="104">
        <f t="shared" si="71"/>
        <v>0</v>
      </c>
      <c r="Z127" s="104">
        <f t="shared" si="71"/>
        <v>0</v>
      </c>
      <c r="AA127" s="104">
        <f t="shared" si="71"/>
        <v>0</v>
      </c>
      <c r="AB127" s="104">
        <f t="shared" si="71"/>
        <v>0</v>
      </c>
      <c r="AC127" s="104">
        <f t="shared" si="71"/>
        <v>0</v>
      </c>
      <c r="AD127" s="104">
        <f t="shared" si="71"/>
        <v>0</v>
      </c>
      <c r="AE127" s="104">
        <f t="shared" si="71"/>
        <v>0</v>
      </c>
      <c r="AF127" s="104">
        <f t="shared" si="71"/>
        <v>0</v>
      </c>
      <c r="AG127" s="104">
        <f t="shared" si="71"/>
        <v>0</v>
      </c>
      <c r="AH127" s="104">
        <f t="shared" si="71"/>
        <v>0</v>
      </c>
      <c r="AI127" s="104">
        <f t="shared" si="71"/>
        <v>0</v>
      </c>
      <c r="AJ127" s="104">
        <f t="shared" si="71"/>
        <v>0</v>
      </c>
      <c r="AK127" s="104">
        <f t="shared" si="71"/>
        <v>0</v>
      </c>
      <c r="AL127" s="104">
        <f t="shared" si="71"/>
        <v>0</v>
      </c>
      <c r="AM127" s="104">
        <f t="shared" si="71"/>
        <v>0</v>
      </c>
      <c r="AN127" s="104">
        <f t="shared" si="71"/>
        <v>0</v>
      </c>
      <c r="AO127" s="104">
        <f t="shared" si="71"/>
        <v>0</v>
      </c>
      <c r="AP127" s="104">
        <f t="shared" si="71"/>
        <v>0</v>
      </c>
      <c r="AQ127" s="104">
        <f t="shared" si="71"/>
        <v>0</v>
      </c>
      <c r="AR127" s="104">
        <f t="shared" si="71"/>
        <v>0</v>
      </c>
      <c r="AS127" s="104">
        <f t="shared" si="71"/>
        <v>0</v>
      </c>
      <c r="AT127" s="104">
        <f t="shared" si="71"/>
        <v>0</v>
      </c>
      <c r="AU127" s="104">
        <f t="shared" si="71"/>
        <v>0</v>
      </c>
      <c r="AV127" s="104">
        <f t="shared" si="71"/>
        <v>0</v>
      </c>
      <c r="AW127" s="104">
        <f t="shared" si="71"/>
        <v>0</v>
      </c>
      <c r="AX127" s="104">
        <f t="shared" si="71"/>
        <v>0</v>
      </c>
      <c r="AY127" s="104">
        <f t="shared" si="71"/>
        <v>0</v>
      </c>
      <c r="AZ127" s="104">
        <f t="shared" si="71"/>
        <v>0</v>
      </c>
      <c r="BA127" s="104">
        <f t="shared" si="71"/>
        <v>0</v>
      </c>
      <c r="BB127" s="104">
        <f t="shared" si="71"/>
        <v>0</v>
      </c>
      <c r="BC127" s="104">
        <f t="shared" si="71"/>
        <v>0</v>
      </c>
      <c r="BD127" s="104">
        <f t="shared" si="71"/>
        <v>0</v>
      </c>
      <c r="BE127" s="104">
        <f t="shared" si="71"/>
        <v>0</v>
      </c>
      <c r="BF127" s="104">
        <f t="shared" si="71"/>
        <v>0</v>
      </c>
      <c r="BG127" s="104">
        <f t="shared" si="71"/>
        <v>0</v>
      </c>
      <c r="BH127" s="104">
        <f t="shared" si="71"/>
        <v>0</v>
      </c>
      <c r="BI127" s="104">
        <f t="shared" si="71"/>
        <v>0</v>
      </c>
      <c r="BJ127" s="104">
        <f t="shared" si="71"/>
        <v>0</v>
      </c>
      <c r="BK127" s="104">
        <f t="shared" si="71"/>
        <v>0</v>
      </c>
      <c r="BL127" s="104">
        <f t="shared" si="71"/>
        <v>0</v>
      </c>
      <c r="BM127" s="104">
        <f t="shared" si="71"/>
        <v>0</v>
      </c>
      <c r="BN127" s="104">
        <f t="shared" si="71"/>
        <v>0</v>
      </c>
    </row>
    <row r="128">
      <c r="A128" s="47"/>
      <c r="B128" s="47"/>
      <c r="C128" s="47"/>
      <c r="D128" s="47"/>
      <c r="E128" s="47"/>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row>
    <row r="129">
      <c r="A129" s="47"/>
      <c r="B129" s="47"/>
      <c r="C129" s="47"/>
      <c r="D129" s="47"/>
      <c r="E129" s="47"/>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row>
    <row r="130">
      <c r="A130" s="47"/>
      <c r="B130" s="47"/>
      <c r="C130" s="47"/>
      <c r="D130" s="47"/>
      <c r="E130" s="47"/>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row>
    <row r="131">
      <c r="A131" s="47"/>
      <c r="B131" s="47"/>
      <c r="C131" s="47"/>
      <c r="D131" s="47"/>
      <c r="E131" s="47"/>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row>
    <row r="132">
      <c r="A132" s="47"/>
      <c r="B132" s="47"/>
      <c r="C132" s="47"/>
      <c r="D132" s="47"/>
      <c r="E132" s="47"/>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row>
    <row r="133">
      <c r="A133" s="47"/>
      <c r="B133" s="47"/>
      <c r="C133" s="47"/>
      <c r="D133" s="47"/>
      <c r="E133" s="47"/>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row>
    <row r="134">
      <c r="A134" s="47"/>
      <c r="B134" s="47"/>
      <c r="C134" s="47"/>
      <c r="D134" s="47"/>
      <c r="E134" s="47"/>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row>
    <row r="135">
      <c r="A135" s="47"/>
      <c r="B135" s="47"/>
      <c r="C135" s="47"/>
      <c r="D135" s="47"/>
      <c r="E135" s="47"/>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row>
    <row r="136">
      <c r="A136" s="47"/>
      <c r="B136" s="47"/>
      <c r="C136" s="47"/>
      <c r="D136" s="47"/>
      <c r="E136" s="47"/>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row>
    <row r="137">
      <c r="A137" s="47"/>
      <c r="B137" s="47"/>
      <c r="C137" s="47"/>
      <c r="D137" s="47"/>
      <c r="E137" s="47"/>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row>
    <row r="138">
      <c r="A138" s="47"/>
      <c r="B138" s="47"/>
      <c r="C138" s="47"/>
      <c r="D138" s="47"/>
      <c r="E138" s="47"/>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row>
    <row r="139">
      <c r="A139" s="47"/>
      <c r="B139" s="47"/>
      <c r="C139" s="47"/>
      <c r="D139" s="47"/>
      <c r="E139" s="47"/>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row>
    <row r="140">
      <c r="A140" s="47"/>
      <c r="B140" s="47"/>
      <c r="C140" s="47"/>
      <c r="D140" s="47"/>
      <c r="E140" s="47"/>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row>
    <row r="141">
      <c r="A141" s="47"/>
      <c r="B141" s="47"/>
      <c r="C141" s="47"/>
      <c r="D141" s="47"/>
      <c r="E141" s="47"/>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row>
    <row r="142">
      <c r="A142" s="47"/>
      <c r="B142" s="47"/>
      <c r="C142" s="47"/>
      <c r="D142" s="47"/>
      <c r="E142" s="47"/>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row>
    <row r="143">
      <c r="A143" s="47"/>
      <c r="B143" s="47"/>
      <c r="C143" s="47"/>
      <c r="D143" s="47"/>
      <c r="E143" s="47"/>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row>
    <row r="144">
      <c r="A144" s="47"/>
      <c r="B144" s="47"/>
      <c r="C144" s="47"/>
      <c r="D144" s="47"/>
      <c r="E144" s="47"/>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row>
    <row r="145">
      <c r="A145" s="47"/>
      <c r="B145" s="47"/>
      <c r="C145" s="47"/>
      <c r="D145" s="47"/>
      <c r="E145" s="47"/>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row>
    <row r="146">
      <c r="A146" s="47"/>
      <c r="B146" s="47"/>
      <c r="C146" s="47"/>
      <c r="D146" s="47"/>
      <c r="E146" s="47"/>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row>
    <row r="147">
      <c r="A147" s="47"/>
      <c r="B147" s="47"/>
      <c r="C147" s="47"/>
      <c r="D147" s="47"/>
      <c r="E147" s="47"/>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row>
    <row r="148">
      <c r="A148" s="47"/>
      <c r="B148" s="47"/>
      <c r="C148" s="47"/>
      <c r="D148" s="47"/>
      <c r="E148" s="47"/>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row>
    <row r="149">
      <c r="A149" s="47"/>
      <c r="B149" s="47"/>
      <c r="C149" s="47"/>
      <c r="D149" s="47"/>
      <c r="E149" s="47"/>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row>
    <row r="150">
      <c r="A150" s="47"/>
      <c r="B150" s="47"/>
      <c r="C150" s="47"/>
      <c r="D150" s="47"/>
      <c r="E150" s="47"/>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row>
    <row r="151">
      <c r="A151" s="47"/>
      <c r="B151" s="47"/>
      <c r="C151" s="47"/>
      <c r="D151" s="47"/>
      <c r="E151" s="47"/>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row>
    <row r="152">
      <c r="A152" s="47"/>
      <c r="B152" s="47"/>
      <c r="C152" s="47"/>
      <c r="D152" s="47"/>
      <c r="E152" s="47"/>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row>
    <row r="153">
      <c r="A153" s="47"/>
      <c r="B153" s="47"/>
      <c r="C153" s="47"/>
      <c r="D153" s="47"/>
      <c r="E153" s="47"/>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row>
    <row r="154">
      <c r="A154" s="47"/>
      <c r="B154" s="47"/>
      <c r="C154" s="47"/>
      <c r="D154" s="47"/>
      <c r="E154" s="47"/>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row>
    <row r="155">
      <c r="A155" s="47"/>
      <c r="B155" s="47"/>
      <c r="C155" s="47"/>
      <c r="D155" s="47"/>
      <c r="E155" s="47"/>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row>
    <row r="156">
      <c r="A156" s="47"/>
      <c r="B156" s="47"/>
      <c r="C156" s="47"/>
      <c r="D156" s="47"/>
      <c r="E156" s="47"/>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row>
    <row r="157">
      <c r="A157" s="47"/>
      <c r="B157" s="47"/>
      <c r="C157" s="47"/>
      <c r="D157" s="47"/>
      <c r="E157" s="47"/>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row>
    <row r="158">
      <c r="A158" s="47"/>
      <c r="B158" s="47"/>
      <c r="C158" s="47"/>
      <c r="D158" s="47"/>
      <c r="E158" s="47"/>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row>
    <row r="159">
      <c r="A159" s="47"/>
      <c r="B159" s="47"/>
      <c r="C159" s="47"/>
      <c r="D159" s="47"/>
      <c r="E159" s="47"/>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row>
    <row r="160">
      <c r="A160" s="47"/>
      <c r="B160" s="47"/>
      <c r="C160" s="47"/>
      <c r="D160" s="47"/>
      <c r="E160" s="47"/>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row>
    <row r="161">
      <c r="A161" s="47"/>
      <c r="B161" s="47"/>
      <c r="C161" s="47"/>
      <c r="D161" s="47"/>
      <c r="E161" s="47"/>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row>
    <row r="162">
      <c r="A162" s="47"/>
      <c r="B162" s="47"/>
      <c r="C162" s="47"/>
      <c r="D162" s="47"/>
      <c r="E162" s="47"/>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row>
    <row r="163">
      <c r="A163" s="47"/>
      <c r="B163" s="47"/>
      <c r="C163" s="47"/>
      <c r="D163" s="47"/>
      <c r="E163" s="47"/>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row>
    <row r="164">
      <c r="A164" s="47"/>
      <c r="B164" s="47"/>
      <c r="C164" s="47"/>
      <c r="D164" s="47"/>
      <c r="E164" s="47"/>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row>
    <row r="165">
      <c r="A165" s="47"/>
      <c r="B165" s="47"/>
      <c r="C165" s="47"/>
      <c r="D165" s="47"/>
      <c r="E165" s="47"/>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row>
    <row r="166">
      <c r="A166" s="47"/>
      <c r="B166" s="47"/>
      <c r="C166" s="47"/>
      <c r="D166" s="47"/>
      <c r="E166" s="47"/>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row>
    <row r="167">
      <c r="A167" s="47"/>
      <c r="B167" s="47"/>
      <c r="C167" s="47"/>
      <c r="D167" s="47"/>
      <c r="E167" s="47"/>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row>
    <row r="168">
      <c r="A168" s="47"/>
      <c r="B168" s="47"/>
      <c r="C168" s="47"/>
      <c r="D168" s="47"/>
      <c r="E168" s="47"/>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row>
    <row r="169">
      <c r="A169" s="47"/>
      <c r="B169" s="47"/>
      <c r="C169" s="47"/>
      <c r="D169" s="47"/>
      <c r="E169" s="47"/>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row>
    <row r="170">
      <c r="A170" s="47"/>
      <c r="B170" s="47"/>
      <c r="C170" s="47"/>
      <c r="D170" s="47"/>
      <c r="E170" s="47"/>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row>
    <row r="171">
      <c r="A171" s="47"/>
      <c r="B171" s="47"/>
      <c r="C171" s="47"/>
      <c r="D171" s="47"/>
      <c r="E171" s="47"/>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row>
    <row r="172">
      <c r="A172" s="47"/>
      <c r="B172" s="47"/>
      <c r="C172" s="47"/>
      <c r="D172" s="47"/>
      <c r="E172" s="47"/>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row>
    <row r="173">
      <c r="A173" s="47"/>
      <c r="B173" s="47"/>
      <c r="C173" s="47"/>
      <c r="D173" s="47"/>
      <c r="E173" s="47"/>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row>
    <row r="174">
      <c r="A174" s="47"/>
      <c r="B174" s="47"/>
      <c r="C174" s="47"/>
      <c r="D174" s="47"/>
      <c r="E174" s="47"/>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row>
    <row r="175">
      <c r="A175" s="47"/>
      <c r="B175" s="47"/>
      <c r="C175" s="47"/>
      <c r="D175" s="47"/>
      <c r="E175" s="47"/>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row>
    <row r="176">
      <c r="A176" s="47"/>
      <c r="B176" s="47"/>
      <c r="C176" s="47"/>
      <c r="D176" s="47"/>
      <c r="E176" s="47"/>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row>
    <row r="177">
      <c r="A177" s="47"/>
      <c r="B177" s="47"/>
      <c r="C177" s="47"/>
      <c r="D177" s="47"/>
      <c r="E177" s="47"/>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row>
    <row r="178">
      <c r="A178" s="47"/>
      <c r="B178" s="47"/>
      <c r="C178" s="47"/>
      <c r="D178" s="47"/>
      <c r="E178" s="47"/>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row>
    <row r="179">
      <c r="A179" s="47"/>
      <c r="B179" s="47"/>
      <c r="C179" s="47"/>
      <c r="D179" s="47"/>
      <c r="E179" s="47"/>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row>
    <row r="180">
      <c r="A180" s="47"/>
      <c r="B180" s="47"/>
      <c r="C180" s="47"/>
      <c r="D180" s="47"/>
      <c r="E180" s="47"/>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row>
    <row r="181">
      <c r="A181" s="47"/>
      <c r="B181" s="47"/>
      <c r="C181" s="47"/>
      <c r="D181" s="47"/>
      <c r="E181" s="47"/>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row>
    <row r="182">
      <c r="A182" s="47"/>
      <c r="B182" s="47"/>
      <c r="C182" s="47"/>
      <c r="D182" s="47"/>
      <c r="E182" s="47"/>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row>
    <row r="183">
      <c r="A183" s="47"/>
      <c r="B183" s="47"/>
      <c r="C183" s="47"/>
      <c r="D183" s="47"/>
      <c r="E183" s="47"/>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row>
    <row r="184">
      <c r="A184" s="47"/>
      <c r="B184" s="47"/>
      <c r="C184" s="47"/>
      <c r="D184" s="47"/>
      <c r="E184" s="47"/>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row>
    <row r="185">
      <c r="A185" s="47"/>
      <c r="B185" s="47"/>
      <c r="C185" s="47"/>
      <c r="D185" s="47"/>
      <c r="E185" s="47"/>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row>
    <row r="186">
      <c r="A186" s="47"/>
      <c r="B186" s="47"/>
      <c r="C186" s="47"/>
      <c r="D186" s="47"/>
      <c r="E186" s="47"/>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row>
    <row r="187">
      <c r="A187" s="47"/>
      <c r="B187" s="47"/>
      <c r="C187" s="47"/>
      <c r="D187" s="47"/>
      <c r="E187" s="47"/>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row>
    <row r="188">
      <c r="A188" s="47"/>
      <c r="B188" s="47"/>
      <c r="C188" s="47"/>
      <c r="D188" s="47"/>
      <c r="E188" s="47"/>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row>
    <row r="189">
      <c r="A189" s="47"/>
      <c r="B189" s="47"/>
      <c r="C189" s="47"/>
      <c r="D189" s="47"/>
      <c r="E189" s="47"/>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row>
    <row r="190">
      <c r="A190" s="47"/>
      <c r="B190" s="47"/>
      <c r="C190" s="47"/>
      <c r="D190" s="47"/>
      <c r="E190" s="47"/>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row>
    <row r="191">
      <c r="A191" s="47"/>
      <c r="B191" s="47"/>
      <c r="C191" s="47"/>
      <c r="D191" s="47"/>
      <c r="E191" s="47"/>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row>
    <row r="192">
      <c r="A192" s="47"/>
      <c r="B192" s="47"/>
      <c r="C192" s="47"/>
      <c r="D192" s="47"/>
      <c r="E192" s="47"/>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row>
    <row r="193">
      <c r="A193" s="47"/>
      <c r="B193" s="47"/>
      <c r="C193" s="47"/>
      <c r="D193" s="47"/>
      <c r="E193" s="47"/>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row>
    <row r="194">
      <c r="A194" s="47"/>
      <c r="B194" s="47"/>
      <c r="C194" s="47"/>
      <c r="D194" s="47"/>
      <c r="E194" s="47"/>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row>
    <row r="195">
      <c r="A195" s="47"/>
      <c r="B195" s="47"/>
      <c r="C195" s="47"/>
      <c r="D195" s="47"/>
      <c r="E195" s="47"/>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row>
    <row r="196">
      <c r="A196" s="47"/>
      <c r="B196" s="47"/>
      <c r="C196" s="47"/>
      <c r="D196" s="47"/>
      <c r="E196" s="47"/>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row>
    <row r="197">
      <c r="A197" s="47"/>
      <c r="B197" s="47"/>
      <c r="C197" s="47"/>
      <c r="D197" s="47"/>
      <c r="E197" s="47"/>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row>
    <row r="198">
      <c r="A198" s="47"/>
      <c r="B198" s="47"/>
      <c r="C198" s="47"/>
      <c r="D198" s="47"/>
      <c r="E198" s="47"/>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row>
    <row r="199">
      <c r="A199" s="47"/>
      <c r="B199" s="47"/>
      <c r="C199" s="47"/>
      <c r="D199" s="47"/>
      <c r="E199" s="47"/>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row>
    <row r="200">
      <c r="A200" s="47"/>
      <c r="B200" s="47"/>
      <c r="C200" s="47"/>
      <c r="D200" s="47"/>
      <c r="E200" s="47"/>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row>
    <row r="201">
      <c r="A201" s="47"/>
      <c r="B201" s="47"/>
      <c r="C201" s="47"/>
      <c r="D201" s="47"/>
      <c r="E201" s="47"/>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row>
    <row r="202">
      <c r="A202" s="47"/>
      <c r="B202" s="47"/>
      <c r="C202" s="47"/>
      <c r="D202" s="47"/>
      <c r="E202" s="47"/>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row>
    <row r="203">
      <c r="A203" s="47"/>
      <c r="B203" s="47"/>
      <c r="C203" s="47"/>
      <c r="D203" s="47"/>
      <c r="E203" s="47"/>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row>
    <row r="204">
      <c r="A204" s="47"/>
      <c r="B204" s="47"/>
      <c r="C204" s="47"/>
      <c r="D204" s="47"/>
      <c r="E204" s="47"/>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row>
    <row r="205">
      <c r="A205" s="47"/>
      <c r="B205" s="47"/>
      <c r="C205" s="47"/>
      <c r="D205" s="47"/>
      <c r="E205" s="47"/>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row>
    <row r="206">
      <c r="A206" s="47"/>
      <c r="B206" s="47"/>
      <c r="C206" s="47"/>
      <c r="D206" s="47"/>
      <c r="E206" s="47"/>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row>
    <row r="207">
      <c r="A207" s="47"/>
      <c r="B207" s="47"/>
      <c r="C207" s="47"/>
      <c r="D207" s="47"/>
      <c r="E207" s="47"/>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row>
    <row r="208">
      <c r="A208" s="47"/>
      <c r="B208" s="47"/>
      <c r="C208" s="47"/>
      <c r="D208" s="47"/>
      <c r="E208" s="47"/>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row>
    <row r="209">
      <c r="A209" s="47"/>
      <c r="B209" s="47"/>
      <c r="C209" s="47"/>
      <c r="D209" s="47"/>
      <c r="E209" s="47"/>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row>
    <row r="210">
      <c r="A210" s="47"/>
      <c r="B210" s="47"/>
      <c r="C210" s="47"/>
      <c r="D210" s="47"/>
      <c r="E210" s="47"/>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row>
    <row r="211">
      <c r="A211" s="47"/>
      <c r="B211" s="47"/>
      <c r="C211" s="47"/>
      <c r="D211" s="47"/>
      <c r="E211" s="47"/>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row>
    <row r="212">
      <c r="A212" s="47"/>
      <c r="B212" s="47"/>
      <c r="C212" s="47"/>
      <c r="D212" s="47"/>
      <c r="E212" s="47"/>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row>
    <row r="213">
      <c r="A213" s="47"/>
      <c r="B213" s="47"/>
      <c r="C213" s="47"/>
      <c r="D213" s="47"/>
      <c r="E213" s="47"/>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row>
    <row r="214">
      <c r="A214" s="47"/>
      <c r="B214" s="47"/>
      <c r="C214" s="47"/>
      <c r="D214" s="47"/>
      <c r="E214" s="47"/>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row>
    <row r="215">
      <c r="A215" s="47"/>
      <c r="B215" s="47"/>
      <c r="C215" s="47"/>
      <c r="D215" s="47"/>
      <c r="E215" s="47"/>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row>
    <row r="216">
      <c r="A216" s="47"/>
      <c r="B216" s="47"/>
      <c r="C216" s="47"/>
      <c r="D216" s="47"/>
      <c r="E216" s="47"/>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row>
    <row r="217">
      <c r="A217" s="47"/>
      <c r="B217" s="47"/>
      <c r="C217" s="47"/>
      <c r="D217" s="47"/>
      <c r="E217" s="47"/>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row>
    <row r="218">
      <c r="A218" s="47"/>
      <c r="B218" s="47"/>
      <c r="C218" s="47"/>
      <c r="D218" s="47"/>
      <c r="E218" s="47"/>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row>
    <row r="219">
      <c r="A219" s="47"/>
      <c r="B219" s="47"/>
      <c r="C219" s="47"/>
      <c r="D219" s="47"/>
      <c r="E219" s="47"/>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row>
    <row r="220">
      <c r="A220" s="47"/>
      <c r="B220" s="47"/>
      <c r="C220" s="47"/>
      <c r="D220" s="47"/>
      <c r="E220" s="47"/>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row>
    <row r="221">
      <c r="A221" s="47"/>
      <c r="B221" s="47"/>
      <c r="C221" s="47"/>
      <c r="D221" s="47"/>
      <c r="E221" s="47"/>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row>
    <row r="222">
      <c r="A222" s="47"/>
      <c r="B222" s="47"/>
      <c r="C222" s="47"/>
      <c r="D222" s="47"/>
      <c r="E222" s="47"/>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row>
    <row r="223">
      <c r="A223" s="47"/>
      <c r="B223" s="47"/>
      <c r="C223" s="47"/>
      <c r="D223" s="47"/>
      <c r="E223" s="47"/>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row>
    <row r="224">
      <c r="A224" s="47"/>
      <c r="B224" s="47"/>
      <c r="C224" s="47"/>
      <c r="D224" s="47"/>
      <c r="E224" s="47"/>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39" t="s">
        <v>109</v>
      </c>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19"/>
      <c r="B1" s="119" t="s">
        <v>8</v>
      </c>
      <c r="C1" s="120"/>
      <c r="D1" s="120"/>
      <c r="E1" s="120"/>
      <c r="F1" s="120">
        <v>1.0</v>
      </c>
      <c r="G1" s="120">
        <v>1.0</v>
      </c>
      <c r="H1" s="120">
        <v>1.0</v>
      </c>
      <c r="I1" s="120">
        <v>1.0</v>
      </c>
      <c r="J1" s="120">
        <v>1.0</v>
      </c>
      <c r="K1" s="120">
        <v>1.0</v>
      </c>
      <c r="L1" s="120">
        <v>1.0</v>
      </c>
      <c r="M1" s="120">
        <v>1.0</v>
      </c>
      <c r="N1" s="120">
        <v>1.0</v>
      </c>
      <c r="O1" s="120">
        <v>1.0</v>
      </c>
      <c r="P1" s="120">
        <v>1.0</v>
      </c>
      <c r="Q1" s="120">
        <v>1.0</v>
      </c>
      <c r="R1" s="120">
        <f t="shared" ref="R1:BM1" si="1">F1+1</f>
        <v>2</v>
      </c>
      <c r="S1" s="120">
        <f t="shared" si="1"/>
        <v>2</v>
      </c>
      <c r="T1" s="120">
        <f t="shared" si="1"/>
        <v>2</v>
      </c>
      <c r="U1" s="120">
        <f t="shared" si="1"/>
        <v>2</v>
      </c>
      <c r="V1" s="120">
        <f t="shared" si="1"/>
        <v>2</v>
      </c>
      <c r="W1" s="120">
        <f t="shared" si="1"/>
        <v>2</v>
      </c>
      <c r="X1" s="120">
        <f t="shared" si="1"/>
        <v>2</v>
      </c>
      <c r="Y1" s="120">
        <f t="shared" si="1"/>
        <v>2</v>
      </c>
      <c r="Z1" s="120">
        <f t="shared" si="1"/>
        <v>2</v>
      </c>
      <c r="AA1" s="120">
        <f t="shared" si="1"/>
        <v>2</v>
      </c>
      <c r="AB1" s="120">
        <f t="shared" si="1"/>
        <v>2</v>
      </c>
      <c r="AC1" s="120">
        <f t="shared" si="1"/>
        <v>2</v>
      </c>
      <c r="AD1" s="120">
        <f t="shared" si="1"/>
        <v>3</v>
      </c>
      <c r="AE1" s="120">
        <f t="shared" si="1"/>
        <v>3</v>
      </c>
      <c r="AF1" s="120">
        <f t="shared" si="1"/>
        <v>3</v>
      </c>
      <c r="AG1" s="120">
        <f t="shared" si="1"/>
        <v>3</v>
      </c>
      <c r="AH1" s="120">
        <f t="shared" si="1"/>
        <v>3</v>
      </c>
      <c r="AI1" s="120">
        <f t="shared" si="1"/>
        <v>3</v>
      </c>
      <c r="AJ1" s="120">
        <f t="shared" si="1"/>
        <v>3</v>
      </c>
      <c r="AK1" s="120">
        <f t="shared" si="1"/>
        <v>3</v>
      </c>
      <c r="AL1" s="120">
        <f t="shared" si="1"/>
        <v>3</v>
      </c>
      <c r="AM1" s="120">
        <f t="shared" si="1"/>
        <v>3</v>
      </c>
      <c r="AN1" s="120">
        <f t="shared" si="1"/>
        <v>3</v>
      </c>
      <c r="AO1" s="120">
        <f t="shared" si="1"/>
        <v>3</v>
      </c>
      <c r="AP1" s="120">
        <f t="shared" si="1"/>
        <v>4</v>
      </c>
      <c r="AQ1" s="120">
        <f t="shared" si="1"/>
        <v>4</v>
      </c>
      <c r="AR1" s="120">
        <f t="shared" si="1"/>
        <v>4</v>
      </c>
      <c r="AS1" s="120">
        <f t="shared" si="1"/>
        <v>4</v>
      </c>
      <c r="AT1" s="120">
        <f t="shared" si="1"/>
        <v>4</v>
      </c>
      <c r="AU1" s="120">
        <f t="shared" si="1"/>
        <v>4</v>
      </c>
      <c r="AV1" s="120">
        <f t="shared" si="1"/>
        <v>4</v>
      </c>
      <c r="AW1" s="120">
        <f t="shared" si="1"/>
        <v>4</v>
      </c>
      <c r="AX1" s="120">
        <f t="shared" si="1"/>
        <v>4</v>
      </c>
      <c r="AY1" s="120">
        <f t="shared" si="1"/>
        <v>4</v>
      </c>
      <c r="AZ1" s="120">
        <f t="shared" si="1"/>
        <v>4</v>
      </c>
      <c r="BA1" s="120">
        <f t="shared" si="1"/>
        <v>4</v>
      </c>
      <c r="BB1" s="120">
        <f t="shared" si="1"/>
        <v>5</v>
      </c>
      <c r="BC1" s="120">
        <f t="shared" si="1"/>
        <v>5</v>
      </c>
      <c r="BD1" s="120">
        <f t="shared" si="1"/>
        <v>5</v>
      </c>
      <c r="BE1" s="120">
        <f t="shared" si="1"/>
        <v>5</v>
      </c>
      <c r="BF1" s="120">
        <f t="shared" si="1"/>
        <v>5</v>
      </c>
      <c r="BG1" s="120">
        <f t="shared" si="1"/>
        <v>5</v>
      </c>
      <c r="BH1" s="120">
        <f t="shared" si="1"/>
        <v>5</v>
      </c>
      <c r="BI1" s="120">
        <f t="shared" si="1"/>
        <v>5</v>
      </c>
      <c r="BJ1" s="120">
        <f t="shared" si="1"/>
        <v>5</v>
      </c>
      <c r="BK1" s="120">
        <f t="shared" si="1"/>
        <v>5</v>
      </c>
      <c r="BL1" s="120">
        <f t="shared" si="1"/>
        <v>5</v>
      </c>
      <c r="BM1" s="120">
        <f t="shared" si="1"/>
        <v>5</v>
      </c>
      <c r="BN1" s="120"/>
    </row>
    <row r="2">
      <c r="A2" s="119"/>
      <c r="B2" s="119" t="s">
        <v>9</v>
      </c>
      <c r="C2" s="121"/>
      <c r="D2" s="121"/>
      <c r="E2" s="121"/>
      <c r="F2" s="121">
        <f t="shared" ref="F2:BM2" si="2">YEAR(F4)</f>
        <v>2026</v>
      </c>
      <c r="G2" s="121">
        <f t="shared" si="2"/>
        <v>2026</v>
      </c>
      <c r="H2" s="121">
        <f t="shared" si="2"/>
        <v>2026</v>
      </c>
      <c r="I2" s="121">
        <f t="shared" si="2"/>
        <v>2026</v>
      </c>
      <c r="J2" s="121">
        <f t="shared" si="2"/>
        <v>2026</v>
      </c>
      <c r="K2" s="121">
        <f t="shared" si="2"/>
        <v>2026</v>
      </c>
      <c r="L2" s="121">
        <f t="shared" si="2"/>
        <v>2026</v>
      </c>
      <c r="M2" s="121">
        <f t="shared" si="2"/>
        <v>2026</v>
      </c>
      <c r="N2" s="121">
        <f t="shared" si="2"/>
        <v>2026</v>
      </c>
      <c r="O2" s="121">
        <f t="shared" si="2"/>
        <v>2026</v>
      </c>
      <c r="P2" s="121">
        <f t="shared" si="2"/>
        <v>2026</v>
      </c>
      <c r="Q2" s="121">
        <f t="shared" si="2"/>
        <v>2027</v>
      </c>
      <c r="R2" s="121">
        <f t="shared" si="2"/>
        <v>2027</v>
      </c>
      <c r="S2" s="121">
        <f t="shared" si="2"/>
        <v>2027</v>
      </c>
      <c r="T2" s="121">
        <f t="shared" si="2"/>
        <v>2027</v>
      </c>
      <c r="U2" s="121">
        <f t="shared" si="2"/>
        <v>2027</v>
      </c>
      <c r="V2" s="121">
        <f t="shared" si="2"/>
        <v>2027</v>
      </c>
      <c r="W2" s="121">
        <f t="shared" si="2"/>
        <v>2027</v>
      </c>
      <c r="X2" s="121">
        <f t="shared" si="2"/>
        <v>2027</v>
      </c>
      <c r="Y2" s="121">
        <f t="shared" si="2"/>
        <v>2027</v>
      </c>
      <c r="Z2" s="121">
        <f t="shared" si="2"/>
        <v>2027</v>
      </c>
      <c r="AA2" s="121">
        <f t="shared" si="2"/>
        <v>2027</v>
      </c>
      <c r="AB2" s="121">
        <f t="shared" si="2"/>
        <v>2027</v>
      </c>
      <c r="AC2" s="121">
        <f t="shared" si="2"/>
        <v>2028</v>
      </c>
      <c r="AD2" s="121">
        <f t="shared" si="2"/>
        <v>2028</v>
      </c>
      <c r="AE2" s="121">
        <f t="shared" si="2"/>
        <v>2028</v>
      </c>
      <c r="AF2" s="121">
        <f t="shared" si="2"/>
        <v>2028</v>
      </c>
      <c r="AG2" s="121">
        <f t="shared" si="2"/>
        <v>2028</v>
      </c>
      <c r="AH2" s="121">
        <f t="shared" si="2"/>
        <v>2028</v>
      </c>
      <c r="AI2" s="121">
        <f t="shared" si="2"/>
        <v>2028</v>
      </c>
      <c r="AJ2" s="121">
        <f t="shared" si="2"/>
        <v>2028</v>
      </c>
      <c r="AK2" s="121">
        <f t="shared" si="2"/>
        <v>2028</v>
      </c>
      <c r="AL2" s="121">
        <f t="shared" si="2"/>
        <v>2028</v>
      </c>
      <c r="AM2" s="121">
        <f t="shared" si="2"/>
        <v>2028</v>
      </c>
      <c r="AN2" s="121">
        <f t="shared" si="2"/>
        <v>2028</v>
      </c>
      <c r="AO2" s="121">
        <f t="shared" si="2"/>
        <v>2029</v>
      </c>
      <c r="AP2" s="121">
        <f t="shared" si="2"/>
        <v>2029</v>
      </c>
      <c r="AQ2" s="121">
        <f t="shared" si="2"/>
        <v>2029</v>
      </c>
      <c r="AR2" s="121">
        <f t="shared" si="2"/>
        <v>2029</v>
      </c>
      <c r="AS2" s="121">
        <f t="shared" si="2"/>
        <v>2029</v>
      </c>
      <c r="AT2" s="121">
        <f t="shared" si="2"/>
        <v>2029</v>
      </c>
      <c r="AU2" s="121">
        <f t="shared" si="2"/>
        <v>2029</v>
      </c>
      <c r="AV2" s="121">
        <f t="shared" si="2"/>
        <v>2029</v>
      </c>
      <c r="AW2" s="121">
        <f t="shared" si="2"/>
        <v>2029</v>
      </c>
      <c r="AX2" s="121">
        <f t="shared" si="2"/>
        <v>2029</v>
      </c>
      <c r="AY2" s="121">
        <f t="shared" si="2"/>
        <v>2029</v>
      </c>
      <c r="AZ2" s="121">
        <f t="shared" si="2"/>
        <v>2029</v>
      </c>
      <c r="BA2" s="121">
        <f t="shared" si="2"/>
        <v>2030</v>
      </c>
      <c r="BB2" s="121">
        <f t="shared" si="2"/>
        <v>2030</v>
      </c>
      <c r="BC2" s="121">
        <f t="shared" si="2"/>
        <v>2030</v>
      </c>
      <c r="BD2" s="121">
        <f t="shared" si="2"/>
        <v>2030</v>
      </c>
      <c r="BE2" s="121">
        <f t="shared" si="2"/>
        <v>2030</v>
      </c>
      <c r="BF2" s="121">
        <f t="shared" si="2"/>
        <v>2030</v>
      </c>
      <c r="BG2" s="121">
        <f t="shared" si="2"/>
        <v>2030</v>
      </c>
      <c r="BH2" s="121">
        <f t="shared" si="2"/>
        <v>2030</v>
      </c>
      <c r="BI2" s="121">
        <f t="shared" si="2"/>
        <v>2030</v>
      </c>
      <c r="BJ2" s="121">
        <f t="shared" si="2"/>
        <v>2030</v>
      </c>
      <c r="BK2" s="121">
        <f t="shared" si="2"/>
        <v>2030</v>
      </c>
      <c r="BL2" s="121">
        <f t="shared" si="2"/>
        <v>2030</v>
      </c>
      <c r="BM2" s="121">
        <f t="shared" si="2"/>
        <v>2031</v>
      </c>
      <c r="BN2" s="120"/>
    </row>
    <row r="3">
      <c r="A3" s="119"/>
      <c r="B3" s="119" t="s">
        <v>10</v>
      </c>
      <c r="C3" s="120"/>
      <c r="D3" s="120"/>
      <c r="E3" s="120"/>
      <c r="F3" s="120">
        <v>1.0</v>
      </c>
      <c r="G3" s="121">
        <f t="shared" ref="G3:BM3" si="3">F3+1</f>
        <v>2</v>
      </c>
      <c r="H3" s="121">
        <f t="shared" si="3"/>
        <v>3</v>
      </c>
      <c r="I3" s="121">
        <f t="shared" si="3"/>
        <v>4</v>
      </c>
      <c r="J3" s="121">
        <f t="shared" si="3"/>
        <v>5</v>
      </c>
      <c r="K3" s="121">
        <f t="shared" si="3"/>
        <v>6</v>
      </c>
      <c r="L3" s="121">
        <f t="shared" si="3"/>
        <v>7</v>
      </c>
      <c r="M3" s="121">
        <f t="shared" si="3"/>
        <v>8</v>
      </c>
      <c r="N3" s="121">
        <f t="shared" si="3"/>
        <v>9</v>
      </c>
      <c r="O3" s="121">
        <f t="shared" si="3"/>
        <v>10</v>
      </c>
      <c r="P3" s="121">
        <f t="shared" si="3"/>
        <v>11</v>
      </c>
      <c r="Q3" s="121">
        <f t="shared" si="3"/>
        <v>12</v>
      </c>
      <c r="R3" s="121">
        <f t="shared" si="3"/>
        <v>13</v>
      </c>
      <c r="S3" s="121">
        <f t="shared" si="3"/>
        <v>14</v>
      </c>
      <c r="T3" s="121">
        <f t="shared" si="3"/>
        <v>15</v>
      </c>
      <c r="U3" s="121">
        <f t="shared" si="3"/>
        <v>16</v>
      </c>
      <c r="V3" s="121">
        <f t="shared" si="3"/>
        <v>17</v>
      </c>
      <c r="W3" s="121">
        <f t="shared" si="3"/>
        <v>18</v>
      </c>
      <c r="X3" s="121">
        <f t="shared" si="3"/>
        <v>19</v>
      </c>
      <c r="Y3" s="121">
        <f t="shared" si="3"/>
        <v>20</v>
      </c>
      <c r="Z3" s="121">
        <f t="shared" si="3"/>
        <v>21</v>
      </c>
      <c r="AA3" s="121">
        <f t="shared" si="3"/>
        <v>22</v>
      </c>
      <c r="AB3" s="121">
        <f t="shared" si="3"/>
        <v>23</v>
      </c>
      <c r="AC3" s="121">
        <f t="shared" si="3"/>
        <v>24</v>
      </c>
      <c r="AD3" s="121">
        <f t="shared" si="3"/>
        <v>25</v>
      </c>
      <c r="AE3" s="121">
        <f t="shared" si="3"/>
        <v>26</v>
      </c>
      <c r="AF3" s="121">
        <f t="shared" si="3"/>
        <v>27</v>
      </c>
      <c r="AG3" s="121">
        <f t="shared" si="3"/>
        <v>28</v>
      </c>
      <c r="AH3" s="121">
        <f t="shared" si="3"/>
        <v>29</v>
      </c>
      <c r="AI3" s="121">
        <f t="shared" si="3"/>
        <v>30</v>
      </c>
      <c r="AJ3" s="121">
        <f t="shared" si="3"/>
        <v>31</v>
      </c>
      <c r="AK3" s="121">
        <f t="shared" si="3"/>
        <v>32</v>
      </c>
      <c r="AL3" s="121">
        <f t="shared" si="3"/>
        <v>33</v>
      </c>
      <c r="AM3" s="121">
        <f t="shared" si="3"/>
        <v>34</v>
      </c>
      <c r="AN3" s="121">
        <f t="shared" si="3"/>
        <v>35</v>
      </c>
      <c r="AO3" s="121">
        <f t="shared" si="3"/>
        <v>36</v>
      </c>
      <c r="AP3" s="121">
        <f t="shared" si="3"/>
        <v>37</v>
      </c>
      <c r="AQ3" s="121">
        <f t="shared" si="3"/>
        <v>38</v>
      </c>
      <c r="AR3" s="121">
        <f t="shared" si="3"/>
        <v>39</v>
      </c>
      <c r="AS3" s="121">
        <f t="shared" si="3"/>
        <v>40</v>
      </c>
      <c r="AT3" s="121">
        <f t="shared" si="3"/>
        <v>41</v>
      </c>
      <c r="AU3" s="121">
        <f t="shared" si="3"/>
        <v>42</v>
      </c>
      <c r="AV3" s="121">
        <f t="shared" si="3"/>
        <v>43</v>
      </c>
      <c r="AW3" s="121">
        <f t="shared" si="3"/>
        <v>44</v>
      </c>
      <c r="AX3" s="121">
        <f t="shared" si="3"/>
        <v>45</v>
      </c>
      <c r="AY3" s="121">
        <f t="shared" si="3"/>
        <v>46</v>
      </c>
      <c r="AZ3" s="121">
        <f t="shared" si="3"/>
        <v>47</v>
      </c>
      <c r="BA3" s="121">
        <f t="shared" si="3"/>
        <v>48</v>
      </c>
      <c r="BB3" s="121">
        <f t="shared" si="3"/>
        <v>49</v>
      </c>
      <c r="BC3" s="121">
        <f t="shared" si="3"/>
        <v>50</v>
      </c>
      <c r="BD3" s="121">
        <f t="shared" si="3"/>
        <v>51</v>
      </c>
      <c r="BE3" s="121">
        <f t="shared" si="3"/>
        <v>52</v>
      </c>
      <c r="BF3" s="121">
        <f t="shared" si="3"/>
        <v>53</v>
      </c>
      <c r="BG3" s="121">
        <f t="shared" si="3"/>
        <v>54</v>
      </c>
      <c r="BH3" s="121">
        <f t="shared" si="3"/>
        <v>55</v>
      </c>
      <c r="BI3" s="121">
        <f t="shared" si="3"/>
        <v>56</v>
      </c>
      <c r="BJ3" s="121">
        <f t="shared" si="3"/>
        <v>57</v>
      </c>
      <c r="BK3" s="121">
        <f t="shared" si="3"/>
        <v>58</v>
      </c>
      <c r="BL3" s="121">
        <f t="shared" si="3"/>
        <v>59</v>
      </c>
      <c r="BM3" s="121">
        <f t="shared" si="3"/>
        <v>60</v>
      </c>
      <c r="BN3" s="120"/>
    </row>
    <row r="4">
      <c r="A4" s="119"/>
      <c r="B4" s="119" t="s">
        <v>11</v>
      </c>
      <c r="C4" s="120"/>
      <c r="D4" s="120"/>
      <c r="E4" s="120"/>
      <c r="F4" s="122">
        <f>Assumptions!G4</f>
        <v>46081</v>
      </c>
      <c r="G4" s="122">
        <f t="shared" ref="G4:BM4" si="4">EOMONTH(F4,1)</f>
        <v>46112</v>
      </c>
      <c r="H4" s="122">
        <f t="shared" si="4"/>
        <v>46142</v>
      </c>
      <c r="I4" s="122">
        <f t="shared" si="4"/>
        <v>46173</v>
      </c>
      <c r="J4" s="122">
        <f t="shared" si="4"/>
        <v>46203</v>
      </c>
      <c r="K4" s="122">
        <f t="shared" si="4"/>
        <v>46234</v>
      </c>
      <c r="L4" s="122">
        <f t="shared" si="4"/>
        <v>46265</v>
      </c>
      <c r="M4" s="122">
        <f t="shared" si="4"/>
        <v>46295</v>
      </c>
      <c r="N4" s="122">
        <f t="shared" si="4"/>
        <v>46326</v>
      </c>
      <c r="O4" s="122">
        <f t="shared" si="4"/>
        <v>46356</v>
      </c>
      <c r="P4" s="122">
        <f t="shared" si="4"/>
        <v>46387</v>
      </c>
      <c r="Q4" s="122">
        <f t="shared" si="4"/>
        <v>46418</v>
      </c>
      <c r="R4" s="122">
        <f t="shared" si="4"/>
        <v>46446</v>
      </c>
      <c r="S4" s="122">
        <f t="shared" si="4"/>
        <v>46477</v>
      </c>
      <c r="T4" s="122">
        <f t="shared" si="4"/>
        <v>46507</v>
      </c>
      <c r="U4" s="122">
        <f t="shared" si="4"/>
        <v>46538</v>
      </c>
      <c r="V4" s="122">
        <f t="shared" si="4"/>
        <v>46568</v>
      </c>
      <c r="W4" s="122">
        <f t="shared" si="4"/>
        <v>46599</v>
      </c>
      <c r="X4" s="122">
        <f t="shared" si="4"/>
        <v>46630</v>
      </c>
      <c r="Y4" s="122">
        <f t="shared" si="4"/>
        <v>46660</v>
      </c>
      <c r="Z4" s="122">
        <f t="shared" si="4"/>
        <v>46691</v>
      </c>
      <c r="AA4" s="122">
        <f t="shared" si="4"/>
        <v>46721</v>
      </c>
      <c r="AB4" s="122">
        <f t="shared" si="4"/>
        <v>46752</v>
      </c>
      <c r="AC4" s="122">
        <f t="shared" si="4"/>
        <v>46783</v>
      </c>
      <c r="AD4" s="122">
        <f t="shared" si="4"/>
        <v>46812</v>
      </c>
      <c r="AE4" s="122">
        <f t="shared" si="4"/>
        <v>46843</v>
      </c>
      <c r="AF4" s="122">
        <f t="shared" si="4"/>
        <v>46873</v>
      </c>
      <c r="AG4" s="122">
        <f t="shared" si="4"/>
        <v>46904</v>
      </c>
      <c r="AH4" s="122">
        <f t="shared" si="4"/>
        <v>46934</v>
      </c>
      <c r="AI4" s="122">
        <f t="shared" si="4"/>
        <v>46965</v>
      </c>
      <c r="AJ4" s="122">
        <f t="shared" si="4"/>
        <v>46996</v>
      </c>
      <c r="AK4" s="122">
        <f t="shared" si="4"/>
        <v>47026</v>
      </c>
      <c r="AL4" s="122">
        <f t="shared" si="4"/>
        <v>47057</v>
      </c>
      <c r="AM4" s="122">
        <f t="shared" si="4"/>
        <v>47087</v>
      </c>
      <c r="AN4" s="122">
        <f t="shared" si="4"/>
        <v>47118</v>
      </c>
      <c r="AO4" s="122">
        <f t="shared" si="4"/>
        <v>47149</v>
      </c>
      <c r="AP4" s="122">
        <f t="shared" si="4"/>
        <v>47177</v>
      </c>
      <c r="AQ4" s="122">
        <f t="shared" si="4"/>
        <v>47208</v>
      </c>
      <c r="AR4" s="122">
        <f t="shared" si="4"/>
        <v>47238</v>
      </c>
      <c r="AS4" s="122">
        <f t="shared" si="4"/>
        <v>47269</v>
      </c>
      <c r="AT4" s="122">
        <f t="shared" si="4"/>
        <v>47299</v>
      </c>
      <c r="AU4" s="122">
        <f t="shared" si="4"/>
        <v>47330</v>
      </c>
      <c r="AV4" s="122">
        <f t="shared" si="4"/>
        <v>47361</v>
      </c>
      <c r="AW4" s="122">
        <f t="shared" si="4"/>
        <v>47391</v>
      </c>
      <c r="AX4" s="122">
        <f t="shared" si="4"/>
        <v>47422</v>
      </c>
      <c r="AY4" s="122">
        <f t="shared" si="4"/>
        <v>47452</v>
      </c>
      <c r="AZ4" s="122">
        <f t="shared" si="4"/>
        <v>47483</v>
      </c>
      <c r="BA4" s="122">
        <f t="shared" si="4"/>
        <v>47514</v>
      </c>
      <c r="BB4" s="122">
        <f t="shared" si="4"/>
        <v>47542</v>
      </c>
      <c r="BC4" s="122">
        <f t="shared" si="4"/>
        <v>47573</v>
      </c>
      <c r="BD4" s="122">
        <f t="shared" si="4"/>
        <v>47603</v>
      </c>
      <c r="BE4" s="122">
        <f t="shared" si="4"/>
        <v>47634</v>
      </c>
      <c r="BF4" s="122">
        <f t="shared" si="4"/>
        <v>47664</v>
      </c>
      <c r="BG4" s="122">
        <f t="shared" si="4"/>
        <v>47695</v>
      </c>
      <c r="BH4" s="122">
        <f t="shared" si="4"/>
        <v>47726</v>
      </c>
      <c r="BI4" s="122">
        <f t="shared" si="4"/>
        <v>47756</v>
      </c>
      <c r="BJ4" s="122">
        <f t="shared" si="4"/>
        <v>47787</v>
      </c>
      <c r="BK4" s="122">
        <f t="shared" si="4"/>
        <v>47817</v>
      </c>
      <c r="BL4" s="122">
        <f t="shared" si="4"/>
        <v>47848</v>
      </c>
      <c r="BM4" s="122">
        <f t="shared" si="4"/>
        <v>47879</v>
      </c>
      <c r="BN4" s="120"/>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20"/>
    </row>
    <row r="6">
      <c r="A6" s="30"/>
      <c r="B6" s="123" t="s">
        <v>110</v>
      </c>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0"/>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25"/>
      <c r="B8" s="126" t="s">
        <v>111</v>
      </c>
      <c r="C8" s="127"/>
      <c r="D8" s="127"/>
      <c r="E8" s="127"/>
      <c r="F8" s="127">
        <f>Assumptions!G15</f>
        <v>15500</v>
      </c>
      <c r="G8" s="127">
        <f>Assumptions!H15</f>
        <v>15500</v>
      </c>
      <c r="H8" s="127">
        <f>Assumptions!I15</f>
        <v>15500</v>
      </c>
      <c r="I8" s="127">
        <f>Assumptions!J15</f>
        <v>15500</v>
      </c>
      <c r="J8" s="127">
        <f>Assumptions!K15</f>
        <v>15500</v>
      </c>
      <c r="K8" s="127">
        <f>Assumptions!L15</f>
        <v>15500</v>
      </c>
      <c r="L8" s="127">
        <f>Assumptions!M15</f>
        <v>15500</v>
      </c>
      <c r="M8" s="127">
        <f>Assumptions!N15</f>
        <v>15500</v>
      </c>
      <c r="N8" s="127">
        <f>Assumptions!O15</f>
        <v>15500</v>
      </c>
      <c r="O8" s="127">
        <f>Assumptions!P15</f>
        <v>15500</v>
      </c>
      <c r="P8" s="127">
        <f>Assumptions!Q15</f>
        <v>15500</v>
      </c>
      <c r="Q8" s="127">
        <f>Assumptions!R15</f>
        <v>15500</v>
      </c>
      <c r="R8" s="127">
        <f>Assumptions!S15</f>
        <v>15500</v>
      </c>
      <c r="S8" s="127">
        <f>Assumptions!T15</f>
        <v>15500</v>
      </c>
      <c r="T8" s="127">
        <f>Assumptions!U15</f>
        <v>15500</v>
      </c>
      <c r="U8" s="127">
        <f>Assumptions!V15</f>
        <v>15500</v>
      </c>
      <c r="V8" s="127">
        <f>Assumptions!W15</f>
        <v>15500</v>
      </c>
      <c r="W8" s="127">
        <f>Assumptions!X15</f>
        <v>15500</v>
      </c>
      <c r="X8" s="127">
        <f>Assumptions!Y15</f>
        <v>15500</v>
      </c>
      <c r="Y8" s="127">
        <f>Assumptions!Z15</f>
        <v>15500</v>
      </c>
      <c r="Z8" s="127">
        <f>Assumptions!AA15</f>
        <v>15500</v>
      </c>
      <c r="AA8" s="127">
        <f>Assumptions!AB15</f>
        <v>15500</v>
      </c>
      <c r="AB8" s="127">
        <f>Assumptions!AC15</f>
        <v>15500</v>
      </c>
      <c r="AC8" s="127">
        <f>Assumptions!AD15</f>
        <v>15500</v>
      </c>
      <c r="AD8" s="127">
        <f>Assumptions!AE15</f>
        <v>15500</v>
      </c>
      <c r="AE8" s="127">
        <f>Assumptions!AF15</f>
        <v>15500</v>
      </c>
      <c r="AF8" s="127">
        <f>Assumptions!AG15</f>
        <v>15500</v>
      </c>
      <c r="AG8" s="127">
        <f>Assumptions!AH15</f>
        <v>15500</v>
      </c>
      <c r="AH8" s="127">
        <f>Assumptions!AI15</f>
        <v>15500</v>
      </c>
      <c r="AI8" s="127">
        <f>Assumptions!AJ15</f>
        <v>15500</v>
      </c>
      <c r="AJ8" s="127">
        <f>Assumptions!AK15</f>
        <v>15500</v>
      </c>
      <c r="AK8" s="127">
        <f>Assumptions!AL15</f>
        <v>15500</v>
      </c>
      <c r="AL8" s="127">
        <f>Assumptions!AM15</f>
        <v>15500</v>
      </c>
      <c r="AM8" s="127">
        <f>Assumptions!AN15</f>
        <v>15500</v>
      </c>
      <c r="AN8" s="127">
        <f>Assumptions!AO15</f>
        <v>15500</v>
      </c>
      <c r="AO8" s="127">
        <f>Assumptions!AP15</f>
        <v>15500</v>
      </c>
      <c r="AP8" s="127">
        <f>Assumptions!AQ15</f>
        <v>15500</v>
      </c>
      <c r="AQ8" s="127">
        <f>Assumptions!AR15</f>
        <v>15500</v>
      </c>
      <c r="AR8" s="127">
        <f>Assumptions!AS15</f>
        <v>15500</v>
      </c>
      <c r="AS8" s="127">
        <f>Assumptions!AT15</f>
        <v>15500</v>
      </c>
      <c r="AT8" s="127">
        <f>Assumptions!AU15</f>
        <v>15500</v>
      </c>
      <c r="AU8" s="127">
        <f>Assumptions!AV15</f>
        <v>15500</v>
      </c>
      <c r="AV8" s="127">
        <f>Assumptions!AW15</f>
        <v>15500</v>
      </c>
      <c r="AW8" s="127">
        <f>Assumptions!AX15</f>
        <v>15500</v>
      </c>
      <c r="AX8" s="127">
        <f>Assumptions!AY15</f>
        <v>15500</v>
      </c>
      <c r="AY8" s="127">
        <f>Assumptions!AZ15</f>
        <v>15500</v>
      </c>
      <c r="AZ8" s="127">
        <f>Assumptions!BA15</f>
        <v>15500</v>
      </c>
      <c r="BA8" s="127">
        <f>Assumptions!BB15</f>
        <v>15500</v>
      </c>
      <c r="BB8" s="127">
        <f>Assumptions!BC15</f>
        <v>15500</v>
      </c>
      <c r="BC8" s="127">
        <f>Assumptions!BD15</f>
        <v>15500</v>
      </c>
      <c r="BD8" s="127">
        <f>Assumptions!BE15</f>
        <v>15500</v>
      </c>
      <c r="BE8" s="127">
        <f>Assumptions!BF15</f>
        <v>15500</v>
      </c>
      <c r="BF8" s="127">
        <f>Assumptions!BG15</f>
        <v>15500</v>
      </c>
      <c r="BG8" s="127">
        <f>Assumptions!BH15</f>
        <v>15500</v>
      </c>
      <c r="BH8" s="127">
        <f>Assumptions!BI15</f>
        <v>15500</v>
      </c>
      <c r="BI8" s="127">
        <f>Assumptions!BJ15</f>
        <v>15500</v>
      </c>
      <c r="BJ8" s="127">
        <f>Assumptions!BK15</f>
        <v>15500</v>
      </c>
      <c r="BK8" s="127">
        <f>Assumptions!BL15</f>
        <v>15500</v>
      </c>
      <c r="BL8" s="127">
        <f>Assumptions!BM15</f>
        <v>15500</v>
      </c>
      <c r="BM8" s="127">
        <f>Assumptions!BN15</f>
        <v>15500</v>
      </c>
      <c r="BN8" s="125"/>
    </row>
    <row r="9" outlineLevel="1">
      <c r="A9" s="125"/>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row>
    <row r="10" outlineLevel="1">
      <c r="A10" s="125"/>
      <c r="B10" s="126" t="s">
        <v>112</v>
      </c>
      <c r="C10" s="127"/>
      <c r="D10" s="127"/>
      <c r="E10" s="127"/>
      <c r="F10" s="127">
        <f>Assumptions!G60</f>
        <v>5425</v>
      </c>
      <c r="G10" s="127">
        <f>Assumptions!H60</f>
        <v>5425</v>
      </c>
      <c r="H10" s="127">
        <f>Assumptions!I60</f>
        <v>5425</v>
      </c>
      <c r="I10" s="127">
        <f>Assumptions!J60</f>
        <v>5425</v>
      </c>
      <c r="J10" s="127">
        <f>Assumptions!K60</f>
        <v>5425</v>
      </c>
      <c r="K10" s="127">
        <f>Assumptions!L60</f>
        <v>5425</v>
      </c>
      <c r="L10" s="127">
        <f>Assumptions!M60</f>
        <v>5425</v>
      </c>
      <c r="M10" s="127">
        <f>Assumptions!N60</f>
        <v>5425</v>
      </c>
      <c r="N10" s="127">
        <f>Assumptions!O60</f>
        <v>5425</v>
      </c>
      <c r="O10" s="127">
        <f>Assumptions!P60</f>
        <v>5425</v>
      </c>
      <c r="P10" s="127">
        <f>Assumptions!Q60</f>
        <v>5425</v>
      </c>
      <c r="Q10" s="127">
        <f>Assumptions!R60</f>
        <v>5425</v>
      </c>
      <c r="R10" s="127">
        <f>Assumptions!S60</f>
        <v>5425</v>
      </c>
      <c r="S10" s="127">
        <f>Assumptions!T60</f>
        <v>5425</v>
      </c>
      <c r="T10" s="127">
        <f>Assumptions!U60</f>
        <v>5425</v>
      </c>
      <c r="U10" s="127">
        <f>Assumptions!V60</f>
        <v>5425</v>
      </c>
      <c r="V10" s="127">
        <f>Assumptions!W60</f>
        <v>5425</v>
      </c>
      <c r="W10" s="127">
        <f>Assumptions!X60</f>
        <v>5425</v>
      </c>
      <c r="X10" s="127">
        <f>Assumptions!Y60</f>
        <v>5425</v>
      </c>
      <c r="Y10" s="127">
        <f>Assumptions!Z60</f>
        <v>5425</v>
      </c>
      <c r="Z10" s="127">
        <f>Assumptions!AA60</f>
        <v>5425</v>
      </c>
      <c r="AA10" s="127">
        <f>Assumptions!AB60</f>
        <v>5425</v>
      </c>
      <c r="AB10" s="127">
        <f>Assumptions!AC60</f>
        <v>5425</v>
      </c>
      <c r="AC10" s="127">
        <f>Assumptions!AD60</f>
        <v>5425</v>
      </c>
      <c r="AD10" s="127">
        <f>Assumptions!AE60</f>
        <v>5425</v>
      </c>
      <c r="AE10" s="127">
        <f>Assumptions!AF60</f>
        <v>5425</v>
      </c>
      <c r="AF10" s="127">
        <f>Assumptions!AG60</f>
        <v>5425</v>
      </c>
      <c r="AG10" s="127">
        <f>Assumptions!AH60</f>
        <v>5425</v>
      </c>
      <c r="AH10" s="127">
        <f>Assumptions!AI60</f>
        <v>5425</v>
      </c>
      <c r="AI10" s="127">
        <f>Assumptions!AJ60</f>
        <v>5425</v>
      </c>
      <c r="AJ10" s="127">
        <f>Assumptions!AK60</f>
        <v>5425</v>
      </c>
      <c r="AK10" s="127">
        <f>Assumptions!AL60</f>
        <v>5425</v>
      </c>
      <c r="AL10" s="127">
        <f>Assumptions!AM60</f>
        <v>5425</v>
      </c>
      <c r="AM10" s="127">
        <f>Assumptions!AN60</f>
        <v>5425</v>
      </c>
      <c r="AN10" s="127">
        <f>Assumptions!AO60</f>
        <v>5425</v>
      </c>
      <c r="AO10" s="127">
        <f>Assumptions!AP60</f>
        <v>5425</v>
      </c>
      <c r="AP10" s="127">
        <f>Assumptions!AQ60</f>
        <v>5425</v>
      </c>
      <c r="AQ10" s="127">
        <f>Assumptions!AR60</f>
        <v>5425</v>
      </c>
      <c r="AR10" s="127">
        <f>Assumptions!AS60</f>
        <v>5425</v>
      </c>
      <c r="AS10" s="127">
        <f>Assumptions!AT60</f>
        <v>5425</v>
      </c>
      <c r="AT10" s="127">
        <f>Assumptions!AU60</f>
        <v>5425</v>
      </c>
      <c r="AU10" s="127">
        <f>Assumptions!AV60</f>
        <v>5425</v>
      </c>
      <c r="AV10" s="127">
        <f>Assumptions!AW60</f>
        <v>5425</v>
      </c>
      <c r="AW10" s="127">
        <f>Assumptions!AX60</f>
        <v>5425</v>
      </c>
      <c r="AX10" s="127">
        <f>Assumptions!AY60</f>
        <v>5425</v>
      </c>
      <c r="AY10" s="127">
        <f>Assumptions!AZ60</f>
        <v>5425</v>
      </c>
      <c r="AZ10" s="127">
        <f>Assumptions!BA60</f>
        <v>5425</v>
      </c>
      <c r="BA10" s="127">
        <f>Assumptions!BB60</f>
        <v>5425</v>
      </c>
      <c r="BB10" s="127">
        <f>Assumptions!BC60</f>
        <v>5425</v>
      </c>
      <c r="BC10" s="127">
        <f>Assumptions!BD60</f>
        <v>5425</v>
      </c>
      <c r="BD10" s="127">
        <f>Assumptions!BE60</f>
        <v>5425</v>
      </c>
      <c r="BE10" s="127">
        <f>Assumptions!BF60</f>
        <v>5425</v>
      </c>
      <c r="BF10" s="127">
        <f>Assumptions!BG60</f>
        <v>5425</v>
      </c>
      <c r="BG10" s="127">
        <f>Assumptions!BH60</f>
        <v>5425</v>
      </c>
      <c r="BH10" s="127">
        <f>Assumptions!BI60</f>
        <v>5425</v>
      </c>
      <c r="BI10" s="127">
        <f>Assumptions!BJ60</f>
        <v>5425</v>
      </c>
      <c r="BJ10" s="127">
        <f>Assumptions!BK60</f>
        <v>5425</v>
      </c>
      <c r="BK10" s="127">
        <f>Assumptions!BL60</f>
        <v>5425</v>
      </c>
      <c r="BL10" s="127">
        <f>Assumptions!BM60</f>
        <v>5425</v>
      </c>
      <c r="BM10" s="127">
        <f>Assumptions!BN60</f>
        <v>5425</v>
      </c>
      <c r="BN10" s="125" t="str">
        <f>Assumptions!BO60</f>
        <v/>
      </c>
    </row>
    <row r="11" outlineLevel="1">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row>
    <row r="12" outlineLevel="1">
      <c r="A12" s="125"/>
      <c r="B12" s="128" t="s">
        <v>113</v>
      </c>
      <c r="C12" s="129"/>
      <c r="D12" s="129"/>
      <c r="E12" s="129"/>
      <c r="F12" s="130">
        <f t="shared" ref="F12:BM12" si="5">F8-F10</f>
        <v>10075</v>
      </c>
      <c r="G12" s="130">
        <f t="shared" si="5"/>
        <v>10075</v>
      </c>
      <c r="H12" s="130">
        <f t="shared" si="5"/>
        <v>10075</v>
      </c>
      <c r="I12" s="130">
        <f t="shared" si="5"/>
        <v>10075</v>
      </c>
      <c r="J12" s="130">
        <f t="shared" si="5"/>
        <v>10075</v>
      </c>
      <c r="K12" s="130">
        <f t="shared" si="5"/>
        <v>10075</v>
      </c>
      <c r="L12" s="130">
        <f t="shared" si="5"/>
        <v>10075</v>
      </c>
      <c r="M12" s="130">
        <f t="shared" si="5"/>
        <v>10075</v>
      </c>
      <c r="N12" s="130">
        <f t="shared" si="5"/>
        <v>10075</v>
      </c>
      <c r="O12" s="130">
        <f t="shared" si="5"/>
        <v>10075</v>
      </c>
      <c r="P12" s="130">
        <f t="shared" si="5"/>
        <v>10075</v>
      </c>
      <c r="Q12" s="130">
        <f t="shared" si="5"/>
        <v>10075</v>
      </c>
      <c r="R12" s="130">
        <f t="shared" si="5"/>
        <v>10075</v>
      </c>
      <c r="S12" s="130">
        <f t="shared" si="5"/>
        <v>10075</v>
      </c>
      <c r="T12" s="130">
        <f t="shared" si="5"/>
        <v>10075</v>
      </c>
      <c r="U12" s="130">
        <f t="shared" si="5"/>
        <v>10075</v>
      </c>
      <c r="V12" s="130">
        <f t="shared" si="5"/>
        <v>10075</v>
      </c>
      <c r="W12" s="130">
        <f t="shared" si="5"/>
        <v>10075</v>
      </c>
      <c r="X12" s="130">
        <f t="shared" si="5"/>
        <v>10075</v>
      </c>
      <c r="Y12" s="130">
        <f t="shared" si="5"/>
        <v>10075</v>
      </c>
      <c r="Z12" s="130">
        <f t="shared" si="5"/>
        <v>10075</v>
      </c>
      <c r="AA12" s="130">
        <f t="shared" si="5"/>
        <v>10075</v>
      </c>
      <c r="AB12" s="130">
        <f t="shared" si="5"/>
        <v>10075</v>
      </c>
      <c r="AC12" s="130">
        <f t="shared" si="5"/>
        <v>10075</v>
      </c>
      <c r="AD12" s="130">
        <f t="shared" si="5"/>
        <v>10075</v>
      </c>
      <c r="AE12" s="130">
        <f t="shared" si="5"/>
        <v>10075</v>
      </c>
      <c r="AF12" s="130">
        <f t="shared" si="5"/>
        <v>10075</v>
      </c>
      <c r="AG12" s="130">
        <f t="shared" si="5"/>
        <v>10075</v>
      </c>
      <c r="AH12" s="130">
        <f t="shared" si="5"/>
        <v>10075</v>
      </c>
      <c r="AI12" s="130">
        <f t="shared" si="5"/>
        <v>10075</v>
      </c>
      <c r="AJ12" s="130">
        <f t="shared" si="5"/>
        <v>10075</v>
      </c>
      <c r="AK12" s="130">
        <f t="shared" si="5"/>
        <v>10075</v>
      </c>
      <c r="AL12" s="130">
        <f t="shared" si="5"/>
        <v>10075</v>
      </c>
      <c r="AM12" s="130">
        <f t="shared" si="5"/>
        <v>10075</v>
      </c>
      <c r="AN12" s="130">
        <f t="shared" si="5"/>
        <v>10075</v>
      </c>
      <c r="AO12" s="130">
        <f t="shared" si="5"/>
        <v>10075</v>
      </c>
      <c r="AP12" s="130">
        <f t="shared" si="5"/>
        <v>10075</v>
      </c>
      <c r="AQ12" s="130">
        <f t="shared" si="5"/>
        <v>10075</v>
      </c>
      <c r="AR12" s="130">
        <f t="shared" si="5"/>
        <v>10075</v>
      </c>
      <c r="AS12" s="130">
        <f t="shared" si="5"/>
        <v>10075</v>
      </c>
      <c r="AT12" s="130">
        <f t="shared" si="5"/>
        <v>10075</v>
      </c>
      <c r="AU12" s="130">
        <f t="shared" si="5"/>
        <v>10075</v>
      </c>
      <c r="AV12" s="130">
        <f t="shared" si="5"/>
        <v>10075</v>
      </c>
      <c r="AW12" s="130">
        <f t="shared" si="5"/>
        <v>10075</v>
      </c>
      <c r="AX12" s="130">
        <f t="shared" si="5"/>
        <v>10075</v>
      </c>
      <c r="AY12" s="130">
        <f t="shared" si="5"/>
        <v>10075</v>
      </c>
      <c r="AZ12" s="130">
        <f t="shared" si="5"/>
        <v>10075</v>
      </c>
      <c r="BA12" s="130">
        <f t="shared" si="5"/>
        <v>10075</v>
      </c>
      <c r="BB12" s="130">
        <f t="shared" si="5"/>
        <v>10075</v>
      </c>
      <c r="BC12" s="130">
        <f t="shared" si="5"/>
        <v>10075</v>
      </c>
      <c r="BD12" s="130">
        <f t="shared" si="5"/>
        <v>10075</v>
      </c>
      <c r="BE12" s="130">
        <f t="shared" si="5"/>
        <v>10075</v>
      </c>
      <c r="BF12" s="130">
        <f t="shared" si="5"/>
        <v>10075</v>
      </c>
      <c r="BG12" s="130">
        <f t="shared" si="5"/>
        <v>10075</v>
      </c>
      <c r="BH12" s="130">
        <f t="shared" si="5"/>
        <v>10075</v>
      </c>
      <c r="BI12" s="130">
        <f t="shared" si="5"/>
        <v>10075</v>
      </c>
      <c r="BJ12" s="130">
        <f t="shared" si="5"/>
        <v>10075</v>
      </c>
      <c r="BK12" s="130">
        <f t="shared" si="5"/>
        <v>10075</v>
      </c>
      <c r="BL12" s="130">
        <f t="shared" si="5"/>
        <v>10075</v>
      </c>
      <c r="BM12" s="130">
        <f t="shared" si="5"/>
        <v>10075</v>
      </c>
      <c r="BN12" s="125"/>
    </row>
    <row r="13" outlineLevel="1">
      <c r="A13" s="131"/>
      <c r="B13" s="132" t="s">
        <v>114</v>
      </c>
      <c r="C13" s="131"/>
      <c r="D13" s="131"/>
      <c r="E13" s="131"/>
      <c r="F13" s="133">
        <f t="shared" ref="F13:BM13" si="6">F12/F8</f>
        <v>0.65</v>
      </c>
      <c r="G13" s="133">
        <f t="shared" si="6"/>
        <v>0.65</v>
      </c>
      <c r="H13" s="133">
        <f t="shared" si="6"/>
        <v>0.65</v>
      </c>
      <c r="I13" s="133">
        <f t="shared" si="6"/>
        <v>0.65</v>
      </c>
      <c r="J13" s="133">
        <f t="shared" si="6"/>
        <v>0.65</v>
      </c>
      <c r="K13" s="133">
        <f t="shared" si="6"/>
        <v>0.65</v>
      </c>
      <c r="L13" s="133">
        <f t="shared" si="6"/>
        <v>0.65</v>
      </c>
      <c r="M13" s="133">
        <f t="shared" si="6"/>
        <v>0.65</v>
      </c>
      <c r="N13" s="133">
        <f t="shared" si="6"/>
        <v>0.65</v>
      </c>
      <c r="O13" s="133">
        <f t="shared" si="6"/>
        <v>0.65</v>
      </c>
      <c r="P13" s="133">
        <f t="shared" si="6"/>
        <v>0.65</v>
      </c>
      <c r="Q13" s="133">
        <f t="shared" si="6"/>
        <v>0.65</v>
      </c>
      <c r="R13" s="133">
        <f t="shared" si="6"/>
        <v>0.65</v>
      </c>
      <c r="S13" s="133">
        <f t="shared" si="6"/>
        <v>0.65</v>
      </c>
      <c r="T13" s="133">
        <f t="shared" si="6"/>
        <v>0.65</v>
      </c>
      <c r="U13" s="133">
        <f t="shared" si="6"/>
        <v>0.65</v>
      </c>
      <c r="V13" s="133">
        <f t="shared" si="6"/>
        <v>0.65</v>
      </c>
      <c r="W13" s="133">
        <f t="shared" si="6"/>
        <v>0.65</v>
      </c>
      <c r="X13" s="133">
        <f t="shared" si="6"/>
        <v>0.65</v>
      </c>
      <c r="Y13" s="133">
        <f t="shared" si="6"/>
        <v>0.65</v>
      </c>
      <c r="Z13" s="133">
        <f t="shared" si="6"/>
        <v>0.65</v>
      </c>
      <c r="AA13" s="133">
        <f t="shared" si="6"/>
        <v>0.65</v>
      </c>
      <c r="AB13" s="133">
        <f t="shared" si="6"/>
        <v>0.65</v>
      </c>
      <c r="AC13" s="133">
        <f t="shared" si="6"/>
        <v>0.65</v>
      </c>
      <c r="AD13" s="133">
        <f t="shared" si="6"/>
        <v>0.65</v>
      </c>
      <c r="AE13" s="133">
        <f t="shared" si="6"/>
        <v>0.65</v>
      </c>
      <c r="AF13" s="133">
        <f t="shared" si="6"/>
        <v>0.65</v>
      </c>
      <c r="AG13" s="133">
        <f t="shared" si="6"/>
        <v>0.65</v>
      </c>
      <c r="AH13" s="133">
        <f t="shared" si="6"/>
        <v>0.65</v>
      </c>
      <c r="AI13" s="133">
        <f t="shared" si="6"/>
        <v>0.65</v>
      </c>
      <c r="AJ13" s="133">
        <f t="shared" si="6"/>
        <v>0.65</v>
      </c>
      <c r="AK13" s="133">
        <f t="shared" si="6"/>
        <v>0.65</v>
      </c>
      <c r="AL13" s="133">
        <f t="shared" si="6"/>
        <v>0.65</v>
      </c>
      <c r="AM13" s="133">
        <f t="shared" si="6"/>
        <v>0.65</v>
      </c>
      <c r="AN13" s="133">
        <f t="shared" si="6"/>
        <v>0.65</v>
      </c>
      <c r="AO13" s="133">
        <f t="shared" si="6"/>
        <v>0.65</v>
      </c>
      <c r="AP13" s="133">
        <f t="shared" si="6"/>
        <v>0.65</v>
      </c>
      <c r="AQ13" s="133">
        <f t="shared" si="6"/>
        <v>0.65</v>
      </c>
      <c r="AR13" s="133">
        <f t="shared" si="6"/>
        <v>0.65</v>
      </c>
      <c r="AS13" s="133">
        <f t="shared" si="6"/>
        <v>0.65</v>
      </c>
      <c r="AT13" s="133">
        <f t="shared" si="6"/>
        <v>0.65</v>
      </c>
      <c r="AU13" s="133">
        <f t="shared" si="6"/>
        <v>0.65</v>
      </c>
      <c r="AV13" s="133">
        <f t="shared" si="6"/>
        <v>0.65</v>
      </c>
      <c r="AW13" s="133">
        <f t="shared" si="6"/>
        <v>0.65</v>
      </c>
      <c r="AX13" s="133">
        <f t="shared" si="6"/>
        <v>0.65</v>
      </c>
      <c r="AY13" s="133">
        <f t="shared" si="6"/>
        <v>0.65</v>
      </c>
      <c r="AZ13" s="133">
        <f t="shared" si="6"/>
        <v>0.65</v>
      </c>
      <c r="BA13" s="133">
        <f t="shared" si="6"/>
        <v>0.65</v>
      </c>
      <c r="BB13" s="133">
        <f t="shared" si="6"/>
        <v>0.65</v>
      </c>
      <c r="BC13" s="133">
        <f t="shared" si="6"/>
        <v>0.65</v>
      </c>
      <c r="BD13" s="133">
        <f t="shared" si="6"/>
        <v>0.65</v>
      </c>
      <c r="BE13" s="133">
        <f t="shared" si="6"/>
        <v>0.65</v>
      </c>
      <c r="BF13" s="133">
        <f t="shared" si="6"/>
        <v>0.65</v>
      </c>
      <c r="BG13" s="133">
        <f t="shared" si="6"/>
        <v>0.65</v>
      </c>
      <c r="BH13" s="133">
        <f t="shared" si="6"/>
        <v>0.65</v>
      </c>
      <c r="BI13" s="133">
        <f t="shared" si="6"/>
        <v>0.65</v>
      </c>
      <c r="BJ13" s="133">
        <f t="shared" si="6"/>
        <v>0.65</v>
      </c>
      <c r="BK13" s="133">
        <f t="shared" si="6"/>
        <v>0.65</v>
      </c>
      <c r="BL13" s="133">
        <f t="shared" si="6"/>
        <v>0.65</v>
      </c>
      <c r="BM13" s="133">
        <f t="shared" si="6"/>
        <v>0.65</v>
      </c>
      <c r="BN13" s="131"/>
    </row>
    <row r="14" outlineLevel="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row>
    <row r="15" outlineLevel="1">
      <c r="A15" s="125"/>
      <c r="B15" s="134" t="s">
        <v>115</v>
      </c>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row>
    <row r="16" outlineLevel="1">
      <c r="A16" s="125"/>
      <c r="B16" s="135" t="s">
        <v>116</v>
      </c>
      <c r="C16" s="125"/>
      <c r="D16" s="125"/>
      <c r="E16" s="125"/>
      <c r="F16" s="125">
        <f>SUM(Assumptions!G23:G47)</f>
        <v>202000</v>
      </c>
      <c r="G16" s="125">
        <f>SUM(Assumptions!H23:H47)</f>
        <v>202000</v>
      </c>
      <c r="H16" s="125">
        <f>SUM(Assumptions!I23:I47)</f>
        <v>202000</v>
      </c>
      <c r="I16" s="125">
        <f>SUM(Assumptions!J23:J47)</f>
        <v>202000</v>
      </c>
      <c r="J16" s="125">
        <f>SUM(Assumptions!K23:K47)</f>
        <v>202000</v>
      </c>
      <c r="K16" s="125">
        <f>SUM(Assumptions!L23:L47)</f>
        <v>202000</v>
      </c>
      <c r="L16" s="125">
        <f>SUM(Assumptions!M23:M47)</f>
        <v>202000</v>
      </c>
      <c r="M16" s="125">
        <f>SUM(Assumptions!N23:N47)</f>
        <v>202000</v>
      </c>
      <c r="N16" s="125">
        <f>SUM(Assumptions!O23:O47)</f>
        <v>202000</v>
      </c>
      <c r="O16" s="125">
        <f>SUM(Assumptions!P23:P47)</f>
        <v>202000</v>
      </c>
      <c r="P16" s="125">
        <f>SUM(Assumptions!Q23:Q47)</f>
        <v>202000</v>
      </c>
      <c r="Q16" s="125">
        <f>SUM(Assumptions!R23:R47)</f>
        <v>202000</v>
      </c>
      <c r="R16" s="125">
        <f>SUM(Assumptions!S23:S47)</f>
        <v>202000</v>
      </c>
      <c r="S16" s="125">
        <f>SUM(Assumptions!T23:T47)</f>
        <v>202000</v>
      </c>
      <c r="T16" s="125">
        <f>SUM(Assumptions!U23:U47)</f>
        <v>202000</v>
      </c>
      <c r="U16" s="125">
        <f>SUM(Assumptions!V23:V47)</f>
        <v>202000</v>
      </c>
      <c r="V16" s="125">
        <f>SUM(Assumptions!W23:W47)</f>
        <v>202000</v>
      </c>
      <c r="W16" s="125">
        <f>SUM(Assumptions!X23:X47)</f>
        <v>202000</v>
      </c>
      <c r="X16" s="125">
        <f>SUM(Assumptions!Y23:Y47)</f>
        <v>202000</v>
      </c>
      <c r="Y16" s="125">
        <f>SUM(Assumptions!Z23:Z47)</f>
        <v>202000</v>
      </c>
      <c r="Z16" s="125">
        <f>SUM(Assumptions!AA23:AA47)</f>
        <v>202000</v>
      </c>
      <c r="AA16" s="125">
        <f>SUM(Assumptions!AB23:AB47)</f>
        <v>202000</v>
      </c>
      <c r="AB16" s="125">
        <f>SUM(Assumptions!AC23:AC47)</f>
        <v>202000</v>
      </c>
      <c r="AC16" s="125">
        <f>SUM(Assumptions!AD23:AD47)</f>
        <v>202000</v>
      </c>
      <c r="AD16" s="125">
        <f>SUM(Assumptions!AE23:AE47)</f>
        <v>202000</v>
      </c>
      <c r="AE16" s="125">
        <f>SUM(Assumptions!AF23:AF47)</f>
        <v>202000</v>
      </c>
      <c r="AF16" s="125">
        <f>SUM(Assumptions!AG23:AG47)</f>
        <v>202000</v>
      </c>
      <c r="AG16" s="125">
        <f>SUM(Assumptions!AH23:AH47)</f>
        <v>202000</v>
      </c>
      <c r="AH16" s="125">
        <f>SUM(Assumptions!AI23:AI47)</f>
        <v>202000</v>
      </c>
      <c r="AI16" s="125">
        <f>SUM(Assumptions!AJ23:AJ47)</f>
        <v>202000</v>
      </c>
      <c r="AJ16" s="125">
        <f>SUM(Assumptions!AK23:AK47)</f>
        <v>202000</v>
      </c>
      <c r="AK16" s="125">
        <f>SUM(Assumptions!AL23:AL47)</f>
        <v>202000</v>
      </c>
      <c r="AL16" s="125">
        <f>SUM(Assumptions!AM23:AM47)</f>
        <v>202000</v>
      </c>
      <c r="AM16" s="125">
        <f>SUM(Assumptions!AN23:AN47)</f>
        <v>202000</v>
      </c>
      <c r="AN16" s="125">
        <f>SUM(Assumptions!AO23:AO47)</f>
        <v>202000</v>
      </c>
      <c r="AO16" s="125">
        <f>SUM(Assumptions!AP23:AP47)</f>
        <v>202000</v>
      </c>
      <c r="AP16" s="125">
        <f>SUM(Assumptions!AQ23:AQ47)</f>
        <v>202000</v>
      </c>
      <c r="AQ16" s="125">
        <f>SUM(Assumptions!AR23:AR47)</f>
        <v>202000</v>
      </c>
      <c r="AR16" s="125">
        <f>SUM(Assumptions!AS23:AS47)</f>
        <v>202000</v>
      </c>
      <c r="AS16" s="125">
        <f>SUM(Assumptions!AT23:AT47)</f>
        <v>202000</v>
      </c>
      <c r="AT16" s="125">
        <f>SUM(Assumptions!AU23:AU47)</f>
        <v>202000</v>
      </c>
      <c r="AU16" s="125">
        <f>SUM(Assumptions!AV23:AV47)</f>
        <v>202000</v>
      </c>
      <c r="AV16" s="125">
        <f>SUM(Assumptions!AW23:AW47)</f>
        <v>202000</v>
      </c>
      <c r="AW16" s="125">
        <f>SUM(Assumptions!AX23:AX47)</f>
        <v>202000</v>
      </c>
      <c r="AX16" s="125">
        <f>SUM(Assumptions!AY23:AY47)</f>
        <v>202000</v>
      </c>
      <c r="AY16" s="125">
        <f>SUM(Assumptions!AZ23:AZ47)</f>
        <v>202000</v>
      </c>
      <c r="AZ16" s="125">
        <f>SUM(Assumptions!BA23:BA47)</f>
        <v>202000</v>
      </c>
      <c r="BA16" s="125">
        <f>SUM(Assumptions!BB23:BB47)</f>
        <v>202000</v>
      </c>
      <c r="BB16" s="125">
        <f>SUM(Assumptions!BC23:BC47)</f>
        <v>202000</v>
      </c>
      <c r="BC16" s="125">
        <f>SUM(Assumptions!BD23:BD47)</f>
        <v>202000</v>
      </c>
      <c r="BD16" s="125">
        <f>SUM(Assumptions!BE23:BE47)</f>
        <v>202000</v>
      </c>
      <c r="BE16" s="125">
        <f>SUM(Assumptions!BF23:BF47)</f>
        <v>202000</v>
      </c>
      <c r="BF16" s="125">
        <f>SUM(Assumptions!BG23:BG47)</f>
        <v>202000</v>
      </c>
      <c r="BG16" s="125">
        <f>SUM(Assumptions!BH23:BH47)</f>
        <v>202000</v>
      </c>
      <c r="BH16" s="125">
        <f>SUM(Assumptions!BI23:BI47)</f>
        <v>202000</v>
      </c>
      <c r="BI16" s="125">
        <f>SUM(Assumptions!BJ23:BJ47)</f>
        <v>202000</v>
      </c>
      <c r="BJ16" s="125">
        <f>SUM(Assumptions!BK23:BK47)</f>
        <v>202000</v>
      </c>
      <c r="BK16" s="125">
        <f>SUM(Assumptions!BL23:BL47)</f>
        <v>202000</v>
      </c>
      <c r="BL16" s="125">
        <f>SUM(Assumptions!BM23:BM47)</f>
        <v>202000</v>
      </c>
      <c r="BM16" s="125">
        <f>SUM(Assumptions!BN23:BN47)</f>
        <v>202000</v>
      </c>
      <c r="BN16" s="125"/>
    </row>
    <row r="17" outlineLevel="1">
      <c r="A17" s="125"/>
      <c r="B17" s="125" t="str">
        <f>Assumptions!B62</f>
        <v>General &amp; Admin</v>
      </c>
      <c r="C17" s="125"/>
      <c r="D17" s="125"/>
      <c r="E17" s="125"/>
      <c r="F17" s="125">
        <f>sum(Assumptions!G63:G70)</f>
        <v>20000</v>
      </c>
      <c r="G17" s="125">
        <f>sum(Assumptions!H63:H70)</f>
        <v>20000</v>
      </c>
      <c r="H17" s="125">
        <f>sum(Assumptions!I63:I70)</f>
        <v>20000</v>
      </c>
      <c r="I17" s="125">
        <f>sum(Assumptions!J63:J70)</f>
        <v>20000</v>
      </c>
      <c r="J17" s="125">
        <f>sum(Assumptions!K63:K70)</f>
        <v>20000</v>
      </c>
      <c r="K17" s="125">
        <f>sum(Assumptions!L63:L70)</f>
        <v>20000</v>
      </c>
      <c r="L17" s="125">
        <f>sum(Assumptions!M63:M70)</f>
        <v>20000</v>
      </c>
      <c r="M17" s="125">
        <f>sum(Assumptions!N63:N70)</f>
        <v>20000</v>
      </c>
      <c r="N17" s="125">
        <f>sum(Assumptions!O63:O70)</f>
        <v>20000</v>
      </c>
      <c r="O17" s="125">
        <f>sum(Assumptions!P63:P70)</f>
        <v>20000</v>
      </c>
      <c r="P17" s="125">
        <f>sum(Assumptions!Q63:Q70)</f>
        <v>20000</v>
      </c>
      <c r="Q17" s="125">
        <f>sum(Assumptions!R63:R70)</f>
        <v>20000</v>
      </c>
      <c r="R17" s="125">
        <f>sum(Assumptions!S63:S70)</f>
        <v>20000</v>
      </c>
      <c r="S17" s="125">
        <f>sum(Assumptions!T63:T70)</f>
        <v>20000</v>
      </c>
      <c r="T17" s="125">
        <f>sum(Assumptions!U63:U70)</f>
        <v>20000</v>
      </c>
      <c r="U17" s="125">
        <f>sum(Assumptions!V63:V70)</f>
        <v>20000</v>
      </c>
      <c r="V17" s="125">
        <f>sum(Assumptions!W63:W70)</f>
        <v>20000</v>
      </c>
      <c r="W17" s="125">
        <f>sum(Assumptions!X63:X70)</f>
        <v>20000</v>
      </c>
      <c r="X17" s="125">
        <f>sum(Assumptions!Y63:Y70)</f>
        <v>20000</v>
      </c>
      <c r="Y17" s="125">
        <f>sum(Assumptions!Z63:Z70)</f>
        <v>20000</v>
      </c>
      <c r="Z17" s="125">
        <f>sum(Assumptions!AA63:AA70)</f>
        <v>20000</v>
      </c>
      <c r="AA17" s="125">
        <f>sum(Assumptions!AB63:AB70)</f>
        <v>20000</v>
      </c>
      <c r="AB17" s="125">
        <f>sum(Assumptions!AC63:AC70)</f>
        <v>20000</v>
      </c>
      <c r="AC17" s="125">
        <f>sum(Assumptions!AD63:AD70)</f>
        <v>20000</v>
      </c>
      <c r="AD17" s="125">
        <f>sum(Assumptions!AE63:AE70)</f>
        <v>20000</v>
      </c>
      <c r="AE17" s="125">
        <f>sum(Assumptions!AF63:AF70)</f>
        <v>20000</v>
      </c>
      <c r="AF17" s="125">
        <f>sum(Assumptions!AG63:AG70)</f>
        <v>20000</v>
      </c>
      <c r="AG17" s="125">
        <f>sum(Assumptions!AH63:AH70)</f>
        <v>20000</v>
      </c>
      <c r="AH17" s="125">
        <f>sum(Assumptions!AI63:AI70)</f>
        <v>20000</v>
      </c>
      <c r="AI17" s="125">
        <f>sum(Assumptions!AJ63:AJ70)</f>
        <v>20000</v>
      </c>
      <c r="AJ17" s="125">
        <f>sum(Assumptions!AK63:AK70)</f>
        <v>20000</v>
      </c>
      <c r="AK17" s="125">
        <f>sum(Assumptions!AL63:AL70)</f>
        <v>20000</v>
      </c>
      <c r="AL17" s="125">
        <f>sum(Assumptions!AM63:AM70)</f>
        <v>20000</v>
      </c>
      <c r="AM17" s="125">
        <f>sum(Assumptions!AN63:AN70)</f>
        <v>20000</v>
      </c>
      <c r="AN17" s="125">
        <f>sum(Assumptions!AO63:AO70)</f>
        <v>20000</v>
      </c>
      <c r="AO17" s="125">
        <f>sum(Assumptions!AP63:AP70)</f>
        <v>20000</v>
      </c>
      <c r="AP17" s="125">
        <f>sum(Assumptions!AQ63:AQ70)</f>
        <v>20000</v>
      </c>
      <c r="AQ17" s="125">
        <f>sum(Assumptions!AR63:AR70)</f>
        <v>20000</v>
      </c>
      <c r="AR17" s="125">
        <f>sum(Assumptions!AS63:AS70)</f>
        <v>20000</v>
      </c>
      <c r="AS17" s="125">
        <f>sum(Assumptions!AT63:AT70)</f>
        <v>20000</v>
      </c>
      <c r="AT17" s="125">
        <f>sum(Assumptions!AU63:AU70)</f>
        <v>20000</v>
      </c>
      <c r="AU17" s="125">
        <f>sum(Assumptions!AV63:AV70)</f>
        <v>20000</v>
      </c>
      <c r="AV17" s="125">
        <f>sum(Assumptions!AW63:AW70)</f>
        <v>20000</v>
      </c>
      <c r="AW17" s="125">
        <f>sum(Assumptions!AX63:AX70)</f>
        <v>20000</v>
      </c>
      <c r="AX17" s="125">
        <f>sum(Assumptions!AY63:AY70)</f>
        <v>20000</v>
      </c>
      <c r="AY17" s="125">
        <f>sum(Assumptions!AZ63:AZ70)</f>
        <v>20000</v>
      </c>
      <c r="AZ17" s="125">
        <f>sum(Assumptions!BA63:BA70)</f>
        <v>20000</v>
      </c>
      <c r="BA17" s="125">
        <f>sum(Assumptions!BB63:BB70)</f>
        <v>20000</v>
      </c>
      <c r="BB17" s="125">
        <f>sum(Assumptions!BC63:BC70)</f>
        <v>20000</v>
      </c>
      <c r="BC17" s="125">
        <f>sum(Assumptions!BD63:BD70)</f>
        <v>20000</v>
      </c>
      <c r="BD17" s="125">
        <f>sum(Assumptions!BE63:BE70)</f>
        <v>20000</v>
      </c>
      <c r="BE17" s="125">
        <f>sum(Assumptions!BF63:BF70)</f>
        <v>20000</v>
      </c>
      <c r="BF17" s="125">
        <f>sum(Assumptions!BG63:BG70)</f>
        <v>20000</v>
      </c>
      <c r="BG17" s="125">
        <f>sum(Assumptions!BH63:BH70)</f>
        <v>20000</v>
      </c>
      <c r="BH17" s="125">
        <f>sum(Assumptions!BI63:BI70)</f>
        <v>20000</v>
      </c>
      <c r="BI17" s="125">
        <f>sum(Assumptions!BJ63:BJ70)</f>
        <v>20000</v>
      </c>
      <c r="BJ17" s="125">
        <f>sum(Assumptions!BK63:BK70)</f>
        <v>20000</v>
      </c>
      <c r="BK17" s="125">
        <f>sum(Assumptions!BL63:BL70)</f>
        <v>20000</v>
      </c>
      <c r="BL17" s="125">
        <f>sum(Assumptions!BM63:BM70)</f>
        <v>20000</v>
      </c>
      <c r="BM17" s="125">
        <f>sum(Assumptions!BN63:BN70)</f>
        <v>20000</v>
      </c>
      <c r="BN17" s="125"/>
    </row>
    <row r="18" outlineLevel="1">
      <c r="A18" s="125"/>
      <c r="B18" s="135" t="str">
        <f>Assumptions!B73</f>
        <v>Sales &amp; Marketing</v>
      </c>
      <c r="C18" s="125"/>
      <c r="D18" s="125"/>
      <c r="E18" s="125"/>
      <c r="F18" s="125">
        <f>sum(Assumptions!G74:G75)</f>
        <v>11240</v>
      </c>
      <c r="G18" s="125">
        <f>sum(Assumptions!H74:H75)</f>
        <v>11240</v>
      </c>
      <c r="H18" s="125">
        <f>sum(Assumptions!I74:I75)</f>
        <v>11240</v>
      </c>
      <c r="I18" s="125">
        <f>sum(Assumptions!J74:J75)</f>
        <v>11240</v>
      </c>
      <c r="J18" s="125">
        <f>sum(Assumptions!K74:K75)</f>
        <v>11240</v>
      </c>
      <c r="K18" s="125">
        <f>sum(Assumptions!L74:L75)</f>
        <v>11240</v>
      </c>
      <c r="L18" s="125">
        <f>sum(Assumptions!M74:M75)</f>
        <v>11240</v>
      </c>
      <c r="M18" s="125">
        <f>sum(Assumptions!N74:N75)</f>
        <v>11240</v>
      </c>
      <c r="N18" s="125">
        <f>sum(Assumptions!O74:O75)</f>
        <v>11240</v>
      </c>
      <c r="O18" s="125">
        <f>sum(Assumptions!P74:P75)</f>
        <v>11240</v>
      </c>
      <c r="P18" s="125">
        <f>sum(Assumptions!Q74:Q75)</f>
        <v>11240</v>
      </c>
      <c r="Q18" s="125">
        <f>sum(Assumptions!R74:R75)</f>
        <v>11240</v>
      </c>
      <c r="R18" s="125">
        <f>sum(Assumptions!S74:S75)</f>
        <v>11240</v>
      </c>
      <c r="S18" s="125">
        <f>sum(Assumptions!T74:T75)</f>
        <v>11240</v>
      </c>
      <c r="T18" s="125">
        <f>sum(Assumptions!U74:U75)</f>
        <v>11240</v>
      </c>
      <c r="U18" s="125">
        <f>sum(Assumptions!V74:V75)</f>
        <v>11240</v>
      </c>
      <c r="V18" s="125">
        <f>sum(Assumptions!W74:W75)</f>
        <v>11240</v>
      </c>
      <c r="W18" s="125">
        <f>sum(Assumptions!X74:X75)</f>
        <v>11240</v>
      </c>
      <c r="X18" s="125">
        <f>sum(Assumptions!Y74:Y75)</f>
        <v>11240</v>
      </c>
      <c r="Y18" s="125">
        <f>sum(Assumptions!Z74:Z75)</f>
        <v>11240</v>
      </c>
      <c r="Z18" s="125">
        <f>sum(Assumptions!AA74:AA75)</f>
        <v>11240</v>
      </c>
      <c r="AA18" s="125">
        <f>sum(Assumptions!AB74:AB75)</f>
        <v>11240</v>
      </c>
      <c r="AB18" s="125">
        <f>sum(Assumptions!AC74:AC75)</f>
        <v>11240</v>
      </c>
      <c r="AC18" s="125">
        <f>sum(Assumptions!AD74:AD75)</f>
        <v>11240</v>
      </c>
      <c r="AD18" s="125">
        <f>sum(Assumptions!AE74:AE75)</f>
        <v>11240</v>
      </c>
      <c r="AE18" s="125">
        <f>sum(Assumptions!AF74:AF75)</f>
        <v>11240</v>
      </c>
      <c r="AF18" s="125">
        <f>sum(Assumptions!AG74:AG75)</f>
        <v>11240</v>
      </c>
      <c r="AG18" s="125">
        <f>sum(Assumptions!AH74:AH75)</f>
        <v>11240</v>
      </c>
      <c r="AH18" s="125">
        <f>sum(Assumptions!AI74:AI75)</f>
        <v>11240</v>
      </c>
      <c r="AI18" s="125">
        <f>sum(Assumptions!AJ74:AJ75)</f>
        <v>11240</v>
      </c>
      <c r="AJ18" s="125">
        <f>sum(Assumptions!AK74:AK75)</f>
        <v>11240</v>
      </c>
      <c r="AK18" s="125">
        <f>sum(Assumptions!AL74:AL75)</f>
        <v>11240</v>
      </c>
      <c r="AL18" s="125">
        <f>sum(Assumptions!AM74:AM75)</f>
        <v>11240</v>
      </c>
      <c r="AM18" s="125">
        <f>sum(Assumptions!AN74:AN75)</f>
        <v>11240</v>
      </c>
      <c r="AN18" s="125">
        <f>sum(Assumptions!AO74:AO75)</f>
        <v>11240</v>
      </c>
      <c r="AO18" s="125">
        <f>sum(Assumptions!AP74:AP75)</f>
        <v>11240</v>
      </c>
      <c r="AP18" s="125">
        <f>sum(Assumptions!AQ74:AQ75)</f>
        <v>11240</v>
      </c>
      <c r="AQ18" s="125">
        <f>sum(Assumptions!AR74:AR75)</f>
        <v>11240</v>
      </c>
      <c r="AR18" s="125">
        <f>sum(Assumptions!AS74:AS75)</f>
        <v>11240</v>
      </c>
      <c r="AS18" s="125">
        <f>sum(Assumptions!AT74:AT75)</f>
        <v>11240</v>
      </c>
      <c r="AT18" s="125">
        <f>sum(Assumptions!AU74:AU75)</f>
        <v>11240</v>
      </c>
      <c r="AU18" s="125">
        <f>sum(Assumptions!AV74:AV75)</f>
        <v>11240</v>
      </c>
      <c r="AV18" s="125">
        <f>sum(Assumptions!AW74:AW75)</f>
        <v>11240</v>
      </c>
      <c r="AW18" s="125">
        <f>sum(Assumptions!AX74:AX75)</f>
        <v>11240</v>
      </c>
      <c r="AX18" s="125">
        <f>sum(Assumptions!AY74:AY75)</f>
        <v>11240</v>
      </c>
      <c r="AY18" s="125">
        <f>sum(Assumptions!AZ74:AZ75)</f>
        <v>11240</v>
      </c>
      <c r="AZ18" s="125">
        <f>sum(Assumptions!BA74:BA75)</f>
        <v>11240</v>
      </c>
      <c r="BA18" s="125">
        <f>sum(Assumptions!BB74:BB75)</f>
        <v>11240</v>
      </c>
      <c r="BB18" s="125">
        <f>sum(Assumptions!BC74:BC75)</f>
        <v>11240</v>
      </c>
      <c r="BC18" s="125">
        <f>sum(Assumptions!BD74:BD75)</f>
        <v>11240</v>
      </c>
      <c r="BD18" s="125">
        <f>sum(Assumptions!BE74:BE75)</f>
        <v>11240</v>
      </c>
      <c r="BE18" s="125">
        <f>sum(Assumptions!BF74:BF75)</f>
        <v>11240</v>
      </c>
      <c r="BF18" s="125">
        <f>sum(Assumptions!BG74:BG75)</f>
        <v>11240</v>
      </c>
      <c r="BG18" s="125">
        <f>sum(Assumptions!BH74:BH75)</f>
        <v>11240</v>
      </c>
      <c r="BH18" s="125">
        <f>sum(Assumptions!BI74:BI75)</f>
        <v>11240</v>
      </c>
      <c r="BI18" s="125">
        <f>sum(Assumptions!BJ74:BJ75)</f>
        <v>11240</v>
      </c>
      <c r="BJ18" s="125">
        <f>sum(Assumptions!BK74:BK75)</f>
        <v>11240</v>
      </c>
      <c r="BK18" s="125">
        <f>sum(Assumptions!BL74:BL75)</f>
        <v>11240</v>
      </c>
      <c r="BL18" s="125">
        <f>sum(Assumptions!BM74:BM75)</f>
        <v>11240</v>
      </c>
      <c r="BM18" s="125">
        <f>sum(Assumptions!BN74:BN75)</f>
        <v>11240</v>
      </c>
      <c r="BN18" s="125"/>
    </row>
    <row r="19" outlineLevel="1">
      <c r="A19" s="125"/>
      <c r="B19" s="125" t="str">
        <f>Assumptions!B78</f>
        <v>Professional Fees</v>
      </c>
      <c r="C19" s="125"/>
      <c r="D19" s="125"/>
      <c r="E19" s="125"/>
      <c r="F19" s="125">
        <f>SUM(Assumptions!G79:G81)</f>
        <v>5000</v>
      </c>
      <c r="G19" s="125">
        <f>SUM(Assumptions!H79:H81)</f>
        <v>5000</v>
      </c>
      <c r="H19" s="125">
        <f>SUM(Assumptions!I79:I81)</f>
        <v>5000</v>
      </c>
      <c r="I19" s="125">
        <f>SUM(Assumptions!J79:J81)</f>
        <v>5000</v>
      </c>
      <c r="J19" s="125">
        <f>SUM(Assumptions!K79:K81)</f>
        <v>5000</v>
      </c>
      <c r="K19" s="125">
        <f>SUM(Assumptions!L79:L81)</f>
        <v>5000</v>
      </c>
      <c r="L19" s="125">
        <f>SUM(Assumptions!M79:M81)</f>
        <v>5000</v>
      </c>
      <c r="M19" s="125">
        <f>SUM(Assumptions!N79:N81)</f>
        <v>5000</v>
      </c>
      <c r="N19" s="125">
        <f>SUM(Assumptions!O79:O81)</f>
        <v>5000</v>
      </c>
      <c r="O19" s="125">
        <f>SUM(Assumptions!P79:P81)</f>
        <v>5000</v>
      </c>
      <c r="P19" s="125">
        <f>SUM(Assumptions!Q79:Q81)</f>
        <v>5000</v>
      </c>
      <c r="Q19" s="125">
        <f>SUM(Assumptions!R79:R81)</f>
        <v>5000</v>
      </c>
      <c r="R19" s="125">
        <f>SUM(Assumptions!S79:S81)</f>
        <v>5000</v>
      </c>
      <c r="S19" s="125">
        <f>SUM(Assumptions!T79:T81)</f>
        <v>5000</v>
      </c>
      <c r="T19" s="125">
        <f>SUM(Assumptions!U79:U81)</f>
        <v>5000</v>
      </c>
      <c r="U19" s="125">
        <f>SUM(Assumptions!V79:V81)</f>
        <v>5000</v>
      </c>
      <c r="V19" s="125">
        <f>SUM(Assumptions!W79:W81)</f>
        <v>5000</v>
      </c>
      <c r="W19" s="125">
        <f>SUM(Assumptions!X79:X81)</f>
        <v>5000</v>
      </c>
      <c r="X19" s="125">
        <f>SUM(Assumptions!Y79:Y81)</f>
        <v>5000</v>
      </c>
      <c r="Y19" s="125">
        <f>SUM(Assumptions!Z79:Z81)</f>
        <v>5000</v>
      </c>
      <c r="Z19" s="125">
        <f>SUM(Assumptions!AA79:AA81)</f>
        <v>5000</v>
      </c>
      <c r="AA19" s="125">
        <f>SUM(Assumptions!AB79:AB81)</f>
        <v>5000</v>
      </c>
      <c r="AB19" s="125">
        <f>SUM(Assumptions!AC79:AC81)</f>
        <v>5000</v>
      </c>
      <c r="AC19" s="125">
        <f>SUM(Assumptions!AD79:AD81)</f>
        <v>5000</v>
      </c>
      <c r="AD19" s="125">
        <f>SUM(Assumptions!AE79:AE81)</f>
        <v>5000</v>
      </c>
      <c r="AE19" s="125">
        <f>SUM(Assumptions!AF79:AF81)</f>
        <v>5000</v>
      </c>
      <c r="AF19" s="125">
        <f>SUM(Assumptions!AG79:AG81)</f>
        <v>5000</v>
      </c>
      <c r="AG19" s="125">
        <f>SUM(Assumptions!AH79:AH81)</f>
        <v>5000</v>
      </c>
      <c r="AH19" s="125">
        <f>SUM(Assumptions!AI79:AI81)</f>
        <v>5000</v>
      </c>
      <c r="AI19" s="125">
        <f>SUM(Assumptions!AJ79:AJ81)</f>
        <v>5000</v>
      </c>
      <c r="AJ19" s="125">
        <f>SUM(Assumptions!AK79:AK81)</f>
        <v>5000</v>
      </c>
      <c r="AK19" s="125">
        <f>SUM(Assumptions!AL79:AL81)</f>
        <v>5000</v>
      </c>
      <c r="AL19" s="125">
        <f>SUM(Assumptions!AM79:AM81)</f>
        <v>5000</v>
      </c>
      <c r="AM19" s="125">
        <f>SUM(Assumptions!AN79:AN81)</f>
        <v>5000</v>
      </c>
      <c r="AN19" s="125">
        <f>SUM(Assumptions!AO79:AO81)</f>
        <v>5000</v>
      </c>
      <c r="AO19" s="125">
        <f>SUM(Assumptions!AP79:AP81)</f>
        <v>5000</v>
      </c>
      <c r="AP19" s="125">
        <f>SUM(Assumptions!AQ79:AQ81)</f>
        <v>5000</v>
      </c>
      <c r="AQ19" s="125">
        <f>SUM(Assumptions!AR79:AR81)</f>
        <v>5000</v>
      </c>
      <c r="AR19" s="125">
        <f>SUM(Assumptions!AS79:AS81)</f>
        <v>5000</v>
      </c>
      <c r="AS19" s="125">
        <f>SUM(Assumptions!AT79:AT81)</f>
        <v>5000</v>
      </c>
      <c r="AT19" s="125">
        <f>SUM(Assumptions!AU79:AU81)</f>
        <v>5000</v>
      </c>
      <c r="AU19" s="125">
        <f>SUM(Assumptions!AV79:AV81)</f>
        <v>5000</v>
      </c>
      <c r="AV19" s="125">
        <f>SUM(Assumptions!AW79:AW81)</f>
        <v>5000</v>
      </c>
      <c r="AW19" s="125">
        <f>SUM(Assumptions!AX79:AX81)</f>
        <v>5000</v>
      </c>
      <c r="AX19" s="125">
        <f>SUM(Assumptions!AY79:AY81)</f>
        <v>5000</v>
      </c>
      <c r="AY19" s="125">
        <f>SUM(Assumptions!AZ79:AZ81)</f>
        <v>5000</v>
      </c>
      <c r="AZ19" s="125">
        <f>SUM(Assumptions!BA79:BA81)</f>
        <v>5000</v>
      </c>
      <c r="BA19" s="125">
        <f>SUM(Assumptions!BB79:BB81)</f>
        <v>5000</v>
      </c>
      <c r="BB19" s="125">
        <f>SUM(Assumptions!BC79:BC81)</f>
        <v>5000</v>
      </c>
      <c r="BC19" s="125">
        <f>SUM(Assumptions!BD79:BD81)</f>
        <v>5000</v>
      </c>
      <c r="BD19" s="125">
        <f>SUM(Assumptions!BE79:BE81)</f>
        <v>5000</v>
      </c>
      <c r="BE19" s="125">
        <f>SUM(Assumptions!BF79:BF81)</f>
        <v>5000</v>
      </c>
      <c r="BF19" s="125">
        <f>SUM(Assumptions!BG79:BG81)</f>
        <v>5000</v>
      </c>
      <c r="BG19" s="125">
        <f>SUM(Assumptions!BH79:BH81)</f>
        <v>5000</v>
      </c>
      <c r="BH19" s="125">
        <f>SUM(Assumptions!BI79:BI81)</f>
        <v>5000</v>
      </c>
      <c r="BI19" s="125">
        <f>SUM(Assumptions!BJ79:BJ81)</f>
        <v>5000</v>
      </c>
      <c r="BJ19" s="125">
        <f>SUM(Assumptions!BK79:BK81)</f>
        <v>5000</v>
      </c>
      <c r="BK19" s="125">
        <f>SUM(Assumptions!BL79:BL81)</f>
        <v>5000</v>
      </c>
      <c r="BL19" s="125">
        <f>SUM(Assumptions!BM79:BM81)</f>
        <v>5000</v>
      </c>
      <c r="BM19" s="125">
        <f>SUM(Assumptions!BN79:BN81)</f>
        <v>5000</v>
      </c>
      <c r="BN19" s="125"/>
    </row>
    <row r="20" outlineLevel="1">
      <c r="A20" s="125"/>
      <c r="B20" s="136" t="str">
        <f>Assumptions!B84</f>
        <v>Other</v>
      </c>
      <c r="C20" s="136"/>
      <c r="D20" s="136"/>
      <c r="E20" s="136"/>
      <c r="F20" s="136">
        <f>Assumptions!G85</f>
        <v>1550</v>
      </c>
      <c r="G20" s="136">
        <f>Assumptions!H85</f>
        <v>1550</v>
      </c>
      <c r="H20" s="136">
        <f>Assumptions!I85</f>
        <v>1550</v>
      </c>
      <c r="I20" s="136">
        <f>Assumptions!J85</f>
        <v>1550</v>
      </c>
      <c r="J20" s="136">
        <f>Assumptions!K85</f>
        <v>1550</v>
      </c>
      <c r="K20" s="136">
        <f>Assumptions!L85</f>
        <v>1550</v>
      </c>
      <c r="L20" s="136">
        <f>Assumptions!M85</f>
        <v>1550</v>
      </c>
      <c r="M20" s="136">
        <f>Assumptions!N85</f>
        <v>1550</v>
      </c>
      <c r="N20" s="136">
        <f>Assumptions!O85</f>
        <v>1550</v>
      </c>
      <c r="O20" s="136">
        <f>Assumptions!P85</f>
        <v>1550</v>
      </c>
      <c r="P20" s="136">
        <f>Assumptions!Q85</f>
        <v>1550</v>
      </c>
      <c r="Q20" s="136">
        <f>Assumptions!R85</f>
        <v>1550</v>
      </c>
      <c r="R20" s="136">
        <f>Assumptions!S85</f>
        <v>1550</v>
      </c>
      <c r="S20" s="136">
        <f>Assumptions!T85</f>
        <v>1550</v>
      </c>
      <c r="T20" s="136">
        <f>Assumptions!U85</f>
        <v>1550</v>
      </c>
      <c r="U20" s="136">
        <f>Assumptions!V85</f>
        <v>1550</v>
      </c>
      <c r="V20" s="136">
        <f>Assumptions!W85</f>
        <v>1550</v>
      </c>
      <c r="W20" s="136">
        <f>Assumptions!X85</f>
        <v>1550</v>
      </c>
      <c r="X20" s="136">
        <f>Assumptions!Y85</f>
        <v>1550</v>
      </c>
      <c r="Y20" s="136">
        <f>Assumptions!Z85</f>
        <v>1550</v>
      </c>
      <c r="Z20" s="136">
        <f>Assumptions!AA85</f>
        <v>1550</v>
      </c>
      <c r="AA20" s="136">
        <f>Assumptions!AB85</f>
        <v>1550</v>
      </c>
      <c r="AB20" s="136">
        <f>Assumptions!AC85</f>
        <v>1550</v>
      </c>
      <c r="AC20" s="136">
        <f>Assumptions!AD85</f>
        <v>1550</v>
      </c>
      <c r="AD20" s="136">
        <f>Assumptions!AE85</f>
        <v>1550</v>
      </c>
      <c r="AE20" s="136">
        <f>Assumptions!AF85</f>
        <v>1550</v>
      </c>
      <c r="AF20" s="136">
        <f>Assumptions!AG85</f>
        <v>1550</v>
      </c>
      <c r="AG20" s="136">
        <f>Assumptions!AH85</f>
        <v>1550</v>
      </c>
      <c r="AH20" s="136">
        <f>Assumptions!AI85</f>
        <v>1550</v>
      </c>
      <c r="AI20" s="136">
        <f>Assumptions!AJ85</f>
        <v>1550</v>
      </c>
      <c r="AJ20" s="136">
        <f>Assumptions!AK85</f>
        <v>1550</v>
      </c>
      <c r="AK20" s="136">
        <f>Assumptions!AL85</f>
        <v>1550</v>
      </c>
      <c r="AL20" s="136">
        <f>Assumptions!AM85</f>
        <v>1550</v>
      </c>
      <c r="AM20" s="136">
        <f>Assumptions!AN85</f>
        <v>1550</v>
      </c>
      <c r="AN20" s="136">
        <f>Assumptions!AO85</f>
        <v>1550</v>
      </c>
      <c r="AO20" s="136">
        <f>Assumptions!AP85</f>
        <v>1550</v>
      </c>
      <c r="AP20" s="136">
        <f>Assumptions!AQ85</f>
        <v>1550</v>
      </c>
      <c r="AQ20" s="136">
        <f>Assumptions!AR85</f>
        <v>1550</v>
      </c>
      <c r="AR20" s="136">
        <f>Assumptions!AS85</f>
        <v>1550</v>
      </c>
      <c r="AS20" s="136">
        <f>Assumptions!AT85</f>
        <v>1550</v>
      </c>
      <c r="AT20" s="136">
        <f>Assumptions!AU85</f>
        <v>1550</v>
      </c>
      <c r="AU20" s="136">
        <f>Assumptions!AV85</f>
        <v>1550</v>
      </c>
      <c r="AV20" s="136">
        <f>Assumptions!AW85</f>
        <v>1550</v>
      </c>
      <c r="AW20" s="136">
        <f>Assumptions!AX85</f>
        <v>1550</v>
      </c>
      <c r="AX20" s="136">
        <f>Assumptions!AY85</f>
        <v>1550</v>
      </c>
      <c r="AY20" s="136">
        <f>Assumptions!AZ85</f>
        <v>1550</v>
      </c>
      <c r="AZ20" s="136">
        <f>Assumptions!BA85</f>
        <v>1550</v>
      </c>
      <c r="BA20" s="136">
        <f>Assumptions!BB85</f>
        <v>1550</v>
      </c>
      <c r="BB20" s="136">
        <f>Assumptions!BC85</f>
        <v>1550</v>
      </c>
      <c r="BC20" s="136">
        <f>Assumptions!BD85</f>
        <v>1550</v>
      </c>
      <c r="BD20" s="136">
        <f>Assumptions!BE85</f>
        <v>1550</v>
      </c>
      <c r="BE20" s="136">
        <f>Assumptions!BF85</f>
        <v>1550</v>
      </c>
      <c r="BF20" s="136">
        <f>Assumptions!BG85</f>
        <v>1550</v>
      </c>
      <c r="BG20" s="136">
        <f>Assumptions!BH85</f>
        <v>1550</v>
      </c>
      <c r="BH20" s="136">
        <f>Assumptions!BI85</f>
        <v>1550</v>
      </c>
      <c r="BI20" s="136">
        <f>Assumptions!BJ85</f>
        <v>1550</v>
      </c>
      <c r="BJ20" s="136">
        <f>Assumptions!BK85</f>
        <v>1550</v>
      </c>
      <c r="BK20" s="136">
        <f>Assumptions!BL85</f>
        <v>1550</v>
      </c>
      <c r="BL20" s="136">
        <f>Assumptions!BM85</f>
        <v>1550</v>
      </c>
      <c r="BM20" s="136">
        <f>Assumptions!BN85</f>
        <v>1550</v>
      </c>
      <c r="BN20" s="125"/>
    </row>
    <row r="21" outlineLevel="1">
      <c r="A21" s="125"/>
      <c r="B21" s="134" t="s">
        <v>117</v>
      </c>
      <c r="C21" s="125"/>
      <c r="D21" s="125"/>
      <c r="E21" s="125"/>
      <c r="F21" s="137">
        <f t="shared" ref="F21:BM21" si="7">SUM(F16:F20)</f>
        <v>239790</v>
      </c>
      <c r="G21" s="137">
        <f t="shared" si="7"/>
        <v>239790</v>
      </c>
      <c r="H21" s="137">
        <f t="shared" si="7"/>
        <v>239790</v>
      </c>
      <c r="I21" s="137">
        <f t="shared" si="7"/>
        <v>239790</v>
      </c>
      <c r="J21" s="137">
        <f t="shared" si="7"/>
        <v>239790</v>
      </c>
      <c r="K21" s="137">
        <f t="shared" si="7"/>
        <v>239790</v>
      </c>
      <c r="L21" s="137">
        <f t="shared" si="7"/>
        <v>239790</v>
      </c>
      <c r="M21" s="137">
        <f t="shared" si="7"/>
        <v>239790</v>
      </c>
      <c r="N21" s="137">
        <f t="shared" si="7"/>
        <v>239790</v>
      </c>
      <c r="O21" s="137">
        <f t="shared" si="7"/>
        <v>239790</v>
      </c>
      <c r="P21" s="137">
        <f t="shared" si="7"/>
        <v>239790</v>
      </c>
      <c r="Q21" s="137">
        <f t="shared" si="7"/>
        <v>239790</v>
      </c>
      <c r="R21" s="137">
        <f t="shared" si="7"/>
        <v>239790</v>
      </c>
      <c r="S21" s="137">
        <f t="shared" si="7"/>
        <v>239790</v>
      </c>
      <c r="T21" s="137">
        <f t="shared" si="7"/>
        <v>239790</v>
      </c>
      <c r="U21" s="137">
        <f t="shared" si="7"/>
        <v>239790</v>
      </c>
      <c r="V21" s="137">
        <f t="shared" si="7"/>
        <v>239790</v>
      </c>
      <c r="W21" s="137">
        <f t="shared" si="7"/>
        <v>239790</v>
      </c>
      <c r="X21" s="137">
        <f t="shared" si="7"/>
        <v>239790</v>
      </c>
      <c r="Y21" s="137">
        <f t="shared" si="7"/>
        <v>239790</v>
      </c>
      <c r="Z21" s="137">
        <f t="shared" si="7"/>
        <v>239790</v>
      </c>
      <c r="AA21" s="137">
        <f t="shared" si="7"/>
        <v>239790</v>
      </c>
      <c r="AB21" s="137">
        <f t="shared" si="7"/>
        <v>239790</v>
      </c>
      <c r="AC21" s="137">
        <f t="shared" si="7"/>
        <v>239790</v>
      </c>
      <c r="AD21" s="137">
        <f t="shared" si="7"/>
        <v>239790</v>
      </c>
      <c r="AE21" s="137">
        <f t="shared" si="7"/>
        <v>239790</v>
      </c>
      <c r="AF21" s="137">
        <f t="shared" si="7"/>
        <v>239790</v>
      </c>
      <c r="AG21" s="137">
        <f t="shared" si="7"/>
        <v>239790</v>
      </c>
      <c r="AH21" s="137">
        <f t="shared" si="7"/>
        <v>239790</v>
      </c>
      <c r="AI21" s="137">
        <f t="shared" si="7"/>
        <v>239790</v>
      </c>
      <c r="AJ21" s="137">
        <f t="shared" si="7"/>
        <v>239790</v>
      </c>
      <c r="AK21" s="137">
        <f t="shared" si="7"/>
        <v>239790</v>
      </c>
      <c r="AL21" s="137">
        <f t="shared" si="7"/>
        <v>239790</v>
      </c>
      <c r="AM21" s="137">
        <f t="shared" si="7"/>
        <v>239790</v>
      </c>
      <c r="AN21" s="137">
        <f t="shared" si="7"/>
        <v>239790</v>
      </c>
      <c r="AO21" s="137">
        <f t="shared" si="7"/>
        <v>239790</v>
      </c>
      <c r="AP21" s="137">
        <f t="shared" si="7"/>
        <v>239790</v>
      </c>
      <c r="AQ21" s="137">
        <f t="shared" si="7"/>
        <v>239790</v>
      </c>
      <c r="AR21" s="137">
        <f t="shared" si="7"/>
        <v>239790</v>
      </c>
      <c r="AS21" s="137">
        <f t="shared" si="7"/>
        <v>239790</v>
      </c>
      <c r="AT21" s="137">
        <f t="shared" si="7"/>
        <v>239790</v>
      </c>
      <c r="AU21" s="137">
        <f t="shared" si="7"/>
        <v>239790</v>
      </c>
      <c r="AV21" s="137">
        <f t="shared" si="7"/>
        <v>239790</v>
      </c>
      <c r="AW21" s="137">
        <f t="shared" si="7"/>
        <v>239790</v>
      </c>
      <c r="AX21" s="137">
        <f t="shared" si="7"/>
        <v>239790</v>
      </c>
      <c r="AY21" s="137">
        <f t="shared" si="7"/>
        <v>239790</v>
      </c>
      <c r="AZ21" s="137">
        <f t="shared" si="7"/>
        <v>239790</v>
      </c>
      <c r="BA21" s="137">
        <f t="shared" si="7"/>
        <v>239790</v>
      </c>
      <c r="BB21" s="137">
        <f t="shared" si="7"/>
        <v>239790</v>
      </c>
      <c r="BC21" s="137">
        <f t="shared" si="7"/>
        <v>239790</v>
      </c>
      <c r="BD21" s="137">
        <f t="shared" si="7"/>
        <v>239790</v>
      </c>
      <c r="BE21" s="137">
        <f t="shared" si="7"/>
        <v>239790</v>
      </c>
      <c r="BF21" s="137">
        <f t="shared" si="7"/>
        <v>239790</v>
      </c>
      <c r="BG21" s="137">
        <f t="shared" si="7"/>
        <v>239790</v>
      </c>
      <c r="BH21" s="137">
        <f t="shared" si="7"/>
        <v>239790</v>
      </c>
      <c r="BI21" s="137">
        <f t="shared" si="7"/>
        <v>239790</v>
      </c>
      <c r="BJ21" s="137">
        <f t="shared" si="7"/>
        <v>239790</v>
      </c>
      <c r="BK21" s="137">
        <f t="shared" si="7"/>
        <v>239790</v>
      </c>
      <c r="BL21" s="137">
        <f t="shared" si="7"/>
        <v>239790</v>
      </c>
      <c r="BM21" s="137">
        <f t="shared" si="7"/>
        <v>239790</v>
      </c>
      <c r="BN21" s="125"/>
    </row>
    <row r="22" outlineLevel="1">
      <c r="A22" s="125"/>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row>
    <row r="23" outlineLevel="1">
      <c r="A23" s="125"/>
      <c r="B23" s="128" t="s">
        <v>118</v>
      </c>
      <c r="C23" s="129"/>
      <c r="D23" s="129"/>
      <c r="E23" s="129"/>
      <c r="F23" s="130">
        <f t="shared" ref="F23:BM23" si="8">F12-F21</f>
        <v>-229715</v>
      </c>
      <c r="G23" s="130">
        <f t="shared" si="8"/>
        <v>-229715</v>
      </c>
      <c r="H23" s="130">
        <f t="shared" si="8"/>
        <v>-229715</v>
      </c>
      <c r="I23" s="130">
        <f t="shared" si="8"/>
        <v>-229715</v>
      </c>
      <c r="J23" s="130">
        <f t="shared" si="8"/>
        <v>-229715</v>
      </c>
      <c r="K23" s="130">
        <f t="shared" si="8"/>
        <v>-229715</v>
      </c>
      <c r="L23" s="130">
        <f t="shared" si="8"/>
        <v>-229715</v>
      </c>
      <c r="M23" s="130">
        <f t="shared" si="8"/>
        <v>-229715</v>
      </c>
      <c r="N23" s="130">
        <f t="shared" si="8"/>
        <v>-229715</v>
      </c>
      <c r="O23" s="130">
        <f t="shared" si="8"/>
        <v>-229715</v>
      </c>
      <c r="P23" s="130">
        <f t="shared" si="8"/>
        <v>-229715</v>
      </c>
      <c r="Q23" s="130">
        <f t="shared" si="8"/>
        <v>-229715</v>
      </c>
      <c r="R23" s="130">
        <f t="shared" si="8"/>
        <v>-229715</v>
      </c>
      <c r="S23" s="130">
        <f t="shared" si="8"/>
        <v>-229715</v>
      </c>
      <c r="T23" s="130">
        <f t="shared" si="8"/>
        <v>-229715</v>
      </c>
      <c r="U23" s="130">
        <f t="shared" si="8"/>
        <v>-229715</v>
      </c>
      <c r="V23" s="130">
        <f t="shared" si="8"/>
        <v>-229715</v>
      </c>
      <c r="W23" s="130">
        <f t="shared" si="8"/>
        <v>-229715</v>
      </c>
      <c r="X23" s="130">
        <f t="shared" si="8"/>
        <v>-229715</v>
      </c>
      <c r="Y23" s="130">
        <f t="shared" si="8"/>
        <v>-229715</v>
      </c>
      <c r="Z23" s="130">
        <f t="shared" si="8"/>
        <v>-229715</v>
      </c>
      <c r="AA23" s="130">
        <f t="shared" si="8"/>
        <v>-229715</v>
      </c>
      <c r="AB23" s="130">
        <f t="shared" si="8"/>
        <v>-229715</v>
      </c>
      <c r="AC23" s="130">
        <f t="shared" si="8"/>
        <v>-229715</v>
      </c>
      <c r="AD23" s="130">
        <f t="shared" si="8"/>
        <v>-229715</v>
      </c>
      <c r="AE23" s="130">
        <f t="shared" si="8"/>
        <v>-229715</v>
      </c>
      <c r="AF23" s="130">
        <f t="shared" si="8"/>
        <v>-229715</v>
      </c>
      <c r="AG23" s="130">
        <f t="shared" si="8"/>
        <v>-229715</v>
      </c>
      <c r="AH23" s="130">
        <f t="shared" si="8"/>
        <v>-229715</v>
      </c>
      <c r="AI23" s="130">
        <f t="shared" si="8"/>
        <v>-229715</v>
      </c>
      <c r="AJ23" s="130">
        <f t="shared" si="8"/>
        <v>-229715</v>
      </c>
      <c r="AK23" s="130">
        <f t="shared" si="8"/>
        <v>-229715</v>
      </c>
      <c r="AL23" s="130">
        <f t="shared" si="8"/>
        <v>-229715</v>
      </c>
      <c r="AM23" s="130">
        <f t="shared" si="8"/>
        <v>-229715</v>
      </c>
      <c r="AN23" s="130">
        <f t="shared" si="8"/>
        <v>-229715</v>
      </c>
      <c r="AO23" s="130">
        <f t="shared" si="8"/>
        <v>-229715</v>
      </c>
      <c r="AP23" s="130">
        <f t="shared" si="8"/>
        <v>-229715</v>
      </c>
      <c r="AQ23" s="130">
        <f t="shared" si="8"/>
        <v>-229715</v>
      </c>
      <c r="AR23" s="130">
        <f t="shared" si="8"/>
        <v>-229715</v>
      </c>
      <c r="AS23" s="130">
        <f t="shared" si="8"/>
        <v>-229715</v>
      </c>
      <c r="AT23" s="130">
        <f t="shared" si="8"/>
        <v>-229715</v>
      </c>
      <c r="AU23" s="130">
        <f t="shared" si="8"/>
        <v>-229715</v>
      </c>
      <c r="AV23" s="130">
        <f t="shared" si="8"/>
        <v>-229715</v>
      </c>
      <c r="AW23" s="130">
        <f t="shared" si="8"/>
        <v>-229715</v>
      </c>
      <c r="AX23" s="130">
        <f t="shared" si="8"/>
        <v>-229715</v>
      </c>
      <c r="AY23" s="130">
        <f t="shared" si="8"/>
        <v>-229715</v>
      </c>
      <c r="AZ23" s="130">
        <f t="shared" si="8"/>
        <v>-229715</v>
      </c>
      <c r="BA23" s="130">
        <f t="shared" si="8"/>
        <v>-229715</v>
      </c>
      <c r="BB23" s="130">
        <f t="shared" si="8"/>
        <v>-229715</v>
      </c>
      <c r="BC23" s="130">
        <f t="shared" si="8"/>
        <v>-229715</v>
      </c>
      <c r="BD23" s="130">
        <f t="shared" si="8"/>
        <v>-229715</v>
      </c>
      <c r="BE23" s="130">
        <f t="shared" si="8"/>
        <v>-229715</v>
      </c>
      <c r="BF23" s="130">
        <f t="shared" si="8"/>
        <v>-229715</v>
      </c>
      <c r="BG23" s="130">
        <f t="shared" si="8"/>
        <v>-229715</v>
      </c>
      <c r="BH23" s="130">
        <f t="shared" si="8"/>
        <v>-229715</v>
      </c>
      <c r="BI23" s="130">
        <f t="shared" si="8"/>
        <v>-229715</v>
      </c>
      <c r="BJ23" s="130">
        <f t="shared" si="8"/>
        <v>-229715</v>
      </c>
      <c r="BK23" s="130">
        <f t="shared" si="8"/>
        <v>-229715</v>
      </c>
      <c r="BL23" s="130">
        <f t="shared" si="8"/>
        <v>-229715</v>
      </c>
      <c r="BM23" s="130">
        <f t="shared" si="8"/>
        <v>-229715</v>
      </c>
      <c r="BN23" s="125"/>
    </row>
    <row r="24" outlineLevel="1">
      <c r="A24" s="125"/>
      <c r="B24" s="135" t="s">
        <v>119</v>
      </c>
      <c r="C24" s="125"/>
      <c r="D24" s="125"/>
      <c r="E24" s="125"/>
      <c r="F24" s="125">
        <f>SUM(Assumptions!G106:G109)-sum(Assumptions!E106:E109)</f>
        <v>0</v>
      </c>
      <c r="G24" s="125">
        <f>SUM(Assumptions!H106:H109)-sum(Assumptions!G106:G109)</f>
        <v>0</v>
      </c>
      <c r="H24" s="125">
        <f>SUM(Assumptions!I106:I109)-sum(Assumptions!H106:H109)</f>
        <v>0</v>
      </c>
      <c r="I24" s="125">
        <f>SUM(Assumptions!J106:J109)-sum(Assumptions!I106:I109)</f>
        <v>0</v>
      </c>
      <c r="J24" s="125">
        <f>SUM(Assumptions!K106:K109)-sum(Assumptions!J106:J109)</f>
        <v>0</v>
      </c>
      <c r="K24" s="125">
        <f>SUM(Assumptions!L106:L109)-sum(Assumptions!K106:K109)</f>
        <v>0</v>
      </c>
      <c r="L24" s="125">
        <f>SUM(Assumptions!M106:M109)-sum(Assumptions!L106:L109)</f>
        <v>0</v>
      </c>
      <c r="M24" s="125">
        <f>SUM(Assumptions!N106:N109)-sum(Assumptions!M106:M109)</f>
        <v>0</v>
      </c>
      <c r="N24" s="125">
        <f>SUM(Assumptions!O106:O109)-sum(Assumptions!N106:N109)</f>
        <v>0</v>
      </c>
      <c r="O24" s="125">
        <f>SUM(Assumptions!P106:P109)-sum(Assumptions!O106:O109)</f>
        <v>0</v>
      </c>
      <c r="P24" s="125">
        <f>SUM(Assumptions!Q106:Q109)-sum(Assumptions!P106:P109)</f>
        <v>0</v>
      </c>
      <c r="Q24" s="125">
        <f>SUM(Assumptions!R106:R109)-sum(Assumptions!Q106:Q109)</f>
        <v>0</v>
      </c>
      <c r="R24" s="125">
        <f>SUM(Assumptions!S106:S109)-sum(Assumptions!R106:R109)</f>
        <v>0</v>
      </c>
      <c r="S24" s="125">
        <f>SUM(Assumptions!T106:T109)-sum(Assumptions!S106:S109)</f>
        <v>0</v>
      </c>
      <c r="T24" s="125">
        <f>SUM(Assumptions!U106:U109)-sum(Assumptions!T106:T109)</f>
        <v>0</v>
      </c>
      <c r="U24" s="125">
        <f>SUM(Assumptions!V106:V109)-sum(Assumptions!U106:U109)</f>
        <v>0</v>
      </c>
      <c r="V24" s="125">
        <f>SUM(Assumptions!W106:W109)-sum(Assumptions!V106:V109)</f>
        <v>0</v>
      </c>
      <c r="W24" s="125">
        <f>SUM(Assumptions!X106:X109)-sum(Assumptions!W106:W109)</f>
        <v>0</v>
      </c>
      <c r="X24" s="125">
        <f>SUM(Assumptions!Y106:Y109)-sum(Assumptions!X106:X109)</f>
        <v>0</v>
      </c>
      <c r="Y24" s="125">
        <f>SUM(Assumptions!Z106:Z109)-sum(Assumptions!Y106:Y109)</f>
        <v>0</v>
      </c>
      <c r="Z24" s="125">
        <f>SUM(Assumptions!AA106:AA109)-sum(Assumptions!Z106:Z109)</f>
        <v>0</v>
      </c>
      <c r="AA24" s="125">
        <f>SUM(Assumptions!AB106:AB109)-sum(Assumptions!AA106:AA109)</f>
        <v>0</v>
      </c>
      <c r="AB24" s="125">
        <f>SUM(Assumptions!AC106:AC109)-sum(Assumptions!AB106:AB109)</f>
        <v>0</v>
      </c>
      <c r="AC24" s="125">
        <f>SUM(Assumptions!AD106:AD109)-sum(Assumptions!AC106:AC109)</f>
        <v>0</v>
      </c>
      <c r="AD24" s="125">
        <f>SUM(Assumptions!AE106:AE109)-sum(Assumptions!AD106:AD109)</f>
        <v>0</v>
      </c>
      <c r="AE24" s="125">
        <f>SUM(Assumptions!AF106:AF109)-sum(Assumptions!AE106:AE109)</f>
        <v>0</v>
      </c>
      <c r="AF24" s="125">
        <f>SUM(Assumptions!AG106:AG109)-sum(Assumptions!AF106:AF109)</f>
        <v>0</v>
      </c>
      <c r="AG24" s="125">
        <f>SUM(Assumptions!AH106:AH109)-sum(Assumptions!AG106:AG109)</f>
        <v>0</v>
      </c>
      <c r="AH24" s="125">
        <f>SUM(Assumptions!AI106:AI109)-sum(Assumptions!AH106:AH109)</f>
        <v>0</v>
      </c>
      <c r="AI24" s="125">
        <f>SUM(Assumptions!AJ106:AJ109)-sum(Assumptions!AI106:AI109)</f>
        <v>0</v>
      </c>
      <c r="AJ24" s="125">
        <f>SUM(Assumptions!AK106:AK109)-sum(Assumptions!AJ106:AJ109)</f>
        <v>0</v>
      </c>
      <c r="AK24" s="125">
        <f>SUM(Assumptions!AL106:AL109)-sum(Assumptions!AK106:AK109)</f>
        <v>0</v>
      </c>
      <c r="AL24" s="125">
        <f>SUM(Assumptions!AM106:AM109)-sum(Assumptions!AL106:AL109)</f>
        <v>0</v>
      </c>
      <c r="AM24" s="125">
        <f>SUM(Assumptions!AN106:AN109)-sum(Assumptions!AM106:AM109)</f>
        <v>0</v>
      </c>
      <c r="AN24" s="125">
        <f>SUM(Assumptions!AO106:AO109)-sum(Assumptions!AN106:AN109)</f>
        <v>0</v>
      </c>
      <c r="AO24" s="125">
        <f>SUM(Assumptions!AP106:AP109)-sum(Assumptions!AO106:AO109)</f>
        <v>0</v>
      </c>
      <c r="AP24" s="125">
        <f>SUM(Assumptions!AQ106:AQ109)-sum(Assumptions!AP106:AP109)</f>
        <v>0</v>
      </c>
      <c r="AQ24" s="125">
        <f>SUM(Assumptions!AR106:AR109)-sum(Assumptions!AQ106:AQ109)</f>
        <v>0</v>
      </c>
      <c r="AR24" s="125">
        <f>SUM(Assumptions!AS106:AS109)-sum(Assumptions!AR106:AR109)</f>
        <v>0</v>
      </c>
      <c r="AS24" s="125">
        <f>SUM(Assumptions!AT106:AT109)-sum(Assumptions!AS106:AS109)</f>
        <v>0</v>
      </c>
      <c r="AT24" s="125">
        <f>SUM(Assumptions!AU106:AU109)-sum(Assumptions!AT106:AT109)</f>
        <v>0</v>
      </c>
      <c r="AU24" s="125">
        <f>SUM(Assumptions!AV106:AV109)-sum(Assumptions!AU106:AU109)</f>
        <v>0</v>
      </c>
      <c r="AV24" s="125">
        <f>SUM(Assumptions!AW106:AW109)-sum(Assumptions!AV106:AV109)</f>
        <v>0</v>
      </c>
      <c r="AW24" s="125">
        <f>SUM(Assumptions!AX106:AX109)-sum(Assumptions!AW106:AW109)</f>
        <v>0</v>
      </c>
      <c r="AX24" s="125">
        <f>SUM(Assumptions!AY106:AY109)-sum(Assumptions!AX106:AX109)</f>
        <v>0</v>
      </c>
      <c r="AY24" s="125">
        <f>SUM(Assumptions!AZ106:AZ109)-sum(Assumptions!AY106:AY109)</f>
        <v>0</v>
      </c>
      <c r="AZ24" s="125">
        <f>SUM(Assumptions!BA106:BA109)-sum(Assumptions!AZ106:AZ109)</f>
        <v>0</v>
      </c>
      <c r="BA24" s="125">
        <f>SUM(Assumptions!BB106:BB109)-sum(Assumptions!BA106:BA109)</f>
        <v>0</v>
      </c>
      <c r="BB24" s="125">
        <f>SUM(Assumptions!BC106:BC109)-sum(Assumptions!BB106:BB109)</f>
        <v>0</v>
      </c>
      <c r="BC24" s="125">
        <f>SUM(Assumptions!BD106:BD109)-sum(Assumptions!BC106:BC109)</f>
        <v>0</v>
      </c>
      <c r="BD24" s="125">
        <f>SUM(Assumptions!BE106:BE109)-sum(Assumptions!BD106:BD109)</f>
        <v>0</v>
      </c>
      <c r="BE24" s="125">
        <f>SUM(Assumptions!BF106:BF109)-sum(Assumptions!BE106:BE109)</f>
        <v>0</v>
      </c>
      <c r="BF24" s="125">
        <f>SUM(Assumptions!BG106:BG109)-sum(Assumptions!BF106:BF109)</f>
        <v>0</v>
      </c>
      <c r="BG24" s="125">
        <f>SUM(Assumptions!BH106:BH109)-sum(Assumptions!BG106:BG109)</f>
        <v>0</v>
      </c>
      <c r="BH24" s="125">
        <f>SUM(Assumptions!BI106:BI109)-sum(Assumptions!BH106:BH109)</f>
        <v>0</v>
      </c>
      <c r="BI24" s="125">
        <f>SUM(Assumptions!BJ106:BJ109)-sum(Assumptions!BI106:BI109)</f>
        <v>0</v>
      </c>
      <c r="BJ24" s="125">
        <f>SUM(Assumptions!BK106:BK109)-sum(Assumptions!BJ106:BJ109)</f>
        <v>0</v>
      </c>
      <c r="BK24" s="125">
        <f>SUM(Assumptions!BL106:BL109)-sum(Assumptions!BK106:BK109)</f>
        <v>0</v>
      </c>
      <c r="BL24" s="125">
        <f>SUM(Assumptions!BM106:BM109)-sum(Assumptions!BL106:BL109)</f>
        <v>0</v>
      </c>
      <c r="BM24" s="125">
        <f>SUM(Assumptions!BN106:BN109)-sum(Assumptions!BM106:BM109)</f>
        <v>0</v>
      </c>
      <c r="BN24" s="125"/>
    </row>
    <row r="25" outlineLevel="1">
      <c r="A25" s="125"/>
      <c r="B25" s="128" t="s">
        <v>120</v>
      </c>
      <c r="C25" s="129"/>
      <c r="D25" s="129"/>
      <c r="E25" s="129"/>
      <c r="F25" s="130">
        <f t="shared" ref="F25:BM25" si="9">F23-F24</f>
        <v>-229715</v>
      </c>
      <c r="G25" s="130">
        <f t="shared" si="9"/>
        <v>-229715</v>
      </c>
      <c r="H25" s="130">
        <f t="shared" si="9"/>
        <v>-229715</v>
      </c>
      <c r="I25" s="130">
        <f t="shared" si="9"/>
        <v>-229715</v>
      </c>
      <c r="J25" s="130">
        <f t="shared" si="9"/>
        <v>-229715</v>
      </c>
      <c r="K25" s="130">
        <f t="shared" si="9"/>
        <v>-229715</v>
      </c>
      <c r="L25" s="130">
        <f t="shared" si="9"/>
        <v>-229715</v>
      </c>
      <c r="M25" s="130">
        <f t="shared" si="9"/>
        <v>-229715</v>
      </c>
      <c r="N25" s="130">
        <f t="shared" si="9"/>
        <v>-229715</v>
      </c>
      <c r="O25" s="130">
        <f t="shared" si="9"/>
        <v>-229715</v>
      </c>
      <c r="P25" s="130">
        <f t="shared" si="9"/>
        <v>-229715</v>
      </c>
      <c r="Q25" s="130">
        <f t="shared" si="9"/>
        <v>-229715</v>
      </c>
      <c r="R25" s="130">
        <f t="shared" si="9"/>
        <v>-229715</v>
      </c>
      <c r="S25" s="130">
        <f t="shared" si="9"/>
        <v>-229715</v>
      </c>
      <c r="T25" s="130">
        <f t="shared" si="9"/>
        <v>-229715</v>
      </c>
      <c r="U25" s="130">
        <f t="shared" si="9"/>
        <v>-229715</v>
      </c>
      <c r="V25" s="130">
        <f t="shared" si="9"/>
        <v>-229715</v>
      </c>
      <c r="W25" s="130">
        <f t="shared" si="9"/>
        <v>-229715</v>
      </c>
      <c r="X25" s="130">
        <f t="shared" si="9"/>
        <v>-229715</v>
      </c>
      <c r="Y25" s="130">
        <f t="shared" si="9"/>
        <v>-229715</v>
      </c>
      <c r="Z25" s="130">
        <f t="shared" si="9"/>
        <v>-229715</v>
      </c>
      <c r="AA25" s="130">
        <f t="shared" si="9"/>
        <v>-229715</v>
      </c>
      <c r="AB25" s="130">
        <f t="shared" si="9"/>
        <v>-229715</v>
      </c>
      <c r="AC25" s="130">
        <f t="shared" si="9"/>
        <v>-229715</v>
      </c>
      <c r="AD25" s="130">
        <f t="shared" si="9"/>
        <v>-229715</v>
      </c>
      <c r="AE25" s="130">
        <f t="shared" si="9"/>
        <v>-229715</v>
      </c>
      <c r="AF25" s="130">
        <f t="shared" si="9"/>
        <v>-229715</v>
      </c>
      <c r="AG25" s="130">
        <f t="shared" si="9"/>
        <v>-229715</v>
      </c>
      <c r="AH25" s="130">
        <f t="shared" si="9"/>
        <v>-229715</v>
      </c>
      <c r="AI25" s="130">
        <f t="shared" si="9"/>
        <v>-229715</v>
      </c>
      <c r="AJ25" s="130">
        <f t="shared" si="9"/>
        <v>-229715</v>
      </c>
      <c r="AK25" s="130">
        <f t="shared" si="9"/>
        <v>-229715</v>
      </c>
      <c r="AL25" s="130">
        <f t="shared" si="9"/>
        <v>-229715</v>
      </c>
      <c r="AM25" s="130">
        <f t="shared" si="9"/>
        <v>-229715</v>
      </c>
      <c r="AN25" s="130">
        <f t="shared" si="9"/>
        <v>-229715</v>
      </c>
      <c r="AO25" s="130">
        <f t="shared" si="9"/>
        <v>-229715</v>
      </c>
      <c r="AP25" s="130">
        <f t="shared" si="9"/>
        <v>-229715</v>
      </c>
      <c r="AQ25" s="130">
        <f t="shared" si="9"/>
        <v>-229715</v>
      </c>
      <c r="AR25" s="130">
        <f t="shared" si="9"/>
        <v>-229715</v>
      </c>
      <c r="AS25" s="130">
        <f t="shared" si="9"/>
        <v>-229715</v>
      </c>
      <c r="AT25" s="130">
        <f t="shared" si="9"/>
        <v>-229715</v>
      </c>
      <c r="AU25" s="130">
        <f t="shared" si="9"/>
        <v>-229715</v>
      </c>
      <c r="AV25" s="130">
        <f t="shared" si="9"/>
        <v>-229715</v>
      </c>
      <c r="AW25" s="130">
        <f t="shared" si="9"/>
        <v>-229715</v>
      </c>
      <c r="AX25" s="130">
        <f t="shared" si="9"/>
        <v>-229715</v>
      </c>
      <c r="AY25" s="130">
        <f t="shared" si="9"/>
        <v>-229715</v>
      </c>
      <c r="AZ25" s="130">
        <f t="shared" si="9"/>
        <v>-229715</v>
      </c>
      <c r="BA25" s="130">
        <f t="shared" si="9"/>
        <v>-229715</v>
      </c>
      <c r="BB25" s="130">
        <f t="shared" si="9"/>
        <v>-229715</v>
      </c>
      <c r="BC25" s="130">
        <f t="shared" si="9"/>
        <v>-229715</v>
      </c>
      <c r="BD25" s="130">
        <f t="shared" si="9"/>
        <v>-229715</v>
      </c>
      <c r="BE25" s="130">
        <f t="shared" si="9"/>
        <v>-229715</v>
      </c>
      <c r="BF25" s="130">
        <f t="shared" si="9"/>
        <v>-229715</v>
      </c>
      <c r="BG25" s="130">
        <f t="shared" si="9"/>
        <v>-229715</v>
      </c>
      <c r="BH25" s="130">
        <f t="shared" si="9"/>
        <v>-229715</v>
      </c>
      <c r="BI25" s="130">
        <f t="shared" si="9"/>
        <v>-229715</v>
      </c>
      <c r="BJ25" s="130">
        <f t="shared" si="9"/>
        <v>-229715</v>
      </c>
      <c r="BK25" s="130">
        <f t="shared" si="9"/>
        <v>-229715</v>
      </c>
      <c r="BL25" s="130">
        <f t="shared" si="9"/>
        <v>-229715</v>
      </c>
      <c r="BM25" s="130">
        <f t="shared" si="9"/>
        <v>-229715</v>
      </c>
      <c r="BN25" s="125"/>
    </row>
    <row r="26" outlineLevel="1">
      <c r="A26" s="125"/>
      <c r="B26" s="138" t="s">
        <v>121</v>
      </c>
      <c r="C26" s="136"/>
      <c r="D26" s="136"/>
      <c r="E26" s="136"/>
      <c r="F26" s="136">
        <f>IF(F25&gt;0,F25*Assumptions!$C$87,0)</f>
        <v>0</v>
      </c>
      <c r="G26" s="136">
        <f>IF(G25&gt;0,G25*Assumptions!$C$87,0)</f>
        <v>0</v>
      </c>
      <c r="H26" s="136">
        <f>IF(H25&gt;0,H25*Assumptions!$C$87,0)</f>
        <v>0</v>
      </c>
      <c r="I26" s="136">
        <f>IF(I25&gt;0,I25*Assumptions!$C$87,0)</f>
        <v>0</v>
      </c>
      <c r="J26" s="136">
        <f>IF(J25&gt;0,J25*Assumptions!$C$87,0)</f>
        <v>0</v>
      </c>
      <c r="K26" s="136">
        <f>IF(K25&gt;0,K25*Assumptions!$C$87,0)</f>
        <v>0</v>
      </c>
      <c r="L26" s="136">
        <f>IF(L25&gt;0,L25*Assumptions!$C$87,0)</f>
        <v>0</v>
      </c>
      <c r="M26" s="136">
        <f>IF(M25&gt;0,M25*Assumptions!$C$87,0)</f>
        <v>0</v>
      </c>
      <c r="N26" s="136">
        <f>IF(N25&gt;0,N25*Assumptions!$C$87,0)</f>
        <v>0</v>
      </c>
      <c r="O26" s="136">
        <f>IF(O25&gt;0,O25*Assumptions!$C$87,0)</f>
        <v>0</v>
      </c>
      <c r="P26" s="136">
        <f>IF(P25&gt;0,P25*Assumptions!$C$87,0)</f>
        <v>0</v>
      </c>
      <c r="Q26" s="136">
        <f>IF(Q25&gt;0,Q25*Assumptions!$C$87,0)</f>
        <v>0</v>
      </c>
      <c r="R26" s="136">
        <f>IF(R25&gt;0,R25*Assumptions!$C$87,0)</f>
        <v>0</v>
      </c>
      <c r="S26" s="136">
        <f>IF(S25&gt;0,S25*Assumptions!$C$87,0)</f>
        <v>0</v>
      </c>
      <c r="T26" s="136">
        <f>IF(T25&gt;0,T25*Assumptions!$C$87,0)</f>
        <v>0</v>
      </c>
      <c r="U26" s="136">
        <f>IF(U25&gt;0,U25*Assumptions!$C$87,0)</f>
        <v>0</v>
      </c>
      <c r="V26" s="136">
        <f>IF(V25&gt;0,V25*Assumptions!$C$87,0)</f>
        <v>0</v>
      </c>
      <c r="W26" s="136">
        <f>IF(W25&gt;0,W25*Assumptions!$C$87,0)</f>
        <v>0</v>
      </c>
      <c r="X26" s="136">
        <f>IF(X25&gt;0,X25*Assumptions!$C$87,0)</f>
        <v>0</v>
      </c>
      <c r="Y26" s="136">
        <f>IF(Y25&gt;0,Y25*Assumptions!$C$87,0)</f>
        <v>0</v>
      </c>
      <c r="Z26" s="136">
        <f>IF(Z25&gt;0,Z25*Assumptions!$C$87,0)</f>
        <v>0</v>
      </c>
      <c r="AA26" s="136">
        <f>IF(AA25&gt;0,AA25*Assumptions!$C$87,0)</f>
        <v>0</v>
      </c>
      <c r="AB26" s="136">
        <f>IF(AB25&gt;0,AB25*Assumptions!$C$87,0)</f>
        <v>0</v>
      </c>
      <c r="AC26" s="136">
        <f>IF(AC25&gt;0,AC25*Assumptions!$C$87,0)</f>
        <v>0</v>
      </c>
      <c r="AD26" s="136">
        <f>IF(AD25&gt;0,AD25*Assumptions!$C$87,0)</f>
        <v>0</v>
      </c>
      <c r="AE26" s="136">
        <f>IF(AE25&gt;0,AE25*Assumptions!$C$87,0)</f>
        <v>0</v>
      </c>
      <c r="AF26" s="136">
        <f>IF(AF25&gt;0,AF25*Assumptions!$C$87,0)</f>
        <v>0</v>
      </c>
      <c r="AG26" s="136">
        <f>IF(AG25&gt;0,AG25*Assumptions!$C$87,0)</f>
        <v>0</v>
      </c>
      <c r="AH26" s="136">
        <f>IF(AH25&gt;0,AH25*Assumptions!$C$87,0)</f>
        <v>0</v>
      </c>
      <c r="AI26" s="136">
        <f>IF(AI25&gt;0,AI25*Assumptions!$C$87,0)</f>
        <v>0</v>
      </c>
      <c r="AJ26" s="136">
        <f>IF(AJ25&gt;0,AJ25*Assumptions!$C$87,0)</f>
        <v>0</v>
      </c>
      <c r="AK26" s="136">
        <f>IF(AK25&gt;0,AK25*Assumptions!$C$87,0)</f>
        <v>0</v>
      </c>
      <c r="AL26" s="136">
        <f>IF(AL25&gt;0,AL25*Assumptions!$C$87,0)</f>
        <v>0</v>
      </c>
      <c r="AM26" s="136">
        <f>IF(AM25&gt;0,AM25*Assumptions!$C$87,0)</f>
        <v>0</v>
      </c>
      <c r="AN26" s="136">
        <f>IF(AN25&gt;0,AN25*Assumptions!$C$87,0)</f>
        <v>0</v>
      </c>
      <c r="AO26" s="136">
        <f>IF(AO25&gt;0,AO25*Assumptions!$C$87,0)</f>
        <v>0</v>
      </c>
      <c r="AP26" s="136">
        <f>IF(AP25&gt;0,AP25*Assumptions!$C$87,0)</f>
        <v>0</v>
      </c>
      <c r="AQ26" s="136">
        <f>IF(AQ25&gt;0,AQ25*Assumptions!$C$87,0)</f>
        <v>0</v>
      </c>
      <c r="AR26" s="136">
        <f>IF(AR25&gt;0,AR25*Assumptions!$C$87,0)</f>
        <v>0</v>
      </c>
      <c r="AS26" s="136">
        <f>IF(AS25&gt;0,AS25*Assumptions!$C$87,0)</f>
        <v>0</v>
      </c>
      <c r="AT26" s="136">
        <f>IF(AT25&gt;0,AT25*Assumptions!$C$87,0)</f>
        <v>0</v>
      </c>
      <c r="AU26" s="136">
        <f>IF(AU25&gt;0,AU25*Assumptions!$C$87,0)</f>
        <v>0</v>
      </c>
      <c r="AV26" s="136">
        <f>IF(AV25&gt;0,AV25*Assumptions!$C$87,0)</f>
        <v>0</v>
      </c>
      <c r="AW26" s="136">
        <f>IF(AW25&gt;0,AW25*Assumptions!$C$87,0)</f>
        <v>0</v>
      </c>
      <c r="AX26" s="136">
        <f>IF(AX25&gt;0,AX25*Assumptions!$C$87,0)</f>
        <v>0</v>
      </c>
      <c r="AY26" s="136">
        <f>IF(AY25&gt;0,AY25*Assumptions!$C$87,0)</f>
        <v>0</v>
      </c>
      <c r="AZ26" s="136">
        <f>IF(AZ25&gt;0,AZ25*Assumptions!$C$87,0)</f>
        <v>0</v>
      </c>
      <c r="BA26" s="136">
        <f>IF(BA25&gt;0,BA25*Assumptions!$C$87,0)</f>
        <v>0</v>
      </c>
      <c r="BB26" s="136">
        <f>IF(BB25&gt;0,BB25*Assumptions!$C$87,0)</f>
        <v>0</v>
      </c>
      <c r="BC26" s="136">
        <f>IF(BC25&gt;0,BC25*Assumptions!$C$87,0)</f>
        <v>0</v>
      </c>
      <c r="BD26" s="136">
        <f>IF(BD25&gt;0,BD25*Assumptions!$C$87,0)</f>
        <v>0</v>
      </c>
      <c r="BE26" s="136">
        <f>IF(BE25&gt;0,BE25*Assumptions!$C$87,0)</f>
        <v>0</v>
      </c>
      <c r="BF26" s="136">
        <f>IF(BF25&gt;0,BF25*Assumptions!$C$87,0)</f>
        <v>0</v>
      </c>
      <c r="BG26" s="136">
        <f>IF(BG25&gt;0,BG25*Assumptions!$C$87,0)</f>
        <v>0</v>
      </c>
      <c r="BH26" s="136">
        <f>IF(BH25&gt;0,BH25*Assumptions!$C$87,0)</f>
        <v>0</v>
      </c>
      <c r="BI26" s="136">
        <f>IF(BI25&gt;0,BI25*Assumptions!$C$87,0)</f>
        <v>0</v>
      </c>
      <c r="BJ26" s="136">
        <f>IF(BJ25&gt;0,BJ25*Assumptions!$C$87,0)</f>
        <v>0</v>
      </c>
      <c r="BK26" s="136">
        <f>IF(BK25&gt;0,BK25*Assumptions!$C$87,0)</f>
        <v>0</v>
      </c>
      <c r="BL26" s="136">
        <f>IF(BL25&gt;0,BL25*Assumptions!$C$87,0)</f>
        <v>0</v>
      </c>
      <c r="BM26" s="136">
        <f>IF(BM25&gt;0,BM25*Assumptions!$C$87,0)</f>
        <v>0</v>
      </c>
      <c r="BN26" s="125"/>
    </row>
    <row r="27" outlineLevel="1">
      <c r="A27" s="125"/>
      <c r="B27" s="134" t="s">
        <v>122</v>
      </c>
      <c r="C27" s="125"/>
      <c r="D27" s="125"/>
      <c r="E27" s="125"/>
      <c r="F27" s="137">
        <f t="shared" ref="F27:BM27" si="10">F25-F26</f>
        <v>-229715</v>
      </c>
      <c r="G27" s="137">
        <f t="shared" si="10"/>
        <v>-229715</v>
      </c>
      <c r="H27" s="137">
        <f t="shared" si="10"/>
        <v>-229715</v>
      </c>
      <c r="I27" s="137">
        <f t="shared" si="10"/>
        <v>-229715</v>
      </c>
      <c r="J27" s="137">
        <f t="shared" si="10"/>
        <v>-229715</v>
      </c>
      <c r="K27" s="137">
        <f t="shared" si="10"/>
        <v>-229715</v>
      </c>
      <c r="L27" s="137">
        <f t="shared" si="10"/>
        <v>-229715</v>
      </c>
      <c r="M27" s="137">
        <f t="shared" si="10"/>
        <v>-229715</v>
      </c>
      <c r="N27" s="137">
        <f t="shared" si="10"/>
        <v>-229715</v>
      </c>
      <c r="O27" s="137">
        <f t="shared" si="10"/>
        <v>-229715</v>
      </c>
      <c r="P27" s="137">
        <f t="shared" si="10"/>
        <v>-229715</v>
      </c>
      <c r="Q27" s="137">
        <f t="shared" si="10"/>
        <v>-229715</v>
      </c>
      <c r="R27" s="137">
        <f t="shared" si="10"/>
        <v>-229715</v>
      </c>
      <c r="S27" s="137">
        <f t="shared" si="10"/>
        <v>-229715</v>
      </c>
      <c r="T27" s="137">
        <f t="shared" si="10"/>
        <v>-229715</v>
      </c>
      <c r="U27" s="137">
        <f t="shared" si="10"/>
        <v>-229715</v>
      </c>
      <c r="V27" s="137">
        <f t="shared" si="10"/>
        <v>-229715</v>
      </c>
      <c r="W27" s="137">
        <f t="shared" si="10"/>
        <v>-229715</v>
      </c>
      <c r="X27" s="137">
        <f t="shared" si="10"/>
        <v>-229715</v>
      </c>
      <c r="Y27" s="137">
        <f t="shared" si="10"/>
        <v>-229715</v>
      </c>
      <c r="Z27" s="137">
        <f t="shared" si="10"/>
        <v>-229715</v>
      </c>
      <c r="AA27" s="137">
        <f t="shared" si="10"/>
        <v>-229715</v>
      </c>
      <c r="AB27" s="137">
        <f t="shared" si="10"/>
        <v>-229715</v>
      </c>
      <c r="AC27" s="137">
        <f t="shared" si="10"/>
        <v>-229715</v>
      </c>
      <c r="AD27" s="137">
        <f t="shared" si="10"/>
        <v>-229715</v>
      </c>
      <c r="AE27" s="137">
        <f t="shared" si="10"/>
        <v>-229715</v>
      </c>
      <c r="AF27" s="137">
        <f t="shared" si="10"/>
        <v>-229715</v>
      </c>
      <c r="AG27" s="137">
        <f t="shared" si="10"/>
        <v>-229715</v>
      </c>
      <c r="AH27" s="137">
        <f t="shared" si="10"/>
        <v>-229715</v>
      </c>
      <c r="AI27" s="137">
        <f t="shared" si="10"/>
        <v>-229715</v>
      </c>
      <c r="AJ27" s="137">
        <f t="shared" si="10"/>
        <v>-229715</v>
      </c>
      <c r="AK27" s="137">
        <f t="shared" si="10"/>
        <v>-229715</v>
      </c>
      <c r="AL27" s="137">
        <f t="shared" si="10"/>
        <v>-229715</v>
      </c>
      <c r="AM27" s="137">
        <f t="shared" si="10"/>
        <v>-229715</v>
      </c>
      <c r="AN27" s="137">
        <f t="shared" si="10"/>
        <v>-229715</v>
      </c>
      <c r="AO27" s="137">
        <f t="shared" si="10"/>
        <v>-229715</v>
      </c>
      <c r="AP27" s="137">
        <f t="shared" si="10"/>
        <v>-229715</v>
      </c>
      <c r="AQ27" s="137">
        <f t="shared" si="10"/>
        <v>-229715</v>
      </c>
      <c r="AR27" s="137">
        <f t="shared" si="10"/>
        <v>-229715</v>
      </c>
      <c r="AS27" s="137">
        <f t="shared" si="10"/>
        <v>-229715</v>
      </c>
      <c r="AT27" s="137">
        <f t="shared" si="10"/>
        <v>-229715</v>
      </c>
      <c r="AU27" s="137">
        <f t="shared" si="10"/>
        <v>-229715</v>
      </c>
      <c r="AV27" s="137">
        <f t="shared" si="10"/>
        <v>-229715</v>
      </c>
      <c r="AW27" s="137">
        <f t="shared" si="10"/>
        <v>-229715</v>
      </c>
      <c r="AX27" s="137">
        <f t="shared" si="10"/>
        <v>-229715</v>
      </c>
      <c r="AY27" s="137">
        <f t="shared" si="10"/>
        <v>-229715</v>
      </c>
      <c r="AZ27" s="137">
        <f t="shared" si="10"/>
        <v>-229715</v>
      </c>
      <c r="BA27" s="137">
        <f t="shared" si="10"/>
        <v>-229715</v>
      </c>
      <c r="BB27" s="137">
        <f t="shared" si="10"/>
        <v>-229715</v>
      </c>
      <c r="BC27" s="137">
        <f t="shared" si="10"/>
        <v>-229715</v>
      </c>
      <c r="BD27" s="137">
        <f t="shared" si="10"/>
        <v>-229715</v>
      </c>
      <c r="BE27" s="137">
        <f t="shared" si="10"/>
        <v>-229715</v>
      </c>
      <c r="BF27" s="137">
        <f t="shared" si="10"/>
        <v>-229715</v>
      </c>
      <c r="BG27" s="137">
        <f t="shared" si="10"/>
        <v>-229715</v>
      </c>
      <c r="BH27" s="137">
        <f t="shared" si="10"/>
        <v>-229715</v>
      </c>
      <c r="BI27" s="137">
        <f t="shared" si="10"/>
        <v>-229715</v>
      </c>
      <c r="BJ27" s="137">
        <f t="shared" si="10"/>
        <v>-229715</v>
      </c>
      <c r="BK27" s="137">
        <f t="shared" si="10"/>
        <v>-229715</v>
      </c>
      <c r="BL27" s="137">
        <f t="shared" si="10"/>
        <v>-229715</v>
      </c>
      <c r="BM27" s="137">
        <f t="shared" si="10"/>
        <v>-229715</v>
      </c>
      <c r="BN27" s="125"/>
    </row>
    <row r="28" outlineLevel="1">
      <c r="A28" s="30"/>
      <c r="B28" s="139" t="s">
        <v>123</v>
      </c>
      <c r="C28" s="30"/>
      <c r="D28" s="30"/>
      <c r="E28" s="30"/>
      <c r="F28" s="133">
        <f t="shared" ref="F28:BM28" si="11">F27/F8</f>
        <v>-14.82032258</v>
      </c>
      <c r="G28" s="133">
        <f t="shared" si="11"/>
        <v>-14.82032258</v>
      </c>
      <c r="H28" s="133">
        <f t="shared" si="11"/>
        <v>-14.82032258</v>
      </c>
      <c r="I28" s="133">
        <f t="shared" si="11"/>
        <v>-14.82032258</v>
      </c>
      <c r="J28" s="133">
        <f t="shared" si="11"/>
        <v>-14.82032258</v>
      </c>
      <c r="K28" s="133">
        <f t="shared" si="11"/>
        <v>-14.82032258</v>
      </c>
      <c r="L28" s="133">
        <f t="shared" si="11"/>
        <v>-14.82032258</v>
      </c>
      <c r="M28" s="133">
        <f t="shared" si="11"/>
        <v>-14.82032258</v>
      </c>
      <c r="N28" s="133">
        <f t="shared" si="11"/>
        <v>-14.82032258</v>
      </c>
      <c r="O28" s="133">
        <f t="shared" si="11"/>
        <v>-14.82032258</v>
      </c>
      <c r="P28" s="133">
        <f t="shared" si="11"/>
        <v>-14.82032258</v>
      </c>
      <c r="Q28" s="133">
        <f t="shared" si="11"/>
        <v>-14.82032258</v>
      </c>
      <c r="R28" s="133">
        <f t="shared" si="11"/>
        <v>-14.82032258</v>
      </c>
      <c r="S28" s="133">
        <f t="shared" si="11"/>
        <v>-14.82032258</v>
      </c>
      <c r="T28" s="133">
        <f t="shared" si="11"/>
        <v>-14.82032258</v>
      </c>
      <c r="U28" s="133">
        <f t="shared" si="11"/>
        <v>-14.82032258</v>
      </c>
      <c r="V28" s="133">
        <f t="shared" si="11"/>
        <v>-14.82032258</v>
      </c>
      <c r="W28" s="133">
        <f t="shared" si="11"/>
        <v>-14.82032258</v>
      </c>
      <c r="X28" s="133">
        <f t="shared" si="11"/>
        <v>-14.82032258</v>
      </c>
      <c r="Y28" s="133">
        <f t="shared" si="11"/>
        <v>-14.82032258</v>
      </c>
      <c r="Z28" s="133">
        <f t="shared" si="11"/>
        <v>-14.82032258</v>
      </c>
      <c r="AA28" s="133">
        <f t="shared" si="11"/>
        <v>-14.82032258</v>
      </c>
      <c r="AB28" s="133">
        <f t="shared" si="11"/>
        <v>-14.82032258</v>
      </c>
      <c r="AC28" s="133">
        <f t="shared" si="11"/>
        <v>-14.82032258</v>
      </c>
      <c r="AD28" s="133">
        <f t="shared" si="11"/>
        <v>-14.82032258</v>
      </c>
      <c r="AE28" s="133">
        <f t="shared" si="11"/>
        <v>-14.82032258</v>
      </c>
      <c r="AF28" s="133">
        <f t="shared" si="11"/>
        <v>-14.82032258</v>
      </c>
      <c r="AG28" s="133">
        <f t="shared" si="11"/>
        <v>-14.82032258</v>
      </c>
      <c r="AH28" s="133">
        <f t="shared" si="11"/>
        <v>-14.82032258</v>
      </c>
      <c r="AI28" s="133">
        <f t="shared" si="11"/>
        <v>-14.82032258</v>
      </c>
      <c r="AJ28" s="133">
        <f t="shared" si="11"/>
        <v>-14.82032258</v>
      </c>
      <c r="AK28" s="133">
        <f t="shared" si="11"/>
        <v>-14.82032258</v>
      </c>
      <c r="AL28" s="133">
        <f t="shared" si="11"/>
        <v>-14.82032258</v>
      </c>
      <c r="AM28" s="133">
        <f t="shared" si="11"/>
        <v>-14.82032258</v>
      </c>
      <c r="AN28" s="133">
        <f t="shared" si="11"/>
        <v>-14.82032258</v>
      </c>
      <c r="AO28" s="133">
        <f t="shared" si="11"/>
        <v>-14.82032258</v>
      </c>
      <c r="AP28" s="133">
        <f t="shared" si="11"/>
        <v>-14.82032258</v>
      </c>
      <c r="AQ28" s="133">
        <f t="shared" si="11"/>
        <v>-14.82032258</v>
      </c>
      <c r="AR28" s="133">
        <f t="shared" si="11"/>
        <v>-14.82032258</v>
      </c>
      <c r="AS28" s="133">
        <f t="shared" si="11"/>
        <v>-14.82032258</v>
      </c>
      <c r="AT28" s="133">
        <f t="shared" si="11"/>
        <v>-14.82032258</v>
      </c>
      <c r="AU28" s="133">
        <f t="shared" si="11"/>
        <v>-14.82032258</v>
      </c>
      <c r="AV28" s="133">
        <f t="shared" si="11"/>
        <v>-14.82032258</v>
      </c>
      <c r="AW28" s="133">
        <f t="shared" si="11"/>
        <v>-14.82032258</v>
      </c>
      <c r="AX28" s="133">
        <f t="shared" si="11"/>
        <v>-14.82032258</v>
      </c>
      <c r="AY28" s="133">
        <f t="shared" si="11"/>
        <v>-14.82032258</v>
      </c>
      <c r="AZ28" s="133">
        <f t="shared" si="11"/>
        <v>-14.82032258</v>
      </c>
      <c r="BA28" s="133">
        <f t="shared" si="11"/>
        <v>-14.82032258</v>
      </c>
      <c r="BB28" s="133">
        <f t="shared" si="11"/>
        <v>-14.82032258</v>
      </c>
      <c r="BC28" s="133">
        <f t="shared" si="11"/>
        <v>-14.82032258</v>
      </c>
      <c r="BD28" s="133">
        <f t="shared" si="11"/>
        <v>-14.82032258</v>
      </c>
      <c r="BE28" s="133">
        <f t="shared" si="11"/>
        <v>-14.82032258</v>
      </c>
      <c r="BF28" s="133">
        <f t="shared" si="11"/>
        <v>-14.82032258</v>
      </c>
      <c r="BG28" s="133">
        <f t="shared" si="11"/>
        <v>-14.82032258</v>
      </c>
      <c r="BH28" s="133">
        <f t="shared" si="11"/>
        <v>-14.82032258</v>
      </c>
      <c r="BI28" s="133">
        <f t="shared" si="11"/>
        <v>-14.82032258</v>
      </c>
      <c r="BJ28" s="133">
        <f t="shared" si="11"/>
        <v>-14.82032258</v>
      </c>
      <c r="BK28" s="133">
        <f t="shared" si="11"/>
        <v>-14.82032258</v>
      </c>
      <c r="BL28" s="133">
        <f t="shared" si="11"/>
        <v>-14.82032258</v>
      </c>
      <c r="BM28" s="133">
        <f t="shared" si="11"/>
        <v>-14.82032258</v>
      </c>
      <c r="BN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row>
    <row r="30">
      <c r="A30" s="30"/>
      <c r="B30" s="123" t="s">
        <v>81</v>
      </c>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0"/>
    </row>
    <row r="31" outlineLevel="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row>
    <row r="32" outlineLevel="1">
      <c r="A32" s="125"/>
      <c r="B32" s="134" t="s">
        <v>82</v>
      </c>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row>
    <row r="33" outlineLevel="1">
      <c r="A33" s="125"/>
      <c r="B33" s="140" t="s">
        <v>124</v>
      </c>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row>
    <row r="34" outlineLevel="1">
      <c r="A34" s="125"/>
      <c r="B34" s="135" t="s">
        <v>125</v>
      </c>
      <c r="C34" s="125"/>
      <c r="D34" s="125"/>
      <c r="E34" s="125"/>
      <c r="F34" s="125">
        <f t="shared" ref="F34:BM34" si="12">F77</f>
        <v>284142.5</v>
      </c>
      <c r="G34" s="125">
        <f t="shared" si="12"/>
        <v>54427.5</v>
      </c>
      <c r="H34" s="125">
        <f t="shared" si="12"/>
        <v>-175287.5</v>
      </c>
      <c r="I34" s="125">
        <f t="shared" si="12"/>
        <v>-405002.5</v>
      </c>
      <c r="J34" s="125">
        <f t="shared" si="12"/>
        <v>-634717.5</v>
      </c>
      <c r="K34" s="125">
        <f t="shared" si="12"/>
        <v>-864432.5</v>
      </c>
      <c r="L34" s="125">
        <f t="shared" si="12"/>
        <v>-1094147.5</v>
      </c>
      <c r="M34" s="125">
        <f t="shared" si="12"/>
        <v>-1323862.5</v>
      </c>
      <c r="N34" s="125">
        <f t="shared" si="12"/>
        <v>-1553577.5</v>
      </c>
      <c r="O34" s="125">
        <f t="shared" si="12"/>
        <v>-1783292.5</v>
      </c>
      <c r="P34" s="125">
        <f t="shared" si="12"/>
        <v>-2013007.5</v>
      </c>
      <c r="Q34" s="125">
        <f t="shared" si="12"/>
        <v>-2242722.5</v>
      </c>
      <c r="R34" s="125">
        <f t="shared" si="12"/>
        <v>-2472437.5</v>
      </c>
      <c r="S34" s="125">
        <f t="shared" si="12"/>
        <v>-2702152.5</v>
      </c>
      <c r="T34" s="125">
        <f t="shared" si="12"/>
        <v>-2931867.5</v>
      </c>
      <c r="U34" s="125">
        <f t="shared" si="12"/>
        <v>-3161582.5</v>
      </c>
      <c r="V34" s="125">
        <f t="shared" si="12"/>
        <v>-3391297.5</v>
      </c>
      <c r="W34" s="125">
        <f t="shared" si="12"/>
        <v>-3621012.5</v>
      </c>
      <c r="X34" s="125">
        <f t="shared" si="12"/>
        <v>-3850727.5</v>
      </c>
      <c r="Y34" s="125">
        <f t="shared" si="12"/>
        <v>-4080442.5</v>
      </c>
      <c r="Z34" s="125">
        <f t="shared" si="12"/>
        <v>-4310157.5</v>
      </c>
      <c r="AA34" s="125">
        <f t="shared" si="12"/>
        <v>-4539872.5</v>
      </c>
      <c r="AB34" s="125">
        <f t="shared" si="12"/>
        <v>-4769587.5</v>
      </c>
      <c r="AC34" s="125">
        <f t="shared" si="12"/>
        <v>-4999302.5</v>
      </c>
      <c r="AD34" s="125">
        <f t="shared" si="12"/>
        <v>-5229017.5</v>
      </c>
      <c r="AE34" s="125">
        <f t="shared" si="12"/>
        <v>-5458732.5</v>
      </c>
      <c r="AF34" s="125">
        <f t="shared" si="12"/>
        <v>-5688447.5</v>
      </c>
      <c r="AG34" s="125">
        <f t="shared" si="12"/>
        <v>-5918162.5</v>
      </c>
      <c r="AH34" s="125">
        <f t="shared" si="12"/>
        <v>-6147877.5</v>
      </c>
      <c r="AI34" s="125">
        <f t="shared" si="12"/>
        <v>-6377592.5</v>
      </c>
      <c r="AJ34" s="125">
        <f t="shared" si="12"/>
        <v>-6607307.5</v>
      </c>
      <c r="AK34" s="125">
        <f t="shared" si="12"/>
        <v>-6837022.5</v>
      </c>
      <c r="AL34" s="125">
        <f t="shared" si="12"/>
        <v>-7066737.5</v>
      </c>
      <c r="AM34" s="125">
        <f t="shared" si="12"/>
        <v>-7296452.5</v>
      </c>
      <c r="AN34" s="125">
        <f t="shared" si="12"/>
        <v>-7526167.5</v>
      </c>
      <c r="AO34" s="125">
        <f t="shared" si="12"/>
        <v>-7755882.5</v>
      </c>
      <c r="AP34" s="125">
        <f t="shared" si="12"/>
        <v>-7985597.5</v>
      </c>
      <c r="AQ34" s="125">
        <f t="shared" si="12"/>
        <v>-8215312.5</v>
      </c>
      <c r="AR34" s="125">
        <f t="shared" si="12"/>
        <v>-8445027.5</v>
      </c>
      <c r="AS34" s="125">
        <f t="shared" si="12"/>
        <v>-8674742.5</v>
      </c>
      <c r="AT34" s="125">
        <f t="shared" si="12"/>
        <v>-8904457.5</v>
      </c>
      <c r="AU34" s="125">
        <f t="shared" si="12"/>
        <v>-9134172.5</v>
      </c>
      <c r="AV34" s="125">
        <f t="shared" si="12"/>
        <v>-9363887.5</v>
      </c>
      <c r="AW34" s="125">
        <f t="shared" si="12"/>
        <v>-9593602.5</v>
      </c>
      <c r="AX34" s="125">
        <f t="shared" si="12"/>
        <v>-9823317.5</v>
      </c>
      <c r="AY34" s="125">
        <f t="shared" si="12"/>
        <v>-10053032.5</v>
      </c>
      <c r="AZ34" s="125">
        <f t="shared" si="12"/>
        <v>-10282747.5</v>
      </c>
      <c r="BA34" s="125">
        <f t="shared" si="12"/>
        <v>-10512462.5</v>
      </c>
      <c r="BB34" s="125">
        <f t="shared" si="12"/>
        <v>-10742177.5</v>
      </c>
      <c r="BC34" s="125">
        <f t="shared" si="12"/>
        <v>-10971892.5</v>
      </c>
      <c r="BD34" s="125">
        <f t="shared" si="12"/>
        <v>-11201607.5</v>
      </c>
      <c r="BE34" s="125">
        <f t="shared" si="12"/>
        <v>-11431322.5</v>
      </c>
      <c r="BF34" s="125">
        <f t="shared" si="12"/>
        <v>-11661037.5</v>
      </c>
      <c r="BG34" s="125">
        <f t="shared" si="12"/>
        <v>-11890752.5</v>
      </c>
      <c r="BH34" s="125">
        <f t="shared" si="12"/>
        <v>-12120467.5</v>
      </c>
      <c r="BI34" s="125">
        <f t="shared" si="12"/>
        <v>-12350182.5</v>
      </c>
      <c r="BJ34" s="125">
        <f t="shared" si="12"/>
        <v>-12579897.5</v>
      </c>
      <c r="BK34" s="125">
        <f t="shared" si="12"/>
        <v>-12809612.5</v>
      </c>
      <c r="BL34" s="125">
        <f t="shared" si="12"/>
        <v>-13039327.5</v>
      </c>
      <c r="BM34" s="125">
        <f t="shared" si="12"/>
        <v>-13269042.5</v>
      </c>
      <c r="BN34" s="125"/>
    </row>
    <row r="35" outlineLevel="1">
      <c r="A35" s="125"/>
      <c r="B35" s="135" t="s">
        <v>126</v>
      </c>
      <c r="C35" s="125"/>
      <c r="D35" s="125"/>
      <c r="E35" s="125"/>
      <c r="F35" s="125">
        <f>Assumptions!G97</f>
        <v>7750</v>
      </c>
      <c r="G35" s="125">
        <f>Assumptions!H97</f>
        <v>7750</v>
      </c>
      <c r="H35" s="125">
        <f>Assumptions!I97</f>
        <v>7750</v>
      </c>
      <c r="I35" s="125">
        <f>Assumptions!J97</f>
        <v>7750</v>
      </c>
      <c r="J35" s="125">
        <f>Assumptions!K97</f>
        <v>7750</v>
      </c>
      <c r="K35" s="125">
        <f>Assumptions!L97</f>
        <v>7750</v>
      </c>
      <c r="L35" s="125">
        <f>Assumptions!M97</f>
        <v>7750</v>
      </c>
      <c r="M35" s="125">
        <f>Assumptions!N97</f>
        <v>7750</v>
      </c>
      <c r="N35" s="125">
        <f>Assumptions!O97</f>
        <v>7750</v>
      </c>
      <c r="O35" s="125">
        <f>Assumptions!P97</f>
        <v>7750</v>
      </c>
      <c r="P35" s="125">
        <f>Assumptions!Q97</f>
        <v>7750</v>
      </c>
      <c r="Q35" s="125">
        <f>Assumptions!R97</f>
        <v>7750</v>
      </c>
      <c r="R35" s="125">
        <f>Assumptions!S97</f>
        <v>7750</v>
      </c>
      <c r="S35" s="125">
        <f>Assumptions!T97</f>
        <v>7750</v>
      </c>
      <c r="T35" s="125">
        <f>Assumptions!U97</f>
        <v>7750</v>
      </c>
      <c r="U35" s="125">
        <f>Assumptions!V97</f>
        <v>7750</v>
      </c>
      <c r="V35" s="125">
        <f>Assumptions!W97</f>
        <v>7750</v>
      </c>
      <c r="W35" s="125">
        <f>Assumptions!X97</f>
        <v>7750</v>
      </c>
      <c r="X35" s="125">
        <f>Assumptions!Y97</f>
        <v>7750</v>
      </c>
      <c r="Y35" s="125">
        <f>Assumptions!Z97</f>
        <v>7750</v>
      </c>
      <c r="Z35" s="125">
        <f>Assumptions!AA97</f>
        <v>7750</v>
      </c>
      <c r="AA35" s="125">
        <f>Assumptions!AB97</f>
        <v>7750</v>
      </c>
      <c r="AB35" s="125">
        <f>Assumptions!AC97</f>
        <v>7750</v>
      </c>
      <c r="AC35" s="125">
        <f>Assumptions!AD97</f>
        <v>7750</v>
      </c>
      <c r="AD35" s="125">
        <f>Assumptions!AE97</f>
        <v>7750</v>
      </c>
      <c r="AE35" s="125">
        <f>Assumptions!AF97</f>
        <v>7750</v>
      </c>
      <c r="AF35" s="125">
        <f>Assumptions!AG97</f>
        <v>7750</v>
      </c>
      <c r="AG35" s="125">
        <f>Assumptions!AH97</f>
        <v>7750</v>
      </c>
      <c r="AH35" s="125">
        <f>Assumptions!AI97</f>
        <v>7750</v>
      </c>
      <c r="AI35" s="125">
        <f>Assumptions!AJ97</f>
        <v>7750</v>
      </c>
      <c r="AJ35" s="125">
        <f>Assumptions!AK97</f>
        <v>7750</v>
      </c>
      <c r="AK35" s="125">
        <f>Assumptions!AL97</f>
        <v>7750</v>
      </c>
      <c r="AL35" s="125">
        <f>Assumptions!AM97</f>
        <v>7750</v>
      </c>
      <c r="AM35" s="125">
        <f>Assumptions!AN97</f>
        <v>7750</v>
      </c>
      <c r="AN35" s="125">
        <f>Assumptions!AO97</f>
        <v>7750</v>
      </c>
      <c r="AO35" s="125">
        <f>Assumptions!AP97</f>
        <v>7750</v>
      </c>
      <c r="AP35" s="125">
        <f>Assumptions!AQ97</f>
        <v>7750</v>
      </c>
      <c r="AQ35" s="125">
        <f>Assumptions!AR97</f>
        <v>7750</v>
      </c>
      <c r="AR35" s="125">
        <f>Assumptions!AS97</f>
        <v>7750</v>
      </c>
      <c r="AS35" s="125">
        <f>Assumptions!AT97</f>
        <v>7750</v>
      </c>
      <c r="AT35" s="125">
        <f>Assumptions!AU97</f>
        <v>7750</v>
      </c>
      <c r="AU35" s="125">
        <f>Assumptions!AV97</f>
        <v>7750</v>
      </c>
      <c r="AV35" s="125">
        <f>Assumptions!AW97</f>
        <v>7750</v>
      </c>
      <c r="AW35" s="125">
        <f>Assumptions!AX97</f>
        <v>7750</v>
      </c>
      <c r="AX35" s="125">
        <f>Assumptions!AY97</f>
        <v>7750</v>
      </c>
      <c r="AY35" s="125">
        <f>Assumptions!AZ97</f>
        <v>7750</v>
      </c>
      <c r="AZ35" s="125">
        <f>Assumptions!BA97</f>
        <v>7750</v>
      </c>
      <c r="BA35" s="125">
        <f>Assumptions!BB97</f>
        <v>7750</v>
      </c>
      <c r="BB35" s="125">
        <f>Assumptions!BC97</f>
        <v>7750</v>
      </c>
      <c r="BC35" s="125">
        <f>Assumptions!BD97</f>
        <v>7750</v>
      </c>
      <c r="BD35" s="125">
        <f>Assumptions!BE97</f>
        <v>7750</v>
      </c>
      <c r="BE35" s="125">
        <f>Assumptions!BF97</f>
        <v>7750</v>
      </c>
      <c r="BF35" s="125">
        <f>Assumptions!BG97</f>
        <v>7750</v>
      </c>
      <c r="BG35" s="125">
        <f>Assumptions!BH97</f>
        <v>7750</v>
      </c>
      <c r="BH35" s="125">
        <f>Assumptions!BI97</f>
        <v>7750</v>
      </c>
      <c r="BI35" s="125">
        <f>Assumptions!BJ97</f>
        <v>7750</v>
      </c>
      <c r="BJ35" s="125">
        <f>Assumptions!BK97</f>
        <v>7750</v>
      </c>
      <c r="BK35" s="125">
        <f>Assumptions!BL97</f>
        <v>7750</v>
      </c>
      <c r="BL35" s="125">
        <f>Assumptions!BM97</f>
        <v>7750</v>
      </c>
      <c r="BM35" s="125">
        <f>Assumptions!BN97</f>
        <v>7750</v>
      </c>
      <c r="BN35" s="125"/>
    </row>
    <row r="36" outlineLevel="1">
      <c r="A36" s="125"/>
      <c r="B36" s="141" t="s">
        <v>127</v>
      </c>
      <c r="C36" s="142"/>
      <c r="D36" s="142"/>
      <c r="E36" s="142"/>
      <c r="F36" s="142">
        <f t="shared" ref="F36:BM36" si="13">SUM(F34:F35)</f>
        <v>291892.5</v>
      </c>
      <c r="G36" s="143">
        <f t="shared" si="13"/>
        <v>62177.5</v>
      </c>
      <c r="H36" s="143">
        <f t="shared" si="13"/>
        <v>-167537.5</v>
      </c>
      <c r="I36" s="143">
        <f t="shared" si="13"/>
        <v>-397252.5</v>
      </c>
      <c r="J36" s="143">
        <f t="shared" si="13"/>
        <v>-626967.5</v>
      </c>
      <c r="K36" s="143">
        <f t="shared" si="13"/>
        <v>-856682.5</v>
      </c>
      <c r="L36" s="143">
        <f t="shared" si="13"/>
        <v>-1086397.5</v>
      </c>
      <c r="M36" s="143">
        <f t="shared" si="13"/>
        <v>-1316112.5</v>
      </c>
      <c r="N36" s="143">
        <f t="shared" si="13"/>
        <v>-1545827.5</v>
      </c>
      <c r="O36" s="143">
        <f t="shared" si="13"/>
        <v>-1775542.5</v>
      </c>
      <c r="P36" s="143">
        <f t="shared" si="13"/>
        <v>-2005257.5</v>
      </c>
      <c r="Q36" s="143">
        <f t="shared" si="13"/>
        <v>-2234972.5</v>
      </c>
      <c r="R36" s="143">
        <f t="shared" si="13"/>
        <v>-2464687.5</v>
      </c>
      <c r="S36" s="143">
        <f t="shared" si="13"/>
        <v>-2694402.5</v>
      </c>
      <c r="T36" s="143">
        <f t="shared" si="13"/>
        <v>-2924117.5</v>
      </c>
      <c r="U36" s="143">
        <f t="shared" si="13"/>
        <v>-3153832.5</v>
      </c>
      <c r="V36" s="143">
        <f t="shared" si="13"/>
        <v>-3383547.5</v>
      </c>
      <c r="W36" s="143">
        <f t="shared" si="13"/>
        <v>-3613262.5</v>
      </c>
      <c r="X36" s="143">
        <f t="shared" si="13"/>
        <v>-3842977.5</v>
      </c>
      <c r="Y36" s="143">
        <f t="shared" si="13"/>
        <v>-4072692.5</v>
      </c>
      <c r="Z36" s="143">
        <f t="shared" si="13"/>
        <v>-4302407.5</v>
      </c>
      <c r="AA36" s="143">
        <f t="shared" si="13"/>
        <v>-4532122.5</v>
      </c>
      <c r="AB36" s="143">
        <f t="shared" si="13"/>
        <v>-4761837.5</v>
      </c>
      <c r="AC36" s="143">
        <f t="shared" si="13"/>
        <v>-4991552.5</v>
      </c>
      <c r="AD36" s="143">
        <f t="shared" si="13"/>
        <v>-5221267.5</v>
      </c>
      <c r="AE36" s="143">
        <f t="shared" si="13"/>
        <v>-5450982.5</v>
      </c>
      <c r="AF36" s="143">
        <f t="shared" si="13"/>
        <v>-5680697.5</v>
      </c>
      <c r="AG36" s="143">
        <f t="shared" si="13"/>
        <v>-5910412.5</v>
      </c>
      <c r="AH36" s="143">
        <f t="shared" si="13"/>
        <v>-6140127.5</v>
      </c>
      <c r="AI36" s="143">
        <f t="shared" si="13"/>
        <v>-6369842.5</v>
      </c>
      <c r="AJ36" s="143">
        <f t="shared" si="13"/>
        <v>-6599557.5</v>
      </c>
      <c r="AK36" s="143">
        <f t="shared" si="13"/>
        <v>-6829272.5</v>
      </c>
      <c r="AL36" s="143">
        <f t="shared" si="13"/>
        <v>-7058987.5</v>
      </c>
      <c r="AM36" s="143">
        <f t="shared" si="13"/>
        <v>-7288702.5</v>
      </c>
      <c r="AN36" s="143">
        <f t="shared" si="13"/>
        <v>-7518417.5</v>
      </c>
      <c r="AO36" s="143">
        <f t="shared" si="13"/>
        <v>-7748132.5</v>
      </c>
      <c r="AP36" s="143">
        <f t="shared" si="13"/>
        <v>-7977847.5</v>
      </c>
      <c r="AQ36" s="143">
        <f t="shared" si="13"/>
        <v>-8207562.5</v>
      </c>
      <c r="AR36" s="143">
        <f t="shared" si="13"/>
        <v>-8437277.5</v>
      </c>
      <c r="AS36" s="143">
        <f t="shared" si="13"/>
        <v>-8666992.5</v>
      </c>
      <c r="AT36" s="143">
        <f t="shared" si="13"/>
        <v>-8896707.5</v>
      </c>
      <c r="AU36" s="143">
        <f t="shared" si="13"/>
        <v>-9126422.5</v>
      </c>
      <c r="AV36" s="143">
        <f t="shared" si="13"/>
        <v>-9356137.5</v>
      </c>
      <c r="AW36" s="143">
        <f t="shared" si="13"/>
        <v>-9585852.5</v>
      </c>
      <c r="AX36" s="143">
        <f t="shared" si="13"/>
        <v>-9815567.5</v>
      </c>
      <c r="AY36" s="143">
        <f t="shared" si="13"/>
        <v>-10045282.5</v>
      </c>
      <c r="AZ36" s="143">
        <f t="shared" si="13"/>
        <v>-10274997.5</v>
      </c>
      <c r="BA36" s="143">
        <f t="shared" si="13"/>
        <v>-10504712.5</v>
      </c>
      <c r="BB36" s="143">
        <f t="shared" si="13"/>
        <v>-10734427.5</v>
      </c>
      <c r="BC36" s="143">
        <f t="shared" si="13"/>
        <v>-10964142.5</v>
      </c>
      <c r="BD36" s="143">
        <f t="shared" si="13"/>
        <v>-11193857.5</v>
      </c>
      <c r="BE36" s="143">
        <f t="shared" si="13"/>
        <v>-11423572.5</v>
      </c>
      <c r="BF36" s="143">
        <f t="shared" si="13"/>
        <v>-11653287.5</v>
      </c>
      <c r="BG36" s="143">
        <f t="shared" si="13"/>
        <v>-11883002.5</v>
      </c>
      <c r="BH36" s="143">
        <f t="shared" si="13"/>
        <v>-12112717.5</v>
      </c>
      <c r="BI36" s="143">
        <f t="shared" si="13"/>
        <v>-12342432.5</v>
      </c>
      <c r="BJ36" s="143">
        <f t="shared" si="13"/>
        <v>-12572147.5</v>
      </c>
      <c r="BK36" s="143">
        <f t="shared" si="13"/>
        <v>-12801862.5</v>
      </c>
      <c r="BL36" s="143">
        <f t="shared" si="13"/>
        <v>-13031577.5</v>
      </c>
      <c r="BM36" s="143">
        <f t="shared" si="13"/>
        <v>-13261292.5</v>
      </c>
      <c r="BN36" s="125"/>
    </row>
    <row r="37" outlineLevel="1">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row>
    <row r="38" outlineLevel="1">
      <c r="A38" s="125"/>
      <c r="B38" s="135" t="s">
        <v>86</v>
      </c>
      <c r="C38" s="125"/>
      <c r="D38" s="125"/>
      <c r="E38" s="125"/>
      <c r="F38" s="125">
        <f>SUM(Assumptions!G99:G103)</f>
        <v>0</v>
      </c>
      <c r="G38" s="125">
        <f>SUM(Assumptions!H99:H103)</f>
        <v>0</v>
      </c>
      <c r="H38" s="125">
        <f>SUM(Assumptions!I99:I103)</f>
        <v>0</v>
      </c>
      <c r="I38" s="125">
        <f>SUM(Assumptions!J99:J103)</f>
        <v>0</v>
      </c>
      <c r="J38" s="125">
        <f>SUM(Assumptions!K99:K103)</f>
        <v>0</v>
      </c>
      <c r="K38" s="125">
        <f>SUM(Assumptions!L99:L103)</f>
        <v>0</v>
      </c>
      <c r="L38" s="125">
        <f>SUM(Assumptions!M99:M103)</f>
        <v>0</v>
      </c>
      <c r="M38" s="125">
        <f>SUM(Assumptions!N99:N103)</f>
        <v>0</v>
      </c>
      <c r="N38" s="125">
        <f>SUM(Assumptions!O99:O103)</f>
        <v>0</v>
      </c>
      <c r="O38" s="125">
        <f>SUM(Assumptions!P99:P103)</f>
        <v>0</v>
      </c>
      <c r="P38" s="125">
        <f>SUM(Assumptions!Q99:Q103)</f>
        <v>0</v>
      </c>
      <c r="Q38" s="125">
        <f>SUM(Assumptions!R99:R103)</f>
        <v>0</v>
      </c>
      <c r="R38" s="125">
        <f>SUM(Assumptions!S99:S103)</f>
        <v>0</v>
      </c>
      <c r="S38" s="125">
        <f>SUM(Assumptions!T99:T103)</f>
        <v>0</v>
      </c>
      <c r="T38" s="125">
        <f>SUM(Assumptions!U99:U103)</f>
        <v>0</v>
      </c>
      <c r="U38" s="125">
        <f>SUM(Assumptions!V99:V103)</f>
        <v>0</v>
      </c>
      <c r="V38" s="125">
        <f>SUM(Assumptions!W99:W103)</f>
        <v>0</v>
      </c>
      <c r="W38" s="125">
        <f>SUM(Assumptions!X99:X103)</f>
        <v>0</v>
      </c>
      <c r="X38" s="125">
        <f>SUM(Assumptions!Y99:Y103)</f>
        <v>0</v>
      </c>
      <c r="Y38" s="125">
        <f>SUM(Assumptions!Z99:Z103)</f>
        <v>0</v>
      </c>
      <c r="Z38" s="125">
        <f>SUM(Assumptions!AA99:AA103)</f>
        <v>0</v>
      </c>
      <c r="AA38" s="125">
        <f>SUM(Assumptions!AB99:AB103)</f>
        <v>0</v>
      </c>
      <c r="AB38" s="125">
        <f>SUM(Assumptions!AC99:AC103)</f>
        <v>0</v>
      </c>
      <c r="AC38" s="125">
        <f>SUM(Assumptions!AD99:AD103)</f>
        <v>0</v>
      </c>
      <c r="AD38" s="125">
        <f>SUM(Assumptions!AE99:AE103)</f>
        <v>0</v>
      </c>
      <c r="AE38" s="125">
        <f>SUM(Assumptions!AF99:AF103)</f>
        <v>0</v>
      </c>
      <c r="AF38" s="125">
        <f>SUM(Assumptions!AG99:AG103)</f>
        <v>0</v>
      </c>
      <c r="AG38" s="125">
        <f>SUM(Assumptions!AH99:AH103)</f>
        <v>0</v>
      </c>
      <c r="AH38" s="125">
        <f>SUM(Assumptions!AI99:AI103)</f>
        <v>0</v>
      </c>
      <c r="AI38" s="125">
        <f>SUM(Assumptions!AJ99:AJ103)</f>
        <v>0</v>
      </c>
      <c r="AJ38" s="125">
        <f>SUM(Assumptions!AK99:AK103)</f>
        <v>0</v>
      </c>
      <c r="AK38" s="125">
        <f>SUM(Assumptions!AL99:AL103)</f>
        <v>0</v>
      </c>
      <c r="AL38" s="125">
        <f>SUM(Assumptions!AM99:AM103)</f>
        <v>0</v>
      </c>
      <c r="AM38" s="125">
        <f>SUM(Assumptions!AN99:AN103)</f>
        <v>0</v>
      </c>
      <c r="AN38" s="125">
        <f>SUM(Assumptions!AO99:AO103)</f>
        <v>0</v>
      </c>
      <c r="AO38" s="125">
        <f>SUM(Assumptions!AP99:AP103)</f>
        <v>0</v>
      </c>
      <c r="AP38" s="125">
        <f>SUM(Assumptions!AQ99:AQ103)</f>
        <v>0</v>
      </c>
      <c r="AQ38" s="125">
        <f>SUM(Assumptions!AR99:AR103)</f>
        <v>0</v>
      </c>
      <c r="AR38" s="125">
        <f>SUM(Assumptions!AS99:AS103)</f>
        <v>0</v>
      </c>
      <c r="AS38" s="125">
        <f>SUM(Assumptions!AT99:AT103)</f>
        <v>0</v>
      </c>
      <c r="AT38" s="125">
        <f>SUM(Assumptions!AU99:AU103)</f>
        <v>0</v>
      </c>
      <c r="AU38" s="125">
        <f>SUM(Assumptions!AV99:AV103)</f>
        <v>0</v>
      </c>
      <c r="AV38" s="125">
        <f>SUM(Assumptions!AW99:AW103)</f>
        <v>0</v>
      </c>
      <c r="AW38" s="125">
        <f>SUM(Assumptions!AX99:AX103)</f>
        <v>0</v>
      </c>
      <c r="AX38" s="125">
        <f>SUM(Assumptions!AY99:AY103)</f>
        <v>0</v>
      </c>
      <c r="AY38" s="125">
        <f>SUM(Assumptions!AZ99:AZ103)</f>
        <v>0</v>
      </c>
      <c r="AZ38" s="125">
        <f>SUM(Assumptions!BA99:BA103)</f>
        <v>0</v>
      </c>
      <c r="BA38" s="125">
        <f>SUM(Assumptions!BB99:BB103)</f>
        <v>0</v>
      </c>
      <c r="BB38" s="125">
        <f>SUM(Assumptions!BC99:BC103)</f>
        <v>0</v>
      </c>
      <c r="BC38" s="125">
        <f>SUM(Assumptions!BD99:BD103)</f>
        <v>0</v>
      </c>
      <c r="BD38" s="125">
        <f>SUM(Assumptions!BE99:BE103)</f>
        <v>0</v>
      </c>
      <c r="BE38" s="125">
        <f>SUM(Assumptions!BF99:BF103)</f>
        <v>0</v>
      </c>
      <c r="BF38" s="125">
        <f>SUM(Assumptions!BG99:BG103)</f>
        <v>0</v>
      </c>
      <c r="BG38" s="125">
        <f>SUM(Assumptions!BH99:BH103)</f>
        <v>0</v>
      </c>
      <c r="BH38" s="125">
        <f>SUM(Assumptions!BI99:BI103)</f>
        <v>0</v>
      </c>
      <c r="BI38" s="125">
        <f>SUM(Assumptions!BJ99:BJ103)</f>
        <v>0</v>
      </c>
      <c r="BJ38" s="125">
        <f>SUM(Assumptions!BK99:BK103)</f>
        <v>0</v>
      </c>
      <c r="BK38" s="125">
        <f>SUM(Assumptions!BL99:BL103)</f>
        <v>0</v>
      </c>
      <c r="BL38" s="125">
        <f>SUM(Assumptions!BM99:BM103)</f>
        <v>0</v>
      </c>
      <c r="BM38" s="125">
        <f>SUM(Assumptions!BN99:BN103)</f>
        <v>0</v>
      </c>
      <c r="BN38" s="125"/>
    </row>
    <row r="39" outlineLevel="1">
      <c r="A39" s="125"/>
      <c r="B39" s="135" t="s">
        <v>128</v>
      </c>
      <c r="C39" s="125"/>
      <c r="D39" s="125"/>
      <c r="E39" s="125"/>
      <c r="F39" s="125">
        <f>-SUM(Assumptions!G106:G109)</f>
        <v>0</v>
      </c>
      <c r="G39" s="125">
        <f>-SUM(Assumptions!H106:H109)</f>
        <v>0</v>
      </c>
      <c r="H39" s="125">
        <f>-SUM(Assumptions!I106:I109)</f>
        <v>0</v>
      </c>
      <c r="I39" s="125">
        <f>-SUM(Assumptions!J106:J109)</f>
        <v>0</v>
      </c>
      <c r="J39" s="125">
        <f>-SUM(Assumptions!K106:K109)</f>
        <v>0</v>
      </c>
      <c r="K39" s="125">
        <f>-SUM(Assumptions!L106:L109)</f>
        <v>0</v>
      </c>
      <c r="L39" s="125">
        <f>-SUM(Assumptions!M106:M109)</f>
        <v>0</v>
      </c>
      <c r="M39" s="125">
        <f>-SUM(Assumptions!N106:N109)</f>
        <v>0</v>
      </c>
      <c r="N39" s="125">
        <f>-SUM(Assumptions!O106:O109)</f>
        <v>0</v>
      </c>
      <c r="O39" s="125">
        <f>-SUM(Assumptions!P106:P109)</f>
        <v>0</v>
      </c>
      <c r="P39" s="125">
        <f>-SUM(Assumptions!Q106:Q109)</f>
        <v>0</v>
      </c>
      <c r="Q39" s="125">
        <f>-SUM(Assumptions!R106:R109)</f>
        <v>0</v>
      </c>
      <c r="R39" s="125">
        <f>-SUM(Assumptions!S106:S109)</f>
        <v>0</v>
      </c>
      <c r="S39" s="125">
        <f>-SUM(Assumptions!T106:T109)</f>
        <v>0</v>
      </c>
      <c r="T39" s="125">
        <f>-SUM(Assumptions!U106:U109)</f>
        <v>0</v>
      </c>
      <c r="U39" s="125">
        <f>-SUM(Assumptions!V106:V109)</f>
        <v>0</v>
      </c>
      <c r="V39" s="125">
        <f>-SUM(Assumptions!W106:W109)</f>
        <v>0</v>
      </c>
      <c r="W39" s="125">
        <f>-SUM(Assumptions!X106:X109)</f>
        <v>0</v>
      </c>
      <c r="X39" s="125">
        <f>-SUM(Assumptions!Y106:Y109)</f>
        <v>0</v>
      </c>
      <c r="Y39" s="125">
        <f>-SUM(Assumptions!Z106:Z109)</f>
        <v>0</v>
      </c>
      <c r="Z39" s="125">
        <f>-SUM(Assumptions!AA106:AA109)</f>
        <v>0</v>
      </c>
      <c r="AA39" s="125">
        <f>-SUM(Assumptions!AB106:AB109)</f>
        <v>0</v>
      </c>
      <c r="AB39" s="125">
        <f>-SUM(Assumptions!AC106:AC109)</f>
        <v>0</v>
      </c>
      <c r="AC39" s="125">
        <f>-SUM(Assumptions!AD106:AD109)</f>
        <v>0</v>
      </c>
      <c r="AD39" s="125">
        <f>-SUM(Assumptions!AE106:AE109)</f>
        <v>0</v>
      </c>
      <c r="AE39" s="125">
        <f>-SUM(Assumptions!AF106:AF109)</f>
        <v>0</v>
      </c>
      <c r="AF39" s="125">
        <f>-SUM(Assumptions!AG106:AG109)</f>
        <v>0</v>
      </c>
      <c r="AG39" s="125">
        <f>-SUM(Assumptions!AH106:AH109)</f>
        <v>0</v>
      </c>
      <c r="AH39" s="125">
        <f>-SUM(Assumptions!AI106:AI109)</f>
        <v>0</v>
      </c>
      <c r="AI39" s="125">
        <f>-SUM(Assumptions!AJ106:AJ109)</f>
        <v>0</v>
      </c>
      <c r="AJ39" s="125">
        <f>-SUM(Assumptions!AK106:AK109)</f>
        <v>0</v>
      </c>
      <c r="AK39" s="125">
        <f>-SUM(Assumptions!AL106:AL109)</f>
        <v>0</v>
      </c>
      <c r="AL39" s="125">
        <f>-SUM(Assumptions!AM106:AM109)</f>
        <v>0</v>
      </c>
      <c r="AM39" s="125">
        <f>-SUM(Assumptions!AN106:AN109)</f>
        <v>0</v>
      </c>
      <c r="AN39" s="125">
        <f>-SUM(Assumptions!AO106:AO109)</f>
        <v>0</v>
      </c>
      <c r="AO39" s="125">
        <f>-SUM(Assumptions!AP106:AP109)</f>
        <v>0</v>
      </c>
      <c r="AP39" s="125">
        <f>-SUM(Assumptions!AQ106:AQ109)</f>
        <v>0</v>
      </c>
      <c r="AQ39" s="125">
        <f>-SUM(Assumptions!AR106:AR109)</f>
        <v>0</v>
      </c>
      <c r="AR39" s="125">
        <f>-SUM(Assumptions!AS106:AS109)</f>
        <v>0</v>
      </c>
      <c r="AS39" s="125">
        <f>-SUM(Assumptions!AT106:AT109)</f>
        <v>0</v>
      </c>
      <c r="AT39" s="125">
        <f>-SUM(Assumptions!AU106:AU109)</f>
        <v>0</v>
      </c>
      <c r="AU39" s="125">
        <f>-SUM(Assumptions!AV106:AV109)</f>
        <v>0</v>
      </c>
      <c r="AV39" s="125">
        <f>-SUM(Assumptions!AW106:AW109)</f>
        <v>0</v>
      </c>
      <c r="AW39" s="125">
        <f>-SUM(Assumptions!AX106:AX109)</f>
        <v>0</v>
      </c>
      <c r="AX39" s="125">
        <f>-SUM(Assumptions!AY106:AY109)</f>
        <v>0</v>
      </c>
      <c r="AY39" s="125">
        <f>-SUM(Assumptions!AZ106:AZ109)</f>
        <v>0</v>
      </c>
      <c r="AZ39" s="125">
        <f>-SUM(Assumptions!BA106:BA109)</f>
        <v>0</v>
      </c>
      <c r="BA39" s="125">
        <f>-SUM(Assumptions!BB106:BB109)</f>
        <v>0</v>
      </c>
      <c r="BB39" s="125">
        <f>-SUM(Assumptions!BC106:BC109)</f>
        <v>0</v>
      </c>
      <c r="BC39" s="125">
        <f>-SUM(Assumptions!BD106:BD109)</f>
        <v>0</v>
      </c>
      <c r="BD39" s="125">
        <f>-SUM(Assumptions!BE106:BE109)</f>
        <v>0</v>
      </c>
      <c r="BE39" s="125">
        <f>-SUM(Assumptions!BF106:BF109)</f>
        <v>0</v>
      </c>
      <c r="BF39" s="125">
        <f>-SUM(Assumptions!BG106:BG109)</f>
        <v>0</v>
      </c>
      <c r="BG39" s="125">
        <f>-SUM(Assumptions!BH106:BH109)</f>
        <v>0</v>
      </c>
      <c r="BH39" s="125">
        <f>-SUM(Assumptions!BI106:BI109)</f>
        <v>0</v>
      </c>
      <c r="BI39" s="125">
        <f>-SUM(Assumptions!BJ106:BJ109)</f>
        <v>0</v>
      </c>
      <c r="BJ39" s="125">
        <f>-SUM(Assumptions!BK106:BK109)</f>
        <v>0</v>
      </c>
      <c r="BK39" s="125">
        <f>-SUM(Assumptions!BL106:BL109)</f>
        <v>0</v>
      </c>
      <c r="BL39" s="125">
        <f>-SUM(Assumptions!BM106:BM109)</f>
        <v>0</v>
      </c>
      <c r="BM39" s="125">
        <f>-SUM(Assumptions!BN106:BN109)</f>
        <v>0</v>
      </c>
      <c r="BN39" s="125"/>
    </row>
    <row r="40" outlineLevel="1">
      <c r="A40" s="125"/>
      <c r="B40" s="128" t="s">
        <v>129</v>
      </c>
      <c r="C40" s="129"/>
      <c r="D40" s="129"/>
      <c r="E40" s="129"/>
      <c r="F40" s="130">
        <f t="shared" ref="F40:BM40" si="14">SUM(F36:F39)</f>
        <v>291892.5</v>
      </c>
      <c r="G40" s="130">
        <f t="shared" si="14"/>
        <v>62177.5</v>
      </c>
      <c r="H40" s="130">
        <f t="shared" si="14"/>
        <v>-167537.5</v>
      </c>
      <c r="I40" s="130">
        <f t="shared" si="14"/>
        <v>-397252.5</v>
      </c>
      <c r="J40" s="130">
        <f t="shared" si="14"/>
        <v>-626967.5</v>
      </c>
      <c r="K40" s="130">
        <f t="shared" si="14"/>
        <v>-856682.5</v>
      </c>
      <c r="L40" s="130">
        <f t="shared" si="14"/>
        <v>-1086397.5</v>
      </c>
      <c r="M40" s="130">
        <f t="shared" si="14"/>
        <v>-1316112.5</v>
      </c>
      <c r="N40" s="130">
        <f t="shared" si="14"/>
        <v>-1545827.5</v>
      </c>
      <c r="O40" s="130">
        <f t="shared" si="14"/>
        <v>-1775542.5</v>
      </c>
      <c r="P40" s="130">
        <f t="shared" si="14"/>
        <v>-2005257.5</v>
      </c>
      <c r="Q40" s="130">
        <f t="shared" si="14"/>
        <v>-2234972.5</v>
      </c>
      <c r="R40" s="130">
        <f t="shared" si="14"/>
        <v>-2464687.5</v>
      </c>
      <c r="S40" s="130">
        <f t="shared" si="14"/>
        <v>-2694402.5</v>
      </c>
      <c r="T40" s="130">
        <f t="shared" si="14"/>
        <v>-2924117.5</v>
      </c>
      <c r="U40" s="130">
        <f t="shared" si="14"/>
        <v>-3153832.5</v>
      </c>
      <c r="V40" s="130">
        <f t="shared" si="14"/>
        <v>-3383547.5</v>
      </c>
      <c r="W40" s="130">
        <f t="shared" si="14"/>
        <v>-3613262.5</v>
      </c>
      <c r="X40" s="130">
        <f t="shared" si="14"/>
        <v>-3842977.5</v>
      </c>
      <c r="Y40" s="130">
        <f t="shared" si="14"/>
        <v>-4072692.5</v>
      </c>
      <c r="Z40" s="130">
        <f t="shared" si="14"/>
        <v>-4302407.5</v>
      </c>
      <c r="AA40" s="130">
        <f t="shared" si="14"/>
        <v>-4532122.5</v>
      </c>
      <c r="AB40" s="130">
        <f t="shared" si="14"/>
        <v>-4761837.5</v>
      </c>
      <c r="AC40" s="130">
        <f t="shared" si="14"/>
        <v>-4991552.5</v>
      </c>
      <c r="AD40" s="130">
        <f t="shared" si="14"/>
        <v>-5221267.5</v>
      </c>
      <c r="AE40" s="130">
        <f t="shared" si="14"/>
        <v>-5450982.5</v>
      </c>
      <c r="AF40" s="130">
        <f t="shared" si="14"/>
        <v>-5680697.5</v>
      </c>
      <c r="AG40" s="130">
        <f t="shared" si="14"/>
        <v>-5910412.5</v>
      </c>
      <c r="AH40" s="130">
        <f t="shared" si="14"/>
        <v>-6140127.5</v>
      </c>
      <c r="AI40" s="130">
        <f t="shared" si="14"/>
        <v>-6369842.5</v>
      </c>
      <c r="AJ40" s="130">
        <f t="shared" si="14"/>
        <v>-6599557.5</v>
      </c>
      <c r="AK40" s="130">
        <f t="shared" si="14"/>
        <v>-6829272.5</v>
      </c>
      <c r="AL40" s="130">
        <f t="shared" si="14"/>
        <v>-7058987.5</v>
      </c>
      <c r="AM40" s="130">
        <f t="shared" si="14"/>
        <v>-7288702.5</v>
      </c>
      <c r="AN40" s="130">
        <f t="shared" si="14"/>
        <v>-7518417.5</v>
      </c>
      <c r="AO40" s="130">
        <f t="shared" si="14"/>
        <v>-7748132.5</v>
      </c>
      <c r="AP40" s="130">
        <f t="shared" si="14"/>
        <v>-7977847.5</v>
      </c>
      <c r="AQ40" s="130">
        <f t="shared" si="14"/>
        <v>-8207562.5</v>
      </c>
      <c r="AR40" s="130">
        <f t="shared" si="14"/>
        <v>-8437277.5</v>
      </c>
      <c r="AS40" s="130">
        <f t="shared" si="14"/>
        <v>-8666992.5</v>
      </c>
      <c r="AT40" s="130">
        <f t="shared" si="14"/>
        <v>-8896707.5</v>
      </c>
      <c r="AU40" s="130">
        <f t="shared" si="14"/>
        <v>-9126422.5</v>
      </c>
      <c r="AV40" s="130">
        <f t="shared" si="14"/>
        <v>-9356137.5</v>
      </c>
      <c r="AW40" s="130">
        <f t="shared" si="14"/>
        <v>-9585852.5</v>
      </c>
      <c r="AX40" s="130">
        <f t="shared" si="14"/>
        <v>-9815567.5</v>
      </c>
      <c r="AY40" s="130">
        <f t="shared" si="14"/>
        <v>-10045282.5</v>
      </c>
      <c r="AZ40" s="130">
        <f t="shared" si="14"/>
        <v>-10274997.5</v>
      </c>
      <c r="BA40" s="130">
        <f t="shared" si="14"/>
        <v>-10504712.5</v>
      </c>
      <c r="BB40" s="130">
        <f t="shared" si="14"/>
        <v>-10734427.5</v>
      </c>
      <c r="BC40" s="130">
        <f t="shared" si="14"/>
        <v>-10964142.5</v>
      </c>
      <c r="BD40" s="130">
        <f t="shared" si="14"/>
        <v>-11193857.5</v>
      </c>
      <c r="BE40" s="130">
        <f t="shared" si="14"/>
        <v>-11423572.5</v>
      </c>
      <c r="BF40" s="130">
        <f t="shared" si="14"/>
        <v>-11653287.5</v>
      </c>
      <c r="BG40" s="130">
        <f t="shared" si="14"/>
        <v>-11883002.5</v>
      </c>
      <c r="BH40" s="130">
        <f t="shared" si="14"/>
        <v>-12112717.5</v>
      </c>
      <c r="BI40" s="130">
        <f t="shared" si="14"/>
        <v>-12342432.5</v>
      </c>
      <c r="BJ40" s="130">
        <f t="shared" si="14"/>
        <v>-12572147.5</v>
      </c>
      <c r="BK40" s="130">
        <f t="shared" si="14"/>
        <v>-12801862.5</v>
      </c>
      <c r="BL40" s="130">
        <f t="shared" si="14"/>
        <v>-13031577.5</v>
      </c>
      <c r="BM40" s="130">
        <f t="shared" si="14"/>
        <v>-13261292.5</v>
      </c>
      <c r="BN40" s="125"/>
    </row>
    <row r="41" outlineLevel="1">
      <c r="A41" s="125"/>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5"/>
      <c r="BK41" s="125"/>
      <c r="BL41" s="125"/>
      <c r="BM41" s="125"/>
      <c r="BN41" s="125"/>
    </row>
    <row r="42" outlineLevel="1">
      <c r="A42" s="125"/>
      <c r="B42" s="134" t="s">
        <v>130</v>
      </c>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5"/>
      <c r="BK42" s="125"/>
      <c r="BL42" s="125"/>
      <c r="BM42" s="125"/>
      <c r="BN42" s="125"/>
    </row>
    <row r="43" outlineLevel="1">
      <c r="A43" s="125"/>
      <c r="B43" s="140" t="s">
        <v>96</v>
      </c>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5"/>
      <c r="BK43" s="125"/>
      <c r="BL43" s="125"/>
      <c r="BM43" s="125"/>
      <c r="BN43" s="125"/>
    </row>
    <row r="44" outlineLevel="1">
      <c r="A44" s="125"/>
      <c r="B44" s="135" t="s">
        <v>131</v>
      </c>
      <c r="C44" s="125"/>
      <c r="D44" s="125"/>
      <c r="E44" s="125"/>
      <c r="F44" s="125">
        <f>Assumptions!G113</f>
        <v>21607.5</v>
      </c>
      <c r="G44" s="125">
        <f>Assumptions!H113</f>
        <v>21607.5</v>
      </c>
      <c r="H44" s="125">
        <f>Assumptions!I113</f>
        <v>21607.5</v>
      </c>
      <c r="I44" s="125">
        <f>Assumptions!J113</f>
        <v>21607.5</v>
      </c>
      <c r="J44" s="125">
        <f>Assumptions!K113</f>
        <v>21607.5</v>
      </c>
      <c r="K44" s="125">
        <f>Assumptions!L113</f>
        <v>21607.5</v>
      </c>
      <c r="L44" s="125">
        <f>Assumptions!M113</f>
        <v>21607.5</v>
      </c>
      <c r="M44" s="125">
        <f>Assumptions!N113</f>
        <v>21607.5</v>
      </c>
      <c r="N44" s="125">
        <f>Assumptions!O113</f>
        <v>21607.5</v>
      </c>
      <c r="O44" s="125">
        <f>Assumptions!P113</f>
        <v>21607.5</v>
      </c>
      <c r="P44" s="125">
        <f>Assumptions!Q113</f>
        <v>21607.5</v>
      </c>
      <c r="Q44" s="125">
        <f>Assumptions!R113</f>
        <v>21607.5</v>
      </c>
      <c r="R44" s="125">
        <f>Assumptions!S113</f>
        <v>21607.5</v>
      </c>
      <c r="S44" s="125">
        <f>Assumptions!T113</f>
        <v>21607.5</v>
      </c>
      <c r="T44" s="125">
        <f>Assumptions!U113</f>
        <v>21607.5</v>
      </c>
      <c r="U44" s="125">
        <f>Assumptions!V113</f>
        <v>21607.5</v>
      </c>
      <c r="V44" s="125">
        <f>Assumptions!W113</f>
        <v>21607.5</v>
      </c>
      <c r="W44" s="125">
        <f>Assumptions!X113</f>
        <v>21607.5</v>
      </c>
      <c r="X44" s="125">
        <f>Assumptions!Y113</f>
        <v>21607.5</v>
      </c>
      <c r="Y44" s="125">
        <f>Assumptions!Z113</f>
        <v>21607.5</v>
      </c>
      <c r="Z44" s="125">
        <f>Assumptions!AA113</f>
        <v>21607.5</v>
      </c>
      <c r="AA44" s="125">
        <f>Assumptions!AB113</f>
        <v>21607.5</v>
      </c>
      <c r="AB44" s="125">
        <f>Assumptions!AC113</f>
        <v>21607.5</v>
      </c>
      <c r="AC44" s="125">
        <f>Assumptions!AD113</f>
        <v>21607.5</v>
      </c>
      <c r="AD44" s="125">
        <f>Assumptions!AE113</f>
        <v>21607.5</v>
      </c>
      <c r="AE44" s="125">
        <f>Assumptions!AF113</f>
        <v>21607.5</v>
      </c>
      <c r="AF44" s="125">
        <f>Assumptions!AG113</f>
        <v>21607.5</v>
      </c>
      <c r="AG44" s="125">
        <f>Assumptions!AH113</f>
        <v>21607.5</v>
      </c>
      <c r="AH44" s="125">
        <f>Assumptions!AI113</f>
        <v>21607.5</v>
      </c>
      <c r="AI44" s="125">
        <f>Assumptions!AJ113</f>
        <v>21607.5</v>
      </c>
      <c r="AJ44" s="125">
        <f>Assumptions!AK113</f>
        <v>21607.5</v>
      </c>
      <c r="AK44" s="125">
        <f>Assumptions!AL113</f>
        <v>21607.5</v>
      </c>
      <c r="AL44" s="125">
        <f>Assumptions!AM113</f>
        <v>21607.5</v>
      </c>
      <c r="AM44" s="125">
        <f>Assumptions!AN113</f>
        <v>21607.5</v>
      </c>
      <c r="AN44" s="125">
        <f>Assumptions!AO113</f>
        <v>21607.5</v>
      </c>
      <c r="AO44" s="125">
        <f>Assumptions!AP113</f>
        <v>21607.5</v>
      </c>
      <c r="AP44" s="125">
        <f>Assumptions!AQ113</f>
        <v>21607.5</v>
      </c>
      <c r="AQ44" s="125">
        <f>Assumptions!AR113</f>
        <v>21607.5</v>
      </c>
      <c r="AR44" s="125">
        <f>Assumptions!AS113</f>
        <v>21607.5</v>
      </c>
      <c r="AS44" s="125">
        <f>Assumptions!AT113</f>
        <v>21607.5</v>
      </c>
      <c r="AT44" s="125">
        <f>Assumptions!AU113</f>
        <v>21607.5</v>
      </c>
      <c r="AU44" s="125">
        <f>Assumptions!AV113</f>
        <v>21607.5</v>
      </c>
      <c r="AV44" s="125">
        <f>Assumptions!AW113</f>
        <v>21607.5</v>
      </c>
      <c r="AW44" s="125">
        <f>Assumptions!AX113</f>
        <v>21607.5</v>
      </c>
      <c r="AX44" s="125">
        <f>Assumptions!AY113</f>
        <v>21607.5</v>
      </c>
      <c r="AY44" s="125">
        <f>Assumptions!AZ113</f>
        <v>21607.5</v>
      </c>
      <c r="AZ44" s="125">
        <f>Assumptions!BA113</f>
        <v>21607.5</v>
      </c>
      <c r="BA44" s="125">
        <f>Assumptions!BB113</f>
        <v>21607.5</v>
      </c>
      <c r="BB44" s="125">
        <f>Assumptions!BC113</f>
        <v>21607.5</v>
      </c>
      <c r="BC44" s="125">
        <f>Assumptions!BD113</f>
        <v>21607.5</v>
      </c>
      <c r="BD44" s="125">
        <f>Assumptions!BE113</f>
        <v>21607.5</v>
      </c>
      <c r="BE44" s="125">
        <f>Assumptions!BF113</f>
        <v>21607.5</v>
      </c>
      <c r="BF44" s="125">
        <f>Assumptions!BG113</f>
        <v>21607.5</v>
      </c>
      <c r="BG44" s="125">
        <f>Assumptions!BH113</f>
        <v>21607.5</v>
      </c>
      <c r="BH44" s="125">
        <f>Assumptions!BI113</f>
        <v>21607.5</v>
      </c>
      <c r="BI44" s="125">
        <f>Assumptions!BJ113</f>
        <v>21607.5</v>
      </c>
      <c r="BJ44" s="125">
        <f>Assumptions!BK113</f>
        <v>21607.5</v>
      </c>
      <c r="BK44" s="125">
        <f>Assumptions!BL113</f>
        <v>21607.5</v>
      </c>
      <c r="BL44" s="125">
        <f>Assumptions!BM113</f>
        <v>21607.5</v>
      </c>
      <c r="BM44" s="125">
        <f>Assumptions!BN113</f>
        <v>21607.5</v>
      </c>
      <c r="BN44" s="125"/>
    </row>
    <row r="45" outlineLevel="1">
      <c r="A45" s="125"/>
      <c r="B45" s="144" t="s">
        <v>132</v>
      </c>
      <c r="C45" s="145"/>
      <c r="D45" s="145"/>
      <c r="E45" s="145"/>
      <c r="F45" s="144">
        <f t="shared" ref="F45:BM45" si="15">F44</f>
        <v>21607.5</v>
      </c>
      <c r="G45" s="144">
        <f t="shared" si="15"/>
        <v>21607.5</v>
      </c>
      <c r="H45" s="144">
        <f t="shared" si="15"/>
        <v>21607.5</v>
      </c>
      <c r="I45" s="144">
        <f t="shared" si="15"/>
        <v>21607.5</v>
      </c>
      <c r="J45" s="144">
        <f t="shared" si="15"/>
        <v>21607.5</v>
      </c>
      <c r="K45" s="144">
        <f t="shared" si="15"/>
        <v>21607.5</v>
      </c>
      <c r="L45" s="144">
        <f t="shared" si="15"/>
        <v>21607.5</v>
      </c>
      <c r="M45" s="144">
        <f t="shared" si="15"/>
        <v>21607.5</v>
      </c>
      <c r="N45" s="144">
        <f t="shared" si="15"/>
        <v>21607.5</v>
      </c>
      <c r="O45" s="144">
        <f t="shared" si="15"/>
        <v>21607.5</v>
      </c>
      <c r="P45" s="144">
        <f t="shared" si="15"/>
        <v>21607.5</v>
      </c>
      <c r="Q45" s="144">
        <f t="shared" si="15"/>
        <v>21607.5</v>
      </c>
      <c r="R45" s="144">
        <f t="shared" si="15"/>
        <v>21607.5</v>
      </c>
      <c r="S45" s="144">
        <f t="shared" si="15"/>
        <v>21607.5</v>
      </c>
      <c r="T45" s="144">
        <f t="shared" si="15"/>
        <v>21607.5</v>
      </c>
      <c r="U45" s="144">
        <f t="shared" si="15"/>
        <v>21607.5</v>
      </c>
      <c r="V45" s="144">
        <f t="shared" si="15"/>
        <v>21607.5</v>
      </c>
      <c r="W45" s="144">
        <f t="shared" si="15"/>
        <v>21607.5</v>
      </c>
      <c r="X45" s="144">
        <f t="shared" si="15"/>
        <v>21607.5</v>
      </c>
      <c r="Y45" s="144">
        <f t="shared" si="15"/>
        <v>21607.5</v>
      </c>
      <c r="Z45" s="144">
        <f t="shared" si="15"/>
        <v>21607.5</v>
      </c>
      <c r="AA45" s="144">
        <f t="shared" si="15"/>
        <v>21607.5</v>
      </c>
      <c r="AB45" s="144">
        <f t="shared" si="15"/>
        <v>21607.5</v>
      </c>
      <c r="AC45" s="144">
        <f t="shared" si="15"/>
        <v>21607.5</v>
      </c>
      <c r="AD45" s="144">
        <f t="shared" si="15"/>
        <v>21607.5</v>
      </c>
      <c r="AE45" s="144">
        <f t="shared" si="15"/>
        <v>21607.5</v>
      </c>
      <c r="AF45" s="144">
        <f t="shared" si="15"/>
        <v>21607.5</v>
      </c>
      <c r="AG45" s="144">
        <f t="shared" si="15"/>
        <v>21607.5</v>
      </c>
      <c r="AH45" s="144">
        <f t="shared" si="15"/>
        <v>21607.5</v>
      </c>
      <c r="AI45" s="144">
        <f t="shared" si="15"/>
        <v>21607.5</v>
      </c>
      <c r="AJ45" s="144">
        <f t="shared" si="15"/>
        <v>21607.5</v>
      </c>
      <c r="AK45" s="144">
        <f t="shared" si="15"/>
        <v>21607.5</v>
      </c>
      <c r="AL45" s="144">
        <f t="shared" si="15"/>
        <v>21607.5</v>
      </c>
      <c r="AM45" s="144">
        <f t="shared" si="15"/>
        <v>21607.5</v>
      </c>
      <c r="AN45" s="144">
        <f t="shared" si="15"/>
        <v>21607.5</v>
      </c>
      <c r="AO45" s="144">
        <f t="shared" si="15"/>
        <v>21607.5</v>
      </c>
      <c r="AP45" s="144">
        <f t="shared" si="15"/>
        <v>21607.5</v>
      </c>
      <c r="AQ45" s="144">
        <f t="shared" si="15"/>
        <v>21607.5</v>
      </c>
      <c r="AR45" s="144">
        <f t="shared" si="15"/>
        <v>21607.5</v>
      </c>
      <c r="AS45" s="144">
        <f t="shared" si="15"/>
        <v>21607.5</v>
      </c>
      <c r="AT45" s="144">
        <f t="shared" si="15"/>
        <v>21607.5</v>
      </c>
      <c r="AU45" s="144">
        <f t="shared" si="15"/>
        <v>21607.5</v>
      </c>
      <c r="AV45" s="144">
        <f t="shared" si="15"/>
        <v>21607.5</v>
      </c>
      <c r="AW45" s="144">
        <f t="shared" si="15"/>
        <v>21607.5</v>
      </c>
      <c r="AX45" s="144">
        <f t="shared" si="15"/>
        <v>21607.5</v>
      </c>
      <c r="AY45" s="144">
        <f t="shared" si="15"/>
        <v>21607.5</v>
      </c>
      <c r="AZ45" s="144">
        <f t="shared" si="15"/>
        <v>21607.5</v>
      </c>
      <c r="BA45" s="144">
        <f t="shared" si="15"/>
        <v>21607.5</v>
      </c>
      <c r="BB45" s="144">
        <f t="shared" si="15"/>
        <v>21607.5</v>
      </c>
      <c r="BC45" s="144">
        <f t="shared" si="15"/>
        <v>21607.5</v>
      </c>
      <c r="BD45" s="144">
        <f t="shared" si="15"/>
        <v>21607.5</v>
      </c>
      <c r="BE45" s="144">
        <f t="shared" si="15"/>
        <v>21607.5</v>
      </c>
      <c r="BF45" s="144">
        <f t="shared" si="15"/>
        <v>21607.5</v>
      </c>
      <c r="BG45" s="144">
        <f t="shared" si="15"/>
        <v>21607.5</v>
      </c>
      <c r="BH45" s="144">
        <f t="shared" si="15"/>
        <v>21607.5</v>
      </c>
      <c r="BI45" s="144">
        <f t="shared" si="15"/>
        <v>21607.5</v>
      </c>
      <c r="BJ45" s="144">
        <f t="shared" si="15"/>
        <v>21607.5</v>
      </c>
      <c r="BK45" s="144">
        <f t="shared" si="15"/>
        <v>21607.5</v>
      </c>
      <c r="BL45" s="144">
        <f t="shared" si="15"/>
        <v>21607.5</v>
      </c>
      <c r="BM45" s="144">
        <f t="shared" si="15"/>
        <v>21607.5</v>
      </c>
      <c r="BN45" s="125"/>
    </row>
    <row r="46" outlineLevel="1">
      <c r="A46" s="125"/>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5"/>
      <c r="BK46" s="125"/>
      <c r="BL46" s="125"/>
      <c r="BM46" s="125"/>
      <c r="BN46" s="125"/>
    </row>
    <row r="47" outlineLevel="1">
      <c r="A47" s="125"/>
      <c r="B47" s="140" t="s">
        <v>133</v>
      </c>
      <c r="C47" s="125"/>
      <c r="D47" s="125"/>
      <c r="E47" s="146" t="s">
        <v>134</v>
      </c>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5"/>
      <c r="BK47" s="125"/>
      <c r="BL47" s="125"/>
      <c r="BM47" s="125"/>
      <c r="BN47" s="125"/>
    </row>
    <row r="48" outlineLevel="1">
      <c r="A48" s="125"/>
      <c r="B48" s="135" t="s">
        <v>135</v>
      </c>
      <c r="C48" s="125"/>
      <c r="D48" s="125"/>
      <c r="E48" s="147">
        <f>Assumptions!C95</f>
        <v>500000</v>
      </c>
      <c r="F48" s="125">
        <f>E48</f>
        <v>500000</v>
      </c>
      <c r="G48" s="125">
        <f>Assumptions!H127+$E48</f>
        <v>500000</v>
      </c>
      <c r="H48" s="125">
        <f>Assumptions!I127+$E48</f>
        <v>500000</v>
      </c>
      <c r="I48" s="125">
        <f>Assumptions!J127+$E48</f>
        <v>500000</v>
      </c>
      <c r="J48" s="125">
        <f>Assumptions!K127+$E48</f>
        <v>500000</v>
      </c>
      <c r="K48" s="125">
        <f>Assumptions!L127+$E48</f>
        <v>500000</v>
      </c>
      <c r="L48" s="125">
        <f>Assumptions!M127+$E48</f>
        <v>500000</v>
      </c>
      <c r="M48" s="125">
        <f>Assumptions!N127+$E48</f>
        <v>500000</v>
      </c>
      <c r="N48" s="125">
        <f>Assumptions!O127+$E48</f>
        <v>500000</v>
      </c>
      <c r="O48" s="125">
        <f>Assumptions!P127+$E48</f>
        <v>500000</v>
      </c>
      <c r="P48" s="125">
        <f>Assumptions!Q127+$E48</f>
        <v>500000</v>
      </c>
      <c r="Q48" s="125">
        <f>Assumptions!R127+$E48</f>
        <v>500000</v>
      </c>
      <c r="R48" s="125">
        <f>Assumptions!S127+$E48</f>
        <v>500000</v>
      </c>
      <c r="S48" s="125">
        <f>Assumptions!T127+$E48</f>
        <v>500000</v>
      </c>
      <c r="T48" s="125">
        <f>Assumptions!U127+$E48</f>
        <v>500000</v>
      </c>
      <c r="U48" s="125">
        <f>Assumptions!V127+$E48</f>
        <v>500000</v>
      </c>
      <c r="V48" s="125">
        <f>Assumptions!W127+$E48</f>
        <v>500000</v>
      </c>
      <c r="W48" s="125">
        <f>Assumptions!X127+$E48</f>
        <v>500000</v>
      </c>
      <c r="X48" s="125">
        <f>Assumptions!Y127+$E48</f>
        <v>500000</v>
      </c>
      <c r="Y48" s="125">
        <f>Assumptions!Z127+$E48</f>
        <v>500000</v>
      </c>
      <c r="Z48" s="125">
        <f>Assumptions!AA127+$E48</f>
        <v>500000</v>
      </c>
      <c r="AA48" s="125">
        <f>Assumptions!AB127+$E48</f>
        <v>500000</v>
      </c>
      <c r="AB48" s="125">
        <f>Assumptions!AC127+$E48</f>
        <v>500000</v>
      </c>
      <c r="AC48" s="125">
        <f>Assumptions!AD127+$E48</f>
        <v>500000</v>
      </c>
      <c r="AD48" s="125">
        <f>Assumptions!AE127+$E48</f>
        <v>500000</v>
      </c>
      <c r="AE48" s="125">
        <f>Assumptions!AF127+$E48</f>
        <v>500000</v>
      </c>
      <c r="AF48" s="125">
        <f>Assumptions!AG127+$E48</f>
        <v>500000</v>
      </c>
      <c r="AG48" s="125">
        <f>Assumptions!AH127+$E48</f>
        <v>500000</v>
      </c>
      <c r="AH48" s="125">
        <f>Assumptions!AI127+$E48</f>
        <v>500000</v>
      </c>
      <c r="AI48" s="125">
        <f>Assumptions!AJ127+$E48</f>
        <v>500000</v>
      </c>
      <c r="AJ48" s="125">
        <f>Assumptions!AK127+$E48</f>
        <v>500000</v>
      </c>
      <c r="AK48" s="125">
        <f>Assumptions!AL127+$E48</f>
        <v>500000</v>
      </c>
      <c r="AL48" s="125">
        <f>Assumptions!AM127+$E48</f>
        <v>500000</v>
      </c>
      <c r="AM48" s="125">
        <f>Assumptions!AN127+$E48</f>
        <v>500000</v>
      </c>
      <c r="AN48" s="125">
        <f>Assumptions!AO127+$E48</f>
        <v>500000</v>
      </c>
      <c r="AO48" s="125">
        <f>Assumptions!AP127+$E48</f>
        <v>500000</v>
      </c>
      <c r="AP48" s="125">
        <f>Assumptions!AQ127+$E48</f>
        <v>500000</v>
      </c>
      <c r="AQ48" s="125">
        <f>Assumptions!AR127+$E48</f>
        <v>500000</v>
      </c>
      <c r="AR48" s="125">
        <f>Assumptions!AS127+$E48</f>
        <v>500000</v>
      </c>
      <c r="AS48" s="125">
        <f>Assumptions!AT127+$E48</f>
        <v>500000</v>
      </c>
      <c r="AT48" s="125">
        <f>Assumptions!AU127+$E48</f>
        <v>500000</v>
      </c>
      <c r="AU48" s="125">
        <f>Assumptions!AV127+$E48</f>
        <v>500000</v>
      </c>
      <c r="AV48" s="125">
        <f>Assumptions!AW127+$E48</f>
        <v>500000</v>
      </c>
      <c r="AW48" s="125">
        <f>Assumptions!AX127+$E48</f>
        <v>500000</v>
      </c>
      <c r="AX48" s="125">
        <f>Assumptions!AY127+$E48</f>
        <v>500000</v>
      </c>
      <c r="AY48" s="125">
        <f>Assumptions!AZ127+$E48</f>
        <v>500000</v>
      </c>
      <c r="AZ48" s="125">
        <f>Assumptions!BA127+$E48</f>
        <v>500000</v>
      </c>
      <c r="BA48" s="125">
        <f>Assumptions!BB127+$E48</f>
        <v>500000</v>
      </c>
      <c r="BB48" s="125">
        <f>Assumptions!BC127+$E48</f>
        <v>500000</v>
      </c>
      <c r="BC48" s="125">
        <f>Assumptions!BD127+$E48</f>
        <v>500000</v>
      </c>
      <c r="BD48" s="125">
        <f>Assumptions!BE127+$E48</f>
        <v>500000</v>
      </c>
      <c r="BE48" s="125">
        <f>Assumptions!BF127+$E48</f>
        <v>500000</v>
      </c>
      <c r="BF48" s="125">
        <f>Assumptions!BG127+$E48</f>
        <v>500000</v>
      </c>
      <c r="BG48" s="125">
        <f>Assumptions!BH127+$E48</f>
        <v>500000</v>
      </c>
      <c r="BH48" s="125">
        <f>Assumptions!BI127+$E48</f>
        <v>500000</v>
      </c>
      <c r="BI48" s="125">
        <f>Assumptions!BJ127+$E48</f>
        <v>500000</v>
      </c>
      <c r="BJ48" s="125">
        <f>Assumptions!BK127+$E48</f>
        <v>500000</v>
      </c>
      <c r="BK48" s="125">
        <f>Assumptions!BL127+$E48</f>
        <v>500000</v>
      </c>
      <c r="BL48" s="125">
        <f>Assumptions!BM127+$E48</f>
        <v>500000</v>
      </c>
      <c r="BM48" s="125">
        <f>Assumptions!BN127+$E48</f>
        <v>500000</v>
      </c>
      <c r="BN48" s="125"/>
    </row>
    <row r="49" outlineLevel="1">
      <c r="A49" s="125"/>
      <c r="B49" s="135" t="s">
        <v>136</v>
      </c>
      <c r="C49" s="125"/>
      <c r="D49" s="125"/>
      <c r="E49" s="125"/>
      <c r="F49" s="125">
        <f t="shared" ref="F49:BM49" si="16">E49+F27</f>
        <v>-229715</v>
      </c>
      <c r="G49" s="125">
        <f t="shared" si="16"/>
        <v>-459430</v>
      </c>
      <c r="H49" s="125">
        <f t="shared" si="16"/>
        <v>-689145</v>
      </c>
      <c r="I49" s="125">
        <f t="shared" si="16"/>
        <v>-918860</v>
      </c>
      <c r="J49" s="125">
        <f t="shared" si="16"/>
        <v>-1148575</v>
      </c>
      <c r="K49" s="125">
        <f t="shared" si="16"/>
        <v>-1378290</v>
      </c>
      <c r="L49" s="125">
        <f t="shared" si="16"/>
        <v>-1608005</v>
      </c>
      <c r="M49" s="125">
        <f t="shared" si="16"/>
        <v>-1837720</v>
      </c>
      <c r="N49" s="125">
        <f t="shared" si="16"/>
        <v>-2067435</v>
      </c>
      <c r="O49" s="125">
        <f t="shared" si="16"/>
        <v>-2297150</v>
      </c>
      <c r="P49" s="125">
        <f t="shared" si="16"/>
        <v>-2526865</v>
      </c>
      <c r="Q49" s="125">
        <f t="shared" si="16"/>
        <v>-2756580</v>
      </c>
      <c r="R49" s="125">
        <f t="shared" si="16"/>
        <v>-2986295</v>
      </c>
      <c r="S49" s="125">
        <f t="shared" si="16"/>
        <v>-3216010</v>
      </c>
      <c r="T49" s="125">
        <f t="shared" si="16"/>
        <v>-3445725</v>
      </c>
      <c r="U49" s="125">
        <f t="shared" si="16"/>
        <v>-3675440</v>
      </c>
      <c r="V49" s="125">
        <f t="shared" si="16"/>
        <v>-3905155</v>
      </c>
      <c r="W49" s="125">
        <f t="shared" si="16"/>
        <v>-4134870</v>
      </c>
      <c r="X49" s="125">
        <f t="shared" si="16"/>
        <v>-4364585</v>
      </c>
      <c r="Y49" s="125">
        <f t="shared" si="16"/>
        <v>-4594300</v>
      </c>
      <c r="Z49" s="125">
        <f t="shared" si="16"/>
        <v>-4824015</v>
      </c>
      <c r="AA49" s="125">
        <f t="shared" si="16"/>
        <v>-5053730</v>
      </c>
      <c r="AB49" s="125">
        <f t="shared" si="16"/>
        <v>-5283445</v>
      </c>
      <c r="AC49" s="125">
        <f t="shared" si="16"/>
        <v>-5513160</v>
      </c>
      <c r="AD49" s="125">
        <f t="shared" si="16"/>
        <v>-5742875</v>
      </c>
      <c r="AE49" s="125">
        <f t="shared" si="16"/>
        <v>-5972590</v>
      </c>
      <c r="AF49" s="125">
        <f t="shared" si="16"/>
        <v>-6202305</v>
      </c>
      <c r="AG49" s="125">
        <f t="shared" si="16"/>
        <v>-6432020</v>
      </c>
      <c r="AH49" s="125">
        <f t="shared" si="16"/>
        <v>-6661735</v>
      </c>
      <c r="AI49" s="125">
        <f t="shared" si="16"/>
        <v>-6891450</v>
      </c>
      <c r="AJ49" s="125">
        <f t="shared" si="16"/>
        <v>-7121165</v>
      </c>
      <c r="AK49" s="125">
        <f t="shared" si="16"/>
        <v>-7350880</v>
      </c>
      <c r="AL49" s="125">
        <f t="shared" si="16"/>
        <v>-7580595</v>
      </c>
      <c r="AM49" s="125">
        <f t="shared" si="16"/>
        <v>-7810310</v>
      </c>
      <c r="AN49" s="125">
        <f t="shared" si="16"/>
        <v>-8040025</v>
      </c>
      <c r="AO49" s="125">
        <f t="shared" si="16"/>
        <v>-8269740</v>
      </c>
      <c r="AP49" s="125">
        <f t="shared" si="16"/>
        <v>-8499455</v>
      </c>
      <c r="AQ49" s="125">
        <f t="shared" si="16"/>
        <v>-8729170</v>
      </c>
      <c r="AR49" s="125">
        <f t="shared" si="16"/>
        <v>-8958885</v>
      </c>
      <c r="AS49" s="125">
        <f t="shared" si="16"/>
        <v>-9188600</v>
      </c>
      <c r="AT49" s="125">
        <f t="shared" si="16"/>
        <v>-9418315</v>
      </c>
      <c r="AU49" s="125">
        <f t="shared" si="16"/>
        <v>-9648030</v>
      </c>
      <c r="AV49" s="125">
        <f t="shared" si="16"/>
        <v>-9877745</v>
      </c>
      <c r="AW49" s="125">
        <f t="shared" si="16"/>
        <v>-10107460</v>
      </c>
      <c r="AX49" s="125">
        <f t="shared" si="16"/>
        <v>-10337175</v>
      </c>
      <c r="AY49" s="125">
        <f t="shared" si="16"/>
        <v>-10566890</v>
      </c>
      <c r="AZ49" s="125">
        <f t="shared" si="16"/>
        <v>-10796605</v>
      </c>
      <c r="BA49" s="125">
        <f t="shared" si="16"/>
        <v>-11026320</v>
      </c>
      <c r="BB49" s="125">
        <f t="shared" si="16"/>
        <v>-11256035</v>
      </c>
      <c r="BC49" s="125">
        <f t="shared" si="16"/>
        <v>-11485750</v>
      </c>
      <c r="BD49" s="125">
        <f t="shared" si="16"/>
        <v>-11715465</v>
      </c>
      <c r="BE49" s="125">
        <f t="shared" si="16"/>
        <v>-11945180</v>
      </c>
      <c r="BF49" s="125">
        <f t="shared" si="16"/>
        <v>-12174895</v>
      </c>
      <c r="BG49" s="125">
        <f t="shared" si="16"/>
        <v>-12404610</v>
      </c>
      <c r="BH49" s="125">
        <f t="shared" si="16"/>
        <v>-12634325</v>
      </c>
      <c r="BI49" s="125">
        <f t="shared" si="16"/>
        <v>-12864040</v>
      </c>
      <c r="BJ49" s="125">
        <f t="shared" si="16"/>
        <v>-13093755</v>
      </c>
      <c r="BK49" s="125">
        <f t="shared" si="16"/>
        <v>-13323470</v>
      </c>
      <c r="BL49" s="125">
        <f t="shared" si="16"/>
        <v>-13553185</v>
      </c>
      <c r="BM49" s="125">
        <f t="shared" si="16"/>
        <v>-13782900</v>
      </c>
      <c r="BN49" s="125"/>
    </row>
    <row r="50" outlineLevel="1">
      <c r="A50" s="125"/>
      <c r="B50" s="144" t="s">
        <v>137</v>
      </c>
      <c r="C50" s="145"/>
      <c r="D50" s="145"/>
      <c r="E50" s="145"/>
      <c r="F50" s="144">
        <f t="shared" ref="F50:BM50" si="17">SUM(F48:F49)</f>
        <v>270285</v>
      </c>
      <c r="G50" s="144">
        <f t="shared" si="17"/>
        <v>40570</v>
      </c>
      <c r="H50" s="144">
        <f t="shared" si="17"/>
        <v>-189145</v>
      </c>
      <c r="I50" s="144">
        <f t="shared" si="17"/>
        <v>-418860</v>
      </c>
      <c r="J50" s="144">
        <f t="shared" si="17"/>
        <v>-648575</v>
      </c>
      <c r="K50" s="144">
        <f t="shared" si="17"/>
        <v>-878290</v>
      </c>
      <c r="L50" s="144">
        <f t="shared" si="17"/>
        <v>-1108005</v>
      </c>
      <c r="M50" s="144">
        <f t="shared" si="17"/>
        <v>-1337720</v>
      </c>
      <c r="N50" s="144">
        <f t="shared" si="17"/>
        <v>-1567435</v>
      </c>
      <c r="O50" s="144">
        <f t="shared" si="17"/>
        <v>-1797150</v>
      </c>
      <c r="P50" s="144">
        <f t="shared" si="17"/>
        <v>-2026865</v>
      </c>
      <c r="Q50" s="144">
        <f t="shared" si="17"/>
        <v>-2256580</v>
      </c>
      <c r="R50" s="144">
        <f t="shared" si="17"/>
        <v>-2486295</v>
      </c>
      <c r="S50" s="144">
        <f t="shared" si="17"/>
        <v>-2716010</v>
      </c>
      <c r="T50" s="144">
        <f t="shared" si="17"/>
        <v>-2945725</v>
      </c>
      <c r="U50" s="144">
        <f t="shared" si="17"/>
        <v>-3175440</v>
      </c>
      <c r="V50" s="144">
        <f t="shared" si="17"/>
        <v>-3405155</v>
      </c>
      <c r="W50" s="144">
        <f t="shared" si="17"/>
        <v>-3634870</v>
      </c>
      <c r="X50" s="144">
        <f t="shared" si="17"/>
        <v>-3864585</v>
      </c>
      <c r="Y50" s="144">
        <f t="shared" si="17"/>
        <v>-4094300</v>
      </c>
      <c r="Z50" s="144">
        <f t="shared" si="17"/>
        <v>-4324015</v>
      </c>
      <c r="AA50" s="144">
        <f t="shared" si="17"/>
        <v>-4553730</v>
      </c>
      <c r="AB50" s="144">
        <f t="shared" si="17"/>
        <v>-4783445</v>
      </c>
      <c r="AC50" s="144">
        <f t="shared" si="17"/>
        <v>-5013160</v>
      </c>
      <c r="AD50" s="144">
        <f t="shared" si="17"/>
        <v>-5242875</v>
      </c>
      <c r="AE50" s="144">
        <f t="shared" si="17"/>
        <v>-5472590</v>
      </c>
      <c r="AF50" s="144">
        <f t="shared" si="17"/>
        <v>-5702305</v>
      </c>
      <c r="AG50" s="144">
        <f t="shared" si="17"/>
        <v>-5932020</v>
      </c>
      <c r="AH50" s="144">
        <f t="shared" si="17"/>
        <v>-6161735</v>
      </c>
      <c r="AI50" s="144">
        <f t="shared" si="17"/>
        <v>-6391450</v>
      </c>
      <c r="AJ50" s="144">
        <f t="shared" si="17"/>
        <v>-6621165</v>
      </c>
      <c r="AK50" s="144">
        <f t="shared" si="17"/>
        <v>-6850880</v>
      </c>
      <c r="AL50" s="144">
        <f t="shared" si="17"/>
        <v>-7080595</v>
      </c>
      <c r="AM50" s="144">
        <f t="shared" si="17"/>
        <v>-7310310</v>
      </c>
      <c r="AN50" s="144">
        <f t="shared" si="17"/>
        <v>-7540025</v>
      </c>
      <c r="AO50" s="144">
        <f t="shared" si="17"/>
        <v>-7769740</v>
      </c>
      <c r="AP50" s="144">
        <f t="shared" si="17"/>
        <v>-7999455</v>
      </c>
      <c r="AQ50" s="144">
        <f t="shared" si="17"/>
        <v>-8229170</v>
      </c>
      <c r="AR50" s="144">
        <f t="shared" si="17"/>
        <v>-8458885</v>
      </c>
      <c r="AS50" s="144">
        <f t="shared" si="17"/>
        <v>-8688600</v>
      </c>
      <c r="AT50" s="144">
        <f t="shared" si="17"/>
        <v>-8918315</v>
      </c>
      <c r="AU50" s="144">
        <f t="shared" si="17"/>
        <v>-9148030</v>
      </c>
      <c r="AV50" s="144">
        <f t="shared" si="17"/>
        <v>-9377745</v>
      </c>
      <c r="AW50" s="144">
        <f t="shared" si="17"/>
        <v>-9607460</v>
      </c>
      <c r="AX50" s="144">
        <f t="shared" si="17"/>
        <v>-9837175</v>
      </c>
      <c r="AY50" s="144">
        <f t="shared" si="17"/>
        <v>-10066890</v>
      </c>
      <c r="AZ50" s="144">
        <f t="shared" si="17"/>
        <v>-10296605</v>
      </c>
      <c r="BA50" s="144">
        <f t="shared" si="17"/>
        <v>-10526320</v>
      </c>
      <c r="BB50" s="144">
        <f t="shared" si="17"/>
        <v>-10756035</v>
      </c>
      <c r="BC50" s="144">
        <f t="shared" si="17"/>
        <v>-10985750</v>
      </c>
      <c r="BD50" s="144">
        <f t="shared" si="17"/>
        <v>-11215465</v>
      </c>
      <c r="BE50" s="144">
        <f t="shared" si="17"/>
        <v>-11445180</v>
      </c>
      <c r="BF50" s="144">
        <f t="shared" si="17"/>
        <v>-11674895</v>
      </c>
      <c r="BG50" s="144">
        <f t="shared" si="17"/>
        <v>-11904610</v>
      </c>
      <c r="BH50" s="144">
        <f t="shared" si="17"/>
        <v>-12134325</v>
      </c>
      <c r="BI50" s="144">
        <f t="shared" si="17"/>
        <v>-12364040</v>
      </c>
      <c r="BJ50" s="144">
        <f t="shared" si="17"/>
        <v>-12593755</v>
      </c>
      <c r="BK50" s="144">
        <f t="shared" si="17"/>
        <v>-12823470</v>
      </c>
      <c r="BL50" s="144">
        <f t="shared" si="17"/>
        <v>-13053185</v>
      </c>
      <c r="BM50" s="144">
        <f t="shared" si="17"/>
        <v>-13282900</v>
      </c>
      <c r="BN50" s="125"/>
    </row>
    <row r="51" outlineLevel="1">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row>
    <row r="52" outlineLevel="1">
      <c r="A52" s="125"/>
      <c r="B52" s="128" t="s">
        <v>138</v>
      </c>
      <c r="C52" s="129"/>
      <c r="D52" s="129"/>
      <c r="E52" s="129"/>
      <c r="F52" s="130">
        <f t="shared" ref="F52:BM52" si="18">F50+F45</f>
        <v>291892.5</v>
      </c>
      <c r="G52" s="130">
        <f t="shared" si="18"/>
        <v>62177.5</v>
      </c>
      <c r="H52" s="130">
        <f t="shared" si="18"/>
        <v>-167537.5</v>
      </c>
      <c r="I52" s="130">
        <f t="shared" si="18"/>
        <v>-397252.5</v>
      </c>
      <c r="J52" s="130">
        <f t="shared" si="18"/>
        <v>-626967.5</v>
      </c>
      <c r="K52" s="130">
        <f t="shared" si="18"/>
        <v>-856682.5</v>
      </c>
      <c r="L52" s="130">
        <f t="shared" si="18"/>
        <v>-1086397.5</v>
      </c>
      <c r="M52" s="130">
        <f t="shared" si="18"/>
        <v>-1316112.5</v>
      </c>
      <c r="N52" s="130">
        <f t="shared" si="18"/>
        <v>-1545827.5</v>
      </c>
      <c r="O52" s="130">
        <f t="shared" si="18"/>
        <v>-1775542.5</v>
      </c>
      <c r="P52" s="130">
        <f t="shared" si="18"/>
        <v>-2005257.5</v>
      </c>
      <c r="Q52" s="130">
        <f t="shared" si="18"/>
        <v>-2234972.5</v>
      </c>
      <c r="R52" s="130">
        <f t="shared" si="18"/>
        <v>-2464687.5</v>
      </c>
      <c r="S52" s="130">
        <f t="shared" si="18"/>
        <v>-2694402.5</v>
      </c>
      <c r="T52" s="130">
        <f t="shared" si="18"/>
        <v>-2924117.5</v>
      </c>
      <c r="U52" s="130">
        <f t="shared" si="18"/>
        <v>-3153832.5</v>
      </c>
      <c r="V52" s="130">
        <f t="shared" si="18"/>
        <v>-3383547.5</v>
      </c>
      <c r="W52" s="130">
        <f t="shared" si="18"/>
        <v>-3613262.5</v>
      </c>
      <c r="X52" s="130">
        <f t="shared" si="18"/>
        <v>-3842977.5</v>
      </c>
      <c r="Y52" s="130">
        <f t="shared" si="18"/>
        <v>-4072692.5</v>
      </c>
      <c r="Z52" s="130">
        <f t="shared" si="18"/>
        <v>-4302407.5</v>
      </c>
      <c r="AA52" s="130">
        <f t="shared" si="18"/>
        <v>-4532122.5</v>
      </c>
      <c r="AB52" s="130">
        <f t="shared" si="18"/>
        <v>-4761837.5</v>
      </c>
      <c r="AC52" s="130">
        <f t="shared" si="18"/>
        <v>-4991552.5</v>
      </c>
      <c r="AD52" s="130">
        <f t="shared" si="18"/>
        <v>-5221267.5</v>
      </c>
      <c r="AE52" s="130">
        <f t="shared" si="18"/>
        <v>-5450982.5</v>
      </c>
      <c r="AF52" s="130">
        <f t="shared" si="18"/>
        <v>-5680697.5</v>
      </c>
      <c r="AG52" s="130">
        <f t="shared" si="18"/>
        <v>-5910412.5</v>
      </c>
      <c r="AH52" s="130">
        <f t="shared" si="18"/>
        <v>-6140127.5</v>
      </c>
      <c r="AI52" s="130">
        <f t="shared" si="18"/>
        <v>-6369842.5</v>
      </c>
      <c r="AJ52" s="130">
        <f t="shared" si="18"/>
        <v>-6599557.5</v>
      </c>
      <c r="AK52" s="130">
        <f t="shared" si="18"/>
        <v>-6829272.5</v>
      </c>
      <c r="AL52" s="130">
        <f t="shared" si="18"/>
        <v>-7058987.5</v>
      </c>
      <c r="AM52" s="130">
        <f t="shared" si="18"/>
        <v>-7288702.5</v>
      </c>
      <c r="AN52" s="130">
        <f t="shared" si="18"/>
        <v>-7518417.5</v>
      </c>
      <c r="AO52" s="130">
        <f t="shared" si="18"/>
        <v>-7748132.5</v>
      </c>
      <c r="AP52" s="130">
        <f t="shared" si="18"/>
        <v>-7977847.5</v>
      </c>
      <c r="AQ52" s="130">
        <f t="shared" si="18"/>
        <v>-8207562.5</v>
      </c>
      <c r="AR52" s="130">
        <f t="shared" si="18"/>
        <v>-8437277.5</v>
      </c>
      <c r="AS52" s="130">
        <f t="shared" si="18"/>
        <v>-8666992.5</v>
      </c>
      <c r="AT52" s="130">
        <f t="shared" si="18"/>
        <v>-8896707.5</v>
      </c>
      <c r="AU52" s="130">
        <f t="shared" si="18"/>
        <v>-9126422.5</v>
      </c>
      <c r="AV52" s="130">
        <f t="shared" si="18"/>
        <v>-9356137.5</v>
      </c>
      <c r="AW52" s="130">
        <f t="shared" si="18"/>
        <v>-9585852.5</v>
      </c>
      <c r="AX52" s="130">
        <f t="shared" si="18"/>
        <v>-9815567.5</v>
      </c>
      <c r="AY52" s="130">
        <f t="shared" si="18"/>
        <v>-10045282.5</v>
      </c>
      <c r="AZ52" s="130">
        <f t="shared" si="18"/>
        <v>-10274997.5</v>
      </c>
      <c r="BA52" s="130">
        <f t="shared" si="18"/>
        <v>-10504712.5</v>
      </c>
      <c r="BB52" s="130">
        <f t="shared" si="18"/>
        <v>-10734427.5</v>
      </c>
      <c r="BC52" s="130">
        <f t="shared" si="18"/>
        <v>-10964142.5</v>
      </c>
      <c r="BD52" s="130">
        <f t="shared" si="18"/>
        <v>-11193857.5</v>
      </c>
      <c r="BE52" s="130">
        <f t="shared" si="18"/>
        <v>-11423572.5</v>
      </c>
      <c r="BF52" s="130">
        <f t="shared" si="18"/>
        <v>-11653287.5</v>
      </c>
      <c r="BG52" s="130">
        <f t="shared" si="18"/>
        <v>-11883002.5</v>
      </c>
      <c r="BH52" s="130">
        <f t="shared" si="18"/>
        <v>-12112717.5</v>
      </c>
      <c r="BI52" s="130">
        <f t="shared" si="18"/>
        <v>-12342432.5</v>
      </c>
      <c r="BJ52" s="130">
        <f t="shared" si="18"/>
        <v>-12572147.5</v>
      </c>
      <c r="BK52" s="130">
        <f t="shared" si="18"/>
        <v>-12801862.5</v>
      </c>
      <c r="BL52" s="130">
        <f t="shared" si="18"/>
        <v>-13031577.5</v>
      </c>
      <c r="BM52" s="130">
        <f t="shared" si="18"/>
        <v>-13261292.5</v>
      </c>
      <c r="BN52" s="125"/>
    </row>
    <row r="53" outlineLevel="1">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5"/>
      <c r="BK53" s="125"/>
      <c r="BL53" s="125"/>
      <c r="BM53" s="125"/>
      <c r="BN53" s="125"/>
    </row>
    <row r="54" outlineLevel="1">
      <c r="A54" s="30"/>
      <c r="B54" s="148" t="s">
        <v>139</v>
      </c>
      <c r="C54" s="30"/>
      <c r="D54" s="30"/>
      <c r="E54" s="30"/>
      <c r="F54" s="149" t="str">
        <f t="shared" ref="F54:BM54" si="19">IF(ABS(F52-F40)&gt;0.001,"ERROR","OK")</f>
        <v>OK</v>
      </c>
      <c r="G54" s="149" t="str">
        <f t="shared" si="19"/>
        <v>OK</v>
      </c>
      <c r="H54" s="149" t="str">
        <f t="shared" si="19"/>
        <v>OK</v>
      </c>
      <c r="I54" s="149" t="str">
        <f t="shared" si="19"/>
        <v>OK</v>
      </c>
      <c r="J54" s="149" t="str">
        <f t="shared" si="19"/>
        <v>OK</v>
      </c>
      <c r="K54" s="149" t="str">
        <f t="shared" si="19"/>
        <v>OK</v>
      </c>
      <c r="L54" s="149" t="str">
        <f t="shared" si="19"/>
        <v>OK</v>
      </c>
      <c r="M54" s="149" t="str">
        <f t="shared" si="19"/>
        <v>OK</v>
      </c>
      <c r="N54" s="149" t="str">
        <f t="shared" si="19"/>
        <v>OK</v>
      </c>
      <c r="O54" s="149" t="str">
        <f t="shared" si="19"/>
        <v>OK</v>
      </c>
      <c r="P54" s="149" t="str">
        <f t="shared" si="19"/>
        <v>OK</v>
      </c>
      <c r="Q54" s="149" t="str">
        <f t="shared" si="19"/>
        <v>OK</v>
      </c>
      <c r="R54" s="149" t="str">
        <f t="shared" si="19"/>
        <v>OK</v>
      </c>
      <c r="S54" s="149" t="str">
        <f t="shared" si="19"/>
        <v>OK</v>
      </c>
      <c r="T54" s="149" t="str">
        <f t="shared" si="19"/>
        <v>OK</v>
      </c>
      <c r="U54" s="149" t="str">
        <f t="shared" si="19"/>
        <v>OK</v>
      </c>
      <c r="V54" s="149" t="str">
        <f t="shared" si="19"/>
        <v>OK</v>
      </c>
      <c r="W54" s="149" t="str">
        <f t="shared" si="19"/>
        <v>OK</v>
      </c>
      <c r="X54" s="149" t="str">
        <f t="shared" si="19"/>
        <v>OK</v>
      </c>
      <c r="Y54" s="149" t="str">
        <f t="shared" si="19"/>
        <v>OK</v>
      </c>
      <c r="Z54" s="149" t="str">
        <f t="shared" si="19"/>
        <v>OK</v>
      </c>
      <c r="AA54" s="149" t="str">
        <f t="shared" si="19"/>
        <v>OK</v>
      </c>
      <c r="AB54" s="149" t="str">
        <f t="shared" si="19"/>
        <v>OK</v>
      </c>
      <c r="AC54" s="149" t="str">
        <f t="shared" si="19"/>
        <v>OK</v>
      </c>
      <c r="AD54" s="149" t="str">
        <f t="shared" si="19"/>
        <v>OK</v>
      </c>
      <c r="AE54" s="149" t="str">
        <f t="shared" si="19"/>
        <v>OK</v>
      </c>
      <c r="AF54" s="149" t="str">
        <f t="shared" si="19"/>
        <v>OK</v>
      </c>
      <c r="AG54" s="149" t="str">
        <f t="shared" si="19"/>
        <v>OK</v>
      </c>
      <c r="AH54" s="149" t="str">
        <f t="shared" si="19"/>
        <v>OK</v>
      </c>
      <c r="AI54" s="149" t="str">
        <f t="shared" si="19"/>
        <v>OK</v>
      </c>
      <c r="AJ54" s="149" t="str">
        <f t="shared" si="19"/>
        <v>OK</v>
      </c>
      <c r="AK54" s="149" t="str">
        <f t="shared" si="19"/>
        <v>OK</v>
      </c>
      <c r="AL54" s="149" t="str">
        <f t="shared" si="19"/>
        <v>OK</v>
      </c>
      <c r="AM54" s="149" t="str">
        <f t="shared" si="19"/>
        <v>OK</v>
      </c>
      <c r="AN54" s="149" t="str">
        <f t="shared" si="19"/>
        <v>OK</v>
      </c>
      <c r="AO54" s="149" t="str">
        <f t="shared" si="19"/>
        <v>OK</v>
      </c>
      <c r="AP54" s="149" t="str">
        <f t="shared" si="19"/>
        <v>OK</v>
      </c>
      <c r="AQ54" s="149" t="str">
        <f t="shared" si="19"/>
        <v>OK</v>
      </c>
      <c r="AR54" s="149" t="str">
        <f t="shared" si="19"/>
        <v>OK</v>
      </c>
      <c r="AS54" s="149" t="str">
        <f t="shared" si="19"/>
        <v>OK</v>
      </c>
      <c r="AT54" s="149" t="str">
        <f t="shared" si="19"/>
        <v>OK</v>
      </c>
      <c r="AU54" s="149" t="str">
        <f t="shared" si="19"/>
        <v>OK</v>
      </c>
      <c r="AV54" s="149" t="str">
        <f t="shared" si="19"/>
        <v>OK</v>
      </c>
      <c r="AW54" s="149" t="str">
        <f t="shared" si="19"/>
        <v>OK</v>
      </c>
      <c r="AX54" s="149" t="str">
        <f t="shared" si="19"/>
        <v>OK</v>
      </c>
      <c r="AY54" s="149" t="str">
        <f t="shared" si="19"/>
        <v>OK</v>
      </c>
      <c r="AZ54" s="149" t="str">
        <f t="shared" si="19"/>
        <v>OK</v>
      </c>
      <c r="BA54" s="149" t="str">
        <f t="shared" si="19"/>
        <v>OK</v>
      </c>
      <c r="BB54" s="149" t="str">
        <f t="shared" si="19"/>
        <v>OK</v>
      </c>
      <c r="BC54" s="149" t="str">
        <f t="shared" si="19"/>
        <v>OK</v>
      </c>
      <c r="BD54" s="149" t="str">
        <f t="shared" si="19"/>
        <v>OK</v>
      </c>
      <c r="BE54" s="149" t="str">
        <f t="shared" si="19"/>
        <v>OK</v>
      </c>
      <c r="BF54" s="149" t="str">
        <f t="shared" si="19"/>
        <v>OK</v>
      </c>
      <c r="BG54" s="149" t="str">
        <f t="shared" si="19"/>
        <v>OK</v>
      </c>
      <c r="BH54" s="149" t="str">
        <f t="shared" si="19"/>
        <v>OK</v>
      </c>
      <c r="BI54" s="149" t="str">
        <f t="shared" si="19"/>
        <v>OK</v>
      </c>
      <c r="BJ54" s="149" t="str">
        <f t="shared" si="19"/>
        <v>OK</v>
      </c>
      <c r="BK54" s="149" t="str">
        <f t="shared" si="19"/>
        <v>OK</v>
      </c>
      <c r="BL54" s="149" t="str">
        <f t="shared" si="19"/>
        <v>OK</v>
      </c>
      <c r="BM54" s="149" t="str">
        <f t="shared" si="19"/>
        <v>OK</v>
      </c>
      <c r="BN54" s="30"/>
    </row>
    <row r="55">
      <c r="A55" s="30"/>
      <c r="B55" s="15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120"/>
    </row>
    <row r="56">
      <c r="A56" s="30"/>
      <c r="B56" s="123" t="s">
        <v>140</v>
      </c>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0"/>
    </row>
    <row r="57" outlineLevel="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row>
    <row r="58" outlineLevel="1">
      <c r="A58" s="125"/>
      <c r="B58" s="134" t="s">
        <v>141</v>
      </c>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row>
    <row r="59" outlineLevel="1">
      <c r="A59" s="125"/>
      <c r="B59" s="135" t="s">
        <v>142</v>
      </c>
      <c r="C59" s="125"/>
      <c r="D59" s="125"/>
      <c r="E59" s="125"/>
      <c r="F59" s="125">
        <f t="shared" ref="F59:BM59" si="20">F49-E49</f>
        <v>-229715</v>
      </c>
      <c r="G59" s="125">
        <f t="shared" si="20"/>
        <v>-229715</v>
      </c>
      <c r="H59" s="125">
        <f t="shared" si="20"/>
        <v>-229715</v>
      </c>
      <c r="I59" s="125">
        <f t="shared" si="20"/>
        <v>-229715</v>
      </c>
      <c r="J59" s="125">
        <f t="shared" si="20"/>
        <v>-229715</v>
      </c>
      <c r="K59" s="125">
        <f t="shared" si="20"/>
        <v>-229715</v>
      </c>
      <c r="L59" s="125">
        <f t="shared" si="20"/>
        <v>-229715</v>
      </c>
      <c r="M59" s="125">
        <f t="shared" si="20"/>
        <v>-229715</v>
      </c>
      <c r="N59" s="125">
        <f t="shared" si="20"/>
        <v>-229715</v>
      </c>
      <c r="O59" s="125">
        <f t="shared" si="20"/>
        <v>-229715</v>
      </c>
      <c r="P59" s="125">
        <f t="shared" si="20"/>
        <v>-229715</v>
      </c>
      <c r="Q59" s="125">
        <f t="shared" si="20"/>
        <v>-229715</v>
      </c>
      <c r="R59" s="125">
        <f t="shared" si="20"/>
        <v>-229715</v>
      </c>
      <c r="S59" s="125">
        <f t="shared" si="20"/>
        <v>-229715</v>
      </c>
      <c r="T59" s="125">
        <f t="shared" si="20"/>
        <v>-229715</v>
      </c>
      <c r="U59" s="125">
        <f t="shared" si="20"/>
        <v>-229715</v>
      </c>
      <c r="V59" s="125">
        <f t="shared" si="20"/>
        <v>-229715</v>
      </c>
      <c r="W59" s="125">
        <f t="shared" si="20"/>
        <v>-229715</v>
      </c>
      <c r="X59" s="125">
        <f t="shared" si="20"/>
        <v>-229715</v>
      </c>
      <c r="Y59" s="125">
        <f t="shared" si="20"/>
        <v>-229715</v>
      </c>
      <c r="Z59" s="125">
        <f t="shared" si="20"/>
        <v>-229715</v>
      </c>
      <c r="AA59" s="125">
        <f t="shared" si="20"/>
        <v>-229715</v>
      </c>
      <c r="AB59" s="125">
        <f t="shared" si="20"/>
        <v>-229715</v>
      </c>
      <c r="AC59" s="125">
        <f t="shared" si="20"/>
        <v>-229715</v>
      </c>
      <c r="AD59" s="125">
        <f t="shared" si="20"/>
        <v>-229715</v>
      </c>
      <c r="AE59" s="125">
        <f t="shared" si="20"/>
        <v>-229715</v>
      </c>
      <c r="AF59" s="125">
        <f t="shared" si="20"/>
        <v>-229715</v>
      </c>
      <c r="AG59" s="125">
        <f t="shared" si="20"/>
        <v>-229715</v>
      </c>
      <c r="AH59" s="125">
        <f t="shared" si="20"/>
        <v>-229715</v>
      </c>
      <c r="AI59" s="125">
        <f t="shared" si="20"/>
        <v>-229715</v>
      </c>
      <c r="AJ59" s="125">
        <f t="shared" si="20"/>
        <v>-229715</v>
      </c>
      <c r="AK59" s="125">
        <f t="shared" si="20"/>
        <v>-229715</v>
      </c>
      <c r="AL59" s="125">
        <f t="shared" si="20"/>
        <v>-229715</v>
      </c>
      <c r="AM59" s="125">
        <f t="shared" si="20"/>
        <v>-229715</v>
      </c>
      <c r="AN59" s="125">
        <f t="shared" si="20"/>
        <v>-229715</v>
      </c>
      <c r="AO59" s="125">
        <f t="shared" si="20"/>
        <v>-229715</v>
      </c>
      <c r="AP59" s="125">
        <f t="shared" si="20"/>
        <v>-229715</v>
      </c>
      <c r="AQ59" s="125">
        <f t="shared" si="20"/>
        <v>-229715</v>
      </c>
      <c r="AR59" s="125">
        <f t="shared" si="20"/>
        <v>-229715</v>
      </c>
      <c r="AS59" s="125">
        <f t="shared" si="20"/>
        <v>-229715</v>
      </c>
      <c r="AT59" s="125">
        <f t="shared" si="20"/>
        <v>-229715</v>
      </c>
      <c r="AU59" s="125">
        <f t="shared" si="20"/>
        <v>-229715</v>
      </c>
      <c r="AV59" s="125">
        <f t="shared" si="20"/>
        <v>-229715</v>
      </c>
      <c r="AW59" s="125">
        <f t="shared" si="20"/>
        <v>-229715</v>
      </c>
      <c r="AX59" s="125">
        <f t="shared" si="20"/>
        <v>-229715</v>
      </c>
      <c r="AY59" s="125">
        <f t="shared" si="20"/>
        <v>-229715</v>
      </c>
      <c r="AZ59" s="125">
        <f t="shared" si="20"/>
        <v>-229715</v>
      </c>
      <c r="BA59" s="125">
        <f t="shared" si="20"/>
        <v>-229715</v>
      </c>
      <c r="BB59" s="125">
        <f t="shared" si="20"/>
        <v>-229715</v>
      </c>
      <c r="BC59" s="125">
        <f t="shared" si="20"/>
        <v>-229715</v>
      </c>
      <c r="BD59" s="125">
        <f t="shared" si="20"/>
        <v>-229715</v>
      </c>
      <c r="BE59" s="125">
        <f t="shared" si="20"/>
        <v>-229715</v>
      </c>
      <c r="BF59" s="125">
        <f t="shared" si="20"/>
        <v>-229715</v>
      </c>
      <c r="BG59" s="125">
        <f t="shared" si="20"/>
        <v>-229715</v>
      </c>
      <c r="BH59" s="125">
        <f t="shared" si="20"/>
        <v>-229715</v>
      </c>
      <c r="BI59" s="125">
        <f t="shared" si="20"/>
        <v>-229715</v>
      </c>
      <c r="BJ59" s="125">
        <f t="shared" si="20"/>
        <v>-229715</v>
      </c>
      <c r="BK59" s="125">
        <f t="shared" si="20"/>
        <v>-229715</v>
      </c>
      <c r="BL59" s="125">
        <f t="shared" si="20"/>
        <v>-229715</v>
      </c>
      <c r="BM59" s="125">
        <f t="shared" si="20"/>
        <v>-229715</v>
      </c>
      <c r="BN59" s="125"/>
    </row>
    <row r="60" outlineLevel="1">
      <c r="A60" s="125"/>
      <c r="B60" s="135" t="s">
        <v>119</v>
      </c>
      <c r="C60" s="125"/>
      <c r="D60" s="125"/>
      <c r="E60" s="125"/>
      <c r="F60" s="125">
        <f t="shared" ref="F60:BM60" si="21">E39-F39</f>
        <v>0</v>
      </c>
      <c r="G60" s="125">
        <f t="shared" si="21"/>
        <v>0</v>
      </c>
      <c r="H60" s="125">
        <f t="shared" si="21"/>
        <v>0</v>
      </c>
      <c r="I60" s="125">
        <f t="shared" si="21"/>
        <v>0</v>
      </c>
      <c r="J60" s="125">
        <f t="shared" si="21"/>
        <v>0</v>
      </c>
      <c r="K60" s="125">
        <f t="shared" si="21"/>
        <v>0</v>
      </c>
      <c r="L60" s="125">
        <f t="shared" si="21"/>
        <v>0</v>
      </c>
      <c r="M60" s="125">
        <f t="shared" si="21"/>
        <v>0</v>
      </c>
      <c r="N60" s="125">
        <f t="shared" si="21"/>
        <v>0</v>
      </c>
      <c r="O60" s="125">
        <f t="shared" si="21"/>
        <v>0</v>
      </c>
      <c r="P60" s="125">
        <f t="shared" si="21"/>
        <v>0</v>
      </c>
      <c r="Q60" s="125">
        <f t="shared" si="21"/>
        <v>0</v>
      </c>
      <c r="R60" s="125">
        <f t="shared" si="21"/>
        <v>0</v>
      </c>
      <c r="S60" s="125">
        <f t="shared" si="21"/>
        <v>0</v>
      </c>
      <c r="T60" s="125">
        <f t="shared" si="21"/>
        <v>0</v>
      </c>
      <c r="U60" s="125">
        <f t="shared" si="21"/>
        <v>0</v>
      </c>
      <c r="V60" s="125">
        <f t="shared" si="21"/>
        <v>0</v>
      </c>
      <c r="W60" s="125">
        <f t="shared" si="21"/>
        <v>0</v>
      </c>
      <c r="X60" s="125">
        <f t="shared" si="21"/>
        <v>0</v>
      </c>
      <c r="Y60" s="125">
        <f t="shared" si="21"/>
        <v>0</v>
      </c>
      <c r="Z60" s="125">
        <f t="shared" si="21"/>
        <v>0</v>
      </c>
      <c r="AA60" s="125">
        <f t="shared" si="21"/>
        <v>0</v>
      </c>
      <c r="AB60" s="125">
        <f t="shared" si="21"/>
        <v>0</v>
      </c>
      <c r="AC60" s="125">
        <f t="shared" si="21"/>
        <v>0</v>
      </c>
      <c r="AD60" s="125">
        <f t="shared" si="21"/>
        <v>0</v>
      </c>
      <c r="AE60" s="125">
        <f t="shared" si="21"/>
        <v>0</v>
      </c>
      <c r="AF60" s="125">
        <f t="shared" si="21"/>
        <v>0</v>
      </c>
      <c r="AG60" s="125">
        <f t="shared" si="21"/>
        <v>0</v>
      </c>
      <c r="AH60" s="125">
        <f t="shared" si="21"/>
        <v>0</v>
      </c>
      <c r="AI60" s="125">
        <f t="shared" si="21"/>
        <v>0</v>
      </c>
      <c r="AJ60" s="125">
        <f t="shared" si="21"/>
        <v>0</v>
      </c>
      <c r="AK60" s="125">
        <f t="shared" si="21"/>
        <v>0</v>
      </c>
      <c r="AL60" s="125">
        <f t="shared" si="21"/>
        <v>0</v>
      </c>
      <c r="AM60" s="125">
        <f t="shared" si="21"/>
        <v>0</v>
      </c>
      <c r="AN60" s="125">
        <f t="shared" si="21"/>
        <v>0</v>
      </c>
      <c r="AO60" s="125">
        <f t="shared" si="21"/>
        <v>0</v>
      </c>
      <c r="AP60" s="125">
        <f t="shared" si="21"/>
        <v>0</v>
      </c>
      <c r="AQ60" s="125">
        <f t="shared" si="21"/>
        <v>0</v>
      </c>
      <c r="AR60" s="125">
        <f t="shared" si="21"/>
        <v>0</v>
      </c>
      <c r="AS60" s="125">
        <f t="shared" si="21"/>
        <v>0</v>
      </c>
      <c r="AT60" s="125">
        <f t="shared" si="21"/>
        <v>0</v>
      </c>
      <c r="AU60" s="125">
        <f t="shared" si="21"/>
        <v>0</v>
      </c>
      <c r="AV60" s="125">
        <f t="shared" si="21"/>
        <v>0</v>
      </c>
      <c r="AW60" s="125">
        <f t="shared" si="21"/>
        <v>0</v>
      </c>
      <c r="AX60" s="125">
        <f t="shared" si="21"/>
        <v>0</v>
      </c>
      <c r="AY60" s="125">
        <f t="shared" si="21"/>
        <v>0</v>
      </c>
      <c r="AZ60" s="125">
        <f t="shared" si="21"/>
        <v>0</v>
      </c>
      <c r="BA60" s="125">
        <f t="shared" si="21"/>
        <v>0</v>
      </c>
      <c r="BB60" s="125">
        <f t="shared" si="21"/>
        <v>0</v>
      </c>
      <c r="BC60" s="125">
        <f t="shared" si="21"/>
        <v>0</v>
      </c>
      <c r="BD60" s="125">
        <f t="shared" si="21"/>
        <v>0</v>
      </c>
      <c r="BE60" s="125">
        <f t="shared" si="21"/>
        <v>0</v>
      </c>
      <c r="BF60" s="125">
        <f t="shared" si="21"/>
        <v>0</v>
      </c>
      <c r="BG60" s="125">
        <f t="shared" si="21"/>
        <v>0</v>
      </c>
      <c r="BH60" s="125">
        <f t="shared" si="21"/>
        <v>0</v>
      </c>
      <c r="BI60" s="125">
        <f t="shared" si="21"/>
        <v>0</v>
      </c>
      <c r="BJ60" s="125">
        <f t="shared" si="21"/>
        <v>0</v>
      </c>
      <c r="BK60" s="125">
        <f t="shared" si="21"/>
        <v>0</v>
      </c>
      <c r="BL60" s="125">
        <f t="shared" si="21"/>
        <v>0</v>
      </c>
      <c r="BM60" s="125">
        <f t="shared" si="21"/>
        <v>0</v>
      </c>
      <c r="BN60" s="125"/>
    </row>
    <row r="61" outlineLevel="1">
      <c r="A61" s="125"/>
      <c r="B61" s="135" t="s">
        <v>143</v>
      </c>
      <c r="C61" s="125"/>
      <c r="D61" s="125"/>
      <c r="E61" s="125"/>
      <c r="F61" s="125">
        <f t="shared" ref="F61:BM61" si="22">E35-F35</f>
        <v>-7750</v>
      </c>
      <c r="G61" s="125">
        <f t="shared" si="22"/>
        <v>0</v>
      </c>
      <c r="H61" s="125">
        <f t="shared" si="22"/>
        <v>0</v>
      </c>
      <c r="I61" s="125">
        <f t="shared" si="22"/>
        <v>0</v>
      </c>
      <c r="J61" s="125">
        <f t="shared" si="22"/>
        <v>0</v>
      </c>
      <c r="K61" s="125">
        <f t="shared" si="22"/>
        <v>0</v>
      </c>
      <c r="L61" s="125">
        <f t="shared" si="22"/>
        <v>0</v>
      </c>
      <c r="M61" s="125">
        <f t="shared" si="22"/>
        <v>0</v>
      </c>
      <c r="N61" s="125">
        <f t="shared" si="22"/>
        <v>0</v>
      </c>
      <c r="O61" s="125">
        <f t="shared" si="22"/>
        <v>0</v>
      </c>
      <c r="P61" s="125">
        <f t="shared" si="22"/>
        <v>0</v>
      </c>
      <c r="Q61" s="125">
        <f t="shared" si="22"/>
        <v>0</v>
      </c>
      <c r="R61" s="125">
        <f t="shared" si="22"/>
        <v>0</v>
      </c>
      <c r="S61" s="125">
        <f t="shared" si="22"/>
        <v>0</v>
      </c>
      <c r="T61" s="125">
        <f t="shared" si="22"/>
        <v>0</v>
      </c>
      <c r="U61" s="125">
        <f t="shared" si="22"/>
        <v>0</v>
      </c>
      <c r="V61" s="125">
        <f t="shared" si="22"/>
        <v>0</v>
      </c>
      <c r="W61" s="125">
        <f t="shared" si="22"/>
        <v>0</v>
      </c>
      <c r="X61" s="125">
        <f t="shared" si="22"/>
        <v>0</v>
      </c>
      <c r="Y61" s="125">
        <f t="shared" si="22"/>
        <v>0</v>
      </c>
      <c r="Z61" s="125">
        <f t="shared" si="22"/>
        <v>0</v>
      </c>
      <c r="AA61" s="125">
        <f t="shared" si="22"/>
        <v>0</v>
      </c>
      <c r="AB61" s="125">
        <f t="shared" si="22"/>
        <v>0</v>
      </c>
      <c r="AC61" s="125">
        <f t="shared" si="22"/>
        <v>0</v>
      </c>
      <c r="AD61" s="125">
        <f t="shared" si="22"/>
        <v>0</v>
      </c>
      <c r="AE61" s="125">
        <f t="shared" si="22"/>
        <v>0</v>
      </c>
      <c r="AF61" s="125">
        <f t="shared" si="22"/>
        <v>0</v>
      </c>
      <c r="AG61" s="125">
        <f t="shared" si="22"/>
        <v>0</v>
      </c>
      <c r="AH61" s="125">
        <f t="shared" si="22"/>
        <v>0</v>
      </c>
      <c r="AI61" s="125">
        <f t="shared" si="22"/>
        <v>0</v>
      </c>
      <c r="AJ61" s="125">
        <f t="shared" si="22"/>
        <v>0</v>
      </c>
      <c r="AK61" s="125">
        <f t="shared" si="22"/>
        <v>0</v>
      </c>
      <c r="AL61" s="125">
        <f t="shared" si="22"/>
        <v>0</v>
      </c>
      <c r="AM61" s="125">
        <f t="shared" si="22"/>
        <v>0</v>
      </c>
      <c r="AN61" s="125">
        <f t="shared" si="22"/>
        <v>0</v>
      </c>
      <c r="AO61" s="125">
        <f t="shared" si="22"/>
        <v>0</v>
      </c>
      <c r="AP61" s="125">
        <f t="shared" si="22"/>
        <v>0</v>
      </c>
      <c r="AQ61" s="125">
        <f t="shared" si="22"/>
        <v>0</v>
      </c>
      <c r="AR61" s="125">
        <f t="shared" si="22"/>
        <v>0</v>
      </c>
      <c r="AS61" s="125">
        <f t="shared" si="22"/>
        <v>0</v>
      </c>
      <c r="AT61" s="125">
        <f t="shared" si="22"/>
        <v>0</v>
      </c>
      <c r="AU61" s="125">
        <f t="shared" si="22"/>
        <v>0</v>
      </c>
      <c r="AV61" s="125">
        <f t="shared" si="22"/>
        <v>0</v>
      </c>
      <c r="AW61" s="125">
        <f t="shared" si="22"/>
        <v>0</v>
      </c>
      <c r="AX61" s="125">
        <f t="shared" si="22"/>
        <v>0</v>
      </c>
      <c r="AY61" s="125">
        <f t="shared" si="22"/>
        <v>0</v>
      </c>
      <c r="AZ61" s="125">
        <f t="shared" si="22"/>
        <v>0</v>
      </c>
      <c r="BA61" s="125">
        <f t="shared" si="22"/>
        <v>0</v>
      </c>
      <c r="BB61" s="125">
        <f t="shared" si="22"/>
        <v>0</v>
      </c>
      <c r="BC61" s="125">
        <f t="shared" si="22"/>
        <v>0</v>
      </c>
      <c r="BD61" s="125">
        <f t="shared" si="22"/>
        <v>0</v>
      </c>
      <c r="BE61" s="125">
        <f t="shared" si="22"/>
        <v>0</v>
      </c>
      <c r="BF61" s="125">
        <f t="shared" si="22"/>
        <v>0</v>
      </c>
      <c r="BG61" s="125">
        <f t="shared" si="22"/>
        <v>0</v>
      </c>
      <c r="BH61" s="125">
        <f t="shared" si="22"/>
        <v>0</v>
      </c>
      <c r="BI61" s="125">
        <f t="shared" si="22"/>
        <v>0</v>
      </c>
      <c r="BJ61" s="125">
        <f t="shared" si="22"/>
        <v>0</v>
      </c>
      <c r="BK61" s="125">
        <f t="shared" si="22"/>
        <v>0</v>
      </c>
      <c r="BL61" s="125">
        <f t="shared" si="22"/>
        <v>0</v>
      </c>
      <c r="BM61" s="125">
        <f t="shared" si="22"/>
        <v>0</v>
      </c>
      <c r="BN61" s="125"/>
    </row>
    <row r="62" outlineLevel="1">
      <c r="A62" s="125"/>
      <c r="B62" s="135" t="s">
        <v>144</v>
      </c>
      <c r="C62" s="125"/>
      <c r="D62" s="125"/>
      <c r="E62" s="125"/>
      <c r="F62" s="125">
        <f t="shared" ref="F62:BM62" si="23">F44-E44</f>
        <v>21607.5</v>
      </c>
      <c r="G62" s="125">
        <f t="shared" si="23"/>
        <v>0</v>
      </c>
      <c r="H62" s="125">
        <f t="shared" si="23"/>
        <v>0</v>
      </c>
      <c r="I62" s="125">
        <f t="shared" si="23"/>
        <v>0</v>
      </c>
      <c r="J62" s="125">
        <f t="shared" si="23"/>
        <v>0</v>
      </c>
      <c r="K62" s="125">
        <f t="shared" si="23"/>
        <v>0</v>
      </c>
      <c r="L62" s="125">
        <f t="shared" si="23"/>
        <v>0</v>
      </c>
      <c r="M62" s="125">
        <f t="shared" si="23"/>
        <v>0</v>
      </c>
      <c r="N62" s="125">
        <f t="shared" si="23"/>
        <v>0</v>
      </c>
      <c r="O62" s="125">
        <f t="shared" si="23"/>
        <v>0</v>
      </c>
      <c r="P62" s="125">
        <f t="shared" si="23"/>
        <v>0</v>
      </c>
      <c r="Q62" s="125">
        <f t="shared" si="23"/>
        <v>0</v>
      </c>
      <c r="R62" s="125">
        <f t="shared" si="23"/>
        <v>0</v>
      </c>
      <c r="S62" s="125">
        <f t="shared" si="23"/>
        <v>0</v>
      </c>
      <c r="T62" s="125">
        <f t="shared" si="23"/>
        <v>0</v>
      </c>
      <c r="U62" s="125">
        <f t="shared" si="23"/>
        <v>0</v>
      </c>
      <c r="V62" s="125">
        <f t="shared" si="23"/>
        <v>0</v>
      </c>
      <c r="W62" s="125">
        <f t="shared" si="23"/>
        <v>0</v>
      </c>
      <c r="X62" s="125">
        <f t="shared" si="23"/>
        <v>0</v>
      </c>
      <c r="Y62" s="125">
        <f t="shared" si="23"/>
        <v>0</v>
      </c>
      <c r="Z62" s="125">
        <f t="shared" si="23"/>
        <v>0</v>
      </c>
      <c r="AA62" s="125">
        <f t="shared" si="23"/>
        <v>0</v>
      </c>
      <c r="AB62" s="125">
        <f t="shared" si="23"/>
        <v>0</v>
      </c>
      <c r="AC62" s="125">
        <f t="shared" si="23"/>
        <v>0</v>
      </c>
      <c r="AD62" s="125">
        <f t="shared" si="23"/>
        <v>0</v>
      </c>
      <c r="AE62" s="125">
        <f t="shared" si="23"/>
        <v>0</v>
      </c>
      <c r="AF62" s="125">
        <f t="shared" si="23"/>
        <v>0</v>
      </c>
      <c r="AG62" s="125">
        <f t="shared" si="23"/>
        <v>0</v>
      </c>
      <c r="AH62" s="125">
        <f t="shared" si="23"/>
        <v>0</v>
      </c>
      <c r="AI62" s="125">
        <f t="shared" si="23"/>
        <v>0</v>
      </c>
      <c r="AJ62" s="125">
        <f t="shared" si="23"/>
        <v>0</v>
      </c>
      <c r="AK62" s="125">
        <f t="shared" si="23"/>
        <v>0</v>
      </c>
      <c r="AL62" s="125">
        <f t="shared" si="23"/>
        <v>0</v>
      </c>
      <c r="AM62" s="125">
        <f t="shared" si="23"/>
        <v>0</v>
      </c>
      <c r="AN62" s="125">
        <f t="shared" si="23"/>
        <v>0</v>
      </c>
      <c r="AO62" s="125">
        <f t="shared" si="23"/>
        <v>0</v>
      </c>
      <c r="AP62" s="125">
        <f t="shared" si="23"/>
        <v>0</v>
      </c>
      <c r="AQ62" s="125">
        <f t="shared" si="23"/>
        <v>0</v>
      </c>
      <c r="AR62" s="125">
        <f t="shared" si="23"/>
        <v>0</v>
      </c>
      <c r="AS62" s="125">
        <f t="shared" si="23"/>
        <v>0</v>
      </c>
      <c r="AT62" s="125">
        <f t="shared" si="23"/>
        <v>0</v>
      </c>
      <c r="AU62" s="125">
        <f t="shared" si="23"/>
        <v>0</v>
      </c>
      <c r="AV62" s="125">
        <f t="shared" si="23"/>
        <v>0</v>
      </c>
      <c r="AW62" s="125">
        <f t="shared" si="23"/>
        <v>0</v>
      </c>
      <c r="AX62" s="125">
        <f t="shared" si="23"/>
        <v>0</v>
      </c>
      <c r="AY62" s="125">
        <f t="shared" si="23"/>
        <v>0</v>
      </c>
      <c r="AZ62" s="125">
        <f t="shared" si="23"/>
        <v>0</v>
      </c>
      <c r="BA62" s="125">
        <f t="shared" si="23"/>
        <v>0</v>
      </c>
      <c r="BB62" s="125">
        <f t="shared" si="23"/>
        <v>0</v>
      </c>
      <c r="BC62" s="125">
        <f t="shared" si="23"/>
        <v>0</v>
      </c>
      <c r="BD62" s="125">
        <f t="shared" si="23"/>
        <v>0</v>
      </c>
      <c r="BE62" s="125">
        <f t="shared" si="23"/>
        <v>0</v>
      </c>
      <c r="BF62" s="125">
        <f t="shared" si="23"/>
        <v>0</v>
      </c>
      <c r="BG62" s="125">
        <f t="shared" si="23"/>
        <v>0</v>
      </c>
      <c r="BH62" s="125">
        <f t="shared" si="23"/>
        <v>0</v>
      </c>
      <c r="BI62" s="125">
        <f t="shared" si="23"/>
        <v>0</v>
      </c>
      <c r="BJ62" s="125">
        <f t="shared" si="23"/>
        <v>0</v>
      </c>
      <c r="BK62" s="125">
        <f t="shared" si="23"/>
        <v>0</v>
      </c>
      <c r="BL62" s="125">
        <f t="shared" si="23"/>
        <v>0</v>
      </c>
      <c r="BM62" s="125">
        <f t="shared" si="23"/>
        <v>0</v>
      </c>
      <c r="BN62" s="125"/>
    </row>
    <row r="63" outlineLevel="1">
      <c r="A63" s="125"/>
      <c r="B63" s="128" t="s">
        <v>145</v>
      </c>
      <c r="C63" s="129"/>
      <c r="D63" s="129"/>
      <c r="E63" s="129"/>
      <c r="F63" s="130">
        <f t="shared" ref="F63:BM63" si="24">SUM(F59:F62)</f>
        <v>-215857.5</v>
      </c>
      <c r="G63" s="130">
        <f t="shared" si="24"/>
        <v>-229715</v>
      </c>
      <c r="H63" s="130">
        <f t="shared" si="24"/>
        <v>-229715</v>
      </c>
      <c r="I63" s="130">
        <f t="shared" si="24"/>
        <v>-229715</v>
      </c>
      <c r="J63" s="130">
        <f t="shared" si="24"/>
        <v>-229715</v>
      </c>
      <c r="K63" s="130">
        <f t="shared" si="24"/>
        <v>-229715</v>
      </c>
      <c r="L63" s="130">
        <f t="shared" si="24"/>
        <v>-229715</v>
      </c>
      <c r="M63" s="130">
        <f t="shared" si="24"/>
        <v>-229715</v>
      </c>
      <c r="N63" s="130">
        <f t="shared" si="24"/>
        <v>-229715</v>
      </c>
      <c r="O63" s="130">
        <f t="shared" si="24"/>
        <v>-229715</v>
      </c>
      <c r="P63" s="130">
        <f t="shared" si="24"/>
        <v>-229715</v>
      </c>
      <c r="Q63" s="130">
        <f t="shared" si="24"/>
        <v>-229715</v>
      </c>
      <c r="R63" s="130">
        <f t="shared" si="24"/>
        <v>-229715</v>
      </c>
      <c r="S63" s="130">
        <f t="shared" si="24"/>
        <v>-229715</v>
      </c>
      <c r="T63" s="130">
        <f t="shared" si="24"/>
        <v>-229715</v>
      </c>
      <c r="U63" s="130">
        <f t="shared" si="24"/>
        <v>-229715</v>
      </c>
      <c r="V63" s="130">
        <f t="shared" si="24"/>
        <v>-229715</v>
      </c>
      <c r="W63" s="130">
        <f t="shared" si="24"/>
        <v>-229715</v>
      </c>
      <c r="X63" s="130">
        <f t="shared" si="24"/>
        <v>-229715</v>
      </c>
      <c r="Y63" s="130">
        <f t="shared" si="24"/>
        <v>-229715</v>
      </c>
      <c r="Z63" s="130">
        <f t="shared" si="24"/>
        <v>-229715</v>
      </c>
      <c r="AA63" s="130">
        <f t="shared" si="24"/>
        <v>-229715</v>
      </c>
      <c r="AB63" s="130">
        <f t="shared" si="24"/>
        <v>-229715</v>
      </c>
      <c r="AC63" s="130">
        <f t="shared" si="24"/>
        <v>-229715</v>
      </c>
      <c r="AD63" s="130">
        <f t="shared" si="24"/>
        <v>-229715</v>
      </c>
      <c r="AE63" s="130">
        <f t="shared" si="24"/>
        <v>-229715</v>
      </c>
      <c r="AF63" s="130">
        <f t="shared" si="24"/>
        <v>-229715</v>
      </c>
      <c r="AG63" s="130">
        <f t="shared" si="24"/>
        <v>-229715</v>
      </c>
      <c r="AH63" s="130">
        <f t="shared" si="24"/>
        <v>-229715</v>
      </c>
      <c r="AI63" s="130">
        <f t="shared" si="24"/>
        <v>-229715</v>
      </c>
      <c r="AJ63" s="130">
        <f t="shared" si="24"/>
        <v>-229715</v>
      </c>
      <c r="AK63" s="130">
        <f t="shared" si="24"/>
        <v>-229715</v>
      </c>
      <c r="AL63" s="130">
        <f t="shared" si="24"/>
        <v>-229715</v>
      </c>
      <c r="AM63" s="130">
        <f t="shared" si="24"/>
        <v>-229715</v>
      </c>
      <c r="AN63" s="130">
        <f t="shared" si="24"/>
        <v>-229715</v>
      </c>
      <c r="AO63" s="130">
        <f t="shared" si="24"/>
        <v>-229715</v>
      </c>
      <c r="AP63" s="130">
        <f t="shared" si="24"/>
        <v>-229715</v>
      </c>
      <c r="AQ63" s="130">
        <f t="shared" si="24"/>
        <v>-229715</v>
      </c>
      <c r="AR63" s="130">
        <f t="shared" si="24"/>
        <v>-229715</v>
      </c>
      <c r="AS63" s="130">
        <f t="shared" si="24"/>
        <v>-229715</v>
      </c>
      <c r="AT63" s="130">
        <f t="shared" si="24"/>
        <v>-229715</v>
      </c>
      <c r="AU63" s="130">
        <f t="shared" si="24"/>
        <v>-229715</v>
      </c>
      <c r="AV63" s="130">
        <f t="shared" si="24"/>
        <v>-229715</v>
      </c>
      <c r="AW63" s="130">
        <f t="shared" si="24"/>
        <v>-229715</v>
      </c>
      <c r="AX63" s="130">
        <f t="shared" si="24"/>
        <v>-229715</v>
      </c>
      <c r="AY63" s="130">
        <f t="shared" si="24"/>
        <v>-229715</v>
      </c>
      <c r="AZ63" s="130">
        <f t="shared" si="24"/>
        <v>-229715</v>
      </c>
      <c r="BA63" s="130">
        <f t="shared" si="24"/>
        <v>-229715</v>
      </c>
      <c r="BB63" s="130">
        <f t="shared" si="24"/>
        <v>-229715</v>
      </c>
      <c r="BC63" s="130">
        <f t="shared" si="24"/>
        <v>-229715</v>
      </c>
      <c r="BD63" s="130">
        <f t="shared" si="24"/>
        <v>-229715</v>
      </c>
      <c r="BE63" s="130">
        <f t="shared" si="24"/>
        <v>-229715</v>
      </c>
      <c r="BF63" s="130">
        <f t="shared" si="24"/>
        <v>-229715</v>
      </c>
      <c r="BG63" s="130">
        <f t="shared" si="24"/>
        <v>-229715</v>
      </c>
      <c r="BH63" s="130">
        <f t="shared" si="24"/>
        <v>-229715</v>
      </c>
      <c r="BI63" s="130">
        <f t="shared" si="24"/>
        <v>-229715</v>
      </c>
      <c r="BJ63" s="130">
        <f t="shared" si="24"/>
        <v>-229715</v>
      </c>
      <c r="BK63" s="130">
        <f t="shared" si="24"/>
        <v>-229715</v>
      </c>
      <c r="BL63" s="130">
        <f t="shared" si="24"/>
        <v>-229715</v>
      </c>
      <c r="BM63" s="130">
        <f t="shared" si="24"/>
        <v>-229715</v>
      </c>
      <c r="BN63" s="125"/>
    </row>
    <row r="64" outlineLevel="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row>
    <row r="65" outlineLevel="1">
      <c r="A65" s="125"/>
      <c r="B65" s="134" t="s">
        <v>146</v>
      </c>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row>
    <row r="66" outlineLevel="1">
      <c r="A66" s="125"/>
      <c r="B66" s="135" t="s">
        <v>147</v>
      </c>
      <c r="C66" s="125"/>
      <c r="D66" s="125"/>
      <c r="E66" s="125"/>
      <c r="F66" s="125">
        <f t="shared" ref="F66:BM66" si="25">E38-F38</f>
        <v>0</v>
      </c>
      <c r="G66" s="125">
        <f t="shared" si="25"/>
        <v>0</v>
      </c>
      <c r="H66" s="125">
        <f t="shared" si="25"/>
        <v>0</v>
      </c>
      <c r="I66" s="125">
        <f t="shared" si="25"/>
        <v>0</v>
      </c>
      <c r="J66" s="125">
        <f t="shared" si="25"/>
        <v>0</v>
      </c>
      <c r="K66" s="125">
        <f t="shared" si="25"/>
        <v>0</v>
      </c>
      <c r="L66" s="125">
        <f t="shared" si="25"/>
        <v>0</v>
      </c>
      <c r="M66" s="125">
        <f t="shared" si="25"/>
        <v>0</v>
      </c>
      <c r="N66" s="125">
        <f t="shared" si="25"/>
        <v>0</v>
      </c>
      <c r="O66" s="125">
        <f t="shared" si="25"/>
        <v>0</v>
      </c>
      <c r="P66" s="125">
        <f t="shared" si="25"/>
        <v>0</v>
      </c>
      <c r="Q66" s="125">
        <f t="shared" si="25"/>
        <v>0</v>
      </c>
      <c r="R66" s="125">
        <f t="shared" si="25"/>
        <v>0</v>
      </c>
      <c r="S66" s="125">
        <f t="shared" si="25"/>
        <v>0</v>
      </c>
      <c r="T66" s="125">
        <f t="shared" si="25"/>
        <v>0</v>
      </c>
      <c r="U66" s="125">
        <f t="shared" si="25"/>
        <v>0</v>
      </c>
      <c r="V66" s="125">
        <f t="shared" si="25"/>
        <v>0</v>
      </c>
      <c r="W66" s="125">
        <f t="shared" si="25"/>
        <v>0</v>
      </c>
      <c r="X66" s="125">
        <f t="shared" si="25"/>
        <v>0</v>
      </c>
      <c r="Y66" s="125">
        <f t="shared" si="25"/>
        <v>0</v>
      </c>
      <c r="Z66" s="125">
        <f t="shared" si="25"/>
        <v>0</v>
      </c>
      <c r="AA66" s="125">
        <f t="shared" si="25"/>
        <v>0</v>
      </c>
      <c r="AB66" s="125">
        <f t="shared" si="25"/>
        <v>0</v>
      </c>
      <c r="AC66" s="125">
        <f t="shared" si="25"/>
        <v>0</v>
      </c>
      <c r="AD66" s="125">
        <f t="shared" si="25"/>
        <v>0</v>
      </c>
      <c r="AE66" s="125">
        <f t="shared" si="25"/>
        <v>0</v>
      </c>
      <c r="AF66" s="125">
        <f t="shared" si="25"/>
        <v>0</v>
      </c>
      <c r="AG66" s="125">
        <f t="shared" si="25"/>
        <v>0</v>
      </c>
      <c r="AH66" s="125">
        <f t="shared" si="25"/>
        <v>0</v>
      </c>
      <c r="AI66" s="125">
        <f t="shared" si="25"/>
        <v>0</v>
      </c>
      <c r="AJ66" s="125">
        <f t="shared" si="25"/>
        <v>0</v>
      </c>
      <c r="AK66" s="125">
        <f t="shared" si="25"/>
        <v>0</v>
      </c>
      <c r="AL66" s="125">
        <f t="shared" si="25"/>
        <v>0</v>
      </c>
      <c r="AM66" s="125">
        <f t="shared" si="25"/>
        <v>0</v>
      </c>
      <c r="AN66" s="125">
        <f t="shared" si="25"/>
        <v>0</v>
      </c>
      <c r="AO66" s="125">
        <f t="shared" si="25"/>
        <v>0</v>
      </c>
      <c r="AP66" s="125">
        <f t="shared" si="25"/>
        <v>0</v>
      </c>
      <c r="AQ66" s="125">
        <f t="shared" si="25"/>
        <v>0</v>
      </c>
      <c r="AR66" s="125">
        <f t="shared" si="25"/>
        <v>0</v>
      </c>
      <c r="AS66" s="125">
        <f t="shared" si="25"/>
        <v>0</v>
      </c>
      <c r="AT66" s="125">
        <f t="shared" si="25"/>
        <v>0</v>
      </c>
      <c r="AU66" s="125">
        <f t="shared" si="25"/>
        <v>0</v>
      </c>
      <c r="AV66" s="125">
        <f t="shared" si="25"/>
        <v>0</v>
      </c>
      <c r="AW66" s="125">
        <f t="shared" si="25"/>
        <v>0</v>
      </c>
      <c r="AX66" s="125">
        <f t="shared" si="25"/>
        <v>0</v>
      </c>
      <c r="AY66" s="125">
        <f t="shared" si="25"/>
        <v>0</v>
      </c>
      <c r="AZ66" s="125">
        <f t="shared" si="25"/>
        <v>0</v>
      </c>
      <c r="BA66" s="125">
        <f t="shared" si="25"/>
        <v>0</v>
      </c>
      <c r="BB66" s="125">
        <f t="shared" si="25"/>
        <v>0</v>
      </c>
      <c r="BC66" s="125">
        <f t="shared" si="25"/>
        <v>0</v>
      </c>
      <c r="BD66" s="125">
        <f t="shared" si="25"/>
        <v>0</v>
      </c>
      <c r="BE66" s="125">
        <f t="shared" si="25"/>
        <v>0</v>
      </c>
      <c r="BF66" s="125">
        <f t="shared" si="25"/>
        <v>0</v>
      </c>
      <c r="BG66" s="125">
        <f t="shared" si="25"/>
        <v>0</v>
      </c>
      <c r="BH66" s="125">
        <f t="shared" si="25"/>
        <v>0</v>
      </c>
      <c r="BI66" s="125">
        <f t="shared" si="25"/>
        <v>0</v>
      </c>
      <c r="BJ66" s="125">
        <f t="shared" si="25"/>
        <v>0</v>
      </c>
      <c r="BK66" s="125">
        <f t="shared" si="25"/>
        <v>0</v>
      </c>
      <c r="BL66" s="125">
        <f t="shared" si="25"/>
        <v>0</v>
      </c>
      <c r="BM66" s="125">
        <f t="shared" si="25"/>
        <v>0</v>
      </c>
      <c r="BN66" s="125"/>
    </row>
    <row r="67" outlineLevel="1">
      <c r="A67" s="125"/>
      <c r="B67" s="128" t="s">
        <v>148</v>
      </c>
      <c r="C67" s="129"/>
      <c r="D67" s="129"/>
      <c r="E67" s="129"/>
      <c r="F67" s="130">
        <f t="shared" ref="F67:BM67" si="26">F66</f>
        <v>0</v>
      </c>
      <c r="G67" s="130">
        <f t="shared" si="26"/>
        <v>0</v>
      </c>
      <c r="H67" s="130">
        <f t="shared" si="26"/>
        <v>0</v>
      </c>
      <c r="I67" s="130">
        <f t="shared" si="26"/>
        <v>0</v>
      </c>
      <c r="J67" s="130">
        <f t="shared" si="26"/>
        <v>0</v>
      </c>
      <c r="K67" s="130">
        <f t="shared" si="26"/>
        <v>0</v>
      </c>
      <c r="L67" s="130">
        <f t="shared" si="26"/>
        <v>0</v>
      </c>
      <c r="M67" s="130">
        <f t="shared" si="26"/>
        <v>0</v>
      </c>
      <c r="N67" s="130">
        <f t="shared" si="26"/>
        <v>0</v>
      </c>
      <c r="O67" s="130">
        <f t="shared" si="26"/>
        <v>0</v>
      </c>
      <c r="P67" s="130">
        <f t="shared" si="26"/>
        <v>0</v>
      </c>
      <c r="Q67" s="130">
        <f t="shared" si="26"/>
        <v>0</v>
      </c>
      <c r="R67" s="130">
        <f t="shared" si="26"/>
        <v>0</v>
      </c>
      <c r="S67" s="130">
        <f t="shared" si="26"/>
        <v>0</v>
      </c>
      <c r="T67" s="130">
        <f t="shared" si="26"/>
        <v>0</v>
      </c>
      <c r="U67" s="130">
        <f t="shared" si="26"/>
        <v>0</v>
      </c>
      <c r="V67" s="130">
        <f t="shared" si="26"/>
        <v>0</v>
      </c>
      <c r="W67" s="130">
        <f t="shared" si="26"/>
        <v>0</v>
      </c>
      <c r="X67" s="130">
        <f t="shared" si="26"/>
        <v>0</v>
      </c>
      <c r="Y67" s="130">
        <f t="shared" si="26"/>
        <v>0</v>
      </c>
      <c r="Z67" s="130">
        <f t="shared" si="26"/>
        <v>0</v>
      </c>
      <c r="AA67" s="130">
        <f t="shared" si="26"/>
        <v>0</v>
      </c>
      <c r="AB67" s="130">
        <f t="shared" si="26"/>
        <v>0</v>
      </c>
      <c r="AC67" s="130">
        <f t="shared" si="26"/>
        <v>0</v>
      </c>
      <c r="AD67" s="130">
        <f t="shared" si="26"/>
        <v>0</v>
      </c>
      <c r="AE67" s="130">
        <f t="shared" si="26"/>
        <v>0</v>
      </c>
      <c r="AF67" s="130">
        <f t="shared" si="26"/>
        <v>0</v>
      </c>
      <c r="AG67" s="130">
        <f t="shared" si="26"/>
        <v>0</v>
      </c>
      <c r="AH67" s="130">
        <f t="shared" si="26"/>
        <v>0</v>
      </c>
      <c r="AI67" s="130">
        <f t="shared" si="26"/>
        <v>0</v>
      </c>
      <c r="AJ67" s="130">
        <f t="shared" si="26"/>
        <v>0</v>
      </c>
      <c r="AK67" s="130">
        <f t="shared" si="26"/>
        <v>0</v>
      </c>
      <c r="AL67" s="130">
        <f t="shared" si="26"/>
        <v>0</v>
      </c>
      <c r="AM67" s="130">
        <f t="shared" si="26"/>
        <v>0</v>
      </c>
      <c r="AN67" s="130">
        <f t="shared" si="26"/>
        <v>0</v>
      </c>
      <c r="AO67" s="130">
        <f t="shared" si="26"/>
        <v>0</v>
      </c>
      <c r="AP67" s="130">
        <f t="shared" si="26"/>
        <v>0</v>
      </c>
      <c r="AQ67" s="130">
        <f t="shared" si="26"/>
        <v>0</v>
      </c>
      <c r="AR67" s="130">
        <f t="shared" si="26"/>
        <v>0</v>
      </c>
      <c r="AS67" s="130">
        <f t="shared" si="26"/>
        <v>0</v>
      </c>
      <c r="AT67" s="130">
        <f t="shared" si="26"/>
        <v>0</v>
      </c>
      <c r="AU67" s="130">
        <f t="shared" si="26"/>
        <v>0</v>
      </c>
      <c r="AV67" s="130">
        <f t="shared" si="26"/>
        <v>0</v>
      </c>
      <c r="AW67" s="130">
        <f t="shared" si="26"/>
        <v>0</v>
      </c>
      <c r="AX67" s="130">
        <f t="shared" si="26"/>
        <v>0</v>
      </c>
      <c r="AY67" s="130">
        <f t="shared" si="26"/>
        <v>0</v>
      </c>
      <c r="AZ67" s="130">
        <f t="shared" si="26"/>
        <v>0</v>
      </c>
      <c r="BA67" s="130">
        <f t="shared" si="26"/>
        <v>0</v>
      </c>
      <c r="BB67" s="130">
        <f t="shared" si="26"/>
        <v>0</v>
      </c>
      <c r="BC67" s="130">
        <f t="shared" si="26"/>
        <v>0</v>
      </c>
      <c r="BD67" s="130">
        <f t="shared" si="26"/>
        <v>0</v>
      </c>
      <c r="BE67" s="130">
        <f t="shared" si="26"/>
        <v>0</v>
      </c>
      <c r="BF67" s="130">
        <f t="shared" si="26"/>
        <v>0</v>
      </c>
      <c r="BG67" s="130">
        <f t="shared" si="26"/>
        <v>0</v>
      </c>
      <c r="BH67" s="130">
        <f t="shared" si="26"/>
        <v>0</v>
      </c>
      <c r="BI67" s="130">
        <f t="shared" si="26"/>
        <v>0</v>
      </c>
      <c r="BJ67" s="130">
        <f t="shared" si="26"/>
        <v>0</v>
      </c>
      <c r="BK67" s="130">
        <f t="shared" si="26"/>
        <v>0</v>
      </c>
      <c r="BL67" s="130">
        <f t="shared" si="26"/>
        <v>0</v>
      </c>
      <c r="BM67" s="130">
        <f t="shared" si="26"/>
        <v>0</v>
      </c>
      <c r="BN67" s="125"/>
    </row>
    <row r="68" outlineLevel="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5"/>
      <c r="BK68" s="125"/>
      <c r="BL68" s="125"/>
      <c r="BM68" s="125"/>
      <c r="BN68" s="125"/>
    </row>
    <row r="69" outlineLevel="1">
      <c r="A69" s="125"/>
      <c r="B69" s="134" t="s">
        <v>149</v>
      </c>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row>
    <row r="70" outlineLevel="1">
      <c r="A70" s="125"/>
      <c r="B70" s="135" t="s">
        <v>150</v>
      </c>
      <c r="C70" s="125"/>
      <c r="D70" s="125"/>
      <c r="E70" s="125"/>
      <c r="F70" s="125">
        <f t="shared" ref="F70:BM70" si="27">F48-E48</f>
        <v>0</v>
      </c>
      <c r="G70" s="125">
        <f t="shared" si="27"/>
        <v>0</v>
      </c>
      <c r="H70" s="125">
        <f t="shared" si="27"/>
        <v>0</v>
      </c>
      <c r="I70" s="125">
        <f t="shared" si="27"/>
        <v>0</v>
      </c>
      <c r="J70" s="125">
        <f t="shared" si="27"/>
        <v>0</v>
      </c>
      <c r="K70" s="125">
        <f t="shared" si="27"/>
        <v>0</v>
      </c>
      <c r="L70" s="125">
        <f t="shared" si="27"/>
        <v>0</v>
      </c>
      <c r="M70" s="125">
        <f t="shared" si="27"/>
        <v>0</v>
      </c>
      <c r="N70" s="125">
        <f t="shared" si="27"/>
        <v>0</v>
      </c>
      <c r="O70" s="125">
        <f t="shared" si="27"/>
        <v>0</v>
      </c>
      <c r="P70" s="125">
        <f t="shared" si="27"/>
        <v>0</v>
      </c>
      <c r="Q70" s="125">
        <f t="shared" si="27"/>
        <v>0</v>
      </c>
      <c r="R70" s="125">
        <f t="shared" si="27"/>
        <v>0</v>
      </c>
      <c r="S70" s="125">
        <f t="shared" si="27"/>
        <v>0</v>
      </c>
      <c r="T70" s="125">
        <f t="shared" si="27"/>
        <v>0</v>
      </c>
      <c r="U70" s="125">
        <f t="shared" si="27"/>
        <v>0</v>
      </c>
      <c r="V70" s="125">
        <f t="shared" si="27"/>
        <v>0</v>
      </c>
      <c r="W70" s="125">
        <f t="shared" si="27"/>
        <v>0</v>
      </c>
      <c r="X70" s="125">
        <f t="shared" si="27"/>
        <v>0</v>
      </c>
      <c r="Y70" s="125">
        <f t="shared" si="27"/>
        <v>0</v>
      </c>
      <c r="Z70" s="125">
        <f t="shared" si="27"/>
        <v>0</v>
      </c>
      <c r="AA70" s="125">
        <f t="shared" si="27"/>
        <v>0</v>
      </c>
      <c r="AB70" s="125">
        <f t="shared" si="27"/>
        <v>0</v>
      </c>
      <c r="AC70" s="125">
        <f t="shared" si="27"/>
        <v>0</v>
      </c>
      <c r="AD70" s="125">
        <f t="shared" si="27"/>
        <v>0</v>
      </c>
      <c r="AE70" s="125">
        <f t="shared" si="27"/>
        <v>0</v>
      </c>
      <c r="AF70" s="125">
        <f t="shared" si="27"/>
        <v>0</v>
      </c>
      <c r="AG70" s="125">
        <f t="shared" si="27"/>
        <v>0</v>
      </c>
      <c r="AH70" s="125">
        <f t="shared" si="27"/>
        <v>0</v>
      </c>
      <c r="AI70" s="125">
        <f t="shared" si="27"/>
        <v>0</v>
      </c>
      <c r="AJ70" s="125">
        <f t="shared" si="27"/>
        <v>0</v>
      </c>
      <c r="AK70" s="125">
        <f t="shared" si="27"/>
        <v>0</v>
      </c>
      <c r="AL70" s="125">
        <f t="shared" si="27"/>
        <v>0</v>
      </c>
      <c r="AM70" s="125">
        <f t="shared" si="27"/>
        <v>0</v>
      </c>
      <c r="AN70" s="125">
        <f t="shared" si="27"/>
        <v>0</v>
      </c>
      <c r="AO70" s="125">
        <f t="shared" si="27"/>
        <v>0</v>
      </c>
      <c r="AP70" s="125">
        <f t="shared" si="27"/>
        <v>0</v>
      </c>
      <c r="AQ70" s="125">
        <f t="shared" si="27"/>
        <v>0</v>
      </c>
      <c r="AR70" s="125">
        <f t="shared" si="27"/>
        <v>0</v>
      </c>
      <c r="AS70" s="125">
        <f t="shared" si="27"/>
        <v>0</v>
      </c>
      <c r="AT70" s="125">
        <f t="shared" si="27"/>
        <v>0</v>
      </c>
      <c r="AU70" s="125">
        <f t="shared" si="27"/>
        <v>0</v>
      </c>
      <c r="AV70" s="125">
        <f t="shared" si="27"/>
        <v>0</v>
      </c>
      <c r="AW70" s="125">
        <f t="shared" si="27"/>
        <v>0</v>
      </c>
      <c r="AX70" s="125">
        <f t="shared" si="27"/>
        <v>0</v>
      </c>
      <c r="AY70" s="125">
        <f t="shared" si="27"/>
        <v>0</v>
      </c>
      <c r="AZ70" s="125">
        <f t="shared" si="27"/>
        <v>0</v>
      </c>
      <c r="BA70" s="125">
        <f t="shared" si="27"/>
        <v>0</v>
      </c>
      <c r="BB70" s="125">
        <f t="shared" si="27"/>
        <v>0</v>
      </c>
      <c r="BC70" s="125">
        <f t="shared" si="27"/>
        <v>0</v>
      </c>
      <c r="BD70" s="125">
        <f t="shared" si="27"/>
        <v>0</v>
      </c>
      <c r="BE70" s="125">
        <f t="shared" si="27"/>
        <v>0</v>
      </c>
      <c r="BF70" s="125">
        <f t="shared" si="27"/>
        <v>0</v>
      </c>
      <c r="BG70" s="125">
        <f t="shared" si="27"/>
        <v>0</v>
      </c>
      <c r="BH70" s="125">
        <f t="shared" si="27"/>
        <v>0</v>
      </c>
      <c r="BI70" s="125">
        <f t="shared" si="27"/>
        <v>0</v>
      </c>
      <c r="BJ70" s="125">
        <f t="shared" si="27"/>
        <v>0</v>
      </c>
      <c r="BK70" s="125">
        <f t="shared" si="27"/>
        <v>0</v>
      </c>
      <c r="BL70" s="125">
        <f t="shared" si="27"/>
        <v>0</v>
      </c>
      <c r="BM70" s="125">
        <f t="shared" si="27"/>
        <v>0</v>
      </c>
      <c r="BN70" s="125"/>
    </row>
    <row r="71" outlineLevel="1">
      <c r="A71" s="125"/>
      <c r="B71" s="128" t="s">
        <v>151</v>
      </c>
      <c r="C71" s="129"/>
      <c r="D71" s="129"/>
      <c r="E71" s="129"/>
      <c r="F71" s="130">
        <f t="shared" ref="F71:BM71" si="28">F70</f>
        <v>0</v>
      </c>
      <c r="G71" s="130">
        <f t="shared" si="28"/>
        <v>0</v>
      </c>
      <c r="H71" s="130">
        <f t="shared" si="28"/>
        <v>0</v>
      </c>
      <c r="I71" s="130">
        <f t="shared" si="28"/>
        <v>0</v>
      </c>
      <c r="J71" s="130">
        <f t="shared" si="28"/>
        <v>0</v>
      </c>
      <c r="K71" s="130">
        <f t="shared" si="28"/>
        <v>0</v>
      </c>
      <c r="L71" s="130">
        <f t="shared" si="28"/>
        <v>0</v>
      </c>
      <c r="M71" s="130">
        <f t="shared" si="28"/>
        <v>0</v>
      </c>
      <c r="N71" s="130">
        <f t="shared" si="28"/>
        <v>0</v>
      </c>
      <c r="O71" s="130">
        <f t="shared" si="28"/>
        <v>0</v>
      </c>
      <c r="P71" s="130">
        <f t="shared" si="28"/>
        <v>0</v>
      </c>
      <c r="Q71" s="130">
        <f t="shared" si="28"/>
        <v>0</v>
      </c>
      <c r="R71" s="130">
        <f t="shared" si="28"/>
        <v>0</v>
      </c>
      <c r="S71" s="130">
        <f t="shared" si="28"/>
        <v>0</v>
      </c>
      <c r="T71" s="130">
        <f t="shared" si="28"/>
        <v>0</v>
      </c>
      <c r="U71" s="130">
        <f t="shared" si="28"/>
        <v>0</v>
      </c>
      <c r="V71" s="130">
        <f t="shared" si="28"/>
        <v>0</v>
      </c>
      <c r="W71" s="130">
        <f t="shared" si="28"/>
        <v>0</v>
      </c>
      <c r="X71" s="130">
        <f t="shared" si="28"/>
        <v>0</v>
      </c>
      <c r="Y71" s="130">
        <f t="shared" si="28"/>
        <v>0</v>
      </c>
      <c r="Z71" s="130">
        <f t="shared" si="28"/>
        <v>0</v>
      </c>
      <c r="AA71" s="130">
        <f t="shared" si="28"/>
        <v>0</v>
      </c>
      <c r="AB71" s="130">
        <f t="shared" si="28"/>
        <v>0</v>
      </c>
      <c r="AC71" s="130">
        <f t="shared" si="28"/>
        <v>0</v>
      </c>
      <c r="AD71" s="130">
        <f t="shared" si="28"/>
        <v>0</v>
      </c>
      <c r="AE71" s="130">
        <f t="shared" si="28"/>
        <v>0</v>
      </c>
      <c r="AF71" s="130">
        <f t="shared" si="28"/>
        <v>0</v>
      </c>
      <c r="AG71" s="130">
        <f t="shared" si="28"/>
        <v>0</v>
      </c>
      <c r="AH71" s="130">
        <f t="shared" si="28"/>
        <v>0</v>
      </c>
      <c r="AI71" s="130">
        <f t="shared" si="28"/>
        <v>0</v>
      </c>
      <c r="AJ71" s="130">
        <f t="shared" si="28"/>
        <v>0</v>
      </c>
      <c r="AK71" s="130">
        <f t="shared" si="28"/>
        <v>0</v>
      </c>
      <c r="AL71" s="130">
        <f t="shared" si="28"/>
        <v>0</v>
      </c>
      <c r="AM71" s="130">
        <f t="shared" si="28"/>
        <v>0</v>
      </c>
      <c r="AN71" s="130">
        <f t="shared" si="28"/>
        <v>0</v>
      </c>
      <c r="AO71" s="130">
        <f t="shared" si="28"/>
        <v>0</v>
      </c>
      <c r="AP71" s="130">
        <f t="shared" si="28"/>
        <v>0</v>
      </c>
      <c r="AQ71" s="130">
        <f t="shared" si="28"/>
        <v>0</v>
      </c>
      <c r="AR71" s="130">
        <f t="shared" si="28"/>
        <v>0</v>
      </c>
      <c r="AS71" s="130">
        <f t="shared" si="28"/>
        <v>0</v>
      </c>
      <c r="AT71" s="130">
        <f t="shared" si="28"/>
        <v>0</v>
      </c>
      <c r="AU71" s="130">
        <f t="shared" si="28"/>
        <v>0</v>
      </c>
      <c r="AV71" s="130">
        <f t="shared" si="28"/>
        <v>0</v>
      </c>
      <c r="AW71" s="130">
        <f t="shared" si="28"/>
        <v>0</v>
      </c>
      <c r="AX71" s="130">
        <f t="shared" si="28"/>
        <v>0</v>
      </c>
      <c r="AY71" s="130">
        <f t="shared" si="28"/>
        <v>0</v>
      </c>
      <c r="AZ71" s="130">
        <f t="shared" si="28"/>
        <v>0</v>
      </c>
      <c r="BA71" s="130">
        <f t="shared" si="28"/>
        <v>0</v>
      </c>
      <c r="BB71" s="130">
        <f t="shared" si="28"/>
        <v>0</v>
      </c>
      <c r="BC71" s="130">
        <f t="shared" si="28"/>
        <v>0</v>
      </c>
      <c r="BD71" s="130">
        <f t="shared" si="28"/>
        <v>0</v>
      </c>
      <c r="BE71" s="130">
        <f t="shared" si="28"/>
        <v>0</v>
      </c>
      <c r="BF71" s="130">
        <f t="shared" si="28"/>
        <v>0</v>
      </c>
      <c r="BG71" s="130">
        <f t="shared" si="28"/>
        <v>0</v>
      </c>
      <c r="BH71" s="130">
        <f t="shared" si="28"/>
        <v>0</v>
      </c>
      <c r="BI71" s="130">
        <f t="shared" si="28"/>
        <v>0</v>
      </c>
      <c r="BJ71" s="130">
        <f t="shared" si="28"/>
        <v>0</v>
      </c>
      <c r="BK71" s="130">
        <f t="shared" si="28"/>
        <v>0</v>
      </c>
      <c r="BL71" s="130">
        <f t="shared" si="28"/>
        <v>0</v>
      </c>
      <c r="BM71" s="130">
        <f t="shared" si="28"/>
        <v>0</v>
      </c>
      <c r="BN71" s="125"/>
    </row>
    <row r="72" outlineLevel="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5"/>
      <c r="BK72" s="125"/>
      <c r="BL72" s="125"/>
      <c r="BM72" s="125"/>
      <c r="BN72" s="125"/>
    </row>
    <row r="73" outlineLevel="1">
      <c r="A73" s="125"/>
      <c r="B73" s="134" t="s">
        <v>152</v>
      </c>
      <c r="C73" s="125"/>
      <c r="D73" s="125"/>
      <c r="E73" s="125"/>
      <c r="F73" s="137">
        <f>Assumptions!C95</f>
        <v>500000</v>
      </c>
      <c r="G73" s="137">
        <f t="shared" ref="G73:BM73" si="29">F77</f>
        <v>284142.5</v>
      </c>
      <c r="H73" s="137">
        <f t="shared" si="29"/>
        <v>54427.5</v>
      </c>
      <c r="I73" s="137">
        <f t="shared" si="29"/>
        <v>-175287.5</v>
      </c>
      <c r="J73" s="137">
        <f t="shared" si="29"/>
        <v>-405002.5</v>
      </c>
      <c r="K73" s="137">
        <f t="shared" si="29"/>
        <v>-634717.5</v>
      </c>
      <c r="L73" s="137">
        <f t="shared" si="29"/>
        <v>-864432.5</v>
      </c>
      <c r="M73" s="137">
        <f t="shared" si="29"/>
        <v>-1094147.5</v>
      </c>
      <c r="N73" s="137">
        <f t="shared" si="29"/>
        <v>-1323862.5</v>
      </c>
      <c r="O73" s="137">
        <f t="shared" si="29"/>
        <v>-1553577.5</v>
      </c>
      <c r="P73" s="137">
        <f t="shared" si="29"/>
        <v>-1783292.5</v>
      </c>
      <c r="Q73" s="137">
        <f t="shared" si="29"/>
        <v>-2013007.5</v>
      </c>
      <c r="R73" s="137">
        <f t="shared" si="29"/>
        <v>-2242722.5</v>
      </c>
      <c r="S73" s="137">
        <f t="shared" si="29"/>
        <v>-2472437.5</v>
      </c>
      <c r="T73" s="137">
        <f t="shared" si="29"/>
        <v>-2702152.5</v>
      </c>
      <c r="U73" s="137">
        <f t="shared" si="29"/>
        <v>-2931867.5</v>
      </c>
      <c r="V73" s="137">
        <f t="shared" si="29"/>
        <v>-3161582.5</v>
      </c>
      <c r="W73" s="137">
        <f t="shared" si="29"/>
        <v>-3391297.5</v>
      </c>
      <c r="X73" s="137">
        <f t="shared" si="29"/>
        <v>-3621012.5</v>
      </c>
      <c r="Y73" s="137">
        <f t="shared" si="29"/>
        <v>-3850727.5</v>
      </c>
      <c r="Z73" s="137">
        <f t="shared" si="29"/>
        <v>-4080442.5</v>
      </c>
      <c r="AA73" s="137">
        <f t="shared" si="29"/>
        <v>-4310157.5</v>
      </c>
      <c r="AB73" s="137">
        <f t="shared" si="29"/>
        <v>-4539872.5</v>
      </c>
      <c r="AC73" s="137">
        <f t="shared" si="29"/>
        <v>-4769587.5</v>
      </c>
      <c r="AD73" s="137">
        <f t="shared" si="29"/>
        <v>-4999302.5</v>
      </c>
      <c r="AE73" s="137">
        <f t="shared" si="29"/>
        <v>-5229017.5</v>
      </c>
      <c r="AF73" s="137">
        <f t="shared" si="29"/>
        <v>-5458732.5</v>
      </c>
      <c r="AG73" s="137">
        <f t="shared" si="29"/>
        <v>-5688447.5</v>
      </c>
      <c r="AH73" s="137">
        <f t="shared" si="29"/>
        <v>-5918162.5</v>
      </c>
      <c r="AI73" s="137">
        <f t="shared" si="29"/>
        <v>-6147877.5</v>
      </c>
      <c r="AJ73" s="137">
        <f t="shared" si="29"/>
        <v>-6377592.5</v>
      </c>
      <c r="AK73" s="137">
        <f t="shared" si="29"/>
        <v>-6607307.5</v>
      </c>
      <c r="AL73" s="137">
        <f t="shared" si="29"/>
        <v>-6837022.5</v>
      </c>
      <c r="AM73" s="137">
        <f t="shared" si="29"/>
        <v>-7066737.5</v>
      </c>
      <c r="AN73" s="137">
        <f t="shared" si="29"/>
        <v>-7296452.5</v>
      </c>
      <c r="AO73" s="137">
        <f t="shared" si="29"/>
        <v>-7526167.5</v>
      </c>
      <c r="AP73" s="137">
        <f t="shared" si="29"/>
        <v>-7755882.5</v>
      </c>
      <c r="AQ73" s="137">
        <f t="shared" si="29"/>
        <v>-7985597.5</v>
      </c>
      <c r="AR73" s="137">
        <f t="shared" si="29"/>
        <v>-8215312.5</v>
      </c>
      <c r="AS73" s="137">
        <f t="shared" si="29"/>
        <v>-8445027.5</v>
      </c>
      <c r="AT73" s="137">
        <f t="shared" si="29"/>
        <v>-8674742.5</v>
      </c>
      <c r="AU73" s="137">
        <f t="shared" si="29"/>
        <v>-8904457.5</v>
      </c>
      <c r="AV73" s="137">
        <f t="shared" si="29"/>
        <v>-9134172.5</v>
      </c>
      <c r="AW73" s="137">
        <f t="shared" si="29"/>
        <v>-9363887.5</v>
      </c>
      <c r="AX73" s="137">
        <f t="shared" si="29"/>
        <v>-9593602.5</v>
      </c>
      <c r="AY73" s="137">
        <f t="shared" si="29"/>
        <v>-9823317.5</v>
      </c>
      <c r="AZ73" s="137">
        <f t="shared" si="29"/>
        <v>-10053032.5</v>
      </c>
      <c r="BA73" s="137">
        <f t="shared" si="29"/>
        <v>-10282747.5</v>
      </c>
      <c r="BB73" s="137">
        <f t="shared" si="29"/>
        <v>-10512462.5</v>
      </c>
      <c r="BC73" s="137">
        <f t="shared" si="29"/>
        <v>-10742177.5</v>
      </c>
      <c r="BD73" s="137">
        <f t="shared" si="29"/>
        <v>-10971892.5</v>
      </c>
      <c r="BE73" s="137">
        <f t="shared" si="29"/>
        <v>-11201607.5</v>
      </c>
      <c r="BF73" s="137">
        <f t="shared" si="29"/>
        <v>-11431322.5</v>
      </c>
      <c r="BG73" s="137">
        <f t="shared" si="29"/>
        <v>-11661037.5</v>
      </c>
      <c r="BH73" s="137">
        <f t="shared" si="29"/>
        <v>-11890752.5</v>
      </c>
      <c r="BI73" s="137">
        <f t="shared" si="29"/>
        <v>-12120467.5</v>
      </c>
      <c r="BJ73" s="137">
        <f t="shared" si="29"/>
        <v>-12350182.5</v>
      </c>
      <c r="BK73" s="137">
        <f t="shared" si="29"/>
        <v>-12579897.5</v>
      </c>
      <c r="BL73" s="137">
        <f t="shared" si="29"/>
        <v>-12809612.5</v>
      </c>
      <c r="BM73" s="137">
        <f t="shared" si="29"/>
        <v>-13039327.5</v>
      </c>
      <c r="BN73" s="125"/>
    </row>
    <row r="74" outlineLevel="1">
      <c r="A74" s="125"/>
      <c r="B74" s="137"/>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row>
    <row r="75" outlineLevel="1">
      <c r="A75" s="125"/>
      <c r="B75" s="134" t="s">
        <v>153</v>
      </c>
      <c r="C75" s="125"/>
      <c r="D75" s="125"/>
      <c r="E75" s="125"/>
      <c r="F75" s="137">
        <f t="shared" ref="F75:BM75" si="30">F71+F67+F63</f>
        <v>-215857.5</v>
      </c>
      <c r="G75" s="137">
        <f t="shared" si="30"/>
        <v>-229715</v>
      </c>
      <c r="H75" s="137">
        <f t="shared" si="30"/>
        <v>-229715</v>
      </c>
      <c r="I75" s="137">
        <f t="shared" si="30"/>
        <v>-229715</v>
      </c>
      <c r="J75" s="137">
        <f t="shared" si="30"/>
        <v>-229715</v>
      </c>
      <c r="K75" s="137">
        <f t="shared" si="30"/>
        <v>-229715</v>
      </c>
      <c r="L75" s="137">
        <f t="shared" si="30"/>
        <v>-229715</v>
      </c>
      <c r="M75" s="137">
        <f t="shared" si="30"/>
        <v>-229715</v>
      </c>
      <c r="N75" s="137">
        <f t="shared" si="30"/>
        <v>-229715</v>
      </c>
      <c r="O75" s="137">
        <f t="shared" si="30"/>
        <v>-229715</v>
      </c>
      <c r="P75" s="137">
        <f t="shared" si="30"/>
        <v>-229715</v>
      </c>
      <c r="Q75" s="137">
        <f t="shared" si="30"/>
        <v>-229715</v>
      </c>
      <c r="R75" s="137">
        <f t="shared" si="30"/>
        <v>-229715</v>
      </c>
      <c r="S75" s="137">
        <f t="shared" si="30"/>
        <v>-229715</v>
      </c>
      <c r="T75" s="137">
        <f t="shared" si="30"/>
        <v>-229715</v>
      </c>
      <c r="U75" s="137">
        <f t="shared" si="30"/>
        <v>-229715</v>
      </c>
      <c r="V75" s="137">
        <f t="shared" si="30"/>
        <v>-229715</v>
      </c>
      <c r="W75" s="137">
        <f t="shared" si="30"/>
        <v>-229715</v>
      </c>
      <c r="X75" s="137">
        <f t="shared" si="30"/>
        <v>-229715</v>
      </c>
      <c r="Y75" s="137">
        <f t="shared" si="30"/>
        <v>-229715</v>
      </c>
      <c r="Z75" s="137">
        <f t="shared" si="30"/>
        <v>-229715</v>
      </c>
      <c r="AA75" s="137">
        <f t="shared" si="30"/>
        <v>-229715</v>
      </c>
      <c r="AB75" s="137">
        <f t="shared" si="30"/>
        <v>-229715</v>
      </c>
      <c r="AC75" s="137">
        <f t="shared" si="30"/>
        <v>-229715</v>
      </c>
      <c r="AD75" s="137">
        <f t="shared" si="30"/>
        <v>-229715</v>
      </c>
      <c r="AE75" s="137">
        <f t="shared" si="30"/>
        <v>-229715</v>
      </c>
      <c r="AF75" s="137">
        <f t="shared" si="30"/>
        <v>-229715</v>
      </c>
      <c r="AG75" s="137">
        <f t="shared" si="30"/>
        <v>-229715</v>
      </c>
      <c r="AH75" s="137">
        <f t="shared" si="30"/>
        <v>-229715</v>
      </c>
      <c r="AI75" s="137">
        <f t="shared" si="30"/>
        <v>-229715</v>
      </c>
      <c r="AJ75" s="137">
        <f t="shared" si="30"/>
        <v>-229715</v>
      </c>
      <c r="AK75" s="137">
        <f t="shared" si="30"/>
        <v>-229715</v>
      </c>
      <c r="AL75" s="137">
        <f t="shared" si="30"/>
        <v>-229715</v>
      </c>
      <c r="AM75" s="137">
        <f t="shared" si="30"/>
        <v>-229715</v>
      </c>
      <c r="AN75" s="137">
        <f t="shared" si="30"/>
        <v>-229715</v>
      </c>
      <c r="AO75" s="137">
        <f t="shared" si="30"/>
        <v>-229715</v>
      </c>
      <c r="AP75" s="137">
        <f t="shared" si="30"/>
        <v>-229715</v>
      </c>
      <c r="AQ75" s="137">
        <f t="shared" si="30"/>
        <v>-229715</v>
      </c>
      <c r="AR75" s="137">
        <f t="shared" si="30"/>
        <v>-229715</v>
      </c>
      <c r="AS75" s="137">
        <f t="shared" si="30"/>
        <v>-229715</v>
      </c>
      <c r="AT75" s="137">
        <f t="shared" si="30"/>
        <v>-229715</v>
      </c>
      <c r="AU75" s="137">
        <f t="shared" si="30"/>
        <v>-229715</v>
      </c>
      <c r="AV75" s="137">
        <f t="shared" si="30"/>
        <v>-229715</v>
      </c>
      <c r="AW75" s="137">
        <f t="shared" si="30"/>
        <v>-229715</v>
      </c>
      <c r="AX75" s="137">
        <f t="shared" si="30"/>
        <v>-229715</v>
      </c>
      <c r="AY75" s="137">
        <f t="shared" si="30"/>
        <v>-229715</v>
      </c>
      <c r="AZ75" s="137">
        <f t="shared" si="30"/>
        <v>-229715</v>
      </c>
      <c r="BA75" s="137">
        <f t="shared" si="30"/>
        <v>-229715</v>
      </c>
      <c r="BB75" s="137">
        <f t="shared" si="30"/>
        <v>-229715</v>
      </c>
      <c r="BC75" s="137">
        <f t="shared" si="30"/>
        <v>-229715</v>
      </c>
      <c r="BD75" s="137">
        <f t="shared" si="30"/>
        <v>-229715</v>
      </c>
      <c r="BE75" s="137">
        <f t="shared" si="30"/>
        <v>-229715</v>
      </c>
      <c r="BF75" s="137">
        <f t="shared" si="30"/>
        <v>-229715</v>
      </c>
      <c r="BG75" s="137">
        <f t="shared" si="30"/>
        <v>-229715</v>
      </c>
      <c r="BH75" s="137">
        <f t="shared" si="30"/>
        <v>-229715</v>
      </c>
      <c r="BI75" s="137">
        <f t="shared" si="30"/>
        <v>-229715</v>
      </c>
      <c r="BJ75" s="137">
        <f t="shared" si="30"/>
        <v>-229715</v>
      </c>
      <c r="BK75" s="137">
        <f t="shared" si="30"/>
        <v>-229715</v>
      </c>
      <c r="BL75" s="137">
        <f t="shared" si="30"/>
        <v>-229715</v>
      </c>
      <c r="BM75" s="137">
        <f t="shared" si="30"/>
        <v>-229715</v>
      </c>
      <c r="BN75" s="125"/>
    </row>
    <row r="76" outlineLevel="1">
      <c r="A76" s="125"/>
      <c r="B76" s="137"/>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row>
    <row r="77" outlineLevel="1">
      <c r="A77" s="125"/>
      <c r="B77" s="134" t="s">
        <v>154</v>
      </c>
      <c r="C77" s="125"/>
      <c r="D77" s="125"/>
      <c r="E77" s="137"/>
      <c r="F77" s="137">
        <f t="shared" ref="F77:BM77" si="31">F73+F75</f>
        <v>284142.5</v>
      </c>
      <c r="G77" s="137">
        <f t="shared" si="31"/>
        <v>54427.5</v>
      </c>
      <c r="H77" s="137">
        <f t="shared" si="31"/>
        <v>-175287.5</v>
      </c>
      <c r="I77" s="137">
        <f t="shared" si="31"/>
        <v>-405002.5</v>
      </c>
      <c r="J77" s="137">
        <f t="shared" si="31"/>
        <v>-634717.5</v>
      </c>
      <c r="K77" s="137">
        <f t="shared" si="31"/>
        <v>-864432.5</v>
      </c>
      <c r="L77" s="137">
        <f t="shared" si="31"/>
        <v>-1094147.5</v>
      </c>
      <c r="M77" s="137">
        <f t="shared" si="31"/>
        <v>-1323862.5</v>
      </c>
      <c r="N77" s="137">
        <f t="shared" si="31"/>
        <v>-1553577.5</v>
      </c>
      <c r="O77" s="137">
        <f t="shared" si="31"/>
        <v>-1783292.5</v>
      </c>
      <c r="P77" s="137">
        <f t="shared" si="31"/>
        <v>-2013007.5</v>
      </c>
      <c r="Q77" s="137">
        <f t="shared" si="31"/>
        <v>-2242722.5</v>
      </c>
      <c r="R77" s="137">
        <f t="shared" si="31"/>
        <v>-2472437.5</v>
      </c>
      <c r="S77" s="137">
        <f t="shared" si="31"/>
        <v>-2702152.5</v>
      </c>
      <c r="T77" s="137">
        <f t="shared" si="31"/>
        <v>-2931867.5</v>
      </c>
      <c r="U77" s="137">
        <f t="shared" si="31"/>
        <v>-3161582.5</v>
      </c>
      <c r="V77" s="137">
        <f t="shared" si="31"/>
        <v>-3391297.5</v>
      </c>
      <c r="W77" s="137">
        <f t="shared" si="31"/>
        <v>-3621012.5</v>
      </c>
      <c r="X77" s="137">
        <f t="shared" si="31"/>
        <v>-3850727.5</v>
      </c>
      <c r="Y77" s="137">
        <f t="shared" si="31"/>
        <v>-4080442.5</v>
      </c>
      <c r="Z77" s="137">
        <f t="shared" si="31"/>
        <v>-4310157.5</v>
      </c>
      <c r="AA77" s="137">
        <f t="shared" si="31"/>
        <v>-4539872.5</v>
      </c>
      <c r="AB77" s="137">
        <f t="shared" si="31"/>
        <v>-4769587.5</v>
      </c>
      <c r="AC77" s="137">
        <f t="shared" si="31"/>
        <v>-4999302.5</v>
      </c>
      <c r="AD77" s="137">
        <f t="shared" si="31"/>
        <v>-5229017.5</v>
      </c>
      <c r="AE77" s="137">
        <f t="shared" si="31"/>
        <v>-5458732.5</v>
      </c>
      <c r="AF77" s="137">
        <f t="shared" si="31"/>
        <v>-5688447.5</v>
      </c>
      <c r="AG77" s="137">
        <f t="shared" si="31"/>
        <v>-5918162.5</v>
      </c>
      <c r="AH77" s="137">
        <f t="shared" si="31"/>
        <v>-6147877.5</v>
      </c>
      <c r="AI77" s="137">
        <f t="shared" si="31"/>
        <v>-6377592.5</v>
      </c>
      <c r="AJ77" s="137">
        <f t="shared" si="31"/>
        <v>-6607307.5</v>
      </c>
      <c r="AK77" s="137">
        <f t="shared" si="31"/>
        <v>-6837022.5</v>
      </c>
      <c r="AL77" s="137">
        <f t="shared" si="31"/>
        <v>-7066737.5</v>
      </c>
      <c r="AM77" s="137">
        <f t="shared" si="31"/>
        <v>-7296452.5</v>
      </c>
      <c r="AN77" s="137">
        <f t="shared" si="31"/>
        <v>-7526167.5</v>
      </c>
      <c r="AO77" s="137">
        <f t="shared" si="31"/>
        <v>-7755882.5</v>
      </c>
      <c r="AP77" s="137">
        <f t="shared" si="31"/>
        <v>-7985597.5</v>
      </c>
      <c r="AQ77" s="137">
        <f t="shared" si="31"/>
        <v>-8215312.5</v>
      </c>
      <c r="AR77" s="137">
        <f t="shared" si="31"/>
        <v>-8445027.5</v>
      </c>
      <c r="AS77" s="137">
        <f t="shared" si="31"/>
        <v>-8674742.5</v>
      </c>
      <c r="AT77" s="137">
        <f t="shared" si="31"/>
        <v>-8904457.5</v>
      </c>
      <c r="AU77" s="137">
        <f t="shared" si="31"/>
        <v>-9134172.5</v>
      </c>
      <c r="AV77" s="137">
        <f t="shared" si="31"/>
        <v>-9363887.5</v>
      </c>
      <c r="AW77" s="137">
        <f t="shared" si="31"/>
        <v>-9593602.5</v>
      </c>
      <c r="AX77" s="137">
        <f t="shared" si="31"/>
        <v>-9823317.5</v>
      </c>
      <c r="AY77" s="137">
        <f t="shared" si="31"/>
        <v>-10053032.5</v>
      </c>
      <c r="AZ77" s="137">
        <f t="shared" si="31"/>
        <v>-10282747.5</v>
      </c>
      <c r="BA77" s="137">
        <f t="shared" si="31"/>
        <v>-10512462.5</v>
      </c>
      <c r="BB77" s="137">
        <f t="shared" si="31"/>
        <v>-10742177.5</v>
      </c>
      <c r="BC77" s="137">
        <f t="shared" si="31"/>
        <v>-10971892.5</v>
      </c>
      <c r="BD77" s="137">
        <f t="shared" si="31"/>
        <v>-11201607.5</v>
      </c>
      <c r="BE77" s="137">
        <f t="shared" si="31"/>
        <v>-11431322.5</v>
      </c>
      <c r="BF77" s="137">
        <f t="shared" si="31"/>
        <v>-11661037.5</v>
      </c>
      <c r="BG77" s="137">
        <f t="shared" si="31"/>
        <v>-11890752.5</v>
      </c>
      <c r="BH77" s="137">
        <f t="shared" si="31"/>
        <v>-12120467.5</v>
      </c>
      <c r="BI77" s="137">
        <f t="shared" si="31"/>
        <v>-12350182.5</v>
      </c>
      <c r="BJ77" s="137">
        <f t="shared" si="31"/>
        <v>-12579897.5</v>
      </c>
      <c r="BK77" s="137">
        <f t="shared" si="31"/>
        <v>-12809612.5</v>
      </c>
      <c r="BL77" s="137">
        <f t="shared" si="31"/>
        <v>-13039327.5</v>
      </c>
      <c r="BM77" s="137">
        <f t="shared" si="31"/>
        <v>-13269042.5</v>
      </c>
      <c r="BN77" s="125"/>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9" t="s">
        <v>109</v>
      </c>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sheetData>
  <conditionalFormatting sqref="F23:BM23 F25:BM25 F27:BM27 F34:BM34 F36:BM36">
    <cfRule type="cellIs" dxfId="0" priority="1" operator="lessThan">
      <formula>0</formula>
    </cfRule>
  </conditionalFormatting>
  <conditionalFormatting sqref="F77:BM77">
    <cfRule type="cellIs" dxfId="1" priority="2" operator="lessThan">
      <formula>0</formula>
    </cfRule>
  </conditionalFormatting>
  <drawing r:id="rId1"/>
</worksheet>
</file>