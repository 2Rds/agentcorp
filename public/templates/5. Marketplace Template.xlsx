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<sst xmlns="http://schemas.openxmlformats.org/spreadsheetml/2006/main" count="233" uniqueCount="194">
  <si>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</si>
  <si>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</si>
  <si>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</si>
  <si>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</si>
  <si>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</si>
  <si>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</si>
  <si>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</si>
  <si>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</si>
  <si>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</si>
  <si>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</si>
  <si>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</si>
  <si>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</si>
  <si>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</si>
  <si>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</si>
  <si>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</si>
  <si>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Web Traffic</t>
  </si>
  <si>
    <t>Conversion Rate</t>
  </si>
  <si>
    <t>New Customers</t>
  </si>
  <si>
    <t>Paid Advertising</t>
  </si>
  <si>
    <t>Budget per Month</t>
  </si>
  <si>
    <t>Average CPC</t>
  </si>
  <si>
    <t>Affiliates</t>
  </si>
  <si>
    <t>Number of Affiliates</t>
  </si>
  <si>
    <t>New Monthly Leads per Affiliate</t>
  </si>
  <si>
    <t>Conferences</t>
  </si>
  <si>
    <t>Conferences Atteneded</t>
  </si>
  <si>
    <t>New Leads per Conference</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</si>
  <si>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</si>
  <si>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</si>
  <si>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</si>
  <si>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</si>
  <si>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</si>
  <si>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</si>
  <si>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</si>
  <si>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</si>
  <si>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</si>
  <si>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</si>
  <si>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</si>
  <si>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</si>
  <si>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</si>
  <si>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</si>
  <si>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</si>
  <si>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</si>
  <si>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</si>
  <si>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</si>
  <si>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</si>
  <si>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</si>
  <si>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</si>
  <si>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Marketplace:</t>
  </si>
  <si>
    <t>Marketplace</t>
  </si>
  <si>
    <t>% of Total New Customers</t>
  </si>
  <si>
    <t>Returning Customer Rate</t>
  </si>
  <si>
    <t>Returning Customers</t>
  </si>
  <si>
    <t>Total Customers</t>
  </si>
  <si>
    <t>Previous Months Customers</t>
  </si>
  <si>
    <t>Average Monthly Transactions per Customer</t>
  </si>
  <si>
    <t>Total Transactions</t>
  </si>
  <si>
    <t>Average Transaction Size</t>
  </si>
  <si>
    <t>Take Rate</t>
  </si>
  <si>
    <t>Revenue</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</si>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</sst>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_);_(&quot;$&quot;* \(#,##0\);_(&quot;$&quot;* &quot;-&quot;??_);_(@_)"/>
    <numFmt numFmtId="166" formatCode="0 &quot;Months&quot;"/>
    <numFmt numFmtId="167" formatCode="&quot;$&quot;#,##0.00"/>
    <numFmt numFmtId="168" formatCode="&quot;$&quot;#,##0"/>
    <numFmt numFmtId="169" formatCode="m/d/yyyy"/>
    <numFmt numFmtId="170" formatCode="_(&quot;$&quot;* #,##0.00_);_(&quot;$&quot;* \(#,##0.00\);_(&quot;$&quot;* &quot;-&quot;??_);_(@_)"/>
  </numFmts>
  <fonts count="35">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1B202B"/>
      <name val="Montserrat"/>
    </font>
    <font>
      <b/>
      <sz val="11.0"/>
      <color theme="1"/>
      <name val="Montserrat"/>
    </font>
    <font>
      <b/>
      <i/>
      <color theme="1"/>
      <name val="Montserrat"/>
    </font>
    <font>
      <i/>
      <color theme="1"/>
      <name val="Montserrat"/>
    </font>
    <font>
      <color theme="1"/>
      <name val="Arial"/>
      <scheme val="minor"/>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0">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medium">
        <color rgb="FFFFFFFF"/>
      </left>
      <right style="medium">
        <color rgb="FFFFFFFF"/>
      </right>
      <top style="medium">
        <color rgb="FFFFFFFF"/>
      </top>
    </border>
    <border>
      <left style="medium">
        <color rgb="FFFFFFFF"/>
      </left>
      <right style="medium">
        <color rgb="FFFFFFFF"/>
      </right>
      <top style="medium">
        <color rgb="FFFFFFFF"/>
      </top>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readingOrder="0"/>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0" fillId="5" fontId="17" numFmtId="14" xfId="0" applyAlignment="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9" fillId="6" fontId="18" numFmtId="0" xfId="0" applyAlignment="1" applyBorder="1" applyFill="1" applyFont="1">
      <alignment readingOrder="0" vertical="center"/>
    </xf>
    <xf borderId="9" fillId="6" fontId="13" numFmtId="0" xfId="0" applyAlignment="1" applyBorder="1" applyFont="1">
      <alignment vertical="center"/>
    </xf>
    <xf borderId="9" fillId="6" fontId="13" numFmtId="0" xfId="0" applyAlignment="1" applyBorder="1" applyFont="1">
      <alignment horizontal="right" vertical="center"/>
    </xf>
    <xf borderId="10" fillId="7" fontId="13" numFmtId="0" xfId="0" applyAlignment="1" applyBorder="1" applyFill="1" applyFont="1">
      <alignment readingOrder="0" vertical="center"/>
    </xf>
    <xf borderId="11"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0" fillId="0" fontId="13" numFmtId="0" xfId="0" applyAlignment="1" applyFont="1">
      <alignment vertical="center"/>
    </xf>
    <xf borderId="12" fillId="5" fontId="20" numFmtId="164" xfId="0" applyAlignment="1" applyBorder="1" applyFont="1" applyNumberFormat="1">
      <alignment horizontal="right" readingOrder="0" vertical="center"/>
    </xf>
    <xf borderId="0" fillId="0" fontId="20" numFmtId="164" xfId="0" applyAlignment="1" applyFont="1" applyNumberFormat="1">
      <alignment horizontal="right" readingOrder="0" vertical="center"/>
    </xf>
    <xf borderId="0" fillId="3" fontId="13" numFmtId="3" xfId="0" applyAlignment="1" applyFont="1" applyNumberFormat="1">
      <alignment horizontal="right" vertical="center"/>
    </xf>
    <xf borderId="13" fillId="0" fontId="13" numFmtId="0" xfId="0" applyAlignment="1" applyBorder="1" applyFont="1">
      <alignment vertical="center"/>
    </xf>
    <xf borderId="14" fillId="0" fontId="13" numFmtId="0" xfId="0" applyAlignment="1" applyBorder="1" applyFont="1">
      <alignment vertical="center"/>
    </xf>
    <xf borderId="15" fillId="5" fontId="17" numFmtId="10" xfId="0" applyAlignment="1" applyBorder="1" applyFont="1" applyNumberFormat="1">
      <alignment horizontal="right" readingOrder="0" vertical="center"/>
    </xf>
    <xf borderId="13" fillId="0" fontId="13" numFmtId="0" xfId="0" applyAlignment="1" applyBorder="1" applyFont="1">
      <alignment vertical="center"/>
    </xf>
    <xf borderId="14" fillId="0" fontId="13" numFmtId="10" xfId="0" applyAlignment="1" applyBorder="1" applyFont="1" applyNumberFormat="1">
      <alignment horizontal="right" vertical="center"/>
    </xf>
    <xf borderId="0" fillId="3" fontId="17" numFmtId="164" xfId="0" applyAlignment="1" applyFont="1" applyNumberFormat="1">
      <alignment horizontal="right" readingOrder="0" vertical="center"/>
    </xf>
    <xf borderId="0" fillId="0" fontId="17" numFmtId="164" xfId="0" applyAlignment="1" applyFont="1" applyNumberFormat="1">
      <alignment horizontal="center" readingOrder="0" vertical="center"/>
    </xf>
    <xf borderId="0" fillId="0" fontId="17" numFmtId="164" xfId="0" applyAlignment="1" applyFont="1" applyNumberFormat="1">
      <alignment horizontal="right"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6" fillId="5" fontId="20" numFmtId="165" xfId="0" applyAlignment="1" applyBorder="1" applyFont="1" applyNumberFormat="1">
      <alignment horizontal="right" readingOrder="0" vertical="center"/>
    </xf>
    <xf borderId="0" fillId="0" fontId="20" numFmtId="165" xfId="0" applyAlignment="1" applyFont="1" applyNumberFormat="1">
      <alignment horizontal="right" readingOrder="0" vertical="center"/>
    </xf>
    <xf borderId="17" fillId="0" fontId="21" numFmtId="165" xfId="0" applyAlignment="1" applyBorder="1" applyFont="1" applyNumberFormat="1">
      <alignment horizontal="right" readingOrder="0" vertical="center"/>
    </xf>
    <xf borderId="18" fillId="0" fontId="21" numFmtId="165" xfId="0" applyAlignment="1" applyBorder="1" applyFont="1" applyNumberFormat="1">
      <alignment horizontal="right" readingOrder="0" vertical="center"/>
    </xf>
    <xf borderId="0" fillId="0" fontId="21" numFmtId="165" xfId="0" applyAlignment="1" applyFont="1" applyNumberFormat="1">
      <alignment horizontal="right" readingOrder="0" vertical="center"/>
    </xf>
    <xf borderId="14" fillId="0" fontId="13" numFmtId="0" xfId="0" applyAlignment="1" applyBorder="1" applyFont="1">
      <alignment readingOrder="0" vertical="center"/>
    </xf>
    <xf borderId="19"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3" fontId="17" numFmtId="164" xfId="0" applyAlignment="1" applyFont="1" applyNumberFormat="1">
      <alignment horizontal="right" vertical="center"/>
    </xf>
    <xf borderId="0" fillId="0" fontId="17" numFmtId="164" xfId="0" applyAlignment="1" applyFont="1" applyNumberFormat="1">
      <alignment horizontal="center" vertical="center"/>
    </xf>
    <xf borderId="0" fillId="0" fontId="17" numFmtId="164" xfId="0" applyAlignment="1" applyFont="1" applyNumberFormat="1">
      <alignment horizontal="right" vertical="center"/>
    </xf>
    <xf borderId="16" fillId="5" fontId="20" numFmtId="164" xfId="0" applyAlignment="1" applyBorder="1" applyFont="1" applyNumberFormat="1">
      <alignment horizontal="right" readingOrder="0" vertical="center"/>
    </xf>
    <xf borderId="16"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0" fillId="0" fontId="3" numFmtId="164" xfId="0" applyAlignment="1" applyFont="1" applyNumberFormat="1">
      <alignment vertical="center"/>
    </xf>
    <xf borderId="14" fillId="0" fontId="3" numFmtId="0" xfId="0" applyAlignment="1" applyBorder="1" applyFont="1">
      <alignment vertical="center"/>
    </xf>
    <xf borderId="19" fillId="5" fontId="17" numFmtId="10" xfId="0" applyAlignment="1" applyBorder="1" applyFont="1" applyNumberFormat="1">
      <alignment horizontal="right" vertical="center"/>
    </xf>
    <xf borderId="13" fillId="0" fontId="3" numFmtId="0" xfId="0" applyAlignment="1" applyBorder="1" applyFont="1">
      <alignment vertical="center"/>
    </xf>
    <xf borderId="0" fillId="0" fontId="22" numFmtId="0" xfId="0" applyAlignment="1" applyFont="1">
      <alignment vertical="center"/>
    </xf>
    <xf borderId="16"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6"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13" fillId="0" fontId="25" numFmtId="0" xfId="0" applyAlignment="1" applyBorder="1" applyFont="1">
      <alignment readingOrder="0" vertical="center"/>
    </xf>
    <xf borderId="13" fillId="0" fontId="13" numFmtId="1" xfId="0" applyAlignment="1" applyBorder="1" applyFont="1" applyNumberFormat="1">
      <alignment horizontal="right" vertical="center"/>
    </xf>
    <xf borderId="0" fillId="0" fontId="7" numFmtId="0" xfId="0" applyAlignment="1" applyFont="1">
      <alignment vertical="center"/>
    </xf>
    <xf borderId="0" fillId="0" fontId="26" numFmtId="0" xfId="0" applyAlignment="1" applyFont="1">
      <alignment readingOrder="0" vertical="center"/>
    </xf>
    <xf borderId="0" fillId="0" fontId="27" numFmtId="0" xfId="0" applyAlignment="1" applyFont="1">
      <alignment horizontal="center" vertical="center"/>
    </xf>
    <xf borderId="0" fillId="0" fontId="27" numFmtId="1" xfId="0" applyAlignment="1" applyFont="1" applyNumberFormat="1">
      <alignment horizontal="right" vertical="center"/>
    </xf>
    <xf borderId="0" fillId="0" fontId="18" numFmtId="0" xfId="0" applyAlignment="1" applyFont="1">
      <alignment readingOrder="0" vertical="center"/>
    </xf>
    <xf borderId="0" fillId="0" fontId="17" numFmtId="3" xfId="0" applyAlignment="1" applyFont="1" applyNumberFormat="1">
      <alignment readingOrder="0" vertical="center"/>
    </xf>
    <xf borderId="0" fillId="0" fontId="3" numFmtId="165" xfId="0" applyAlignment="1" applyFont="1" applyNumberFormat="1">
      <alignment vertical="center"/>
    </xf>
    <xf borderId="0" fillId="0" fontId="13" numFmtId="3" xfId="0" applyAlignment="1" applyFont="1" applyNumberFormat="1">
      <alignment readingOrder="0" vertical="center"/>
    </xf>
    <xf borderId="0" fillId="5" fontId="17" numFmtId="10" xfId="0" applyAlignment="1" applyFont="1" applyNumberFormat="1">
      <alignment horizontal="right" readingOrder="0" vertical="center"/>
    </xf>
    <xf borderId="20" fillId="0" fontId="13" numFmtId="1" xfId="0" applyAlignment="1" applyBorder="1" applyFont="1" applyNumberFormat="1">
      <alignment horizontal="right" vertical="center"/>
    </xf>
    <xf borderId="0" fillId="0" fontId="13" numFmtId="1" xfId="0" applyAlignment="1" applyFont="1" applyNumberFormat="1">
      <alignment horizontal="right" vertical="center"/>
    </xf>
    <xf borderId="16" fillId="0" fontId="13" numFmtId="1" xfId="0" applyAlignment="1" applyBorder="1" applyFont="1" applyNumberFormat="1">
      <alignment horizontal="right" vertical="center"/>
    </xf>
    <xf borderId="0" fillId="0" fontId="3" numFmtId="0" xfId="0" applyAlignment="1" applyFont="1">
      <alignment readingOrder="0" vertical="center"/>
    </xf>
    <xf borderId="16" fillId="5" fontId="17" numFmtId="3" xfId="0" applyAlignment="1" applyBorder="1" applyFont="1" applyNumberFormat="1">
      <alignment horizontal="right" readingOrder="0" vertical="center"/>
    </xf>
    <xf borderId="16" fillId="5" fontId="17" numFmtId="167" xfId="0" applyAlignment="1" applyBorder="1" applyFont="1" applyNumberFormat="1">
      <alignment horizontal="right" vertical="center"/>
    </xf>
    <xf borderId="0" fillId="0" fontId="13" numFmtId="167" xfId="0" applyAlignment="1" applyFont="1" applyNumberFormat="1">
      <alignment horizontal="right" vertical="center"/>
    </xf>
    <xf borderId="21" fillId="5" fontId="17" numFmtId="10" xfId="0" applyAlignment="1" applyBorder="1" applyFont="1" applyNumberFormat="1">
      <alignment horizontal="right" readingOrder="0" vertical="center"/>
    </xf>
    <xf borderId="14" fillId="0" fontId="13" numFmtId="10" xfId="0" applyAlignment="1" applyBorder="1" applyFont="1" applyNumberFormat="1">
      <alignment horizontal="right" readingOrder="0" vertical="center"/>
    </xf>
    <xf borderId="0" fillId="0" fontId="22" numFmtId="3" xfId="0" applyAlignment="1" applyFont="1" applyNumberFormat="1">
      <alignment vertical="center"/>
    </xf>
    <xf borderId="0" fillId="3" fontId="17" numFmtId="168" xfId="0" applyAlignment="1" applyFont="1" applyNumberFormat="1">
      <alignment horizontal="right" vertical="center"/>
    </xf>
    <xf borderId="22" fillId="7" fontId="13" numFmtId="0" xfId="0" applyAlignment="1" applyBorder="1" applyFont="1">
      <alignment readingOrder="0" vertical="center"/>
    </xf>
    <xf borderId="0" fillId="0" fontId="28" numFmtId="0" xfId="0" applyAlignment="1" applyFont="1">
      <alignment readingOrder="0" vertical="center"/>
    </xf>
    <xf borderId="0" fillId="0" fontId="28" numFmtId="0" xfId="0" applyAlignment="1" applyFont="1">
      <alignment horizontal="center" readingOrder="0" vertical="center"/>
    </xf>
    <xf borderId="0" fillId="0" fontId="13" numFmtId="165" xfId="0" applyAlignment="1" applyFont="1" applyNumberFormat="1">
      <alignment horizontal="right" vertical="center"/>
    </xf>
    <xf borderId="16" fillId="5" fontId="20" numFmtId="165" xfId="0" applyAlignment="1" applyBorder="1" applyFont="1" applyNumberFormat="1">
      <alignment horizontal="left" vertical="center"/>
    </xf>
    <xf borderId="16" fillId="5" fontId="20" numFmtId="165" xfId="0" applyAlignment="1" applyBorder="1" applyFont="1" applyNumberFormat="1">
      <alignment horizontal="center" readingOrder="0" vertical="center"/>
    </xf>
    <xf borderId="16" fillId="5" fontId="20" numFmtId="9" xfId="0" applyAlignment="1" applyBorder="1" applyFont="1" applyNumberFormat="1">
      <alignment horizontal="center" readingOrder="0" vertical="center"/>
    </xf>
    <xf borderId="23" fillId="5" fontId="20" numFmtId="169" xfId="0" applyAlignment="1" applyBorder="1" applyFont="1" applyNumberFormat="1">
      <alignment horizontal="center" readingOrder="0" vertical="center"/>
    </xf>
    <xf borderId="16" fillId="5" fontId="20" numFmtId="170" xfId="0" applyAlignment="1" applyBorder="1" applyFont="1" applyNumberFormat="1">
      <alignment horizontal="left" vertical="center"/>
    </xf>
    <xf borderId="16" fillId="5" fontId="20" numFmtId="10" xfId="0" applyAlignment="1" applyBorder="1" applyFont="1" applyNumberFormat="1">
      <alignment horizontal="center" readingOrder="0" vertical="center"/>
    </xf>
    <xf borderId="16" fillId="5" fontId="20" numFmtId="170" xfId="0" applyAlignment="1" applyBorder="1" applyFont="1" applyNumberFormat="1">
      <alignment horizontal="left" readingOrder="0" vertical="center"/>
    </xf>
    <xf borderId="21" fillId="5" fontId="20" numFmtId="170" xfId="0" applyAlignment="1" applyBorder="1" applyFont="1" applyNumberFormat="1">
      <alignment horizontal="left" readingOrder="0" vertical="center"/>
    </xf>
    <xf borderId="21" fillId="5" fontId="20" numFmtId="10" xfId="0" applyAlignment="1" applyBorder="1" applyFont="1" applyNumberFormat="1">
      <alignment horizontal="center" readingOrder="0" vertical="center"/>
    </xf>
    <xf borderId="13"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70" xfId="0" applyAlignment="1" applyFont="1" applyNumberFormat="1">
      <alignment vertical="bottom"/>
    </xf>
    <xf borderId="0" fillId="3" fontId="17" numFmtId="165" xfId="0" applyAlignment="1" applyFont="1" applyNumberFormat="1">
      <alignment horizontal="right" vertical="bottom"/>
    </xf>
    <xf borderId="23" fillId="5" fontId="20" numFmtId="165" xfId="0" applyAlignment="1" applyBorder="1" applyFont="1" applyNumberFormat="1">
      <alignment horizontal="center" readingOrder="0" vertical="center"/>
    </xf>
    <xf borderId="0" fillId="0" fontId="20" numFmtId="165" xfId="0" applyAlignment="1" applyFont="1" applyNumberFormat="1">
      <alignment horizontal="center" readingOrder="0" vertical="center"/>
    </xf>
    <xf borderId="21" fillId="5" fontId="20" numFmtId="165" xfId="0" applyAlignment="1" applyBorder="1" applyFont="1" applyNumberFormat="1">
      <alignment horizontal="left" readingOrder="0" vertical="center"/>
    </xf>
    <xf borderId="24" fillId="5" fontId="20" numFmtId="165" xfId="0" applyAlignment="1" applyBorder="1" applyFont="1" applyNumberFormat="1">
      <alignment horizontal="center" readingOrder="0" vertical="center"/>
    </xf>
    <xf borderId="13" fillId="0" fontId="13" numFmtId="165" xfId="0" applyAlignment="1" applyBorder="1" applyFont="1" applyNumberFormat="1">
      <alignment vertical="center"/>
    </xf>
    <xf borderId="0" fillId="0" fontId="3" numFmtId="165" xfId="0" applyFont="1" applyNumberFormat="1"/>
    <xf borderId="0" fillId="0" fontId="22" numFmtId="165" xfId="0" applyFont="1" applyNumberFormat="1"/>
    <xf borderId="0" fillId="3" fontId="17" numFmtId="165" xfId="0" applyAlignment="1" applyFont="1" applyNumberFormat="1">
      <alignment horizontal="right"/>
    </xf>
    <xf borderId="0" fillId="0" fontId="17" numFmtId="170" xfId="0" applyAlignment="1" applyFont="1" applyNumberFormat="1">
      <alignment readingOrder="0" vertical="center"/>
    </xf>
    <xf borderId="0" fillId="0" fontId="28" numFmtId="165" xfId="0" applyAlignment="1" applyFont="1" applyNumberFormat="1">
      <alignment horizontal="center" readingOrder="0" vertical="center"/>
    </xf>
    <xf borderId="0" fillId="0" fontId="22" numFmtId="170" xfId="0" applyFont="1" applyNumberFormat="1"/>
    <xf borderId="0" fillId="0" fontId="13" numFmtId="170" xfId="0" applyAlignment="1" applyFont="1" applyNumberFormat="1">
      <alignment vertical="center"/>
    </xf>
    <xf borderId="25" fillId="0" fontId="17" numFmtId="0" xfId="0" applyAlignment="1" applyBorder="1" applyFont="1">
      <alignment readingOrder="0" vertical="center"/>
    </xf>
    <xf borderId="25" fillId="0" fontId="13" numFmtId="0" xfId="0" applyAlignment="1" applyBorder="1" applyFont="1">
      <alignment vertical="center"/>
    </xf>
    <xf borderId="0" fillId="0" fontId="13" numFmtId="170" xfId="0" applyAlignment="1" applyFont="1" applyNumberFormat="1">
      <alignment horizontal="right" vertical="center"/>
    </xf>
    <xf borderId="0" fillId="5" fontId="20" numFmtId="165" xfId="0" applyAlignment="1" applyFont="1" applyNumberFormat="1">
      <alignment horizontal="center" readingOrder="0" vertical="center"/>
    </xf>
    <xf borderId="20"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0" fillId="0" fontId="28" numFmtId="170" xfId="0" applyAlignment="1" applyFont="1" applyNumberFormat="1">
      <alignment readingOrder="0" vertical="center"/>
    </xf>
    <xf borderId="0" fillId="0" fontId="28" numFmtId="0" xfId="0" applyAlignment="1" applyFont="1">
      <alignment horizontal="center" readingOrder="0" vertical="center"/>
    </xf>
    <xf borderId="16" fillId="5" fontId="20" numFmtId="169" xfId="0" applyAlignment="1" applyBorder="1" applyFont="1" applyNumberFormat="1">
      <alignment horizontal="center" readingOrder="0" vertical="center"/>
    </xf>
    <xf borderId="23" fillId="5" fontId="20" numFmtId="3" xfId="0" applyAlignment="1" applyBorder="1" applyFont="1" applyNumberFormat="1">
      <alignment horizontal="center" readingOrder="0" vertical="center"/>
    </xf>
    <xf borderId="16" fillId="5" fontId="20" numFmtId="3" xfId="0" applyAlignment="1" applyBorder="1" applyFont="1" applyNumberFormat="1">
      <alignment horizontal="center" readingOrder="0" vertical="center"/>
    </xf>
    <xf borderId="26" fillId="0" fontId="29" numFmtId="0" xfId="0" applyAlignment="1" applyBorder="1" applyFont="1">
      <alignment readingOrder="0" vertical="center"/>
    </xf>
    <xf borderId="26" fillId="0" fontId="13" numFmtId="0" xfId="0" applyAlignment="1" applyBorder="1" applyFont="1">
      <alignment vertical="center"/>
    </xf>
    <xf borderId="0" fillId="0" fontId="13" numFmtId="170" xfId="0" applyAlignment="1" applyFont="1" applyNumberFormat="1">
      <alignment readingOrder="0" vertical="center"/>
    </xf>
    <xf borderId="0" fillId="0" fontId="30" numFmtId="0" xfId="0" applyAlignment="1" applyFont="1">
      <alignment vertical="center"/>
    </xf>
    <xf borderId="16" fillId="5" fontId="20" numFmtId="169" xfId="0" applyAlignment="1" applyBorder="1" applyFont="1" applyNumberFormat="1">
      <alignment horizontal="right" readingOrder="0" vertical="center"/>
    </xf>
    <xf borderId="0" fillId="0" fontId="30" numFmtId="165" xfId="0" applyAlignment="1" applyFont="1" applyNumberFormat="1">
      <alignment vertical="center"/>
    </xf>
    <xf borderId="0" fillId="0" fontId="17" numFmtId="165" xfId="0" applyAlignment="1" applyFont="1" applyNumberForma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9" fillId="6" fontId="18" numFmtId="0" xfId="0" applyAlignment="1" applyBorder="1" applyFont="1">
      <alignment readingOrder="0"/>
    </xf>
    <xf borderId="9" fillId="6" fontId="13" numFmtId="0" xfId="0" applyBorder="1" applyFont="1"/>
    <xf borderId="0" fillId="0" fontId="13" numFmtId="165" xfId="0" applyFont="1" applyNumberFormat="1"/>
    <xf borderId="27" fillId="0" fontId="17" numFmtId="165" xfId="0" applyAlignment="1" applyBorder="1" applyFont="1" applyNumberFormat="1">
      <alignment readingOrder="0"/>
    </xf>
    <xf borderId="27" fillId="0" fontId="17" numFmtId="165" xfId="0" applyBorder="1" applyFont="1" applyNumberFormat="1"/>
    <xf borderId="28" fillId="0" fontId="17" numFmtId="165" xfId="0" applyAlignment="1" applyBorder="1" applyFont="1" applyNumberFormat="1">
      <alignment readingOrder="0"/>
    </xf>
    <xf borderId="28" fillId="0" fontId="13" numFmtId="165" xfId="0" applyBorder="1" applyFont="1" applyNumberFormat="1"/>
    <xf borderId="28" fillId="0" fontId="17" numFmtId="165" xfId="0" applyBorder="1" applyFont="1" applyNumberFormat="1"/>
    <xf borderId="0" fillId="0" fontId="13" numFmtId="10" xfId="0" applyFont="1" applyNumberFormat="1"/>
    <xf borderId="0" fillId="0" fontId="29" numFmtId="10" xfId="0" applyAlignment="1" applyFont="1" applyNumberFormat="1">
      <alignment readingOrder="0"/>
    </xf>
    <xf borderId="0" fillId="0" fontId="29"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7" fillId="0" fontId="13" numFmtId="165" xfId="0" applyBorder="1" applyFont="1" applyNumberFormat="1"/>
    <xf borderId="0" fillId="0" fontId="17" numFmtId="165" xfId="0" applyFont="1" applyNumberFormat="1"/>
    <xf borderId="27" fillId="0" fontId="13" numFmtId="165" xfId="0" applyAlignment="1" applyBorder="1" applyFont="1" applyNumberFormat="1">
      <alignment readingOrder="0"/>
    </xf>
    <xf borderId="0" fillId="0" fontId="29" numFmtId="0" xfId="0" applyAlignment="1" applyFont="1">
      <alignment readingOrder="0"/>
    </xf>
    <xf borderId="0" fillId="0" fontId="31" numFmtId="165" xfId="0" applyAlignment="1" applyFont="1" applyNumberFormat="1">
      <alignment readingOrder="0"/>
    </xf>
    <xf borderId="29" fillId="0" fontId="29" numFmtId="165" xfId="0" applyAlignment="1" applyBorder="1" applyFont="1" applyNumberFormat="1">
      <alignment readingOrder="0"/>
    </xf>
    <xf borderId="29" fillId="0" fontId="29" numFmtId="165" xfId="0" applyBorder="1" applyFont="1" applyNumberFormat="1"/>
    <xf borderId="29" fillId="0" fontId="13" numFmtId="165" xfId="0" applyBorder="1" applyFont="1" applyNumberFormat="1"/>
    <xf borderId="29" fillId="0" fontId="31" numFmtId="165" xfId="0" applyAlignment="1" applyBorder="1" applyFont="1" applyNumberFormat="1">
      <alignment readingOrder="0"/>
    </xf>
    <xf borderId="29" fillId="0" fontId="24" numFmtId="165" xfId="0" applyBorder="1" applyFont="1" applyNumberFormat="1"/>
    <xf borderId="0" fillId="0" fontId="32" numFmtId="165" xfId="0" applyAlignment="1" applyFont="1" applyNumberFormat="1">
      <alignment horizontal="center" readingOrder="0"/>
    </xf>
    <xf borderId="0" fillId="0" fontId="24" numFmtId="165" xfId="0" applyAlignment="1" applyFont="1" applyNumberFormat="1">
      <alignment horizontal="center"/>
    </xf>
    <xf borderId="0" fillId="0" fontId="33" numFmtId="0" xfId="0" applyAlignment="1" applyFont="1">
      <alignment readingOrder="0"/>
    </xf>
    <xf borderId="0" fillId="0" fontId="34"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D82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3.88"/>
    <col customWidth="1" min="3" max="3" width="12.38"/>
    <col customWidth="1" min="4" max="5" width="14.13"/>
  </cols>
  <sheetData>
    <row r="1">
      <c r="A1" s="39"/>
      <c r="B1" s="39" t="s">
        <v>8</v>
      </c>
      <c r="C1" s="40"/>
      <c r="D1" s="40"/>
      <c r="E1" s="40"/>
      <c r="F1" s="41"/>
      <c r="G1" s="41">
        <v>1.0</v>
      </c>
      <c r="H1" s="41">
        <v>1.0</v>
      </c>
      <c r="I1" s="41">
        <v>1.0</v>
      </c>
      <c r="J1" s="41">
        <v>1.0</v>
      </c>
      <c r="K1" s="41">
        <v>1.0</v>
      </c>
      <c r="L1" s="41">
        <v>1.0</v>
      </c>
      <c r="M1" s="41">
        <v>1.0</v>
      </c>
      <c r="N1" s="41">
        <v>1.0</v>
      </c>
      <c r="O1" s="41">
        <v>1.0</v>
      </c>
      <c r="P1" s="41">
        <v>1.0</v>
      </c>
      <c r="Q1" s="41">
        <v>1.0</v>
      </c>
      <c r="R1" s="41">
        <v>1.0</v>
      </c>
      <c r="S1" s="41">
        <f t="shared" ref="S1:BN1" si="1">G1+1</f>
        <v>2</v>
      </c>
      <c r="T1" s="41">
        <f t="shared" si="1"/>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3</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4</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5</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row>
    <row r="2">
      <c r="A2" s="39"/>
      <c r="B2" s="39" t="s">
        <v>9</v>
      </c>
      <c r="C2" s="42"/>
      <c r="D2" s="42"/>
      <c r="E2" s="42"/>
      <c r="F2" s="43"/>
      <c r="G2" s="43">
        <f t="shared" ref="G2:BN2" si="2">YEAR(G4)</f>
        <v>2026</v>
      </c>
      <c r="H2" s="43">
        <f t="shared" si="2"/>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2027</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2028</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2029</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2030</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2031</v>
      </c>
    </row>
    <row r="3">
      <c r="A3" s="39"/>
      <c r="B3" s="39" t="s">
        <v>10</v>
      </c>
      <c r="C3" s="40"/>
      <c r="D3" s="40"/>
      <c r="E3" s="40"/>
      <c r="F3" s="43"/>
      <c r="G3" s="43">
        <v>1.0</v>
      </c>
      <c r="H3" s="43">
        <f t="shared" ref="H3:BN3" si="3">G3+1</f>
        <v>2</v>
      </c>
      <c r="I3" s="43">
        <f t="shared" si="3"/>
        <v>3</v>
      </c>
      <c r="J3" s="43">
        <f t="shared" si="3"/>
        <v>4</v>
      </c>
      <c r="K3" s="43">
        <f t="shared" si="3"/>
        <v>5</v>
      </c>
      <c r="L3" s="43">
        <f t="shared" si="3"/>
        <v>6</v>
      </c>
      <c r="M3" s="43">
        <f t="shared" si="3"/>
        <v>7</v>
      </c>
      <c r="N3" s="43">
        <f t="shared" si="3"/>
        <v>8</v>
      </c>
      <c r="O3" s="43">
        <f t="shared" si="3"/>
        <v>9</v>
      </c>
      <c r="P3" s="43">
        <f t="shared" si="3"/>
        <v>10</v>
      </c>
      <c r="Q3" s="43">
        <f t="shared" si="3"/>
        <v>11</v>
      </c>
      <c r="R3" s="43">
        <f t="shared" si="3"/>
        <v>12</v>
      </c>
      <c r="S3" s="43">
        <f t="shared" si="3"/>
        <v>13</v>
      </c>
      <c r="T3" s="43">
        <f t="shared" si="3"/>
        <v>14</v>
      </c>
      <c r="U3" s="43">
        <f t="shared" si="3"/>
        <v>15</v>
      </c>
      <c r="V3" s="43">
        <f t="shared" si="3"/>
        <v>16</v>
      </c>
      <c r="W3" s="43">
        <f t="shared" si="3"/>
        <v>17</v>
      </c>
      <c r="X3" s="43">
        <f t="shared" si="3"/>
        <v>18</v>
      </c>
      <c r="Y3" s="43">
        <f t="shared" si="3"/>
        <v>19</v>
      </c>
      <c r="Z3" s="43">
        <f t="shared" si="3"/>
        <v>20</v>
      </c>
      <c r="AA3" s="43">
        <f t="shared" si="3"/>
        <v>21</v>
      </c>
      <c r="AB3" s="43">
        <f t="shared" si="3"/>
        <v>22</v>
      </c>
      <c r="AC3" s="43">
        <f t="shared" si="3"/>
        <v>23</v>
      </c>
      <c r="AD3" s="43">
        <f t="shared" si="3"/>
        <v>24</v>
      </c>
      <c r="AE3" s="43">
        <f t="shared" si="3"/>
        <v>25</v>
      </c>
      <c r="AF3" s="43">
        <f t="shared" si="3"/>
        <v>26</v>
      </c>
      <c r="AG3" s="43">
        <f t="shared" si="3"/>
        <v>27</v>
      </c>
      <c r="AH3" s="43">
        <f t="shared" si="3"/>
        <v>28</v>
      </c>
      <c r="AI3" s="43">
        <f t="shared" si="3"/>
        <v>29</v>
      </c>
      <c r="AJ3" s="43">
        <f t="shared" si="3"/>
        <v>30</v>
      </c>
      <c r="AK3" s="43">
        <f t="shared" si="3"/>
        <v>31</v>
      </c>
      <c r="AL3" s="43">
        <f t="shared" si="3"/>
        <v>32</v>
      </c>
      <c r="AM3" s="43">
        <f t="shared" si="3"/>
        <v>33</v>
      </c>
      <c r="AN3" s="43">
        <f t="shared" si="3"/>
        <v>34</v>
      </c>
      <c r="AO3" s="43">
        <f t="shared" si="3"/>
        <v>35</v>
      </c>
      <c r="AP3" s="43">
        <f t="shared" si="3"/>
        <v>36</v>
      </c>
      <c r="AQ3" s="43">
        <f t="shared" si="3"/>
        <v>37</v>
      </c>
      <c r="AR3" s="43">
        <f t="shared" si="3"/>
        <v>38</v>
      </c>
      <c r="AS3" s="43">
        <f t="shared" si="3"/>
        <v>39</v>
      </c>
      <c r="AT3" s="43">
        <f t="shared" si="3"/>
        <v>40</v>
      </c>
      <c r="AU3" s="43">
        <f t="shared" si="3"/>
        <v>41</v>
      </c>
      <c r="AV3" s="43">
        <f t="shared" si="3"/>
        <v>42</v>
      </c>
      <c r="AW3" s="43">
        <f t="shared" si="3"/>
        <v>43</v>
      </c>
      <c r="AX3" s="43">
        <f t="shared" si="3"/>
        <v>44</v>
      </c>
      <c r="AY3" s="43">
        <f t="shared" si="3"/>
        <v>45</v>
      </c>
      <c r="AZ3" s="43">
        <f t="shared" si="3"/>
        <v>46</v>
      </c>
      <c r="BA3" s="43">
        <f t="shared" si="3"/>
        <v>47</v>
      </c>
      <c r="BB3" s="43">
        <f t="shared" si="3"/>
        <v>48</v>
      </c>
      <c r="BC3" s="43">
        <f t="shared" si="3"/>
        <v>49</v>
      </c>
      <c r="BD3" s="43">
        <f t="shared" si="3"/>
        <v>50</v>
      </c>
      <c r="BE3" s="43">
        <f t="shared" si="3"/>
        <v>51</v>
      </c>
      <c r="BF3" s="43">
        <f t="shared" si="3"/>
        <v>52</v>
      </c>
      <c r="BG3" s="43">
        <f t="shared" si="3"/>
        <v>53</v>
      </c>
      <c r="BH3" s="43">
        <f t="shared" si="3"/>
        <v>54</v>
      </c>
      <c r="BI3" s="43">
        <f t="shared" si="3"/>
        <v>55</v>
      </c>
      <c r="BJ3" s="43">
        <f t="shared" si="3"/>
        <v>56</v>
      </c>
      <c r="BK3" s="43">
        <f t="shared" si="3"/>
        <v>57</v>
      </c>
      <c r="BL3" s="43">
        <f t="shared" si="3"/>
        <v>58</v>
      </c>
      <c r="BM3" s="43">
        <f t="shared" si="3"/>
        <v>59</v>
      </c>
      <c r="BN3" s="43">
        <f t="shared" si="3"/>
        <v>60</v>
      </c>
    </row>
    <row r="4">
      <c r="A4" s="39"/>
      <c r="B4" s="39" t="s">
        <v>11</v>
      </c>
      <c r="C4" s="40"/>
      <c r="D4" s="40"/>
      <c r="E4" s="40"/>
      <c r="F4" s="44"/>
      <c r="G4" s="45">
        <f>eomonth(today(),0)</f>
        <v>46081</v>
      </c>
      <c r="H4" s="46">
        <f t="shared" ref="H4:BN4" si="4">EOMONTH(G4,1)</f>
        <v>46112</v>
      </c>
      <c r="I4" s="46">
        <f t="shared" si="4"/>
        <v>46142</v>
      </c>
      <c r="J4" s="46">
        <f t="shared" si="4"/>
        <v>46173</v>
      </c>
      <c r="K4" s="46">
        <f t="shared" si="4"/>
        <v>46203</v>
      </c>
      <c r="L4" s="46">
        <f t="shared" si="4"/>
        <v>46234</v>
      </c>
      <c r="M4" s="46">
        <f t="shared" si="4"/>
        <v>46265</v>
      </c>
      <c r="N4" s="46">
        <f t="shared" si="4"/>
        <v>46295</v>
      </c>
      <c r="O4" s="46">
        <f t="shared" si="4"/>
        <v>46326</v>
      </c>
      <c r="P4" s="46">
        <f t="shared" si="4"/>
        <v>46356</v>
      </c>
      <c r="Q4" s="46">
        <f t="shared" si="4"/>
        <v>46387</v>
      </c>
      <c r="R4" s="46">
        <f t="shared" si="4"/>
        <v>46418</v>
      </c>
      <c r="S4" s="46">
        <f t="shared" si="4"/>
        <v>46446</v>
      </c>
      <c r="T4" s="46">
        <f t="shared" si="4"/>
        <v>46477</v>
      </c>
      <c r="U4" s="46">
        <f t="shared" si="4"/>
        <v>46507</v>
      </c>
      <c r="V4" s="46">
        <f t="shared" si="4"/>
        <v>46538</v>
      </c>
      <c r="W4" s="46">
        <f t="shared" si="4"/>
        <v>46568</v>
      </c>
      <c r="X4" s="46">
        <f t="shared" si="4"/>
        <v>46599</v>
      </c>
      <c r="Y4" s="46">
        <f t="shared" si="4"/>
        <v>46630</v>
      </c>
      <c r="Z4" s="46">
        <f t="shared" si="4"/>
        <v>46660</v>
      </c>
      <c r="AA4" s="46">
        <f t="shared" si="4"/>
        <v>46691</v>
      </c>
      <c r="AB4" s="46">
        <f t="shared" si="4"/>
        <v>46721</v>
      </c>
      <c r="AC4" s="46">
        <f t="shared" si="4"/>
        <v>46752</v>
      </c>
      <c r="AD4" s="46">
        <f t="shared" si="4"/>
        <v>46783</v>
      </c>
      <c r="AE4" s="46">
        <f t="shared" si="4"/>
        <v>46812</v>
      </c>
      <c r="AF4" s="46">
        <f t="shared" si="4"/>
        <v>46843</v>
      </c>
      <c r="AG4" s="46">
        <f t="shared" si="4"/>
        <v>46873</v>
      </c>
      <c r="AH4" s="46">
        <f t="shared" si="4"/>
        <v>46904</v>
      </c>
      <c r="AI4" s="46">
        <f t="shared" si="4"/>
        <v>46934</v>
      </c>
      <c r="AJ4" s="46">
        <f t="shared" si="4"/>
        <v>46965</v>
      </c>
      <c r="AK4" s="46">
        <f t="shared" si="4"/>
        <v>46996</v>
      </c>
      <c r="AL4" s="46">
        <f t="shared" si="4"/>
        <v>47026</v>
      </c>
      <c r="AM4" s="46">
        <f t="shared" si="4"/>
        <v>47057</v>
      </c>
      <c r="AN4" s="46">
        <f t="shared" si="4"/>
        <v>47087</v>
      </c>
      <c r="AO4" s="46">
        <f t="shared" si="4"/>
        <v>47118</v>
      </c>
      <c r="AP4" s="46">
        <f t="shared" si="4"/>
        <v>47149</v>
      </c>
      <c r="AQ4" s="46">
        <f t="shared" si="4"/>
        <v>47177</v>
      </c>
      <c r="AR4" s="46">
        <f t="shared" si="4"/>
        <v>47208</v>
      </c>
      <c r="AS4" s="46">
        <f t="shared" si="4"/>
        <v>47238</v>
      </c>
      <c r="AT4" s="46">
        <f t="shared" si="4"/>
        <v>47269</v>
      </c>
      <c r="AU4" s="46">
        <f t="shared" si="4"/>
        <v>47299</v>
      </c>
      <c r="AV4" s="46">
        <f t="shared" si="4"/>
        <v>47330</v>
      </c>
      <c r="AW4" s="46">
        <f t="shared" si="4"/>
        <v>47361</v>
      </c>
      <c r="AX4" s="46">
        <f t="shared" si="4"/>
        <v>47391</v>
      </c>
      <c r="AY4" s="46">
        <f t="shared" si="4"/>
        <v>47422</v>
      </c>
      <c r="AZ4" s="46">
        <f t="shared" si="4"/>
        <v>47452</v>
      </c>
      <c r="BA4" s="46">
        <f t="shared" si="4"/>
        <v>47483</v>
      </c>
      <c r="BB4" s="46">
        <f t="shared" si="4"/>
        <v>47514</v>
      </c>
      <c r="BC4" s="46">
        <f t="shared" si="4"/>
        <v>47542</v>
      </c>
      <c r="BD4" s="46">
        <f t="shared" si="4"/>
        <v>47573</v>
      </c>
      <c r="BE4" s="46">
        <f t="shared" si="4"/>
        <v>47603</v>
      </c>
      <c r="BF4" s="46">
        <f t="shared" si="4"/>
        <v>47634</v>
      </c>
      <c r="BG4" s="46">
        <f t="shared" si="4"/>
        <v>47664</v>
      </c>
      <c r="BH4" s="46">
        <f t="shared" si="4"/>
        <v>47695</v>
      </c>
      <c r="BI4" s="46">
        <f t="shared" si="4"/>
        <v>47726</v>
      </c>
      <c r="BJ4" s="46">
        <f t="shared" si="4"/>
        <v>47756</v>
      </c>
      <c r="BK4" s="46">
        <f t="shared" si="4"/>
        <v>47787</v>
      </c>
      <c r="BL4" s="46">
        <f t="shared" si="4"/>
        <v>47817</v>
      </c>
      <c r="BM4" s="46">
        <f t="shared" si="4"/>
        <v>47848</v>
      </c>
      <c r="BN4" s="46">
        <f t="shared" si="4"/>
        <v>47879</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c r="A6" s="47"/>
      <c r="B6" s="48" t="s">
        <v>12</v>
      </c>
      <c r="C6" s="49"/>
      <c r="D6" s="49"/>
      <c r="E6" s="49"/>
      <c r="F6" s="49"/>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row>
    <row r="7" outlineLevel="1">
      <c r="A7" s="47"/>
      <c r="B7" s="47"/>
      <c r="C7" s="47"/>
      <c r="D7" s="47"/>
      <c r="E7" s="47"/>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outlineLevel="1">
      <c r="A8" s="47"/>
      <c r="B8" s="51" t="s">
        <v>13</v>
      </c>
      <c r="C8" s="52"/>
      <c r="D8" s="47"/>
      <c r="E8" s="47"/>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outlineLevel="1">
      <c r="A9" s="47"/>
      <c r="B9" s="53"/>
      <c r="C9" s="47"/>
      <c r="D9" s="47"/>
      <c r="E9" s="47"/>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row>
    <row r="10" outlineLevel="1">
      <c r="A10" s="47"/>
      <c r="B10" s="54" t="s">
        <v>14</v>
      </c>
      <c r="C10" s="47"/>
      <c r="D10" s="47"/>
      <c r="E10" s="47"/>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row>
    <row r="11" outlineLevel="1">
      <c r="A11" s="47"/>
      <c r="B11" s="55" t="s">
        <v>15</v>
      </c>
      <c r="C11" s="47"/>
      <c r="D11" s="56">
        <v>1000.0</v>
      </c>
      <c r="E11" s="47"/>
      <c r="F11" s="57"/>
      <c r="G11" s="58">
        <f t="shared" ref="G11:G12" si="6">D11</f>
        <v>1000</v>
      </c>
      <c r="H11" s="58">
        <f t="shared" ref="H11:BN11" si="5">G11</f>
        <v>1000</v>
      </c>
      <c r="I11" s="58">
        <f t="shared" si="5"/>
        <v>1000</v>
      </c>
      <c r="J11" s="58">
        <f t="shared" si="5"/>
        <v>1000</v>
      </c>
      <c r="K11" s="58">
        <f t="shared" si="5"/>
        <v>1000</v>
      </c>
      <c r="L11" s="58">
        <f t="shared" si="5"/>
        <v>1000</v>
      </c>
      <c r="M11" s="58">
        <f t="shared" si="5"/>
        <v>1000</v>
      </c>
      <c r="N11" s="58">
        <f t="shared" si="5"/>
        <v>1000</v>
      </c>
      <c r="O11" s="58">
        <f t="shared" si="5"/>
        <v>1000</v>
      </c>
      <c r="P11" s="58">
        <f t="shared" si="5"/>
        <v>1000</v>
      </c>
      <c r="Q11" s="58">
        <f t="shared" si="5"/>
        <v>1000</v>
      </c>
      <c r="R11" s="58">
        <f t="shared" si="5"/>
        <v>1000</v>
      </c>
      <c r="S11" s="58">
        <f t="shared" si="5"/>
        <v>1000</v>
      </c>
      <c r="T11" s="58">
        <f t="shared" si="5"/>
        <v>1000</v>
      </c>
      <c r="U11" s="58">
        <f t="shared" si="5"/>
        <v>1000</v>
      </c>
      <c r="V11" s="58">
        <f t="shared" si="5"/>
        <v>1000</v>
      </c>
      <c r="W11" s="58">
        <f t="shared" si="5"/>
        <v>1000</v>
      </c>
      <c r="X11" s="58">
        <f t="shared" si="5"/>
        <v>1000</v>
      </c>
      <c r="Y11" s="58">
        <f t="shared" si="5"/>
        <v>1000</v>
      </c>
      <c r="Z11" s="58">
        <f t="shared" si="5"/>
        <v>1000</v>
      </c>
      <c r="AA11" s="58">
        <f t="shared" si="5"/>
        <v>1000</v>
      </c>
      <c r="AB11" s="58">
        <f t="shared" si="5"/>
        <v>1000</v>
      </c>
      <c r="AC11" s="58">
        <f t="shared" si="5"/>
        <v>1000</v>
      </c>
      <c r="AD11" s="58">
        <f t="shared" si="5"/>
        <v>1000</v>
      </c>
      <c r="AE11" s="58">
        <f t="shared" si="5"/>
        <v>1000</v>
      </c>
      <c r="AF11" s="58">
        <f t="shared" si="5"/>
        <v>1000</v>
      </c>
      <c r="AG11" s="58">
        <f t="shared" si="5"/>
        <v>1000</v>
      </c>
      <c r="AH11" s="58">
        <f t="shared" si="5"/>
        <v>1000</v>
      </c>
      <c r="AI11" s="58">
        <f t="shared" si="5"/>
        <v>1000</v>
      </c>
      <c r="AJ11" s="58">
        <f t="shared" si="5"/>
        <v>1000</v>
      </c>
      <c r="AK11" s="58">
        <f t="shared" si="5"/>
        <v>1000</v>
      </c>
      <c r="AL11" s="58">
        <f t="shared" si="5"/>
        <v>1000</v>
      </c>
      <c r="AM11" s="58">
        <f t="shared" si="5"/>
        <v>1000</v>
      </c>
      <c r="AN11" s="58">
        <f t="shared" si="5"/>
        <v>1000</v>
      </c>
      <c r="AO11" s="58">
        <f t="shared" si="5"/>
        <v>1000</v>
      </c>
      <c r="AP11" s="58">
        <f t="shared" si="5"/>
        <v>1000</v>
      </c>
      <c r="AQ11" s="58">
        <f t="shared" si="5"/>
        <v>1000</v>
      </c>
      <c r="AR11" s="58">
        <f t="shared" si="5"/>
        <v>1000</v>
      </c>
      <c r="AS11" s="58">
        <f t="shared" si="5"/>
        <v>1000</v>
      </c>
      <c r="AT11" s="58">
        <f t="shared" si="5"/>
        <v>1000</v>
      </c>
      <c r="AU11" s="58">
        <f t="shared" si="5"/>
        <v>1000</v>
      </c>
      <c r="AV11" s="58">
        <f t="shared" si="5"/>
        <v>1000</v>
      </c>
      <c r="AW11" s="58">
        <f t="shared" si="5"/>
        <v>1000</v>
      </c>
      <c r="AX11" s="58">
        <f t="shared" si="5"/>
        <v>1000</v>
      </c>
      <c r="AY11" s="58">
        <f t="shared" si="5"/>
        <v>1000</v>
      </c>
      <c r="AZ11" s="58">
        <f t="shared" si="5"/>
        <v>1000</v>
      </c>
      <c r="BA11" s="58">
        <f t="shared" si="5"/>
        <v>1000</v>
      </c>
      <c r="BB11" s="58">
        <f t="shared" si="5"/>
        <v>1000</v>
      </c>
      <c r="BC11" s="58">
        <f t="shared" si="5"/>
        <v>1000</v>
      </c>
      <c r="BD11" s="58">
        <f t="shared" si="5"/>
        <v>1000</v>
      </c>
      <c r="BE11" s="58">
        <f t="shared" si="5"/>
        <v>1000</v>
      </c>
      <c r="BF11" s="58">
        <f t="shared" si="5"/>
        <v>1000</v>
      </c>
      <c r="BG11" s="58">
        <f t="shared" si="5"/>
        <v>1000</v>
      </c>
      <c r="BH11" s="58">
        <f t="shared" si="5"/>
        <v>1000</v>
      </c>
      <c r="BI11" s="58">
        <f t="shared" si="5"/>
        <v>1000</v>
      </c>
      <c r="BJ11" s="58">
        <f t="shared" si="5"/>
        <v>1000</v>
      </c>
      <c r="BK11" s="58">
        <f t="shared" si="5"/>
        <v>1000</v>
      </c>
      <c r="BL11" s="58">
        <f t="shared" si="5"/>
        <v>1000</v>
      </c>
      <c r="BM11" s="58">
        <f t="shared" si="5"/>
        <v>1000</v>
      </c>
      <c r="BN11" s="58">
        <f t="shared" si="5"/>
        <v>1000</v>
      </c>
    </row>
    <row r="12" outlineLevel="1">
      <c r="A12" s="47"/>
      <c r="B12" s="59" t="s">
        <v>16</v>
      </c>
      <c r="C12" s="60"/>
      <c r="D12" s="61">
        <v>0.05</v>
      </c>
      <c r="E12" s="62"/>
      <c r="F12" s="62"/>
      <c r="G12" s="63">
        <f t="shared" si="6"/>
        <v>0.05</v>
      </c>
      <c r="H12" s="63">
        <f t="shared" ref="H12:BN12" si="7">G12</f>
        <v>0.05</v>
      </c>
      <c r="I12" s="63">
        <f t="shared" si="7"/>
        <v>0.05</v>
      </c>
      <c r="J12" s="63">
        <f t="shared" si="7"/>
        <v>0.05</v>
      </c>
      <c r="K12" s="63">
        <f t="shared" si="7"/>
        <v>0.05</v>
      </c>
      <c r="L12" s="63">
        <f t="shared" si="7"/>
        <v>0.05</v>
      </c>
      <c r="M12" s="63">
        <f t="shared" si="7"/>
        <v>0.05</v>
      </c>
      <c r="N12" s="63">
        <f t="shared" si="7"/>
        <v>0.05</v>
      </c>
      <c r="O12" s="63">
        <f t="shared" si="7"/>
        <v>0.05</v>
      </c>
      <c r="P12" s="63">
        <f t="shared" si="7"/>
        <v>0.05</v>
      </c>
      <c r="Q12" s="63">
        <f t="shared" si="7"/>
        <v>0.05</v>
      </c>
      <c r="R12" s="63">
        <f t="shared" si="7"/>
        <v>0.05</v>
      </c>
      <c r="S12" s="63">
        <f t="shared" si="7"/>
        <v>0.05</v>
      </c>
      <c r="T12" s="63">
        <f t="shared" si="7"/>
        <v>0.05</v>
      </c>
      <c r="U12" s="63">
        <f t="shared" si="7"/>
        <v>0.05</v>
      </c>
      <c r="V12" s="63">
        <f t="shared" si="7"/>
        <v>0.05</v>
      </c>
      <c r="W12" s="63">
        <f t="shared" si="7"/>
        <v>0.05</v>
      </c>
      <c r="X12" s="63">
        <f t="shared" si="7"/>
        <v>0.05</v>
      </c>
      <c r="Y12" s="63">
        <f t="shared" si="7"/>
        <v>0.05</v>
      </c>
      <c r="Z12" s="63">
        <f t="shared" si="7"/>
        <v>0.05</v>
      </c>
      <c r="AA12" s="63">
        <f t="shared" si="7"/>
        <v>0.05</v>
      </c>
      <c r="AB12" s="63">
        <f t="shared" si="7"/>
        <v>0.05</v>
      </c>
      <c r="AC12" s="63">
        <f t="shared" si="7"/>
        <v>0.05</v>
      </c>
      <c r="AD12" s="63">
        <f t="shared" si="7"/>
        <v>0.05</v>
      </c>
      <c r="AE12" s="63">
        <f t="shared" si="7"/>
        <v>0.05</v>
      </c>
      <c r="AF12" s="63">
        <f t="shared" si="7"/>
        <v>0.05</v>
      </c>
      <c r="AG12" s="63">
        <f t="shared" si="7"/>
        <v>0.05</v>
      </c>
      <c r="AH12" s="63">
        <f t="shared" si="7"/>
        <v>0.05</v>
      </c>
      <c r="AI12" s="63">
        <f t="shared" si="7"/>
        <v>0.05</v>
      </c>
      <c r="AJ12" s="63">
        <f t="shared" si="7"/>
        <v>0.05</v>
      </c>
      <c r="AK12" s="63">
        <f t="shared" si="7"/>
        <v>0.05</v>
      </c>
      <c r="AL12" s="63">
        <f t="shared" si="7"/>
        <v>0.05</v>
      </c>
      <c r="AM12" s="63">
        <f t="shared" si="7"/>
        <v>0.05</v>
      </c>
      <c r="AN12" s="63">
        <f t="shared" si="7"/>
        <v>0.05</v>
      </c>
      <c r="AO12" s="63">
        <f t="shared" si="7"/>
        <v>0.05</v>
      </c>
      <c r="AP12" s="63">
        <f t="shared" si="7"/>
        <v>0.05</v>
      </c>
      <c r="AQ12" s="63">
        <f t="shared" si="7"/>
        <v>0.05</v>
      </c>
      <c r="AR12" s="63">
        <f t="shared" si="7"/>
        <v>0.05</v>
      </c>
      <c r="AS12" s="63">
        <f t="shared" si="7"/>
        <v>0.05</v>
      </c>
      <c r="AT12" s="63">
        <f t="shared" si="7"/>
        <v>0.05</v>
      </c>
      <c r="AU12" s="63">
        <f t="shared" si="7"/>
        <v>0.05</v>
      </c>
      <c r="AV12" s="63">
        <f t="shared" si="7"/>
        <v>0.05</v>
      </c>
      <c r="AW12" s="63">
        <f t="shared" si="7"/>
        <v>0.05</v>
      </c>
      <c r="AX12" s="63">
        <f t="shared" si="7"/>
        <v>0.05</v>
      </c>
      <c r="AY12" s="63">
        <f t="shared" si="7"/>
        <v>0.05</v>
      </c>
      <c r="AZ12" s="63">
        <f t="shared" si="7"/>
        <v>0.05</v>
      </c>
      <c r="BA12" s="63">
        <f t="shared" si="7"/>
        <v>0.05</v>
      </c>
      <c r="BB12" s="63">
        <f t="shared" si="7"/>
        <v>0.05</v>
      </c>
      <c r="BC12" s="63">
        <f t="shared" si="7"/>
        <v>0.05</v>
      </c>
      <c r="BD12" s="63">
        <f t="shared" si="7"/>
        <v>0.05</v>
      </c>
      <c r="BE12" s="63">
        <f t="shared" si="7"/>
        <v>0.05</v>
      </c>
      <c r="BF12" s="63">
        <f t="shared" si="7"/>
        <v>0.05</v>
      </c>
      <c r="BG12" s="63">
        <f t="shared" si="7"/>
        <v>0.05</v>
      </c>
      <c r="BH12" s="63">
        <f t="shared" si="7"/>
        <v>0.05</v>
      </c>
      <c r="BI12" s="63">
        <f t="shared" si="7"/>
        <v>0.05</v>
      </c>
      <c r="BJ12" s="63">
        <f t="shared" si="7"/>
        <v>0.05</v>
      </c>
      <c r="BK12" s="63">
        <f t="shared" si="7"/>
        <v>0.05</v>
      </c>
      <c r="BL12" s="63">
        <f t="shared" si="7"/>
        <v>0.05</v>
      </c>
      <c r="BM12" s="63">
        <f t="shared" si="7"/>
        <v>0.05</v>
      </c>
      <c r="BN12" s="63">
        <f t="shared" si="7"/>
        <v>0.05</v>
      </c>
    </row>
    <row r="13" outlineLevel="1">
      <c r="A13" s="47"/>
      <c r="B13" s="54" t="s">
        <v>17</v>
      </c>
      <c r="C13" s="47"/>
      <c r="D13" s="64"/>
      <c r="E13" s="65"/>
      <c r="F13" s="66"/>
      <c r="G13" s="64">
        <f t="shared" ref="G13:BN13" si="8">G11*G12</f>
        <v>50</v>
      </c>
      <c r="H13" s="64">
        <f t="shared" si="8"/>
        <v>50</v>
      </c>
      <c r="I13" s="64">
        <f t="shared" si="8"/>
        <v>50</v>
      </c>
      <c r="J13" s="64">
        <f t="shared" si="8"/>
        <v>50</v>
      </c>
      <c r="K13" s="64">
        <f t="shared" si="8"/>
        <v>50</v>
      </c>
      <c r="L13" s="64">
        <f t="shared" si="8"/>
        <v>50</v>
      </c>
      <c r="M13" s="64">
        <f t="shared" si="8"/>
        <v>50</v>
      </c>
      <c r="N13" s="64">
        <f t="shared" si="8"/>
        <v>50</v>
      </c>
      <c r="O13" s="64">
        <f t="shared" si="8"/>
        <v>50</v>
      </c>
      <c r="P13" s="64">
        <f t="shared" si="8"/>
        <v>50</v>
      </c>
      <c r="Q13" s="64">
        <f t="shared" si="8"/>
        <v>50</v>
      </c>
      <c r="R13" s="64">
        <f t="shared" si="8"/>
        <v>50</v>
      </c>
      <c r="S13" s="64">
        <f t="shared" si="8"/>
        <v>50</v>
      </c>
      <c r="T13" s="64">
        <f t="shared" si="8"/>
        <v>50</v>
      </c>
      <c r="U13" s="64">
        <f t="shared" si="8"/>
        <v>50</v>
      </c>
      <c r="V13" s="64">
        <f t="shared" si="8"/>
        <v>50</v>
      </c>
      <c r="W13" s="64">
        <f t="shared" si="8"/>
        <v>50</v>
      </c>
      <c r="X13" s="64">
        <f t="shared" si="8"/>
        <v>50</v>
      </c>
      <c r="Y13" s="64">
        <f t="shared" si="8"/>
        <v>50</v>
      </c>
      <c r="Z13" s="64">
        <f t="shared" si="8"/>
        <v>50</v>
      </c>
      <c r="AA13" s="64">
        <f t="shared" si="8"/>
        <v>50</v>
      </c>
      <c r="AB13" s="64">
        <f t="shared" si="8"/>
        <v>50</v>
      </c>
      <c r="AC13" s="64">
        <f t="shared" si="8"/>
        <v>50</v>
      </c>
      <c r="AD13" s="64">
        <f t="shared" si="8"/>
        <v>50</v>
      </c>
      <c r="AE13" s="64">
        <f t="shared" si="8"/>
        <v>50</v>
      </c>
      <c r="AF13" s="64">
        <f t="shared" si="8"/>
        <v>50</v>
      </c>
      <c r="AG13" s="64">
        <f t="shared" si="8"/>
        <v>50</v>
      </c>
      <c r="AH13" s="64">
        <f t="shared" si="8"/>
        <v>50</v>
      </c>
      <c r="AI13" s="64">
        <f t="shared" si="8"/>
        <v>50</v>
      </c>
      <c r="AJ13" s="64">
        <f t="shared" si="8"/>
        <v>50</v>
      </c>
      <c r="AK13" s="64">
        <f t="shared" si="8"/>
        <v>50</v>
      </c>
      <c r="AL13" s="64">
        <f t="shared" si="8"/>
        <v>50</v>
      </c>
      <c r="AM13" s="64">
        <f t="shared" si="8"/>
        <v>50</v>
      </c>
      <c r="AN13" s="64">
        <f t="shared" si="8"/>
        <v>50</v>
      </c>
      <c r="AO13" s="64">
        <f t="shared" si="8"/>
        <v>50</v>
      </c>
      <c r="AP13" s="64">
        <f t="shared" si="8"/>
        <v>50</v>
      </c>
      <c r="AQ13" s="64">
        <f t="shared" si="8"/>
        <v>50</v>
      </c>
      <c r="AR13" s="64">
        <f t="shared" si="8"/>
        <v>50</v>
      </c>
      <c r="AS13" s="64">
        <f t="shared" si="8"/>
        <v>50</v>
      </c>
      <c r="AT13" s="64">
        <f t="shared" si="8"/>
        <v>50</v>
      </c>
      <c r="AU13" s="64">
        <f t="shared" si="8"/>
        <v>50</v>
      </c>
      <c r="AV13" s="64">
        <f t="shared" si="8"/>
        <v>50</v>
      </c>
      <c r="AW13" s="64">
        <f t="shared" si="8"/>
        <v>50</v>
      </c>
      <c r="AX13" s="64">
        <f t="shared" si="8"/>
        <v>50</v>
      </c>
      <c r="AY13" s="64">
        <f t="shared" si="8"/>
        <v>50</v>
      </c>
      <c r="AZ13" s="64">
        <f t="shared" si="8"/>
        <v>50</v>
      </c>
      <c r="BA13" s="64">
        <f t="shared" si="8"/>
        <v>50</v>
      </c>
      <c r="BB13" s="64">
        <f t="shared" si="8"/>
        <v>50</v>
      </c>
      <c r="BC13" s="64">
        <f t="shared" si="8"/>
        <v>50</v>
      </c>
      <c r="BD13" s="64">
        <f t="shared" si="8"/>
        <v>50</v>
      </c>
      <c r="BE13" s="64">
        <f t="shared" si="8"/>
        <v>50</v>
      </c>
      <c r="BF13" s="64">
        <f t="shared" si="8"/>
        <v>50</v>
      </c>
      <c r="BG13" s="64">
        <f t="shared" si="8"/>
        <v>50</v>
      </c>
      <c r="BH13" s="64">
        <f t="shared" si="8"/>
        <v>50</v>
      </c>
      <c r="BI13" s="64">
        <f t="shared" si="8"/>
        <v>50</v>
      </c>
      <c r="BJ13" s="64">
        <f t="shared" si="8"/>
        <v>50</v>
      </c>
      <c r="BK13" s="64">
        <f t="shared" si="8"/>
        <v>50</v>
      </c>
      <c r="BL13" s="64">
        <f t="shared" si="8"/>
        <v>50</v>
      </c>
      <c r="BM13" s="64">
        <f t="shared" si="8"/>
        <v>50</v>
      </c>
      <c r="BN13" s="64">
        <f t="shared" si="8"/>
        <v>50</v>
      </c>
    </row>
    <row r="14" outlineLevel="1">
      <c r="A14" s="47"/>
      <c r="B14" s="47"/>
      <c r="C14" s="47"/>
      <c r="D14" s="43"/>
      <c r="E14" s="47"/>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row>
    <row r="15" outlineLevel="1">
      <c r="A15" s="47"/>
      <c r="B15" s="67" t="s">
        <v>18</v>
      </c>
      <c r="C15" s="47"/>
      <c r="D15" s="43"/>
      <c r="E15" s="47"/>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row>
    <row r="16" outlineLevel="1">
      <c r="A16" s="68"/>
      <c r="B16" s="69" t="s">
        <v>19</v>
      </c>
      <c r="C16" s="68"/>
      <c r="D16" s="70">
        <v>5000.0</v>
      </c>
      <c r="E16" s="68"/>
      <c r="F16" s="71"/>
      <c r="G16" s="72">
        <f t="shared" ref="G16:G18" si="10">D16</f>
        <v>5000</v>
      </c>
      <c r="H16" s="72">
        <f t="shared" ref="H16:BN16" si="9">G16</f>
        <v>5000</v>
      </c>
      <c r="I16" s="73">
        <f t="shared" si="9"/>
        <v>5000</v>
      </c>
      <c r="J16" s="73">
        <f t="shared" si="9"/>
        <v>5000</v>
      </c>
      <c r="K16" s="73">
        <f t="shared" si="9"/>
        <v>5000</v>
      </c>
      <c r="L16" s="73">
        <f t="shared" si="9"/>
        <v>5000</v>
      </c>
      <c r="M16" s="73">
        <f t="shared" si="9"/>
        <v>5000</v>
      </c>
      <c r="N16" s="73">
        <f t="shared" si="9"/>
        <v>5000</v>
      </c>
      <c r="O16" s="73">
        <f t="shared" si="9"/>
        <v>5000</v>
      </c>
      <c r="P16" s="73">
        <f t="shared" si="9"/>
        <v>5000</v>
      </c>
      <c r="Q16" s="73">
        <f t="shared" si="9"/>
        <v>5000</v>
      </c>
      <c r="R16" s="73">
        <f t="shared" si="9"/>
        <v>5000</v>
      </c>
      <c r="S16" s="73">
        <f t="shared" si="9"/>
        <v>5000</v>
      </c>
      <c r="T16" s="73">
        <f t="shared" si="9"/>
        <v>5000</v>
      </c>
      <c r="U16" s="73">
        <f t="shared" si="9"/>
        <v>5000</v>
      </c>
      <c r="V16" s="73">
        <f t="shared" si="9"/>
        <v>5000</v>
      </c>
      <c r="W16" s="73">
        <f t="shared" si="9"/>
        <v>5000</v>
      </c>
      <c r="X16" s="73">
        <f t="shared" si="9"/>
        <v>5000</v>
      </c>
      <c r="Y16" s="73">
        <f t="shared" si="9"/>
        <v>5000</v>
      </c>
      <c r="Z16" s="73">
        <f t="shared" si="9"/>
        <v>5000</v>
      </c>
      <c r="AA16" s="73">
        <f t="shared" si="9"/>
        <v>5000</v>
      </c>
      <c r="AB16" s="73">
        <f t="shared" si="9"/>
        <v>5000</v>
      </c>
      <c r="AC16" s="73">
        <f t="shared" si="9"/>
        <v>5000</v>
      </c>
      <c r="AD16" s="73">
        <f t="shared" si="9"/>
        <v>5000</v>
      </c>
      <c r="AE16" s="73">
        <f t="shared" si="9"/>
        <v>5000</v>
      </c>
      <c r="AF16" s="73">
        <f t="shared" si="9"/>
        <v>5000</v>
      </c>
      <c r="AG16" s="73">
        <f t="shared" si="9"/>
        <v>5000</v>
      </c>
      <c r="AH16" s="73">
        <f t="shared" si="9"/>
        <v>5000</v>
      </c>
      <c r="AI16" s="73">
        <f t="shared" si="9"/>
        <v>5000</v>
      </c>
      <c r="AJ16" s="73">
        <f t="shared" si="9"/>
        <v>5000</v>
      </c>
      <c r="AK16" s="73">
        <f t="shared" si="9"/>
        <v>5000</v>
      </c>
      <c r="AL16" s="73">
        <f t="shared" si="9"/>
        <v>5000</v>
      </c>
      <c r="AM16" s="73">
        <f t="shared" si="9"/>
        <v>5000</v>
      </c>
      <c r="AN16" s="73">
        <f t="shared" si="9"/>
        <v>5000</v>
      </c>
      <c r="AO16" s="73">
        <f t="shared" si="9"/>
        <v>5000</v>
      </c>
      <c r="AP16" s="73">
        <f t="shared" si="9"/>
        <v>5000</v>
      </c>
      <c r="AQ16" s="73">
        <f t="shared" si="9"/>
        <v>5000</v>
      </c>
      <c r="AR16" s="73">
        <f t="shared" si="9"/>
        <v>5000</v>
      </c>
      <c r="AS16" s="73">
        <f t="shared" si="9"/>
        <v>5000</v>
      </c>
      <c r="AT16" s="73">
        <f t="shared" si="9"/>
        <v>5000</v>
      </c>
      <c r="AU16" s="73">
        <f t="shared" si="9"/>
        <v>5000</v>
      </c>
      <c r="AV16" s="73">
        <f t="shared" si="9"/>
        <v>5000</v>
      </c>
      <c r="AW16" s="73">
        <f t="shared" si="9"/>
        <v>5000</v>
      </c>
      <c r="AX16" s="73">
        <f t="shared" si="9"/>
        <v>5000</v>
      </c>
      <c r="AY16" s="73">
        <f t="shared" si="9"/>
        <v>5000</v>
      </c>
      <c r="AZ16" s="73">
        <f t="shared" si="9"/>
        <v>5000</v>
      </c>
      <c r="BA16" s="73">
        <f t="shared" si="9"/>
        <v>5000</v>
      </c>
      <c r="BB16" s="73">
        <f t="shared" si="9"/>
        <v>5000</v>
      </c>
      <c r="BC16" s="73">
        <f t="shared" si="9"/>
        <v>5000</v>
      </c>
      <c r="BD16" s="73">
        <f t="shared" si="9"/>
        <v>5000</v>
      </c>
      <c r="BE16" s="73">
        <f t="shared" si="9"/>
        <v>5000</v>
      </c>
      <c r="BF16" s="73">
        <f t="shared" si="9"/>
        <v>5000</v>
      </c>
      <c r="BG16" s="73">
        <f t="shared" si="9"/>
        <v>5000</v>
      </c>
      <c r="BH16" s="73">
        <f t="shared" si="9"/>
        <v>5000</v>
      </c>
      <c r="BI16" s="73">
        <f t="shared" si="9"/>
        <v>5000</v>
      </c>
      <c r="BJ16" s="73">
        <f t="shared" si="9"/>
        <v>5000</v>
      </c>
      <c r="BK16" s="73">
        <f t="shared" si="9"/>
        <v>5000</v>
      </c>
      <c r="BL16" s="73">
        <f t="shared" si="9"/>
        <v>5000</v>
      </c>
      <c r="BM16" s="73">
        <f t="shared" si="9"/>
        <v>5000</v>
      </c>
      <c r="BN16" s="73">
        <f t="shared" si="9"/>
        <v>5000</v>
      </c>
    </row>
    <row r="17" outlineLevel="1">
      <c r="A17" s="68"/>
      <c r="B17" s="69" t="s">
        <v>20</v>
      </c>
      <c r="C17" s="69"/>
      <c r="D17" s="70">
        <v>2.0</v>
      </c>
      <c r="E17" s="68"/>
      <c r="F17" s="71"/>
      <c r="G17" s="74">
        <f t="shared" si="10"/>
        <v>2</v>
      </c>
      <c r="H17" s="74">
        <f t="shared" ref="H17:BN17" si="11">G17</f>
        <v>2</v>
      </c>
      <c r="I17" s="74">
        <f t="shared" si="11"/>
        <v>2</v>
      </c>
      <c r="J17" s="74">
        <f t="shared" si="11"/>
        <v>2</v>
      </c>
      <c r="K17" s="74">
        <f t="shared" si="11"/>
        <v>2</v>
      </c>
      <c r="L17" s="74">
        <f t="shared" si="11"/>
        <v>2</v>
      </c>
      <c r="M17" s="74">
        <f t="shared" si="11"/>
        <v>2</v>
      </c>
      <c r="N17" s="74">
        <f t="shared" si="11"/>
        <v>2</v>
      </c>
      <c r="O17" s="74">
        <f t="shared" si="11"/>
        <v>2</v>
      </c>
      <c r="P17" s="74">
        <f t="shared" si="11"/>
        <v>2</v>
      </c>
      <c r="Q17" s="74">
        <f t="shared" si="11"/>
        <v>2</v>
      </c>
      <c r="R17" s="74">
        <f t="shared" si="11"/>
        <v>2</v>
      </c>
      <c r="S17" s="74">
        <f t="shared" si="11"/>
        <v>2</v>
      </c>
      <c r="T17" s="74">
        <f t="shared" si="11"/>
        <v>2</v>
      </c>
      <c r="U17" s="74">
        <f t="shared" si="11"/>
        <v>2</v>
      </c>
      <c r="V17" s="74">
        <f t="shared" si="11"/>
        <v>2</v>
      </c>
      <c r="W17" s="74">
        <f t="shared" si="11"/>
        <v>2</v>
      </c>
      <c r="X17" s="74">
        <f t="shared" si="11"/>
        <v>2</v>
      </c>
      <c r="Y17" s="74">
        <f t="shared" si="11"/>
        <v>2</v>
      </c>
      <c r="Z17" s="74">
        <f t="shared" si="11"/>
        <v>2</v>
      </c>
      <c r="AA17" s="74">
        <f t="shared" si="11"/>
        <v>2</v>
      </c>
      <c r="AB17" s="74">
        <f t="shared" si="11"/>
        <v>2</v>
      </c>
      <c r="AC17" s="74">
        <f t="shared" si="11"/>
        <v>2</v>
      </c>
      <c r="AD17" s="74">
        <f t="shared" si="11"/>
        <v>2</v>
      </c>
      <c r="AE17" s="74">
        <f t="shared" si="11"/>
        <v>2</v>
      </c>
      <c r="AF17" s="74">
        <f t="shared" si="11"/>
        <v>2</v>
      </c>
      <c r="AG17" s="74">
        <f t="shared" si="11"/>
        <v>2</v>
      </c>
      <c r="AH17" s="74">
        <f t="shared" si="11"/>
        <v>2</v>
      </c>
      <c r="AI17" s="74">
        <f t="shared" si="11"/>
        <v>2</v>
      </c>
      <c r="AJ17" s="74">
        <f t="shared" si="11"/>
        <v>2</v>
      </c>
      <c r="AK17" s="74">
        <f t="shared" si="11"/>
        <v>2</v>
      </c>
      <c r="AL17" s="74">
        <f t="shared" si="11"/>
        <v>2</v>
      </c>
      <c r="AM17" s="74">
        <f t="shared" si="11"/>
        <v>2</v>
      </c>
      <c r="AN17" s="74">
        <f t="shared" si="11"/>
        <v>2</v>
      </c>
      <c r="AO17" s="74">
        <f t="shared" si="11"/>
        <v>2</v>
      </c>
      <c r="AP17" s="74">
        <f t="shared" si="11"/>
        <v>2</v>
      </c>
      <c r="AQ17" s="74">
        <f t="shared" si="11"/>
        <v>2</v>
      </c>
      <c r="AR17" s="74">
        <f t="shared" si="11"/>
        <v>2</v>
      </c>
      <c r="AS17" s="74">
        <f t="shared" si="11"/>
        <v>2</v>
      </c>
      <c r="AT17" s="74">
        <f t="shared" si="11"/>
        <v>2</v>
      </c>
      <c r="AU17" s="74">
        <f t="shared" si="11"/>
        <v>2</v>
      </c>
      <c r="AV17" s="74">
        <f t="shared" si="11"/>
        <v>2</v>
      </c>
      <c r="AW17" s="74">
        <f t="shared" si="11"/>
        <v>2</v>
      </c>
      <c r="AX17" s="74">
        <f t="shared" si="11"/>
        <v>2</v>
      </c>
      <c r="AY17" s="74">
        <f t="shared" si="11"/>
        <v>2</v>
      </c>
      <c r="AZ17" s="74">
        <f t="shared" si="11"/>
        <v>2</v>
      </c>
      <c r="BA17" s="74">
        <f t="shared" si="11"/>
        <v>2</v>
      </c>
      <c r="BB17" s="74">
        <f t="shared" si="11"/>
        <v>2</v>
      </c>
      <c r="BC17" s="74">
        <f t="shared" si="11"/>
        <v>2</v>
      </c>
      <c r="BD17" s="74">
        <f t="shared" si="11"/>
        <v>2</v>
      </c>
      <c r="BE17" s="74">
        <f t="shared" si="11"/>
        <v>2</v>
      </c>
      <c r="BF17" s="74">
        <f t="shared" si="11"/>
        <v>2</v>
      </c>
      <c r="BG17" s="74">
        <f t="shared" si="11"/>
        <v>2</v>
      </c>
      <c r="BH17" s="74">
        <f t="shared" si="11"/>
        <v>2</v>
      </c>
      <c r="BI17" s="74">
        <f t="shared" si="11"/>
        <v>2</v>
      </c>
      <c r="BJ17" s="74">
        <f t="shared" si="11"/>
        <v>2</v>
      </c>
      <c r="BK17" s="74">
        <f t="shared" si="11"/>
        <v>2</v>
      </c>
      <c r="BL17" s="74">
        <f t="shared" si="11"/>
        <v>2</v>
      </c>
      <c r="BM17" s="74">
        <f t="shared" si="11"/>
        <v>2</v>
      </c>
      <c r="BN17" s="74">
        <f t="shared" si="11"/>
        <v>2</v>
      </c>
    </row>
    <row r="18" outlineLevel="1">
      <c r="A18" s="47"/>
      <c r="B18" s="75" t="s">
        <v>16</v>
      </c>
      <c r="C18" s="60"/>
      <c r="D18" s="76">
        <v>0.05</v>
      </c>
      <c r="E18" s="62"/>
      <c r="F18" s="62"/>
      <c r="G18" s="63">
        <f t="shared" si="10"/>
        <v>0.05</v>
      </c>
      <c r="H18" s="63">
        <f t="shared" ref="H18:BN18" si="12">G18</f>
        <v>0.05</v>
      </c>
      <c r="I18" s="63">
        <f t="shared" si="12"/>
        <v>0.05</v>
      </c>
      <c r="J18" s="63">
        <f t="shared" si="12"/>
        <v>0.05</v>
      </c>
      <c r="K18" s="63">
        <f t="shared" si="12"/>
        <v>0.05</v>
      </c>
      <c r="L18" s="63">
        <f t="shared" si="12"/>
        <v>0.05</v>
      </c>
      <c r="M18" s="63">
        <f t="shared" si="12"/>
        <v>0.05</v>
      </c>
      <c r="N18" s="63">
        <f t="shared" si="12"/>
        <v>0.05</v>
      </c>
      <c r="O18" s="63">
        <f t="shared" si="12"/>
        <v>0.05</v>
      </c>
      <c r="P18" s="63">
        <f t="shared" si="12"/>
        <v>0.05</v>
      </c>
      <c r="Q18" s="63">
        <f t="shared" si="12"/>
        <v>0.05</v>
      </c>
      <c r="R18" s="63">
        <f t="shared" si="12"/>
        <v>0.05</v>
      </c>
      <c r="S18" s="63">
        <f t="shared" si="12"/>
        <v>0.05</v>
      </c>
      <c r="T18" s="63">
        <f t="shared" si="12"/>
        <v>0.05</v>
      </c>
      <c r="U18" s="63">
        <f t="shared" si="12"/>
        <v>0.05</v>
      </c>
      <c r="V18" s="63">
        <f t="shared" si="12"/>
        <v>0.05</v>
      </c>
      <c r="W18" s="63">
        <f t="shared" si="12"/>
        <v>0.05</v>
      </c>
      <c r="X18" s="63">
        <f t="shared" si="12"/>
        <v>0.05</v>
      </c>
      <c r="Y18" s="63">
        <f t="shared" si="12"/>
        <v>0.05</v>
      </c>
      <c r="Z18" s="63">
        <f t="shared" si="12"/>
        <v>0.05</v>
      </c>
      <c r="AA18" s="63">
        <f t="shared" si="12"/>
        <v>0.05</v>
      </c>
      <c r="AB18" s="63">
        <f t="shared" si="12"/>
        <v>0.05</v>
      </c>
      <c r="AC18" s="63">
        <f t="shared" si="12"/>
        <v>0.05</v>
      </c>
      <c r="AD18" s="63">
        <f t="shared" si="12"/>
        <v>0.05</v>
      </c>
      <c r="AE18" s="63">
        <f t="shared" si="12"/>
        <v>0.05</v>
      </c>
      <c r="AF18" s="63">
        <f t="shared" si="12"/>
        <v>0.05</v>
      </c>
      <c r="AG18" s="63">
        <f t="shared" si="12"/>
        <v>0.05</v>
      </c>
      <c r="AH18" s="63">
        <f t="shared" si="12"/>
        <v>0.05</v>
      </c>
      <c r="AI18" s="63">
        <f t="shared" si="12"/>
        <v>0.05</v>
      </c>
      <c r="AJ18" s="63">
        <f t="shared" si="12"/>
        <v>0.05</v>
      </c>
      <c r="AK18" s="63">
        <f t="shared" si="12"/>
        <v>0.05</v>
      </c>
      <c r="AL18" s="63">
        <f t="shared" si="12"/>
        <v>0.05</v>
      </c>
      <c r="AM18" s="63">
        <f t="shared" si="12"/>
        <v>0.05</v>
      </c>
      <c r="AN18" s="63">
        <f t="shared" si="12"/>
        <v>0.05</v>
      </c>
      <c r="AO18" s="63">
        <f t="shared" si="12"/>
        <v>0.05</v>
      </c>
      <c r="AP18" s="63">
        <f t="shared" si="12"/>
        <v>0.05</v>
      </c>
      <c r="AQ18" s="63">
        <f t="shared" si="12"/>
        <v>0.05</v>
      </c>
      <c r="AR18" s="63">
        <f t="shared" si="12"/>
        <v>0.05</v>
      </c>
      <c r="AS18" s="63">
        <f t="shared" si="12"/>
        <v>0.05</v>
      </c>
      <c r="AT18" s="63">
        <f t="shared" si="12"/>
        <v>0.05</v>
      </c>
      <c r="AU18" s="63">
        <f t="shared" si="12"/>
        <v>0.05</v>
      </c>
      <c r="AV18" s="63">
        <f t="shared" si="12"/>
        <v>0.05</v>
      </c>
      <c r="AW18" s="63">
        <f t="shared" si="12"/>
        <v>0.05</v>
      </c>
      <c r="AX18" s="63">
        <f t="shared" si="12"/>
        <v>0.05</v>
      </c>
      <c r="AY18" s="63">
        <f t="shared" si="12"/>
        <v>0.05</v>
      </c>
      <c r="AZ18" s="63">
        <f t="shared" si="12"/>
        <v>0.05</v>
      </c>
      <c r="BA18" s="63">
        <f t="shared" si="12"/>
        <v>0.05</v>
      </c>
      <c r="BB18" s="63">
        <f t="shared" si="12"/>
        <v>0.05</v>
      </c>
      <c r="BC18" s="63">
        <f t="shared" si="12"/>
        <v>0.05</v>
      </c>
      <c r="BD18" s="63">
        <f t="shared" si="12"/>
        <v>0.05</v>
      </c>
      <c r="BE18" s="63">
        <f t="shared" si="12"/>
        <v>0.05</v>
      </c>
      <c r="BF18" s="63">
        <f t="shared" si="12"/>
        <v>0.05</v>
      </c>
      <c r="BG18" s="63">
        <f t="shared" si="12"/>
        <v>0.05</v>
      </c>
      <c r="BH18" s="63">
        <f t="shared" si="12"/>
        <v>0.05</v>
      </c>
      <c r="BI18" s="63">
        <f t="shared" si="12"/>
        <v>0.05</v>
      </c>
      <c r="BJ18" s="63">
        <f t="shared" si="12"/>
        <v>0.05</v>
      </c>
      <c r="BK18" s="63">
        <f t="shared" si="12"/>
        <v>0.05</v>
      </c>
      <c r="BL18" s="63">
        <f t="shared" si="12"/>
        <v>0.05</v>
      </c>
      <c r="BM18" s="63">
        <f t="shared" si="12"/>
        <v>0.05</v>
      </c>
      <c r="BN18" s="63">
        <f t="shared" si="12"/>
        <v>0.05</v>
      </c>
    </row>
    <row r="19" outlineLevel="1">
      <c r="A19" s="47"/>
      <c r="B19" s="77" t="s">
        <v>17</v>
      </c>
      <c r="C19" s="47"/>
      <c r="D19" s="78"/>
      <c r="E19" s="79"/>
      <c r="F19" s="80"/>
      <c r="G19" s="78">
        <f t="shared" ref="G19:BN19" si="13">(G16/G17)*G18</f>
        <v>125</v>
      </c>
      <c r="H19" s="78">
        <f t="shared" si="13"/>
        <v>125</v>
      </c>
      <c r="I19" s="78">
        <f t="shared" si="13"/>
        <v>125</v>
      </c>
      <c r="J19" s="78">
        <f t="shared" si="13"/>
        <v>125</v>
      </c>
      <c r="K19" s="78">
        <f t="shared" si="13"/>
        <v>125</v>
      </c>
      <c r="L19" s="78">
        <f t="shared" si="13"/>
        <v>125</v>
      </c>
      <c r="M19" s="78">
        <f t="shared" si="13"/>
        <v>125</v>
      </c>
      <c r="N19" s="78">
        <f t="shared" si="13"/>
        <v>125</v>
      </c>
      <c r="O19" s="78">
        <f t="shared" si="13"/>
        <v>125</v>
      </c>
      <c r="P19" s="78">
        <f t="shared" si="13"/>
        <v>125</v>
      </c>
      <c r="Q19" s="78">
        <f t="shared" si="13"/>
        <v>125</v>
      </c>
      <c r="R19" s="78">
        <f t="shared" si="13"/>
        <v>125</v>
      </c>
      <c r="S19" s="78">
        <f t="shared" si="13"/>
        <v>125</v>
      </c>
      <c r="T19" s="78">
        <f t="shared" si="13"/>
        <v>125</v>
      </c>
      <c r="U19" s="78">
        <f t="shared" si="13"/>
        <v>125</v>
      </c>
      <c r="V19" s="78">
        <f t="shared" si="13"/>
        <v>125</v>
      </c>
      <c r="W19" s="78">
        <f t="shared" si="13"/>
        <v>125</v>
      </c>
      <c r="X19" s="78">
        <f t="shared" si="13"/>
        <v>125</v>
      </c>
      <c r="Y19" s="78">
        <f t="shared" si="13"/>
        <v>125</v>
      </c>
      <c r="Z19" s="78">
        <f t="shared" si="13"/>
        <v>125</v>
      </c>
      <c r="AA19" s="78">
        <f t="shared" si="13"/>
        <v>125</v>
      </c>
      <c r="AB19" s="78">
        <f t="shared" si="13"/>
        <v>125</v>
      </c>
      <c r="AC19" s="78">
        <f t="shared" si="13"/>
        <v>125</v>
      </c>
      <c r="AD19" s="78">
        <f t="shared" si="13"/>
        <v>125</v>
      </c>
      <c r="AE19" s="78">
        <f t="shared" si="13"/>
        <v>125</v>
      </c>
      <c r="AF19" s="78">
        <f t="shared" si="13"/>
        <v>125</v>
      </c>
      <c r="AG19" s="78">
        <f t="shared" si="13"/>
        <v>125</v>
      </c>
      <c r="AH19" s="78">
        <f t="shared" si="13"/>
        <v>125</v>
      </c>
      <c r="AI19" s="78">
        <f t="shared" si="13"/>
        <v>125</v>
      </c>
      <c r="AJ19" s="78">
        <f t="shared" si="13"/>
        <v>125</v>
      </c>
      <c r="AK19" s="78">
        <f t="shared" si="13"/>
        <v>125</v>
      </c>
      <c r="AL19" s="78">
        <f t="shared" si="13"/>
        <v>125</v>
      </c>
      <c r="AM19" s="78">
        <f t="shared" si="13"/>
        <v>125</v>
      </c>
      <c r="AN19" s="78">
        <f t="shared" si="13"/>
        <v>125</v>
      </c>
      <c r="AO19" s="78">
        <f t="shared" si="13"/>
        <v>125</v>
      </c>
      <c r="AP19" s="78">
        <f t="shared" si="13"/>
        <v>125</v>
      </c>
      <c r="AQ19" s="78">
        <f t="shared" si="13"/>
        <v>125</v>
      </c>
      <c r="AR19" s="78">
        <f t="shared" si="13"/>
        <v>125</v>
      </c>
      <c r="AS19" s="78">
        <f t="shared" si="13"/>
        <v>125</v>
      </c>
      <c r="AT19" s="78">
        <f t="shared" si="13"/>
        <v>125</v>
      </c>
      <c r="AU19" s="78">
        <f t="shared" si="13"/>
        <v>125</v>
      </c>
      <c r="AV19" s="78">
        <f t="shared" si="13"/>
        <v>125</v>
      </c>
      <c r="AW19" s="78">
        <f t="shared" si="13"/>
        <v>125</v>
      </c>
      <c r="AX19" s="78">
        <f t="shared" si="13"/>
        <v>125</v>
      </c>
      <c r="AY19" s="78">
        <f t="shared" si="13"/>
        <v>125</v>
      </c>
      <c r="AZ19" s="78">
        <f t="shared" si="13"/>
        <v>125</v>
      </c>
      <c r="BA19" s="78">
        <f t="shared" si="13"/>
        <v>125</v>
      </c>
      <c r="BB19" s="78">
        <f t="shared" si="13"/>
        <v>125</v>
      </c>
      <c r="BC19" s="78">
        <f t="shared" si="13"/>
        <v>125</v>
      </c>
      <c r="BD19" s="78">
        <f t="shared" si="13"/>
        <v>125</v>
      </c>
      <c r="BE19" s="78">
        <f t="shared" si="13"/>
        <v>125</v>
      </c>
      <c r="BF19" s="78">
        <f t="shared" si="13"/>
        <v>125</v>
      </c>
      <c r="BG19" s="78">
        <f t="shared" si="13"/>
        <v>125</v>
      </c>
      <c r="BH19" s="78">
        <f t="shared" si="13"/>
        <v>125</v>
      </c>
      <c r="BI19" s="78">
        <f t="shared" si="13"/>
        <v>125</v>
      </c>
      <c r="BJ19" s="78">
        <f t="shared" si="13"/>
        <v>125</v>
      </c>
      <c r="BK19" s="78">
        <f t="shared" si="13"/>
        <v>125</v>
      </c>
      <c r="BL19" s="78">
        <f t="shared" si="13"/>
        <v>125</v>
      </c>
      <c r="BM19" s="78">
        <f t="shared" si="13"/>
        <v>125</v>
      </c>
      <c r="BN19" s="78">
        <f t="shared" si="13"/>
        <v>125</v>
      </c>
    </row>
    <row r="20" outlineLevel="1">
      <c r="A20" s="47"/>
      <c r="B20" s="47"/>
      <c r="C20" s="47"/>
      <c r="D20" s="43"/>
      <c r="E20" s="47"/>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row>
    <row r="21" outlineLevel="1">
      <c r="A21" s="47"/>
      <c r="B21" s="67" t="s">
        <v>21</v>
      </c>
      <c r="C21" s="47"/>
      <c r="D21" s="43"/>
      <c r="E21" s="47"/>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row>
    <row r="22" outlineLevel="1">
      <c r="A22" s="47"/>
      <c r="B22" s="39" t="s">
        <v>22</v>
      </c>
      <c r="C22" s="47"/>
      <c r="D22" s="81">
        <v>5.0</v>
      </c>
      <c r="E22" s="47"/>
      <c r="F22" s="57"/>
      <c r="G22" s="58">
        <f t="shared" ref="G22:G24" si="15">D22</f>
        <v>5</v>
      </c>
      <c r="H22" s="58">
        <f t="shared" ref="H22:BN22" si="14">G22</f>
        <v>5</v>
      </c>
      <c r="I22" s="58">
        <f t="shared" si="14"/>
        <v>5</v>
      </c>
      <c r="J22" s="58">
        <f t="shared" si="14"/>
        <v>5</v>
      </c>
      <c r="K22" s="58">
        <f t="shared" si="14"/>
        <v>5</v>
      </c>
      <c r="L22" s="58">
        <f t="shared" si="14"/>
        <v>5</v>
      </c>
      <c r="M22" s="58">
        <f t="shared" si="14"/>
        <v>5</v>
      </c>
      <c r="N22" s="58">
        <f t="shared" si="14"/>
        <v>5</v>
      </c>
      <c r="O22" s="58">
        <f t="shared" si="14"/>
        <v>5</v>
      </c>
      <c r="P22" s="58">
        <f t="shared" si="14"/>
        <v>5</v>
      </c>
      <c r="Q22" s="58">
        <f t="shared" si="14"/>
        <v>5</v>
      </c>
      <c r="R22" s="58">
        <f t="shared" si="14"/>
        <v>5</v>
      </c>
      <c r="S22" s="58">
        <f t="shared" si="14"/>
        <v>5</v>
      </c>
      <c r="T22" s="58">
        <f t="shared" si="14"/>
        <v>5</v>
      </c>
      <c r="U22" s="58">
        <f t="shared" si="14"/>
        <v>5</v>
      </c>
      <c r="V22" s="58">
        <f t="shared" si="14"/>
        <v>5</v>
      </c>
      <c r="W22" s="58">
        <f t="shared" si="14"/>
        <v>5</v>
      </c>
      <c r="X22" s="58">
        <f t="shared" si="14"/>
        <v>5</v>
      </c>
      <c r="Y22" s="58">
        <f t="shared" si="14"/>
        <v>5</v>
      </c>
      <c r="Z22" s="58">
        <f t="shared" si="14"/>
        <v>5</v>
      </c>
      <c r="AA22" s="58">
        <f t="shared" si="14"/>
        <v>5</v>
      </c>
      <c r="AB22" s="58">
        <f t="shared" si="14"/>
        <v>5</v>
      </c>
      <c r="AC22" s="58">
        <f t="shared" si="14"/>
        <v>5</v>
      </c>
      <c r="AD22" s="58">
        <f t="shared" si="14"/>
        <v>5</v>
      </c>
      <c r="AE22" s="58">
        <f t="shared" si="14"/>
        <v>5</v>
      </c>
      <c r="AF22" s="58">
        <f t="shared" si="14"/>
        <v>5</v>
      </c>
      <c r="AG22" s="58">
        <f t="shared" si="14"/>
        <v>5</v>
      </c>
      <c r="AH22" s="58">
        <f t="shared" si="14"/>
        <v>5</v>
      </c>
      <c r="AI22" s="58">
        <f t="shared" si="14"/>
        <v>5</v>
      </c>
      <c r="AJ22" s="58">
        <f t="shared" si="14"/>
        <v>5</v>
      </c>
      <c r="AK22" s="58">
        <f t="shared" si="14"/>
        <v>5</v>
      </c>
      <c r="AL22" s="58">
        <f t="shared" si="14"/>
        <v>5</v>
      </c>
      <c r="AM22" s="58">
        <f t="shared" si="14"/>
        <v>5</v>
      </c>
      <c r="AN22" s="58">
        <f t="shared" si="14"/>
        <v>5</v>
      </c>
      <c r="AO22" s="58">
        <f t="shared" si="14"/>
        <v>5</v>
      </c>
      <c r="AP22" s="58">
        <f t="shared" si="14"/>
        <v>5</v>
      </c>
      <c r="AQ22" s="58">
        <f t="shared" si="14"/>
        <v>5</v>
      </c>
      <c r="AR22" s="58">
        <f t="shared" si="14"/>
        <v>5</v>
      </c>
      <c r="AS22" s="58">
        <f t="shared" si="14"/>
        <v>5</v>
      </c>
      <c r="AT22" s="58">
        <f t="shared" si="14"/>
        <v>5</v>
      </c>
      <c r="AU22" s="58">
        <f t="shared" si="14"/>
        <v>5</v>
      </c>
      <c r="AV22" s="58">
        <f t="shared" si="14"/>
        <v>5</v>
      </c>
      <c r="AW22" s="58">
        <f t="shared" si="14"/>
        <v>5</v>
      </c>
      <c r="AX22" s="58">
        <f t="shared" si="14"/>
        <v>5</v>
      </c>
      <c r="AY22" s="58">
        <f t="shared" si="14"/>
        <v>5</v>
      </c>
      <c r="AZ22" s="58">
        <f t="shared" si="14"/>
        <v>5</v>
      </c>
      <c r="BA22" s="58">
        <f t="shared" si="14"/>
        <v>5</v>
      </c>
      <c r="BB22" s="58">
        <f t="shared" si="14"/>
        <v>5</v>
      </c>
      <c r="BC22" s="58">
        <f t="shared" si="14"/>
        <v>5</v>
      </c>
      <c r="BD22" s="58">
        <f t="shared" si="14"/>
        <v>5</v>
      </c>
      <c r="BE22" s="58">
        <f t="shared" si="14"/>
        <v>5</v>
      </c>
      <c r="BF22" s="58">
        <f t="shared" si="14"/>
        <v>5</v>
      </c>
      <c r="BG22" s="58">
        <f t="shared" si="14"/>
        <v>5</v>
      </c>
      <c r="BH22" s="58">
        <f t="shared" si="14"/>
        <v>5</v>
      </c>
      <c r="BI22" s="58">
        <f t="shared" si="14"/>
        <v>5</v>
      </c>
      <c r="BJ22" s="58">
        <f t="shared" si="14"/>
        <v>5</v>
      </c>
      <c r="BK22" s="58">
        <f t="shared" si="14"/>
        <v>5</v>
      </c>
      <c r="BL22" s="58">
        <f t="shared" si="14"/>
        <v>5</v>
      </c>
      <c r="BM22" s="58">
        <f t="shared" si="14"/>
        <v>5</v>
      </c>
      <c r="BN22" s="58">
        <f t="shared" si="14"/>
        <v>5</v>
      </c>
    </row>
    <row r="23" outlineLevel="1">
      <c r="A23" s="47"/>
      <c r="B23" s="39" t="s">
        <v>23</v>
      </c>
      <c r="C23" s="47"/>
      <c r="D23" s="82">
        <v>50.0</v>
      </c>
      <c r="E23" s="47"/>
      <c r="F23" s="66"/>
      <c r="G23" s="83">
        <f t="shared" si="15"/>
        <v>50</v>
      </c>
      <c r="H23" s="83">
        <f t="shared" ref="H23:BN23" si="16">G23</f>
        <v>50</v>
      </c>
      <c r="I23" s="83">
        <f t="shared" si="16"/>
        <v>50</v>
      </c>
      <c r="J23" s="83">
        <f t="shared" si="16"/>
        <v>50</v>
      </c>
      <c r="K23" s="83">
        <f t="shared" si="16"/>
        <v>50</v>
      </c>
      <c r="L23" s="83">
        <f t="shared" si="16"/>
        <v>50</v>
      </c>
      <c r="M23" s="83">
        <f t="shared" si="16"/>
        <v>50</v>
      </c>
      <c r="N23" s="83">
        <f t="shared" si="16"/>
        <v>50</v>
      </c>
      <c r="O23" s="83">
        <f t="shared" si="16"/>
        <v>50</v>
      </c>
      <c r="P23" s="83">
        <f t="shared" si="16"/>
        <v>50</v>
      </c>
      <c r="Q23" s="83">
        <f t="shared" si="16"/>
        <v>50</v>
      </c>
      <c r="R23" s="83">
        <f t="shared" si="16"/>
        <v>50</v>
      </c>
      <c r="S23" s="83">
        <f t="shared" si="16"/>
        <v>50</v>
      </c>
      <c r="T23" s="83">
        <f t="shared" si="16"/>
        <v>50</v>
      </c>
      <c r="U23" s="83">
        <f t="shared" si="16"/>
        <v>50</v>
      </c>
      <c r="V23" s="83">
        <f t="shared" si="16"/>
        <v>50</v>
      </c>
      <c r="W23" s="83">
        <f t="shared" si="16"/>
        <v>50</v>
      </c>
      <c r="X23" s="83">
        <f t="shared" si="16"/>
        <v>50</v>
      </c>
      <c r="Y23" s="83">
        <f t="shared" si="16"/>
        <v>50</v>
      </c>
      <c r="Z23" s="83">
        <f t="shared" si="16"/>
        <v>50</v>
      </c>
      <c r="AA23" s="83">
        <f t="shared" si="16"/>
        <v>50</v>
      </c>
      <c r="AB23" s="83">
        <f t="shared" si="16"/>
        <v>50</v>
      </c>
      <c r="AC23" s="83">
        <f t="shared" si="16"/>
        <v>50</v>
      </c>
      <c r="AD23" s="83">
        <f t="shared" si="16"/>
        <v>50</v>
      </c>
      <c r="AE23" s="83">
        <f t="shared" si="16"/>
        <v>50</v>
      </c>
      <c r="AF23" s="83">
        <f t="shared" si="16"/>
        <v>50</v>
      </c>
      <c r="AG23" s="83">
        <f t="shared" si="16"/>
        <v>50</v>
      </c>
      <c r="AH23" s="83">
        <f t="shared" si="16"/>
        <v>50</v>
      </c>
      <c r="AI23" s="83">
        <f t="shared" si="16"/>
        <v>50</v>
      </c>
      <c r="AJ23" s="83">
        <f t="shared" si="16"/>
        <v>50</v>
      </c>
      <c r="AK23" s="83">
        <f t="shared" si="16"/>
        <v>50</v>
      </c>
      <c r="AL23" s="83">
        <f t="shared" si="16"/>
        <v>50</v>
      </c>
      <c r="AM23" s="83">
        <f t="shared" si="16"/>
        <v>50</v>
      </c>
      <c r="AN23" s="83">
        <f t="shared" si="16"/>
        <v>50</v>
      </c>
      <c r="AO23" s="83">
        <f t="shared" si="16"/>
        <v>50</v>
      </c>
      <c r="AP23" s="83">
        <f t="shared" si="16"/>
        <v>50</v>
      </c>
      <c r="AQ23" s="83">
        <f t="shared" si="16"/>
        <v>50</v>
      </c>
      <c r="AR23" s="83">
        <f t="shared" si="16"/>
        <v>50</v>
      </c>
      <c r="AS23" s="83">
        <f t="shared" si="16"/>
        <v>50</v>
      </c>
      <c r="AT23" s="83">
        <f t="shared" si="16"/>
        <v>50</v>
      </c>
      <c r="AU23" s="83">
        <f t="shared" si="16"/>
        <v>50</v>
      </c>
      <c r="AV23" s="83">
        <f t="shared" si="16"/>
        <v>50</v>
      </c>
      <c r="AW23" s="83">
        <f t="shared" si="16"/>
        <v>50</v>
      </c>
      <c r="AX23" s="83">
        <f t="shared" si="16"/>
        <v>50</v>
      </c>
      <c r="AY23" s="83">
        <f t="shared" si="16"/>
        <v>50</v>
      </c>
      <c r="AZ23" s="83">
        <f t="shared" si="16"/>
        <v>50</v>
      </c>
      <c r="BA23" s="83">
        <f t="shared" si="16"/>
        <v>50</v>
      </c>
      <c r="BB23" s="83">
        <f t="shared" si="16"/>
        <v>50</v>
      </c>
      <c r="BC23" s="83">
        <f t="shared" si="16"/>
        <v>50</v>
      </c>
      <c r="BD23" s="83">
        <f t="shared" si="16"/>
        <v>50</v>
      </c>
      <c r="BE23" s="83">
        <f t="shared" si="16"/>
        <v>50</v>
      </c>
      <c r="BF23" s="83">
        <f t="shared" si="16"/>
        <v>50</v>
      </c>
      <c r="BG23" s="83">
        <f t="shared" si="16"/>
        <v>50</v>
      </c>
      <c r="BH23" s="83">
        <f t="shared" si="16"/>
        <v>50</v>
      </c>
      <c r="BI23" s="83">
        <f t="shared" si="16"/>
        <v>50</v>
      </c>
      <c r="BJ23" s="83">
        <f t="shared" si="16"/>
        <v>50</v>
      </c>
      <c r="BK23" s="83">
        <f t="shared" si="16"/>
        <v>50</v>
      </c>
      <c r="BL23" s="83">
        <f t="shared" si="16"/>
        <v>50</v>
      </c>
      <c r="BM23" s="83">
        <f t="shared" si="16"/>
        <v>50</v>
      </c>
      <c r="BN23" s="83">
        <f t="shared" si="16"/>
        <v>50</v>
      </c>
    </row>
    <row r="24" outlineLevel="1">
      <c r="A24" s="47"/>
      <c r="B24" s="75" t="s">
        <v>16</v>
      </c>
      <c r="C24" s="60"/>
      <c r="D24" s="76">
        <v>0.05</v>
      </c>
      <c r="E24" s="62"/>
      <c r="F24" s="62"/>
      <c r="G24" s="63">
        <f t="shared" si="15"/>
        <v>0.05</v>
      </c>
      <c r="H24" s="63">
        <f t="shared" ref="H24:BN24" si="17">G24</f>
        <v>0.05</v>
      </c>
      <c r="I24" s="63">
        <f t="shared" si="17"/>
        <v>0.05</v>
      </c>
      <c r="J24" s="63">
        <f t="shared" si="17"/>
        <v>0.05</v>
      </c>
      <c r="K24" s="63">
        <f t="shared" si="17"/>
        <v>0.05</v>
      </c>
      <c r="L24" s="63">
        <f t="shared" si="17"/>
        <v>0.05</v>
      </c>
      <c r="M24" s="63">
        <f t="shared" si="17"/>
        <v>0.05</v>
      </c>
      <c r="N24" s="63">
        <f t="shared" si="17"/>
        <v>0.05</v>
      </c>
      <c r="O24" s="63">
        <f t="shared" si="17"/>
        <v>0.05</v>
      </c>
      <c r="P24" s="63">
        <f t="shared" si="17"/>
        <v>0.05</v>
      </c>
      <c r="Q24" s="63">
        <f t="shared" si="17"/>
        <v>0.05</v>
      </c>
      <c r="R24" s="63">
        <f t="shared" si="17"/>
        <v>0.05</v>
      </c>
      <c r="S24" s="63">
        <f t="shared" si="17"/>
        <v>0.05</v>
      </c>
      <c r="T24" s="63">
        <f t="shared" si="17"/>
        <v>0.05</v>
      </c>
      <c r="U24" s="63">
        <f t="shared" si="17"/>
        <v>0.05</v>
      </c>
      <c r="V24" s="63">
        <f t="shared" si="17"/>
        <v>0.05</v>
      </c>
      <c r="W24" s="63">
        <f t="shared" si="17"/>
        <v>0.05</v>
      </c>
      <c r="X24" s="63">
        <f t="shared" si="17"/>
        <v>0.05</v>
      </c>
      <c r="Y24" s="63">
        <f t="shared" si="17"/>
        <v>0.05</v>
      </c>
      <c r="Z24" s="63">
        <f t="shared" si="17"/>
        <v>0.05</v>
      </c>
      <c r="AA24" s="63">
        <f t="shared" si="17"/>
        <v>0.05</v>
      </c>
      <c r="AB24" s="63">
        <f t="shared" si="17"/>
        <v>0.05</v>
      </c>
      <c r="AC24" s="63">
        <f t="shared" si="17"/>
        <v>0.05</v>
      </c>
      <c r="AD24" s="63">
        <f t="shared" si="17"/>
        <v>0.05</v>
      </c>
      <c r="AE24" s="63">
        <f t="shared" si="17"/>
        <v>0.05</v>
      </c>
      <c r="AF24" s="63">
        <f t="shared" si="17"/>
        <v>0.05</v>
      </c>
      <c r="AG24" s="63">
        <f t="shared" si="17"/>
        <v>0.05</v>
      </c>
      <c r="AH24" s="63">
        <f t="shared" si="17"/>
        <v>0.05</v>
      </c>
      <c r="AI24" s="63">
        <f t="shared" si="17"/>
        <v>0.05</v>
      </c>
      <c r="AJ24" s="63">
        <f t="shared" si="17"/>
        <v>0.05</v>
      </c>
      <c r="AK24" s="63">
        <f t="shared" si="17"/>
        <v>0.05</v>
      </c>
      <c r="AL24" s="63">
        <f t="shared" si="17"/>
        <v>0.05</v>
      </c>
      <c r="AM24" s="63">
        <f t="shared" si="17"/>
        <v>0.05</v>
      </c>
      <c r="AN24" s="63">
        <f t="shared" si="17"/>
        <v>0.05</v>
      </c>
      <c r="AO24" s="63">
        <f t="shared" si="17"/>
        <v>0.05</v>
      </c>
      <c r="AP24" s="63">
        <f t="shared" si="17"/>
        <v>0.05</v>
      </c>
      <c r="AQ24" s="63">
        <f t="shared" si="17"/>
        <v>0.05</v>
      </c>
      <c r="AR24" s="63">
        <f t="shared" si="17"/>
        <v>0.05</v>
      </c>
      <c r="AS24" s="63">
        <f t="shared" si="17"/>
        <v>0.05</v>
      </c>
      <c r="AT24" s="63">
        <f t="shared" si="17"/>
        <v>0.05</v>
      </c>
      <c r="AU24" s="63">
        <f t="shared" si="17"/>
        <v>0.05</v>
      </c>
      <c r="AV24" s="63">
        <f t="shared" si="17"/>
        <v>0.05</v>
      </c>
      <c r="AW24" s="63">
        <f t="shared" si="17"/>
        <v>0.05</v>
      </c>
      <c r="AX24" s="63">
        <f t="shared" si="17"/>
        <v>0.05</v>
      </c>
      <c r="AY24" s="63">
        <f t="shared" si="17"/>
        <v>0.05</v>
      </c>
      <c r="AZ24" s="63">
        <f t="shared" si="17"/>
        <v>0.05</v>
      </c>
      <c r="BA24" s="63">
        <f t="shared" si="17"/>
        <v>0.05</v>
      </c>
      <c r="BB24" s="63">
        <f t="shared" si="17"/>
        <v>0.05</v>
      </c>
      <c r="BC24" s="63">
        <f t="shared" si="17"/>
        <v>0.05</v>
      </c>
      <c r="BD24" s="63">
        <f t="shared" si="17"/>
        <v>0.05</v>
      </c>
      <c r="BE24" s="63">
        <f t="shared" si="17"/>
        <v>0.05</v>
      </c>
      <c r="BF24" s="63">
        <f t="shared" si="17"/>
        <v>0.05</v>
      </c>
      <c r="BG24" s="63">
        <f t="shared" si="17"/>
        <v>0.05</v>
      </c>
      <c r="BH24" s="63">
        <f t="shared" si="17"/>
        <v>0.05</v>
      </c>
      <c r="BI24" s="63">
        <f t="shared" si="17"/>
        <v>0.05</v>
      </c>
      <c r="BJ24" s="63">
        <f t="shared" si="17"/>
        <v>0.05</v>
      </c>
      <c r="BK24" s="63">
        <f t="shared" si="17"/>
        <v>0.05</v>
      </c>
      <c r="BL24" s="63">
        <f t="shared" si="17"/>
        <v>0.05</v>
      </c>
      <c r="BM24" s="63">
        <f t="shared" si="17"/>
        <v>0.05</v>
      </c>
      <c r="BN24" s="63">
        <f t="shared" si="17"/>
        <v>0.05</v>
      </c>
    </row>
    <row r="25" outlineLevel="1">
      <c r="A25" s="47"/>
      <c r="B25" s="77" t="s">
        <v>17</v>
      </c>
      <c r="C25" s="47"/>
      <c r="D25" s="64"/>
      <c r="E25" s="65"/>
      <c r="F25" s="66"/>
      <c r="G25" s="64">
        <f t="shared" ref="G25:BN25" si="18">G22*G23*G24</f>
        <v>12.5</v>
      </c>
      <c r="H25" s="64">
        <f t="shared" si="18"/>
        <v>12.5</v>
      </c>
      <c r="I25" s="64">
        <f t="shared" si="18"/>
        <v>12.5</v>
      </c>
      <c r="J25" s="64">
        <f t="shared" si="18"/>
        <v>12.5</v>
      </c>
      <c r="K25" s="64">
        <f t="shared" si="18"/>
        <v>12.5</v>
      </c>
      <c r="L25" s="64">
        <f t="shared" si="18"/>
        <v>12.5</v>
      </c>
      <c r="M25" s="64">
        <f t="shared" si="18"/>
        <v>12.5</v>
      </c>
      <c r="N25" s="64">
        <f t="shared" si="18"/>
        <v>12.5</v>
      </c>
      <c r="O25" s="64">
        <f t="shared" si="18"/>
        <v>12.5</v>
      </c>
      <c r="P25" s="64">
        <f t="shared" si="18"/>
        <v>12.5</v>
      </c>
      <c r="Q25" s="64">
        <f t="shared" si="18"/>
        <v>12.5</v>
      </c>
      <c r="R25" s="64">
        <f t="shared" si="18"/>
        <v>12.5</v>
      </c>
      <c r="S25" s="64">
        <f t="shared" si="18"/>
        <v>12.5</v>
      </c>
      <c r="T25" s="64">
        <f t="shared" si="18"/>
        <v>12.5</v>
      </c>
      <c r="U25" s="64">
        <f t="shared" si="18"/>
        <v>12.5</v>
      </c>
      <c r="V25" s="64">
        <f t="shared" si="18"/>
        <v>12.5</v>
      </c>
      <c r="W25" s="64">
        <f t="shared" si="18"/>
        <v>12.5</v>
      </c>
      <c r="X25" s="64">
        <f t="shared" si="18"/>
        <v>12.5</v>
      </c>
      <c r="Y25" s="64">
        <f t="shared" si="18"/>
        <v>12.5</v>
      </c>
      <c r="Z25" s="64">
        <f t="shared" si="18"/>
        <v>12.5</v>
      </c>
      <c r="AA25" s="64">
        <f t="shared" si="18"/>
        <v>12.5</v>
      </c>
      <c r="AB25" s="64">
        <f t="shared" si="18"/>
        <v>12.5</v>
      </c>
      <c r="AC25" s="64">
        <f t="shared" si="18"/>
        <v>12.5</v>
      </c>
      <c r="AD25" s="64">
        <f t="shared" si="18"/>
        <v>12.5</v>
      </c>
      <c r="AE25" s="64">
        <f t="shared" si="18"/>
        <v>12.5</v>
      </c>
      <c r="AF25" s="64">
        <f t="shared" si="18"/>
        <v>12.5</v>
      </c>
      <c r="AG25" s="64">
        <f t="shared" si="18"/>
        <v>12.5</v>
      </c>
      <c r="AH25" s="64">
        <f t="shared" si="18"/>
        <v>12.5</v>
      </c>
      <c r="AI25" s="64">
        <f t="shared" si="18"/>
        <v>12.5</v>
      </c>
      <c r="AJ25" s="64">
        <f t="shared" si="18"/>
        <v>12.5</v>
      </c>
      <c r="AK25" s="64">
        <f t="shared" si="18"/>
        <v>12.5</v>
      </c>
      <c r="AL25" s="64">
        <f t="shared" si="18"/>
        <v>12.5</v>
      </c>
      <c r="AM25" s="64">
        <f t="shared" si="18"/>
        <v>12.5</v>
      </c>
      <c r="AN25" s="64">
        <f t="shared" si="18"/>
        <v>12.5</v>
      </c>
      <c r="AO25" s="64">
        <f t="shared" si="18"/>
        <v>12.5</v>
      </c>
      <c r="AP25" s="64">
        <f t="shared" si="18"/>
        <v>12.5</v>
      </c>
      <c r="AQ25" s="64">
        <f t="shared" si="18"/>
        <v>12.5</v>
      </c>
      <c r="AR25" s="64">
        <f t="shared" si="18"/>
        <v>12.5</v>
      </c>
      <c r="AS25" s="64">
        <f t="shared" si="18"/>
        <v>12.5</v>
      </c>
      <c r="AT25" s="64">
        <f t="shared" si="18"/>
        <v>12.5</v>
      </c>
      <c r="AU25" s="64">
        <f t="shared" si="18"/>
        <v>12.5</v>
      </c>
      <c r="AV25" s="64">
        <f t="shared" si="18"/>
        <v>12.5</v>
      </c>
      <c r="AW25" s="64">
        <f t="shared" si="18"/>
        <v>12.5</v>
      </c>
      <c r="AX25" s="64">
        <f t="shared" si="18"/>
        <v>12.5</v>
      </c>
      <c r="AY25" s="64">
        <f t="shared" si="18"/>
        <v>12.5</v>
      </c>
      <c r="AZ25" s="64">
        <f t="shared" si="18"/>
        <v>12.5</v>
      </c>
      <c r="BA25" s="64">
        <f t="shared" si="18"/>
        <v>12.5</v>
      </c>
      <c r="BB25" s="64">
        <f t="shared" si="18"/>
        <v>12.5</v>
      </c>
      <c r="BC25" s="64">
        <f t="shared" si="18"/>
        <v>12.5</v>
      </c>
      <c r="BD25" s="64">
        <f t="shared" si="18"/>
        <v>12.5</v>
      </c>
      <c r="BE25" s="64">
        <f t="shared" si="18"/>
        <v>12.5</v>
      </c>
      <c r="BF25" s="64">
        <f t="shared" si="18"/>
        <v>12.5</v>
      </c>
      <c r="BG25" s="64">
        <f t="shared" si="18"/>
        <v>12.5</v>
      </c>
      <c r="BH25" s="64">
        <f t="shared" si="18"/>
        <v>12.5</v>
      </c>
      <c r="BI25" s="64">
        <f t="shared" si="18"/>
        <v>12.5</v>
      </c>
      <c r="BJ25" s="64">
        <f t="shared" si="18"/>
        <v>12.5</v>
      </c>
      <c r="BK25" s="64">
        <f t="shared" si="18"/>
        <v>12.5</v>
      </c>
      <c r="BL25" s="64">
        <f t="shared" si="18"/>
        <v>12.5</v>
      </c>
      <c r="BM25" s="64">
        <f t="shared" si="18"/>
        <v>12.5</v>
      </c>
      <c r="BN25" s="64">
        <f t="shared" si="18"/>
        <v>12.5</v>
      </c>
    </row>
    <row r="26" outlineLevel="1">
      <c r="A26" s="47"/>
      <c r="B26" s="67"/>
      <c r="C26" s="47"/>
      <c r="D26" s="43"/>
      <c r="E26" s="47"/>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row>
    <row r="27" outlineLevel="1">
      <c r="A27" s="47"/>
      <c r="B27" s="67" t="s">
        <v>24</v>
      </c>
      <c r="C27" s="47"/>
      <c r="D27" s="43"/>
      <c r="E27" s="47"/>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row>
    <row r="28" outlineLevel="1">
      <c r="A28" s="47"/>
      <c r="B28" s="39" t="s">
        <v>25</v>
      </c>
      <c r="C28" s="47"/>
      <c r="D28" s="81">
        <v>1.0</v>
      </c>
      <c r="E28" s="47"/>
      <c r="F28" s="57"/>
      <c r="G28" s="81">
        <v>1.0</v>
      </c>
      <c r="H28" s="81">
        <v>0.0</v>
      </c>
      <c r="I28" s="81">
        <v>0.0</v>
      </c>
      <c r="J28" s="81">
        <v>0.0</v>
      </c>
      <c r="K28" s="81">
        <v>1.0</v>
      </c>
      <c r="L28" s="81">
        <v>0.0</v>
      </c>
      <c r="M28" s="81">
        <v>0.0</v>
      </c>
      <c r="N28" s="81">
        <v>1.0</v>
      </c>
      <c r="O28" s="81">
        <v>0.0</v>
      </c>
      <c r="P28" s="81">
        <v>0.0</v>
      </c>
      <c r="Q28" s="81">
        <v>1.0</v>
      </c>
      <c r="R28" s="81">
        <v>0.0</v>
      </c>
      <c r="S28" s="81">
        <v>0.0</v>
      </c>
      <c r="T28" s="81">
        <v>0.0</v>
      </c>
      <c r="U28" s="81">
        <v>0.0</v>
      </c>
      <c r="V28" s="81">
        <v>0.0</v>
      </c>
      <c r="W28" s="81">
        <v>0.0</v>
      </c>
      <c r="X28" s="81">
        <v>0.0</v>
      </c>
      <c r="Y28" s="81">
        <v>0.0</v>
      </c>
      <c r="Z28" s="81">
        <v>0.0</v>
      </c>
      <c r="AA28" s="81">
        <v>0.0</v>
      </c>
      <c r="AB28" s="81">
        <v>0.0</v>
      </c>
      <c r="AC28" s="81">
        <v>0.0</v>
      </c>
      <c r="AD28" s="81">
        <v>0.0</v>
      </c>
      <c r="AE28" s="81">
        <v>0.0</v>
      </c>
      <c r="AF28" s="81">
        <v>0.0</v>
      </c>
      <c r="AG28" s="81">
        <v>0.0</v>
      </c>
      <c r="AH28" s="81">
        <v>0.0</v>
      </c>
      <c r="AI28" s="81">
        <v>0.0</v>
      </c>
      <c r="AJ28" s="81">
        <v>0.0</v>
      </c>
      <c r="AK28" s="81">
        <v>0.0</v>
      </c>
      <c r="AL28" s="81">
        <v>0.0</v>
      </c>
      <c r="AM28" s="81">
        <v>0.0</v>
      </c>
      <c r="AN28" s="81">
        <v>0.0</v>
      </c>
      <c r="AO28" s="81">
        <v>0.0</v>
      </c>
      <c r="AP28" s="81">
        <v>0.0</v>
      </c>
      <c r="AQ28" s="81">
        <v>0.0</v>
      </c>
      <c r="AR28" s="81">
        <v>0.0</v>
      </c>
      <c r="AS28" s="81">
        <v>0.0</v>
      </c>
      <c r="AT28" s="81">
        <v>0.0</v>
      </c>
      <c r="AU28" s="81">
        <v>0.0</v>
      </c>
      <c r="AV28" s="81">
        <v>0.0</v>
      </c>
      <c r="AW28" s="81">
        <v>0.0</v>
      </c>
      <c r="AX28" s="81">
        <v>0.0</v>
      </c>
      <c r="AY28" s="81">
        <v>0.0</v>
      </c>
      <c r="AZ28" s="81">
        <v>0.0</v>
      </c>
      <c r="BA28" s="81">
        <v>0.0</v>
      </c>
      <c r="BB28" s="81">
        <v>0.0</v>
      </c>
      <c r="BC28" s="81">
        <v>0.0</v>
      </c>
      <c r="BD28" s="81">
        <v>0.0</v>
      </c>
      <c r="BE28" s="81">
        <v>0.0</v>
      </c>
      <c r="BF28" s="81">
        <v>0.0</v>
      </c>
      <c r="BG28" s="81">
        <v>0.0</v>
      </c>
      <c r="BH28" s="81">
        <v>0.0</v>
      </c>
      <c r="BI28" s="81">
        <v>0.0</v>
      </c>
      <c r="BJ28" s="81">
        <v>0.0</v>
      </c>
      <c r="BK28" s="81">
        <v>0.0</v>
      </c>
      <c r="BL28" s="81">
        <v>0.0</v>
      </c>
      <c r="BM28" s="81">
        <v>0.0</v>
      </c>
      <c r="BN28" s="81">
        <v>0.0</v>
      </c>
    </row>
    <row r="29" outlineLevel="1">
      <c r="A29" s="47"/>
      <c r="B29" s="39" t="s">
        <v>26</v>
      </c>
      <c r="C29" s="47"/>
      <c r="D29" s="81">
        <v>50.0</v>
      </c>
      <c r="E29" s="47"/>
      <c r="F29" s="66"/>
      <c r="G29" s="84">
        <f t="shared" ref="G29:G30" si="20">D29</f>
        <v>50</v>
      </c>
      <c r="H29" s="84">
        <f t="shared" ref="H29:BN29" si="19">G29</f>
        <v>50</v>
      </c>
      <c r="I29" s="84">
        <f t="shared" si="19"/>
        <v>50</v>
      </c>
      <c r="J29" s="84">
        <f t="shared" si="19"/>
        <v>50</v>
      </c>
      <c r="K29" s="84">
        <f t="shared" si="19"/>
        <v>50</v>
      </c>
      <c r="L29" s="84">
        <f t="shared" si="19"/>
        <v>50</v>
      </c>
      <c r="M29" s="84">
        <f t="shared" si="19"/>
        <v>50</v>
      </c>
      <c r="N29" s="84">
        <f t="shared" si="19"/>
        <v>50</v>
      </c>
      <c r="O29" s="84">
        <f t="shared" si="19"/>
        <v>50</v>
      </c>
      <c r="P29" s="84">
        <f t="shared" si="19"/>
        <v>50</v>
      </c>
      <c r="Q29" s="84">
        <f t="shared" si="19"/>
        <v>50</v>
      </c>
      <c r="R29" s="84">
        <f t="shared" si="19"/>
        <v>50</v>
      </c>
      <c r="S29" s="84">
        <f t="shared" si="19"/>
        <v>50</v>
      </c>
      <c r="T29" s="84">
        <f t="shared" si="19"/>
        <v>50</v>
      </c>
      <c r="U29" s="84">
        <f t="shared" si="19"/>
        <v>50</v>
      </c>
      <c r="V29" s="84">
        <f t="shared" si="19"/>
        <v>50</v>
      </c>
      <c r="W29" s="84">
        <f t="shared" si="19"/>
        <v>50</v>
      </c>
      <c r="X29" s="84">
        <f t="shared" si="19"/>
        <v>50</v>
      </c>
      <c r="Y29" s="84">
        <f t="shared" si="19"/>
        <v>50</v>
      </c>
      <c r="Z29" s="84">
        <f t="shared" si="19"/>
        <v>50</v>
      </c>
      <c r="AA29" s="84">
        <f t="shared" si="19"/>
        <v>50</v>
      </c>
      <c r="AB29" s="84">
        <f t="shared" si="19"/>
        <v>50</v>
      </c>
      <c r="AC29" s="84">
        <f t="shared" si="19"/>
        <v>50</v>
      </c>
      <c r="AD29" s="84">
        <f t="shared" si="19"/>
        <v>50</v>
      </c>
      <c r="AE29" s="84">
        <f t="shared" si="19"/>
        <v>50</v>
      </c>
      <c r="AF29" s="84">
        <f t="shared" si="19"/>
        <v>50</v>
      </c>
      <c r="AG29" s="84">
        <f t="shared" si="19"/>
        <v>50</v>
      </c>
      <c r="AH29" s="84">
        <f t="shared" si="19"/>
        <v>50</v>
      </c>
      <c r="AI29" s="84">
        <f t="shared" si="19"/>
        <v>50</v>
      </c>
      <c r="AJ29" s="84">
        <f t="shared" si="19"/>
        <v>50</v>
      </c>
      <c r="AK29" s="84">
        <f t="shared" si="19"/>
        <v>50</v>
      </c>
      <c r="AL29" s="84">
        <f t="shared" si="19"/>
        <v>50</v>
      </c>
      <c r="AM29" s="84">
        <f t="shared" si="19"/>
        <v>50</v>
      </c>
      <c r="AN29" s="84">
        <f t="shared" si="19"/>
        <v>50</v>
      </c>
      <c r="AO29" s="84">
        <f t="shared" si="19"/>
        <v>50</v>
      </c>
      <c r="AP29" s="84">
        <f t="shared" si="19"/>
        <v>50</v>
      </c>
      <c r="AQ29" s="84">
        <f t="shared" si="19"/>
        <v>50</v>
      </c>
      <c r="AR29" s="84">
        <f t="shared" si="19"/>
        <v>50</v>
      </c>
      <c r="AS29" s="84">
        <f t="shared" si="19"/>
        <v>50</v>
      </c>
      <c r="AT29" s="84">
        <f t="shared" si="19"/>
        <v>50</v>
      </c>
      <c r="AU29" s="84">
        <f t="shared" si="19"/>
        <v>50</v>
      </c>
      <c r="AV29" s="84">
        <f t="shared" si="19"/>
        <v>50</v>
      </c>
      <c r="AW29" s="84">
        <f t="shared" si="19"/>
        <v>50</v>
      </c>
      <c r="AX29" s="84">
        <f t="shared" si="19"/>
        <v>50</v>
      </c>
      <c r="AY29" s="84">
        <f t="shared" si="19"/>
        <v>50</v>
      </c>
      <c r="AZ29" s="84">
        <f t="shared" si="19"/>
        <v>50</v>
      </c>
      <c r="BA29" s="84">
        <f t="shared" si="19"/>
        <v>50</v>
      </c>
      <c r="BB29" s="84">
        <f t="shared" si="19"/>
        <v>50</v>
      </c>
      <c r="BC29" s="84">
        <f t="shared" si="19"/>
        <v>50</v>
      </c>
      <c r="BD29" s="84">
        <f t="shared" si="19"/>
        <v>50</v>
      </c>
      <c r="BE29" s="84">
        <f t="shared" si="19"/>
        <v>50</v>
      </c>
      <c r="BF29" s="84">
        <f t="shared" si="19"/>
        <v>50</v>
      </c>
      <c r="BG29" s="84">
        <f t="shared" si="19"/>
        <v>50</v>
      </c>
      <c r="BH29" s="84">
        <f t="shared" si="19"/>
        <v>50</v>
      </c>
      <c r="BI29" s="84">
        <f t="shared" si="19"/>
        <v>50</v>
      </c>
      <c r="BJ29" s="84">
        <f t="shared" si="19"/>
        <v>50</v>
      </c>
      <c r="BK29" s="84">
        <f t="shared" si="19"/>
        <v>50</v>
      </c>
      <c r="BL29" s="84">
        <f t="shared" si="19"/>
        <v>50</v>
      </c>
      <c r="BM29" s="84">
        <f t="shared" si="19"/>
        <v>50</v>
      </c>
      <c r="BN29" s="84">
        <f t="shared" si="19"/>
        <v>50</v>
      </c>
    </row>
    <row r="30" outlineLevel="1">
      <c r="A30" s="47"/>
      <c r="B30" s="75" t="s">
        <v>16</v>
      </c>
      <c r="C30" s="60"/>
      <c r="D30" s="76">
        <v>0.05</v>
      </c>
      <c r="E30" s="62"/>
      <c r="F30" s="62"/>
      <c r="G30" s="63">
        <f t="shared" si="20"/>
        <v>0.05</v>
      </c>
      <c r="H30" s="63">
        <f t="shared" ref="H30:BN30" si="21">G30</f>
        <v>0.05</v>
      </c>
      <c r="I30" s="63">
        <f t="shared" si="21"/>
        <v>0.05</v>
      </c>
      <c r="J30" s="63">
        <f t="shared" si="21"/>
        <v>0.05</v>
      </c>
      <c r="K30" s="63">
        <f t="shared" si="21"/>
        <v>0.05</v>
      </c>
      <c r="L30" s="63">
        <f t="shared" si="21"/>
        <v>0.05</v>
      </c>
      <c r="M30" s="63">
        <f t="shared" si="21"/>
        <v>0.05</v>
      </c>
      <c r="N30" s="63">
        <f t="shared" si="21"/>
        <v>0.05</v>
      </c>
      <c r="O30" s="63">
        <f t="shared" si="21"/>
        <v>0.05</v>
      </c>
      <c r="P30" s="63">
        <f t="shared" si="21"/>
        <v>0.05</v>
      </c>
      <c r="Q30" s="63">
        <f t="shared" si="21"/>
        <v>0.05</v>
      </c>
      <c r="R30" s="63">
        <f t="shared" si="21"/>
        <v>0.05</v>
      </c>
      <c r="S30" s="63">
        <f t="shared" si="21"/>
        <v>0.05</v>
      </c>
      <c r="T30" s="63">
        <f t="shared" si="21"/>
        <v>0.05</v>
      </c>
      <c r="U30" s="63">
        <f t="shared" si="21"/>
        <v>0.05</v>
      </c>
      <c r="V30" s="63">
        <f t="shared" si="21"/>
        <v>0.05</v>
      </c>
      <c r="W30" s="63">
        <f t="shared" si="21"/>
        <v>0.05</v>
      </c>
      <c r="X30" s="63">
        <f t="shared" si="21"/>
        <v>0.05</v>
      </c>
      <c r="Y30" s="63">
        <f t="shared" si="21"/>
        <v>0.05</v>
      </c>
      <c r="Z30" s="63">
        <f t="shared" si="21"/>
        <v>0.05</v>
      </c>
      <c r="AA30" s="63">
        <f t="shared" si="21"/>
        <v>0.05</v>
      </c>
      <c r="AB30" s="63">
        <f t="shared" si="21"/>
        <v>0.05</v>
      </c>
      <c r="AC30" s="63">
        <f t="shared" si="21"/>
        <v>0.05</v>
      </c>
      <c r="AD30" s="63">
        <f t="shared" si="21"/>
        <v>0.05</v>
      </c>
      <c r="AE30" s="63">
        <f t="shared" si="21"/>
        <v>0.05</v>
      </c>
      <c r="AF30" s="63">
        <f t="shared" si="21"/>
        <v>0.05</v>
      </c>
      <c r="AG30" s="63">
        <f t="shared" si="21"/>
        <v>0.05</v>
      </c>
      <c r="AH30" s="63">
        <f t="shared" si="21"/>
        <v>0.05</v>
      </c>
      <c r="AI30" s="63">
        <f t="shared" si="21"/>
        <v>0.05</v>
      </c>
      <c r="AJ30" s="63">
        <f t="shared" si="21"/>
        <v>0.05</v>
      </c>
      <c r="AK30" s="63">
        <f t="shared" si="21"/>
        <v>0.05</v>
      </c>
      <c r="AL30" s="63">
        <f t="shared" si="21"/>
        <v>0.05</v>
      </c>
      <c r="AM30" s="63">
        <f t="shared" si="21"/>
        <v>0.05</v>
      </c>
      <c r="AN30" s="63">
        <f t="shared" si="21"/>
        <v>0.05</v>
      </c>
      <c r="AO30" s="63">
        <f t="shared" si="21"/>
        <v>0.05</v>
      </c>
      <c r="AP30" s="63">
        <f t="shared" si="21"/>
        <v>0.05</v>
      </c>
      <c r="AQ30" s="63">
        <f t="shared" si="21"/>
        <v>0.05</v>
      </c>
      <c r="AR30" s="63">
        <f t="shared" si="21"/>
        <v>0.05</v>
      </c>
      <c r="AS30" s="63">
        <f t="shared" si="21"/>
        <v>0.05</v>
      </c>
      <c r="AT30" s="63">
        <f t="shared" si="21"/>
        <v>0.05</v>
      </c>
      <c r="AU30" s="63">
        <f t="shared" si="21"/>
        <v>0.05</v>
      </c>
      <c r="AV30" s="63">
        <f t="shared" si="21"/>
        <v>0.05</v>
      </c>
      <c r="AW30" s="63">
        <f t="shared" si="21"/>
        <v>0.05</v>
      </c>
      <c r="AX30" s="63">
        <f t="shared" si="21"/>
        <v>0.05</v>
      </c>
      <c r="AY30" s="63">
        <f t="shared" si="21"/>
        <v>0.05</v>
      </c>
      <c r="AZ30" s="63">
        <f t="shared" si="21"/>
        <v>0.05</v>
      </c>
      <c r="BA30" s="63">
        <f t="shared" si="21"/>
        <v>0.05</v>
      </c>
      <c r="BB30" s="63">
        <f t="shared" si="21"/>
        <v>0.05</v>
      </c>
      <c r="BC30" s="63">
        <f t="shared" si="21"/>
        <v>0.05</v>
      </c>
      <c r="BD30" s="63">
        <f t="shared" si="21"/>
        <v>0.05</v>
      </c>
      <c r="BE30" s="63">
        <f t="shared" si="21"/>
        <v>0.05</v>
      </c>
      <c r="BF30" s="63">
        <f t="shared" si="21"/>
        <v>0.05</v>
      </c>
      <c r="BG30" s="63">
        <f t="shared" si="21"/>
        <v>0.05</v>
      </c>
      <c r="BH30" s="63">
        <f t="shared" si="21"/>
        <v>0.05</v>
      </c>
      <c r="BI30" s="63">
        <f t="shared" si="21"/>
        <v>0.05</v>
      </c>
      <c r="BJ30" s="63">
        <f t="shared" si="21"/>
        <v>0.05</v>
      </c>
      <c r="BK30" s="63">
        <f t="shared" si="21"/>
        <v>0.05</v>
      </c>
      <c r="BL30" s="63">
        <f t="shared" si="21"/>
        <v>0.05</v>
      </c>
      <c r="BM30" s="63">
        <f t="shared" si="21"/>
        <v>0.05</v>
      </c>
      <c r="BN30" s="63">
        <f t="shared" si="21"/>
        <v>0.05</v>
      </c>
    </row>
    <row r="31" outlineLevel="1">
      <c r="A31" s="47"/>
      <c r="B31" s="77" t="s">
        <v>17</v>
      </c>
      <c r="C31" s="47"/>
      <c r="D31" s="64"/>
      <c r="E31" s="65"/>
      <c r="F31" s="66"/>
      <c r="G31" s="64">
        <f t="shared" ref="G31:BN31" si="22">G28*G29*G30</f>
        <v>2.5</v>
      </c>
      <c r="H31" s="64">
        <f t="shared" si="22"/>
        <v>0</v>
      </c>
      <c r="I31" s="64">
        <f t="shared" si="22"/>
        <v>0</v>
      </c>
      <c r="J31" s="64">
        <f t="shared" si="22"/>
        <v>0</v>
      </c>
      <c r="K31" s="64">
        <f t="shared" si="22"/>
        <v>2.5</v>
      </c>
      <c r="L31" s="64">
        <f t="shared" si="22"/>
        <v>0</v>
      </c>
      <c r="M31" s="64">
        <f t="shared" si="22"/>
        <v>0</v>
      </c>
      <c r="N31" s="64">
        <f t="shared" si="22"/>
        <v>2.5</v>
      </c>
      <c r="O31" s="64">
        <f t="shared" si="22"/>
        <v>0</v>
      </c>
      <c r="P31" s="64">
        <f t="shared" si="22"/>
        <v>0</v>
      </c>
      <c r="Q31" s="64">
        <f t="shared" si="22"/>
        <v>2.5</v>
      </c>
      <c r="R31" s="64">
        <f t="shared" si="22"/>
        <v>0</v>
      </c>
      <c r="S31" s="64">
        <f t="shared" si="22"/>
        <v>0</v>
      </c>
      <c r="T31" s="64">
        <f t="shared" si="22"/>
        <v>0</v>
      </c>
      <c r="U31" s="64">
        <f t="shared" si="22"/>
        <v>0</v>
      </c>
      <c r="V31" s="64">
        <f t="shared" si="22"/>
        <v>0</v>
      </c>
      <c r="W31" s="64">
        <f t="shared" si="22"/>
        <v>0</v>
      </c>
      <c r="X31" s="64">
        <f t="shared" si="22"/>
        <v>0</v>
      </c>
      <c r="Y31" s="64">
        <f t="shared" si="22"/>
        <v>0</v>
      </c>
      <c r="Z31" s="64">
        <f t="shared" si="22"/>
        <v>0</v>
      </c>
      <c r="AA31" s="64">
        <f t="shared" si="22"/>
        <v>0</v>
      </c>
      <c r="AB31" s="64">
        <f t="shared" si="22"/>
        <v>0</v>
      </c>
      <c r="AC31" s="64">
        <f t="shared" si="22"/>
        <v>0</v>
      </c>
      <c r="AD31" s="64">
        <f t="shared" si="22"/>
        <v>0</v>
      </c>
      <c r="AE31" s="64">
        <f t="shared" si="22"/>
        <v>0</v>
      </c>
      <c r="AF31" s="64">
        <f t="shared" si="22"/>
        <v>0</v>
      </c>
      <c r="AG31" s="64">
        <f t="shared" si="22"/>
        <v>0</v>
      </c>
      <c r="AH31" s="64">
        <f t="shared" si="22"/>
        <v>0</v>
      </c>
      <c r="AI31" s="64">
        <f t="shared" si="22"/>
        <v>0</v>
      </c>
      <c r="AJ31" s="64">
        <f t="shared" si="22"/>
        <v>0</v>
      </c>
      <c r="AK31" s="64">
        <f t="shared" si="22"/>
        <v>0</v>
      </c>
      <c r="AL31" s="64">
        <f t="shared" si="22"/>
        <v>0</v>
      </c>
      <c r="AM31" s="64">
        <f t="shared" si="22"/>
        <v>0</v>
      </c>
      <c r="AN31" s="64">
        <f t="shared" si="22"/>
        <v>0</v>
      </c>
      <c r="AO31" s="64">
        <f t="shared" si="22"/>
        <v>0</v>
      </c>
      <c r="AP31" s="64">
        <f t="shared" si="22"/>
        <v>0</v>
      </c>
      <c r="AQ31" s="64">
        <f t="shared" si="22"/>
        <v>0</v>
      </c>
      <c r="AR31" s="64">
        <f t="shared" si="22"/>
        <v>0</v>
      </c>
      <c r="AS31" s="64">
        <f t="shared" si="22"/>
        <v>0</v>
      </c>
      <c r="AT31" s="64">
        <f t="shared" si="22"/>
        <v>0</v>
      </c>
      <c r="AU31" s="64">
        <f t="shared" si="22"/>
        <v>0</v>
      </c>
      <c r="AV31" s="64">
        <f t="shared" si="22"/>
        <v>0</v>
      </c>
      <c r="AW31" s="64">
        <f t="shared" si="22"/>
        <v>0</v>
      </c>
      <c r="AX31" s="64">
        <f t="shared" si="22"/>
        <v>0</v>
      </c>
      <c r="AY31" s="64">
        <f t="shared" si="22"/>
        <v>0</v>
      </c>
      <c r="AZ31" s="64">
        <f t="shared" si="22"/>
        <v>0</v>
      </c>
      <c r="BA31" s="64">
        <f t="shared" si="22"/>
        <v>0</v>
      </c>
      <c r="BB31" s="64">
        <f t="shared" si="22"/>
        <v>0</v>
      </c>
      <c r="BC31" s="64">
        <f t="shared" si="22"/>
        <v>0</v>
      </c>
      <c r="BD31" s="64">
        <f t="shared" si="22"/>
        <v>0</v>
      </c>
      <c r="BE31" s="64">
        <f t="shared" si="22"/>
        <v>0</v>
      </c>
      <c r="BF31" s="64">
        <f t="shared" si="22"/>
        <v>0</v>
      </c>
      <c r="BG31" s="64">
        <f t="shared" si="22"/>
        <v>0</v>
      </c>
      <c r="BH31" s="64">
        <f t="shared" si="22"/>
        <v>0</v>
      </c>
      <c r="BI31" s="64">
        <f t="shared" si="22"/>
        <v>0</v>
      </c>
      <c r="BJ31" s="64">
        <f t="shared" si="22"/>
        <v>0</v>
      </c>
      <c r="BK31" s="64">
        <f t="shared" si="22"/>
        <v>0</v>
      </c>
      <c r="BL31" s="64">
        <f t="shared" si="22"/>
        <v>0</v>
      </c>
      <c r="BM31" s="64">
        <f t="shared" si="22"/>
        <v>0</v>
      </c>
      <c r="BN31" s="64">
        <f t="shared" si="22"/>
        <v>0</v>
      </c>
    </row>
    <row r="32" outlineLevel="1">
      <c r="A32" s="47"/>
      <c r="B32" s="67"/>
      <c r="C32" s="47"/>
      <c r="D32" s="43"/>
      <c r="E32" s="47"/>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row>
    <row r="33" outlineLevel="1">
      <c r="A33" s="85"/>
      <c r="B33" s="86" t="s">
        <v>27</v>
      </c>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row>
    <row r="34" outlineLevel="1">
      <c r="A34" s="85"/>
      <c r="B34" s="47" t="s">
        <v>28</v>
      </c>
      <c r="C34" s="85"/>
      <c r="D34" s="81">
        <v>2.0</v>
      </c>
      <c r="E34" s="85"/>
      <c r="F34" s="87"/>
      <c r="G34" s="58">
        <f t="shared" ref="G34:G37" si="24">D34</f>
        <v>2</v>
      </c>
      <c r="H34" s="58">
        <f t="shared" ref="H34:BN34" si="23">G34</f>
        <v>2</v>
      </c>
      <c r="I34" s="58">
        <f t="shared" si="23"/>
        <v>2</v>
      </c>
      <c r="J34" s="58">
        <f t="shared" si="23"/>
        <v>2</v>
      </c>
      <c r="K34" s="58">
        <f t="shared" si="23"/>
        <v>2</v>
      </c>
      <c r="L34" s="58">
        <f t="shared" si="23"/>
        <v>2</v>
      </c>
      <c r="M34" s="58">
        <f t="shared" si="23"/>
        <v>2</v>
      </c>
      <c r="N34" s="58">
        <f t="shared" si="23"/>
        <v>2</v>
      </c>
      <c r="O34" s="58">
        <f t="shared" si="23"/>
        <v>2</v>
      </c>
      <c r="P34" s="58">
        <f t="shared" si="23"/>
        <v>2</v>
      </c>
      <c r="Q34" s="58">
        <f t="shared" si="23"/>
        <v>2</v>
      </c>
      <c r="R34" s="58">
        <f t="shared" si="23"/>
        <v>2</v>
      </c>
      <c r="S34" s="58">
        <f t="shared" si="23"/>
        <v>2</v>
      </c>
      <c r="T34" s="58">
        <f t="shared" si="23"/>
        <v>2</v>
      </c>
      <c r="U34" s="58">
        <f t="shared" si="23"/>
        <v>2</v>
      </c>
      <c r="V34" s="58">
        <f t="shared" si="23"/>
        <v>2</v>
      </c>
      <c r="W34" s="58">
        <f t="shared" si="23"/>
        <v>2</v>
      </c>
      <c r="X34" s="58">
        <f t="shared" si="23"/>
        <v>2</v>
      </c>
      <c r="Y34" s="58">
        <f t="shared" si="23"/>
        <v>2</v>
      </c>
      <c r="Z34" s="58">
        <f t="shared" si="23"/>
        <v>2</v>
      </c>
      <c r="AA34" s="58">
        <f t="shared" si="23"/>
        <v>2</v>
      </c>
      <c r="AB34" s="58">
        <f t="shared" si="23"/>
        <v>2</v>
      </c>
      <c r="AC34" s="58">
        <f t="shared" si="23"/>
        <v>2</v>
      </c>
      <c r="AD34" s="58">
        <f t="shared" si="23"/>
        <v>2</v>
      </c>
      <c r="AE34" s="58">
        <f t="shared" si="23"/>
        <v>2</v>
      </c>
      <c r="AF34" s="58">
        <f t="shared" si="23"/>
        <v>2</v>
      </c>
      <c r="AG34" s="58">
        <f t="shared" si="23"/>
        <v>2</v>
      </c>
      <c r="AH34" s="58">
        <f t="shared" si="23"/>
        <v>2</v>
      </c>
      <c r="AI34" s="58">
        <f t="shared" si="23"/>
        <v>2</v>
      </c>
      <c r="AJ34" s="58">
        <f t="shared" si="23"/>
        <v>2</v>
      </c>
      <c r="AK34" s="58">
        <f t="shared" si="23"/>
        <v>2</v>
      </c>
      <c r="AL34" s="58">
        <f t="shared" si="23"/>
        <v>2</v>
      </c>
      <c r="AM34" s="58">
        <f t="shared" si="23"/>
        <v>2</v>
      </c>
      <c r="AN34" s="58">
        <f t="shared" si="23"/>
        <v>2</v>
      </c>
      <c r="AO34" s="58">
        <f t="shared" si="23"/>
        <v>2</v>
      </c>
      <c r="AP34" s="58">
        <f t="shared" si="23"/>
        <v>2</v>
      </c>
      <c r="AQ34" s="58">
        <f t="shared" si="23"/>
        <v>2</v>
      </c>
      <c r="AR34" s="58">
        <f t="shared" si="23"/>
        <v>2</v>
      </c>
      <c r="AS34" s="58">
        <f t="shared" si="23"/>
        <v>2</v>
      </c>
      <c r="AT34" s="58">
        <f t="shared" si="23"/>
        <v>2</v>
      </c>
      <c r="AU34" s="58">
        <f t="shared" si="23"/>
        <v>2</v>
      </c>
      <c r="AV34" s="58">
        <f t="shared" si="23"/>
        <v>2</v>
      </c>
      <c r="AW34" s="58">
        <f t="shared" si="23"/>
        <v>2</v>
      </c>
      <c r="AX34" s="58">
        <f t="shared" si="23"/>
        <v>2</v>
      </c>
      <c r="AY34" s="58">
        <f t="shared" si="23"/>
        <v>2</v>
      </c>
      <c r="AZ34" s="58">
        <f t="shared" si="23"/>
        <v>2</v>
      </c>
      <c r="BA34" s="58">
        <f t="shared" si="23"/>
        <v>2</v>
      </c>
      <c r="BB34" s="58">
        <f t="shared" si="23"/>
        <v>2</v>
      </c>
      <c r="BC34" s="58">
        <f t="shared" si="23"/>
        <v>2</v>
      </c>
      <c r="BD34" s="58">
        <f t="shared" si="23"/>
        <v>2</v>
      </c>
      <c r="BE34" s="58">
        <f t="shared" si="23"/>
        <v>2</v>
      </c>
      <c r="BF34" s="58">
        <f t="shared" si="23"/>
        <v>2</v>
      </c>
      <c r="BG34" s="58">
        <f t="shared" si="23"/>
        <v>2</v>
      </c>
      <c r="BH34" s="58">
        <f t="shared" si="23"/>
        <v>2</v>
      </c>
      <c r="BI34" s="58">
        <f t="shared" si="23"/>
        <v>2</v>
      </c>
      <c r="BJ34" s="58">
        <f t="shared" si="23"/>
        <v>2</v>
      </c>
      <c r="BK34" s="58">
        <f t="shared" si="23"/>
        <v>2</v>
      </c>
      <c r="BL34" s="58">
        <f t="shared" si="23"/>
        <v>2</v>
      </c>
      <c r="BM34" s="58">
        <f t="shared" si="23"/>
        <v>2</v>
      </c>
      <c r="BN34" s="58">
        <f t="shared" si="23"/>
        <v>2</v>
      </c>
    </row>
    <row r="35" outlineLevel="1">
      <c r="A35" s="85"/>
      <c r="B35" s="47" t="s">
        <v>29</v>
      </c>
      <c r="C35" s="85"/>
      <c r="D35" s="81">
        <v>100.0</v>
      </c>
      <c r="E35" s="85"/>
      <c r="F35" s="87"/>
      <c r="G35" s="58">
        <f t="shared" si="24"/>
        <v>100</v>
      </c>
      <c r="H35" s="58">
        <f t="shared" ref="H35:BN35" si="25">G35</f>
        <v>100</v>
      </c>
      <c r="I35" s="58">
        <f t="shared" si="25"/>
        <v>100</v>
      </c>
      <c r="J35" s="58">
        <f t="shared" si="25"/>
        <v>100</v>
      </c>
      <c r="K35" s="58">
        <f t="shared" si="25"/>
        <v>100</v>
      </c>
      <c r="L35" s="58">
        <f t="shared" si="25"/>
        <v>100</v>
      </c>
      <c r="M35" s="58">
        <f t="shared" si="25"/>
        <v>100</v>
      </c>
      <c r="N35" s="58">
        <f t="shared" si="25"/>
        <v>100</v>
      </c>
      <c r="O35" s="58">
        <f t="shared" si="25"/>
        <v>100</v>
      </c>
      <c r="P35" s="58">
        <f t="shared" si="25"/>
        <v>100</v>
      </c>
      <c r="Q35" s="58">
        <f t="shared" si="25"/>
        <v>100</v>
      </c>
      <c r="R35" s="58">
        <f t="shared" si="25"/>
        <v>100</v>
      </c>
      <c r="S35" s="58">
        <f t="shared" si="25"/>
        <v>100</v>
      </c>
      <c r="T35" s="58">
        <f t="shared" si="25"/>
        <v>100</v>
      </c>
      <c r="U35" s="58">
        <f t="shared" si="25"/>
        <v>100</v>
      </c>
      <c r="V35" s="58">
        <f t="shared" si="25"/>
        <v>100</v>
      </c>
      <c r="W35" s="58">
        <f t="shared" si="25"/>
        <v>100</v>
      </c>
      <c r="X35" s="58">
        <f t="shared" si="25"/>
        <v>100</v>
      </c>
      <c r="Y35" s="58">
        <f t="shared" si="25"/>
        <v>100</v>
      </c>
      <c r="Z35" s="58">
        <f t="shared" si="25"/>
        <v>100</v>
      </c>
      <c r="AA35" s="58">
        <f t="shared" si="25"/>
        <v>100</v>
      </c>
      <c r="AB35" s="58">
        <f t="shared" si="25"/>
        <v>100</v>
      </c>
      <c r="AC35" s="58">
        <f t="shared" si="25"/>
        <v>100</v>
      </c>
      <c r="AD35" s="58">
        <f t="shared" si="25"/>
        <v>100</v>
      </c>
      <c r="AE35" s="58">
        <f t="shared" si="25"/>
        <v>100</v>
      </c>
      <c r="AF35" s="58">
        <f t="shared" si="25"/>
        <v>100</v>
      </c>
      <c r="AG35" s="58">
        <f t="shared" si="25"/>
        <v>100</v>
      </c>
      <c r="AH35" s="58">
        <f t="shared" si="25"/>
        <v>100</v>
      </c>
      <c r="AI35" s="58">
        <f t="shared" si="25"/>
        <v>100</v>
      </c>
      <c r="AJ35" s="58">
        <f t="shared" si="25"/>
        <v>100</v>
      </c>
      <c r="AK35" s="58">
        <f t="shared" si="25"/>
        <v>100</v>
      </c>
      <c r="AL35" s="58">
        <f t="shared" si="25"/>
        <v>100</v>
      </c>
      <c r="AM35" s="58">
        <f t="shared" si="25"/>
        <v>100</v>
      </c>
      <c r="AN35" s="58">
        <f t="shared" si="25"/>
        <v>100</v>
      </c>
      <c r="AO35" s="58">
        <f t="shared" si="25"/>
        <v>100</v>
      </c>
      <c r="AP35" s="58">
        <f t="shared" si="25"/>
        <v>100</v>
      </c>
      <c r="AQ35" s="58">
        <f t="shared" si="25"/>
        <v>100</v>
      </c>
      <c r="AR35" s="58">
        <f t="shared" si="25"/>
        <v>100</v>
      </c>
      <c r="AS35" s="58">
        <f t="shared" si="25"/>
        <v>100</v>
      </c>
      <c r="AT35" s="58">
        <f t="shared" si="25"/>
        <v>100</v>
      </c>
      <c r="AU35" s="58">
        <f t="shared" si="25"/>
        <v>100</v>
      </c>
      <c r="AV35" s="58">
        <f t="shared" si="25"/>
        <v>100</v>
      </c>
      <c r="AW35" s="58">
        <f t="shared" si="25"/>
        <v>100</v>
      </c>
      <c r="AX35" s="58">
        <f t="shared" si="25"/>
        <v>100</v>
      </c>
      <c r="AY35" s="58">
        <f t="shared" si="25"/>
        <v>100</v>
      </c>
      <c r="AZ35" s="58">
        <f t="shared" si="25"/>
        <v>100</v>
      </c>
      <c r="BA35" s="58">
        <f t="shared" si="25"/>
        <v>100</v>
      </c>
      <c r="BB35" s="58">
        <f t="shared" si="25"/>
        <v>100</v>
      </c>
      <c r="BC35" s="58">
        <f t="shared" si="25"/>
        <v>100</v>
      </c>
      <c r="BD35" s="58">
        <f t="shared" si="25"/>
        <v>100</v>
      </c>
      <c r="BE35" s="58">
        <f t="shared" si="25"/>
        <v>100</v>
      </c>
      <c r="BF35" s="58">
        <f t="shared" si="25"/>
        <v>100</v>
      </c>
      <c r="BG35" s="58">
        <f t="shared" si="25"/>
        <v>100</v>
      </c>
      <c r="BH35" s="58">
        <f t="shared" si="25"/>
        <v>100</v>
      </c>
      <c r="BI35" s="58">
        <f t="shared" si="25"/>
        <v>100</v>
      </c>
      <c r="BJ35" s="58">
        <f t="shared" si="25"/>
        <v>100</v>
      </c>
      <c r="BK35" s="58">
        <f t="shared" si="25"/>
        <v>100</v>
      </c>
      <c r="BL35" s="58">
        <f t="shared" si="25"/>
        <v>100</v>
      </c>
      <c r="BM35" s="58">
        <f t="shared" si="25"/>
        <v>100</v>
      </c>
      <c r="BN35" s="58">
        <f t="shared" si="25"/>
        <v>100</v>
      </c>
    </row>
    <row r="36" outlineLevel="1">
      <c r="A36" s="85"/>
      <c r="B36" s="47" t="s">
        <v>30</v>
      </c>
      <c r="C36" s="85"/>
      <c r="D36" s="81">
        <v>5.0</v>
      </c>
      <c r="E36" s="85"/>
      <c r="F36" s="87"/>
      <c r="G36" s="58">
        <f t="shared" si="24"/>
        <v>5</v>
      </c>
      <c r="H36" s="58">
        <f t="shared" ref="H36:BN36" si="26">G36</f>
        <v>5</v>
      </c>
      <c r="I36" s="58">
        <f t="shared" si="26"/>
        <v>5</v>
      </c>
      <c r="J36" s="58">
        <f t="shared" si="26"/>
        <v>5</v>
      </c>
      <c r="K36" s="58">
        <f t="shared" si="26"/>
        <v>5</v>
      </c>
      <c r="L36" s="58">
        <f t="shared" si="26"/>
        <v>5</v>
      </c>
      <c r="M36" s="58">
        <f t="shared" si="26"/>
        <v>5</v>
      </c>
      <c r="N36" s="58">
        <f t="shared" si="26"/>
        <v>5</v>
      </c>
      <c r="O36" s="58">
        <f t="shared" si="26"/>
        <v>5</v>
      </c>
      <c r="P36" s="58">
        <f t="shared" si="26"/>
        <v>5</v>
      </c>
      <c r="Q36" s="58">
        <f t="shared" si="26"/>
        <v>5</v>
      </c>
      <c r="R36" s="58">
        <f t="shared" si="26"/>
        <v>5</v>
      </c>
      <c r="S36" s="58">
        <f t="shared" si="26"/>
        <v>5</v>
      </c>
      <c r="T36" s="58">
        <f t="shared" si="26"/>
        <v>5</v>
      </c>
      <c r="U36" s="58">
        <f t="shared" si="26"/>
        <v>5</v>
      </c>
      <c r="V36" s="58">
        <f t="shared" si="26"/>
        <v>5</v>
      </c>
      <c r="W36" s="58">
        <f t="shared" si="26"/>
        <v>5</v>
      </c>
      <c r="X36" s="58">
        <f t="shared" si="26"/>
        <v>5</v>
      </c>
      <c r="Y36" s="58">
        <f t="shared" si="26"/>
        <v>5</v>
      </c>
      <c r="Z36" s="58">
        <f t="shared" si="26"/>
        <v>5</v>
      </c>
      <c r="AA36" s="58">
        <f t="shared" si="26"/>
        <v>5</v>
      </c>
      <c r="AB36" s="58">
        <f t="shared" si="26"/>
        <v>5</v>
      </c>
      <c r="AC36" s="58">
        <f t="shared" si="26"/>
        <v>5</v>
      </c>
      <c r="AD36" s="58">
        <f t="shared" si="26"/>
        <v>5</v>
      </c>
      <c r="AE36" s="58">
        <f t="shared" si="26"/>
        <v>5</v>
      </c>
      <c r="AF36" s="58">
        <f t="shared" si="26"/>
        <v>5</v>
      </c>
      <c r="AG36" s="58">
        <f t="shared" si="26"/>
        <v>5</v>
      </c>
      <c r="AH36" s="58">
        <f t="shared" si="26"/>
        <v>5</v>
      </c>
      <c r="AI36" s="58">
        <f t="shared" si="26"/>
        <v>5</v>
      </c>
      <c r="AJ36" s="58">
        <f t="shared" si="26"/>
        <v>5</v>
      </c>
      <c r="AK36" s="58">
        <f t="shared" si="26"/>
        <v>5</v>
      </c>
      <c r="AL36" s="58">
        <f t="shared" si="26"/>
        <v>5</v>
      </c>
      <c r="AM36" s="58">
        <f t="shared" si="26"/>
        <v>5</v>
      </c>
      <c r="AN36" s="58">
        <f t="shared" si="26"/>
        <v>5</v>
      </c>
      <c r="AO36" s="58">
        <f t="shared" si="26"/>
        <v>5</v>
      </c>
      <c r="AP36" s="58">
        <f t="shared" si="26"/>
        <v>5</v>
      </c>
      <c r="AQ36" s="58">
        <f t="shared" si="26"/>
        <v>5</v>
      </c>
      <c r="AR36" s="58">
        <f t="shared" si="26"/>
        <v>5</v>
      </c>
      <c r="AS36" s="58">
        <f t="shared" si="26"/>
        <v>5</v>
      </c>
      <c r="AT36" s="58">
        <f t="shared" si="26"/>
        <v>5</v>
      </c>
      <c r="AU36" s="58">
        <f t="shared" si="26"/>
        <v>5</v>
      </c>
      <c r="AV36" s="58">
        <f t="shared" si="26"/>
        <v>5</v>
      </c>
      <c r="AW36" s="58">
        <f t="shared" si="26"/>
        <v>5</v>
      </c>
      <c r="AX36" s="58">
        <f t="shared" si="26"/>
        <v>5</v>
      </c>
      <c r="AY36" s="58">
        <f t="shared" si="26"/>
        <v>5</v>
      </c>
      <c r="AZ36" s="58">
        <f t="shared" si="26"/>
        <v>5</v>
      </c>
      <c r="BA36" s="58">
        <f t="shared" si="26"/>
        <v>5</v>
      </c>
      <c r="BB36" s="58">
        <f t="shared" si="26"/>
        <v>5</v>
      </c>
      <c r="BC36" s="58">
        <f t="shared" si="26"/>
        <v>5</v>
      </c>
      <c r="BD36" s="58">
        <f t="shared" si="26"/>
        <v>5</v>
      </c>
      <c r="BE36" s="58">
        <f t="shared" si="26"/>
        <v>5</v>
      </c>
      <c r="BF36" s="58">
        <f t="shared" si="26"/>
        <v>5</v>
      </c>
      <c r="BG36" s="58">
        <f t="shared" si="26"/>
        <v>5</v>
      </c>
      <c r="BH36" s="58">
        <f t="shared" si="26"/>
        <v>5</v>
      </c>
      <c r="BI36" s="58">
        <f t="shared" si="26"/>
        <v>5</v>
      </c>
      <c r="BJ36" s="58">
        <f t="shared" si="26"/>
        <v>5</v>
      </c>
      <c r="BK36" s="58">
        <f t="shared" si="26"/>
        <v>5</v>
      </c>
      <c r="BL36" s="58">
        <f t="shared" si="26"/>
        <v>5</v>
      </c>
      <c r="BM36" s="58">
        <f t="shared" si="26"/>
        <v>5</v>
      </c>
      <c r="BN36" s="58">
        <f t="shared" si="26"/>
        <v>5</v>
      </c>
    </row>
    <row r="37" outlineLevel="1">
      <c r="A37" s="85"/>
      <c r="B37" s="60" t="s">
        <v>16</v>
      </c>
      <c r="C37" s="88"/>
      <c r="D37" s="89">
        <v>0.05</v>
      </c>
      <c r="E37" s="90"/>
      <c r="F37" s="90"/>
      <c r="G37" s="63">
        <f t="shared" si="24"/>
        <v>0.05</v>
      </c>
      <c r="H37" s="63">
        <f t="shared" ref="H37:BN37" si="27">G37</f>
        <v>0.05</v>
      </c>
      <c r="I37" s="63">
        <f t="shared" si="27"/>
        <v>0.05</v>
      </c>
      <c r="J37" s="63">
        <f t="shared" si="27"/>
        <v>0.05</v>
      </c>
      <c r="K37" s="63">
        <f t="shared" si="27"/>
        <v>0.05</v>
      </c>
      <c r="L37" s="63">
        <f t="shared" si="27"/>
        <v>0.05</v>
      </c>
      <c r="M37" s="63">
        <f t="shared" si="27"/>
        <v>0.05</v>
      </c>
      <c r="N37" s="63">
        <f t="shared" si="27"/>
        <v>0.05</v>
      </c>
      <c r="O37" s="63">
        <f t="shared" si="27"/>
        <v>0.05</v>
      </c>
      <c r="P37" s="63">
        <f t="shared" si="27"/>
        <v>0.05</v>
      </c>
      <c r="Q37" s="63">
        <f t="shared" si="27"/>
        <v>0.05</v>
      </c>
      <c r="R37" s="63">
        <f t="shared" si="27"/>
        <v>0.05</v>
      </c>
      <c r="S37" s="63">
        <f t="shared" si="27"/>
        <v>0.05</v>
      </c>
      <c r="T37" s="63">
        <f t="shared" si="27"/>
        <v>0.05</v>
      </c>
      <c r="U37" s="63">
        <f t="shared" si="27"/>
        <v>0.05</v>
      </c>
      <c r="V37" s="63">
        <f t="shared" si="27"/>
        <v>0.05</v>
      </c>
      <c r="W37" s="63">
        <f t="shared" si="27"/>
        <v>0.05</v>
      </c>
      <c r="X37" s="63">
        <f t="shared" si="27"/>
        <v>0.05</v>
      </c>
      <c r="Y37" s="63">
        <f t="shared" si="27"/>
        <v>0.05</v>
      </c>
      <c r="Z37" s="63">
        <f t="shared" si="27"/>
        <v>0.05</v>
      </c>
      <c r="AA37" s="63">
        <f t="shared" si="27"/>
        <v>0.05</v>
      </c>
      <c r="AB37" s="63">
        <f t="shared" si="27"/>
        <v>0.05</v>
      </c>
      <c r="AC37" s="63">
        <f t="shared" si="27"/>
        <v>0.05</v>
      </c>
      <c r="AD37" s="63">
        <f t="shared" si="27"/>
        <v>0.05</v>
      </c>
      <c r="AE37" s="63">
        <f t="shared" si="27"/>
        <v>0.05</v>
      </c>
      <c r="AF37" s="63">
        <f t="shared" si="27"/>
        <v>0.05</v>
      </c>
      <c r="AG37" s="63">
        <f t="shared" si="27"/>
        <v>0.05</v>
      </c>
      <c r="AH37" s="63">
        <f t="shared" si="27"/>
        <v>0.05</v>
      </c>
      <c r="AI37" s="63">
        <f t="shared" si="27"/>
        <v>0.05</v>
      </c>
      <c r="AJ37" s="63">
        <f t="shared" si="27"/>
        <v>0.05</v>
      </c>
      <c r="AK37" s="63">
        <f t="shared" si="27"/>
        <v>0.05</v>
      </c>
      <c r="AL37" s="63">
        <f t="shared" si="27"/>
        <v>0.05</v>
      </c>
      <c r="AM37" s="63">
        <f t="shared" si="27"/>
        <v>0.05</v>
      </c>
      <c r="AN37" s="63">
        <f t="shared" si="27"/>
        <v>0.05</v>
      </c>
      <c r="AO37" s="63">
        <f t="shared" si="27"/>
        <v>0.05</v>
      </c>
      <c r="AP37" s="63">
        <f t="shared" si="27"/>
        <v>0.05</v>
      </c>
      <c r="AQ37" s="63">
        <f t="shared" si="27"/>
        <v>0.05</v>
      </c>
      <c r="AR37" s="63">
        <f t="shared" si="27"/>
        <v>0.05</v>
      </c>
      <c r="AS37" s="63">
        <f t="shared" si="27"/>
        <v>0.05</v>
      </c>
      <c r="AT37" s="63">
        <f t="shared" si="27"/>
        <v>0.05</v>
      </c>
      <c r="AU37" s="63">
        <f t="shared" si="27"/>
        <v>0.05</v>
      </c>
      <c r="AV37" s="63">
        <f t="shared" si="27"/>
        <v>0.05</v>
      </c>
      <c r="AW37" s="63">
        <f t="shared" si="27"/>
        <v>0.05</v>
      </c>
      <c r="AX37" s="63">
        <f t="shared" si="27"/>
        <v>0.05</v>
      </c>
      <c r="AY37" s="63">
        <f t="shared" si="27"/>
        <v>0.05</v>
      </c>
      <c r="AZ37" s="63">
        <f t="shared" si="27"/>
        <v>0.05</v>
      </c>
      <c r="BA37" s="63">
        <f t="shared" si="27"/>
        <v>0.05</v>
      </c>
      <c r="BB37" s="63">
        <f t="shared" si="27"/>
        <v>0.05</v>
      </c>
      <c r="BC37" s="63">
        <f t="shared" si="27"/>
        <v>0.05</v>
      </c>
      <c r="BD37" s="63">
        <f t="shared" si="27"/>
        <v>0.05</v>
      </c>
      <c r="BE37" s="63">
        <f t="shared" si="27"/>
        <v>0.05</v>
      </c>
      <c r="BF37" s="63">
        <f t="shared" si="27"/>
        <v>0.05</v>
      </c>
      <c r="BG37" s="63">
        <f t="shared" si="27"/>
        <v>0.05</v>
      </c>
      <c r="BH37" s="63">
        <f t="shared" si="27"/>
        <v>0.05</v>
      </c>
      <c r="BI37" s="63">
        <f t="shared" si="27"/>
        <v>0.05</v>
      </c>
      <c r="BJ37" s="63">
        <f t="shared" si="27"/>
        <v>0.05</v>
      </c>
      <c r="BK37" s="63">
        <f t="shared" si="27"/>
        <v>0.05</v>
      </c>
      <c r="BL37" s="63">
        <f t="shared" si="27"/>
        <v>0.05</v>
      </c>
      <c r="BM37" s="63">
        <f t="shared" si="27"/>
        <v>0.05</v>
      </c>
      <c r="BN37" s="63">
        <f t="shared" si="27"/>
        <v>0.05</v>
      </c>
    </row>
    <row r="38" outlineLevel="1">
      <c r="A38" s="85"/>
      <c r="B38" s="91" t="s">
        <v>17</v>
      </c>
      <c r="C38" s="85"/>
      <c r="D38" s="78"/>
      <c r="E38" s="87"/>
      <c r="F38" s="87"/>
      <c r="G38" s="78">
        <f t="shared" ref="G38:BN38" si="28">G34*G35*G36*G37</f>
        <v>50</v>
      </c>
      <c r="H38" s="78">
        <f t="shared" si="28"/>
        <v>50</v>
      </c>
      <c r="I38" s="78">
        <f t="shared" si="28"/>
        <v>50</v>
      </c>
      <c r="J38" s="78">
        <f t="shared" si="28"/>
        <v>50</v>
      </c>
      <c r="K38" s="78">
        <f t="shared" si="28"/>
        <v>50</v>
      </c>
      <c r="L38" s="78">
        <f t="shared" si="28"/>
        <v>50</v>
      </c>
      <c r="M38" s="78">
        <f t="shared" si="28"/>
        <v>50</v>
      </c>
      <c r="N38" s="78">
        <f t="shared" si="28"/>
        <v>50</v>
      </c>
      <c r="O38" s="78">
        <f t="shared" si="28"/>
        <v>50</v>
      </c>
      <c r="P38" s="78">
        <f t="shared" si="28"/>
        <v>50</v>
      </c>
      <c r="Q38" s="78">
        <f t="shared" si="28"/>
        <v>50</v>
      </c>
      <c r="R38" s="78">
        <f t="shared" si="28"/>
        <v>50</v>
      </c>
      <c r="S38" s="78">
        <f t="shared" si="28"/>
        <v>50</v>
      </c>
      <c r="T38" s="78">
        <f t="shared" si="28"/>
        <v>50</v>
      </c>
      <c r="U38" s="78">
        <f t="shared" si="28"/>
        <v>50</v>
      </c>
      <c r="V38" s="78">
        <f t="shared" si="28"/>
        <v>50</v>
      </c>
      <c r="W38" s="78">
        <f t="shared" si="28"/>
        <v>50</v>
      </c>
      <c r="X38" s="78">
        <f t="shared" si="28"/>
        <v>50</v>
      </c>
      <c r="Y38" s="78">
        <f t="shared" si="28"/>
        <v>50</v>
      </c>
      <c r="Z38" s="78">
        <f t="shared" si="28"/>
        <v>50</v>
      </c>
      <c r="AA38" s="78">
        <f t="shared" si="28"/>
        <v>50</v>
      </c>
      <c r="AB38" s="78">
        <f t="shared" si="28"/>
        <v>50</v>
      </c>
      <c r="AC38" s="78">
        <f t="shared" si="28"/>
        <v>50</v>
      </c>
      <c r="AD38" s="78">
        <f t="shared" si="28"/>
        <v>50</v>
      </c>
      <c r="AE38" s="78">
        <f t="shared" si="28"/>
        <v>50</v>
      </c>
      <c r="AF38" s="78">
        <f t="shared" si="28"/>
        <v>50</v>
      </c>
      <c r="AG38" s="78">
        <f t="shared" si="28"/>
        <v>50</v>
      </c>
      <c r="AH38" s="78">
        <f t="shared" si="28"/>
        <v>50</v>
      </c>
      <c r="AI38" s="78">
        <f t="shared" si="28"/>
        <v>50</v>
      </c>
      <c r="AJ38" s="78">
        <f t="shared" si="28"/>
        <v>50</v>
      </c>
      <c r="AK38" s="78">
        <f t="shared" si="28"/>
        <v>50</v>
      </c>
      <c r="AL38" s="78">
        <f t="shared" si="28"/>
        <v>50</v>
      </c>
      <c r="AM38" s="78">
        <f t="shared" si="28"/>
        <v>50</v>
      </c>
      <c r="AN38" s="78">
        <f t="shared" si="28"/>
        <v>50</v>
      </c>
      <c r="AO38" s="78">
        <f t="shared" si="28"/>
        <v>50</v>
      </c>
      <c r="AP38" s="78">
        <f t="shared" si="28"/>
        <v>50</v>
      </c>
      <c r="AQ38" s="78">
        <f t="shared" si="28"/>
        <v>50</v>
      </c>
      <c r="AR38" s="78">
        <f t="shared" si="28"/>
        <v>50</v>
      </c>
      <c r="AS38" s="78">
        <f t="shared" si="28"/>
        <v>50</v>
      </c>
      <c r="AT38" s="78">
        <f t="shared" si="28"/>
        <v>50</v>
      </c>
      <c r="AU38" s="78">
        <f t="shared" si="28"/>
        <v>50</v>
      </c>
      <c r="AV38" s="78">
        <f t="shared" si="28"/>
        <v>50</v>
      </c>
      <c r="AW38" s="78">
        <f t="shared" si="28"/>
        <v>50</v>
      </c>
      <c r="AX38" s="78">
        <f t="shared" si="28"/>
        <v>50</v>
      </c>
      <c r="AY38" s="78">
        <f t="shared" si="28"/>
        <v>50</v>
      </c>
      <c r="AZ38" s="78">
        <f t="shared" si="28"/>
        <v>50</v>
      </c>
      <c r="BA38" s="78">
        <f t="shared" si="28"/>
        <v>50</v>
      </c>
      <c r="BB38" s="78">
        <f t="shared" si="28"/>
        <v>50</v>
      </c>
      <c r="BC38" s="78">
        <f t="shared" si="28"/>
        <v>50</v>
      </c>
      <c r="BD38" s="78">
        <f t="shared" si="28"/>
        <v>50</v>
      </c>
      <c r="BE38" s="78">
        <f t="shared" si="28"/>
        <v>50</v>
      </c>
      <c r="BF38" s="78">
        <f t="shared" si="28"/>
        <v>50</v>
      </c>
      <c r="BG38" s="78">
        <f t="shared" si="28"/>
        <v>50</v>
      </c>
      <c r="BH38" s="78">
        <f t="shared" si="28"/>
        <v>50</v>
      </c>
      <c r="BI38" s="78">
        <f t="shared" si="28"/>
        <v>50</v>
      </c>
      <c r="BJ38" s="78">
        <f t="shared" si="28"/>
        <v>50</v>
      </c>
      <c r="BK38" s="78">
        <f t="shared" si="28"/>
        <v>50</v>
      </c>
      <c r="BL38" s="78">
        <f t="shared" si="28"/>
        <v>50</v>
      </c>
      <c r="BM38" s="78">
        <f t="shared" si="28"/>
        <v>50</v>
      </c>
      <c r="BN38" s="78">
        <f t="shared" si="28"/>
        <v>50</v>
      </c>
    </row>
    <row r="39" outlineLevel="1">
      <c r="A39" s="47"/>
      <c r="B39" s="67"/>
      <c r="C39" s="47"/>
      <c r="D39" s="43"/>
      <c r="E39" s="47"/>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row>
    <row r="40" outlineLevel="1">
      <c r="A40" s="47"/>
      <c r="B40" s="67" t="s">
        <v>31</v>
      </c>
      <c r="C40" s="47"/>
      <c r="D40" s="43"/>
      <c r="E40" s="47"/>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row>
    <row r="41" outlineLevel="1">
      <c r="A41" s="47"/>
      <c r="B41" s="39" t="s">
        <v>32</v>
      </c>
      <c r="C41" s="47"/>
      <c r="D41" s="58" t="str">
        <f>C71</f>
        <v/>
      </c>
      <c r="E41" s="47"/>
      <c r="F41" s="57"/>
      <c r="G41" s="58" t="str">
        <f t="shared" ref="G41:BN41" si="29">F71</f>
        <v/>
      </c>
      <c r="H41" s="58">
        <f t="shared" si="29"/>
        <v>267.5</v>
      </c>
      <c r="I41" s="58">
        <f t="shared" si="29"/>
        <v>269.0125</v>
      </c>
      <c r="J41" s="58">
        <f t="shared" si="29"/>
        <v>274.0351875</v>
      </c>
      <c r="K41" s="58">
        <f t="shared" si="29"/>
        <v>274.1105278</v>
      </c>
      <c r="L41" s="58">
        <f t="shared" si="29"/>
        <v>276.6116579</v>
      </c>
      <c r="M41" s="58">
        <f t="shared" si="29"/>
        <v>274.1491749</v>
      </c>
      <c r="N41" s="58">
        <f t="shared" si="29"/>
        <v>274.1122376</v>
      </c>
      <c r="O41" s="58">
        <f t="shared" si="29"/>
        <v>276.6116836</v>
      </c>
      <c r="P41" s="58">
        <f t="shared" si="29"/>
        <v>274.1491753</v>
      </c>
      <c r="Q41" s="58">
        <f t="shared" si="29"/>
        <v>274.1122376</v>
      </c>
      <c r="R41" s="58">
        <f t="shared" si="29"/>
        <v>276.6116836</v>
      </c>
      <c r="S41" s="58">
        <f t="shared" si="29"/>
        <v>274.1491753</v>
      </c>
      <c r="T41" s="58">
        <f t="shared" si="29"/>
        <v>274.1122376</v>
      </c>
      <c r="U41" s="58">
        <f t="shared" si="29"/>
        <v>274.1116836</v>
      </c>
      <c r="V41" s="58">
        <f t="shared" si="29"/>
        <v>274.1116753</v>
      </c>
      <c r="W41" s="58">
        <f t="shared" si="29"/>
        <v>274.1116751</v>
      </c>
      <c r="X41" s="58">
        <f t="shared" si="29"/>
        <v>274.1116751</v>
      </c>
      <c r="Y41" s="58">
        <f t="shared" si="29"/>
        <v>274.1116751</v>
      </c>
      <c r="Z41" s="58">
        <f t="shared" si="29"/>
        <v>274.1116751</v>
      </c>
      <c r="AA41" s="58">
        <f t="shared" si="29"/>
        <v>274.1116751</v>
      </c>
      <c r="AB41" s="58">
        <f t="shared" si="29"/>
        <v>274.1116751</v>
      </c>
      <c r="AC41" s="58">
        <f t="shared" si="29"/>
        <v>274.1116751</v>
      </c>
      <c r="AD41" s="58">
        <f t="shared" si="29"/>
        <v>274.1116751</v>
      </c>
      <c r="AE41" s="58">
        <f t="shared" si="29"/>
        <v>274.1116751</v>
      </c>
      <c r="AF41" s="58">
        <f t="shared" si="29"/>
        <v>274.1116751</v>
      </c>
      <c r="AG41" s="58">
        <f t="shared" si="29"/>
        <v>274.1116751</v>
      </c>
      <c r="AH41" s="58">
        <f t="shared" si="29"/>
        <v>274.1116751</v>
      </c>
      <c r="AI41" s="58">
        <f t="shared" si="29"/>
        <v>274.1116751</v>
      </c>
      <c r="AJ41" s="58">
        <f t="shared" si="29"/>
        <v>274.1116751</v>
      </c>
      <c r="AK41" s="58">
        <f t="shared" si="29"/>
        <v>274.1116751</v>
      </c>
      <c r="AL41" s="58">
        <f t="shared" si="29"/>
        <v>274.1116751</v>
      </c>
      <c r="AM41" s="58">
        <f t="shared" si="29"/>
        <v>274.1116751</v>
      </c>
      <c r="AN41" s="58">
        <f t="shared" si="29"/>
        <v>274.1116751</v>
      </c>
      <c r="AO41" s="58">
        <f t="shared" si="29"/>
        <v>274.1116751</v>
      </c>
      <c r="AP41" s="58">
        <f t="shared" si="29"/>
        <v>274.1116751</v>
      </c>
      <c r="AQ41" s="58">
        <f t="shared" si="29"/>
        <v>274.1116751</v>
      </c>
      <c r="AR41" s="58">
        <f t="shared" si="29"/>
        <v>274.1116751</v>
      </c>
      <c r="AS41" s="58">
        <f t="shared" si="29"/>
        <v>274.1116751</v>
      </c>
      <c r="AT41" s="58">
        <f t="shared" si="29"/>
        <v>274.1116751</v>
      </c>
      <c r="AU41" s="58">
        <f t="shared" si="29"/>
        <v>274.1116751</v>
      </c>
      <c r="AV41" s="58">
        <f t="shared" si="29"/>
        <v>274.1116751</v>
      </c>
      <c r="AW41" s="58">
        <f t="shared" si="29"/>
        <v>274.1116751</v>
      </c>
      <c r="AX41" s="58">
        <f t="shared" si="29"/>
        <v>274.1116751</v>
      </c>
      <c r="AY41" s="58">
        <f t="shared" si="29"/>
        <v>274.1116751</v>
      </c>
      <c r="AZ41" s="58">
        <f t="shared" si="29"/>
        <v>274.1116751</v>
      </c>
      <c r="BA41" s="58">
        <f t="shared" si="29"/>
        <v>274.1116751</v>
      </c>
      <c r="BB41" s="58">
        <f t="shared" si="29"/>
        <v>274.1116751</v>
      </c>
      <c r="BC41" s="58">
        <f t="shared" si="29"/>
        <v>274.1116751</v>
      </c>
      <c r="BD41" s="58">
        <f t="shared" si="29"/>
        <v>274.1116751</v>
      </c>
      <c r="BE41" s="58">
        <f t="shared" si="29"/>
        <v>274.1116751</v>
      </c>
      <c r="BF41" s="58">
        <f t="shared" si="29"/>
        <v>274.1116751</v>
      </c>
      <c r="BG41" s="58">
        <f t="shared" si="29"/>
        <v>274.1116751</v>
      </c>
      <c r="BH41" s="58">
        <f t="shared" si="29"/>
        <v>274.1116751</v>
      </c>
      <c r="BI41" s="58">
        <f t="shared" si="29"/>
        <v>274.1116751</v>
      </c>
      <c r="BJ41" s="58">
        <f t="shared" si="29"/>
        <v>274.1116751</v>
      </c>
      <c r="BK41" s="58">
        <f t="shared" si="29"/>
        <v>274.1116751</v>
      </c>
      <c r="BL41" s="58">
        <f t="shared" si="29"/>
        <v>274.1116751</v>
      </c>
      <c r="BM41" s="58">
        <f t="shared" si="29"/>
        <v>274.1116751</v>
      </c>
      <c r="BN41" s="58">
        <f t="shared" si="29"/>
        <v>274.1116751</v>
      </c>
    </row>
    <row r="42" outlineLevel="1">
      <c r="A42" s="47"/>
      <c r="B42" s="39" t="s">
        <v>33</v>
      </c>
      <c r="C42" s="47"/>
      <c r="D42" s="92">
        <v>0.3</v>
      </c>
      <c r="E42" s="47"/>
      <c r="F42" s="66"/>
      <c r="G42" s="93">
        <f t="shared" ref="G42:G43" si="31">D42</f>
        <v>0.3</v>
      </c>
      <c r="H42" s="93">
        <f t="shared" ref="H42:BN42" si="30">G42</f>
        <v>0.3</v>
      </c>
      <c r="I42" s="93">
        <f t="shared" si="30"/>
        <v>0.3</v>
      </c>
      <c r="J42" s="93">
        <f t="shared" si="30"/>
        <v>0.3</v>
      </c>
      <c r="K42" s="93">
        <f t="shared" si="30"/>
        <v>0.3</v>
      </c>
      <c r="L42" s="93">
        <f t="shared" si="30"/>
        <v>0.3</v>
      </c>
      <c r="M42" s="93">
        <f t="shared" si="30"/>
        <v>0.3</v>
      </c>
      <c r="N42" s="93">
        <f t="shared" si="30"/>
        <v>0.3</v>
      </c>
      <c r="O42" s="93">
        <f t="shared" si="30"/>
        <v>0.3</v>
      </c>
      <c r="P42" s="93">
        <f t="shared" si="30"/>
        <v>0.3</v>
      </c>
      <c r="Q42" s="93">
        <f t="shared" si="30"/>
        <v>0.3</v>
      </c>
      <c r="R42" s="93">
        <f t="shared" si="30"/>
        <v>0.3</v>
      </c>
      <c r="S42" s="93">
        <f t="shared" si="30"/>
        <v>0.3</v>
      </c>
      <c r="T42" s="93">
        <f t="shared" si="30"/>
        <v>0.3</v>
      </c>
      <c r="U42" s="93">
        <f t="shared" si="30"/>
        <v>0.3</v>
      </c>
      <c r="V42" s="93">
        <f t="shared" si="30"/>
        <v>0.3</v>
      </c>
      <c r="W42" s="93">
        <f t="shared" si="30"/>
        <v>0.3</v>
      </c>
      <c r="X42" s="93">
        <f t="shared" si="30"/>
        <v>0.3</v>
      </c>
      <c r="Y42" s="93">
        <f t="shared" si="30"/>
        <v>0.3</v>
      </c>
      <c r="Z42" s="93">
        <f t="shared" si="30"/>
        <v>0.3</v>
      </c>
      <c r="AA42" s="93">
        <f t="shared" si="30"/>
        <v>0.3</v>
      </c>
      <c r="AB42" s="93">
        <f t="shared" si="30"/>
        <v>0.3</v>
      </c>
      <c r="AC42" s="93">
        <f t="shared" si="30"/>
        <v>0.3</v>
      </c>
      <c r="AD42" s="93">
        <f t="shared" si="30"/>
        <v>0.3</v>
      </c>
      <c r="AE42" s="93">
        <f t="shared" si="30"/>
        <v>0.3</v>
      </c>
      <c r="AF42" s="93">
        <f t="shared" si="30"/>
        <v>0.3</v>
      </c>
      <c r="AG42" s="93">
        <f t="shared" si="30"/>
        <v>0.3</v>
      </c>
      <c r="AH42" s="93">
        <f t="shared" si="30"/>
        <v>0.3</v>
      </c>
      <c r="AI42" s="93">
        <f t="shared" si="30"/>
        <v>0.3</v>
      </c>
      <c r="AJ42" s="93">
        <f t="shared" si="30"/>
        <v>0.3</v>
      </c>
      <c r="AK42" s="93">
        <f t="shared" si="30"/>
        <v>0.3</v>
      </c>
      <c r="AL42" s="93">
        <f t="shared" si="30"/>
        <v>0.3</v>
      </c>
      <c r="AM42" s="93">
        <f t="shared" si="30"/>
        <v>0.3</v>
      </c>
      <c r="AN42" s="93">
        <f t="shared" si="30"/>
        <v>0.3</v>
      </c>
      <c r="AO42" s="93">
        <f t="shared" si="30"/>
        <v>0.3</v>
      </c>
      <c r="AP42" s="93">
        <f t="shared" si="30"/>
        <v>0.3</v>
      </c>
      <c r="AQ42" s="93">
        <f t="shared" si="30"/>
        <v>0.3</v>
      </c>
      <c r="AR42" s="93">
        <f t="shared" si="30"/>
        <v>0.3</v>
      </c>
      <c r="AS42" s="93">
        <f t="shared" si="30"/>
        <v>0.3</v>
      </c>
      <c r="AT42" s="93">
        <f t="shared" si="30"/>
        <v>0.3</v>
      </c>
      <c r="AU42" s="93">
        <f t="shared" si="30"/>
        <v>0.3</v>
      </c>
      <c r="AV42" s="93">
        <f t="shared" si="30"/>
        <v>0.3</v>
      </c>
      <c r="AW42" s="93">
        <f t="shared" si="30"/>
        <v>0.3</v>
      </c>
      <c r="AX42" s="93">
        <f t="shared" si="30"/>
        <v>0.3</v>
      </c>
      <c r="AY42" s="93">
        <f t="shared" si="30"/>
        <v>0.3</v>
      </c>
      <c r="AZ42" s="93">
        <f t="shared" si="30"/>
        <v>0.3</v>
      </c>
      <c r="BA42" s="93">
        <f t="shared" si="30"/>
        <v>0.3</v>
      </c>
      <c r="BB42" s="93">
        <f t="shared" si="30"/>
        <v>0.3</v>
      </c>
      <c r="BC42" s="93">
        <f t="shared" si="30"/>
        <v>0.3</v>
      </c>
      <c r="BD42" s="93">
        <f t="shared" si="30"/>
        <v>0.3</v>
      </c>
      <c r="BE42" s="93">
        <f t="shared" si="30"/>
        <v>0.3</v>
      </c>
      <c r="BF42" s="93">
        <f t="shared" si="30"/>
        <v>0.3</v>
      </c>
      <c r="BG42" s="93">
        <f t="shared" si="30"/>
        <v>0.3</v>
      </c>
      <c r="BH42" s="93">
        <f t="shared" si="30"/>
        <v>0.3</v>
      </c>
      <c r="BI42" s="93">
        <f t="shared" si="30"/>
        <v>0.3</v>
      </c>
      <c r="BJ42" s="93">
        <f t="shared" si="30"/>
        <v>0.3</v>
      </c>
      <c r="BK42" s="93">
        <f t="shared" si="30"/>
        <v>0.3</v>
      </c>
      <c r="BL42" s="93">
        <f t="shared" si="30"/>
        <v>0.3</v>
      </c>
      <c r="BM42" s="93">
        <f t="shared" si="30"/>
        <v>0.3</v>
      </c>
      <c r="BN42" s="93">
        <f t="shared" si="30"/>
        <v>0.3</v>
      </c>
    </row>
    <row r="43" outlineLevel="1">
      <c r="A43" s="47"/>
      <c r="B43" s="75" t="s">
        <v>16</v>
      </c>
      <c r="C43" s="60"/>
      <c r="D43" s="76">
        <v>0.05</v>
      </c>
      <c r="E43" s="62"/>
      <c r="F43" s="62"/>
      <c r="G43" s="63">
        <f t="shared" si="31"/>
        <v>0.05</v>
      </c>
      <c r="H43" s="63">
        <f t="shared" ref="H43:BN43" si="32">G43</f>
        <v>0.05</v>
      </c>
      <c r="I43" s="63">
        <f t="shared" si="32"/>
        <v>0.05</v>
      </c>
      <c r="J43" s="63">
        <f t="shared" si="32"/>
        <v>0.05</v>
      </c>
      <c r="K43" s="63">
        <f t="shared" si="32"/>
        <v>0.05</v>
      </c>
      <c r="L43" s="63">
        <f t="shared" si="32"/>
        <v>0.05</v>
      </c>
      <c r="M43" s="63">
        <f t="shared" si="32"/>
        <v>0.05</v>
      </c>
      <c r="N43" s="63">
        <f t="shared" si="32"/>
        <v>0.05</v>
      </c>
      <c r="O43" s="63">
        <f t="shared" si="32"/>
        <v>0.05</v>
      </c>
      <c r="P43" s="63">
        <f t="shared" si="32"/>
        <v>0.05</v>
      </c>
      <c r="Q43" s="63">
        <f t="shared" si="32"/>
        <v>0.05</v>
      </c>
      <c r="R43" s="63">
        <f t="shared" si="32"/>
        <v>0.05</v>
      </c>
      <c r="S43" s="63">
        <f t="shared" si="32"/>
        <v>0.05</v>
      </c>
      <c r="T43" s="63">
        <f t="shared" si="32"/>
        <v>0.05</v>
      </c>
      <c r="U43" s="63">
        <f t="shared" si="32"/>
        <v>0.05</v>
      </c>
      <c r="V43" s="63">
        <f t="shared" si="32"/>
        <v>0.05</v>
      </c>
      <c r="W43" s="63">
        <f t="shared" si="32"/>
        <v>0.05</v>
      </c>
      <c r="X43" s="63">
        <f t="shared" si="32"/>
        <v>0.05</v>
      </c>
      <c r="Y43" s="63">
        <f t="shared" si="32"/>
        <v>0.05</v>
      </c>
      <c r="Z43" s="63">
        <f t="shared" si="32"/>
        <v>0.05</v>
      </c>
      <c r="AA43" s="63">
        <f t="shared" si="32"/>
        <v>0.05</v>
      </c>
      <c r="AB43" s="63">
        <f t="shared" si="32"/>
        <v>0.05</v>
      </c>
      <c r="AC43" s="63">
        <f t="shared" si="32"/>
        <v>0.05</v>
      </c>
      <c r="AD43" s="63">
        <f t="shared" si="32"/>
        <v>0.05</v>
      </c>
      <c r="AE43" s="63">
        <f t="shared" si="32"/>
        <v>0.05</v>
      </c>
      <c r="AF43" s="63">
        <f t="shared" si="32"/>
        <v>0.05</v>
      </c>
      <c r="AG43" s="63">
        <f t="shared" si="32"/>
        <v>0.05</v>
      </c>
      <c r="AH43" s="63">
        <f t="shared" si="32"/>
        <v>0.05</v>
      </c>
      <c r="AI43" s="63">
        <f t="shared" si="32"/>
        <v>0.05</v>
      </c>
      <c r="AJ43" s="63">
        <f t="shared" si="32"/>
        <v>0.05</v>
      </c>
      <c r="AK43" s="63">
        <f t="shared" si="32"/>
        <v>0.05</v>
      </c>
      <c r="AL43" s="63">
        <f t="shared" si="32"/>
        <v>0.05</v>
      </c>
      <c r="AM43" s="63">
        <f t="shared" si="32"/>
        <v>0.05</v>
      </c>
      <c r="AN43" s="63">
        <f t="shared" si="32"/>
        <v>0.05</v>
      </c>
      <c r="AO43" s="63">
        <f t="shared" si="32"/>
        <v>0.05</v>
      </c>
      <c r="AP43" s="63">
        <f t="shared" si="32"/>
        <v>0.05</v>
      </c>
      <c r="AQ43" s="63">
        <f t="shared" si="32"/>
        <v>0.05</v>
      </c>
      <c r="AR43" s="63">
        <f t="shared" si="32"/>
        <v>0.05</v>
      </c>
      <c r="AS43" s="63">
        <f t="shared" si="32"/>
        <v>0.05</v>
      </c>
      <c r="AT43" s="63">
        <f t="shared" si="32"/>
        <v>0.05</v>
      </c>
      <c r="AU43" s="63">
        <f t="shared" si="32"/>
        <v>0.05</v>
      </c>
      <c r="AV43" s="63">
        <f t="shared" si="32"/>
        <v>0.05</v>
      </c>
      <c r="AW43" s="63">
        <f t="shared" si="32"/>
        <v>0.05</v>
      </c>
      <c r="AX43" s="63">
        <f t="shared" si="32"/>
        <v>0.05</v>
      </c>
      <c r="AY43" s="63">
        <f t="shared" si="32"/>
        <v>0.05</v>
      </c>
      <c r="AZ43" s="63">
        <f t="shared" si="32"/>
        <v>0.05</v>
      </c>
      <c r="BA43" s="63">
        <f t="shared" si="32"/>
        <v>0.05</v>
      </c>
      <c r="BB43" s="63">
        <f t="shared" si="32"/>
        <v>0.05</v>
      </c>
      <c r="BC43" s="63">
        <f t="shared" si="32"/>
        <v>0.05</v>
      </c>
      <c r="BD43" s="63">
        <f t="shared" si="32"/>
        <v>0.05</v>
      </c>
      <c r="BE43" s="63">
        <f t="shared" si="32"/>
        <v>0.05</v>
      </c>
      <c r="BF43" s="63">
        <f t="shared" si="32"/>
        <v>0.05</v>
      </c>
      <c r="BG43" s="63">
        <f t="shared" si="32"/>
        <v>0.05</v>
      </c>
      <c r="BH43" s="63">
        <f t="shared" si="32"/>
        <v>0.05</v>
      </c>
      <c r="BI43" s="63">
        <f t="shared" si="32"/>
        <v>0.05</v>
      </c>
      <c r="BJ43" s="63">
        <f t="shared" si="32"/>
        <v>0.05</v>
      </c>
      <c r="BK43" s="63">
        <f t="shared" si="32"/>
        <v>0.05</v>
      </c>
      <c r="BL43" s="63">
        <f t="shared" si="32"/>
        <v>0.05</v>
      </c>
      <c r="BM43" s="63">
        <f t="shared" si="32"/>
        <v>0.05</v>
      </c>
      <c r="BN43" s="63">
        <f t="shared" si="32"/>
        <v>0.05</v>
      </c>
    </row>
    <row r="44" outlineLevel="1">
      <c r="A44" s="47"/>
      <c r="B44" s="77" t="s">
        <v>17</v>
      </c>
      <c r="C44" s="47"/>
      <c r="D44" s="64"/>
      <c r="E44" s="65"/>
      <c r="F44" s="66"/>
      <c r="G44" s="64">
        <f t="shared" ref="G44:BN44" si="33">G41*G42*G43</f>
        <v>0</v>
      </c>
      <c r="H44" s="64">
        <f t="shared" si="33"/>
        <v>4.0125</v>
      </c>
      <c r="I44" s="64">
        <f t="shared" si="33"/>
        <v>4.0351875</v>
      </c>
      <c r="J44" s="64">
        <f t="shared" si="33"/>
        <v>4.110527813</v>
      </c>
      <c r="K44" s="64">
        <f t="shared" si="33"/>
        <v>4.111657917</v>
      </c>
      <c r="L44" s="64">
        <f t="shared" si="33"/>
        <v>4.149174869</v>
      </c>
      <c r="M44" s="64">
        <f t="shared" si="33"/>
        <v>4.112237623</v>
      </c>
      <c r="N44" s="64">
        <f t="shared" si="33"/>
        <v>4.111683564</v>
      </c>
      <c r="O44" s="64">
        <f t="shared" si="33"/>
        <v>4.149175253</v>
      </c>
      <c r="P44" s="64">
        <f t="shared" si="33"/>
        <v>4.112237629</v>
      </c>
      <c r="Q44" s="64">
        <f t="shared" si="33"/>
        <v>4.111683564</v>
      </c>
      <c r="R44" s="64">
        <f t="shared" si="33"/>
        <v>4.149175253</v>
      </c>
      <c r="S44" s="64">
        <f t="shared" si="33"/>
        <v>4.112237629</v>
      </c>
      <c r="T44" s="64">
        <f t="shared" si="33"/>
        <v>4.111683564</v>
      </c>
      <c r="U44" s="64">
        <f t="shared" si="33"/>
        <v>4.111675253</v>
      </c>
      <c r="V44" s="64">
        <f t="shared" si="33"/>
        <v>4.111675129</v>
      </c>
      <c r="W44" s="64">
        <f t="shared" si="33"/>
        <v>4.111675127</v>
      </c>
      <c r="X44" s="64">
        <f t="shared" si="33"/>
        <v>4.111675127</v>
      </c>
      <c r="Y44" s="64">
        <f t="shared" si="33"/>
        <v>4.111675127</v>
      </c>
      <c r="Z44" s="64">
        <f t="shared" si="33"/>
        <v>4.111675127</v>
      </c>
      <c r="AA44" s="64">
        <f t="shared" si="33"/>
        <v>4.111675127</v>
      </c>
      <c r="AB44" s="64">
        <f t="shared" si="33"/>
        <v>4.111675127</v>
      </c>
      <c r="AC44" s="64">
        <f t="shared" si="33"/>
        <v>4.111675127</v>
      </c>
      <c r="AD44" s="64">
        <f t="shared" si="33"/>
        <v>4.111675127</v>
      </c>
      <c r="AE44" s="64">
        <f t="shared" si="33"/>
        <v>4.111675127</v>
      </c>
      <c r="AF44" s="64">
        <f t="shared" si="33"/>
        <v>4.111675127</v>
      </c>
      <c r="AG44" s="64">
        <f t="shared" si="33"/>
        <v>4.111675127</v>
      </c>
      <c r="AH44" s="64">
        <f t="shared" si="33"/>
        <v>4.111675127</v>
      </c>
      <c r="AI44" s="64">
        <f t="shared" si="33"/>
        <v>4.111675127</v>
      </c>
      <c r="AJ44" s="64">
        <f t="shared" si="33"/>
        <v>4.111675127</v>
      </c>
      <c r="AK44" s="64">
        <f t="shared" si="33"/>
        <v>4.111675127</v>
      </c>
      <c r="AL44" s="64">
        <f t="shared" si="33"/>
        <v>4.111675127</v>
      </c>
      <c r="AM44" s="64">
        <f t="shared" si="33"/>
        <v>4.111675127</v>
      </c>
      <c r="AN44" s="64">
        <f t="shared" si="33"/>
        <v>4.111675127</v>
      </c>
      <c r="AO44" s="64">
        <f t="shared" si="33"/>
        <v>4.111675127</v>
      </c>
      <c r="AP44" s="64">
        <f t="shared" si="33"/>
        <v>4.111675127</v>
      </c>
      <c r="AQ44" s="64">
        <f t="shared" si="33"/>
        <v>4.111675127</v>
      </c>
      <c r="AR44" s="64">
        <f t="shared" si="33"/>
        <v>4.111675127</v>
      </c>
      <c r="AS44" s="64">
        <f t="shared" si="33"/>
        <v>4.111675127</v>
      </c>
      <c r="AT44" s="64">
        <f t="shared" si="33"/>
        <v>4.111675127</v>
      </c>
      <c r="AU44" s="64">
        <f t="shared" si="33"/>
        <v>4.111675127</v>
      </c>
      <c r="AV44" s="64">
        <f t="shared" si="33"/>
        <v>4.111675127</v>
      </c>
      <c r="AW44" s="64">
        <f t="shared" si="33"/>
        <v>4.111675127</v>
      </c>
      <c r="AX44" s="64">
        <f t="shared" si="33"/>
        <v>4.111675127</v>
      </c>
      <c r="AY44" s="64">
        <f t="shared" si="33"/>
        <v>4.111675127</v>
      </c>
      <c r="AZ44" s="64">
        <f t="shared" si="33"/>
        <v>4.111675127</v>
      </c>
      <c r="BA44" s="64">
        <f t="shared" si="33"/>
        <v>4.111675127</v>
      </c>
      <c r="BB44" s="64">
        <f t="shared" si="33"/>
        <v>4.111675127</v>
      </c>
      <c r="BC44" s="64">
        <f t="shared" si="33"/>
        <v>4.111675127</v>
      </c>
      <c r="BD44" s="64">
        <f t="shared" si="33"/>
        <v>4.111675127</v>
      </c>
      <c r="BE44" s="64">
        <f t="shared" si="33"/>
        <v>4.111675127</v>
      </c>
      <c r="BF44" s="64">
        <f t="shared" si="33"/>
        <v>4.111675127</v>
      </c>
      <c r="BG44" s="64">
        <f t="shared" si="33"/>
        <v>4.111675127</v>
      </c>
      <c r="BH44" s="64">
        <f t="shared" si="33"/>
        <v>4.111675127</v>
      </c>
      <c r="BI44" s="64">
        <f t="shared" si="33"/>
        <v>4.111675127</v>
      </c>
      <c r="BJ44" s="64">
        <f t="shared" si="33"/>
        <v>4.111675127</v>
      </c>
      <c r="BK44" s="64">
        <f t="shared" si="33"/>
        <v>4.111675127</v>
      </c>
      <c r="BL44" s="64">
        <f t="shared" si="33"/>
        <v>4.111675127</v>
      </c>
      <c r="BM44" s="64">
        <f t="shared" si="33"/>
        <v>4.111675127</v>
      </c>
      <c r="BN44" s="64">
        <f t="shared" si="33"/>
        <v>4.111675127</v>
      </c>
    </row>
    <row r="45" outlineLevel="1">
      <c r="A45" s="47"/>
      <c r="B45" s="67"/>
      <c r="C45" s="47"/>
      <c r="D45" s="43"/>
      <c r="E45" s="47"/>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row>
    <row r="46" outlineLevel="1">
      <c r="A46" s="47"/>
      <c r="B46" s="67" t="s">
        <v>34</v>
      </c>
      <c r="C46" s="47"/>
      <c r="D46" s="43"/>
      <c r="E46" s="47"/>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row>
    <row r="47" outlineLevel="1">
      <c r="A47" s="47"/>
      <c r="B47" s="39" t="s">
        <v>35</v>
      </c>
      <c r="C47" s="47"/>
      <c r="D47" s="81">
        <v>2.0</v>
      </c>
      <c r="E47" s="47"/>
      <c r="F47" s="57"/>
      <c r="G47" s="58">
        <f t="shared" ref="G47:G49" si="35">D47</f>
        <v>2</v>
      </c>
      <c r="H47" s="58">
        <f t="shared" ref="H47:BN47" si="34">G47</f>
        <v>2</v>
      </c>
      <c r="I47" s="58">
        <f t="shared" si="34"/>
        <v>2</v>
      </c>
      <c r="J47" s="58">
        <f t="shared" si="34"/>
        <v>2</v>
      </c>
      <c r="K47" s="58">
        <f t="shared" si="34"/>
        <v>2</v>
      </c>
      <c r="L47" s="58">
        <f t="shared" si="34"/>
        <v>2</v>
      </c>
      <c r="M47" s="58">
        <f t="shared" si="34"/>
        <v>2</v>
      </c>
      <c r="N47" s="58">
        <f t="shared" si="34"/>
        <v>2</v>
      </c>
      <c r="O47" s="58">
        <f t="shared" si="34"/>
        <v>2</v>
      </c>
      <c r="P47" s="58">
        <f t="shared" si="34"/>
        <v>2</v>
      </c>
      <c r="Q47" s="58">
        <f t="shared" si="34"/>
        <v>2</v>
      </c>
      <c r="R47" s="58">
        <f t="shared" si="34"/>
        <v>2</v>
      </c>
      <c r="S47" s="58">
        <f t="shared" si="34"/>
        <v>2</v>
      </c>
      <c r="T47" s="58">
        <f t="shared" si="34"/>
        <v>2</v>
      </c>
      <c r="U47" s="58">
        <f t="shared" si="34"/>
        <v>2</v>
      </c>
      <c r="V47" s="58">
        <f t="shared" si="34"/>
        <v>2</v>
      </c>
      <c r="W47" s="58">
        <f t="shared" si="34"/>
        <v>2</v>
      </c>
      <c r="X47" s="58">
        <f t="shared" si="34"/>
        <v>2</v>
      </c>
      <c r="Y47" s="58">
        <f t="shared" si="34"/>
        <v>2</v>
      </c>
      <c r="Z47" s="58">
        <f t="shared" si="34"/>
        <v>2</v>
      </c>
      <c r="AA47" s="58">
        <f t="shared" si="34"/>
        <v>2</v>
      </c>
      <c r="AB47" s="58">
        <f t="shared" si="34"/>
        <v>2</v>
      </c>
      <c r="AC47" s="58">
        <f t="shared" si="34"/>
        <v>2</v>
      </c>
      <c r="AD47" s="58">
        <f t="shared" si="34"/>
        <v>2</v>
      </c>
      <c r="AE47" s="58">
        <f t="shared" si="34"/>
        <v>2</v>
      </c>
      <c r="AF47" s="58">
        <f t="shared" si="34"/>
        <v>2</v>
      </c>
      <c r="AG47" s="58">
        <f t="shared" si="34"/>
        <v>2</v>
      </c>
      <c r="AH47" s="58">
        <f t="shared" si="34"/>
        <v>2</v>
      </c>
      <c r="AI47" s="58">
        <f t="shared" si="34"/>
        <v>2</v>
      </c>
      <c r="AJ47" s="58">
        <f t="shared" si="34"/>
        <v>2</v>
      </c>
      <c r="AK47" s="58">
        <f t="shared" si="34"/>
        <v>2</v>
      </c>
      <c r="AL47" s="58">
        <f t="shared" si="34"/>
        <v>2</v>
      </c>
      <c r="AM47" s="58">
        <f t="shared" si="34"/>
        <v>2</v>
      </c>
      <c r="AN47" s="58">
        <f t="shared" si="34"/>
        <v>2</v>
      </c>
      <c r="AO47" s="58">
        <f t="shared" si="34"/>
        <v>2</v>
      </c>
      <c r="AP47" s="58">
        <f t="shared" si="34"/>
        <v>2</v>
      </c>
      <c r="AQ47" s="58">
        <f t="shared" si="34"/>
        <v>2</v>
      </c>
      <c r="AR47" s="58">
        <f t="shared" si="34"/>
        <v>2</v>
      </c>
      <c r="AS47" s="58">
        <f t="shared" si="34"/>
        <v>2</v>
      </c>
      <c r="AT47" s="58">
        <f t="shared" si="34"/>
        <v>2</v>
      </c>
      <c r="AU47" s="58">
        <f t="shared" si="34"/>
        <v>2</v>
      </c>
      <c r="AV47" s="58">
        <f t="shared" si="34"/>
        <v>2</v>
      </c>
      <c r="AW47" s="58">
        <f t="shared" si="34"/>
        <v>2</v>
      </c>
      <c r="AX47" s="58">
        <f t="shared" si="34"/>
        <v>2</v>
      </c>
      <c r="AY47" s="58">
        <f t="shared" si="34"/>
        <v>2</v>
      </c>
      <c r="AZ47" s="58">
        <f t="shared" si="34"/>
        <v>2</v>
      </c>
      <c r="BA47" s="58">
        <f t="shared" si="34"/>
        <v>2</v>
      </c>
      <c r="BB47" s="58">
        <f t="shared" si="34"/>
        <v>2</v>
      </c>
      <c r="BC47" s="58">
        <f t="shared" si="34"/>
        <v>2</v>
      </c>
      <c r="BD47" s="58">
        <f t="shared" si="34"/>
        <v>2</v>
      </c>
      <c r="BE47" s="58">
        <f t="shared" si="34"/>
        <v>2</v>
      </c>
      <c r="BF47" s="58">
        <f t="shared" si="34"/>
        <v>2</v>
      </c>
      <c r="BG47" s="58">
        <f t="shared" si="34"/>
        <v>2</v>
      </c>
      <c r="BH47" s="58">
        <f t="shared" si="34"/>
        <v>2</v>
      </c>
      <c r="BI47" s="58">
        <f t="shared" si="34"/>
        <v>2</v>
      </c>
      <c r="BJ47" s="58">
        <f t="shared" si="34"/>
        <v>2</v>
      </c>
      <c r="BK47" s="58">
        <f t="shared" si="34"/>
        <v>2</v>
      </c>
      <c r="BL47" s="58">
        <f t="shared" si="34"/>
        <v>2</v>
      </c>
      <c r="BM47" s="58">
        <f t="shared" si="34"/>
        <v>2</v>
      </c>
      <c r="BN47" s="58">
        <f t="shared" si="34"/>
        <v>2</v>
      </c>
    </row>
    <row r="48" outlineLevel="1">
      <c r="A48" s="47"/>
      <c r="B48" s="39" t="s">
        <v>36</v>
      </c>
      <c r="C48" s="47"/>
      <c r="D48" s="81">
        <v>100.0</v>
      </c>
      <c r="E48" s="47"/>
      <c r="F48" s="66"/>
      <c r="G48" s="83">
        <f t="shared" si="35"/>
        <v>100</v>
      </c>
      <c r="H48" s="83">
        <f t="shared" ref="H48:BN48" si="36">G48</f>
        <v>100</v>
      </c>
      <c r="I48" s="83">
        <f t="shared" si="36"/>
        <v>100</v>
      </c>
      <c r="J48" s="83">
        <f t="shared" si="36"/>
        <v>100</v>
      </c>
      <c r="K48" s="83">
        <f t="shared" si="36"/>
        <v>100</v>
      </c>
      <c r="L48" s="83">
        <f t="shared" si="36"/>
        <v>100</v>
      </c>
      <c r="M48" s="83">
        <f t="shared" si="36"/>
        <v>100</v>
      </c>
      <c r="N48" s="83">
        <f t="shared" si="36"/>
        <v>100</v>
      </c>
      <c r="O48" s="83">
        <f t="shared" si="36"/>
        <v>100</v>
      </c>
      <c r="P48" s="83">
        <f t="shared" si="36"/>
        <v>100</v>
      </c>
      <c r="Q48" s="83">
        <f t="shared" si="36"/>
        <v>100</v>
      </c>
      <c r="R48" s="83">
        <f t="shared" si="36"/>
        <v>100</v>
      </c>
      <c r="S48" s="83">
        <f t="shared" si="36"/>
        <v>100</v>
      </c>
      <c r="T48" s="83">
        <f t="shared" si="36"/>
        <v>100</v>
      </c>
      <c r="U48" s="83">
        <f t="shared" si="36"/>
        <v>100</v>
      </c>
      <c r="V48" s="83">
        <f t="shared" si="36"/>
        <v>100</v>
      </c>
      <c r="W48" s="83">
        <f t="shared" si="36"/>
        <v>100</v>
      </c>
      <c r="X48" s="83">
        <f t="shared" si="36"/>
        <v>100</v>
      </c>
      <c r="Y48" s="83">
        <f t="shared" si="36"/>
        <v>100</v>
      </c>
      <c r="Z48" s="83">
        <f t="shared" si="36"/>
        <v>100</v>
      </c>
      <c r="AA48" s="83">
        <f t="shared" si="36"/>
        <v>100</v>
      </c>
      <c r="AB48" s="83">
        <f t="shared" si="36"/>
        <v>100</v>
      </c>
      <c r="AC48" s="83">
        <f t="shared" si="36"/>
        <v>100</v>
      </c>
      <c r="AD48" s="83">
        <f t="shared" si="36"/>
        <v>100</v>
      </c>
      <c r="AE48" s="83">
        <f t="shared" si="36"/>
        <v>100</v>
      </c>
      <c r="AF48" s="83">
        <f t="shared" si="36"/>
        <v>100</v>
      </c>
      <c r="AG48" s="83">
        <f t="shared" si="36"/>
        <v>100</v>
      </c>
      <c r="AH48" s="83">
        <f t="shared" si="36"/>
        <v>100</v>
      </c>
      <c r="AI48" s="83">
        <f t="shared" si="36"/>
        <v>100</v>
      </c>
      <c r="AJ48" s="83">
        <f t="shared" si="36"/>
        <v>100</v>
      </c>
      <c r="AK48" s="83">
        <f t="shared" si="36"/>
        <v>100</v>
      </c>
      <c r="AL48" s="83">
        <f t="shared" si="36"/>
        <v>100</v>
      </c>
      <c r="AM48" s="83">
        <f t="shared" si="36"/>
        <v>100</v>
      </c>
      <c r="AN48" s="83">
        <f t="shared" si="36"/>
        <v>100</v>
      </c>
      <c r="AO48" s="83">
        <f t="shared" si="36"/>
        <v>100</v>
      </c>
      <c r="AP48" s="83">
        <f t="shared" si="36"/>
        <v>100</v>
      </c>
      <c r="AQ48" s="83">
        <f t="shared" si="36"/>
        <v>100</v>
      </c>
      <c r="AR48" s="83">
        <f t="shared" si="36"/>
        <v>100</v>
      </c>
      <c r="AS48" s="83">
        <f t="shared" si="36"/>
        <v>100</v>
      </c>
      <c r="AT48" s="83">
        <f t="shared" si="36"/>
        <v>100</v>
      </c>
      <c r="AU48" s="83">
        <f t="shared" si="36"/>
        <v>100</v>
      </c>
      <c r="AV48" s="83">
        <f t="shared" si="36"/>
        <v>100</v>
      </c>
      <c r="AW48" s="83">
        <f t="shared" si="36"/>
        <v>100</v>
      </c>
      <c r="AX48" s="83">
        <f t="shared" si="36"/>
        <v>100</v>
      </c>
      <c r="AY48" s="83">
        <f t="shared" si="36"/>
        <v>100</v>
      </c>
      <c r="AZ48" s="83">
        <f t="shared" si="36"/>
        <v>100</v>
      </c>
      <c r="BA48" s="83">
        <f t="shared" si="36"/>
        <v>100</v>
      </c>
      <c r="BB48" s="83">
        <f t="shared" si="36"/>
        <v>100</v>
      </c>
      <c r="BC48" s="83">
        <f t="shared" si="36"/>
        <v>100</v>
      </c>
      <c r="BD48" s="83">
        <f t="shared" si="36"/>
        <v>100</v>
      </c>
      <c r="BE48" s="83">
        <f t="shared" si="36"/>
        <v>100</v>
      </c>
      <c r="BF48" s="83">
        <f t="shared" si="36"/>
        <v>100</v>
      </c>
      <c r="BG48" s="83">
        <f t="shared" si="36"/>
        <v>100</v>
      </c>
      <c r="BH48" s="83">
        <f t="shared" si="36"/>
        <v>100</v>
      </c>
      <c r="BI48" s="83">
        <f t="shared" si="36"/>
        <v>100</v>
      </c>
      <c r="BJ48" s="83">
        <f t="shared" si="36"/>
        <v>100</v>
      </c>
      <c r="BK48" s="83">
        <f t="shared" si="36"/>
        <v>100</v>
      </c>
      <c r="BL48" s="83">
        <f t="shared" si="36"/>
        <v>100</v>
      </c>
      <c r="BM48" s="83">
        <f t="shared" si="36"/>
        <v>100</v>
      </c>
      <c r="BN48" s="83">
        <f t="shared" si="36"/>
        <v>100</v>
      </c>
    </row>
    <row r="49" outlineLevel="1">
      <c r="A49" s="47"/>
      <c r="B49" s="75" t="s">
        <v>16</v>
      </c>
      <c r="C49" s="60"/>
      <c r="D49" s="76">
        <v>0.05</v>
      </c>
      <c r="E49" s="62"/>
      <c r="F49" s="62"/>
      <c r="G49" s="63">
        <f t="shared" si="35"/>
        <v>0.05</v>
      </c>
      <c r="H49" s="63">
        <f t="shared" ref="H49:BN49" si="37">G49</f>
        <v>0.05</v>
      </c>
      <c r="I49" s="63">
        <f t="shared" si="37"/>
        <v>0.05</v>
      </c>
      <c r="J49" s="63">
        <f t="shared" si="37"/>
        <v>0.05</v>
      </c>
      <c r="K49" s="63">
        <f t="shared" si="37"/>
        <v>0.05</v>
      </c>
      <c r="L49" s="63">
        <f t="shared" si="37"/>
        <v>0.05</v>
      </c>
      <c r="M49" s="63">
        <f t="shared" si="37"/>
        <v>0.05</v>
      </c>
      <c r="N49" s="63">
        <f t="shared" si="37"/>
        <v>0.05</v>
      </c>
      <c r="O49" s="63">
        <f t="shared" si="37"/>
        <v>0.05</v>
      </c>
      <c r="P49" s="63">
        <f t="shared" si="37"/>
        <v>0.05</v>
      </c>
      <c r="Q49" s="63">
        <f t="shared" si="37"/>
        <v>0.05</v>
      </c>
      <c r="R49" s="63">
        <f t="shared" si="37"/>
        <v>0.05</v>
      </c>
      <c r="S49" s="63">
        <f t="shared" si="37"/>
        <v>0.05</v>
      </c>
      <c r="T49" s="63">
        <f t="shared" si="37"/>
        <v>0.05</v>
      </c>
      <c r="U49" s="63">
        <f t="shared" si="37"/>
        <v>0.05</v>
      </c>
      <c r="V49" s="63">
        <f t="shared" si="37"/>
        <v>0.05</v>
      </c>
      <c r="W49" s="63">
        <f t="shared" si="37"/>
        <v>0.05</v>
      </c>
      <c r="X49" s="63">
        <f t="shared" si="37"/>
        <v>0.05</v>
      </c>
      <c r="Y49" s="63">
        <f t="shared" si="37"/>
        <v>0.05</v>
      </c>
      <c r="Z49" s="63">
        <f t="shared" si="37"/>
        <v>0.05</v>
      </c>
      <c r="AA49" s="63">
        <f t="shared" si="37"/>
        <v>0.05</v>
      </c>
      <c r="AB49" s="63">
        <f t="shared" si="37"/>
        <v>0.05</v>
      </c>
      <c r="AC49" s="63">
        <f t="shared" si="37"/>
        <v>0.05</v>
      </c>
      <c r="AD49" s="63">
        <f t="shared" si="37"/>
        <v>0.05</v>
      </c>
      <c r="AE49" s="63">
        <f t="shared" si="37"/>
        <v>0.05</v>
      </c>
      <c r="AF49" s="63">
        <f t="shared" si="37"/>
        <v>0.05</v>
      </c>
      <c r="AG49" s="63">
        <f t="shared" si="37"/>
        <v>0.05</v>
      </c>
      <c r="AH49" s="63">
        <f t="shared" si="37"/>
        <v>0.05</v>
      </c>
      <c r="AI49" s="63">
        <f t="shared" si="37"/>
        <v>0.05</v>
      </c>
      <c r="AJ49" s="63">
        <f t="shared" si="37"/>
        <v>0.05</v>
      </c>
      <c r="AK49" s="63">
        <f t="shared" si="37"/>
        <v>0.05</v>
      </c>
      <c r="AL49" s="63">
        <f t="shared" si="37"/>
        <v>0.05</v>
      </c>
      <c r="AM49" s="63">
        <f t="shared" si="37"/>
        <v>0.05</v>
      </c>
      <c r="AN49" s="63">
        <f t="shared" si="37"/>
        <v>0.05</v>
      </c>
      <c r="AO49" s="63">
        <f t="shared" si="37"/>
        <v>0.05</v>
      </c>
      <c r="AP49" s="63">
        <f t="shared" si="37"/>
        <v>0.05</v>
      </c>
      <c r="AQ49" s="63">
        <f t="shared" si="37"/>
        <v>0.05</v>
      </c>
      <c r="AR49" s="63">
        <f t="shared" si="37"/>
        <v>0.05</v>
      </c>
      <c r="AS49" s="63">
        <f t="shared" si="37"/>
        <v>0.05</v>
      </c>
      <c r="AT49" s="63">
        <f t="shared" si="37"/>
        <v>0.05</v>
      </c>
      <c r="AU49" s="63">
        <f t="shared" si="37"/>
        <v>0.05</v>
      </c>
      <c r="AV49" s="63">
        <f t="shared" si="37"/>
        <v>0.05</v>
      </c>
      <c r="AW49" s="63">
        <f t="shared" si="37"/>
        <v>0.05</v>
      </c>
      <c r="AX49" s="63">
        <f t="shared" si="37"/>
        <v>0.05</v>
      </c>
      <c r="AY49" s="63">
        <f t="shared" si="37"/>
        <v>0.05</v>
      </c>
      <c r="AZ49" s="63">
        <f t="shared" si="37"/>
        <v>0.05</v>
      </c>
      <c r="BA49" s="63">
        <f t="shared" si="37"/>
        <v>0.05</v>
      </c>
      <c r="BB49" s="63">
        <f t="shared" si="37"/>
        <v>0.05</v>
      </c>
      <c r="BC49" s="63">
        <f t="shared" si="37"/>
        <v>0.05</v>
      </c>
      <c r="BD49" s="63">
        <f t="shared" si="37"/>
        <v>0.05</v>
      </c>
      <c r="BE49" s="63">
        <f t="shared" si="37"/>
        <v>0.05</v>
      </c>
      <c r="BF49" s="63">
        <f t="shared" si="37"/>
        <v>0.05</v>
      </c>
      <c r="BG49" s="63">
        <f t="shared" si="37"/>
        <v>0.05</v>
      </c>
      <c r="BH49" s="63">
        <f t="shared" si="37"/>
        <v>0.05</v>
      </c>
      <c r="BI49" s="63">
        <f t="shared" si="37"/>
        <v>0.05</v>
      </c>
      <c r="BJ49" s="63">
        <f t="shared" si="37"/>
        <v>0.05</v>
      </c>
      <c r="BK49" s="63">
        <f t="shared" si="37"/>
        <v>0.05</v>
      </c>
      <c r="BL49" s="63">
        <f t="shared" si="37"/>
        <v>0.05</v>
      </c>
      <c r="BM49" s="63">
        <f t="shared" si="37"/>
        <v>0.05</v>
      </c>
      <c r="BN49" s="63">
        <f t="shared" si="37"/>
        <v>0.05</v>
      </c>
    </row>
    <row r="50" outlineLevel="1">
      <c r="A50" s="47"/>
      <c r="B50" s="77" t="s">
        <v>17</v>
      </c>
      <c r="C50" s="47"/>
      <c r="D50" s="64"/>
      <c r="E50" s="65"/>
      <c r="F50" s="66"/>
      <c r="G50" s="64">
        <f t="shared" ref="G50:BN50" si="38">G47*G48*G49</f>
        <v>10</v>
      </c>
      <c r="H50" s="64">
        <f t="shared" si="38"/>
        <v>10</v>
      </c>
      <c r="I50" s="64">
        <f t="shared" si="38"/>
        <v>10</v>
      </c>
      <c r="J50" s="64">
        <f t="shared" si="38"/>
        <v>10</v>
      </c>
      <c r="K50" s="64">
        <f t="shared" si="38"/>
        <v>10</v>
      </c>
      <c r="L50" s="64">
        <f t="shared" si="38"/>
        <v>10</v>
      </c>
      <c r="M50" s="64">
        <f t="shared" si="38"/>
        <v>10</v>
      </c>
      <c r="N50" s="64">
        <f t="shared" si="38"/>
        <v>10</v>
      </c>
      <c r="O50" s="64">
        <f t="shared" si="38"/>
        <v>10</v>
      </c>
      <c r="P50" s="64">
        <f t="shared" si="38"/>
        <v>10</v>
      </c>
      <c r="Q50" s="64">
        <f t="shared" si="38"/>
        <v>10</v>
      </c>
      <c r="R50" s="64">
        <f t="shared" si="38"/>
        <v>10</v>
      </c>
      <c r="S50" s="64">
        <f t="shared" si="38"/>
        <v>10</v>
      </c>
      <c r="T50" s="64">
        <f t="shared" si="38"/>
        <v>10</v>
      </c>
      <c r="U50" s="64">
        <f t="shared" si="38"/>
        <v>10</v>
      </c>
      <c r="V50" s="64">
        <f t="shared" si="38"/>
        <v>10</v>
      </c>
      <c r="W50" s="64">
        <f t="shared" si="38"/>
        <v>10</v>
      </c>
      <c r="X50" s="64">
        <f t="shared" si="38"/>
        <v>10</v>
      </c>
      <c r="Y50" s="64">
        <f t="shared" si="38"/>
        <v>10</v>
      </c>
      <c r="Z50" s="64">
        <f t="shared" si="38"/>
        <v>10</v>
      </c>
      <c r="AA50" s="64">
        <f t="shared" si="38"/>
        <v>10</v>
      </c>
      <c r="AB50" s="64">
        <f t="shared" si="38"/>
        <v>10</v>
      </c>
      <c r="AC50" s="64">
        <f t="shared" si="38"/>
        <v>10</v>
      </c>
      <c r="AD50" s="64">
        <f t="shared" si="38"/>
        <v>10</v>
      </c>
      <c r="AE50" s="64">
        <f t="shared" si="38"/>
        <v>10</v>
      </c>
      <c r="AF50" s="64">
        <f t="shared" si="38"/>
        <v>10</v>
      </c>
      <c r="AG50" s="64">
        <f t="shared" si="38"/>
        <v>10</v>
      </c>
      <c r="AH50" s="64">
        <f t="shared" si="38"/>
        <v>10</v>
      </c>
      <c r="AI50" s="64">
        <f t="shared" si="38"/>
        <v>10</v>
      </c>
      <c r="AJ50" s="64">
        <f t="shared" si="38"/>
        <v>10</v>
      </c>
      <c r="AK50" s="64">
        <f t="shared" si="38"/>
        <v>10</v>
      </c>
      <c r="AL50" s="64">
        <f t="shared" si="38"/>
        <v>10</v>
      </c>
      <c r="AM50" s="64">
        <f t="shared" si="38"/>
        <v>10</v>
      </c>
      <c r="AN50" s="64">
        <f t="shared" si="38"/>
        <v>10</v>
      </c>
      <c r="AO50" s="64">
        <f t="shared" si="38"/>
        <v>10</v>
      </c>
      <c r="AP50" s="64">
        <f t="shared" si="38"/>
        <v>10</v>
      </c>
      <c r="AQ50" s="64">
        <f t="shared" si="38"/>
        <v>10</v>
      </c>
      <c r="AR50" s="64">
        <f t="shared" si="38"/>
        <v>10</v>
      </c>
      <c r="AS50" s="64">
        <f t="shared" si="38"/>
        <v>10</v>
      </c>
      <c r="AT50" s="64">
        <f t="shared" si="38"/>
        <v>10</v>
      </c>
      <c r="AU50" s="64">
        <f t="shared" si="38"/>
        <v>10</v>
      </c>
      <c r="AV50" s="64">
        <f t="shared" si="38"/>
        <v>10</v>
      </c>
      <c r="AW50" s="64">
        <f t="shared" si="38"/>
        <v>10</v>
      </c>
      <c r="AX50" s="64">
        <f t="shared" si="38"/>
        <v>10</v>
      </c>
      <c r="AY50" s="64">
        <f t="shared" si="38"/>
        <v>10</v>
      </c>
      <c r="AZ50" s="64">
        <f t="shared" si="38"/>
        <v>10</v>
      </c>
      <c r="BA50" s="64">
        <f t="shared" si="38"/>
        <v>10</v>
      </c>
      <c r="BB50" s="64">
        <f t="shared" si="38"/>
        <v>10</v>
      </c>
      <c r="BC50" s="64">
        <f t="shared" si="38"/>
        <v>10</v>
      </c>
      <c r="BD50" s="64">
        <f t="shared" si="38"/>
        <v>10</v>
      </c>
      <c r="BE50" s="64">
        <f t="shared" si="38"/>
        <v>10</v>
      </c>
      <c r="BF50" s="64">
        <f t="shared" si="38"/>
        <v>10</v>
      </c>
      <c r="BG50" s="64">
        <f t="shared" si="38"/>
        <v>10</v>
      </c>
      <c r="BH50" s="64">
        <f t="shared" si="38"/>
        <v>10</v>
      </c>
      <c r="BI50" s="64">
        <f t="shared" si="38"/>
        <v>10</v>
      </c>
      <c r="BJ50" s="64">
        <f t="shared" si="38"/>
        <v>10</v>
      </c>
      <c r="BK50" s="64">
        <f t="shared" si="38"/>
        <v>10</v>
      </c>
      <c r="BL50" s="64">
        <f t="shared" si="38"/>
        <v>10</v>
      </c>
      <c r="BM50" s="64">
        <f t="shared" si="38"/>
        <v>10</v>
      </c>
      <c r="BN50" s="64">
        <f t="shared" si="38"/>
        <v>10</v>
      </c>
    </row>
    <row r="51" outlineLevel="1">
      <c r="A51" s="47"/>
      <c r="B51" s="77"/>
      <c r="C51" s="47"/>
      <c r="D51" s="78"/>
      <c r="E51" s="47"/>
      <c r="F51" s="80"/>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row>
    <row r="52" outlineLevel="1">
      <c r="A52" s="85"/>
      <c r="B52" s="67" t="s">
        <v>37</v>
      </c>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row>
    <row r="53" outlineLevel="1">
      <c r="A53" s="85"/>
      <c r="B53" s="39" t="s">
        <v>38</v>
      </c>
      <c r="C53" s="85"/>
      <c r="D53" s="81">
        <v>2000.0</v>
      </c>
      <c r="E53" s="85"/>
      <c r="F53" s="87"/>
      <c r="G53" s="58">
        <f t="shared" ref="G53:G56" si="40">D53</f>
        <v>2000</v>
      </c>
      <c r="H53" s="58">
        <f t="shared" ref="H53:BN53" si="39">G53</f>
        <v>2000</v>
      </c>
      <c r="I53" s="58">
        <f t="shared" si="39"/>
        <v>2000</v>
      </c>
      <c r="J53" s="58">
        <f t="shared" si="39"/>
        <v>2000</v>
      </c>
      <c r="K53" s="58">
        <f t="shared" si="39"/>
        <v>2000</v>
      </c>
      <c r="L53" s="58">
        <f t="shared" si="39"/>
        <v>2000</v>
      </c>
      <c r="M53" s="58">
        <f t="shared" si="39"/>
        <v>2000</v>
      </c>
      <c r="N53" s="58">
        <f t="shared" si="39"/>
        <v>2000</v>
      </c>
      <c r="O53" s="58">
        <f t="shared" si="39"/>
        <v>2000</v>
      </c>
      <c r="P53" s="58">
        <f t="shared" si="39"/>
        <v>2000</v>
      </c>
      <c r="Q53" s="58">
        <f t="shared" si="39"/>
        <v>2000</v>
      </c>
      <c r="R53" s="58">
        <f t="shared" si="39"/>
        <v>2000</v>
      </c>
      <c r="S53" s="58">
        <f t="shared" si="39"/>
        <v>2000</v>
      </c>
      <c r="T53" s="58">
        <f t="shared" si="39"/>
        <v>2000</v>
      </c>
      <c r="U53" s="58">
        <f t="shared" si="39"/>
        <v>2000</v>
      </c>
      <c r="V53" s="58">
        <f t="shared" si="39"/>
        <v>2000</v>
      </c>
      <c r="W53" s="58">
        <f t="shared" si="39"/>
        <v>2000</v>
      </c>
      <c r="X53" s="58">
        <f t="shared" si="39"/>
        <v>2000</v>
      </c>
      <c r="Y53" s="58">
        <f t="shared" si="39"/>
        <v>2000</v>
      </c>
      <c r="Z53" s="58">
        <f t="shared" si="39"/>
        <v>2000</v>
      </c>
      <c r="AA53" s="58">
        <f t="shared" si="39"/>
        <v>2000</v>
      </c>
      <c r="AB53" s="58">
        <f t="shared" si="39"/>
        <v>2000</v>
      </c>
      <c r="AC53" s="58">
        <f t="shared" si="39"/>
        <v>2000</v>
      </c>
      <c r="AD53" s="58">
        <f t="shared" si="39"/>
        <v>2000</v>
      </c>
      <c r="AE53" s="58">
        <f t="shared" si="39"/>
        <v>2000</v>
      </c>
      <c r="AF53" s="58">
        <f t="shared" si="39"/>
        <v>2000</v>
      </c>
      <c r="AG53" s="58">
        <f t="shared" si="39"/>
        <v>2000</v>
      </c>
      <c r="AH53" s="58">
        <f t="shared" si="39"/>
        <v>2000</v>
      </c>
      <c r="AI53" s="58">
        <f t="shared" si="39"/>
        <v>2000</v>
      </c>
      <c r="AJ53" s="58">
        <f t="shared" si="39"/>
        <v>2000</v>
      </c>
      <c r="AK53" s="58">
        <f t="shared" si="39"/>
        <v>2000</v>
      </c>
      <c r="AL53" s="58">
        <f t="shared" si="39"/>
        <v>2000</v>
      </c>
      <c r="AM53" s="58">
        <f t="shared" si="39"/>
        <v>2000</v>
      </c>
      <c r="AN53" s="58">
        <f t="shared" si="39"/>
        <v>2000</v>
      </c>
      <c r="AO53" s="58">
        <f t="shared" si="39"/>
        <v>2000</v>
      </c>
      <c r="AP53" s="58">
        <f t="shared" si="39"/>
        <v>2000</v>
      </c>
      <c r="AQ53" s="58">
        <f t="shared" si="39"/>
        <v>2000</v>
      </c>
      <c r="AR53" s="58">
        <f t="shared" si="39"/>
        <v>2000</v>
      </c>
      <c r="AS53" s="58">
        <f t="shared" si="39"/>
        <v>2000</v>
      </c>
      <c r="AT53" s="58">
        <f t="shared" si="39"/>
        <v>2000</v>
      </c>
      <c r="AU53" s="58">
        <f t="shared" si="39"/>
        <v>2000</v>
      </c>
      <c r="AV53" s="58">
        <f t="shared" si="39"/>
        <v>2000</v>
      </c>
      <c r="AW53" s="58">
        <f t="shared" si="39"/>
        <v>2000</v>
      </c>
      <c r="AX53" s="58">
        <f t="shared" si="39"/>
        <v>2000</v>
      </c>
      <c r="AY53" s="58">
        <f t="shared" si="39"/>
        <v>2000</v>
      </c>
      <c r="AZ53" s="58">
        <f t="shared" si="39"/>
        <v>2000</v>
      </c>
      <c r="BA53" s="58">
        <f t="shared" si="39"/>
        <v>2000</v>
      </c>
      <c r="BB53" s="58">
        <f t="shared" si="39"/>
        <v>2000</v>
      </c>
      <c r="BC53" s="58">
        <f t="shared" si="39"/>
        <v>2000</v>
      </c>
      <c r="BD53" s="58">
        <f t="shared" si="39"/>
        <v>2000</v>
      </c>
      <c r="BE53" s="58">
        <f t="shared" si="39"/>
        <v>2000</v>
      </c>
      <c r="BF53" s="58">
        <f t="shared" si="39"/>
        <v>2000</v>
      </c>
      <c r="BG53" s="58">
        <f t="shared" si="39"/>
        <v>2000</v>
      </c>
      <c r="BH53" s="58">
        <f t="shared" si="39"/>
        <v>2000</v>
      </c>
      <c r="BI53" s="58">
        <f t="shared" si="39"/>
        <v>2000</v>
      </c>
      <c r="BJ53" s="58">
        <f t="shared" si="39"/>
        <v>2000</v>
      </c>
      <c r="BK53" s="58">
        <f t="shared" si="39"/>
        <v>2000</v>
      </c>
      <c r="BL53" s="58">
        <f t="shared" si="39"/>
        <v>2000</v>
      </c>
      <c r="BM53" s="58">
        <f t="shared" si="39"/>
        <v>2000</v>
      </c>
      <c r="BN53" s="58">
        <f t="shared" si="39"/>
        <v>2000</v>
      </c>
    </row>
    <row r="54" outlineLevel="1">
      <c r="A54" s="47"/>
      <c r="B54" s="39" t="s">
        <v>39</v>
      </c>
      <c r="C54" s="47"/>
      <c r="D54" s="81">
        <v>2.0</v>
      </c>
      <c r="E54" s="47"/>
      <c r="F54" s="66"/>
      <c r="G54" s="83">
        <f t="shared" si="40"/>
        <v>2</v>
      </c>
      <c r="H54" s="83">
        <f t="shared" ref="H54:BN54" si="41">G54</f>
        <v>2</v>
      </c>
      <c r="I54" s="83">
        <f t="shared" si="41"/>
        <v>2</v>
      </c>
      <c r="J54" s="83">
        <f t="shared" si="41"/>
        <v>2</v>
      </c>
      <c r="K54" s="83">
        <f t="shared" si="41"/>
        <v>2</v>
      </c>
      <c r="L54" s="83">
        <f t="shared" si="41"/>
        <v>2</v>
      </c>
      <c r="M54" s="83">
        <f t="shared" si="41"/>
        <v>2</v>
      </c>
      <c r="N54" s="83">
        <f t="shared" si="41"/>
        <v>2</v>
      </c>
      <c r="O54" s="83">
        <f t="shared" si="41"/>
        <v>2</v>
      </c>
      <c r="P54" s="83">
        <f t="shared" si="41"/>
        <v>2</v>
      </c>
      <c r="Q54" s="83">
        <f t="shared" si="41"/>
        <v>2</v>
      </c>
      <c r="R54" s="83">
        <f t="shared" si="41"/>
        <v>2</v>
      </c>
      <c r="S54" s="83">
        <f t="shared" si="41"/>
        <v>2</v>
      </c>
      <c r="T54" s="83">
        <f t="shared" si="41"/>
        <v>2</v>
      </c>
      <c r="U54" s="83">
        <f t="shared" si="41"/>
        <v>2</v>
      </c>
      <c r="V54" s="83">
        <f t="shared" si="41"/>
        <v>2</v>
      </c>
      <c r="W54" s="83">
        <f t="shared" si="41"/>
        <v>2</v>
      </c>
      <c r="X54" s="83">
        <f t="shared" si="41"/>
        <v>2</v>
      </c>
      <c r="Y54" s="83">
        <f t="shared" si="41"/>
        <v>2</v>
      </c>
      <c r="Z54" s="83">
        <f t="shared" si="41"/>
        <v>2</v>
      </c>
      <c r="AA54" s="83">
        <f t="shared" si="41"/>
        <v>2</v>
      </c>
      <c r="AB54" s="83">
        <f t="shared" si="41"/>
        <v>2</v>
      </c>
      <c r="AC54" s="83">
        <f t="shared" si="41"/>
        <v>2</v>
      </c>
      <c r="AD54" s="83">
        <f t="shared" si="41"/>
        <v>2</v>
      </c>
      <c r="AE54" s="83">
        <f t="shared" si="41"/>
        <v>2</v>
      </c>
      <c r="AF54" s="83">
        <f t="shared" si="41"/>
        <v>2</v>
      </c>
      <c r="AG54" s="83">
        <f t="shared" si="41"/>
        <v>2</v>
      </c>
      <c r="AH54" s="83">
        <f t="shared" si="41"/>
        <v>2</v>
      </c>
      <c r="AI54" s="83">
        <f t="shared" si="41"/>
        <v>2</v>
      </c>
      <c r="AJ54" s="83">
        <f t="shared" si="41"/>
        <v>2</v>
      </c>
      <c r="AK54" s="83">
        <f t="shared" si="41"/>
        <v>2</v>
      </c>
      <c r="AL54" s="83">
        <f t="shared" si="41"/>
        <v>2</v>
      </c>
      <c r="AM54" s="83">
        <f t="shared" si="41"/>
        <v>2</v>
      </c>
      <c r="AN54" s="83">
        <f t="shared" si="41"/>
        <v>2</v>
      </c>
      <c r="AO54" s="83">
        <f t="shared" si="41"/>
        <v>2</v>
      </c>
      <c r="AP54" s="83">
        <f t="shared" si="41"/>
        <v>2</v>
      </c>
      <c r="AQ54" s="83">
        <f t="shared" si="41"/>
        <v>2</v>
      </c>
      <c r="AR54" s="83">
        <f t="shared" si="41"/>
        <v>2</v>
      </c>
      <c r="AS54" s="83">
        <f t="shared" si="41"/>
        <v>2</v>
      </c>
      <c r="AT54" s="83">
        <f t="shared" si="41"/>
        <v>2</v>
      </c>
      <c r="AU54" s="83">
        <f t="shared" si="41"/>
        <v>2</v>
      </c>
      <c r="AV54" s="83">
        <f t="shared" si="41"/>
        <v>2</v>
      </c>
      <c r="AW54" s="83">
        <f t="shared" si="41"/>
        <v>2</v>
      </c>
      <c r="AX54" s="83">
        <f t="shared" si="41"/>
        <v>2</v>
      </c>
      <c r="AY54" s="83">
        <f t="shared" si="41"/>
        <v>2</v>
      </c>
      <c r="AZ54" s="83">
        <f t="shared" si="41"/>
        <v>2</v>
      </c>
      <c r="BA54" s="83">
        <f t="shared" si="41"/>
        <v>2</v>
      </c>
      <c r="BB54" s="83">
        <f t="shared" si="41"/>
        <v>2</v>
      </c>
      <c r="BC54" s="83">
        <f t="shared" si="41"/>
        <v>2</v>
      </c>
      <c r="BD54" s="83">
        <f t="shared" si="41"/>
        <v>2</v>
      </c>
      <c r="BE54" s="83">
        <f t="shared" si="41"/>
        <v>2</v>
      </c>
      <c r="BF54" s="83">
        <f t="shared" si="41"/>
        <v>2</v>
      </c>
      <c r="BG54" s="83">
        <f t="shared" si="41"/>
        <v>2</v>
      </c>
      <c r="BH54" s="83">
        <f t="shared" si="41"/>
        <v>2</v>
      </c>
      <c r="BI54" s="83">
        <f t="shared" si="41"/>
        <v>2</v>
      </c>
      <c r="BJ54" s="83">
        <f t="shared" si="41"/>
        <v>2</v>
      </c>
      <c r="BK54" s="83">
        <f t="shared" si="41"/>
        <v>2</v>
      </c>
      <c r="BL54" s="83">
        <f t="shared" si="41"/>
        <v>2</v>
      </c>
      <c r="BM54" s="83">
        <f t="shared" si="41"/>
        <v>2</v>
      </c>
      <c r="BN54" s="83">
        <f t="shared" si="41"/>
        <v>2</v>
      </c>
    </row>
    <row r="55" outlineLevel="1">
      <c r="A55" s="47"/>
      <c r="B55" s="39" t="s">
        <v>40</v>
      </c>
      <c r="C55" s="47"/>
      <c r="D55" s="92">
        <v>0.05</v>
      </c>
      <c r="E55" s="47"/>
      <c r="F55" s="66"/>
      <c r="G55" s="93">
        <f t="shared" si="40"/>
        <v>0.05</v>
      </c>
      <c r="H55" s="93">
        <f t="shared" ref="H55:BN55" si="42">G55</f>
        <v>0.05</v>
      </c>
      <c r="I55" s="93">
        <f t="shared" si="42"/>
        <v>0.05</v>
      </c>
      <c r="J55" s="93">
        <f t="shared" si="42"/>
        <v>0.05</v>
      </c>
      <c r="K55" s="93">
        <f t="shared" si="42"/>
        <v>0.05</v>
      </c>
      <c r="L55" s="93">
        <f t="shared" si="42"/>
        <v>0.05</v>
      </c>
      <c r="M55" s="93">
        <f t="shared" si="42"/>
        <v>0.05</v>
      </c>
      <c r="N55" s="93">
        <f t="shared" si="42"/>
        <v>0.05</v>
      </c>
      <c r="O55" s="93">
        <f t="shared" si="42"/>
        <v>0.05</v>
      </c>
      <c r="P55" s="93">
        <f t="shared" si="42"/>
        <v>0.05</v>
      </c>
      <c r="Q55" s="93">
        <f t="shared" si="42"/>
        <v>0.05</v>
      </c>
      <c r="R55" s="93">
        <f t="shared" si="42"/>
        <v>0.05</v>
      </c>
      <c r="S55" s="93">
        <f t="shared" si="42"/>
        <v>0.05</v>
      </c>
      <c r="T55" s="93">
        <f t="shared" si="42"/>
        <v>0.05</v>
      </c>
      <c r="U55" s="93">
        <f t="shared" si="42"/>
        <v>0.05</v>
      </c>
      <c r="V55" s="93">
        <f t="shared" si="42"/>
        <v>0.05</v>
      </c>
      <c r="W55" s="93">
        <f t="shared" si="42"/>
        <v>0.05</v>
      </c>
      <c r="X55" s="93">
        <f t="shared" si="42"/>
        <v>0.05</v>
      </c>
      <c r="Y55" s="93">
        <f t="shared" si="42"/>
        <v>0.05</v>
      </c>
      <c r="Z55" s="93">
        <f t="shared" si="42"/>
        <v>0.05</v>
      </c>
      <c r="AA55" s="93">
        <f t="shared" si="42"/>
        <v>0.05</v>
      </c>
      <c r="AB55" s="93">
        <f t="shared" si="42"/>
        <v>0.05</v>
      </c>
      <c r="AC55" s="93">
        <f t="shared" si="42"/>
        <v>0.05</v>
      </c>
      <c r="AD55" s="93">
        <f t="shared" si="42"/>
        <v>0.05</v>
      </c>
      <c r="AE55" s="93">
        <f t="shared" si="42"/>
        <v>0.05</v>
      </c>
      <c r="AF55" s="93">
        <f t="shared" si="42"/>
        <v>0.05</v>
      </c>
      <c r="AG55" s="93">
        <f t="shared" si="42"/>
        <v>0.05</v>
      </c>
      <c r="AH55" s="93">
        <f t="shared" si="42"/>
        <v>0.05</v>
      </c>
      <c r="AI55" s="93">
        <f t="shared" si="42"/>
        <v>0.05</v>
      </c>
      <c r="AJ55" s="93">
        <f t="shared" si="42"/>
        <v>0.05</v>
      </c>
      <c r="AK55" s="93">
        <f t="shared" si="42"/>
        <v>0.05</v>
      </c>
      <c r="AL55" s="93">
        <f t="shared" si="42"/>
        <v>0.05</v>
      </c>
      <c r="AM55" s="93">
        <f t="shared" si="42"/>
        <v>0.05</v>
      </c>
      <c r="AN55" s="93">
        <f t="shared" si="42"/>
        <v>0.05</v>
      </c>
      <c r="AO55" s="93">
        <f t="shared" si="42"/>
        <v>0.05</v>
      </c>
      <c r="AP55" s="93">
        <f t="shared" si="42"/>
        <v>0.05</v>
      </c>
      <c r="AQ55" s="93">
        <f t="shared" si="42"/>
        <v>0.05</v>
      </c>
      <c r="AR55" s="93">
        <f t="shared" si="42"/>
        <v>0.05</v>
      </c>
      <c r="AS55" s="93">
        <f t="shared" si="42"/>
        <v>0.05</v>
      </c>
      <c r="AT55" s="93">
        <f t="shared" si="42"/>
        <v>0.05</v>
      </c>
      <c r="AU55" s="93">
        <f t="shared" si="42"/>
        <v>0.05</v>
      </c>
      <c r="AV55" s="93">
        <f t="shared" si="42"/>
        <v>0.05</v>
      </c>
      <c r="AW55" s="93">
        <f t="shared" si="42"/>
        <v>0.05</v>
      </c>
      <c r="AX55" s="93">
        <f t="shared" si="42"/>
        <v>0.05</v>
      </c>
      <c r="AY55" s="93">
        <f t="shared" si="42"/>
        <v>0.05</v>
      </c>
      <c r="AZ55" s="93">
        <f t="shared" si="42"/>
        <v>0.05</v>
      </c>
      <c r="BA55" s="93">
        <f t="shared" si="42"/>
        <v>0.05</v>
      </c>
      <c r="BB55" s="93">
        <f t="shared" si="42"/>
        <v>0.05</v>
      </c>
      <c r="BC55" s="93">
        <f t="shared" si="42"/>
        <v>0.05</v>
      </c>
      <c r="BD55" s="93">
        <f t="shared" si="42"/>
        <v>0.05</v>
      </c>
      <c r="BE55" s="93">
        <f t="shared" si="42"/>
        <v>0.05</v>
      </c>
      <c r="BF55" s="93">
        <f t="shared" si="42"/>
        <v>0.05</v>
      </c>
      <c r="BG55" s="93">
        <f t="shared" si="42"/>
        <v>0.05</v>
      </c>
      <c r="BH55" s="93">
        <f t="shared" si="42"/>
        <v>0.05</v>
      </c>
      <c r="BI55" s="93">
        <f t="shared" si="42"/>
        <v>0.05</v>
      </c>
      <c r="BJ55" s="93">
        <f t="shared" si="42"/>
        <v>0.05</v>
      </c>
      <c r="BK55" s="93">
        <f t="shared" si="42"/>
        <v>0.05</v>
      </c>
      <c r="BL55" s="93">
        <f t="shared" si="42"/>
        <v>0.05</v>
      </c>
      <c r="BM55" s="93">
        <f t="shared" si="42"/>
        <v>0.05</v>
      </c>
      <c r="BN55" s="93">
        <f t="shared" si="42"/>
        <v>0.05</v>
      </c>
    </row>
    <row r="56" outlineLevel="1">
      <c r="A56" s="85"/>
      <c r="B56" s="60" t="s">
        <v>16</v>
      </c>
      <c r="C56" s="88"/>
      <c r="D56" s="89">
        <v>0.05</v>
      </c>
      <c r="E56" s="90"/>
      <c r="F56" s="90"/>
      <c r="G56" s="63">
        <f t="shared" si="40"/>
        <v>0.05</v>
      </c>
      <c r="H56" s="63">
        <f t="shared" ref="H56:BN56" si="43">G56</f>
        <v>0.05</v>
      </c>
      <c r="I56" s="63">
        <f t="shared" si="43"/>
        <v>0.05</v>
      </c>
      <c r="J56" s="63">
        <f t="shared" si="43"/>
        <v>0.05</v>
      </c>
      <c r="K56" s="63">
        <f t="shared" si="43"/>
        <v>0.05</v>
      </c>
      <c r="L56" s="63">
        <f t="shared" si="43"/>
        <v>0.05</v>
      </c>
      <c r="M56" s="63">
        <f t="shared" si="43"/>
        <v>0.05</v>
      </c>
      <c r="N56" s="63">
        <f t="shared" si="43"/>
        <v>0.05</v>
      </c>
      <c r="O56" s="63">
        <f t="shared" si="43"/>
        <v>0.05</v>
      </c>
      <c r="P56" s="63">
        <f t="shared" si="43"/>
        <v>0.05</v>
      </c>
      <c r="Q56" s="63">
        <f t="shared" si="43"/>
        <v>0.05</v>
      </c>
      <c r="R56" s="63">
        <f t="shared" si="43"/>
        <v>0.05</v>
      </c>
      <c r="S56" s="63">
        <f t="shared" si="43"/>
        <v>0.05</v>
      </c>
      <c r="T56" s="63">
        <f t="shared" si="43"/>
        <v>0.05</v>
      </c>
      <c r="U56" s="63">
        <f t="shared" si="43"/>
        <v>0.05</v>
      </c>
      <c r="V56" s="63">
        <f t="shared" si="43"/>
        <v>0.05</v>
      </c>
      <c r="W56" s="63">
        <f t="shared" si="43"/>
        <v>0.05</v>
      </c>
      <c r="X56" s="63">
        <f t="shared" si="43"/>
        <v>0.05</v>
      </c>
      <c r="Y56" s="63">
        <f t="shared" si="43"/>
        <v>0.05</v>
      </c>
      <c r="Z56" s="63">
        <f t="shared" si="43"/>
        <v>0.05</v>
      </c>
      <c r="AA56" s="63">
        <f t="shared" si="43"/>
        <v>0.05</v>
      </c>
      <c r="AB56" s="63">
        <f t="shared" si="43"/>
        <v>0.05</v>
      </c>
      <c r="AC56" s="63">
        <f t="shared" si="43"/>
        <v>0.05</v>
      </c>
      <c r="AD56" s="63">
        <f t="shared" si="43"/>
        <v>0.05</v>
      </c>
      <c r="AE56" s="63">
        <f t="shared" si="43"/>
        <v>0.05</v>
      </c>
      <c r="AF56" s="63">
        <f t="shared" si="43"/>
        <v>0.05</v>
      </c>
      <c r="AG56" s="63">
        <f t="shared" si="43"/>
        <v>0.05</v>
      </c>
      <c r="AH56" s="63">
        <f t="shared" si="43"/>
        <v>0.05</v>
      </c>
      <c r="AI56" s="63">
        <f t="shared" si="43"/>
        <v>0.05</v>
      </c>
      <c r="AJ56" s="63">
        <f t="shared" si="43"/>
        <v>0.05</v>
      </c>
      <c r="AK56" s="63">
        <f t="shared" si="43"/>
        <v>0.05</v>
      </c>
      <c r="AL56" s="63">
        <f t="shared" si="43"/>
        <v>0.05</v>
      </c>
      <c r="AM56" s="63">
        <f t="shared" si="43"/>
        <v>0.05</v>
      </c>
      <c r="AN56" s="63">
        <f t="shared" si="43"/>
        <v>0.05</v>
      </c>
      <c r="AO56" s="63">
        <f t="shared" si="43"/>
        <v>0.05</v>
      </c>
      <c r="AP56" s="63">
        <f t="shared" si="43"/>
        <v>0.05</v>
      </c>
      <c r="AQ56" s="63">
        <f t="shared" si="43"/>
        <v>0.05</v>
      </c>
      <c r="AR56" s="63">
        <f t="shared" si="43"/>
        <v>0.05</v>
      </c>
      <c r="AS56" s="63">
        <f t="shared" si="43"/>
        <v>0.05</v>
      </c>
      <c r="AT56" s="63">
        <f t="shared" si="43"/>
        <v>0.05</v>
      </c>
      <c r="AU56" s="63">
        <f t="shared" si="43"/>
        <v>0.05</v>
      </c>
      <c r="AV56" s="63">
        <f t="shared" si="43"/>
        <v>0.05</v>
      </c>
      <c r="AW56" s="63">
        <f t="shared" si="43"/>
        <v>0.05</v>
      </c>
      <c r="AX56" s="63">
        <f t="shared" si="43"/>
        <v>0.05</v>
      </c>
      <c r="AY56" s="63">
        <f t="shared" si="43"/>
        <v>0.05</v>
      </c>
      <c r="AZ56" s="63">
        <f t="shared" si="43"/>
        <v>0.05</v>
      </c>
      <c r="BA56" s="63">
        <f t="shared" si="43"/>
        <v>0.05</v>
      </c>
      <c r="BB56" s="63">
        <f t="shared" si="43"/>
        <v>0.05</v>
      </c>
      <c r="BC56" s="63">
        <f t="shared" si="43"/>
        <v>0.05</v>
      </c>
      <c r="BD56" s="63">
        <f t="shared" si="43"/>
        <v>0.05</v>
      </c>
      <c r="BE56" s="63">
        <f t="shared" si="43"/>
        <v>0.05</v>
      </c>
      <c r="BF56" s="63">
        <f t="shared" si="43"/>
        <v>0.05</v>
      </c>
      <c r="BG56" s="63">
        <f t="shared" si="43"/>
        <v>0.05</v>
      </c>
      <c r="BH56" s="63">
        <f t="shared" si="43"/>
        <v>0.05</v>
      </c>
      <c r="BI56" s="63">
        <f t="shared" si="43"/>
        <v>0.05</v>
      </c>
      <c r="BJ56" s="63">
        <f t="shared" si="43"/>
        <v>0.05</v>
      </c>
      <c r="BK56" s="63">
        <f t="shared" si="43"/>
        <v>0.05</v>
      </c>
      <c r="BL56" s="63">
        <f t="shared" si="43"/>
        <v>0.05</v>
      </c>
      <c r="BM56" s="63">
        <f t="shared" si="43"/>
        <v>0.05</v>
      </c>
      <c r="BN56" s="63">
        <f t="shared" si="43"/>
        <v>0.05</v>
      </c>
    </row>
    <row r="57" outlineLevel="1">
      <c r="A57" s="85"/>
      <c r="B57" s="91" t="s">
        <v>17</v>
      </c>
      <c r="C57" s="85"/>
      <c r="D57" s="78"/>
      <c r="E57" s="87"/>
      <c r="F57" s="87"/>
      <c r="G57" s="78">
        <f t="shared" ref="G57:BN57" si="44">G53*G54*G55*G56</f>
        <v>10</v>
      </c>
      <c r="H57" s="78">
        <f t="shared" si="44"/>
        <v>10</v>
      </c>
      <c r="I57" s="78">
        <f t="shared" si="44"/>
        <v>10</v>
      </c>
      <c r="J57" s="78">
        <f t="shared" si="44"/>
        <v>10</v>
      </c>
      <c r="K57" s="78">
        <f t="shared" si="44"/>
        <v>10</v>
      </c>
      <c r="L57" s="78">
        <f t="shared" si="44"/>
        <v>10</v>
      </c>
      <c r="M57" s="78">
        <f t="shared" si="44"/>
        <v>10</v>
      </c>
      <c r="N57" s="78">
        <f t="shared" si="44"/>
        <v>10</v>
      </c>
      <c r="O57" s="78">
        <f t="shared" si="44"/>
        <v>10</v>
      </c>
      <c r="P57" s="78">
        <f t="shared" si="44"/>
        <v>10</v>
      </c>
      <c r="Q57" s="78">
        <f t="shared" si="44"/>
        <v>10</v>
      </c>
      <c r="R57" s="78">
        <f t="shared" si="44"/>
        <v>10</v>
      </c>
      <c r="S57" s="78">
        <f t="shared" si="44"/>
        <v>10</v>
      </c>
      <c r="T57" s="78">
        <f t="shared" si="44"/>
        <v>10</v>
      </c>
      <c r="U57" s="78">
        <f t="shared" si="44"/>
        <v>10</v>
      </c>
      <c r="V57" s="78">
        <f t="shared" si="44"/>
        <v>10</v>
      </c>
      <c r="W57" s="78">
        <f t="shared" si="44"/>
        <v>10</v>
      </c>
      <c r="X57" s="78">
        <f t="shared" si="44"/>
        <v>10</v>
      </c>
      <c r="Y57" s="78">
        <f t="shared" si="44"/>
        <v>10</v>
      </c>
      <c r="Z57" s="78">
        <f t="shared" si="44"/>
        <v>10</v>
      </c>
      <c r="AA57" s="78">
        <f t="shared" si="44"/>
        <v>10</v>
      </c>
      <c r="AB57" s="78">
        <f t="shared" si="44"/>
        <v>10</v>
      </c>
      <c r="AC57" s="78">
        <f t="shared" si="44"/>
        <v>10</v>
      </c>
      <c r="AD57" s="78">
        <f t="shared" si="44"/>
        <v>10</v>
      </c>
      <c r="AE57" s="78">
        <f t="shared" si="44"/>
        <v>10</v>
      </c>
      <c r="AF57" s="78">
        <f t="shared" si="44"/>
        <v>10</v>
      </c>
      <c r="AG57" s="78">
        <f t="shared" si="44"/>
        <v>10</v>
      </c>
      <c r="AH57" s="78">
        <f t="shared" si="44"/>
        <v>10</v>
      </c>
      <c r="AI57" s="78">
        <f t="shared" si="44"/>
        <v>10</v>
      </c>
      <c r="AJ57" s="78">
        <f t="shared" si="44"/>
        <v>10</v>
      </c>
      <c r="AK57" s="78">
        <f t="shared" si="44"/>
        <v>10</v>
      </c>
      <c r="AL57" s="78">
        <f t="shared" si="44"/>
        <v>10</v>
      </c>
      <c r="AM57" s="78">
        <f t="shared" si="44"/>
        <v>10</v>
      </c>
      <c r="AN57" s="78">
        <f t="shared" si="44"/>
        <v>10</v>
      </c>
      <c r="AO57" s="78">
        <f t="shared" si="44"/>
        <v>10</v>
      </c>
      <c r="AP57" s="78">
        <f t="shared" si="44"/>
        <v>10</v>
      </c>
      <c r="AQ57" s="78">
        <f t="shared" si="44"/>
        <v>10</v>
      </c>
      <c r="AR57" s="78">
        <f t="shared" si="44"/>
        <v>10</v>
      </c>
      <c r="AS57" s="78">
        <f t="shared" si="44"/>
        <v>10</v>
      </c>
      <c r="AT57" s="78">
        <f t="shared" si="44"/>
        <v>10</v>
      </c>
      <c r="AU57" s="78">
        <f t="shared" si="44"/>
        <v>10</v>
      </c>
      <c r="AV57" s="78">
        <f t="shared" si="44"/>
        <v>10</v>
      </c>
      <c r="AW57" s="78">
        <f t="shared" si="44"/>
        <v>10</v>
      </c>
      <c r="AX57" s="78">
        <f t="shared" si="44"/>
        <v>10</v>
      </c>
      <c r="AY57" s="78">
        <f t="shared" si="44"/>
        <v>10</v>
      </c>
      <c r="AZ57" s="78">
        <f t="shared" si="44"/>
        <v>10</v>
      </c>
      <c r="BA57" s="78">
        <f t="shared" si="44"/>
        <v>10</v>
      </c>
      <c r="BB57" s="78">
        <f t="shared" si="44"/>
        <v>10</v>
      </c>
      <c r="BC57" s="78">
        <f t="shared" si="44"/>
        <v>10</v>
      </c>
      <c r="BD57" s="78">
        <f t="shared" si="44"/>
        <v>10</v>
      </c>
      <c r="BE57" s="78">
        <f t="shared" si="44"/>
        <v>10</v>
      </c>
      <c r="BF57" s="78">
        <f t="shared" si="44"/>
        <v>10</v>
      </c>
      <c r="BG57" s="78">
        <f t="shared" si="44"/>
        <v>10</v>
      </c>
      <c r="BH57" s="78">
        <f t="shared" si="44"/>
        <v>10</v>
      </c>
      <c r="BI57" s="78">
        <f t="shared" si="44"/>
        <v>10</v>
      </c>
      <c r="BJ57" s="78">
        <f t="shared" si="44"/>
        <v>10</v>
      </c>
      <c r="BK57" s="78">
        <f t="shared" si="44"/>
        <v>10</v>
      </c>
      <c r="BL57" s="78">
        <f t="shared" si="44"/>
        <v>10</v>
      </c>
      <c r="BM57" s="78">
        <f t="shared" si="44"/>
        <v>10</v>
      </c>
      <c r="BN57" s="78">
        <f t="shared" si="44"/>
        <v>10</v>
      </c>
    </row>
    <row r="58" outlineLevel="1">
      <c r="A58" s="47"/>
      <c r="B58" s="67"/>
      <c r="C58" s="47"/>
      <c r="D58" s="43"/>
      <c r="E58" s="47"/>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row>
    <row r="59" outlineLevel="1">
      <c r="A59" s="47"/>
      <c r="B59" s="67" t="s">
        <v>41</v>
      </c>
      <c r="C59" s="47"/>
      <c r="D59" s="43"/>
      <c r="E59" s="47"/>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row>
    <row r="60" outlineLevel="1">
      <c r="A60" s="47"/>
      <c r="B60" s="39" t="s">
        <v>42</v>
      </c>
      <c r="C60" s="47"/>
      <c r="D60" s="81">
        <v>3.0</v>
      </c>
      <c r="E60" s="47"/>
      <c r="F60" s="57"/>
      <c r="G60" s="84">
        <f t="shared" ref="G60:G62" si="46">D60</f>
        <v>3</v>
      </c>
      <c r="H60" s="84">
        <f t="shared" ref="H60:BN60" si="45">G60</f>
        <v>3</v>
      </c>
      <c r="I60" s="84">
        <f t="shared" si="45"/>
        <v>3</v>
      </c>
      <c r="J60" s="84">
        <f t="shared" si="45"/>
        <v>3</v>
      </c>
      <c r="K60" s="84">
        <f t="shared" si="45"/>
        <v>3</v>
      </c>
      <c r="L60" s="84">
        <f t="shared" si="45"/>
        <v>3</v>
      </c>
      <c r="M60" s="84">
        <f t="shared" si="45"/>
        <v>3</v>
      </c>
      <c r="N60" s="84">
        <f t="shared" si="45"/>
        <v>3</v>
      </c>
      <c r="O60" s="84">
        <f t="shared" si="45"/>
        <v>3</v>
      </c>
      <c r="P60" s="84">
        <f t="shared" si="45"/>
        <v>3</v>
      </c>
      <c r="Q60" s="84">
        <f t="shared" si="45"/>
        <v>3</v>
      </c>
      <c r="R60" s="84">
        <f t="shared" si="45"/>
        <v>3</v>
      </c>
      <c r="S60" s="84">
        <f t="shared" si="45"/>
        <v>3</v>
      </c>
      <c r="T60" s="84">
        <f t="shared" si="45"/>
        <v>3</v>
      </c>
      <c r="U60" s="84">
        <f t="shared" si="45"/>
        <v>3</v>
      </c>
      <c r="V60" s="84">
        <f t="shared" si="45"/>
        <v>3</v>
      </c>
      <c r="W60" s="84">
        <f t="shared" si="45"/>
        <v>3</v>
      </c>
      <c r="X60" s="84">
        <f t="shared" si="45"/>
        <v>3</v>
      </c>
      <c r="Y60" s="84">
        <f t="shared" si="45"/>
        <v>3</v>
      </c>
      <c r="Z60" s="84">
        <f t="shared" si="45"/>
        <v>3</v>
      </c>
      <c r="AA60" s="84">
        <f t="shared" si="45"/>
        <v>3</v>
      </c>
      <c r="AB60" s="84">
        <f t="shared" si="45"/>
        <v>3</v>
      </c>
      <c r="AC60" s="84">
        <f t="shared" si="45"/>
        <v>3</v>
      </c>
      <c r="AD60" s="84">
        <f t="shared" si="45"/>
        <v>3</v>
      </c>
      <c r="AE60" s="84">
        <f t="shared" si="45"/>
        <v>3</v>
      </c>
      <c r="AF60" s="84">
        <f t="shared" si="45"/>
        <v>3</v>
      </c>
      <c r="AG60" s="84">
        <f t="shared" si="45"/>
        <v>3</v>
      </c>
      <c r="AH60" s="84">
        <f t="shared" si="45"/>
        <v>3</v>
      </c>
      <c r="AI60" s="84">
        <f t="shared" si="45"/>
        <v>3</v>
      </c>
      <c r="AJ60" s="84">
        <f t="shared" si="45"/>
        <v>3</v>
      </c>
      <c r="AK60" s="84">
        <f t="shared" si="45"/>
        <v>3</v>
      </c>
      <c r="AL60" s="84">
        <f t="shared" si="45"/>
        <v>3</v>
      </c>
      <c r="AM60" s="84">
        <f t="shared" si="45"/>
        <v>3</v>
      </c>
      <c r="AN60" s="84">
        <f t="shared" si="45"/>
        <v>3</v>
      </c>
      <c r="AO60" s="84">
        <f t="shared" si="45"/>
        <v>3</v>
      </c>
      <c r="AP60" s="84">
        <f t="shared" si="45"/>
        <v>3</v>
      </c>
      <c r="AQ60" s="84">
        <f t="shared" si="45"/>
        <v>3</v>
      </c>
      <c r="AR60" s="84">
        <f t="shared" si="45"/>
        <v>3</v>
      </c>
      <c r="AS60" s="84">
        <f t="shared" si="45"/>
        <v>3</v>
      </c>
      <c r="AT60" s="84">
        <f t="shared" si="45"/>
        <v>3</v>
      </c>
      <c r="AU60" s="84">
        <f t="shared" si="45"/>
        <v>3</v>
      </c>
      <c r="AV60" s="84">
        <f t="shared" si="45"/>
        <v>3</v>
      </c>
      <c r="AW60" s="84">
        <f t="shared" si="45"/>
        <v>3</v>
      </c>
      <c r="AX60" s="84">
        <f t="shared" si="45"/>
        <v>3</v>
      </c>
      <c r="AY60" s="84">
        <f t="shared" si="45"/>
        <v>3</v>
      </c>
      <c r="AZ60" s="84">
        <f t="shared" si="45"/>
        <v>3</v>
      </c>
      <c r="BA60" s="84">
        <f t="shared" si="45"/>
        <v>3</v>
      </c>
      <c r="BB60" s="84">
        <f t="shared" si="45"/>
        <v>3</v>
      </c>
      <c r="BC60" s="84">
        <f t="shared" si="45"/>
        <v>3</v>
      </c>
      <c r="BD60" s="84">
        <f t="shared" si="45"/>
        <v>3</v>
      </c>
      <c r="BE60" s="84">
        <f t="shared" si="45"/>
        <v>3</v>
      </c>
      <c r="BF60" s="84">
        <f t="shared" si="45"/>
        <v>3</v>
      </c>
      <c r="BG60" s="84">
        <f t="shared" si="45"/>
        <v>3</v>
      </c>
      <c r="BH60" s="84">
        <f t="shared" si="45"/>
        <v>3</v>
      </c>
      <c r="BI60" s="84">
        <f t="shared" si="45"/>
        <v>3</v>
      </c>
      <c r="BJ60" s="84">
        <f t="shared" si="45"/>
        <v>3</v>
      </c>
      <c r="BK60" s="84">
        <f t="shared" si="45"/>
        <v>3</v>
      </c>
      <c r="BL60" s="84">
        <f t="shared" si="45"/>
        <v>3</v>
      </c>
      <c r="BM60" s="84">
        <f t="shared" si="45"/>
        <v>3</v>
      </c>
      <c r="BN60" s="84">
        <f t="shared" si="45"/>
        <v>3</v>
      </c>
    </row>
    <row r="61" outlineLevel="1">
      <c r="A61" s="47"/>
      <c r="B61" s="39" t="s">
        <v>43</v>
      </c>
      <c r="C61" s="47"/>
      <c r="D61" s="81">
        <v>50.0</v>
      </c>
      <c r="E61" s="47"/>
      <c r="F61" s="66"/>
      <c r="G61" s="84">
        <f t="shared" si="46"/>
        <v>50</v>
      </c>
      <c r="H61" s="84">
        <f t="shared" ref="H61:BN61" si="47">G61</f>
        <v>50</v>
      </c>
      <c r="I61" s="84">
        <f t="shared" si="47"/>
        <v>50</v>
      </c>
      <c r="J61" s="84">
        <f t="shared" si="47"/>
        <v>50</v>
      </c>
      <c r="K61" s="84">
        <f t="shared" si="47"/>
        <v>50</v>
      </c>
      <c r="L61" s="84">
        <f t="shared" si="47"/>
        <v>50</v>
      </c>
      <c r="M61" s="84">
        <f t="shared" si="47"/>
        <v>50</v>
      </c>
      <c r="N61" s="84">
        <f t="shared" si="47"/>
        <v>50</v>
      </c>
      <c r="O61" s="84">
        <f t="shared" si="47"/>
        <v>50</v>
      </c>
      <c r="P61" s="84">
        <f t="shared" si="47"/>
        <v>50</v>
      </c>
      <c r="Q61" s="84">
        <f t="shared" si="47"/>
        <v>50</v>
      </c>
      <c r="R61" s="84">
        <f t="shared" si="47"/>
        <v>50</v>
      </c>
      <c r="S61" s="84">
        <f t="shared" si="47"/>
        <v>50</v>
      </c>
      <c r="T61" s="84">
        <f t="shared" si="47"/>
        <v>50</v>
      </c>
      <c r="U61" s="84">
        <f t="shared" si="47"/>
        <v>50</v>
      </c>
      <c r="V61" s="84">
        <f t="shared" si="47"/>
        <v>50</v>
      </c>
      <c r="W61" s="84">
        <f t="shared" si="47"/>
        <v>50</v>
      </c>
      <c r="X61" s="84">
        <f t="shared" si="47"/>
        <v>50</v>
      </c>
      <c r="Y61" s="84">
        <f t="shared" si="47"/>
        <v>50</v>
      </c>
      <c r="Z61" s="84">
        <f t="shared" si="47"/>
        <v>50</v>
      </c>
      <c r="AA61" s="84">
        <f t="shared" si="47"/>
        <v>50</v>
      </c>
      <c r="AB61" s="84">
        <f t="shared" si="47"/>
        <v>50</v>
      </c>
      <c r="AC61" s="84">
        <f t="shared" si="47"/>
        <v>50</v>
      </c>
      <c r="AD61" s="84">
        <f t="shared" si="47"/>
        <v>50</v>
      </c>
      <c r="AE61" s="84">
        <f t="shared" si="47"/>
        <v>50</v>
      </c>
      <c r="AF61" s="84">
        <f t="shared" si="47"/>
        <v>50</v>
      </c>
      <c r="AG61" s="84">
        <f t="shared" si="47"/>
        <v>50</v>
      </c>
      <c r="AH61" s="84">
        <f t="shared" si="47"/>
        <v>50</v>
      </c>
      <c r="AI61" s="84">
        <f t="shared" si="47"/>
        <v>50</v>
      </c>
      <c r="AJ61" s="84">
        <f t="shared" si="47"/>
        <v>50</v>
      </c>
      <c r="AK61" s="84">
        <f t="shared" si="47"/>
        <v>50</v>
      </c>
      <c r="AL61" s="84">
        <f t="shared" si="47"/>
        <v>50</v>
      </c>
      <c r="AM61" s="84">
        <f t="shared" si="47"/>
        <v>50</v>
      </c>
      <c r="AN61" s="84">
        <f t="shared" si="47"/>
        <v>50</v>
      </c>
      <c r="AO61" s="84">
        <f t="shared" si="47"/>
        <v>50</v>
      </c>
      <c r="AP61" s="84">
        <f t="shared" si="47"/>
        <v>50</v>
      </c>
      <c r="AQ61" s="84">
        <f t="shared" si="47"/>
        <v>50</v>
      </c>
      <c r="AR61" s="84">
        <f t="shared" si="47"/>
        <v>50</v>
      </c>
      <c r="AS61" s="84">
        <f t="shared" si="47"/>
        <v>50</v>
      </c>
      <c r="AT61" s="84">
        <f t="shared" si="47"/>
        <v>50</v>
      </c>
      <c r="AU61" s="84">
        <f t="shared" si="47"/>
        <v>50</v>
      </c>
      <c r="AV61" s="84">
        <f t="shared" si="47"/>
        <v>50</v>
      </c>
      <c r="AW61" s="84">
        <f t="shared" si="47"/>
        <v>50</v>
      </c>
      <c r="AX61" s="84">
        <f t="shared" si="47"/>
        <v>50</v>
      </c>
      <c r="AY61" s="84">
        <f t="shared" si="47"/>
        <v>50</v>
      </c>
      <c r="AZ61" s="84">
        <f t="shared" si="47"/>
        <v>50</v>
      </c>
      <c r="BA61" s="84">
        <f t="shared" si="47"/>
        <v>50</v>
      </c>
      <c r="BB61" s="84">
        <f t="shared" si="47"/>
        <v>50</v>
      </c>
      <c r="BC61" s="84">
        <f t="shared" si="47"/>
        <v>50</v>
      </c>
      <c r="BD61" s="84">
        <f t="shared" si="47"/>
        <v>50</v>
      </c>
      <c r="BE61" s="84">
        <f t="shared" si="47"/>
        <v>50</v>
      </c>
      <c r="BF61" s="84">
        <f t="shared" si="47"/>
        <v>50</v>
      </c>
      <c r="BG61" s="84">
        <f t="shared" si="47"/>
        <v>50</v>
      </c>
      <c r="BH61" s="84">
        <f t="shared" si="47"/>
        <v>50</v>
      </c>
      <c r="BI61" s="84">
        <f t="shared" si="47"/>
        <v>50</v>
      </c>
      <c r="BJ61" s="84">
        <f t="shared" si="47"/>
        <v>50</v>
      </c>
      <c r="BK61" s="84">
        <f t="shared" si="47"/>
        <v>50</v>
      </c>
      <c r="BL61" s="84">
        <f t="shared" si="47"/>
        <v>50</v>
      </c>
      <c r="BM61" s="84">
        <f t="shared" si="47"/>
        <v>50</v>
      </c>
      <c r="BN61" s="84">
        <f t="shared" si="47"/>
        <v>50</v>
      </c>
    </row>
    <row r="62" outlineLevel="1">
      <c r="A62" s="47"/>
      <c r="B62" s="75" t="s">
        <v>16</v>
      </c>
      <c r="C62" s="60"/>
      <c r="D62" s="76">
        <v>0.05</v>
      </c>
      <c r="E62" s="62"/>
      <c r="F62" s="62"/>
      <c r="G62" s="63">
        <f t="shared" si="46"/>
        <v>0.05</v>
      </c>
      <c r="H62" s="63">
        <f t="shared" ref="H62:BN62" si="48">G62</f>
        <v>0.05</v>
      </c>
      <c r="I62" s="63">
        <f t="shared" si="48"/>
        <v>0.05</v>
      </c>
      <c r="J62" s="63">
        <f t="shared" si="48"/>
        <v>0.05</v>
      </c>
      <c r="K62" s="63">
        <f t="shared" si="48"/>
        <v>0.05</v>
      </c>
      <c r="L62" s="63">
        <f t="shared" si="48"/>
        <v>0.05</v>
      </c>
      <c r="M62" s="63">
        <f t="shared" si="48"/>
        <v>0.05</v>
      </c>
      <c r="N62" s="63">
        <f t="shared" si="48"/>
        <v>0.05</v>
      </c>
      <c r="O62" s="63">
        <f t="shared" si="48"/>
        <v>0.05</v>
      </c>
      <c r="P62" s="63">
        <f t="shared" si="48"/>
        <v>0.05</v>
      </c>
      <c r="Q62" s="63">
        <f t="shared" si="48"/>
        <v>0.05</v>
      </c>
      <c r="R62" s="63">
        <f t="shared" si="48"/>
        <v>0.05</v>
      </c>
      <c r="S62" s="63">
        <f t="shared" si="48"/>
        <v>0.05</v>
      </c>
      <c r="T62" s="63">
        <f t="shared" si="48"/>
        <v>0.05</v>
      </c>
      <c r="U62" s="63">
        <f t="shared" si="48"/>
        <v>0.05</v>
      </c>
      <c r="V62" s="63">
        <f t="shared" si="48"/>
        <v>0.05</v>
      </c>
      <c r="W62" s="63">
        <f t="shared" si="48"/>
        <v>0.05</v>
      </c>
      <c r="X62" s="63">
        <f t="shared" si="48"/>
        <v>0.05</v>
      </c>
      <c r="Y62" s="63">
        <f t="shared" si="48"/>
        <v>0.05</v>
      </c>
      <c r="Z62" s="63">
        <f t="shared" si="48"/>
        <v>0.05</v>
      </c>
      <c r="AA62" s="63">
        <f t="shared" si="48"/>
        <v>0.05</v>
      </c>
      <c r="AB62" s="63">
        <f t="shared" si="48"/>
        <v>0.05</v>
      </c>
      <c r="AC62" s="63">
        <f t="shared" si="48"/>
        <v>0.05</v>
      </c>
      <c r="AD62" s="63">
        <f t="shared" si="48"/>
        <v>0.05</v>
      </c>
      <c r="AE62" s="63">
        <f t="shared" si="48"/>
        <v>0.05</v>
      </c>
      <c r="AF62" s="63">
        <f t="shared" si="48"/>
        <v>0.05</v>
      </c>
      <c r="AG62" s="63">
        <f t="shared" si="48"/>
        <v>0.05</v>
      </c>
      <c r="AH62" s="63">
        <f t="shared" si="48"/>
        <v>0.05</v>
      </c>
      <c r="AI62" s="63">
        <f t="shared" si="48"/>
        <v>0.05</v>
      </c>
      <c r="AJ62" s="63">
        <f t="shared" si="48"/>
        <v>0.05</v>
      </c>
      <c r="AK62" s="63">
        <f t="shared" si="48"/>
        <v>0.05</v>
      </c>
      <c r="AL62" s="63">
        <f t="shared" si="48"/>
        <v>0.05</v>
      </c>
      <c r="AM62" s="63">
        <f t="shared" si="48"/>
        <v>0.05</v>
      </c>
      <c r="AN62" s="63">
        <f t="shared" si="48"/>
        <v>0.05</v>
      </c>
      <c r="AO62" s="63">
        <f t="shared" si="48"/>
        <v>0.05</v>
      </c>
      <c r="AP62" s="63">
        <f t="shared" si="48"/>
        <v>0.05</v>
      </c>
      <c r="AQ62" s="63">
        <f t="shared" si="48"/>
        <v>0.05</v>
      </c>
      <c r="AR62" s="63">
        <f t="shared" si="48"/>
        <v>0.05</v>
      </c>
      <c r="AS62" s="63">
        <f t="shared" si="48"/>
        <v>0.05</v>
      </c>
      <c r="AT62" s="63">
        <f t="shared" si="48"/>
        <v>0.05</v>
      </c>
      <c r="AU62" s="63">
        <f t="shared" si="48"/>
        <v>0.05</v>
      </c>
      <c r="AV62" s="63">
        <f t="shared" si="48"/>
        <v>0.05</v>
      </c>
      <c r="AW62" s="63">
        <f t="shared" si="48"/>
        <v>0.05</v>
      </c>
      <c r="AX62" s="63">
        <f t="shared" si="48"/>
        <v>0.05</v>
      </c>
      <c r="AY62" s="63">
        <f t="shared" si="48"/>
        <v>0.05</v>
      </c>
      <c r="AZ62" s="63">
        <f t="shared" si="48"/>
        <v>0.05</v>
      </c>
      <c r="BA62" s="63">
        <f t="shared" si="48"/>
        <v>0.05</v>
      </c>
      <c r="BB62" s="63">
        <f t="shared" si="48"/>
        <v>0.05</v>
      </c>
      <c r="BC62" s="63">
        <f t="shared" si="48"/>
        <v>0.05</v>
      </c>
      <c r="BD62" s="63">
        <f t="shared" si="48"/>
        <v>0.05</v>
      </c>
      <c r="BE62" s="63">
        <f t="shared" si="48"/>
        <v>0.05</v>
      </c>
      <c r="BF62" s="63">
        <f t="shared" si="48"/>
        <v>0.05</v>
      </c>
      <c r="BG62" s="63">
        <f t="shared" si="48"/>
        <v>0.05</v>
      </c>
      <c r="BH62" s="63">
        <f t="shared" si="48"/>
        <v>0.05</v>
      </c>
      <c r="BI62" s="63">
        <f t="shared" si="48"/>
        <v>0.05</v>
      </c>
      <c r="BJ62" s="63">
        <f t="shared" si="48"/>
        <v>0.05</v>
      </c>
      <c r="BK62" s="63">
        <f t="shared" si="48"/>
        <v>0.05</v>
      </c>
      <c r="BL62" s="63">
        <f t="shared" si="48"/>
        <v>0.05</v>
      </c>
      <c r="BM62" s="63">
        <f t="shared" si="48"/>
        <v>0.05</v>
      </c>
      <c r="BN62" s="63">
        <f t="shared" si="48"/>
        <v>0.05</v>
      </c>
    </row>
    <row r="63" outlineLevel="1">
      <c r="A63" s="47"/>
      <c r="B63" s="77" t="s">
        <v>17</v>
      </c>
      <c r="C63" s="47"/>
      <c r="D63" s="64"/>
      <c r="E63" s="65"/>
      <c r="F63" s="66"/>
      <c r="G63" s="64">
        <f t="shared" ref="G63:BN63" si="49">G60*G61*G62</f>
        <v>7.5</v>
      </c>
      <c r="H63" s="64">
        <f t="shared" si="49"/>
        <v>7.5</v>
      </c>
      <c r="I63" s="64">
        <f t="shared" si="49"/>
        <v>7.5</v>
      </c>
      <c r="J63" s="64">
        <f t="shared" si="49"/>
        <v>7.5</v>
      </c>
      <c r="K63" s="64">
        <f t="shared" si="49"/>
        <v>7.5</v>
      </c>
      <c r="L63" s="64">
        <f t="shared" si="49"/>
        <v>7.5</v>
      </c>
      <c r="M63" s="64">
        <f t="shared" si="49"/>
        <v>7.5</v>
      </c>
      <c r="N63" s="64">
        <f t="shared" si="49"/>
        <v>7.5</v>
      </c>
      <c r="O63" s="64">
        <f t="shared" si="49"/>
        <v>7.5</v>
      </c>
      <c r="P63" s="64">
        <f t="shared" si="49"/>
        <v>7.5</v>
      </c>
      <c r="Q63" s="64">
        <f t="shared" si="49"/>
        <v>7.5</v>
      </c>
      <c r="R63" s="64">
        <f t="shared" si="49"/>
        <v>7.5</v>
      </c>
      <c r="S63" s="64">
        <f t="shared" si="49"/>
        <v>7.5</v>
      </c>
      <c r="T63" s="64">
        <f t="shared" si="49"/>
        <v>7.5</v>
      </c>
      <c r="U63" s="64">
        <f t="shared" si="49"/>
        <v>7.5</v>
      </c>
      <c r="V63" s="64">
        <f t="shared" si="49"/>
        <v>7.5</v>
      </c>
      <c r="W63" s="64">
        <f t="shared" si="49"/>
        <v>7.5</v>
      </c>
      <c r="X63" s="64">
        <f t="shared" si="49"/>
        <v>7.5</v>
      </c>
      <c r="Y63" s="64">
        <f t="shared" si="49"/>
        <v>7.5</v>
      </c>
      <c r="Z63" s="64">
        <f t="shared" si="49"/>
        <v>7.5</v>
      </c>
      <c r="AA63" s="64">
        <f t="shared" si="49"/>
        <v>7.5</v>
      </c>
      <c r="AB63" s="64">
        <f t="shared" si="49"/>
        <v>7.5</v>
      </c>
      <c r="AC63" s="64">
        <f t="shared" si="49"/>
        <v>7.5</v>
      </c>
      <c r="AD63" s="64">
        <f t="shared" si="49"/>
        <v>7.5</v>
      </c>
      <c r="AE63" s="64">
        <f t="shared" si="49"/>
        <v>7.5</v>
      </c>
      <c r="AF63" s="64">
        <f t="shared" si="49"/>
        <v>7.5</v>
      </c>
      <c r="AG63" s="64">
        <f t="shared" si="49"/>
        <v>7.5</v>
      </c>
      <c r="AH63" s="64">
        <f t="shared" si="49"/>
        <v>7.5</v>
      </c>
      <c r="AI63" s="64">
        <f t="shared" si="49"/>
        <v>7.5</v>
      </c>
      <c r="AJ63" s="64">
        <f t="shared" si="49"/>
        <v>7.5</v>
      </c>
      <c r="AK63" s="64">
        <f t="shared" si="49"/>
        <v>7.5</v>
      </c>
      <c r="AL63" s="64">
        <f t="shared" si="49"/>
        <v>7.5</v>
      </c>
      <c r="AM63" s="64">
        <f t="shared" si="49"/>
        <v>7.5</v>
      </c>
      <c r="AN63" s="64">
        <f t="shared" si="49"/>
        <v>7.5</v>
      </c>
      <c r="AO63" s="64">
        <f t="shared" si="49"/>
        <v>7.5</v>
      </c>
      <c r="AP63" s="64">
        <f t="shared" si="49"/>
        <v>7.5</v>
      </c>
      <c r="AQ63" s="64">
        <f t="shared" si="49"/>
        <v>7.5</v>
      </c>
      <c r="AR63" s="64">
        <f t="shared" si="49"/>
        <v>7.5</v>
      </c>
      <c r="AS63" s="64">
        <f t="shared" si="49"/>
        <v>7.5</v>
      </c>
      <c r="AT63" s="64">
        <f t="shared" si="49"/>
        <v>7.5</v>
      </c>
      <c r="AU63" s="64">
        <f t="shared" si="49"/>
        <v>7.5</v>
      </c>
      <c r="AV63" s="64">
        <f t="shared" si="49"/>
        <v>7.5</v>
      </c>
      <c r="AW63" s="64">
        <f t="shared" si="49"/>
        <v>7.5</v>
      </c>
      <c r="AX63" s="64">
        <f t="shared" si="49"/>
        <v>7.5</v>
      </c>
      <c r="AY63" s="64">
        <f t="shared" si="49"/>
        <v>7.5</v>
      </c>
      <c r="AZ63" s="64">
        <f t="shared" si="49"/>
        <v>7.5</v>
      </c>
      <c r="BA63" s="64">
        <f t="shared" si="49"/>
        <v>7.5</v>
      </c>
      <c r="BB63" s="64">
        <f t="shared" si="49"/>
        <v>7.5</v>
      </c>
      <c r="BC63" s="64">
        <f t="shared" si="49"/>
        <v>7.5</v>
      </c>
      <c r="BD63" s="64">
        <f t="shared" si="49"/>
        <v>7.5</v>
      </c>
      <c r="BE63" s="64">
        <f t="shared" si="49"/>
        <v>7.5</v>
      </c>
      <c r="BF63" s="64">
        <f t="shared" si="49"/>
        <v>7.5</v>
      </c>
      <c r="BG63" s="64">
        <f t="shared" si="49"/>
        <v>7.5</v>
      </c>
      <c r="BH63" s="64">
        <f t="shared" si="49"/>
        <v>7.5</v>
      </c>
      <c r="BI63" s="64">
        <f t="shared" si="49"/>
        <v>7.5</v>
      </c>
      <c r="BJ63" s="64">
        <f t="shared" si="49"/>
        <v>7.5</v>
      </c>
      <c r="BK63" s="64">
        <f t="shared" si="49"/>
        <v>7.5</v>
      </c>
      <c r="BL63" s="64">
        <f t="shared" si="49"/>
        <v>7.5</v>
      </c>
      <c r="BM63" s="64">
        <f t="shared" si="49"/>
        <v>7.5</v>
      </c>
      <c r="BN63" s="64">
        <f t="shared" si="49"/>
        <v>7.5</v>
      </c>
    </row>
    <row r="64" outlineLevel="1">
      <c r="A64" s="47"/>
      <c r="B64" s="67"/>
      <c r="C64" s="47"/>
      <c r="D64" s="43"/>
      <c r="E64" s="47"/>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row>
    <row r="65" outlineLevel="1">
      <c r="A65" s="47"/>
      <c r="B65" s="67" t="s">
        <v>44</v>
      </c>
      <c r="C65" s="47"/>
      <c r="D65" s="43"/>
      <c r="E65" s="47"/>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row>
    <row r="66" outlineLevel="1">
      <c r="A66" s="47"/>
      <c r="B66" s="39" t="s">
        <v>45</v>
      </c>
      <c r="C66" s="47"/>
      <c r="D66" s="81">
        <v>25.0</v>
      </c>
      <c r="E66" s="47"/>
      <c r="F66" s="57"/>
      <c r="G66" s="84">
        <f t="shared" ref="G66:G68" si="51">D66</f>
        <v>25</v>
      </c>
      <c r="H66" s="84">
        <f t="shared" ref="H66:BN66" si="50">G66</f>
        <v>25</v>
      </c>
      <c r="I66" s="84">
        <f t="shared" si="50"/>
        <v>25</v>
      </c>
      <c r="J66" s="84">
        <f t="shared" si="50"/>
        <v>25</v>
      </c>
      <c r="K66" s="84">
        <f t="shared" si="50"/>
        <v>25</v>
      </c>
      <c r="L66" s="84">
        <f t="shared" si="50"/>
        <v>25</v>
      </c>
      <c r="M66" s="84">
        <f t="shared" si="50"/>
        <v>25</v>
      </c>
      <c r="N66" s="84">
        <f t="shared" si="50"/>
        <v>25</v>
      </c>
      <c r="O66" s="84">
        <f t="shared" si="50"/>
        <v>25</v>
      </c>
      <c r="P66" s="84">
        <f t="shared" si="50"/>
        <v>25</v>
      </c>
      <c r="Q66" s="84">
        <f t="shared" si="50"/>
        <v>25</v>
      </c>
      <c r="R66" s="84">
        <f t="shared" si="50"/>
        <v>25</v>
      </c>
      <c r="S66" s="84">
        <f t="shared" si="50"/>
        <v>25</v>
      </c>
      <c r="T66" s="84">
        <f t="shared" si="50"/>
        <v>25</v>
      </c>
      <c r="U66" s="84">
        <f t="shared" si="50"/>
        <v>25</v>
      </c>
      <c r="V66" s="84">
        <f t="shared" si="50"/>
        <v>25</v>
      </c>
      <c r="W66" s="84">
        <f t="shared" si="50"/>
        <v>25</v>
      </c>
      <c r="X66" s="84">
        <f t="shared" si="50"/>
        <v>25</v>
      </c>
      <c r="Y66" s="84">
        <f t="shared" si="50"/>
        <v>25</v>
      </c>
      <c r="Z66" s="84">
        <f t="shared" si="50"/>
        <v>25</v>
      </c>
      <c r="AA66" s="84">
        <f t="shared" si="50"/>
        <v>25</v>
      </c>
      <c r="AB66" s="84">
        <f t="shared" si="50"/>
        <v>25</v>
      </c>
      <c r="AC66" s="84">
        <f t="shared" si="50"/>
        <v>25</v>
      </c>
      <c r="AD66" s="84">
        <f t="shared" si="50"/>
        <v>25</v>
      </c>
      <c r="AE66" s="84">
        <f t="shared" si="50"/>
        <v>25</v>
      </c>
      <c r="AF66" s="84">
        <f t="shared" si="50"/>
        <v>25</v>
      </c>
      <c r="AG66" s="84">
        <f t="shared" si="50"/>
        <v>25</v>
      </c>
      <c r="AH66" s="84">
        <f t="shared" si="50"/>
        <v>25</v>
      </c>
      <c r="AI66" s="84">
        <f t="shared" si="50"/>
        <v>25</v>
      </c>
      <c r="AJ66" s="84">
        <f t="shared" si="50"/>
        <v>25</v>
      </c>
      <c r="AK66" s="84">
        <f t="shared" si="50"/>
        <v>25</v>
      </c>
      <c r="AL66" s="84">
        <f t="shared" si="50"/>
        <v>25</v>
      </c>
      <c r="AM66" s="84">
        <f t="shared" si="50"/>
        <v>25</v>
      </c>
      <c r="AN66" s="84">
        <f t="shared" si="50"/>
        <v>25</v>
      </c>
      <c r="AO66" s="84">
        <f t="shared" si="50"/>
        <v>25</v>
      </c>
      <c r="AP66" s="84">
        <f t="shared" si="50"/>
        <v>25</v>
      </c>
      <c r="AQ66" s="84">
        <f t="shared" si="50"/>
        <v>25</v>
      </c>
      <c r="AR66" s="84">
        <f t="shared" si="50"/>
        <v>25</v>
      </c>
      <c r="AS66" s="84">
        <f t="shared" si="50"/>
        <v>25</v>
      </c>
      <c r="AT66" s="84">
        <f t="shared" si="50"/>
        <v>25</v>
      </c>
      <c r="AU66" s="84">
        <f t="shared" si="50"/>
        <v>25</v>
      </c>
      <c r="AV66" s="84">
        <f t="shared" si="50"/>
        <v>25</v>
      </c>
      <c r="AW66" s="84">
        <f t="shared" si="50"/>
        <v>25</v>
      </c>
      <c r="AX66" s="84">
        <f t="shared" si="50"/>
        <v>25</v>
      </c>
      <c r="AY66" s="84">
        <f t="shared" si="50"/>
        <v>25</v>
      </c>
      <c r="AZ66" s="84">
        <f t="shared" si="50"/>
        <v>25</v>
      </c>
      <c r="BA66" s="84">
        <f t="shared" si="50"/>
        <v>25</v>
      </c>
      <c r="BB66" s="84">
        <f t="shared" si="50"/>
        <v>25</v>
      </c>
      <c r="BC66" s="84">
        <f t="shared" si="50"/>
        <v>25</v>
      </c>
      <c r="BD66" s="84">
        <f t="shared" si="50"/>
        <v>25</v>
      </c>
      <c r="BE66" s="84">
        <f t="shared" si="50"/>
        <v>25</v>
      </c>
      <c r="BF66" s="84">
        <f t="shared" si="50"/>
        <v>25</v>
      </c>
      <c r="BG66" s="84">
        <f t="shared" si="50"/>
        <v>25</v>
      </c>
      <c r="BH66" s="84">
        <f t="shared" si="50"/>
        <v>25</v>
      </c>
      <c r="BI66" s="84">
        <f t="shared" si="50"/>
        <v>25</v>
      </c>
      <c r="BJ66" s="84">
        <f t="shared" si="50"/>
        <v>25</v>
      </c>
      <c r="BK66" s="84">
        <f t="shared" si="50"/>
        <v>25</v>
      </c>
      <c r="BL66" s="84">
        <f t="shared" si="50"/>
        <v>25</v>
      </c>
      <c r="BM66" s="84">
        <f t="shared" si="50"/>
        <v>25</v>
      </c>
      <c r="BN66" s="84">
        <f t="shared" si="50"/>
        <v>25</v>
      </c>
    </row>
    <row r="67" outlineLevel="1">
      <c r="A67" s="47"/>
      <c r="B67" s="39" t="s">
        <v>46</v>
      </c>
      <c r="C67" s="47"/>
      <c r="D67" s="94">
        <v>3.0</v>
      </c>
      <c r="E67" s="47"/>
      <c r="F67" s="66"/>
      <c r="G67" s="95">
        <f t="shared" si="51"/>
        <v>3</v>
      </c>
      <c r="H67" s="95">
        <f t="shared" ref="H67:BN67" si="52">G67</f>
        <v>3</v>
      </c>
      <c r="I67" s="95">
        <f t="shared" si="52"/>
        <v>3</v>
      </c>
      <c r="J67" s="95">
        <f t="shared" si="52"/>
        <v>3</v>
      </c>
      <c r="K67" s="95">
        <f t="shared" si="52"/>
        <v>3</v>
      </c>
      <c r="L67" s="95">
        <f t="shared" si="52"/>
        <v>3</v>
      </c>
      <c r="M67" s="95">
        <f t="shared" si="52"/>
        <v>3</v>
      </c>
      <c r="N67" s="95">
        <f t="shared" si="52"/>
        <v>3</v>
      </c>
      <c r="O67" s="95">
        <f t="shared" si="52"/>
        <v>3</v>
      </c>
      <c r="P67" s="95">
        <f t="shared" si="52"/>
        <v>3</v>
      </c>
      <c r="Q67" s="95">
        <f t="shared" si="52"/>
        <v>3</v>
      </c>
      <c r="R67" s="95">
        <f t="shared" si="52"/>
        <v>3</v>
      </c>
      <c r="S67" s="95">
        <f t="shared" si="52"/>
        <v>3</v>
      </c>
      <c r="T67" s="95">
        <f t="shared" si="52"/>
        <v>3</v>
      </c>
      <c r="U67" s="95">
        <f t="shared" si="52"/>
        <v>3</v>
      </c>
      <c r="V67" s="95">
        <f t="shared" si="52"/>
        <v>3</v>
      </c>
      <c r="W67" s="95">
        <f t="shared" si="52"/>
        <v>3</v>
      </c>
      <c r="X67" s="95">
        <f t="shared" si="52"/>
        <v>3</v>
      </c>
      <c r="Y67" s="95">
        <f t="shared" si="52"/>
        <v>3</v>
      </c>
      <c r="Z67" s="95">
        <f t="shared" si="52"/>
        <v>3</v>
      </c>
      <c r="AA67" s="95">
        <f t="shared" si="52"/>
        <v>3</v>
      </c>
      <c r="AB67" s="95">
        <f t="shared" si="52"/>
        <v>3</v>
      </c>
      <c r="AC67" s="95">
        <f t="shared" si="52"/>
        <v>3</v>
      </c>
      <c r="AD67" s="95">
        <f t="shared" si="52"/>
        <v>3</v>
      </c>
      <c r="AE67" s="95">
        <f t="shared" si="52"/>
        <v>3</v>
      </c>
      <c r="AF67" s="95">
        <f t="shared" si="52"/>
        <v>3</v>
      </c>
      <c r="AG67" s="95">
        <f t="shared" si="52"/>
        <v>3</v>
      </c>
      <c r="AH67" s="95">
        <f t="shared" si="52"/>
        <v>3</v>
      </c>
      <c r="AI67" s="95">
        <f t="shared" si="52"/>
        <v>3</v>
      </c>
      <c r="AJ67" s="95">
        <f t="shared" si="52"/>
        <v>3</v>
      </c>
      <c r="AK67" s="95">
        <f t="shared" si="52"/>
        <v>3</v>
      </c>
      <c r="AL67" s="95">
        <f t="shared" si="52"/>
        <v>3</v>
      </c>
      <c r="AM67" s="95">
        <f t="shared" si="52"/>
        <v>3</v>
      </c>
      <c r="AN67" s="95">
        <f t="shared" si="52"/>
        <v>3</v>
      </c>
      <c r="AO67" s="95">
        <f t="shared" si="52"/>
        <v>3</v>
      </c>
      <c r="AP67" s="95">
        <f t="shared" si="52"/>
        <v>3</v>
      </c>
      <c r="AQ67" s="95">
        <f t="shared" si="52"/>
        <v>3</v>
      </c>
      <c r="AR67" s="95">
        <f t="shared" si="52"/>
        <v>3</v>
      </c>
      <c r="AS67" s="95">
        <f t="shared" si="52"/>
        <v>3</v>
      </c>
      <c r="AT67" s="95">
        <f t="shared" si="52"/>
        <v>3</v>
      </c>
      <c r="AU67" s="95">
        <f t="shared" si="52"/>
        <v>3</v>
      </c>
      <c r="AV67" s="95">
        <f t="shared" si="52"/>
        <v>3</v>
      </c>
      <c r="AW67" s="95">
        <f t="shared" si="52"/>
        <v>3</v>
      </c>
      <c r="AX67" s="95">
        <f t="shared" si="52"/>
        <v>3</v>
      </c>
      <c r="AY67" s="95">
        <f t="shared" si="52"/>
        <v>3</v>
      </c>
      <c r="AZ67" s="95">
        <f t="shared" si="52"/>
        <v>3</v>
      </c>
      <c r="BA67" s="95">
        <f t="shared" si="52"/>
        <v>3</v>
      </c>
      <c r="BB67" s="95">
        <f t="shared" si="52"/>
        <v>3</v>
      </c>
      <c r="BC67" s="95">
        <f t="shared" si="52"/>
        <v>3</v>
      </c>
      <c r="BD67" s="95">
        <f t="shared" si="52"/>
        <v>3</v>
      </c>
      <c r="BE67" s="95">
        <f t="shared" si="52"/>
        <v>3</v>
      </c>
      <c r="BF67" s="95">
        <f t="shared" si="52"/>
        <v>3</v>
      </c>
      <c r="BG67" s="95">
        <f t="shared" si="52"/>
        <v>3</v>
      </c>
      <c r="BH67" s="95">
        <f t="shared" si="52"/>
        <v>3</v>
      </c>
      <c r="BI67" s="95">
        <f t="shared" si="52"/>
        <v>3</v>
      </c>
      <c r="BJ67" s="95">
        <f t="shared" si="52"/>
        <v>3</v>
      </c>
      <c r="BK67" s="95">
        <f t="shared" si="52"/>
        <v>3</v>
      </c>
      <c r="BL67" s="95">
        <f t="shared" si="52"/>
        <v>3</v>
      </c>
      <c r="BM67" s="95">
        <f t="shared" si="52"/>
        <v>3</v>
      </c>
      <c r="BN67" s="95">
        <f t="shared" si="52"/>
        <v>3</v>
      </c>
    </row>
    <row r="68" outlineLevel="1">
      <c r="A68" s="47"/>
      <c r="B68" s="75" t="s">
        <v>16</v>
      </c>
      <c r="C68" s="60"/>
      <c r="D68" s="89">
        <v>0.2</v>
      </c>
      <c r="E68" s="62"/>
      <c r="F68" s="62"/>
      <c r="G68" s="63">
        <f t="shared" si="51"/>
        <v>0.2</v>
      </c>
      <c r="H68" s="63">
        <f t="shared" ref="H68:BN68" si="53">G68</f>
        <v>0.2</v>
      </c>
      <c r="I68" s="63">
        <f t="shared" si="53"/>
        <v>0.2</v>
      </c>
      <c r="J68" s="63">
        <f t="shared" si="53"/>
        <v>0.2</v>
      </c>
      <c r="K68" s="63">
        <f t="shared" si="53"/>
        <v>0.2</v>
      </c>
      <c r="L68" s="63">
        <f t="shared" si="53"/>
        <v>0.2</v>
      </c>
      <c r="M68" s="63">
        <f t="shared" si="53"/>
        <v>0.2</v>
      </c>
      <c r="N68" s="63">
        <f t="shared" si="53"/>
        <v>0.2</v>
      </c>
      <c r="O68" s="63">
        <f t="shared" si="53"/>
        <v>0.2</v>
      </c>
      <c r="P68" s="63">
        <f t="shared" si="53"/>
        <v>0.2</v>
      </c>
      <c r="Q68" s="63">
        <f t="shared" si="53"/>
        <v>0.2</v>
      </c>
      <c r="R68" s="63">
        <f t="shared" si="53"/>
        <v>0.2</v>
      </c>
      <c r="S68" s="63">
        <f t="shared" si="53"/>
        <v>0.2</v>
      </c>
      <c r="T68" s="63">
        <f t="shared" si="53"/>
        <v>0.2</v>
      </c>
      <c r="U68" s="63">
        <f t="shared" si="53"/>
        <v>0.2</v>
      </c>
      <c r="V68" s="63">
        <f t="shared" si="53"/>
        <v>0.2</v>
      </c>
      <c r="W68" s="63">
        <f t="shared" si="53"/>
        <v>0.2</v>
      </c>
      <c r="X68" s="63">
        <f t="shared" si="53"/>
        <v>0.2</v>
      </c>
      <c r="Y68" s="63">
        <f t="shared" si="53"/>
        <v>0.2</v>
      </c>
      <c r="Z68" s="63">
        <f t="shared" si="53"/>
        <v>0.2</v>
      </c>
      <c r="AA68" s="63">
        <f t="shared" si="53"/>
        <v>0.2</v>
      </c>
      <c r="AB68" s="63">
        <f t="shared" si="53"/>
        <v>0.2</v>
      </c>
      <c r="AC68" s="63">
        <f t="shared" si="53"/>
        <v>0.2</v>
      </c>
      <c r="AD68" s="63">
        <f t="shared" si="53"/>
        <v>0.2</v>
      </c>
      <c r="AE68" s="63">
        <f t="shared" si="53"/>
        <v>0.2</v>
      </c>
      <c r="AF68" s="63">
        <f t="shared" si="53"/>
        <v>0.2</v>
      </c>
      <c r="AG68" s="63">
        <f t="shared" si="53"/>
        <v>0.2</v>
      </c>
      <c r="AH68" s="63">
        <f t="shared" si="53"/>
        <v>0.2</v>
      </c>
      <c r="AI68" s="63">
        <f t="shared" si="53"/>
        <v>0.2</v>
      </c>
      <c r="AJ68" s="63">
        <f t="shared" si="53"/>
        <v>0.2</v>
      </c>
      <c r="AK68" s="63">
        <f t="shared" si="53"/>
        <v>0.2</v>
      </c>
      <c r="AL68" s="63">
        <f t="shared" si="53"/>
        <v>0.2</v>
      </c>
      <c r="AM68" s="63">
        <f t="shared" si="53"/>
        <v>0.2</v>
      </c>
      <c r="AN68" s="63">
        <f t="shared" si="53"/>
        <v>0.2</v>
      </c>
      <c r="AO68" s="63">
        <f t="shared" si="53"/>
        <v>0.2</v>
      </c>
      <c r="AP68" s="63">
        <f t="shared" si="53"/>
        <v>0.2</v>
      </c>
      <c r="AQ68" s="63">
        <f t="shared" si="53"/>
        <v>0.2</v>
      </c>
      <c r="AR68" s="63">
        <f t="shared" si="53"/>
        <v>0.2</v>
      </c>
      <c r="AS68" s="63">
        <f t="shared" si="53"/>
        <v>0.2</v>
      </c>
      <c r="AT68" s="63">
        <f t="shared" si="53"/>
        <v>0.2</v>
      </c>
      <c r="AU68" s="63">
        <f t="shared" si="53"/>
        <v>0.2</v>
      </c>
      <c r="AV68" s="63">
        <f t="shared" si="53"/>
        <v>0.2</v>
      </c>
      <c r="AW68" s="63">
        <f t="shared" si="53"/>
        <v>0.2</v>
      </c>
      <c r="AX68" s="63">
        <f t="shared" si="53"/>
        <v>0.2</v>
      </c>
      <c r="AY68" s="63">
        <f t="shared" si="53"/>
        <v>0.2</v>
      </c>
      <c r="AZ68" s="63">
        <f t="shared" si="53"/>
        <v>0.2</v>
      </c>
      <c r="BA68" s="63">
        <f t="shared" si="53"/>
        <v>0.2</v>
      </c>
      <c r="BB68" s="63">
        <f t="shared" si="53"/>
        <v>0.2</v>
      </c>
      <c r="BC68" s="63">
        <f t="shared" si="53"/>
        <v>0.2</v>
      </c>
      <c r="BD68" s="63">
        <f t="shared" si="53"/>
        <v>0.2</v>
      </c>
      <c r="BE68" s="63">
        <f t="shared" si="53"/>
        <v>0.2</v>
      </c>
      <c r="BF68" s="63">
        <f t="shared" si="53"/>
        <v>0.2</v>
      </c>
      <c r="BG68" s="63">
        <f t="shared" si="53"/>
        <v>0.2</v>
      </c>
      <c r="BH68" s="63">
        <f t="shared" si="53"/>
        <v>0.2</v>
      </c>
      <c r="BI68" s="63">
        <f t="shared" si="53"/>
        <v>0.2</v>
      </c>
      <c r="BJ68" s="63">
        <f t="shared" si="53"/>
        <v>0.2</v>
      </c>
      <c r="BK68" s="63">
        <f t="shared" si="53"/>
        <v>0.2</v>
      </c>
      <c r="BL68" s="63">
        <f t="shared" si="53"/>
        <v>0.2</v>
      </c>
      <c r="BM68" s="63">
        <f t="shared" si="53"/>
        <v>0.2</v>
      </c>
      <c r="BN68" s="63">
        <f t="shared" si="53"/>
        <v>0.2</v>
      </c>
    </row>
    <row r="69" outlineLevel="1">
      <c r="A69" s="47"/>
      <c r="B69" s="77" t="s">
        <v>17</v>
      </c>
      <c r="C69" s="47"/>
      <c r="D69" s="65"/>
      <c r="E69" s="65"/>
      <c r="F69" s="65"/>
      <c r="G69" s="96">
        <f t="shared" ref="G69:BN69" si="54">IFERROR(offset(G66,,-G67+1)*G68,0)</f>
        <v>0</v>
      </c>
      <c r="H69" s="96">
        <f t="shared" si="54"/>
        <v>0</v>
      </c>
      <c r="I69" s="96">
        <f t="shared" si="54"/>
        <v>5</v>
      </c>
      <c r="J69" s="96">
        <f t="shared" si="54"/>
        <v>5</v>
      </c>
      <c r="K69" s="96">
        <f t="shared" si="54"/>
        <v>5</v>
      </c>
      <c r="L69" s="96">
        <f t="shared" si="54"/>
        <v>5</v>
      </c>
      <c r="M69" s="96">
        <f t="shared" si="54"/>
        <v>5</v>
      </c>
      <c r="N69" s="96">
        <f t="shared" si="54"/>
        <v>5</v>
      </c>
      <c r="O69" s="96">
        <f t="shared" si="54"/>
        <v>5</v>
      </c>
      <c r="P69" s="96">
        <f t="shared" si="54"/>
        <v>5</v>
      </c>
      <c r="Q69" s="96">
        <f t="shared" si="54"/>
        <v>5</v>
      </c>
      <c r="R69" s="96">
        <f t="shared" si="54"/>
        <v>5</v>
      </c>
      <c r="S69" s="96">
        <f t="shared" si="54"/>
        <v>5</v>
      </c>
      <c r="T69" s="96">
        <f t="shared" si="54"/>
        <v>5</v>
      </c>
      <c r="U69" s="96">
        <f t="shared" si="54"/>
        <v>5</v>
      </c>
      <c r="V69" s="96">
        <f t="shared" si="54"/>
        <v>5</v>
      </c>
      <c r="W69" s="96">
        <f t="shared" si="54"/>
        <v>5</v>
      </c>
      <c r="X69" s="96">
        <f t="shared" si="54"/>
        <v>5</v>
      </c>
      <c r="Y69" s="96">
        <f t="shared" si="54"/>
        <v>5</v>
      </c>
      <c r="Z69" s="96">
        <f t="shared" si="54"/>
        <v>5</v>
      </c>
      <c r="AA69" s="96">
        <f t="shared" si="54"/>
        <v>5</v>
      </c>
      <c r="AB69" s="96">
        <f t="shared" si="54"/>
        <v>5</v>
      </c>
      <c r="AC69" s="96">
        <f t="shared" si="54"/>
        <v>5</v>
      </c>
      <c r="AD69" s="96">
        <f t="shared" si="54"/>
        <v>5</v>
      </c>
      <c r="AE69" s="96">
        <f t="shared" si="54"/>
        <v>5</v>
      </c>
      <c r="AF69" s="96">
        <f t="shared" si="54"/>
        <v>5</v>
      </c>
      <c r="AG69" s="96">
        <f t="shared" si="54"/>
        <v>5</v>
      </c>
      <c r="AH69" s="96">
        <f t="shared" si="54"/>
        <v>5</v>
      </c>
      <c r="AI69" s="96">
        <f t="shared" si="54"/>
        <v>5</v>
      </c>
      <c r="AJ69" s="96">
        <f t="shared" si="54"/>
        <v>5</v>
      </c>
      <c r="AK69" s="96">
        <f t="shared" si="54"/>
        <v>5</v>
      </c>
      <c r="AL69" s="96">
        <f t="shared" si="54"/>
        <v>5</v>
      </c>
      <c r="AM69" s="96">
        <f t="shared" si="54"/>
        <v>5</v>
      </c>
      <c r="AN69" s="96">
        <f t="shared" si="54"/>
        <v>5</v>
      </c>
      <c r="AO69" s="96">
        <f t="shared" si="54"/>
        <v>5</v>
      </c>
      <c r="AP69" s="96">
        <f t="shared" si="54"/>
        <v>5</v>
      </c>
      <c r="AQ69" s="96">
        <f t="shared" si="54"/>
        <v>5</v>
      </c>
      <c r="AR69" s="96">
        <f t="shared" si="54"/>
        <v>5</v>
      </c>
      <c r="AS69" s="96">
        <f t="shared" si="54"/>
        <v>5</v>
      </c>
      <c r="AT69" s="96">
        <f t="shared" si="54"/>
        <v>5</v>
      </c>
      <c r="AU69" s="96">
        <f t="shared" si="54"/>
        <v>5</v>
      </c>
      <c r="AV69" s="96">
        <f t="shared" si="54"/>
        <v>5</v>
      </c>
      <c r="AW69" s="96">
        <f t="shared" si="54"/>
        <v>5</v>
      </c>
      <c r="AX69" s="96">
        <f t="shared" si="54"/>
        <v>5</v>
      </c>
      <c r="AY69" s="96">
        <f t="shared" si="54"/>
        <v>5</v>
      </c>
      <c r="AZ69" s="96">
        <f t="shared" si="54"/>
        <v>5</v>
      </c>
      <c r="BA69" s="96">
        <f t="shared" si="54"/>
        <v>5</v>
      </c>
      <c r="BB69" s="96">
        <f t="shared" si="54"/>
        <v>5</v>
      </c>
      <c r="BC69" s="96">
        <f t="shared" si="54"/>
        <v>5</v>
      </c>
      <c r="BD69" s="96">
        <f t="shared" si="54"/>
        <v>5</v>
      </c>
      <c r="BE69" s="96">
        <f t="shared" si="54"/>
        <v>5</v>
      </c>
      <c r="BF69" s="96">
        <f t="shared" si="54"/>
        <v>5</v>
      </c>
      <c r="BG69" s="96">
        <f t="shared" si="54"/>
        <v>5</v>
      </c>
      <c r="BH69" s="96">
        <f t="shared" si="54"/>
        <v>5</v>
      </c>
      <c r="BI69" s="96">
        <f t="shared" si="54"/>
        <v>5</v>
      </c>
      <c r="BJ69" s="96">
        <f t="shared" si="54"/>
        <v>5</v>
      </c>
      <c r="BK69" s="96">
        <f t="shared" si="54"/>
        <v>5</v>
      </c>
      <c r="BL69" s="96">
        <f t="shared" si="54"/>
        <v>5</v>
      </c>
      <c r="BM69" s="96">
        <f t="shared" si="54"/>
        <v>5</v>
      </c>
      <c r="BN69" s="96">
        <f t="shared" si="54"/>
        <v>5</v>
      </c>
    </row>
    <row r="70" outlineLevel="1">
      <c r="A70" s="47"/>
      <c r="B70" s="97"/>
      <c r="C70" s="62"/>
      <c r="D70" s="62"/>
      <c r="E70" s="62"/>
      <c r="F70" s="62"/>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row>
    <row r="71" outlineLevel="1">
      <c r="A71" s="99"/>
      <c r="B71" s="100" t="s">
        <v>47</v>
      </c>
      <c r="C71" s="99"/>
      <c r="D71" s="101"/>
      <c r="E71" s="101"/>
      <c r="F71" s="101"/>
      <c r="G71" s="102">
        <f t="shared" ref="G71:BN71" si="55">G13+G19+G25+G31+G38+G44+G50+G57+G63+G69</f>
        <v>267.5</v>
      </c>
      <c r="H71" s="102">
        <f t="shared" si="55"/>
        <v>269.0125</v>
      </c>
      <c r="I71" s="102">
        <f t="shared" si="55"/>
        <v>274.0351875</v>
      </c>
      <c r="J71" s="102">
        <f t="shared" si="55"/>
        <v>274.1105278</v>
      </c>
      <c r="K71" s="102">
        <f t="shared" si="55"/>
        <v>276.6116579</v>
      </c>
      <c r="L71" s="102">
        <f t="shared" si="55"/>
        <v>274.1491749</v>
      </c>
      <c r="M71" s="102">
        <f t="shared" si="55"/>
        <v>274.1122376</v>
      </c>
      <c r="N71" s="102">
        <f t="shared" si="55"/>
        <v>276.6116836</v>
      </c>
      <c r="O71" s="102">
        <f t="shared" si="55"/>
        <v>274.1491753</v>
      </c>
      <c r="P71" s="102">
        <f t="shared" si="55"/>
        <v>274.1122376</v>
      </c>
      <c r="Q71" s="102">
        <f t="shared" si="55"/>
        <v>276.6116836</v>
      </c>
      <c r="R71" s="102">
        <f t="shared" si="55"/>
        <v>274.1491753</v>
      </c>
      <c r="S71" s="102">
        <f t="shared" si="55"/>
        <v>274.1122376</v>
      </c>
      <c r="T71" s="102">
        <f t="shared" si="55"/>
        <v>274.1116836</v>
      </c>
      <c r="U71" s="102">
        <f t="shared" si="55"/>
        <v>274.1116753</v>
      </c>
      <c r="V71" s="102">
        <f t="shared" si="55"/>
        <v>274.1116751</v>
      </c>
      <c r="W71" s="102">
        <f t="shared" si="55"/>
        <v>274.1116751</v>
      </c>
      <c r="X71" s="102">
        <f t="shared" si="55"/>
        <v>274.1116751</v>
      </c>
      <c r="Y71" s="102">
        <f t="shared" si="55"/>
        <v>274.1116751</v>
      </c>
      <c r="Z71" s="102">
        <f t="shared" si="55"/>
        <v>274.1116751</v>
      </c>
      <c r="AA71" s="102">
        <f t="shared" si="55"/>
        <v>274.1116751</v>
      </c>
      <c r="AB71" s="102">
        <f t="shared" si="55"/>
        <v>274.1116751</v>
      </c>
      <c r="AC71" s="102">
        <f t="shared" si="55"/>
        <v>274.1116751</v>
      </c>
      <c r="AD71" s="102">
        <f t="shared" si="55"/>
        <v>274.1116751</v>
      </c>
      <c r="AE71" s="102">
        <f t="shared" si="55"/>
        <v>274.1116751</v>
      </c>
      <c r="AF71" s="102">
        <f t="shared" si="55"/>
        <v>274.1116751</v>
      </c>
      <c r="AG71" s="102">
        <f t="shared" si="55"/>
        <v>274.1116751</v>
      </c>
      <c r="AH71" s="102">
        <f t="shared" si="55"/>
        <v>274.1116751</v>
      </c>
      <c r="AI71" s="102">
        <f t="shared" si="55"/>
        <v>274.1116751</v>
      </c>
      <c r="AJ71" s="102">
        <f t="shared" si="55"/>
        <v>274.1116751</v>
      </c>
      <c r="AK71" s="102">
        <f t="shared" si="55"/>
        <v>274.1116751</v>
      </c>
      <c r="AL71" s="102">
        <f t="shared" si="55"/>
        <v>274.1116751</v>
      </c>
      <c r="AM71" s="102">
        <f t="shared" si="55"/>
        <v>274.1116751</v>
      </c>
      <c r="AN71" s="102">
        <f t="shared" si="55"/>
        <v>274.1116751</v>
      </c>
      <c r="AO71" s="102">
        <f t="shared" si="55"/>
        <v>274.1116751</v>
      </c>
      <c r="AP71" s="102">
        <f t="shared" si="55"/>
        <v>274.1116751</v>
      </c>
      <c r="AQ71" s="102">
        <f t="shared" si="55"/>
        <v>274.1116751</v>
      </c>
      <c r="AR71" s="102">
        <f t="shared" si="55"/>
        <v>274.1116751</v>
      </c>
      <c r="AS71" s="102">
        <f t="shared" si="55"/>
        <v>274.1116751</v>
      </c>
      <c r="AT71" s="102">
        <f t="shared" si="55"/>
        <v>274.1116751</v>
      </c>
      <c r="AU71" s="102">
        <f t="shared" si="55"/>
        <v>274.1116751</v>
      </c>
      <c r="AV71" s="102">
        <f t="shared" si="55"/>
        <v>274.1116751</v>
      </c>
      <c r="AW71" s="102">
        <f t="shared" si="55"/>
        <v>274.1116751</v>
      </c>
      <c r="AX71" s="102">
        <f t="shared" si="55"/>
        <v>274.1116751</v>
      </c>
      <c r="AY71" s="102">
        <f t="shared" si="55"/>
        <v>274.1116751</v>
      </c>
      <c r="AZ71" s="102">
        <f t="shared" si="55"/>
        <v>274.1116751</v>
      </c>
      <c r="BA71" s="102">
        <f t="shared" si="55"/>
        <v>274.1116751</v>
      </c>
      <c r="BB71" s="102">
        <f t="shared" si="55"/>
        <v>274.1116751</v>
      </c>
      <c r="BC71" s="102">
        <f t="shared" si="55"/>
        <v>274.1116751</v>
      </c>
      <c r="BD71" s="102">
        <f t="shared" si="55"/>
        <v>274.1116751</v>
      </c>
      <c r="BE71" s="102">
        <f t="shared" si="55"/>
        <v>274.1116751</v>
      </c>
      <c r="BF71" s="102">
        <f t="shared" si="55"/>
        <v>274.1116751</v>
      </c>
      <c r="BG71" s="102">
        <f t="shared" si="55"/>
        <v>274.1116751</v>
      </c>
      <c r="BH71" s="102">
        <f t="shared" si="55"/>
        <v>274.1116751</v>
      </c>
      <c r="BI71" s="102">
        <f t="shared" si="55"/>
        <v>274.1116751</v>
      </c>
      <c r="BJ71" s="102">
        <f t="shared" si="55"/>
        <v>274.1116751</v>
      </c>
      <c r="BK71" s="102">
        <f t="shared" si="55"/>
        <v>274.1116751</v>
      </c>
      <c r="BL71" s="102">
        <f t="shared" si="55"/>
        <v>274.1116751</v>
      </c>
      <c r="BM71" s="102">
        <f t="shared" si="55"/>
        <v>274.1116751</v>
      </c>
      <c r="BN71" s="102">
        <f t="shared" si="55"/>
        <v>274.1116751</v>
      </c>
    </row>
    <row r="72">
      <c r="A72" s="47"/>
      <c r="B72" s="103"/>
      <c r="C72" s="47"/>
      <c r="D72" s="47"/>
      <c r="E72" s="47"/>
      <c r="F72" s="47"/>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row>
    <row r="73">
      <c r="A73" s="47"/>
      <c r="B73" s="48" t="s">
        <v>48</v>
      </c>
      <c r="C73" s="49"/>
      <c r="D73" s="49"/>
      <c r="E73" s="49"/>
      <c r="F73" s="49"/>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row>
    <row r="74" outlineLevel="1">
      <c r="A74" s="47"/>
      <c r="B74" s="47"/>
      <c r="C74" s="47"/>
      <c r="D74" s="47"/>
      <c r="E74" s="47"/>
      <c r="F74" s="47"/>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row>
    <row r="75" outlineLevel="1">
      <c r="A75" s="85"/>
      <c r="B75" s="104" t="s">
        <v>49</v>
      </c>
      <c r="C75" s="85"/>
      <c r="D75" s="85"/>
      <c r="E75" s="85"/>
      <c r="F75" s="8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c r="BI75" s="105"/>
      <c r="BJ75" s="105"/>
      <c r="BK75" s="105"/>
      <c r="BL75" s="105"/>
      <c r="BM75" s="105"/>
      <c r="BN75" s="105"/>
    </row>
    <row r="76" outlineLevel="1">
      <c r="A76" s="85"/>
      <c r="B76" s="106" t="s">
        <v>50</v>
      </c>
      <c r="C76" s="85"/>
      <c r="D76" s="85"/>
      <c r="E76" s="85"/>
      <c r="F76" s="85"/>
      <c r="G76" s="107">
        <v>1.0</v>
      </c>
      <c r="H76" s="93">
        <f t="shared" ref="H76:BN76" si="56">G76</f>
        <v>1</v>
      </c>
      <c r="I76" s="93">
        <f t="shared" si="56"/>
        <v>1</v>
      </c>
      <c r="J76" s="93">
        <f t="shared" si="56"/>
        <v>1</v>
      </c>
      <c r="K76" s="93">
        <f t="shared" si="56"/>
        <v>1</v>
      </c>
      <c r="L76" s="93">
        <f t="shared" si="56"/>
        <v>1</v>
      </c>
      <c r="M76" s="93">
        <f t="shared" si="56"/>
        <v>1</v>
      </c>
      <c r="N76" s="93">
        <f t="shared" si="56"/>
        <v>1</v>
      </c>
      <c r="O76" s="93">
        <f t="shared" si="56"/>
        <v>1</v>
      </c>
      <c r="P76" s="93">
        <f t="shared" si="56"/>
        <v>1</v>
      </c>
      <c r="Q76" s="93">
        <f t="shared" si="56"/>
        <v>1</v>
      </c>
      <c r="R76" s="93">
        <f t="shared" si="56"/>
        <v>1</v>
      </c>
      <c r="S76" s="93">
        <f t="shared" si="56"/>
        <v>1</v>
      </c>
      <c r="T76" s="93">
        <f t="shared" si="56"/>
        <v>1</v>
      </c>
      <c r="U76" s="93">
        <f t="shared" si="56"/>
        <v>1</v>
      </c>
      <c r="V76" s="93">
        <f t="shared" si="56"/>
        <v>1</v>
      </c>
      <c r="W76" s="93">
        <f t="shared" si="56"/>
        <v>1</v>
      </c>
      <c r="X76" s="93">
        <f t="shared" si="56"/>
        <v>1</v>
      </c>
      <c r="Y76" s="93">
        <f t="shared" si="56"/>
        <v>1</v>
      </c>
      <c r="Z76" s="93">
        <f t="shared" si="56"/>
        <v>1</v>
      </c>
      <c r="AA76" s="93">
        <f t="shared" si="56"/>
        <v>1</v>
      </c>
      <c r="AB76" s="93">
        <f t="shared" si="56"/>
        <v>1</v>
      </c>
      <c r="AC76" s="93">
        <f t="shared" si="56"/>
        <v>1</v>
      </c>
      <c r="AD76" s="93">
        <f t="shared" si="56"/>
        <v>1</v>
      </c>
      <c r="AE76" s="93">
        <f t="shared" si="56"/>
        <v>1</v>
      </c>
      <c r="AF76" s="93">
        <f t="shared" si="56"/>
        <v>1</v>
      </c>
      <c r="AG76" s="93">
        <f t="shared" si="56"/>
        <v>1</v>
      </c>
      <c r="AH76" s="93">
        <f t="shared" si="56"/>
        <v>1</v>
      </c>
      <c r="AI76" s="93">
        <f t="shared" si="56"/>
        <v>1</v>
      </c>
      <c r="AJ76" s="93">
        <f t="shared" si="56"/>
        <v>1</v>
      </c>
      <c r="AK76" s="93">
        <f t="shared" si="56"/>
        <v>1</v>
      </c>
      <c r="AL76" s="93">
        <f t="shared" si="56"/>
        <v>1</v>
      </c>
      <c r="AM76" s="93">
        <f t="shared" si="56"/>
        <v>1</v>
      </c>
      <c r="AN76" s="93">
        <f t="shared" si="56"/>
        <v>1</v>
      </c>
      <c r="AO76" s="93">
        <f t="shared" si="56"/>
        <v>1</v>
      </c>
      <c r="AP76" s="93">
        <f t="shared" si="56"/>
        <v>1</v>
      </c>
      <c r="AQ76" s="93">
        <f t="shared" si="56"/>
        <v>1</v>
      </c>
      <c r="AR76" s="93">
        <f t="shared" si="56"/>
        <v>1</v>
      </c>
      <c r="AS76" s="93">
        <f t="shared" si="56"/>
        <v>1</v>
      </c>
      <c r="AT76" s="93">
        <f t="shared" si="56"/>
        <v>1</v>
      </c>
      <c r="AU76" s="93">
        <f t="shared" si="56"/>
        <v>1</v>
      </c>
      <c r="AV76" s="93">
        <f t="shared" si="56"/>
        <v>1</v>
      </c>
      <c r="AW76" s="93">
        <f t="shared" si="56"/>
        <v>1</v>
      </c>
      <c r="AX76" s="93">
        <f t="shared" si="56"/>
        <v>1</v>
      </c>
      <c r="AY76" s="93">
        <f t="shared" si="56"/>
        <v>1</v>
      </c>
      <c r="AZ76" s="93">
        <f t="shared" si="56"/>
        <v>1</v>
      </c>
      <c r="BA76" s="93">
        <f t="shared" si="56"/>
        <v>1</v>
      </c>
      <c r="BB76" s="93">
        <f t="shared" si="56"/>
        <v>1</v>
      </c>
      <c r="BC76" s="93">
        <f t="shared" si="56"/>
        <v>1</v>
      </c>
      <c r="BD76" s="93">
        <f t="shared" si="56"/>
        <v>1</v>
      </c>
      <c r="BE76" s="93">
        <f t="shared" si="56"/>
        <v>1</v>
      </c>
      <c r="BF76" s="93">
        <f t="shared" si="56"/>
        <v>1</v>
      </c>
      <c r="BG76" s="93">
        <f t="shared" si="56"/>
        <v>1</v>
      </c>
      <c r="BH76" s="93">
        <f t="shared" si="56"/>
        <v>1</v>
      </c>
      <c r="BI76" s="93">
        <f t="shared" si="56"/>
        <v>1</v>
      </c>
      <c r="BJ76" s="93">
        <f t="shared" si="56"/>
        <v>1</v>
      </c>
      <c r="BK76" s="93">
        <f t="shared" si="56"/>
        <v>1</v>
      </c>
      <c r="BL76" s="93">
        <f t="shared" si="56"/>
        <v>1</v>
      </c>
      <c r="BM76" s="93">
        <f t="shared" si="56"/>
        <v>1</v>
      </c>
      <c r="BN76" s="93">
        <f t="shared" si="56"/>
        <v>1</v>
      </c>
    </row>
    <row r="77" outlineLevel="1">
      <c r="A77" s="85"/>
      <c r="B77" s="106" t="s">
        <v>17</v>
      </c>
      <c r="C77" s="85"/>
      <c r="D77" s="85"/>
      <c r="E77" s="85"/>
      <c r="F77" s="85"/>
      <c r="G77" s="108">
        <f t="shared" ref="G77:BN77" si="57">G76*G71</f>
        <v>267.5</v>
      </c>
      <c r="H77" s="109">
        <f t="shared" si="57"/>
        <v>269.0125</v>
      </c>
      <c r="I77" s="109">
        <f t="shared" si="57"/>
        <v>274.0351875</v>
      </c>
      <c r="J77" s="109">
        <f t="shared" si="57"/>
        <v>274.1105278</v>
      </c>
      <c r="K77" s="109">
        <f t="shared" si="57"/>
        <v>276.6116579</v>
      </c>
      <c r="L77" s="109">
        <f t="shared" si="57"/>
        <v>274.1491749</v>
      </c>
      <c r="M77" s="109">
        <f t="shared" si="57"/>
        <v>274.1122376</v>
      </c>
      <c r="N77" s="109">
        <f t="shared" si="57"/>
        <v>276.6116836</v>
      </c>
      <c r="O77" s="109">
        <f t="shared" si="57"/>
        <v>274.1491753</v>
      </c>
      <c r="P77" s="109">
        <f t="shared" si="57"/>
        <v>274.1122376</v>
      </c>
      <c r="Q77" s="109">
        <f t="shared" si="57"/>
        <v>276.6116836</v>
      </c>
      <c r="R77" s="109">
        <f t="shared" si="57"/>
        <v>274.1491753</v>
      </c>
      <c r="S77" s="109">
        <f t="shared" si="57"/>
        <v>274.1122376</v>
      </c>
      <c r="T77" s="109">
        <f t="shared" si="57"/>
        <v>274.1116836</v>
      </c>
      <c r="U77" s="109">
        <f t="shared" si="57"/>
        <v>274.1116753</v>
      </c>
      <c r="V77" s="109">
        <f t="shared" si="57"/>
        <v>274.1116751</v>
      </c>
      <c r="W77" s="109">
        <f t="shared" si="57"/>
        <v>274.1116751</v>
      </c>
      <c r="X77" s="109">
        <f t="shared" si="57"/>
        <v>274.1116751</v>
      </c>
      <c r="Y77" s="109">
        <f t="shared" si="57"/>
        <v>274.1116751</v>
      </c>
      <c r="Z77" s="109">
        <f t="shared" si="57"/>
        <v>274.1116751</v>
      </c>
      <c r="AA77" s="109">
        <f t="shared" si="57"/>
        <v>274.1116751</v>
      </c>
      <c r="AB77" s="109">
        <f t="shared" si="57"/>
        <v>274.1116751</v>
      </c>
      <c r="AC77" s="109">
        <f t="shared" si="57"/>
        <v>274.1116751</v>
      </c>
      <c r="AD77" s="109">
        <f t="shared" si="57"/>
        <v>274.1116751</v>
      </c>
      <c r="AE77" s="109">
        <f t="shared" si="57"/>
        <v>274.1116751</v>
      </c>
      <c r="AF77" s="109">
        <f t="shared" si="57"/>
        <v>274.1116751</v>
      </c>
      <c r="AG77" s="109">
        <f t="shared" si="57"/>
        <v>274.1116751</v>
      </c>
      <c r="AH77" s="109">
        <f t="shared" si="57"/>
        <v>274.1116751</v>
      </c>
      <c r="AI77" s="109">
        <f t="shared" si="57"/>
        <v>274.1116751</v>
      </c>
      <c r="AJ77" s="109">
        <f t="shared" si="57"/>
        <v>274.1116751</v>
      </c>
      <c r="AK77" s="109">
        <f t="shared" si="57"/>
        <v>274.1116751</v>
      </c>
      <c r="AL77" s="109">
        <f t="shared" si="57"/>
        <v>274.1116751</v>
      </c>
      <c r="AM77" s="109">
        <f t="shared" si="57"/>
        <v>274.1116751</v>
      </c>
      <c r="AN77" s="109">
        <f t="shared" si="57"/>
        <v>274.1116751</v>
      </c>
      <c r="AO77" s="109">
        <f t="shared" si="57"/>
        <v>274.1116751</v>
      </c>
      <c r="AP77" s="109">
        <f t="shared" si="57"/>
        <v>274.1116751</v>
      </c>
      <c r="AQ77" s="109">
        <f t="shared" si="57"/>
        <v>274.1116751</v>
      </c>
      <c r="AR77" s="109">
        <f t="shared" si="57"/>
        <v>274.1116751</v>
      </c>
      <c r="AS77" s="109">
        <f t="shared" si="57"/>
        <v>274.1116751</v>
      </c>
      <c r="AT77" s="109">
        <f t="shared" si="57"/>
        <v>274.1116751</v>
      </c>
      <c r="AU77" s="109">
        <f t="shared" si="57"/>
        <v>274.1116751</v>
      </c>
      <c r="AV77" s="109">
        <f t="shared" si="57"/>
        <v>274.1116751</v>
      </c>
      <c r="AW77" s="109">
        <f t="shared" si="57"/>
        <v>274.1116751</v>
      </c>
      <c r="AX77" s="109">
        <f t="shared" si="57"/>
        <v>274.1116751</v>
      </c>
      <c r="AY77" s="109">
        <f t="shared" si="57"/>
        <v>274.1116751</v>
      </c>
      <c r="AZ77" s="109">
        <f t="shared" si="57"/>
        <v>274.1116751</v>
      </c>
      <c r="BA77" s="109">
        <f t="shared" si="57"/>
        <v>274.1116751</v>
      </c>
      <c r="BB77" s="109">
        <f t="shared" si="57"/>
        <v>274.1116751</v>
      </c>
      <c r="BC77" s="109">
        <f t="shared" si="57"/>
        <v>274.1116751</v>
      </c>
      <c r="BD77" s="109">
        <f t="shared" si="57"/>
        <v>274.1116751</v>
      </c>
      <c r="BE77" s="109">
        <f t="shared" si="57"/>
        <v>274.1116751</v>
      </c>
      <c r="BF77" s="109">
        <f t="shared" si="57"/>
        <v>274.1116751</v>
      </c>
      <c r="BG77" s="109">
        <f t="shared" si="57"/>
        <v>274.1116751</v>
      </c>
      <c r="BH77" s="109">
        <f t="shared" si="57"/>
        <v>274.1116751</v>
      </c>
      <c r="BI77" s="109">
        <f t="shared" si="57"/>
        <v>274.1116751</v>
      </c>
      <c r="BJ77" s="109">
        <f t="shared" si="57"/>
        <v>274.1116751</v>
      </c>
      <c r="BK77" s="109">
        <f t="shared" si="57"/>
        <v>274.1116751</v>
      </c>
      <c r="BL77" s="109">
        <f t="shared" si="57"/>
        <v>274.1116751</v>
      </c>
      <c r="BM77" s="109">
        <f t="shared" si="57"/>
        <v>274.1116751</v>
      </c>
      <c r="BN77" s="109">
        <f t="shared" si="57"/>
        <v>274.1116751</v>
      </c>
    </row>
    <row r="78" outlineLevel="1">
      <c r="A78" s="85"/>
      <c r="B78" s="106" t="s">
        <v>51</v>
      </c>
      <c r="C78" s="85"/>
      <c r="D78" s="85"/>
      <c r="E78" s="85"/>
      <c r="F78" s="85"/>
      <c r="G78" s="92">
        <v>0.5</v>
      </c>
      <c r="H78" s="93">
        <f t="shared" ref="H78:BN78" si="58">G78</f>
        <v>0.5</v>
      </c>
      <c r="I78" s="93">
        <f t="shared" si="58"/>
        <v>0.5</v>
      </c>
      <c r="J78" s="93">
        <f t="shared" si="58"/>
        <v>0.5</v>
      </c>
      <c r="K78" s="93">
        <f t="shared" si="58"/>
        <v>0.5</v>
      </c>
      <c r="L78" s="93">
        <f t="shared" si="58"/>
        <v>0.5</v>
      </c>
      <c r="M78" s="93">
        <f t="shared" si="58"/>
        <v>0.5</v>
      </c>
      <c r="N78" s="93">
        <f t="shared" si="58"/>
        <v>0.5</v>
      </c>
      <c r="O78" s="93">
        <f t="shared" si="58"/>
        <v>0.5</v>
      </c>
      <c r="P78" s="93">
        <f t="shared" si="58"/>
        <v>0.5</v>
      </c>
      <c r="Q78" s="93">
        <f t="shared" si="58"/>
        <v>0.5</v>
      </c>
      <c r="R78" s="93">
        <f t="shared" si="58"/>
        <v>0.5</v>
      </c>
      <c r="S78" s="93">
        <f t="shared" si="58"/>
        <v>0.5</v>
      </c>
      <c r="T78" s="93">
        <f t="shared" si="58"/>
        <v>0.5</v>
      </c>
      <c r="U78" s="93">
        <f t="shared" si="58"/>
        <v>0.5</v>
      </c>
      <c r="V78" s="93">
        <f t="shared" si="58"/>
        <v>0.5</v>
      </c>
      <c r="W78" s="93">
        <f t="shared" si="58"/>
        <v>0.5</v>
      </c>
      <c r="X78" s="93">
        <f t="shared" si="58"/>
        <v>0.5</v>
      </c>
      <c r="Y78" s="93">
        <f t="shared" si="58"/>
        <v>0.5</v>
      </c>
      <c r="Z78" s="93">
        <f t="shared" si="58"/>
        <v>0.5</v>
      </c>
      <c r="AA78" s="93">
        <f t="shared" si="58"/>
        <v>0.5</v>
      </c>
      <c r="AB78" s="93">
        <f t="shared" si="58"/>
        <v>0.5</v>
      </c>
      <c r="AC78" s="93">
        <f t="shared" si="58"/>
        <v>0.5</v>
      </c>
      <c r="AD78" s="93">
        <f t="shared" si="58"/>
        <v>0.5</v>
      </c>
      <c r="AE78" s="93">
        <f t="shared" si="58"/>
        <v>0.5</v>
      </c>
      <c r="AF78" s="93">
        <f t="shared" si="58"/>
        <v>0.5</v>
      </c>
      <c r="AG78" s="93">
        <f t="shared" si="58"/>
        <v>0.5</v>
      </c>
      <c r="AH78" s="93">
        <f t="shared" si="58"/>
        <v>0.5</v>
      </c>
      <c r="AI78" s="93">
        <f t="shared" si="58"/>
        <v>0.5</v>
      </c>
      <c r="AJ78" s="93">
        <f t="shared" si="58"/>
        <v>0.5</v>
      </c>
      <c r="AK78" s="93">
        <f t="shared" si="58"/>
        <v>0.5</v>
      </c>
      <c r="AL78" s="93">
        <f t="shared" si="58"/>
        <v>0.5</v>
      </c>
      <c r="AM78" s="93">
        <f t="shared" si="58"/>
        <v>0.5</v>
      </c>
      <c r="AN78" s="93">
        <f t="shared" si="58"/>
        <v>0.5</v>
      </c>
      <c r="AO78" s="93">
        <f t="shared" si="58"/>
        <v>0.5</v>
      </c>
      <c r="AP78" s="93">
        <f t="shared" si="58"/>
        <v>0.5</v>
      </c>
      <c r="AQ78" s="93">
        <f t="shared" si="58"/>
        <v>0.5</v>
      </c>
      <c r="AR78" s="93">
        <f t="shared" si="58"/>
        <v>0.5</v>
      </c>
      <c r="AS78" s="93">
        <f t="shared" si="58"/>
        <v>0.5</v>
      </c>
      <c r="AT78" s="93">
        <f t="shared" si="58"/>
        <v>0.5</v>
      </c>
      <c r="AU78" s="93">
        <f t="shared" si="58"/>
        <v>0.5</v>
      </c>
      <c r="AV78" s="93">
        <f t="shared" si="58"/>
        <v>0.5</v>
      </c>
      <c r="AW78" s="93">
        <f t="shared" si="58"/>
        <v>0.5</v>
      </c>
      <c r="AX78" s="93">
        <f t="shared" si="58"/>
        <v>0.5</v>
      </c>
      <c r="AY78" s="93">
        <f t="shared" si="58"/>
        <v>0.5</v>
      </c>
      <c r="AZ78" s="93">
        <f t="shared" si="58"/>
        <v>0.5</v>
      </c>
      <c r="BA78" s="93">
        <f t="shared" si="58"/>
        <v>0.5</v>
      </c>
      <c r="BB78" s="93">
        <f t="shared" si="58"/>
        <v>0.5</v>
      </c>
      <c r="BC78" s="93">
        <f t="shared" si="58"/>
        <v>0.5</v>
      </c>
      <c r="BD78" s="93">
        <f t="shared" si="58"/>
        <v>0.5</v>
      </c>
      <c r="BE78" s="93">
        <f t="shared" si="58"/>
        <v>0.5</v>
      </c>
      <c r="BF78" s="93">
        <f t="shared" si="58"/>
        <v>0.5</v>
      </c>
      <c r="BG78" s="93">
        <f t="shared" si="58"/>
        <v>0.5</v>
      </c>
      <c r="BH78" s="93">
        <f t="shared" si="58"/>
        <v>0.5</v>
      </c>
      <c r="BI78" s="93">
        <f t="shared" si="58"/>
        <v>0.5</v>
      </c>
      <c r="BJ78" s="93">
        <f t="shared" si="58"/>
        <v>0.5</v>
      </c>
      <c r="BK78" s="93">
        <f t="shared" si="58"/>
        <v>0.5</v>
      </c>
      <c r="BL78" s="93">
        <f t="shared" si="58"/>
        <v>0.5</v>
      </c>
      <c r="BM78" s="93">
        <f t="shared" si="58"/>
        <v>0.5</v>
      </c>
      <c r="BN78" s="93">
        <f t="shared" si="58"/>
        <v>0.5</v>
      </c>
    </row>
    <row r="79" outlineLevel="1">
      <c r="A79" s="85"/>
      <c r="B79" s="106" t="s">
        <v>52</v>
      </c>
      <c r="C79" s="85"/>
      <c r="D79" s="85"/>
      <c r="E79" s="85"/>
      <c r="F79" s="85"/>
      <c r="G79" s="110">
        <f t="shared" ref="G79:BN79" si="59">G81*G78</f>
        <v>0</v>
      </c>
      <c r="H79" s="109">
        <f t="shared" si="59"/>
        <v>133.75</v>
      </c>
      <c r="I79" s="109">
        <f t="shared" si="59"/>
        <v>201.38125</v>
      </c>
      <c r="J79" s="109">
        <f t="shared" si="59"/>
        <v>237.7082188</v>
      </c>
      <c r="K79" s="109">
        <f t="shared" si="59"/>
        <v>255.9093733</v>
      </c>
      <c r="L79" s="109">
        <f t="shared" si="59"/>
        <v>266.2605156</v>
      </c>
      <c r="M79" s="109">
        <f t="shared" si="59"/>
        <v>270.2048452</v>
      </c>
      <c r="N79" s="109">
        <f t="shared" si="59"/>
        <v>272.1585414</v>
      </c>
      <c r="O79" s="109">
        <f t="shared" si="59"/>
        <v>274.3851125</v>
      </c>
      <c r="P79" s="109">
        <f t="shared" si="59"/>
        <v>274.2671439</v>
      </c>
      <c r="Q79" s="109">
        <f t="shared" si="59"/>
        <v>274.1896908</v>
      </c>
      <c r="R79" s="109">
        <f t="shared" si="59"/>
        <v>275.4006872</v>
      </c>
      <c r="S79" s="109">
        <f t="shared" si="59"/>
        <v>274.7749312</v>
      </c>
      <c r="T79" s="109">
        <f t="shared" si="59"/>
        <v>274.4435844</v>
      </c>
      <c r="U79" s="109">
        <f t="shared" si="59"/>
        <v>274.277634</v>
      </c>
      <c r="V79" s="109">
        <f t="shared" si="59"/>
        <v>274.1946546</v>
      </c>
      <c r="W79" s="109">
        <f t="shared" si="59"/>
        <v>274.1531649</v>
      </c>
      <c r="X79" s="109">
        <f t="shared" si="59"/>
        <v>274.13242</v>
      </c>
      <c r="Y79" s="109">
        <f t="shared" si="59"/>
        <v>274.1220476</v>
      </c>
      <c r="Z79" s="109">
        <f t="shared" si="59"/>
        <v>274.1168613</v>
      </c>
      <c r="AA79" s="109">
        <f t="shared" si="59"/>
        <v>274.1142682</v>
      </c>
      <c r="AB79" s="109">
        <f t="shared" si="59"/>
        <v>274.1129717</v>
      </c>
      <c r="AC79" s="109">
        <f t="shared" si="59"/>
        <v>274.1123234</v>
      </c>
      <c r="AD79" s="109">
        <f t="shared" si="59"/>
        <v>274.1119993</v>
      </c>
      <c r="AE79" s="109">
        <f t="shared" si="59"/>
        <v>274.1118372</v>
      </c>
      <c r="AF79" s="109">
        <f t="shared" si="59"/>
        <v>274.1117562</v>
      </c>
      <c r="AG79" s="109">
        <f t="shared" si="59"/>
        <v>274.1117156</v>
      </c>
      <c r="AH79" s="109">
        <f t="shared" si="59"/>
        <v>274.1116954</v>
      </c>
      <c r="AI79" s="109">
        <f t="shared" si="59"/>
        <v>274.1116853</v>
      </c>
      <c r="AJ79" s="109">
        <f t="shared" si="59"/>
        <v>274.1116802</v>
      </c>
      <c r="AK79" s="109">
        <f t="shared" si="59"/>
        <v>274.1116777</v>
      </c>
      <c r="AL79" s="109">
        <f t="shared" si="59"/>
        <v>274.1116764</v>
      </c>
      <c r="AM79" s="109">
        <f t="shared" si="59"/>
        <v>274.1116758</v>
      </c>
      <c r="AN79" s="109">
        <f t="shared" si="59"/>
        <v>274.1116754</v>
      </c>
      <c r="AO79" s="109">
        <f t="shared" si="59"/>
        <v>274.1116753</v>
      </c>
      <c r="AP79" s="109">
        <f t="shared" si="59"/>
        <v>274.1116752</v>
      </c>
      <c r="AQ79" s="109">
        <f t="shared" si="59"/>
        <v>274.1116752</v>
      </c>
      <c r="AR79" s="109">
        <f t="shared" si="59"/>
        <v>274.1116751</v>
      </c>
      <c r="AS79" s="109">
        <f t="shared" si="59"/>
        <v>274.1116751</v>
      </c>
      <c r="AT79" s="109">
        <f t="shared" si="59"/>
        <v>274.1116751</v>
      </c>
      <c r="AU79" s="109">
        <f t="shared" si="59"/>
        <v>274.1116751</v>
      </c>
      <c r="AV79" s="109">
        <f t="shared" si="59"/>
        <v>274.1116751</v>
      </c>
      <c r="AW79" s="109">
        <f t="shared" si="59"/>
        <v>274.1116751</v>
      </c>
      <c r="AX79" s="109">
        <f t="shared" si="59"/>
        <v>274.1116751</v>
      </c>
      <c r="AY79" s="109">
        <f t="shared" si="59"/>
        <v>274.1116751</v>
      </c>
      <c r="AZ79" s="109">
        <f t="shared" si="59"/>
        <v>274.1116751</v>
      </c>
      <c r="BA79" s="109">
        <f t="shared" si="59"/>
        <v>274.1116751</v>
      </c>
      <c r="BB79" s="109">
        <f t="shared" si="59"/>
        <v>274.1116751</v>
      </c>
      <c r="BC79" s="109">
        <f t="shared" si="59"/>
        <v>274.1116751</v>
      </c>
      <c r="BD79" s="109">
        <f t="shared" si="59"/>
        <v>274.1116751</v>
      </c>
      <c r="BE79" s="109">
        <f t="shared" si="59"/>
        <v>274.1116751</v>
      </c>
      <c r="BF79" s="109">
        <f t="shared" si="59"/>
        <v>274.1116751</v>
      </c>
      <c r="BG79" s="109">
        <f t="shared" si="59"/>
        <v>274.1116751</v>
      </c>
      <c r="BH79" s="109">
        <f t="shared" si="59"/>
        <v>274.1116751</v>
      </c>
      <c r="BI79" s="109">
        <f t="shared" si="59"/>
        <v>274.1116751</v>
      </c>
      <c r="BJ79" s="109">
        <f t="shared" si="59"/>
        <v>274.1116751</v>
      </c>
      <c r="BK79" s="109">
        <f t="shared" si="59"/>
        <v>274.1116751</v>
      </c>
      <c r="BL79" s="109">
        <f t="shared" si="59"/>
        <v>274.1116751</v>
      </c>
      <c r="BM79" s="109">
        <f t="shared" si="59"/>
        <v>274.1116751</v>
      </c>
      <c r="BN79" s="109">
        <f t="shared" si="59"/>
        <v>274.1116751</v>
      </c>
    </row>
    <row r="80" outlineLevel="1">
      <c r="A80" s="85"/>
      <c r="B80" s="106" t="s">
        <v>53</v>
      </c>
      <c r="C80" s="85"/>
      <c r="D80" s="85"/>
      <c r="E80" s="85"/>
      <c r="F80" s="85"/>
      <c r="G80" s="110">
        <f t="shared" ref="G80:BN80" si="60">G79+G77</f>
        <v>267.5</v>
      </c>
      <c r="H80" s="109">
        <f t="shared" si="60"/>
        <v>402.7625</v>
      </c>
      <c r="I80" s="109">
        <f t="shared" si="60"/>
        <v>475.4164375</v>
      </c>
      <c r="J80" s="109">
        <f t="shared" si="60"/>
        <v>511.8187466</v>
      </c>
      <c r="K80" s="109">
        <f t="shared" si="60"/>
        <v>532.5210312</v>
      </c>
      <c r="L80" s="109">
        <f t="shared" si="60"/>
        <v>540.4096905</v>
      </c>
      <c r="M80" s="109">
        <f t="shared" si="60"/>
        <v>544.3170829</v>
      </c>
      <c r="N80" s="109">
        <f t="shared" si="60"/>
        <v>548.770225</v>
      </c>
      <c r="O80" s="109">
        <f t="shared" si="60"/>
        <v>548.5342877</v>
      </c>
      <c r="P80" s="109">
        <f t="shared" si="60"/>
        <v>548.3793815</v>
      </c>
      <c r="Q80" s="109">
        <f t="shared" si="60"/>
        <v>550.8013743</v>
      </c>
      <c r="R80" s="109">
        <f t="shared" si="60"/>
        <v>549.5498624</v>
      </c>
      <c r="S80" s="109">
        <f t="shared" si="60"/>
        <v>548.8871688</v>
      </c>
      <c r="T80" s="109">
        <f t="shared" si="60"/>
        <v>548.555268</v>
      </c>
      <c r="U80" s="109">
        <f t="shared" si="60"/>
        <v>548.3893092</v>
      </c>
      <c r="V80" s="109">
        <f t="shared" si="60"/>
        <v>548.3063298</v>
      </c>
      <c r="W80" s="109">
        <f t="shared" si="60"/>
        <v>548.26484</v>
      </c>
      <c r="X80" s="109">
        <f t="shared" si="60"/>
        <v>548.2440951</v>
      </c>
      <c r="Y80" s="109">
        <f t="shared" si="60"/>
        <v>548.2337227</v>
      </c>
      <c r="Z80" s="109">
        <f t="shared" si="60"/>
        <v>548.2285365</v>
      </c>
      <c r="AA80" s="109">
        <f t="shared" si="60"/>
        <v>548.2259434</v>
      </c>
      <c r="AB80" s="109">
        <f t="shared" si="60"/>
        <v>548.2246468</v>
      </c>
      <c r="AC80" s="109">
        <f t="shared" si="60"/>
        <v>548.2239985</v>
      </c>
      <c r="AD80" s="109">
        <f t="shared" si="60"/>
        <v>548.2236744</v>
      </c>
      <c r="AE80" s="109">
        <f t="shared" si="60"/>
        <v>548.2235123</v>
      </c>
      <c r="AF80" s="109">
        <f t="shared" si="60"/>
        <v>548.2234313</v>
      </c>
      <c r="AG80" s="109">
        <f t="shared" si="60"/>
        <v>548.2233908</v>
      </c>
      <c r="AH80" s="109">
        <f t="shared" si="60"/>
        <v>548.2233705</v>
      </c>
      <c r="AI80" s="109">
        <f t="shared" si="60"/>
        <v>548.2233604</v>
      </c>
      <c r="AJ80" s="109">
        <f t="shared" si="60"/>
        <v>548.2233553</v>
      </c>
      <c r="AK80" s="109">
        <f t="shared" si="60"/>
        <v>548.2233528</v>
      </c>
      <c r="AL80" s="109">
        <f t="shared" si="60"/>
        <v>548.2233515</v>
      </c>
      <c r="AM80" s="109">
        <f t="shared" si="60"/>
        <v>548.2233509</v>
      </c>
      <c r="AN80" s="109">
        <f t="shared" si="60"/>
        <v>548.2233506</v>
      </c>
      <c r="AO80" s="109">
        <f t="shared" si="60"/>
        <v>548.2233504</v>
      </c>
      <c r="AP80" s="109">
        <f t="shared" si="60"/>
        <v>548.2233503</v>
      </c>
      <c r="AQ80" s="109">
        <f t="shared" si="60"/>
        <v>548.2233503</v>
      </c>
      <c r="AR80" s="109">
        <f t="shared" si="60"/>
        <v>548.2233503</v>
      </c>
      <c r="AS80" s="109">
        <f t="shared" si="60"/>
        <v>548.2233503</v>
      </c>
      <c r="AT80" s="109">
        <f t="shared" si="60"/>
        <v>548.2233503</v>
      </c>
      <c r="AU80" s="109">
        <f t="shared" si="60"/>
        <v>548.2233503</v>
      </c>
      <c r="AV80" s="109">
        <f t="shared" si="60"/>
        <v>548.2233503</v>
      </c>
      <c r="AW80" s="109">
        <f t="shared" si="60"/>
        <v>548.2233503</v>
      </c>
      <c r="AX80" s="109">
        <f t="shared" si="60"/>
        <v>548.2233503</v>
      </c>
      <c r="AY80" s="109">
        <f t="shared" si="60"/>
        <v>548.2233503</v>
      </c>
      <c r="AZ80" s="109">
        <f t="shared" si="60"/>
        <v>548.2233503</v>
      </c>
      <c r="BA80" s="109">
        <f t="shared" si="60"/>
        <v>548.2233503</v>
      </c>
      <c r="BB80" s="109">
        <f t="shared" si="60"/>
        <v>548.2233503</v>
      </c>
      <c r="BC80" s="109">
        <f t="shared" si="60"/>
        <v>548.2233503</v>
      </c>
      <c r="BD80" s="109">
        <f t="shared" si="60"/>
        <v>548.2233503</v>
      </c>
      <c r="BE80" s="109">
        <f t="shared" si="60"/>
        <v>548.2233503</v>
      </c>
      <c r="BF80" s="109">
        <f t="shared" si="60"/>
        <v>548.2233503</v>
      </c>
      <c r="BG80" s="109">
        <f t="shared" si="60"/>
        <v>548.2233503</v>
      </c>
      <c r="BH80" s="109">
        <f t="shared" si="60"/>
        <v>548.2233503</v>
      </c>
      <c r="BI80" s="109">
        <f t="shared" si="60"/>
        <v>548.2233503</v>
      </c>
      <c r="BJ80" s="109">
        <f t="shared" si="60"/>
        <v>548.2233503</v>
      </c>
      <c r="BK80" s="109">
        <f t="shared" si="60"/>
        <v>548.2233503</v>
      </c>
      <c r="BL80" s="109">
        <f t="shared" si="60"/>
        <v>548.2233503</v>
      </c>
      <c r="BM80" s="109">
        <f t="shared" si="60"/>
        <v>548.2233503</v>
      </c>
      <c r="BN80" s="109">
        <f t="shared" si="60"/>
        <v>548.2233503</v>
      </c>
    </row>
    <row r="81" outlineLevel="1">
      <c r="A81" s="85"/>
      <c r="B81" s="106" t="s">
        <v>54</v>
      </c>
      <c r="C81" s="85"/>
      <c r="D81" s="85"/>
      <c r="E81" s="111"/>
      <c r="F81" s="111"/>
      <c r="G81" s="110" t="str">
        <f t="shared" ref="G81:BN81" si="61">F80</f>
        <v/>
      </c>
      <c r="H81" s="109">
        <f t="shared" si="61"/>
        <v>267.5</v>
      </c>
      <c r="I81" s="109">
        <f t="shared" si="61"/>
        <v>402.7625</v>
      </c>
      <c r="J81" s="109">
        <f t="shared" si="61"/>
        <v>475.4164375</v>
      </c>
      <c r="K81" s="109">
        <f t="shared" si="61"/>
        <v>511.8187466</v>
      </c>
      <c r="L81" s="109">
        <f t="shared" si="61"/>
        <v>532.5210312</v>
      </c>
      <c r="M81" s="109">
        <f t="shared" si="61"/>
        <v>540.4096905</v>
      </c>
      <c r="N81" s="109">
        <f t="shared" si="61"/>
        <v>544.3170829</v>
      </c>
      <c r="O81" s="109">
        <f t="shared" si="61"/>
        <v>548.770225</v>
      </c>
      <c r="P81" s="109">
        <f t="shared" si="61"/>
        <v>548.5342877</v>
      </c>
      <c r="Q81" s="109">
        <f t="shared" si="61"/>
        <v>548.3793815</v>
      </c>
      <c r="R81" s="109">
        <f t="shared" si="61"/>
        <v>550.8013743</v>
      </c>
      <c r="S81" s="109">
        <f t="shared" si="61"/>
        <v>549.5498624</v>
      </c>
      <c r="T81" s="109">
        <f t="shared" si="61"/>
        <v>548.8871688</v>
      </c>
      <c r="U81" s="109">
        <f t="shared" si="61"/>
        <v>548.555268</v>
      </c>
      <c r="V81" s="109">
        <f t="shared" si="61"/>
        <v>548.3893092</v>
      </c>
      <c r="W81" s="109">
        <f t="shared" si="61"/>
        <v>548.3063298</v>
      </c>
      <c r="X81" s="109">
        <f t="shared" si="61"/>
        <v>548.26484</v>
      </c>
      <c r="Y81" s="109">
        <f t="shared" si="61"/>
        <v>548.2440951</v>
      </c>
      <c r="Z81" s="109">
        <f t="shared" si="61"/>
        <v>548.2337227</v>
      </c>
      <c r="AA81" s="109">
        <f t="shared" si="61"/>
        <v>548.2285365</v>
      </c>
      <c r="AB81" s="109">
        <f t="shared" si="61"/>
        <v>548.2259434</v>
      </c>
      <c r="AC81" s="109">
        <f t="shared" si="61"/>
        <v>548.2246468</v>
      </c>
      <c r="AD81" s="109">
        <f t="shared" si="61"/>
        <v>548.2239985</v>
      </c>
      <c r="AE81" s="109">
        <f t="shared" si="61"/>
        <v>548.2236744</v>
      </c>
      <c r="AF81" s="109">
        <f t="shared" si="61"/>
        <v>548.2235123</v>
      </c>
      <c r="AG81" s="109">
        <f t="shared" si="61"/>
        <v>548.2234313</v>
      </c>
      <c r="AH81" s="109">
        <f t="shared" si="61"/>
        <v>548.2233908</v>
      </c>
      <c r="AI81" s="109">
        <f t="shared" si="61"/>
        <v>548.2233705</v>
      </c>
      <c r="AJ81" s="109">
        <f t="shared" si="61"/>
        <v>548.2233604</v>
      </c>
      <c r="AK81" s="109">
        <f t="shared" si="61"/>
        <v>548.2233553</v>
      </c>
      <c r="AL81" s="109">
        <f t="shared" si="61"/>
        <v>548.2233528</v>
      </c>
      <c r="AM81" s="109">
        <f t="shared" si="61"/>
        <v>548.2233515</v>
      </c>
      <c r="AN81" s="109">
        <f t="shared" si="61"/>
        <v>548.2233509</v>
      </c>
      <c r="AO81" s="109">
        <f t="shared" si="61"/>
        <v>548.2233506</v>
      </c>
      <c r="AP81" s="109">
        <f t="shared" si="61"/>
        <v>548.2233504</v>
      </c>
      <c r="AQ81" s="109">
        <f t="shared" si="61"/>
        <v>548.2233503</v>
      </c>
      <c r="AR81" s="109">
        <f t="shared" si="61"/>
        <v>548.2233503</v>
      </c>
      <c r="AS81" s="109">
        <f t="shared" si="61"/>
        <v>548.2233503</v>
      </c>
      <c r="AT81" s="109">
        <f t="shared" si="61"/>
        <v>548.2233503</v>
      </c>
      <c r="AU81" s="109">
        <f t="shared" si="61"/>
        <v>548.2233503</v>
      </c>
      <c r="AV81" s="109">
        <f t="shared" si="61"/>
        <v>548.2233503</v>
      </c>
      <c r="AW81" s="109">
        <f t="shared" si="61"/>
        <v>548.2233503</v>
      </c>
      <c r="AX81" s="109">
        <f t="shared" si="61"/>
        <v>548.2233503</v>
      </c>
      <c r="AY81" s="109">
        <f t="shared" si="61"/>
        <v>548.2233503</v>
      </c>
      <c r="AZ81" s="109">
        <f t="shared" si="61"/>
        <v>548.2233503</v>
      </c>
      <c r="BA81" s="109">
        <f t="shared" si="61"/>
        <v>548.2233503</v>
      </c>
      <c r="BB81" s="109">
        <f t="shared" si="61"/>
        <v>548.2233503</v>
      </c>
      <c r="BC81" s="109">
        <f t="shared" si="61"/>
        <v>548.2233503</v>
      </c>
      <c r="BD81" s="109">
        <f t="shared" si="61"/>
        <v>548.2233503</v>
      </c>
      <c r="BE81" s="109">
        <f t="shared" si="61"/>
        <v>548.2233503</v>
      </c>
      <c r="BF81" s="109">
        <f t="shared" si="61"/>
        <v>548.2233503</v>
      </c>
      <c r="BG81" s="109">
        <f t="shared" si="61"/>
        <v>548.2233503</v>
      </c>
      <c r="BH81" s="109">
        <f t="shared" si="61"/>
        <v>548.2233503</v>
      </c>
      <c r="BI81" s="109">
        <f t="shared" si="61"/>
        <v>548.2233503</v>
      </c>
      <c r="BJ81" s="109">
        <f t="shared" si="61"/>
        <v>548.2233503</v>
      </c>
      <c r="BK81" s="109">
        <f t="shared" si="61"/>
        <v>548.2233503</v>
      </c>
      <c r="BL81" s="109">
        <f t="shared" si="61"/>
        <v>548.2233503</v>
      </c>
      <c r="BM81" s="109">
        <f t="shared" si="61"/>
        <v>548.2233503</v>
      </c>
      <c r="BN81" s="109">
        <f t="shared" si="61"/>
        <v>548.2233503</v>
      </c>
    </row>
    <row r="82" outlineLevel="1">
      <c r="A82" s="85"/>
      <c r="B82" s="106" t="s">
        <v>55</v>
      </c>
      <c r="C82" s="85"/>
      <c r="D82" s="85"/>
      <c r="E82" s="85"/>
      <c r="F82" s="85"/>
      <c r="G82" s="112">
        <v>2.0</v>
      </c>
      <c r="H82" s="109">
        <f t="shared" ref="H82:BN82" si="62">G82</f>
        <v>2</v>
      </c>
      <c r="I82" s="109">
        <f t="shared" si="62"/>
        <v>2</v>
      </c>
      <c r="J82" s="109">
        <f t="shared" si="62"/>
        <v>2</v>
      </c>
      <c r="K82" s="109">
        <f t="shared" si="62"/>
        <v>2</v>
      </c>
      <c r="L82" s="109">
        <f t="shared" si="62"/>
        <v>2</v>
      </c>
      <c r="M82" s="109">
        <f t="shared" si="62"/>
        <v>2</v>
      </c>
      <c r="N82" s="109">
        <f t="shared" si="62"/>
        <v>2</v>
      </c>
      <c r="O82" s="109">
        <f t="shared" si="62"/>
        <v>2</v>
      </c>
      <c r="P82" s="109">
        <f t="shared" si="62"/>
        <v>2</v>
      </c>
      <c r="Q82" s="109">
        <f t="shared" si="62"/>
        <v>2</v>
      </c>
      <c r="R82" s="109">
        <f t="shared" si="62"/>
        <v>2</v>
      </c>
      <c r="S82" s="109">
        <f t="shared" si="62"/>
        <v>2</v>
      </c>
      <c r="T82" s="109">
        <f t="shared" si="62"/>
        <v>2</v>
      </c>
      <c r="U82" s="109">
        <f t="shared" si="62"/>
        <v>2</v>
      </c>
      <c r="V82" s="109">
        <f t="shared" si="62"/>
        <v>2</v>
      </c>
      <c r="W82" s="109">
        <f t="shared" si="62"/>
        <v>2</v>
      </c>
      <c r="X82" s="109">
        <f t="shared" si="62"/>
        <v>2</v>
      </c>
      <c r="Y82" s="109">
        <f t="shared" si="62"/>
        <v>2</v>
      </c>
      <c r="Z82" s="109">
        <f t="shared" si="62"/>
        <v>2</v>
      </c>
      <c r="AA82" s="109">
        <f t="shared" si="62"/>
        <v>2</v>
      </c>
      <c r="AB82" s="109">
        <f t="shared" si="62"/>
        <v>2</v>
      </c>
      <c r="AC82" s="109">
        <f t="shared" si="62"/>
        <v>2</v>
      </c>
      <c r="AD82" s="109">
        <f t="shared" si="62"/>
        <v>2</v>
      </c>
      <c r="AE82" s="109">
        <f t="shared" si="62"/>
        <v>2</v>
      </c>
      <c r="AF82" s="109">
        <f t="shared" si="62"/>
        <v>2</v>
      </c>
      <c r="AG82" s="109">
        <f t="shared" si="62"/>
        <v>2</v>
      </c>
      <c r="AH82" s="109">
        <f t="shared" si="62"/>
        <v>2</v>
      </c>
      <c r="AI82" s="109">
        <f t="shared" si="62"/>
        <v>2</v>
      </c>
      <c r="AJ82" s="109">
        <f t="shared" si="62"/>
        <v>2</v>
      </c>
      <c r="AK82" s="109">
        <f t="shared" si="62"/>
        <v>2</v>
      </c>
      <c r="AL82" s="109">
        <f t="shared" si="62"/>
        <v>2</v>
      </c>
      <c r="AM82" s="109">
        <f t="shared" si="62"/>
        <v>2</v>
      </c>
      <c r="AN82" s="109">
        <f t="shared" si="62"/>
        <v>2</v>
      </c>
      <c r="AO82" s="109">
        <f t="shared" si="62"/>
        <v>2</v>
      </c>
      <c r="AP82" s="109">
        <f t="shared" si="62"/>
        <v>2</v>
      </c>
      <c r="AQ82" s="109">
        <f t="shared" si="62"/>
        <v>2</v>
      </c>
      <c r="AR82" s="109">
        <f t="shared" si="62"/>
        <v>2</v>
      </c>
      <c r="AS82" s="109">
        <f t="shared" si="62"/>
        <v>2</v>
      </c>
      <c r="AT82" s="109">
        <f t="shared" si="62"/>
        <v>2</v>
      </c>
      <c r="AU82" s="109">
        <f t="shared" si="62"/>
        <v>2</v>
      </c>
      <c r="AV82" s="109">
        <f t="shared" si="62"/>
        <v>2</v>
      </c>
      <c r="AW82" s="109">
        <f t="shared" si="62"/>
        <v>2</v>
      </c>
      <c r="AX82" s="109">
        <f t="shared" si="62"/>
        <v>2</v>
      </c>
      <c r="AY82" s="109">
        <f t="shared" si="62"/>
        <v>2</v>
      </c>
      <c r="AZ82" s="109">
        <f t="shared" si="62"/>
        <v>2</v>
      </c>
      <c r="BA82" s="109">
        <f t="shared" si="62"/>
        <v>2</v>
      </c>
      <c r="BB82" s="109">
        <f t="shared" si="62"/>
        <v>2</v>
      </c>
      <c r="BC82" s="109">
        <f t="shared" si="62"/>
        <v>2</v>
      </c>
      <c r="BD82" s="109">
        <f t="shared" si="62"/>
        <v>2</v>
      </c>
      <c r="BE82" s="109">
        <f t="shared" si="62"/>
        <v>2</v>
      </c>
      <c r="BF82" s="109">
        <f t="shared" si="62"/>
        <v>2</v>
      </c>
      <c r="BG82" s="109">
        <f t="shared" si="62"/>
        <v>2</v>
      </c>
      <c r="BH82" s="109">
        <f t="shared" si="62"/>
        <v>2</v>
      </c>
      <c r="BI82" s="109">
        <f t="shared" si="62"/>
        <v>2</v>
      </c>
      <c r="BJ82" s="109">
        <f t="shared" si="62"/>
        <v>2</v>
      </c>
      <c r="BK82" s="109">
        <f t="shared" si="62"/>
        <v>2</v>
      </c>
      <c r="BL82" s="109">
        <f t="shared" si="62"/>
        <v>2</v>
      </c>
      <c r="BM82" s="109">
        <f t="shared" si="62"/>
        <v>2</v>
      </c>
      <c r="BN82" s="109">
        <f t="shared" si="62"/>
        <v>2</v>
      </c>
    </row>
    <row r="83" outlineLevel="1">
      <c r="A83" s="85"/>
      <c r="B83" s="106" t="s">
        <v>56</v>
      </c>
      <c r="C83" s="85"/>
      <c r="D83" s="85"/>
      <c r="E83" s="85"/>
      <c r="F83" s="85"/>
      <c r="G83" s="110">
        <f t="shared" ref="G83:BN83" si="63">G82*G80</f>
        <v>535</v>
      </c>
      <c r="H83" s="109">
        <f t="shared" si="63"/>
        <v>805.525</v>
      </c>
      <c r="I83" s="109">
        <f t="shared" si="63"/>
        <v>950.832875</v>
      </c>
      <c r="J83" s="109">
        <f t="shared" si="63"/>
        <v>1023.637493</v>
      </c>
      <c r="K83" s="109">
        <f t="shared" si="63"/>
        <v>1065.042062</v>
      </c>
      <c r="L83" s="109">
        <f t="shared" si="63"/>
        <v>1080.819381</v>
      </c>
      <c r="M83" s="109">
        <f t="shared" si="63"/>
        <v>1088.634166</v>
      </c>
      <c r="N83" s="109">
        <f t="shared" si="63"/>
        <v>1097.54045</v>
      </c>
      <c r="O83" s="109">
        <f t="shared" si="63"/>
        <v>1097.068575</v>
      </c>
      <c r="P83" s="109">
        <f t="shared" si="63"/>
        <v>1096.758763</v>
      </c>
      <c r="Q83" s="109">
        <f t="shared" si="63"/>
        <v>1101.602749</v>
      </c>
      <c r="R83" s="109">
        <f t="shared" si="63"/>
        <v>1099.099725</v>
      </c>
      <c r="S83" s="109">
        <f t="shared" si="63"/>
        <v>1097.774338</v>
      </c>
      <c r="T83" s="109">
        <f t="shared" si="63"/>
        <v>1097.110536</v>
      </c>
      <c r="U83" s="109">
        <f t="shared" si="63"/>
        <v>1096.778618</v>
      </c>
      <c r="V83" s="109">
        <f t="shared" si="63"/>
        <v>1096.61266</v>
      </c>
      <c r="W83" s="109">
        <f t="shared" si="63"/>
        <v>1096.52968</v>
      </c>
      <c r="X83" s="109">
        <f t="shared" si="63"/>
        <v>1096.48819</v>
      </c>
      <c r="Y83" s="109">
        <f t="shared" si="63"/>
        <v>1096.467445</v>
      </c>
      <c r="Z83" s="109">
        <f t="shared" si="63"/>
        <v>1096.457073</v>
      </c>
      <c r="AA83" s="109">
        <f t="shared" si="63"/>
        <v>1096.451887</v>
      </c>
      <c r="AB83" s="109">
        <f t="shared" si="63"/>
        <v>1096.449294</v>
      </c>
      <c r="AC83" s="109">
        <f t="shared" si="63"/>
        <v>1096.447997</v>
      </c>
      <c r="AD83" s="109">
        <f t="shared" si="63"/>
        <v>1096.447349</v>
      </c>
      <c r="AE83" s="109">
        <f t="shared" si="63"/>
        <v>1096.447025</v>
      </c>
      <c r="AF83" s="109">
        <f t="shared" si="63"/>
        <v>1096.446863</v>
      </c>
      <c r="AG83" s="109">
        <f t="shared" si="63"/>
        <v>1096.446782</v>
      </c>
      <c r="AH83" s="109">
        <f t="shared" si="63"/>
        <v>1096.446741</v>
      </c>
      <c r="AI83" s="109">
        <f t="shared" si="63"/>
        <v>1096.446721</v>
      </c>
      <c r="AJ83" s="109">
        <f t="shared" si="63"/>
        <v>1096.446711</v>
      </c>
      <c r="AK83" s="109">
        <f t="shared" si="63"/>
        <v>1096.446706</v>
      </c>
      <c r="AL83" s="109">
        <f t="shared" si="63"/>
        <v>1096.446703</v>
      </c>
      <c r="AM83" s="109">
        <f t="shared" si="63"/>
        <v>1096.446702</v>
      </c>
      <c r="AN83" s="109">
        <f t="shared" si="63"/>
        <v>1096.446701</v>
      </c>
      <c r="AO83" s="109">
        <f t="shared" si="63"/>
        <v>1096.446701</v>
      </c>
      <c r="AP83" s="109">
        <f t="shared" si="63"/>
        <v>1096.446701</v>
      </c>
      <c r="AQ83" s="109">
        <f t="shared" si="63"/>
        <v>1096.446701</v>
      </c>
      <c r="AR83" s="109">
        <f t="shared" si="63"/>
        <v>1096.446701</v>
      </c>
      <c r="AS83" s="109">
        <f t="shared" si="63"/>
        <v>1096.446701</v>
      </c>
      <c r="AT83" s="109">
        <f t="shared" si="63"/>
        <v>1096.446701</v>
      </c>
      <c r="AU83" s="109">
        <f t="shared" si="63"/>
        <v>1096.446701</v>
      </c>
      <c r="AV83" s="109">
        <f t="shared" si="63"/>
        <v>1096.446701</v>
      </c>
      <c r="AW83" s="109">
        <f t="shared" si="63"/>
        <v>1096.446701</v>
      </c>
      <c r="AX83" s="109">
        <f t="shared" si="63"/>
        <v>1096.446701</v>
      </c>
      <c r="AY83" s="109">
        <f t="shared" si="63"/>
        <v>1096.446701</v>
      </c>
      <c r="AZ83" s="109">
        <f t="shared" si="63"/>
        <v>1096.446701</v>
      </c>
      <c r="BA83" s="109">
        <f t="shared" si="63"/>
        <v>1096.446701</v>
      </c>
      <c r="BB83" s="109">
        <f t="shared" si="63"/>
        <v>1096.446701</v>
      </c>
      <c r="BC83" s="109">
        <f t="shared" si="63"/>
        <v>1096.446701</v>
      </c>
      <c r="BD83" s="109">
        <f t="shared" si="63"/>
        <v>1096.446701</v>
      </c>
      <c r="BE83" s="109">
        <f t="shared" si="63"/>
        <v>1096.446701</v>
      </c>
      <c r="BF83" s="109">
        <f t="shared" si="63"/>
        <v>1096.446701</v>
      </c>
      <c r="BG83" s="109">
        <f t="shared" si="63"/>
        <v>1096.446701</v>
      </c>
      <c r="BH83" s="109">
        <f t="shared" si="63"/>
        <v>1096.446701</v>
      </c>
      <c r="BI83" s="109">
        <f t="shared" si="63"/>
        <v>1096.446701</v>
      </c>
      <c r="BJ83" s="109">
        <f t="shared" si="63"/>
        <v>1096.446701</v>
      </c>
      <c r="BK83" s="109">
        <f t="shared" si="63"/>
        <v>1096.446701</v>
      </c>
      <c r="BL83" s="109">
        <f t="shared" si="63"/>
        <v>1096.446701</v>
      </c>
      <c r="BM83" s="109">
        <f t="shared" si="63"/>
        <v>1096.446701</v>
      </c>
      <c r="BN83" s="109">
        <f t="shared" si="63"/>
        <v>1096.446701</v>
      </c>
    </row>
    <row r="84" outlineLevel="1">
      <c r="A84" s="85"/>
      <c r="B84" s="106" t="s">
        <v>57</v>
      </c>
      <c r="C84" s="85"/>
      <c r="D84" s="85"/>
      <c r="E84" s="85"/>
      <c r="F84" s="85"/>
      <c r="G84" s="113">
        <v>100.0</v>
      </c>
      <c r="H84" s="114">
        <f t="shared" ref="H84:BN84" si="64">G84</f>
        <v>100</v>
      </c>
      <c r="I84" s="114">
        <f t="shared" si="64"/>
        <v>100</v>
      </c>
      <c r="J84" s="114">
        <f t="shared" si="64"/>
        <v>100</v>
      </c>
      <c r="K84" s="114">
        <f t="shared" si="64"/>
        <v>100</v>
      </c>
      <c r="L84" s="114">
        <f t="shared" si="64"/>
        <v>100</v>
      </c>
      <c r="M84" s="114">
        <f t="shared" si="64"/>
        <v>100</v>
      </c>
      <c r="N84" s="114">
        <f t="shared" si="64"/>
        <v>100</v>
      </c>
      <c r="O84" s="114">
        <f t="shared" si="64"/>
        <v>100</v>
      </c>
      <c r="P84" s="114">
        <f t="shared" si="64"/>
        <v>100</v>
      </c>
      <c r="Q84" s="114">
        <f t="shared" si="64"/>
        <v>100</v>
      </c>
      <c r="R84" s="114">
        <f t="shared" si="64"/>
        <v>100</v>
      </c>
      <c r="S84" s="114">
        <f t="shared" si="64"/>
        <v>100</v>
      </c>
      <c r="T84" s="114">
        <f t="shared" si="64"/>
        <v>100</v>
      </c>
      <c r="U84" s="114">
        <f t="shared" si="64"/>
        <v>100</v>
      </c>
      <c r="V84" s="114">
        <f t="shared" si="64"/>
        <v>100</v>
      </c>
      <c r="W84" s="114">
        <f t="shared" si="64"/>
        <v>100</v>
      </c>
      <c r="X84" s="114">
        <f t="shared" si="64"/>
        <v>100</v>
      </c>
      <c r="Y84" s="114">
        <f t="shared" si="64"/>
        <v>100</v>
      </c>
      <c r="Z84" s="114">
        <f t="shared" si="64"/>
        <v>100</v>
      </c>
      <c r="AA84" s="114">
        <f t="shared" si="64"/>
        <v>100</v>
      </c>
      <c r="AB84" s="114">
        <f t="shared" si="64"/>
        <v>100</v>
      </c>
      <c r="AC84" s="114">
        <f t="shared" si="64"/>
        <v>100</v>
      </c>
      <c r="AD84" s="114">
        <f t="shared" si="64"/>
        <v>100</v>
      </c>
      <c r="AE84" s="114">
        <f t="shared" si="64"/>
        <v>100</v>
      </c>
      <c r="AF84" s="114">
        <f t="shared" si="64"/>
        <v>100</v>
      </c>
      <c r="AG84" s="114">
        <f t="shared" si="64"/>
        <v>100</v>
      </c>
      <c r="AH84" s="114">
        <f t="shared" si="64"/>
        <v>100</v>
      </c>
      <c r="AI84" s="114">
        <f t="shared" si="64"/>
        <v>100</v>
      </c>
      <c r="AJ84" s="114">
        <f t="shared" si="64"/>
        <v>100</v>
      </c>
      <c r="AK84" s="114">
        <f t="shared" si="64"/>
        <v>100</v>
      </c>
      <c r="AL84" s="114">
        <f t="shared" si="64"/>
        <v>100</v>
      </c>
      <c r="AM84" s="114">
        <f t="shared" si="64"/>
        <v>100</v>
      </c>
      <c r="AN84" s="114">
        <f t="shared" si="64"/>
        <v>100</v>
      </c>
      <c r="AO84" s="114">
        <f t="shared" si="64"/>
        <v>100</v>
      </c>
      <c r="AP84" s="114">
        <f t="shared" si="64"/>
        <v>100</v>
      </c>
      <c r="AQ84" s="114">
        <f t="shared" si="64"/>
        <v>100</v>
      </c>
      <c r="AR84" s="114">
        <f t="shared" si="64"/>
        <v>100</v>
      </c>
      <c r="AS84" s="114">
        <f t="shared" si="64"/>
        <v>100</v>
      </c>
      <c r="AT84" s="114">
        <f t="shared" si="64"/>
        <v>100</v>
      </c>
      <c r="AU84" s="114">
        <f t="shared" si="64"/>
        <v>100</v>
      </c>
      <c r="AV84" s="114">
        <f t="shared" si="64"/>
        <v>100</v>
      </c>
      <c r="AW84" s="114">
        <f t="shared" si="64"/>
        <v>100</v>
      </c>
      <c r="AX84" s="114">
        <f t="shared" si="64"/>
        <v>100</v>
      </c>
      <c r="AY84" s="114">
        <f t="shared" si="64"/>
        <v>100</v>
      </c>
      <c r="AZ84" s="114">
        <f t="shared" si="64"/>
        <v>100</v>
      </c>
      <c r="BA84" s="114">
        <f t="shared" si="64"/>
        <v>100</v>
      </c>
      <c r="BB84" s="114">
        <f t="shared" si="64"/>
        <v>100</v>
      </c>
      <c r="BC84" s="114">
        <f t="shared" si="64"/>
        <v>100</v>
      </c>
      <c r="BD84" s="114">
        <f t="shared" si="64"/>
        <v>100</v>
      </c>
      <c r="BE84" s="114">
        <f t="shared" si="64"/>
        <v>100</v>
      </c>
      <c r="BF84" s="114">
        <f t="shared" si="64"/>
        <v>100</v>
      </c>
      <c r="BG84" s="114">
        <f t="shared" si="64"/>
        <v>100</v>
      </c>
      <c r="BH84" s="114">
        <f t="shared" si="64"/>
        <v>100</v>
      </c>
      <c r="BI84" s="114">
        <f t="shared" si="64"/>
        <v>100</v>
      </c>
      <c r="BJ84" s="114">
        <f t="shared" si="64"/>
        <v>100</v>
      </c>
      <c r="BK84" s="114">
        <f t="shared" si="64"/>
        <v>100</v>
      </c>
      <c r="BL84" s="114">
        <f t="shared" si="64"/>
        <v>100</v>
      </c>
      <c r="BM84" s="114">
        <f t="shared" si="64"/>
        <v>100</v>
      </c>
      <c r="BN84" s="114">
        <f t="shared" si="64"/>
        <v>100</v>
      </c>
    </row>
    <row r="85" outlineLevel="1">
      <c r="A85" s="85"/>
      <c r="B85" s="75" t="s">
        <v>58</v>
      </c>
      <c r="C85" s="60"/>
      <c r="D85" s="62"/>
      <c r="E85" s="62"/>
      <c r="F85" s="62"/>
      <c r="G85" s="115">
        <v>0.25</v>
      </c>
      <c r="H85" s="116">
        <f t="shared" ref="H85:BN85" si="65">G85</f>
        <v>0.25</v>
      </c>
      <c r="I85" s="116">
        <f t="shared" si="65"/>
        <v>0.25</v>
      </c>
      <c r="J85" s="116">
        <f t="shared" si="65"/>
        <v>0.25</v>
      </c>
      <c r="K85" s="116">
        <f t="shared" si="65"/>
        <v>0.25</v>
      </c>
      <c r="L85" s="116">
        <f t="shared" si="65"/>
        <v>0.25</v>
      </c>
      <c r="M85" s="116">
        <f t="shared" si="65"/>
        <v>0.25</v>
      </c>
      <c r="N85" s="116">
        <f t="shared" si="65"/>
        <v>0.25</v>
      </c>
      <c r="O85" s="116">
        <f t="shared" si="65"/>
        <v>0.25</v>
      </c>
      <c r="P85" s="116">
        <f t="shared" si="65"/>
        <v>0.25</v>
      </c>
      <c r="Q85" s="116">
        <f t="shared" si="65"/>
        <v>0.25</v>
      </c>
      <c r="R85" s="116">
        <f t="shared" si="65"/>
        <v>0.25</v>
      </c>
      <c r="S85" s="116">
        <f t="shared" si="65"/>
        <v>0.25</v>
      </c>
      <c r="T85" s="116">
        <f t="shared" si="65"/>
        <v>0.25</v>
      </c>
      <c r="U85" s="116">
        <f t="shared" si="65"/>
        <v>0.25</v>
      </c>
      <c r="V85" s="116">
        <f t="shared" si="65"/>
        <v>0.25</v>
      </c>
      <c r="W85" s="116">
        <f t="shared" si="65"/>
        <v>0.25</v>
      </c>
      <c r="X85" s="116">
        <f t="shared" si="65"/>
        <v>0.25</v>
      </c>
      <c r="Y85" s="116">
        <f t="shared" si="65"/>
        <v>0.25</v>
      </c>
      <c r="Z85" s="116">
        <f t="shared" si="65"/>
        <v>0.25</v>
      </c>
      <c r="AA85" s="116">
        <f t="shared" si="65"/>
        <v>0.25</v>
      </c>
      <c r="AB85" s="116">
        <f t="shared" si="65"/>
        <v>0.25</v>
      </c>
      <c r="AC85" s="116">
        <f t="shared" si="65"/>
        <v>0.25</v>
      </c>
      <c r="AD85" s="116">
        <f t="shared" si="65"/>
        <v>0.25</v>
      </c>
      <c r="AE85" s="116">
        <f t="shared" si="65"/>
        <v>0.25</v>
      </c>
      <c r="AF85" s="116">
        <f t="shared" si="65"/>
        <v>0.25</v>
      </c>
      <c r="AG85" s="116">
        <f t="shared" si="65"/>
        <v>0.25</v>
      </c>
      <c r="AH85" s="116">
        <f t="shared" si="65"/>
        <v>0.25</v>
      </c>
      <c r="AI85" s="116">
        <f t="shared" si="65"/>
        <v>0.25</v>
      </c>
      <c r="AJ85" s="116">
        <f t="shared" si="65"/>
        <v>0.25</v>
      </c>
      <c r="AK85" s="116">
        <f t="shared" si="65"/>
        <v>0.25</v>
      </c>
      <c r="AL85" s="116">
        <f t="shared" si="65"/>
        <v>0.25</v>
      </c>
      <c r="AM85" s="116">
        <f t="shared" si="65"/>
        <v>0.25</v>
      </c>
      <c r="AN85" s="116">
        <f t="shared" si="65"/>
        <v>0.25</v>
      </c>
      <c r="AO85" s="116">
        <f t="shared" si="65"/>
        <v>0.25</v>
      </c>
      <c r="AP85" s="116">
        <f t="shared" si="65"/>
        <v>0.25</v>
      </c>
      <c r="AQ85" s="116">
        <f t="shared" si="65"/>
        <v>0.25</v>
      </c>
      <c r="AR85" s="116">
        <f t="shared" si="65"/>
        <v>0.25</v>
      </c>
      <c r="AS85" s="116">
        <f t="shared" si="65"/>
        <v>0.25</v>
      </c>
      <c r="AT85" s="116">
        <f t="shared" si="65"/>
        <v>0.25</v>
      </c>
      <c r="AU85" s="116">
        <f t="shared" si="65"/>
        <v>0.25</v>
      </c>
      <c r="AV85" s="116">
        <f t="shared" si="65"/>
        <v>0.25</v>
      </c>
      <c r="AW85" s="116">
        <f t="shared" si="65"/>
        <v>0.25</v>
      </c>
      <c r="AX85" s="116">
        <f t="shared" si="65"/>
        <v>0.25</v>
      </c>
      <c r="AY85" s="116">
        <f t="shared" si="65"/>
        <v>0.25</v>
      </c>
      <c r="AZ85" s="116">
        <f t="shared" si="65"/>
        <v>0.25</v>
      </c>
      <c r="BA85" s="116">
        <f t="shared" si="65"/>
        <v>0.25</v>
      </c>
      <c r="BB85" s="116">
        <f t="shared" si="65"/>
        <v>0.25</v>
      </c>
      <c r="BC85" s="116">
        <f t="shared" si="65"/>
        <v>0.25</v>
      </c>
      <c r="BD85" s="116">
        <f t="shared" si="65"/>
        <v>0.25</v>
      </c>
      <c r="BE85" s="116">
        <f t="shared" si="65"/>
        <v>0.25</v>
      </c>
      <c r="BF85" s="116">
        <f t="shared" si="65"/>
        <v>0.25</v>
      </c>
      <c r="BG85" s="116">
        <f t="shared" si="65"/>
        <v>0.25</v>
      </c>
      <c r="BH85" s="116">
        <f t="shared" si="65"/>
        <v>0.25</v>
      </c>
      <c r="BI85" s="116">
        <f t="shared" si="65"/>
        <v>0.25</v>
      </c>
      <c r="BJ85" s="116">
        <f t="shared" si="65"/>
        <v>0.25</v>
      </c>
      <c r="BK85" s="116">
        <f t="shared" si="65"/>
        <v>0.25</v>
      </c>
      <c r="BL85" s="116">
        <f t="shared" si="65"/>
        <v>0.25</v>
      </c>
      <c r="BM85" s="116">
        <f t="shared" si="65"/>
        <v>0.25</v>
      </c>
      <c r="BN85" s="116">
        <f t="shared" si="65"/>
        <v>0.25</v>
      </c>
    </row>
    <row r="86" outlineLevel="1">
      <c r="A86" s="85"/>
      <c r="B86" s="117" t="s">
        <v>59</v>
      </c>
      <c r="C86" s="85"/>
      <c r="D86" s="87"/>
      <c r="E86" s="87"/>
      <c r="F86" s="87"/>
      <c r="G86" s="118">
        <f t="shared" ref="G86:BN86" si="66">G85*G84*G83</f>
        <v>13375</v>
      </c>
      <c r="H86" s="118">
        <f t="shared" si="66"/>
        <v>20138.125</v>
      </c>
      <c r="I86" s="118">
        <f t="shared" si="66"/>
        <v>23770.82188</v>
      </c>
      <c r="J86" s="118">
        <f t="shared" si="66"/>
        <v>25590.93733</v>
      </c>
      <c r="K86" s="118">
        <f t="shared" si="66"/>
        <v>26626.05156</v>
      </c>
      <c r="L86" s="118">
        <f t="shared" si="66"/>
        <v>27020.48452</v>
      </c>
      <c r="M86" s="118">
        <f t="shared" si="66"/>
        <v>27215.85414</v>
      </c>
      <c r="N86" s="118">
        <f t="shared" si="66"/>
        <v>27438.51125</v>
      </c>
      <c r="O86" s="118">
        <f t="shared" si="66"/>
        <v>27426.71439</v>
      </c>
      <c r="P86" s="118">
        <f t="shared" si="66"/>
        <v>27418.96908</v>
      </c>
      <c r="Q86" s="118">
        <f t="shared" si="66"/>
        <v>27540.06872</v>
      </c>
      <c r="R86" s="118">
        <f t="shared" si="66"/>
        <v>27477.49312</v>
      </c>
      <c r="S86" s="118">
        <f t="shared" si="66"/>
        <v>27444.35844</v>
      </c>
      <c r="T86" s="118">
        <f t="shared" si="66"/>
        <v>27427.7634</v>
      </c>
      <c r="U86" s="118">
        <f t="shared" si="66"/>
        <v>27419.46546</v>
      </c>
      <c r="V86" s="118">
        <f t="shared" si="66"/>
        <v>27415.31649</v>
      </c>
      <c r="W86" s="118">
        <f t="shared" si="66"/>
        <v>27413.242</v>
      </c>
      <c r="X86" s="118">
        <f t="shared" si="66"/>
        <v>27412.20476</v>
      </c>
      <c r="Y86" s="118">
        <f t="shared" si="66"/>
        <v>27411.68613</v>
      </c>
      <c r="Z86" s="118">
        <f t="shared" si="66"/>
        <v>27411.42682</v>
      </c>
      <c r="AA86" s="118">
        <f t="shared" si="66"/>
        <v>27411.29717</v>
      </c>
      <c r="AB86" s="118">
        <f t="shared" si="66"/>
        <v>27411.23234</v>
      </c>
      <c r="AC86" s="118">
        <f t="shared" si="66"/>
        <v>27411.19993</v>
      </c>
      <c r="AD86" s="118">
        <f t="shared" si="66"/>
        <v>27411.18372</v>
      </c>
      <c r="AE86" s="118">
        <f t="shared" si="66"/>
        <v>27411.17562</v>
      </c>
      <c r="AF86" s="118">
        <f t="shared" si="66"/>
        <v>27411.17156</v>
      </c>
      <c r="AG86" s="118">
        <f t="shared" si="66"/>
        <v>27411.16954</v>
      </c>
      <c r="AH86" s="118">
        <f t="shared" si="66"/>
        <v>27411.16853</v>
      </c>
      <c r="AI86" s="118">
        <f t="shared" si="66"/>
        <v>27411.16802</v>
      </c>
      <c r="AJ86" s="118">
        <f t="shared" si="66"/>
        <v>27411.16777</v>
      </c>
      <c r="AK86" s="118">
        <f t="shared" si="66"/>
        <v>27411.16764</v>
      </c>
      <c r="AL86" s="118">
        <f t="shared" si="66"/>
        <v>27411.16758</v>
      </c>
      <c r="AM86" s="118">
        <f t="shared" si="66"/>
        <v>27411.16754</v>
      </c>
      <c r="AN86" s="118">
        <f t="shared" si="66"/>
        <v>27411.16753</v>
      </c>
      <c r="AO86" s="118">
        <f t="shared" si="66"/>
        <v>27411.16752</v>
      </c>
      <c r="AP86" s="118">
        <f t="shared" si="66"/>
        <v>27411.16752</v>
      </c>
      <c r="AQ86" s="118">
        <f t="shared" si="66"/>
        <v>27411.16751</v>
      </c>
      <c r="AR86" s="118">
        <f t="shared" si="66"/>
        <v>27411.16751</v>
      </c>
      <c r="AS86" s="118">
        <f t="shared" si="66"/>
        <v>27411.16751</v>
      </c>
      <c r="AT86" s="118">
        <f t="shared" si="66"/>
        <v>27411.16751</v>
      </c>
      <c r="AU86" s="118">
        <f t="shared" si="66"/>
        <v>27411.16751</v>
      </c>
      <c r="AV86" s="118">
        <f t="shared" si="66"/>
        <v>27411.16751</v>
      </c>
      <c r="AW86" s="118">
        <f t="shared" si="66"/>
        <v>27411.16751</v>
      </c>
      <c r="AX86" s="118">
        <f t="shared" si="66"/>
        <v>27411.16751</v>
      </c>
      <c r="AY86" s="118">
        <f t="shared" si="66"/>
        <v>27411.16751</v>
      </c>
      <c r="AZ86" s="118">
        <f t="shared" si="66"/>
        <v>27411.16751</v>
      </c>
      <c r="BA86" s="118">
        <f t="shared" si="66"/>
        <v>27411.16751</v>
      </c>
      <c r="BB86" s="118">
        <f t="shared" si="66"/>
        <v>27411.16751</v>
      </c>
      <c r="BC86" s="118">
        <f t="shared" si="66"/>
        <v>27411.16751</v>
      </c>
      <c r="BD86" s="118">
        <f t="shared" si="66"/>
        <v>27411.16751</v>
      </c>
      <c r="BE86" s="118">
        <f t="shared" si="66"/>
        <v>27411.16751</v>
      </c>
      <c r="BF86" s="118">
        <f t="shared" si="66"/>
        <v>27411.16751</v>
      </c>
      <c r="BG86" s="118">
        <f t="shared" si="66"/>
        <v>27411.16751</v>
      </c>
      <c r="BH86" s="118">
        <f t="shared" si="66"/>
        <v>27411.16751</v>
      </c>
      <c r="BI86" s="118">
        <f t="shared" si="66"/>
        <v>27411.16751</v>
      </c>
      <c r="BJ86" s="118">
        <f t="shared" si="66"/>
        <v>27411.16751</v>
      </c>
      <c r="BK86" s="118">
        <f t="shared" si="66"/>
        <v>27411.16751</v>
      </c>
      <c r="BL86" s="118">
        <f t="shared" si="66"/>
        <v>27411.16751</v>
      </c>
      <c r="BM86" s="118">
        <f t="shared" si="66"/>
        <v>27411.16751</v>
      </c>
      <c r="BN86" s="118">
        <f t="shared" si="66"/>
        <v>27411.16751</v>
      </c>
    </row>
    <row r="87" outlineLevel="1">
      <c r="A87" s="85"/>
      <c r="B87" s="117"/>
      <c r="C87" s="85"/>
      <c r="D87" s="87"/>
      <c r="E87" s="87"/>
      <c r="F87" s="87"/>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row>
    <row r="88" outlineLevel="1">
      <c r="A88" s="85"/>
      <c r="B88" s="119" t="s">
        <v>60</v>
      </c>
      <c r="C88" s="85"/>
      <c r="D88" s="87"/>
      <c r="E88" s="87"/>
      <c r="F88" s="87"/>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row>
    <row r="89">
      <c r="A89" s="47"/>
      <c r="B89" s="103"/>
      <c r="C89" s="47"/>
      <c r="D89" s="47"/>
      <c r="E89" s="47"/>
      <c r="F89" s="47"/>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row>
    <row r="90">
      <c r="A90" s="47"/>
      <c r="B90" s="48" t="s">
        <v>61</v>
      </c>
      <c r="C90" s="49"/>
      <c r="D90" s="49"/>
      <c r="E90" s="49"/>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row>
    <row r="91" outlineLevel="1">
      <c r="A91" s="47"/>
      <c r="B91" s="47"/>
      <c r="C91" s="47"/>
      <c r="D91" s="47"/>
      <c r="E91" s="47"/>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row>
    <row r="92" outlineLevel="1">
      <c r="A92" s="47"/>
      <c r="B92" s="120" t="s">
        <v>62</v>
      </c>
      <c r="C92" s="121" t="s">
        <v>63</v>
      </c>
      <c r="D92" s="121" t="s">
        <v>64</v>
      </c>
      <c r="E92" s="121" t="s">
        <v>65</v>
      </c>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122"/>
      <c r="BG92" s="122"/>
      <c r="BH92" s="122"/>
      <c r="BI92" s="122"/>
      <c r="BJ92" s="122"/>
      <c r="BK92" s="122"/>
      <c r="BL92" s="122"/>
      <c r="BM92" s="122"/>
      <c r="BN92" s="122"/>
    </row>
    <row r="93" outlineLevel="1">
      <c r="A93" s="47"/>
      <c r="B93" s="123" t="s">
        <v>66</v>
      </c>
      <c r="C93" s="124">
        <v>100000.0</v>
      </c>
      <c r="D93" s="125">
        <v>0.2</v>
      </c>
      <c r="E93" s="126">
        <v>43831.0</v>
      </c>
      <c r="F93" s="122"/>
      <c r="G93" s="122">
        <f t="shared" ref="G93:BN93" si="67">IF(G$4&gt;=$E93,($C93/12)*(1+$D93),0)</f>
        <v>10000</v>
      </c>
      <c r="H93" s="122">
        <f t="shared" si="67"/>
        <v>10000</v>
      </c>
      <c r="I93" s="122">
        <f t="shared" si="67"/>
        <v>10000</v>
      </c>
      <c r="J93" s="122">
        <f t="shared" si="67"/>
        <v>10000</v>
      </c>
      <c r="K93" s="122">
        <f t="shared" si="67"/>
        <v>10000</v>
      </c>
      <c r="L93" s="122">
        <f t="shared" si="67"/>
        <v>10000</v>
      </c>
      <c r="M93" s="122">
        <f t="shared" si="67"/>
        <v>10000</v>
      </c>
      <c r="N93" s="122">
        <f t="shared" si="67"/>
        <v>10000</v>
      </c>
      <c r="O93" s="122">
        <f t="shared" si="67"/>
        <v>10000</v>
      </c>
      <c r="P93" s="122">
        <f t="shared" si="67"/>
        <v>10000</v>
      </c>
      <c r="Q93" s="122">
        <f t="shared" si="67"/>
        <v>10000</v>
      </c>
      <c r="R93" s="122">
        <f t="shared" si="67"/>
        <v>10000</v>
      </c>
      <c r="S93" s="122">
        <f t="shared" si="67"/>
        <v>10000</v>
      </c>
      <c r="T93" s="122">
        <f t="shared" si="67"/>
        <v>10000</v>
      </c>
      <c r="U93" s="122">
        <f t="shared" si="67"/>
        <v>10000</v>
      </c>
      <c r="V93" s="122">
        <f t="shared" si="67"/>
        <v>10000</v>
      </c>
      <c r="W93" s="122">
        <f t="shared" si="67"/>
        <v>10000</v>
      </c>
      <c r="X93" s="122">
        <f t="shared" si="67"/>
        <v>10000</v>
      </c>
      <c r="Y93" s="122">
        <f t="shared" si="67"/>
        <v>10000</v>
      </c>
      <c r="Z93" s="122">
        <f t="shared" si="67"/>
        <v>10000</v>
      </c>
      <c r="AA93" s="122">
        <f t="shared" si="67"/>
        <v>10000</v>
      </c>
      <c r="AB93" s="122">
        <f t="shared" si="67"/>
        <v>10000</v>
      </c>
      <c r="AC93" s="122">
        <f t="shared" si="67"/>
        <v>10000</v>
      </c>
      <c r="AD93" s="122">
        <f t="shared" si="67"/>
        <v>10000</v>
      </c>
      <c r="AE93" s="122">
        <f t="shared" si="67"/>
        <v>10000</v>
      </c>
      <c r="AF93" s="122">
        <f t="shared" si="67"/>
        <v>10000</v>
      </c>
      <c r="AG93" s="122">
        <f t="shared" si="67"/>
        <v>10000</v>
      </c>
      <c r="AH93" s="122">
        <f t="shared" si="67"/>
        <v>10000</v>
      </c>
      <c r="AI93" s="122">
        <f t="shared" si="67"/>
        <v>10000</v>
      </c>
      <c r="AJ93" s="122">
        <f t="shared" si="67"/>
        <v>10000</v>
      </c>
      <c r="AK93" s="122">
        <f t="shared" si="67"/>
        <v>10000</v>
      </c>
      <c r="AL93" s="122">
        <f t="shared" si="67"/>
        <v>10000</v>
      </c>
      <c r="AM93" s="122">
        <f t="shared" si="67"/>
        <v>10000</v>
      </c>
      <c r="AN93" s="122">
        <f t="shared" si="67"/>
        <v>10000</v>
      </c>
      <c r="AO93" s="122">
        <f t="shared" si="67"/>
        <v>10000</v>
      </c>
      <c r="AP93" s="122">
        <f t="shared" si="67"/>
        <v>10000</v>
      </c>
      <c r="AQ93" s="122">
        <f t="shared" si="67"/>
        <v>10000</v>
      </c>
      <c r="AR93" s="122">
        <f t="shared" si="67"/>
        <v>10000</v>
      </c>
      <c r="AS93" s="122">
        <f t="shared" si="67"/>
        <v>10000</v>
      </c>
      <c r="AT93" s="122">
        <f t="shared" si="67"/>
        <v>10000</v>
      </c>
      <c r="AU93" s="122">
        <f t="shared" si="67"/>
        <v>10000</v>
      </c>
      <c r="AV93" s="122">
        <f t="shared" si="67"/>
        <v>10000</v>
      </c>
      <c r="AW93" s="122">
        <f t="shared" si="67"/>
        <v>10000</v>
      </c>
      <c r="AX93" s="122">
        <f t="shared" si="67"/>
        <v>10000</v>
      </c>
      <c r="AY93" s="122">
        <f t="shared" si="67"/>
        <v>10000</v>
      </c>
      <c r="AZ93" s="122">
        <f t="shared" si="67"/>
        <v>10000</v>
      </c>
      <c r="BA93" s="122">
        <f t="shared" si="67"/>
        <v>10000</v>
      </c>
      <c r="BB93" s="122">
        <f t="shared" si="67"/>
        <v>10000</v>
      </c>
      <c r="BC93" s="122">
        <f t="shared" si="67"/>
        <v>10000</v>
      </c>
      <c r="BD93" s="122">
        <f t="shared" si="67"/>
        <v>10000</v>
      </c>
      <c r="BE93" s="122">
        <f t="shared" si="67"/>
        <v>10000</v>
      </c>
      <c r="BF93" s="122">
        <f t="shared" si="67"/>
        <v>10000</v>
      </c>
      <c r="BG93" s="122">
        <f t="shared" si="67"/>
        <v>10000</v>
      </c>
      <c r="BH93" s="122">
        <f t="shared" si="67"/>
        <v>10000</v>
      </c>
      <c r="BI93" s="122">
        <f t="shared" si="67"/>
        <v>10000</v>
      </c>
      <c r="BJ93" s="122">
        <f t="shared" si="67"/>
        <v>10000</v>
      </c>
      <c r="BK93" s="122">
        <f t="shared" si="67"/>
        <v>10000</v>
      </c>
      <c r="BL93" s="122">
        <f t="shared" si="67"/>
        <v>10000</v>
      </c>
      <c r="BM93" s="122">
        <f t="shared" si="67"/>
        <v>10000</v>
      </c>
      <c r="BN93" s="122">
        <f t="shared" si="67"/>
        <v>10000</v>
      </c>
    </row>
    <row r="94" outlineLevel="1">
      <c r="A94" s="47"/>
      <c r="B94" s="123" t="s">
        <v>67</v>
      </c>
      <c r="C94" s="124">
        <v>100000.0</v>
      </c>
      <c r="D94" s="125">
        <v>0.2</v>
      </c>
      <c r="E94" s="126">
        <v>43831.0</v>
      </c>
      <c r="F94" s="122"/>
      <c r="G94" s="122">
        <f t="shared" ref="G94:BN94" si="68">IF(G$4&gt;=$E94,($C94/12)*(1+$D94),0)</f>
        <v>10000</v>
      </c>
      <c r="H94" s="122">
        <f t="shared" si="68"/>
        <v>10000</v>
      </c>
      <c r="I94" s="122">
        <f t="shared" si="68"/>
        <v>10000</v>
      </c>
      <c r="J94" s="122">
        <f t="shared" si="68"/>
        <v>10000</v>
      </c>
      <c r="K94" s="122">
        <f t="shared" si="68"/>
        <v>10000</v>
      </c>
      <c r="L94" s="122">
        <f t="shared" si="68"/>
        <v>10000</v>
      </c>
      <c r="M94" s="122">
        <f t="shared" si="68"/>
        <v>10000</v>
      </c>
      <c r="N94" s="122">
        <f t="shared" si="68"/>
        <v>10000</v>
      </c>
      <c r="O94" s="122">
        <f t="shared" si="68"/>
        <v>10000</v>
      </c>
      <c r="P94" s="122">
        <f t="shared" si="68"/>
        <v>10000</v>
      </c>
      <c r="Q94" s="122">
        <f t="shared" si="68"/>
        <v>10000</v>
      </c>
      <c r="R94" s="122">
        <f t="shared" si="68"/>
        <v>10000</v>
      </c>
      <c r="S94" s="122">
        <f t="shared" si="68"/>
        <v>10000</v>
      </c>
      <c r="T94" s="122">
        <f t="shared" si="68"/>
        <v>10000</v>
      </c>
      <c r="U94" s="122">
        <f t="shared" si="68"/>
        <v>10000</v>
      </c>
      <c r="V94" s="122">
        <f t="shared" si="68"/>
        <v>10000</v>
      </c>
      <c r="W94" s="122">
        <f t="shared" si="68"/>
        <v>10000</v>
      </c>
      <c r="X94" s="122">
        <f t="shared" si="68"/>
        <v>10000</v>
      </c>
      <c r="Y94" s="122">
        <f t="shared" si="68"/>
        <v>10000</v>
      </c>
      <c r="Z94" s="122">
        <f t="shared" si="68"/>
        <v>10000</v>
      </c>
      <c r="AA94" s="122">
        <f t="shared" si="68"/>
        <v>10000</v>
      </c>
      <c r="AB94" s="122">
        <f t="shared" si="68"/>
        <v>10000</v>
      </c>
      <c r="AC94" s="122">
        <f t="shared" si="68"/>
        <v>10000</v>
      </c>
      <c r="AD94" s="122">
        <f t="shared" si="68"/>
        <v>10000</v>
      </c>
      <c r="AE94" s="122">
        <f t="shared" si="68"/>
        <v>10000</v>
      </c>
      <c r="AF94" s="122">
        <f t="shared" si="68"/>
        <v>10000</v>
      </c>
      <c r="AG94" s="122">
        <f t="shared" si="68"/>
        <v>10000</v>
      </c>
      <c r="AH94" s="122">
        <f t="shared" si="68"/>
        <v>10000</v>
      </c>
      <c r="AI94" s="122">
        <f t="shared" si="68"/>
        <v>10000</v>
      </c>
      <c r="AJ94" s="122">
        <f t="shared" si="68"/>
        <v>10000</v>
      </c>
      <c r="AK94" s="122">
        <f t="shared" si="68"/>
        <v>10000</v>
      </c>
      <c r="AL94" s="122">
        <f t="shared" si="68"/>
        <v>10000</v>
      </c>
      <c r="AM94" s="122">
        <f t="shared" si="68"/>
        <v>10000</v>
      </c>
      <c r="AN94" s="122">
        <f t="shared" si="68"/>
        <v>10000</v>
      </c>
      <c r="AO94" s="122">
        <f t="shared" si="68"/>
        <v>10000</v>
      </c>
      <c r="AP94" s="122">
        <f t="shared" si="68"/>
        <v>10000</v>
      </c>
      <c r="AQ94" s="122">
        <f t="shared" si="68"/>
        <v>10000</v>
      </c>
      <c r="AR94" s="122">
        <f t="shared" si="68"/>
        <v>10000</v>
      </c>
      <c r="AS94" s="122">
        <f t="shared" si="68"/>
        <v>10000</v>
      </c>
      <c r="AT94" s="122">
        <f t="shared" si="68"/>
        <v>10000</v>
      </c>
      <c r="AU94" s="122">
        <f t="shared" si="68"/>
        <v>10000</v>
      </c>
      <c r="AV94" s="122">
        <f t="shared" si="68"/>
        <v>10000</v>
      </c>
      <c r="AW94" s="122">
        <f t="shared" si="68"/>
        <v>10000</v>
      </c>
      <c r="AX94" s="122">
        <f t="shared" si="68"/>
        <v>10000</v>
      </c>
      <c r="AY94" s="122">
        <f t="shared" si="68"/>
        <v>10000</v>
      </c>
      <c r="AZ94" s="122">
        <f t="shared" si="68"/>
        <v>10000</v>
      </c>
      <c r="BA94" s="122">
        <f t="shared" si="68"/>
        <v>10000</v>
      </c>
      <c r="BB94" s="122">
        <f t="shared" si="68"/>
        <v>10000</v>
      </c>
      <c r="BC94" s="122">
        <f t="shared" si="68"/>
        <v>10000</v>
      </c>
      <c r="BD94" s="122">
        <f t="shared" si="68"/>
        <v>10000</v>
      </c>
      <c r="BE94" s="122">
        <f t="shared" si="68"/>
        <v>10000</v>
      </c>
      <c r="BF94" s="122">
        <f t="shared" si="68"/>
        <v>10000</v>
      </c>
      <c r="BG94" s="122">
        <f t="shared" si="68"/>
        <v>10000</v>
      </c>
      <c r="BH94" s="122">
        <f t="shared" si="68"/>
        <v>10000</v>
      </c>
      <c r="BI94" s="122">
        <f t="shared" si="68"/>
        <v>10000</v>
      </c>
      <c r="BJ94" s="122">
        <f t="shared" si="68"/>
        <v>10000</v>
      </c>
      <c r="BK94" s="122">
        <f t="shared" si="68"/>
        <v>10000</v>
      </c>
      <c r="BL94" s="122">
        <f t="shared" si="68"/>
        <v>10000</v>
      </c>
      <c r="BM94" s="122">
        <f t="shared" si="68"/>
        <v>10000</v>
      </c>
      <c r="BN94" s="122">
        <f t="shared" si="68"/>
        <v>10000</v>
      </c>
    </row>
    <row r="95" outlineLevel="1">
      <c r="A95" s="47"/>
      <c r="B95" s="123" t="s">
        <v>68</v>
      </c>
      <c r="C95" s="124">
        <v>100000.0</v>
      </c>
      <c r="D95" s="125">
        <v>0.2</v>
      </c>
      <c r="E95" s="126">
        <v>44075.0</v>
      </c>
      <c r="F95" s="122"/>
      <c r="G95" s="122">
        <f t="shared" ref="G95:BN95" si="69">IF(G$4&gt;=$E95,($C95/12)*(1+$D95),0)</f>
        <v>10000</v>
      </c>
      <c r="H95" s="122">
        <f t="shared" si="69"/>
        <v>10000</v>
      </c>
      <c r="I95" s="122">
        <f t="shared" si="69"/>
        <v>10000</v>
      </c>
      <c r="J95" s="122">
        <f t="shared" si="69"/>
        <v>10000</v>
      </c>
      <c r="K95" s="122">
        <f t="shared" si="69"/>
        <v>10000</v>
      </c>
      <c r="L95" s="122">
        <f t="shared" si="69"/>
        <v>10000</v>
      </c>
      <c r="M95" s="122">
        <f t="shared" si="69"/>
        <v>10000</v>
      </c>
      <c r="N95" s="122">
        <f t="shared" si="69"/>
        <v>10000</v>
      </c>
      <c r="O95" s="122">
        <f t="shared" si="69"/>
        <v>10000</v>
      </c>
      <c r="P95" s="122">
        <f t="shared" si="69"/>
        <v>10000</v>
      </c>
      <c r="Q95" s="122">
        <f t="shared" si="69"/>
        <v>10000</v>
      </c>
      <c r="R95" s="122">
        <f t="shared" si="69"/>
        <v>10000</v>
      </c>
      <c r="S95" s="122">
        <f t="shared" si="69"/>
        <v>10000</v>
      </c>
      <c r="T95" s="122">
        <f t="shared" si="69"/>
        <v>10000</v>
      </c>
      <c r="U95" s="122">
        <f t="shared" si="69"/>
        <v>10000</v>
      </c>
      <c r="V95" s="122">
        <f t="shared" si="69"/>
        <v>10000</v>
      </c>
      <c r="W95" s="122">
        <f t="shared" si="69"/>
        <v>10000</v>
      </c>
      <c r="X95" s="122">
        <f t="shared" si="69"/>
        <v>10000</v>
      </c>
      <c r="Y95" s="122">
        <f t="shared" si="69"/>
        <v>10000</v>
      </c>
      <c r="Z95" s="122">
        <f t="shared" si="69"/>
        <v>10000</v>
      </c>
      <c r="AA95" s="122">
        <f t="shared" si="69"/>
        <v>10000</v>
      </c>
      <c r="AB95" s="122">
        <f t="shared" si="69"/>
        <v>10000</v>
      </c>
      <c r="AC95" s="122">
        <f t="shared" si="69"/>
        <v>10000</v>
      </c>
      <c r="AD95" s="122">
        <f t="shared" si="69"/>
        <v>10000</v>
      </c>
      <c r="AE95" s="122">
        <f t="shared" si="69"/>
        <v>10000</v>
      </c>
      <c r="AF95" s="122">
        <f t="shared" si="69"/>
        <v>10000</v>
      </c>
      <c r="AG95" s="122">
        <f t="shared" si="69"/>
        <v>10000</v>
      </c>
      <c r="AH95" s="122">
        <f t="shared" si="69"/>
        <v>10000</v>
      </c>
      <c r="AI95" s="122">
        <f t="shared" si="69"/>
        <v>10000</v>
      </c>
      <c r="AJ95" s="122">
        <f t="shared" si="69"/>
        <v>10000</v>
      </c>
      <c r="AK95" s="122">
        <f t="shared" si="69"/>
        <v>10000</v>
      </c>
      <c r="AL95" s="122">
        <f t="shared" si="69"/>
        <v>10000</v>
      </c>
      <c r="AM95" s="122">
        <f t="shared" si="69"/>
        <v>10000</v>
      </c>
      <c r="AN95" s="122">
        <f t="shared" si="69"/>
        <v>10000</v>
      </c>
      <c r="AO95" s="122">
        <f t="shared" si="69"/>
        <v>10000</v>
      </c>
      <c r="AP95" s="122">
        <f t="shared" si="69"/>
        <v>10000</v>
      </c>
      <c r="AQ95" s="122">
        <f t="shared" si="69"/>
        <v>10000</v>
      </c>
      <c r="AR95" s="122">
        <f t="shared" si="69"/>
        <v>10000</v>
      </c>
      <c r="AS95" s="122">
        <f t="shared" si="69"/>
        <v>10000</v>
      </c>
      <c r="AT95" s="122">
        <f t="shared" si="69"/>
        <v>10000</v>
      </c>
      <c r="AU95" s="122">
        <f t="shared" si="69"/>
        <v>10000</v>
      </c>
      <c r="AV95" s="122">
        <f t="shared" si="69"/>
        <v>10000</v>
      </c>
      <c r="AW95" s="122">
        <f t="shared" si="69"/>
        <v>10000</v>
      </c>
      <c r="AX95" s="122">
        <f t="shared" si="69"/>
        <v>10000</v>
      </c>
      <c r="AY95" s="122">
        <f t="shared" si="69"/>
        <v>10000</v>
      </c>
      <c r="AZ95" s="122">
        <f t="shared" si="69"/>
        <v>10000</v>
      </c>
      <c r="BA95" s="122">
        <f t="shared" si="69"/>
        <v>10000</v>
      </c>
      <c r="BB95" s="122">
        <f t="shared" si="69"/>
        <v>10000</v>
      </c>
      <c r="BC95" s="122">
        <f t="shared" si="69"/>
        <v>10000</v>
      </c>
      <c r="BD95" s="122">
        <f t="shared" si="69"/>
        <v>10000</v>
      </c>
      <c r="BE95" s="122">
        <f t="shared" si="69"/>
        <v>10000</v>
      </c>
      <c r="BF95" s="122">
        <f t="shared" si="69"/>
        <v>10000</v>
      </c>
      <c r="BG95" s="122">
        <f t="shared" si="69"/>
        <v>10000</v>
      </c>
      <c r="BH95" s="122">
        <f t="shared" si="69"/>
        <v>10000</v>
      </c>
      <c r="BI95" s="122">
        <f t="shared" si="69"/>
        <v>10000</v>
      </c>
      <c r="BJ95" s="122">
        <f t="shared" si="69"/>
        <v>10000</v>
      </c>
      <c r="BK95" s="122">
        <f t="shared" si="69"/>
        <v>10000</v>
      </c>
      <c r="BL95" s="122">
        <f t="shared" si="69"/>
        <v>10000</v>
      </c>
      <c r="BM95" s="122">
        <f t="shared" si="69"/>
        <v>10000</v>
      </c>
      <c r="BN95" s="122">
        <f t="shared" si="69"/>
        <v>10000</v>
      </c>
    </row>
    <row r="96" outlineLevel="1">
      <c r="A96" s="47"/>
      <c r="B96" s="123" t="s">
        <v>69</v>
      </c>
      <c r="C96" s="124">
        <v>100000.0</v>
      </c>
      <c r="D96" s="125">
        <v>0.2</v>
      </c>
      <c r="E96" s="126">
        <v>43831.0</v>
      </c>
      <c r="F96" s="122"/>
      <c r="G96" s="122">
        <f t="shared" ref="G96:BN96" si="70">IF(G$4&gt;=$E96,($C96/12)*(1+$D96),0)</f>
        <v>10000</v>
      </c>
      <c r="H96" s="122">
        <f t="shared" si="70"/>
        <v>10000</v>
      </c>
      <c r="I96" s="122">
        <f t="shared" si="70"/>
        <v>10000</v>
      </c>
      <c r="J96" s="122">
        <f t="shared" si="70"/>
        <v>10000</v>
      </c>
      <c r="K96" s="122">
        <f t="shared" si="70"/>
        <v>10000</v>
      </c>
      <c r="L96" s="122">
        <f t="shared" si="70"/>
        <v>10000</v>
      </c>
      <c r="M96" s="122">
        <f t="shared" si="70"/>
        <v>10000</v>
      </c>
      <c r="N96" s="122">
        <f t="shared" si="70"/>
        <v>10000</v>
      </c>
      <c r="O96" s="122">
        <f t="shared" si="70"/>
        <v>10000</v>
      </c>
      <c r="P96" s="122">
        <f t="shared" si="70"/>
        <v>10000</v>
      </c>
      <c r="Q96" s="122">
        <f t="shared" si="70"/>
        <v>10000</v>
      </c>
      <c r="R96" s="122">
        <f t="shared" si="70"/>
        <v>10000</v>
      </c>
      <c r="S96" s="122">
        <f t="shared" si="70"/>
        <v>10000</v>
      </c>
      <c r="T96" s="122">
        <f t="shared" si="70"/>
        <v>10000</v>
      </c>
      <c r="U96" s="122">
        <f t="shared" si="70"/>
        <v>10000</v>
      </c>
      <c r="V96" s="122">
        <f t="shared" si="70"/>
        <v>10000</v>
      </c>
      <c r="W96" s="122">
        <f t="shared" si="70"/>
        <v>10000</v>
      </c>
      <c r="X96" s="122">
        <f t="shared" si="70"/>
        <v>10000</v>
      </c>
      <c r="Y96" s="122">
        <f t="shared" si="70"/>
        <v>10000</v>
      </c>
      <c r="Z96" s="122">
        <f t="shared" si="70"/>
        <v>10000</v>
      </c>
      <c r="AA96" s="122">
        <f t="shared" si="70"/>
        <v>10000</v>
      </c>
      <c r="AB96" s="122">
        <f t="shared" si="70"/>
        <v>10000</v>
      </c>
      <c r="AC96" s="122">
        <f t="shared" si="70"/>
        <v>10000</v>
      </c>
      <c r="AD96" s="122">
        <f t="shared" si="70"/>
        <v>10000</v>
      </c>
      <c r="AE96" s="122">
        <f t="shared" si="70"/>
        <v>10000</v>
      </c>
      <c r="AF96" s="122">
        <f t="shared" si="70"/>
        <v>10000</v>
      </c>
      <c r="AG96" s="122">
        <f t="shared" si="70"/>
        <v>10000</v>
      </c>
      <c r="AH96" s="122">
        <f t="shared" si="70"/>
        <v>10000</v>
      </c>
      <c r="AI96" s="122">
        <f t="shared" si="70"/>
        <v>10000</v>
      </c>
      <c r="AJ96" s="122">
        <f t="shared" si="70"/>
        <v>10000</v>
      </c>
      <c r="AK96" s="122">
        <f t="shared" si="70"/>
        <v>10000</v>
      </c>
      <c r="AL96" s="122">
        <f t="shared" si="70"/>
        <v>10000</v>
      </c>
      <c r="AM96" s="122">
        <f t="shared" si="70"/>
        <v>10000</v>
      </c>
      <c r="AN96" s="122">
        <f t="shared" si="70"/>
        <v>10000</v>
      </c>
      <c r="AO96" s="122">
        <f t="shared" si="70"/>
        <v>10000</v>
      </c>
      <c r="AP96" s="122">
        <f t="shared" si="70"/>
        <v>10000</v>
      </c>
      <c r="AQ96" s="122">
        <f t="shared" si="70"/>
        <v>10000</v>
      </c>
      <c r="AR96" s="122">
        <f t="shared" si="70"/>
        <v>10000</v>
      </c>
      <c r="AS96" s="122">
        <f t="shared" si="70"/>
        <v>10000</v>
      </c>
      <c r="AT96" s="122">
        <f t="shared" si="70"/>
        <v>10000</v>
      </c>
      <c r="AU96" s="122">
        <f t="shared" si="70"/>
        <v>10000</v>
      </c>
      <c r="AV96" s="122">
        <f t="shared" si="70"/>
        <v>10000</v>
      </c>
      <c r="AW96" s="122">
        <f t="shared" si="70"/>
        <v>10000</v>
      </c>
      <c r="AX96" s="122">
        <f t="shared" si="70"/>
        <v>10000</v>
      </c>
      <c r="AY96" s="122">
        <f t="shared" si="70"/>
        <v>10000</v>
      </c>
      <c r="AZ96" s="122">
        <f t="shared" si="70"/>
        <v>10000</v>
      </c>
      <c r="BA96" s="122">
        <f t="shared" si="70"/>
        <v>10000</v>
      </c>
      <c r="BB96" s="122">
        <f t="shared" si="70"/>
        <v>10000</v>
      </c>
      <c r="BC96" s="122">
        <f t="shared" si="70"/>
        <v>10000</v>
      </c>
      <c r="BD96" s="122">
        <f t="shared" si="70"/>
        <v>10000</v>
      </c>
      <c r="BE96" s="122">
        <f t="shared" si="70"/>
        <v>10000</v>
      </c>
      <c r="BF96" s="122">
        <f t="shared" si="70"/>
        <v>10000</v>
      </c>
      <c r="BG96" s="122">
        <f t="shared" si="70"/>
        <v>10000</v>
      </c>
      <c r="BH96" s="122">
        <f t="shared" si="70"/>
        <v>10000</v>
      </c>
      <c r="BI96" s="122">
        <f t="shared" si="70"/>
        <v>10000</v>
      </c>
      <c r="BJ96" s="122">
        <f t="shared" si="70"/>
        <v>10000</v>
      </c>
      <c r="BK96" s="122">
        <f t="shared" si="70"/>
        <v>10000</v>
      </c>
      <c r="BL96" s="122">
        <f t="shared" si="70"/>
        <v>10000</v>
      </c>
      <c r="BM96" s="122">
        <f t="shared" si="70"/>
        <v>10000</v>
      </c>
      <c r="BN96" s="122">
        <f t="shared" si="70"/>
        <v>10000</v>
      </c>
    </row>
    <row r="97" outlineLevel="1">
      <c r="A97" s="47"/>
      <c r="B97" s="123" t="s">
        <v>70</v>
      </c>
      <c r="C97" s="124">
        <v>100000.0</v>
      </c>
      <c r="D97" s="125">
        <v>0.2</v>
      </c>
      <c r="E97" s="126">
        <v>43891.0</v>
      </c>
      <c r="F97" s="122"/>
      <c r="G97" s="122">
        <f t="shared" ref="G97:BN97" si="71">IF(G$4&gt;=$E97,($C97/12)*(1+$D97),0)</f>
        <v>10000</v>
      </c>
      <c r="H97" s="122">
        <f t="shared" si="71"/>
        <v>10000</v>
      </c>
      <c r="I97" s="122">
        <f t="shared" si="71"/>
        <v>10000</v>
      </c>
      <c r="J97" s="122">
        <f t="shared" si="71"/>
        <v>10000</v>
      </c>
      <c r="K97" s="122">
        <f t="shared" si="71"/>
        <v>10000</v>
      </c>
      <c r="L97" s="122">
        <f t="shared" si="71"/>
        <v>10000</v>
      </c>
      <c r="M97" s="122">
        <f t="shared" si="71"/>
        <v>10000</v>
      </c>
      <c r="N97" s="122">
        <f t="shared" si="71"/>
        <v>10000</v>
      </c>
      <c r="O97" s="122">
        <f t="shared" si="71"/>
        <v>10000</v>
      </c>
      <c r="P97" s="122">
        <f t="shared" si="71"/>
        <v>10000</v>
      </c>
      <c r="Q97" s="122">
        <f t="shared" si="71"/>
        <v>10000</v>
      </c>
      <c r="R97" s="122">
        <f t="shared" si="71"/>
        <v>10000</v>
      </c>
      <c r="S97" s="122">
        <f t="shared" si="71"/>
        <v>10000</v>
      </c>
      <c r="T97" s="122">
        <f t="shared" si="71"/>
        <v>10000</v>
      </c>
      <c r="U97" s="122">
        <f t="shared" si="71"/>
        <v>10000</v>
      </c>
      <c r="V97" s="122">
        <f t="shared" si="71"/>
        <v>10000</v>
      </c>
      <c r="W97" s="122">
        <f t="shared" si="71"/>
        <v>10000</v>
      </c>
      <c r="X97" s="122">
        <f t="shared" si="71"/>
        <v>10000</v>
      </c>
      <c r="Y97" s="122">
        <f t="shared" si="71"/>
        <v>10000</v>
      </c>
      <c r="Z97" s="122">
        <f t="shared" si="71"/>
        <v>10000</v>
      </c>
      <c r="AA97" s="122">
        <f t="shared" si="71"/>
        <v>10000</v>
      </c>
      <c r="AB97" s="122">
        <f t="shared" si="71"/>
        <v>10000</v>
      </c>
      <c r="AC97" s="122">
        <f t="shared" si="71"/>
        <v>10000</v>
      </c>
      <c r="AD97" s="122">
        <f t="shared" si="71"/>
        <v>10000</v>
      </c>
      <c r="AE97" s="122">
        <f t="shared" si="71"/>
        <v>10000</v>
      </c>
      <c r="AF97" s="122">
        <f t="shared" si="71"/>
        <v>10000</v>
      </c>
      <c r="AG97" s="122">
        <f t="shared" si="71"/>
        <v>10000</v>
      </c>
      <c r="AH97" s="122">
        <f t="shared" si="71"/>
        <v>10000</v>
      </c>
      <c r="AI97" s="122">
        <f t="shared" si="71"/>
        <v>10000</v>
      </c>
      <c r="AJ97" s="122">
        <f t="shared" si="71"/>
        <v>10000</v>
      </c>
      <c r="AK97" s="122">
        <f t="shared" si="71"/>
        <v>10000</v>
      </c>
      <c r="AL97" s="122">
        <f t="shared" si="71"/>
        <v>10000</v>
      </c>
      <c r="AM97" s="122">
        <f t="shared" si="71"/>
        <v>10000</v>
      </c>
      <c r="AN97" s="122">
        <f t="shared" si="71"/>
        <v>10000</v>
      </c>
      <c r="AO97" s="122">
        <f t="shared" si="71"/>
        <v>10000</v>
      </c>
      <c r="AP97" s="122">
        <f t="shared" si="71"/>
        <v>10000</v>
      </c>
      <c r="AQ97" s="122">
        <f t="shared" si="71"/>
        <v>10000</v>
      </c>
      <c r="AR97" s="122">
        <f t="shared" si="71"/>
        <v>10000</v>
      </c>
      <c r="AS97" s="122">
        <f t="shared" si="71"/>
        <v>10000</v>
      </c>
      <c r="AT97" s="122">
        <f t="shared" si="71"/>
        <v>10000</v>
      </c>
      <c r="AU97" s="122">
        <f t="shared" si="71"/>
        <v>10000</v>
      </c>
      <c r="AV97" s="122">
        <f t="shared" si="71"/>
        <v>10000</v>
      </c>
      <c r="AW97" s="122">
        <f t="shared" si="71"/>
        <v>10000</v>
      </c>
      <c r="AX97" s="122">
        <f t="shared" si="71"/>
        <v>10000</v>
      </c>
      <c r="AY97" s="122">
        <f t="shared" si="71"/>
        <v>10000</v>
      </c>
      <c r="AZ97" s="122">
        <f t="shared" si="71"/>
        <v>10000</v>
      </c>
      <c r="BA97" s="122">
        <f t="shared" si="71"/>
        <v>10000</v>
      </c>
      <c r="BB97" s="122">
        <f t="shared" si="71"/>
        <v>10000</v>
      </c>
      <c r="BC97" s="122">
        <f t="shared" si="71"/>
        <v>10000</v>
      </c>
      <c r="BD97" s="122">
        <f t="shared" si="71"/>
        <v>10000</v>
      </c>
      <c r="BE97" s="122">
        <f t="shared" si="71"/>
        <v>10000</v>
      </c>
      <c r="BF97" s="122">
        <f t="shared" si="71"/>
        <v>10000</v>
      </c>
      <c r="BG97" s="122">
        <f t="shared" si="71"/>
        <v>10000</v>
      </c>
      <c r="BH97" s="122">
        <f t="shared" si="71"/>
        <v>10000</v>
      </c>
      <c r="BI97" s="122">
        <f t="shared" si="71"/>
        <v>10000</v>
      </c>
      <c r="BJ97" s="122">
        <f t="shared" si="71"/>
        <v>10000</v>
      </c>
      <c r="BK97" s="122">
        <f t="shared" si="71"/>
        <v>10000</v>
      </c>
      <c r="BL97" s="122">
        <f t="shared" si="71"/>
        <v>10000</v>
      </c>
      <c r="BM97" s="122">
        <f t="shared" si="71"/>
        <v>10000</v>
      </c>
      <c r="BN97" s="122">
        <f t="shared" si="71"/>
        <v>10000</v>
      </c>
    </row>
    <row r="98" outlineLevel="1">
      <c r="A98" s="47"/>
      <c r="B98" s="123" t="s">
        <v>71</v>
      </c>
      <c r="C98" s="124">
        <v>75000.0</v>
      </c>
      <c r="D98" s="125">
        <v>0.2</v>
      </c>
      <c r="E98" s="126">
        <v>43983.0</v>
      </c>
      <c r="F98" s="122"/>
      <c r="G98" s="122">
        <f t="shared" ref="G98:BN98" si="72">IF(G$4&gt;=$E98,($C98/12)*(1+$D98),0)</f>
        <v>7500</v>
      </c>
      <c r="H98" s="122">
        <f t="shared" si="72"/>
        <v>7500</v>
      </c>
      <c r="I98" s="122">
        <f t="shared" si="72"/>
        <v>7500</v>
      </c>
      <c r="J98" s="122">
        <f t="shared" si="72"/>
        <v>7500</v>
      </c>
      <c r="K98" s="122">
        <f t="shared" si="72"/>
        <v>7500</v>
      </c>
      <c r="L98" s="122">
        <f t="shared" si="72"/>
        <v>7500</v>
      </c>
      <c r="M98" s="122">
        <f t="shared" si="72"/>
        <v>7500</v>
      </c>
      <c r="N98" s="122">
        <f t="shared" si="72"/>
        <v>7500</v>
      </c>
      <c r="O98" s="122">
        <f t="shared" si="72"/>
        <v>7500</v>
      </c>
      <c r="P98" s="122">
        <f t="shared" si="72"/>
        <v>7500</v>
      </c>
      <c r="Q98" s="122">
        <f t="shared" si="72"/>
        <v>7500</v>
      </c>
      <c r="R98" s="122">
        <f t="shared" si="72"/>
        <v>7500</v>
      </c>
      <c r="S98" s="122">
        <f t="shared" si="72"/>
        <v>7500</v>
      </c>
      <c r="T98" s="122">
        <f t="shared" si="72"/>
        <v>7500</v>
      </c>
      <c r="U98" s="122">
        <f t="shared" si="72"/>
        <v>7500</v>
      </c>
      <c r="V98" s="122">
        <f t="shared" si="72"/>
        <v>7500</v>
      </c>
      <c r="W98" s="122">
        <f t="shared" si="72"/>
        <v>7500</v>
      </c>
      <c r="X98" s="122">
        <f t="shared" si="72"/>
        <v>7500</v>
      </c>
      <c r="Y98" s="122">
        <f t="shared" si="72"/>
        <v>7500</v>
      </c>
      <c r="Z98" s="122">
        <f t="shared" si="72"/>
        <v>7500</v>
      </c>
      <c r="AA98" s="122">
        <f t="shared" si="72"/>
        <v>7500</v>
      </c>
      <c r="AB98" s="122">
        <f t="shared" si="72"/>
        <v>7500</v>
      </c>
      <c r="AC98" s="122">
        <f t="shared" si="72"/>
        <v>7500</v>
      </c>
      <c r="AD98" s="122">
        <f t="shared" si="72"/>
        <v>7500</v>
      </c>
      <c r="AE98" s="122">
        <f t="shared" si="72"/>
        <v>7500</v>
      </c>
      <c r="AF98" s="122">
        <f t="shared" si="72"/>
        <v>7500</v>
      </c>
      <c r="AG98" s="122">
        <f t="shared" si="72"/>
        <v>7500</v>
      </c>
      <c r="AH98" s="122">
        <f t="shared" si="72"/>
        <v>7500</v>
      </c>
      <c r="AI98" s="122">
        <f t="shared" si="72"/>
        <v>7500</v>
      </c>
      <c r="AJ98" s="122">
        <f t="shared" si="72"/>
        <v>7500</v>
      </c>
      <c r="AK98" s="122">
        <f t="shared" si="72"/>
        <v>7500</v>
      </c>
      <c r="AL98" s="122">
        <f t="shared" si="72"/>
        <v>7500</v>
      </c>
      <c r="AM98" s="122">
        <f t="shared" si="72"/>
        <v>7500</v>
      </c>
      <c r="AN98" s="122">
        <f t="shared" si="72"/>
        <v>7500</v>
      </c>
      <c r="AO98" s="122">
        <f t="shared" si="72"/>
        <v>7500</v>
      </c>
      <c r="AP98" s="122">
        <f t="shared" si="72"/>
        <v>7500</v>
      </c>
      <c r="AQ98" s="122">
        <f t="shared" si="72"/>
        <v>7500</v>
      </c>
      <c r="AR98" s="122">
        <f t="shared" si="72"/>
        <v>7500</v>
      </c>
      <c r="AS98" s="122">
        <f t="shared" si="72"/>
        <v>7500</v>
      </c>
      <c r="AT98" s="122">
        <f t="shared" si="72"/>
        <v>7500</v>
      </c>
      <c r="AU98" s="122">
        <f t="shared" si="72"/>
        <v>7500</v>
      </c>
      <c r="AV98" s="122">
        <f t="shared" si="72"/>
        <v>7500</v>
      </c>
      <c r="AW98" s="122">
        <f t="shared" si="72"/>
        <v>7500</v>
      </c>
      <c r="AX98" s="122">
        <f t="shared" si="72"/>
        <v>7500</v>
      </c>
      <c r="AY98" s="122">
        <f t="shared" si="72"/>
        <v>7500</v>
      </c>
      <c r="AZ98" s="122">
        <f t="shared" si="72"/>
        <v>7500</v>
      </c>
      <c r="BA98" s="122">
        <f t="shared" si="72"/>
        <v>7500</v>
      </c>
      <c r="BB98" s="122">
        <f t="shared" si="72"/>
        <v>7500</v>
      </c>
      <c r="BC98" s="122">
        <f t="shared" si="72"/>
        <v>7500</v>
      </c>
      <c r="BD98" s="122">
        <f t="shared" si="72"/>
        <v>7500</v>
      </c>
      <c r="BE98" s="122">
        <f t="shared" si="72"/>
        <v>7500</v>
      </c>
      <c r="BF98" s="122">
        <f t="shared" si="72"/>
        <v>7500</v>
      </c>
      <c r="BG98" s="122">
        <f t="shared" si="72"/>
        <v>7500</v>
      </c>
      <c r="BH98" s="122">
        <f t="shared" si="72"/>
        <v>7500</v>
      </c>
      <c r="BI98" s="122">
        <f t="shared" si="72"/>
        <v>7500</v>
      </c>
      <c r="BJ98" s="122">
        <f t="shared" si="72"/>
        <v>7500</v>
      </c>
      <c r="BK98" s="122">
        <f t="shared" si="72"/>
        <v>7500</v>
      </c>
      <c r="BL98" s="122">
        <f t="shared" si="72"/>
        <v>7500</v>
      </c>
      <c r="BM98" s="122">
        <f t="shared" si="72"/>
        <v>7500</v>
      </c>
      <c r="BN98" s="122">
        <f t="shared" si="72"/>
        <v>7500</v>
      </c>
    </row>
    <row r="99" outlineLevel="1">
      <c r="A99" s="47"/>
      <c r="B99" s="123" t="s">
        <v>72</v>
      </c>
      <c r="C99" s="124">
        <v>50000.0</v>
      </c>
      <c r="D99" s="125">
        <v>0.2</v>
      </c>
      <c r="E99" s="126">
        <v>44075.0</v>
      </c>
      <c r="F99" s="122"/>
      <c r="G99" s="122">
        <f t="shared" ref="G99:BN99" si="73">IF(G$4&gt;=$E99,($C99/12)*(1+$D99),0)</f>
        <v>5000</v>
      </c>
      <c r="H99" s="122">
        <f t="shared" si="73"/>
        <v>5000</v>
      </c>
      <c r="I99" s="122">
        <f t="shared" si="73"/>
        <v>5000</v>
      </c>
      <c r="J99" s="122">
        <f t="shared" si="73"/>
        <v>5000</v>
      </c>
      <c r="K99" s="122">
        <f t="shared" si="73"/>
        <v>5000</v>
      </c>
      <c r="L99" s="122">
        <f t="shared" si="73"/>
        <v>5000</v>
      </c>
      <c r="M99" s="122">
        <f t="shared" si="73"/>
        <v>5000</v>
      </c>
      <c r="N99" s="122">
        <f t="shared" si="73"/>
        <v>5000</v>
      </c>
      <c r="O99" s="122">
        <f t="shared" si="73"/>
        <v>5000</v>
      </c>
      <c r="P99" s="122">
        <f t="shared" si="73"/>
        <v>5000</v>
      </c>
      <c r="Q99" s="122">
        <f t="shared" si="73"/>
        <v>5000</v>
      </c>
      <c r="R99" s="122">
        <f t="shared" si="73"/>
        <v>5000</v>
      </c>
      <c r="S99" s="122">
        <f t="shared" si="73"/>
        <v>5000</v>
      </c>
      <c r="T99" s="122">
        <f t="shared" si="73"/>
        <v>5000</v>
      </c>
      <c r="U99" s="122">
        <f t="shared" si="73"/>
        <v>5000</v>
      </c>
      <c r="V99" s="122">
        <f t="shared" si="73"/>
        <v>5000</v>
      </c>
      <c r="W99" s="122">
        <f t="shared" si="73"/>
        <v>5000</v>
      </c>
      <c r="X99" s="122">
        <f t="shared" si="73"/>
        <v>5000</v>
      </c>
      <c r="Y99" s="122">
        <f t="shared" si="73"/>
        <v>5000</v>
      </c>
      <c r="Z99" s="122">
        <f t="shared" si="73"/>
        <v>5000</v>
      </c>
      <c r="AA99" s="122">
        <f t="shared" si="73"/>
        <v>5000</v>
      </c>
      <c r="AB99" s="122">
        <f t="shared" si="73"/>
        <v>5000</v>
      </c>
      <c r="AC99" s="122">
        <f t="shared" si="73"/>
        <v>5000</v>
      </c>
      <c r="AD99" s="122">
        <f t="shared" si="73"/>
        <v>5000</v>
      </c>
      <c r="AE99" s="122">
        <f t="shared" si="73"/>
        <v>5000</v>
      </c>
      <c r="AF99" s="122">
        <f t="shared" si="73"/>
        <v>5000</v>
      </c>
      <c r="AG99" s="122">
        <f t="shared" si="73"/>
        <v>5000</v>
      </c>
      <c r="AH99" s="122">
        <f t="shared" si="73"/>
        <v>5000</v>
      </c>
      <c r="AI99" s="122">
        <f t="shared" si="73"/>
        <v>5000</v>
      </c>
      <c r="AJ99" s="122">
        <f t="shared" si="73"/>
        <v>5000</v>
      </c>
      <c r="AK99" s="122">
        <f t="shared" si="73"/>
        <v>5000</v>
      </c>
      <c r="AL99" s="122">
        <f t="shared" si="73"/>
        <v>5000</v>
      </c>
      <c r="AM99" s="122">
        <f t="shared" si="73"/>
        <v>5000</v>
      </c>
      <c r="AN99" s="122">
        <f t="shared" si="73"/>
        <v>5000</v>
      </c>
      <c r="AO99" s="122">
        <f t="shared" si="73"/>
        <v>5000</v>
      </c>
      <c r="AP99" s="122">
        <f t="shared" si="73"/>
        <v>5000</v>
      </c>
      <c r="AQ99" s="122">
        <f t="shared" si="73"/>
        <v>5000</v>
      </c>
      <c r="AR99" s="122">
        <f t="shared" si="73"/>
        <v>5000</v>
      </c>
      <c r="AS99" s="122">
        <f t="shared" si="73"/>
        <v>5000</v>
      </c>
      <c r="AT99" s="122">
        <f t="shared" si="73"/>
        <v>5000</v>
      </c>
      <c r="AU99" s="122">
        <f t="shared" si="73"/>
        <v>5000</v>
      </c>
      <c r="AV99" s="122">
        <f t="shared" si="73"/>
        <v>5000</v>
      </c>
      <c r="AW99" s="122">
        <f t="shared" si="73"/>
        <v>5000</v>
      </c>
      <c r="AX99" s="122">
        <f t="shared" si="73"/>
        <v>5000</v>
      </c>
      <c r="AY99" s="122">
        <f t="shared" si="73"/>
        <v>5000</v>
      </c>
      <c r="AZ99" s="122">
        <f t="shared" si="73"/>
        <v>5000</v>
      </c>
      <c r="BA99" s="122">
        <f t="shared" si="73"/>
        <v>5000</v>
      </c>
      <c r="BB99" s="122">
        <f t="shared" si="73"/>
        <v>5000</v>
      </c>
      <c r="BC99" s="122">
        <f t="shared" si="73"/>
        <v>5000</v>
      </c>
      <c r="BD99" s="122">
        <f t="shared" si="73"/>
        <v>5000</v>
      </c>
      <c r="BE99" s="122">
        <f t="shared" si="73"/>
        <v>5000</v>
      </c>
      <c r="BF99" s="122">
        <f t="shared" si="73"/>
        <v>5000</v>
      </c>
      <c r="BG99" s="122">
        <f t="shared" si="73"/>
        <v>5000</v>
      </c>
      <c r="BH99" s="122">
        <f t="shared" si="73"/>
        <v>5000</v>
      </c>
      <c r="BI99" s="122">
        <f t="shared" si="73"/>
        <v>5000</v>
      </c>
      <c r="BJ99" s="122">
        <f t="shared" si="73"/>
        <v>5000</v>
      </c>
      <c r="BK99" s="122">
        <f t="shared" si="73"/>
        <v>5000</v>
      </c>
      <c r="BL99" s="122">
        <f t="shared" si="73"/>
        <v>5000</v>
      </c>
      <c r="BM99" s="122">
        <f t="shared" si="73"/>
        <v>5000</v>
      </c>
      <c r="BN99" s="122">
        <f t="shared" si="73"/>
        <v>5000</v>
      </c>
    </row>
    <row r="100" outlineLevel="1">
      <c r="A100" s="47"/>
      <c r="B100" s="123" t="s">
        <v>73</v>
      </c>
      <c r="C100" s="124">
        <v>80000.0</v>
      </c>
      <c r="D100" s="125">
        <v>0.2</v>
      </c>
      <c r="E100" s="126">
        <v>44166.0</v>
      </c>
      <c r="F100" s="122"/>
      <c r="G100" s="122">
        <f t="shared" ref="G100:BN100" si="74">IF(G$4&gt;=$E100,($C100/12)*(1+$D100),0)</f>
        <v>8000</v>
      </c>
      <c r="H100" s="122">
        <f t="shared" si="74"/>
        <v>8000</v>
      </c>
      <c r="I100" s="122">
        <f t="shared" si="74"/>
        <v>8000</v>
      </c>
      <c r="J100" s="122">
        <f t="shared" si="74"/>
        <v>8000</v>
      </c>
      <c r="K100" s="122">
        <f t="shared" si="74"/>
        <v>8000</v>
      </c>
      <c r="L100" s="122">
        <f t="shared" si="74"/>
        <v>8000</v>
      </c>
      <c r="M100" s="122">
        <f t="shared" si="74"/>
        <v>8000</v>
      </c>
      <c r="N100" s="122">
        <f t="shared" si="74"/>
        <v>8000</v>
      </c>
      <c r="O100" s="122">
        <f t="shared" si="74"/>
        <v>8000</v>
      </c>
      <c r="P100" s="122">
        <f t="shared" si="74"/>
        <v>8000</v>
      </c>
      <c r="Q100" s="122">
        <f t="shared" si="74"/>
        <v>8000</v>
      </c>
      <c r="R100" s="122">
        <f t="shared" si="74"/>
        <v>8000</v>
      </c>
      <c r="S100" s="122">
        <f t="shared" si="74"/>
        <v>8000</v>
      </c>
      <c r="T100" s="122">
        <f t="shared" si="74"/>
        <v>8000</v>
      </c>
      <c r="U100" s="122">
        <f t="shared" si="74"/>
        <v>8000</v>
      </c>
      <c r="V100" s="122">
        <f t="shared" si="74"/>
        <v>8000</v>
      </c>
      <c r="W100" s="122">
        <f t="shared" si="74"/>
        <v>8000</v>
      </c>
      <c r="X100" s="122">
        <f t="shared" si="74"/>
        <v>8000</v>
      </c>
      <c r="Y100" s="122">
        <f t="shared" si="74"/>
        <v>8000</v>
      </c>
      <c r="Z100" s="122">
        <f t="shared" si="74"/>
        <v>8000</v>
      </c>
      <c r="AA100" s="122">
        <f t="shared" si="74"/>
        <v>8000</v>
      </c>
      <c r="AB100" s="122">
        <f t="shared" si="74"/>
        <v>8000</v>
      </c>
      <c r="AC100" s="122">
        <f t="shared" si="74"/>
        <v>8000</v>
      </c>
      <c r="AD100" s="122">
        <f t="shared" si="74"/>
        <v>8000</v>
      </c>
      <c r="AE100" s="122">
        <f t="shared" si="74"/>
        <v>8000</v>
      </c>
      <c r="AF100" s="122">
        <f t="shared" si="74"/>
        <v>8000</v>
      </c>
      <c r="AG100" s="122">
        <f t="shared" si="74"/>
        <v>8000</v>
      </c>
      <c r="AH100" s="122">
        <f t="shared" si="74"/>
        <v>8000</v>
      </c>
      <c r="AI100" s="122">
        <f t="shared" si="74"/>
        <v>8000</v>
      </c>
      <c r="AJ100" s="122">
        <f t="shared" si="74"/>
        <v>8000</v>
      </c>
      <c r="AK100" s="122">
        <f t="shared" si="74"/>
        <v>8000</v>
      </c>
      <c r="AL100" s="122">
        <f t="shared" si="74"/>
        <v>8000</v>
      </c>
      <c r="AM100" s="122">
        <f t="shared" si="74"/>
        <v>8000</v>
      </c>
      <c r="AN100" s="122">
        <f t="shared" si="74"/>
        <v>8000</v>
      </c>
      <c r="AO100" s="122">
        <f t="shared" si="74"/>
        <v>8000</v>
      </c>
      <c r="AP100" s="122">
        <f t="shared" si="74"/>
        <v>8000</v>
      </c>
      <c r="AQ100" s="122">
        <f t="shared" si="74"/>
        <v>8000</v>
      </c>
      <c r="AR100" s="122">
        <f t="shared" si="74"/>
        <v>8000</v>
      </c>
      <c r="AS100" s="122">
        <f t="shared" si="74"/>
        <v>8000</v>
      </c>
      <c r="AT100" s="122">
        <f t="shared" si="74"/>
        <v>8000</v>
      </c>
      <c r="AU100" s="122">
        <f t="shared" si="74"/>
        <v>8000</v>
      </c>
      <c r="AV100" s="122">
        <f t="shared" si="74"/>
        <v>8000</v>
      </c>
      <c r="AW100" s="122">
        <f t="shared" si="74"/>
        <v>8000</v>
      </c>
      <c r="AX100" s="122">
        <f t="shared" si="74"/>
        <v>8000</v>
      </c>
      <c r="AY100" s="122">
        <f t="shared" si="74"/>
        <v>8000</v>
      </c>
      <c r="AZ100" s="122">
        <f t="shared" si="74"/>
        <v>8000</v>
      </c>
      <c r="BA100" s="122">
        <f t="shared" si="74"/>
        <v>8000</v>
      </c>
      <c r="BB100" s="122">
        <f t="shared" si="74"/>
        <v>8000</v>
      </c>
      <c r="BC100" s="122">
        <f t="shared" si="74"/>
        <v>8000</v>
      </c>
      <c r="BD100" s="122">
        <f t="shared" si="74"/>
        <v>8000</v>
      </c>
      <c r="BE100" s="122">
        <f t="shared" si="74"/>
        <v>8000</v>
      </c>
      <c r="BF100" s="122">
        <f t="shared" si="74"/>
        <v>8000</v>
      </c>
      <c r="BG100" s="122">
        <f t="shared" si="74"/>
        <v>8000</v>
      </c>
      <c r="BH100" s="122">
        <f t="shared" si="74"/>
        <v>8000</v>
      </c>
      <c r="BI100" s="122">
        <f t="shared" si="74"/>
        <v>8000</v>
      </c>
      <c r="BJ100" s="122">
        <f t="shared" si="74"/>
        <v>8000</v>
      </c>
      <c r="BK100" s="122">
        <f t="shared" si="74"/>
        <v>8000</v>
      </c>
      <c r="BL100" s="122">
        <f t="shared" si="74"/>
        <v>8000</v>
      </c>
      <c r="BM100" s="122">
        <f t="shared" si="74"/>
        <v>8000</v>
      </c>
      <c r="BN100" s="122">
        <f t="shared" si="74"/>
        <v>8000</v>
      </c>
    </row>
    <row r="101" outlineLevel="1">
      <c r="A101" s="47"/>
      <c r="B101" s="123" t="s">
        <v>74</v>
      </c>
      <c r="C101" s="124">
        <v>90000.0</v>
      </c>
      <c r="D101" s="125">
        <v>0.2</v>
      </c>
      <c r="E101" s="126">
        <v>44256.0</v>
      </c>
      <c r="F101" s="122"/>
      <c r="G101" s="122">
        <f t="shared" ref="G101:BN101" si="75">IF(G$4&gt;=$E101,($C101/12)*(1+$D101),0)</f>
        <v>9000</v>
      </c>
      <c r="H101" s="122">
        <f t="shared" si="75"/>
        <v>9000</v>
      </c>
      <c r="I101" s="122">
        <f t="shared" si="75"/>
        <v>9000</v>
      </c>
      <c r="J101" s="122">
        <f t="shared" si="75"/>
        <v>9000</v>
      </c>
      <c r="K101" s="122">
        <f t="shared" si="75"/>
        <v>9000</v>
      </c>
      <c r="L101" s="122">
        <f t="shared" si="75"/>
        <v>9000</v>
      </c>
      <c r="M101" s="122">
        <f t="shared" si="75"/>
        <v>9000</v>
      </c>
      <c r="N101" s="122">
        <f t="shared" si="75"/>
        <v>9000</v>
      </c>
      <c r="O101" s="122">
        <f t="shared" si="75"/>
        <v>9000</v>
      </c>
      <c r="P101" s="122">
        <f t="shared" si="75"/>
        <v>9000</v>
      </c>
      <c r="Q101" s="122">
        <f t="shared" si="75"/>
        <v>9000</v>
      </c>
      <c r="R101" s="122">
        <f t="shared" si="75"/>
        <v>9000</v>
      </c>
      <c r="S101" s="122">
        <f t="shared" si="75"/>
        <v>9000</v>
      </c>
      <c r="T101" s="122">
        <f t="shared" si="75"/>
        <v>9000</v>
      </c>
      <c r="U101" s="122">
        <f t="shared" si="75"/>
        <v>9000</v>
      </c>
      <c r="V101" s="122">
        <f t="shared" si="75"/>
        <v>9000</v>
      </c>
      <c r="W101" s="122">
        <f t="shared" si="75"/>
        <v>9000</v>
      </c>
      <c r="X101" s="122">
        <f t="shared" si="75"/>
        <v>9000</v>
      </c>
      <c r="Y101" s="122">
        <f t="shared" si="75"/>
        <v>9000</v>
      </c>
      <c r="Z101" s="122">
        <f t="shared" si="75"/>
        <v>9000</v>
      </c>
      <c r="AA101" s="122">
        <f t="shared" si="75"/>
        <v>9000</v>
      </c>
      <c r="AB101" s="122">
        <f t="shared" si="75"/>
        <v>9000</v>
      </c>
      <c r="AC101" s="122">
        <f t="shared" si="75"/>
        <v>9000</v>
      </c>
      <c r="AD101" s="122">
        <f t="shared" si="75"/>
        <v>9000</v>
      </c>
      <c r="AE101" s="122">
        <f t="shared" si="75"/>
        <v>9000</v>
      </c>
      <c r="AF101" s="122">
        <f t="shared" si="75"/>
        <v>9000</v>
      </c>
      <c r="AG101" s="122">
        <f t="shared" si="75"/>
        <v>9000</v>
      </c>
      <c r="AH101" s="122">
        <f t="shared" si="75"/>
        <v>9000</v>
      </c>
      <c r="AI101" s="122">
        <f t="shared" si="75"/>
        <v>9000</v>
      </c>
      <c r="AJ101" s="122">
        <f t="shared" si="75"/>
        <v>9000</v>
      </c>
      <c r="AK101" s="122">
        <f t="shared" si="75"/>
        <v>9000</v>
      </c>
      <c r="AL101" s="122">
        <f t="shared" si="75"/>
        <v>9000</v>
      </c>
      <c r="AM101" s="122">
        <f t="shared" si="75"/>
        <v>9000</v>
      </c>
      <c r="AN101" s="122">
        <f t="shared" si="75"/>
        <v>9000</v>
      </c>
      <c r="AO101" s="122">
        <f t="shared" si="75"/>
        <v>9000</v>
      </c>
      <c r="AP101" s="122">
        <f t="shared" si="75"/>
        <v>9000</v>
      </c>
      <c r="AQ101" s="122">
        <f t="shared" si="75"/>
        <v>9000</v>
      </c>
      <c r="AR101" s="122">
        <f t="shared" si="75"/>
        <v>9000</v>
      </c>
      <c r="AS101" s="122">
        <f t="shared" si="75"/>
        <v>9000</v>
      </c>
      <c r="AT101" s="122">
        <f t="shared" si="75"/>
        <v>9000</v>
      </c>
      <c r="AU101" s="122">
        <f t="shared" si="75"/>
        <v>9000</v>
      </c>
      <c r="AV101" s="122">
        <f t="shared" si="75"/>
        <v>9000</v>
      </c>
      <c r="AW101" s="122">
        <f t="shared" si="75"/>
        <v>9000</v>
      </c>
      <c r="AX101" s="122">
        <f t="shared" si="75"/>
        <v>9000</v>
      </c>
      <c r="AY101" s="122">
        <f t="shared" si="75"/>
        <v>9000</v>
      </c>
      <c r="AZ101" s="122">
        <f t="shared" si="75"/>
        <v>9000</v>
      </c>
      <c r="BA101" s="122">
        <f t="shared" si="75"/>
        <v>9000</v>
      </c>
      <c r="BB101" s="122">
        <f t="shared" si="75"/>
        <v>9000</v>
      </c>
      <c r="BC101" s="122">
        <f t="shared" si="75"/>
        <v>9000</v>
      </c>
      <c r="BD101" s="122">
        <f t="shared" si="75"/>
        <v>9000</v>
      </c>
      <c r="BE101" s="122">
        <f t="shared" si="75"/>
        <v>9000</v>
      </c>
      <c r="BF101" s="122">
        <f t="shared" si="75"/>
        <v>9000</v>
      </c>
      <c r="BG101" s="122">
        <f t="shared" si="75"/>
        <v>9000</v>
      </c>
      <c r="BH101" s="122">
        <f t="shared" si="75"/>
        <v>9000</v>
      </c>
      <c r="BI101" s="122">
        <f t="shared" si="75"/>
        <v>9000</v>
      </c>
      <c r="BJ101" s="122">
        <f t="shared" si="75"/>
        <v>9000</v>
      </c>
      <c r="BK101" s="122">
        <f t="shared" si="75"/>
        <v>9000</v>
      </c>
      <c r="BL101" s="122">
        <f t="shared" si="75"/>
        <v>9000</v>
      </c>
      <c r="BM101" s="122">
        <f t="shared" si="75"/>
        <v>9000</v>
      </c>
      <c r="BN101" s="122">
        <f t="shared" si="75"/>
        <v>9000</v>
      </c>
    </row>
    <row r="102" outlineLevel="1">
      <c r="A102" s="47"/>
      <c r="B102" s="123" t="s">
        <v>75</v>
      </c>
      <c r="C102" s="124">
        <v>45000.0</v>
      </c>
      <c r="D102" s="125">
        <v>0.2</v>
      </c>
      <c r="E102" s="126">
        <v>44348.0</v>
      </c>
      <c r="F102" s="122"/>
      <c r="G102" s="122">
        <f t="shared" ref="G102:BN102" si="76">IF(G$4&gt;=$E102,($C102/12)*(1+$D102),0)</f>
        <v>4500</v>
      </c>
      <c r="H102" s="122">
        <f t="shared" si="76"/>
        <v>4500</v>
      </c>
      <c r="I102" s="122">
        <f t="shared" si="76"/>
        <v>4500</v>
      </c>
      <c r="J102" s="122">
        <f t="shared" si="76"/>
        <v>4500</v>
      </c>
      <c r="K102" s="122">
        <f t="shared" si="76"/>
        <v>4500</v>
      </c>
      <c r="L102" s="122">
        <f t="shared" si="76"/>
        <v>4500</v>
      </c>
      <c r="M102" s="122">
        <f t="shared" si="76"/>
        <v>4500</v>
      </c>
      <c r="N102" s="122">
        <f t="shared" si="76"/>
        <v>4500</v>
      </c>
      <c r="O102" s="122">
        <f t="shared" si="76"/>
        <v>4500</v>
      </c>
      <c r="P102" s="122">
        <f t="shared" si="76"/>
        <v>4500</v>
      </c>
      <c r="Q102" s="122">
        <f t="shared" si="76"/>
        <v>4500</v>
      </c>
      <c r="R102" s="122">
        <f t="shared" si="76"/>
        <v>4500</v>
      </c>
      <c r="S102" s="122">
        <f t="shared" si="76"/>
        <v>4500</v>
      </c>
      <c r="T102" s="122">
        <f t="shared" si="76"/>
        <v>4500</v>
      </c>
      <c r="U102" s="122">
        <f t="shared" si="76"/>
        <v>4500</v>
      </c>
      <c r="V102" s="122">
        <f t="shared" si="76"/>
        <v>4500</v>
      </c>
      <c r="W102" s="122">
        <f t="shared" si="76"/>
        <v>4500</v>
      </c>
      <c r="X102" s="122">
        <f t="shared" si="76"/>
        <v>4500</v>
      </c>
      <c r="Y102" s="122">
        <f t="shared" si="76"/>
        <v>4500</v>
      </c>
      <c r="Z102" s="122">
        <f t="shared" si="76"/>
        <v>4500</v>
      </c>
      <c r="AA102" s="122">
        <f t="shared" si="76"/>
        <v>4500</v>
      </c>
      <c r="AB102" s="122">
        <f t="shared" si="76"/>
        <v>4500</v>
      </c>
      <c r="AC102" s="122">
        <f t="shared" si="76"/>
        <v>4500</v>
      </c>
      <c r="AD102" s="122">
        <f t="shared" si="76"/>
        <v>4500</v>
      </c>
      <c r="AE102" s="122">
        <f t="shared" si="76"/>
        <v>4500</v>
      </c>
      <c r="AF102" s="122">
        <f t="shared" si="76"/>
        <v>4500</v>
      </c>
      <c r="AG102" s="122">
        <f t="shared" si="76"/>
        <v>4500</v>
      </c>
      <c r="AH102" s="122">
        <f t="shared" si="76"/>
        <v>4500</v>
      </c>
      <c r="AI102" s="122">
        <f t="shared" si="76"/>
        <v>4500</v>
      </c>
      <c r="AJ102" s="122">
        <f t="shared" si="76"/>
        <v>4500</v>
      </c>
      <c r="AK102" s="122">
        <f t="shared" si="76"/>
        <v>4500</v>
      </c>
      <c r="AL102" s="122">
        <f t="shared" si="76"/>
        <v>4500</v>
      </c>
      <c r="AM102" s="122">
        <f t="shared" si="76"/>
        <v>4500</v>
      </c>
      <c r="AN102" s="122">
        <f t="shared" si="76"/>
        <v>4500</v>
      </c>
      <c r="AO102" s="122">
        <f t="shared" si="76"/>
        <v>4500</v>
      </c>
      <c r="AP102" s="122">
        <f t="shared" si="76"/>
        <v>4500</v>
      </c>
      <c r="AQ102" s="122">
        <f t="shared" si="76"/>
        <v>4500</v>
      </c>
      <c r="AR102" s="122">
        <f t="shared" si="76"/>
        <v>4500</v>
      </c>
      <c r="AS102" s="122">
        <f t="shared" si="76"/>
        <v>4500</v>
      </c>
      <c r="AT102" s="122">
        <f t="shared" si="76"/>
        <v>4500</v>
      </c>
      <c r="AU102" s="122">
        <f t="shared" si="76"/>
        <v>4500</v>
      </c>
      <c r="AV102" s="122">
        <f t="shared" si="76"/>
        <v>4500</v>
      </c>
      <c r="AW102" s="122">
        <f t="shared" si="76"/>
        <v>4500</v>
      </c>
      <c r="AX102" s="122">
        <f t="shared" si="76"/>
        <v>4500</v>
      </c>
      <c r="AY102" s="122">
        <f t="shared" si="76"/>
        <v>4500</v>
      </c>
      <c r="AZ102" s="122">
        <f t="shared" si="76"/>
        <v>4500</v>
      </c>
      <c r="BA102" s="122">
        <f t="shared" si="76"/>
        <v>4500</v>
      </c>
      <c r="BB102" s="122">
        <f t="shared" si="76"/>
        <v>4500</v>
      </c>
      <c r="BC102" s="122">
        <f t="shared" si="76"/>
        <v>4500</v>
      </c>
      <c r="BD102" s="122">
        <f t="shared" si="76"/>
        <v>4500</v>
      </c>
      <c r="BE102" s="122">
        <f t="shared" si="76"/>
        <v>4500</v>
      </c>
      <c r="BF102" s="122">
        <f t="shared" si="76"/>
        <v>4500</v>
      </c>
      <c r="BG102" s="122">
        <f t="shared" si="76"/>
        <v>4500</v>
      </c>
      <c r="BH102" s="122">
        <f t="shared" si="76"/>
        <v>4500</v>
      </c>
      <c r="BI102" s="122">
        <f t="shared" si="76"/>
        <v>4500</v>
      </c>
      <c r="BJ102" s="122">
        <f t="shared" si="76"/>
        <v>4500</v>
      </c>
      <c r="BK102" s="122">
        <f t="shared" si="76"/>
        <v>4500</v>
      </c>
      <c r="BL102" s="122">
        <f t="shared" si="76"/>
        <v>4500</v>
      </c>
      <c r="BM102" s="122">
        <f t="shared" si="76"/>
        <v>4500</v>
      </c>
      <c r="BN102" s="122">
        <f t="shared" si="76"/>
        <v>4500</v>
      </c>
    </row>
    <row r="103" outlineLevel="1">
      <c r="A103" s="47"/>
      <c r="B103" s="123" t="s">
        <v>76</v>
      </c>
      <c r="C103" s="124">
        <v>100000.0</v>
      </c>
      <c r="D103" s="125">
        <v>0.2</v>
      </c>
      <c r="E103" s="126">
        <v>43831.0</v>
      </c>
      <c r="F103" s="122"/>
      <c r="G103" s="122">
        <f t="shared" ref="G103:BN103" si="77">IF(G$4&gt;=$E103,($C103/12)*(1+$D103),0)</f>
        <v>10000</v>
      </c>
      <c r="H103" s="122">
        <f t="shared" si="77"/>
        <v>10000</v>
      </c>
      <c r="I103" s="122">
        <f t="shared" si="77"/>
        <v>10000</v>
      </c>
      <c r="J103" s="122">
        <f t="shared" si="77"/>
        <v>10000</v>
      </c>
      <c r="K103" s="122">
        <f t="shared" si="77"/>
        <v>10000</v>
      </c>
      <c r="L103" s="122">
        <f t="shared" si="77"/>
        <v>10000</v>
      </c>
      <c r="M103" s="122">
        <f t="shared" si="77"/>
        <v>10000</v>
      </c>
      <c r="N103" s="122">
        <f t="shared" si="77"/>
        <v>10000</v>
      </c>
      <c r="O103" s="122">
        <f t="shared" si="77"/>
        <v>10000</v>
      </c>
      <c r="P103" s="122">
        <f t="shared" si="77"/>
        <v>10000</v>
      </c>
      <c r="Q103" s="122">
        <f t="shared" si="77"/>
        <v>10000</v>
      </c>
      <c r="R103" s="122">
        <f t="shared" si="77"/>
        <v>10000</v>
      </c>
      <c r="S103" s="122">
        <f t="shared" si="77"/>
        <v>10000</v>
      </c>
      <c r="T103" s="122">
        <f t="shared" si="77"/>
        <v>10000</v>
      </c>
      <c r="U103" s="122">
        <f t="shared" si="77"/>
        <v>10000</v>
      </c>
      <c r="V103" s="122">
        <f t="shared" si="77"/>
        <v>10000</v>
      </c>
      <c r="W103" s="122">
        <f t="shared" si="77"/>
        <v>10000</v>
      </c>
      <c r="X103" s="122">
        <f t="shared" si="77"/>
        <v>10000</v>
      </c>
      <c r="Y103" s="122">
        <f t="shared" si="77"/>
        <v>10000</v>
      </c>
      <c r="Z103" s="122">
        <f t="shared" si="77"/>
        <v>10000</v>
      </c>
      <c r="AA103" s="122">
        <f t="shared" si="77"/>
        <v>10000</v>
      </c>
      <c r="AB103" s="122">
        <f t="shared" si="77"/>
        <v>10000</v>
      </c>
      <c r="AC103" s="122">
        <f t="shared" si="77"/>
        <v>10000</v>
      </c>
      <c r="AD103" s="122">
        <f t="shared" si="77"/>
        <v>10000</v>
      </c>
      <c r="AE103" s="122">
        <f t="shared" si="77"/>
        <v>10000</v>
      </c>
      <c r="AF103" s="122">
        <f t="shared" si="77"/>
        <v>10000</v>
      </c>
      <c r="AG103" s="122">
        <f t="shared" si="77"/>
        <v>10000</v>
      </c>
      <c r="AH103" s="122">
        <f t="shared" si="77"/>
        <v>10000</v>
      </c>
      <c r="AI103" s="122">
        <f t="shared" si="77"/>
        <v>10000</v>
      </c>
      <c r="AJ103" s="122">
        <f t="shared" si="77"/>
        <v>10000</v>
      </c>
      <c r="AK103" s="122">
        <f t="shared" si="77"/>
        <v>10000</v>
      </c>
      <c r="AL103" s="122">
        <f t="shared" si="77"/>
        <v>10000</v>
      </c>
      <c r="AM103" s="122">
        <f t="shared" si="77"/>
        <v>10000</v>
      </c>
      <c r="AN103" s="122">
        <f t="shared" si="77"/>
        <v>10000</v>
      </c>
      <c r="AO103" s="122">
        <f t="shared" si="77"/>
        <v>10000</v>
      </c>
      <c r="AP103" s="122">
        <f t="shared" si="77"/>
        <v>10000</v>
      </c>
      <c r="AQ103" s="122">
        <f t="shared" si="77"/>
        <v>10000</v>
      </c>
      <c r="AR103" s="122">
        <f t="shared" si="77"/>
        <v>10000</v>
      </c>
      <c r="AS103" s="122">
        <f t="shared" si="77"/>
        <v>10000</v>
      </c>
      <c r="AT103" s="122">
        <f t="shared" si="77"/>
        <v>10000</v>
      </c>
      <c r="AU103" s="122">
        <f t="shared" si="77"/>
        <v>10000</v>
      </c>
      <c r="AV103" s="122">
        <f t="shared" si="77"/>
        <v>10000</v>
      </c>
      <c r="AW103" s="122">
        <f t="shared" si="77"/>
        <v>10000</v>
      </c>
      <c r="AX103" s="122">
        <f t="shared" si="77"/>
        <v>10000</v>
      </c>
      <c r="AY103" s="122">
        <f t="shared" si="77"/>
        <v>10000</v>
      </c>
      <c r="AZ103" s="122">
        <f t="shared" si="77"/>
        <v>10000</v>
      </c>
      <c r="BA103" s="122">
        <f t="shared" si="77"/>
        <v>10000</v>
      </c>
      <c r="BB103" s="122">
        <f t="shared" si="77"/>
        <v>10000</v>
      </c>
      <c r="BC103" s="122">
        <f t="shared" si="77"/>
        <v>10000</v>
      </c>
      <c r="BD103" s="122">
        <f t="shared" si="77"/>
        <v>10000</v>
      </c>
      <c r="BE103" s="122">
        <f t="shared" si="77"/>
        <v>10000</v>
      </c>
      <c r="BF103" s="122">
        <f t="shared" si="77"/>
        <v>10000</v>
      </c>
      <c r="BG103" s="122">
        <f t="shared" si="77"/>
        <v>10000</v>
      </c>
      <c r="BH103" s="122">
        <f t="shared" si="77"/>
        <v>10000</v>
      </c>
      <c r="BI103" s="122">
        <f t="shared" si="77"/>
        <v>10000</v>
      </c>
      <c r="BJ103" s="122">
        <f t="shared" si="77"/>
        <v>10000</v>
      </c>
      <c r="BK103" s="122">
        <f t="shared" si="77"/>
        <v>10000</v>
      </c>
      <c r="BL103" s="122">
        <f t="shared" si="77"/>
        <v>10000</v>
      </c>
      <c r="BM103" s="122">
        <f t="shared" si="77"/>
        <v>10000</v>
      </c>
      <c r="BN103" s="122">
        <f t="shared" si="77"/>
        <v>10000</v>
      </c>
    </row>
    <row r="104" outlineLevel="1">
      <c r="A104" s="47"/>
      <c r="B104" s="123" t="s">
        <v>77</v>
      </c>
      <c r="C104" s="124">
        <v>100000.0</v>
      </c>
      <c r="D104" s="125">
        <v>0.2</v>
      </c>
      <c r="E104" s="126">
        <v>43831.0</v>
      </c>
      <c r="F104" s="122"/>
      <c r="G104" s="122">
        <f t="shared" ref="G104:BN104" si="78">IF(G$4&gt;=$E104,($C104/12)*(1+$D104),0)</f>
        <v>10000</v>
      </c>
      <c r="H104" s="122">
        <f t="shared" si="78"/>
        <v>10000</v>
      </c>
      <c r="I104" s="122">
        <f t="shared" si="78"/>
        <v>10000</v>
      </c>
      <c r="J104" s="122">
        <f t="shared" si="78"/>
        <v>10000</v>
      </c>
      <c r="K104" s="122">
        <f t="shared" si="78"/>
        <v>10000</v>
      </c>
      <c r="L104" s="122">
        <f t="shared" si="78"/>
        <v>10000</v>
      </c>
      <c r="M104" s="122">
        <f t="shared" si="78"/>
        <v>10000</v>
      </c>
      <c r="N104" s="122">
        <f t="shared" si="78"/>
        <v>10000</v>
      </c>
      <c r="O104" s="122">
        <f t="shared" si="78"/>
        <v>10000</v>
      </c>
      <c r="P104" s="122">
        <f t="shared" si="78"/>
        <v>10000</v>
      </c>
      <c r="Q104" s="122">
        <f t="shared" si="78"/>
        <v>10000</v>
      </c>
      <c r="R104" s="122">
        <f t="shared" si="78"/>
        <v>10000</v>
      </c>
      <c r="S104" s="122">
        <f t="shared" si="78"/>
        <v>10000</v>
      </c>
      <c r="T104" s="122">
        <f t="shared" si="78"/>
        <v>10000</v>
      </c>
      <c r="U104" s="122">
        <f t="shared" si="78"/>
        <v>10000</v>
      </c>
      <c r="V104" s="122">
        <f t="shared" si="78"/>
        <v>10000</v>
      </c>
      <c r="W104" s="122">
        <f t="shared" si="78"/>
        <v>10000</v>
      </c>
      <c r="X104" s="122">
        <f t="shared" si="78"/>
        <v>10000</v>
      </c>
      <c r="Y104" s="122">
        <f t="shared" si="78"/>
        <v>10000</v>
      </c>
      <c r="Z104" s="122">
        <f t="shared" si="78"/>
        <v>10000</v>
      </c>
      <c r="AA104" s="122">
        <f t="shared" si="78"/>
        <v>10000</v>
      </c>
      <c r="AB104" s="122">
        <f t="shared" si="78"/>
        <v>10000</v>
      </c>
      <c r="AC104" s="122">
        <f t="shared" si="78"/>
        <v>10000</v>
      </c>
      <c r="AD104" s="122">
        <f t="shared" si="78"/>
        <v>10000</v>
      </c>
      <c r="AE104" s="122">
        <f t="shared" si="78"/>
        <v>10000</v>
      </c>
      <c r="AF104" s="122">
        <f t="shared" si="78"/>
        <v>10000</v>
      </c>
      <c r="AG104" s="122">
        <f t="shared" si="78"/>
        <v>10000</v>
      </c>
      <c r="AH104" s="122">
        <f t="shared" si="78"/>
        <v>10000</v>
      </c>
      <c r="AI104" s="122">
        <f t="shared" si="78"/>
        <v>10000</v>
      </c>
      <c r="AJ104" s="122">
        <f t="shared" si="78"/>
        <v>10000</v>
      </c>
      <c r="AK104" s="122">
        <f t="shared" si="78"/>
        <v>10000</v>
      </c>
      <c r="AL104" s="122">
        <f t="shared" si="78"/>
        <v>10000</v>
      </c>
      <c r="AM104" s="122">
        <f t="shared" si="78"/>
        <v>10000</v>
      </c>
      <c r="AN104" s="122">
        <f t="shared" si="78"/>
        <v>10000</v>
      </c>
      <c r="AO104" s="122">
        <f t="shared" si="78"/>
        <v>10000</v>
      </c>
      <c r="AP104" s="122">
        <f t="shared" si="78"/>
        <v>10000</v>
      </c>
      <c r="AQ104" s="122">
        <f t="shared" si="78"/>
        <v>10000</v>
      </c>
      <c r="AR104" s="122">
        <f t="shared" si="78"/>
        <v>10000</v>
      </c>
      <c r="AS104" s="122">
        <f t="shared" si="78"/>
        <v>10000</v>
      </c>
      <c r="AT104" s="122">
        <f t="shared" si="78"/>
        <v>10000</v>
      </c>
      <c r="AU104" s="122">
        <f t="shared" si="78"/>
        <v>10000</v>
      </c>
      <c r="AV104" s="122">
        <f t="shared" si="78"/>
        <v>10000</v>
      </c>
      <c r="AW104" s="122">
        <f t="shared" si="78"/>
        <v>10000</v>
      </c>
      <c r="AX104" s="122">
        <f t="shared" si="78"/>
        <v>10000</v>
      </c>
      <c r="AY104" s="122">
        <f t="shared" si="78"/>
        <v>10000</v>
      </c>
      <c r="AZ104" s="122">
        <f t="shared" si="78"/>
        <v>10000</v>
      </c>
      <c r="BA104" s="122">
        <f t="shared" si="78"/>
        <v>10000</v>
      </c>
      <c r="BB104" s="122">
        <f t="shared" si="78"/>
        <v>10000</v>
      </c>
      <c r="BC104" s="122">
        <f t="shared" si="78"/>
        <v>10000</v>
      </c>
      <c r="BD104" s="122">
        <f t="shared" si="78"/>
        <v>10000</v>
      </c>
      <c r="BE104" s="122">
        <f t="shared" si="78"/>
        <v>10000</v>
      </c>
      <c r="BF104" s="122">
        <f t="shared" si="78"/>
        <v>10000</v>
      </c>
      <c r="BG104" s="122">
        <f t="shared" si="78"/>
        <v>10000</v>
      </c>
      <c r="BH104" s="122">
        <f t="shared" si="78"/>
        <v>10000</v>
      </c>
      <c r="BI104" s="122">
        <f t="shared" si="78"/>
        <v>10000</v>
      </c>
      <c r="BJ104" s="122">
        <f t="shared" si="78"/>
        <v>10000</v>
      </c>
      <c r="BK104" s="122">
        <f t="shared" si="78"/>
        <v>10000</v>
      </c>
      <c r="BL104" s="122">
        <f t="shared" si="78"/>
        <v>10000</v>
      </c>
      <c r="BM104" s="122">
        <f t="shared" si="78"/>
        <v>10000</v>
      </c>
      <c r="BN104" s="122">
        <f t="shared" si="78"/>
        <v>10000</v>
      </c>
    </row>
    <row r="105" outlineLevel="1">
      <c r="A105" s="47"/>
      <c r="B105" s="123" t="s">
        <v>78</v>
      </c>
      <c r="C105" s="124">
        <v>100000.0</v>
      </c>
      <c r="D105" s="125">
        <v>0.2</v>
      </c>
      <c r="E105" s="126">
        <v>44075.0</v>
      </c>
      <c r="F105" s="122"/>
      <c r="G105" s="122">
        <f t="shared" ref="G105:BN105" si="79">IF(G$4&gt;=$E105,($C105/12)*(1+$D105),0)</f>
        <v>10000</v>
      </c>
      <c r="H105" s="122">
        <f t="shared" si="79"/>
        <v>10000</v>
      </c>
      <c r="I105" s="122">
        <f t="shared" si="79"/>
        <v>10000</v>
      </c>
      <c r="J105" s="122">
        <f t="shared" si="79"/>
        <v>10000</v>
      </c>
      <c r="K105" s="122">
        <f t="shared" si="79"/>
        <v>10000</v>
      </c>
      <c r="L105" s="122">
        <f t="shared" si="79"/>
        <v>10000</v>
      </c>
      <c r="M105" s="122">
        <f t="shared" si="79"/>
        <v>10000</v>
      </c>
      <c r="N105" s="122">
        <f t="shared" si="79"/>
        <v>10000</v>
      </c>
      <c r="O105" s="122">
        <f t="shared" si="79"/>
        <v>10000</v>
      </c>
      <c r="P105" s="122">
        <f t="shared" si="79"/>
        <v>10000</v>
      </c>
      <c r="Q105" s="122">
        <f t="shared" si="79"/>
        <v>10000</v>
      </c>
      <c r="R105" s="122">
        <f t="shared" si="79"/>
        <v>10000</v>
      </c>
      <c r="S105" s="122">
        <f t="shared" si="79"/>
        <v>10000</v>
      </c>
      <c r="T105" s="122">
        <f t="shared" si="79"/>
        <v>10000</v>
      </c>
      <c r="U105" s="122">
        <f t="shared" si="79"/>
        <v>10000</v>
      </c>
      <c r="V105" s="122">
        <f t="shared" si="79"/>
        <v>10000</v>
      </c>
      <c r="W105" s="122">
        <f t="shared" si="79"/>
        <v>10000</v>
      </c>
      <c r="X105" s="122">
        <f t="shared" si="79"/>
        <v>10000</v>
      </c>
      <c r="Y105" s="122">
        <f t="shared" si="79"/>
        <v>10000</v>
      </c>
      <c r="Z105" s="122">
        <f t="shared" si="79"/>
        <v>10000</v>
      </c>
      <c r="AA105" s="122">
        <f t="shared" si="79"/>
        <v>10000</v>
      </c>
      <c r="AB105" s="122">
        <f t="shared" si="79"/>
        <v>10000</v>
      </c>
      <c r="AC105" s="122">
        <f t="shared" si="79"/>
        <v>10000</v>
      </c>
      <c r="AD105" s="122">
        <f t="shared" si="79"/>
        <v>10000</v>
      </c>
      <c r="AE105" s="122">
        <f t="shared" si="79"/>
        <v>10000</v>
      </c>
      <c r="AF105" s="122">
        <f t="shared" si="79"/>
        <v>10000</v>
      </c>
      <c r="AG105" s="122">
        <f t="shared" si="79"/>
        <v>10000</v>
      </c>
      <c r="AH105" s="122">
        <f t="shared" si="79"/>
        <v>10000</v>
      </c>
      <c r="AI105" s="122">
        <f t="shared" si="79"/>
        <v>10000</v>
      </c>
      <c r="AJ105" s="122">
        <f t="shared" si="79"/>
        <v>10000</v>
      </c>
      <c r="AK105" s="122">
        <f t="shared" si="79"/>
        <v>10000</v>
      </c>
      <c r="AL105" s="122">
        <f t="shared" si="79"/>
        <v>10000</v>
      </c>
      <c r="AM105" s="122">
        <f t="shared" si="79"/>
        <v>10000</v>
      </c>
      <c r="AN105" s="122">
        <f t="shared" si="79"/>
        <v>10000</v>
      </c>
      <c r="AO105" s="122">
        <f t="shared" si="79"/>
        <v>10000</v>
      </c>
      <c r="AP105" s="122">
        <f t="shared" si="79"/>
        <v>10000</v>
      </c>
      <c r="AQ105" s="122">
        <f t="shared" si="79"/>
        <v>10000</v>
      </c>
      <c r="AR105" s="122">
        <f t="shared" si="79"/>
        <v>10000</v>
      </c>
      <c r="AS105" s="122">
        <f t="shared" si="79"/>
        <v>10000</v>
      </c>
      <c r="AT105" s="122">
        <f t="shared" si="79"/>
        <v>10000</v>
      </c>
      <c r="AU105" s="122">
        <f t="shared" si="79"/>
        <v>10000</v>
      </c>
      <c r="AV105" s="122">
        <f t="shared" si="79"/>
        <v>10000</v>
      </c>
      <c r="AW105" s="122">
        <f t="shared" si="79"/>
        <v>10000</v>
      </c>
      <c r="AX105" s="122">
        <f t="shared" si="79"/>
        <v>10000</v>
      </c>
      <c r="AY105" s="122">
        <f t="shared" si="79"/>
        <v>10000</v>
      </c>
      <c r="AZ105" s="122">
        <f t="shared" si="79"/>
        <v>10000</v>
      </c>
      <c r="BA105" s="122">
        <f t="shared" si="79"/>
        <v>10000</v>
      </c>
      <c r="BB105" s="122">
        <f t="shared" si="79"/>
        <v>10000</v>
      </c>
      <c r="BC105" s="122">
        <f t="shared" si="79"/>
        <v>10000</v>
      </c>
      <c r="BD105" s="122">
        <f t="shared" si="79"/>
        <v>10000</v>
      </c>
      <c r="BE105" s="122">
        <f t="shared" si="79"/>
        <v>10000</v>
      </c>
      <c r="BF105" s="122">
        <f t="shared" si="79"/>
        <v>10000</v>
      </c>
      <c r="BG105" s="122">
        <f t="shared" si="79"/>
        <v>10000</v>
      </c>
      <c r="BH105" s="122">
        <f t="shared" si="79"/>
        <v>10000</v>
      </c>
      <c r="BI105" s="122">
        <f t="shared" si="79"/>
        <v>10000</v>
      </c>
      <c r="BJ105" s="122">
        <f t="shared" si="79"/>
        <v>10000</v>
      </c>
      <c r="BK105" s="122">
        <f t="shared" si="79"/>
        <v>10000</v>
      </c>
      <c r="BL105" s="122">
        <f t="shared" si="79"/>
        <v>10000</v>
      </c>
      <c r="BM105" s="122">
        <f t="shared" si="79"/>
        <v>10000</v>
      </c>
      <c r="BN105" s="122">
        <f t="shared" si="79"/>
        <v>10000</v>
      </c>
    </row>
    <row r="106" outlineLevel="1">
      <c r="A106" s="47"/>
      <c r="B106" s="123" t="s">
        <v>79</v>
      </c>
      <c r="C106" s="124">
        <v>100000.0</v>
      </c>
      <c r="D106" s="125">
        <v>0.2</v>
      </c>
      <c r="E106" s="126">
        <v>43831.0</v>
      </c>
      <c r="F106" s="122"/>
      <c r="G106" s="122">
        <f t="shared" ref="G106:BN106" si="80">IF(G$4&gt;=$E106,($C106/12)*(1+$D106),0)</f>
        <v>10000</v>
      </c>
      <c r="H106" s="122">
        <f t="shared" si="80"/>
        <v>10000</v>
      </c>
      <c r="I106" s="122">
        <f t="shared" si="80"/>
        <v>10000</v>
      </c>
      <c r="J106" s="122">
        <f t="shared" si="80"/>
        <v>10000</v>
      </c>
      <c r="K106" s="122">
        <f t="shared" si="80"/>
        <v>10000</v>
      </c>
      <c r="L106" s="122">
        <f t="shared" si="80"/>
        <v>10000</v>
      </c>
      <c r="M106" s="122">
        <f t="shared" si="80"/>
        <v>10000</v>
      </c>
      <c r="N106" s="122">
        <f t="shared" si="80"/>
        <v>10000</v>
      </c>
      <c r="O106" s="122">
        <f t="shared" si="80"/>
        <v>10000</v>
      </c>
      <c r="P106" s="122">
        <f t="shared" si="80"/>
        <v>10000</v>
      </c>
      <c r="Q106" s="122">
        <f t="shared" si="80"/>
        <v>10000</v>
      </c>
      <c r="R106" s="122">
        <f t="shared" si="80"/>
        <v>10000</v>
      </c>
      <c r="S106" s="122">
        <f t="shared" si="80"/>
        <v>10000</v>
      </c>
      <c r="T106" s="122">
        <f t="shared" si="80"/>
        <v>10000</v>
      </c>
      <c r="U106" s="122">
        <f t="shared" si="80"/>
        <v>10000</v>
      </c>
      <c r="V106" s="122">
        <f t="shared" si="80"/>
        <v>10000</v>
      </c>
      <c r="W106" s="122">
        <f t="shared" si="80"/>
        <v>10000</v>
      </c>
      <c r="X106" s="122">
        <f t="shared" si="80"/>
        <v>10000</v>
      </c>
      <c r="Y106" s="122">
        <f t="shared" si="80"/>
        <v>10000</v>
      </c>
      <c r="Z106" s="122">
        <f t="shared" si="80"/>
        <v>10000</v>
      </c>
      <c r="AA106" s="122">
        <f t="shared" si="80"/>
        <v>10000</v>
      </c>
      <c r="AB106" s="122">
        <f t="shared" si="80"/>
        <v>10000</v>
      </c>
      <c r="AC106" s="122">
        <f t="shared" si="80"/>
        <v>10000</v>
      </c>
      <c r="AD106" s="122">
        <f t="shared" si="80"/>
        <v>10000</v>
      </c>
      <c r="AE106" s="122">
        <f t="shared" si="80"/>
        <v>10000</v>
      </c>
      <c r="AF106" s="122">
        <f t="shared" si="80"/>
        <v>10000</v>
      </c>
      <c r="AG106" s="122">
        <f t="shared" si="80"/>
        <v>10000</v>
      </c>
      <c r="AH106" s="122">
        <f t="shared" si="80"/>
        <v>10000</v>
      </c>
      <c r="AI106" s="122">
        <f t="shared" si="80"/>
        <v>10000</v>
      </c>
      <c r="AJ106" s="122">
        <f t="shared" si="80"/>
        <v>10000</v>
      </c>
      <c r="AK106" s="122">
        <f t="shared" si="80"/>
        <v>10000</v>
      </c>
      <c r="AL106" s="122">
        <f t="shared" si="80"/>
        <v>10000</v>
      </c>
      <c r="AM106" s="122">
        <f t="shared" si="80"/>
        <v>10000</v>
      </c>
      <c r="AN106" s="122">
        <f t="shared" si="80"/>
        <v>10000</v>
      </c>
      <c r="AO106" s="122">
        <f t="shared" si="80"/>
        <v>10000</v>
      </c>
      <c r="AP106" s="122">
        <f t="shared" si="80"/>
        <v>10000</v>
      </c>
      <c r="AQ106" s="122">
        <f t="shared" si="80"/>
        <v>10000</v>
      </c>
      <c r="AR106" s="122">
        <f t="shared" si="80"/>
        <v>10000</v>
      </c>
      <c r="AS106" s="122">
        <f t="shared" si="80"/>
        <v>10000</v>
      </c>
      <c r="AT106" s="122">
        <f t="shared" si="80"/>
        <v>10000</v>
      </c>
      <c r="AU106" s="122">
        <f t="shared" si="80"/>
        <v>10000</v>
      </c>
      <c r="AV106" s="122">
        <f t="shared" si="80"/>
        <v>10000</v>
      </c>
      <c r="AW106" s="122">
        <f t="shared" si="80"/>
        <v>10000</v>
      </c>
      <c r="AX106" s="122">
        <f t="shared" si="80"/>
        <v>10000</v>
      </c>
      <c r="AY106" s="122">
        <f t="shared" si="80"/>
        <v>10000</v>
      </c>
      <c r="AZ106" s="122">
        <f t="shared" si="80"/>
        <v>10000</v>
      </c>
      <c r="BA106" s="122">
        <f t="shared" si="80"/>
        <v>10000</v>
      </c>
      <c r="BB106" s="122">
        <f t="shared" si="80"/>
        <v>10000</v>
      </c>
      <c r="BC106" s="122">
        <f t="shared" si="80"/>
        <v>10000</v>
      </c>
      <c r="BD106" s="122">
        <f t="shared" si="80"/>
        <v>10000</v>
      </c>
      <c r="BE106" s="122">
        <f t="shared" si="80"/>
        <v>10000</v>
      </c>
      <c r="BF106" s="122">
        <f t="shared" si="80"/>
        <v>10000</v>
      </c>
      <c r="BG106" s="122">
        <f t="shared" si="80"/>
        <v>10000</v>
      </c>
      <c r="BH106" s="122">
        <f t="shared" si="80"/>
        <v>10000</v>
      </c>
      <c r="BI106" s="122">
        <f t="shared" si="80"/>
        <v>10000</v>
      </c>
      <c r="BJ106" s="122">
        <f t="shared" si="80"/>
        <v>10000</v>
      </c>
      <c r="BK106" s="122">
        <f t="shared" si="80"/>
        <v>10000</v>
      </c>
      <c r="BL106" s="122">
        <f t="shared" si="80"/>
        <v>10000</v>
      </c>
      <c r="BM106" s="122">
        <f t="shared" si="80"/>
        <v>10000</v>
      </c>
      <c r="BN106" s="122">
        <f t="shared" si="80"/>
        <v>10000</v>
      </c>
    </row>
    <row r="107" outlineLevel="1">
      <c r="A107" s="47"/>
      <c r="B107" s="123" t="s">
        <v>80</v>
      </c>
      <c r="C107" s="124">
        <v>100000.0</v>
      </c>
      <c r="D107" s="125">
        <v>0.2</v>
      </c>
      <c r="E107" s="126">
        <v>43891.0</v>
      </c>
      <c r="F107" s="122"/>
      <c r="G107" s="122">
        <f t="shared" ref="G107:BN107" si="81">IF(G$4&gt;=$E107,($C107/12)*(1+$D107),0)</f>
        <v>10000</v>
      </c>
      <c r="H107" s="122">
        <f t="shared" si="81"/>
        <v>10000</v>
      </c>
      <c r="I107" s="122">
        <f t="shared" si="81"/>
        <v>10000</v>
      </c>
      <c r="J107" s="122">
        <f t="shared" si="81"/>
        <v>10000</v>
      </c>
      <c r="K107" s="122">
        <f t="shared" si="81"/>
        <v>10000</v>
      </c>
      <c r="L107" s="122">
        <f t="shared" si="81"/>
        <v>10000</v>
      </c>
      <c r="M107" s="122">
        <f t="shared" si="81"/>
        <v>10000</v>
      </c>
      <c r="N107" s="122">
        <f t="shared" si="81"/>
        <v>10000</v>
      </c>
      <c r="O107" s="122">
        <f t="shared" si="81"/>
        <v>10000</v>
      </c>
      <c r="P107" s="122">
        <f t="shared" si="81"/>
        <v>10000</v>
      </c>
      <c r="Q107" s="122">
        <f t="shared" si="81"/>
        <v>10000</v>
      </c>
      <c r="R107" s="122">
        <f t="shared" si="81"/>
        <v>10000</v>
      </c>
      <c r="S107" s="122">
        <f t="shared" si="81"/>
        <v>10000</v>
      </c>
      <c r="T107" s="122">
        <f t="shared" si="81"/>
        <v>10000</v>
      </c>
      <c r="U107" s="122">
        <f t="shared" si="81"/>
        <v>10000</v>
      </c>
      <c r="V107" s="122">
        <f t="shared" si="81"/>
        <v>10000</v>
      </c>
      <c r="W107" s="122">
        <f t="shared" si="81"/>
        <v>10000</v>
      </c>
      <c r="X107" s="122">
        <f t="shared" si="81"/>
        <v>10000</v>
      </c>
      <c r="Y107" s="122">
        <f t="shared" si="81"/>
        <v>10000</v>
      </c>
      <c r="Z107" s="122">
        <f t="shared" si="81"/>
        <v>10000</v>
      </c>
      <c r="AA107" s="122">
        <f t="shared" si="81"/>
        <v>10000</v>
      </c>
      <c r="AB107" s="122">
        <f t="shared" si="81"/>
        <v>10000</v>
      </c>
      <c r="AC107" s="122">
        <f t="shared" si="81"/>
        <v>10000</v>
      </c>
      <c r="AD107" s="122">
        <f t="shared" si="81"/>
        <v>10000</v>
      </c>
      <c r="AE107" s="122">
        <f t="shared" si="81"/>
        <v>10000</v>
      </c>
      <c r="AF107" s="122">
        <f t="shared" si="81"/>
        <v>10000</v>
      </c>
      <c r="AG107" s="122">
        <f t="shared" si="81"/>
        <v>10000</v>
      </c>
      <c r="AH107" s="122">
        <f t="shared" si="81"/>
        <v>10000</v>
      </c>
      <c r="AI107" s="122">
        <f t="shared" si="81"/>
        <v>10000</v>
      </c>
      <c r="AJ107" s="122">
        <f t="shared" si="81"/>
        <v>10000</v>
      </c>
      <c r="AK107" s="122">
        <f t="shared" si="81"/>
        <v>10000</v>
      </c>
      <c r="AL107" s="122">
        <f t="shared" si="81"/>
        <v>10000</v>
      </c>
      <c r="AM107" s="122">
        <f t="shared" si="81"/>
        <v>10000</v>
      </c>
      <c r="AN107" s="122">
        <f t="shared" si="81"/>
        <v>10000</v>
      </c>
      <c r="AO107" s="122">
        <f t="shared" si="81"/>
        <v>10000</v>
      </c>
      <c r="AP107" s="122">
        <f t="shared" si="81"/>
        <v>10000</v>
      </c>
      <c r="AQ107" s="122">
        <f t="shared" si="81"/>
        <v>10000</v>
      </c>
      <c r="AR107" s="122">
        <f t="shared" si="81"/>
        <v>10000</v>
      </c>
      <c r="AS107" s="122">
        <f t="shared" si="81"/>
        <v>10000</v>
      </c>
      <c r="AT107" s="122">
        <f t="shared" si="81"/>
        <v>10000</v>
      </c>
      <c r="AU107" s="122">
        <f t="shared" si="81"/>
        <v>10000</v>
      </c>
      <c r="AV107" s="122">
        <f t="shared" si="81"/>
        <v>10000</v>
      </c>
      <c r="AW107" s="122">
        <f t="shared" si="81"/>
        <v>10000</v>
      </c>
      <c r="AX107" s="122">
        <f t="shared" si="81"/>
        <v>10000</v>
      </c>
      <c r="AY107" s="122">
        <f t="shared" si="81"/>
        <v>10000</v>
      </c>
      <c r="AZ107" s="122">
        <f t="shared" si="81"/>
        <v>10000</v>
      </c>
      <c r="BA107" s="122">
        <f t="shared" si="81"/>
        <v>10000</v>
      </c>
      <c r="BB107" s="122">
        <f t="shared" si="81"/>
        <v>10000</v>
      </c>
      <c r="BC107" s="122">
        <f t="shared" si="81"/>
        <v>10000</v>
      </c>
      <c r="BD107" s="122">
        <f t="shared" si="81"/>
        <v>10000</v>
      </c>
      <c r="BE107" s="122">
        <f t="shared" si="81"/>
        <v>10000</v>
      </c>
      <c r="BF107" s="122">
        <f t="shared" si="81"/>
        <v>10000</v>
      </c>
      <c r="BG107" s="122">
        <f t="shared" si="81"/>
        <v>10000</v>
      </c>
      <c r="BH107" s="122">
        <f t="shared" si="81"/>
        <v>10000</v>
      </c>
      <c r="BI107" s="122">
        <f t="shared" si="81"/>
        <v>10000</v>
      </c>
      <c r="BJ107" s="122">
        <f t="shared" si="81"/>
        <v>10000</v>
      </c>
      <c r="BK107" s="122">
        <f t="shared" si="81"/>
        <v>10000</v>
      </c>
      <c r="BL107" s="122">
        <f t="shared" si="81"/>
        <v>10000</v>
      </c>
      <c r="BM107" s="122">
        <f t="shared" si="81"/>
        <v>10000</v>
      </c>
      <c r="BN107" s="122">
        <f t="shared" si="81"/>
        <v>10000</v>
      </c>
    </row>
    <row r="108" outlineLevel="1">
      <c r="A108" s="47"/>
      <c r="B108" s="123" t="s">
        <v>81</v>
      </c>
      <c r="C108" s="124">
        <v>75000.0</v>
      </c>
      <c r="D108" s="125">
        <v>0.2</v>
      </c>
      <c r="E108" s="126">
        <v>43983.0</v>
      </c>
      <c r="F108" s="122"/>
      <c r="G108" s="122">
        <f t="shared" ref="G108:BN108" si="82">IF(G$4&gt;=$E108,($C108/12)*(1+$D108),0)</f>
        <v>7500</v>
      </c>
      <c r="H108" s="122">
        <f t="shared" si="82"/>
        <v>7500</v>
      </c>
      <c r="I108" s="122">
        <f t="shared" si="82"/>
        <v>7500</v>
      </c>
      <c r="J108" s="122">
        <f t="shared" si="82"/>
        <v>7500</v>
      </c>
      <c r="K108" s="122">
        <f t="shared" si="82"/>
        <v>7500</v>
      </c>
      <c r="L108" s="122">
        <f t="shared" si="82"/>
        <v>7500</v>
      </c>
      <c r="M108" s="122">
        <f t="shared" si="82"/>
        <v>7500</v>
      </c>
      <c r="N108" s="122">
        <f t="shared" si="82"/>
        <v>7500</v>
      </c>
      <c r="O108" s="122">
        <f t="shared" si="82"/>
        <v>7500</v>
      </c>
      <c r="P108" s="122">
        <f t="shared" si="82"/>
        <v>7500</v>
      </c>
      <c r="Q108" s="122">
        <f t="shared" si="82"/>
        <v>7500</v>
      </c>
      <c r="R108" s="122">
        <f t="shared" si="82"/>
        <v>7500</v>
      </c>
      <c r="S108" s="122">
        <f t="shared" si="82"/>
        <v>7500</v>
      </c>
      <c r="T108" s="122">
        <f t="shared" si="82"/>
        <v>7500</v>
      </c>
      <c r="U108" s="122">
        <f t="shared" si="82"/>
        <v>7500</v>
      </c>
      <c r="V108" s="122">
        <f t="shared" si="82"/>
        <v>7500</v>
      </c>
      <c r="W108" s="122">
        <f t="shared" si="82"/>
        <v>7500</v>
      </c>
      <c r="X108" s="122">
        <f t="shared" si="82"/>
        <v>7500</v>
      </c>
      <c r="Y108" s="122">
        <f t="shared" si="82"/>
        <v>7500</v>
      </c>
      <c r="Z108" s="122">
        <f t="shared" si="82"/>
        <v>7500</v>
      </c>
      <c r="AA108" s="122">
        <f t="shared" si="82"/>
        <v>7500</v>
      </c>
      <c r="AB108" s="122">
        <f t="shared" si="82"/>
        <v>7500</v>
      </c>
      <c r="AC108" s="122">
        <f t="shared" si="82"/>
        <v>7500</v>
      </c>
      <c r="AD108" s="122">
        <f t="shared" si="82"/>
        <v>7500</v>
      </c>
      <c r="AE108" s="122">
        <f t="shared" si="82"/>
        <v>7500</v>
      </c>
      <c r="AF108" s="122">
        <f t="shared" si="82"/>
        <v>7500</v>
      </c>
      <c r="AG108" s="122">
        <f t="shared" si="82"/>
        <v>7500</v>
      </c>
      <c r="AH108" s="122">
        <f t="shared" si="82"/>
        <v>7500</v>
      </c>
      <c r="AI108" s="122">
        <f t="shared" si="82"/>
        <v>7500</v>
      </c>
      <c r="AJ108" s="122">
        <f t="shared" si="82"/>
        <v>7500</v>
      </c>
      <c r="AK108" s="122">
        <f t="shared" si="82"/>
        <v>7500</v>
      </c>
      <c r="AL108" s="122">
        <f t="shared" si="82"/>
        <v>7500</v>
      </c>
      <c r="AM108" s="122">
        <f t="shared" si="82"/>
        <v>7500</v>
      </c>
      <c r="AN108" s="122">
        <f t="shared" si="82"/>
        <v>7500</v>
      </c>
      <c r="AO108" s="122">
        <f t="shared" si="82"/>
        <v>7500</v>
      </c>
      <c r="AP108" s="122">
        <f t="shared" si="82"/>
        <v>7500</v>
      </c>
      <c r="AQ108" s="122">
        <f t="shared" si="82"/>
        <v>7500</v>
      </c>
      <c r="AR108" s="122">
        <f t="shared" si="82"/>
        <v>7500</v>
      </c>
      <c r="AS108" s="122">
        <f t="shared" si="82"/>
        <v>7500</v>
      </c>
      <c r="AT108" s="122">
        <f t="shared" si="82"/>
        <v>7500</v>
      </c>
      <c r="AU108" s="122">
        <f t="shared" si="82"/>
        <v>7500</v>
      </c>
      <c r="AV108" s="122">
        <f t="shared" si="82"/>
        <v>7500</v>
      </c>
      <c r="AW108" s="122">
        <f t="shared" si="82"/>
        <v>7500</v>
      </c>
      <c r="AX108" s="122">
        <f t="shared" si="82"/>
        <v>7500</v>
      </c>
      <c r="AY108" s="122">
        <f t="shared" si="82"/>
        <v>7500</v>
      </c>
      <c r="AZ108" s="122">
        <f t="shared" si="82"/>
        <v>7500</v>
      </c>
      <c r="BA108" s="122">
        <f t="shared" si="82"/>
        <v>7500</v>
      </c>
      <c r="BB108" s="122">
        <f t="shared" si="82"/>
        <v>7500</v>
      </c>
      <c r="BC108" s="122">
        <f t="shared" si="82"/>
        <v>7500</v>
      </c>
      <c r="BD108" s="122">
        <f t="shared" si="82"/>
        <v>7500</v>
      </c>
      <c r="BE108" s="122">
        <f t="shared" si="82"/>
        <v>7500</v>
      </c>
      <c r="BF108" s="122">
        <f t="shared" si="82"/>
        <v>7500</v>
      </c>
      <c r="BG108" s="122">
        <f t="shared" si="82"/>
        <v>7500</v>
      </c>
      <c r="BH108" s="122">
        <f t="shared" si="82"/>
        <v>7500</v>
      </c>
      <c r="BI108" s="122">
        <f t="shared" si="82"/>
        <v>7500</v>
      </c>
      <c r="BJ108" s="122">
        <f t="shared" si="82"/>
        <v>7500</v>
      </c>
      <c r="BK108" s="122">
        <f t="shared" si="82"/>
        <v>7500</v>
      </c>
      <c r="BL108" s="122">
        <f t="shared" si="82"/>
        <v>7500</v>
      </c>
      <c r="BM108" s="122">
        <f t="shared" si="82"/>
        <v>7500</v>
      </c>
      <c r="BN108" s="122">
        <f t="shared" si="82"/>
        <v>7500</v>
      </c>
    </row>
    <row r="109" outlineLevel="1">
      <c r="A109" s="47"/>
      <c r="B109" s="123" t="s">
        <v>82</v>
      </c>
      <c r="C109" s="124">
        <v>50000.0</v>
      </c>
      <c r="D109" s="125">
        <v>0.2</v>
      </c>
      <c r="E109" s="126">
        <v>44075.0</v>
      </c>
      <c r="F109" s="122"/>
      <c r="G109" s="122">
        <f t="shared" ref="G109:BN109" si="83">IF(G$4&gt;=$E109,($C109/12)*(1+$D109),0)</f>
        <v>5000</v>
      </c>
      <c r="H109" s="122">
        <f t="shared" si="83"/>
        <v>5000</v>
      </c>
      <c r="I109" s="122">
        <f t="shared" si="83"/>
        <v>5000</v>
      </c>
      <c r="J109" s="122">
        <f t="shared" si="83"/>
        <v>5000</v>
      </c>
      <c r="K109" s="122">
        <f t="shared" si="83"/>
        <v>5000</v>
      </c>
      <c r="L109" s="122">
        <f t="shared" si="83"/>
        <v>5000</v>
      </c>
      <c r="M109" s="122">
        <f t="shared" si="83"/>
        <v>5000</v>
      </c>
      <c r="N109" s="122">
        <f t="shared" si="83"/>
        <v>5000</v>
      </c>
      <c r="O109" s="122">
        <f t="shared" si="83"/>
        <v>5000</v>
      </c>
      <c r="P109" s="122">
        <f t="shared" si="83"/>
        <v>5000</v>
      </c>
      <c r="Q109" s="122">
        <f t="shared" si="83"/>
        <v>5000</v>
      </c>
      <c r="R109" s="122">
        <f t="shared" si="83"/>
        <v>5000</v>
      </c>
      <c r="S109" s="122">
        <f t="shared" si="83"/>
        <v>5000</v>
      </c>
      <c r="T109" s="122">
        <f t="shared" si="83"/>
        <v>5000</v>
      </c>
      <c r="U109" s="122">
        <f t="shared" si="83"/>
        <v>5000</v>
      </c>
      <c r="V109" s="122">
        <f t="shared" si="83"/>
        <v>5000</v>
      </c>
      <c r="W109" s="122">
        <f t="shared" si="83"/>
        <v>5000</v>
      </c>
      <c r="X109" s="122">
        <f t="shared" si="83"/>
        <v>5000</v>
      </c>
      <c r="Y109" s="122">
        <f t="shared" si="83"/>
        <v>5000</v>
      </c>
      <c r="Z109" s="122">
        <f t="shared" si="83"/>
        <v>5000</v>
      </c>
      <c r="AA109" s="122">
        <f t="shared" si="83"/>
        <v>5000</v>
      </c>
      <c r="AB109" s="122">
        <f t="shared" si="83"/>
        <v>5000</v>
      </c>
      <c r="AC109" s="122">
        <f t="shared" si="83"/>
        <v>5000</v>
      </c>
      <c r="AD109" s="122">
        <f t="shared" si="83"/>
        <v>5000</v>
      </c>
      <c r="AE109" s="122">
        <f t="shared" si="83"/>
        <v>5000</v>
      </c>
      <c r="AF109" s="122">
        <f t="shared" si="83"/>
        <v>5000</v>
      </c>
      <c r="AG109" s="122">
        <f t="shared" si="83"/>
        <v>5000</v>
      </c>
      <c r="AH109" s="122">
        <f t="shared" si="83"/>
        <v>5000</v>
      </c>
      <c r="AI109" s="122">
        <f t="shared" si="83"/>
        <v>5000</v>
      </c>
      <c r="AJ109" s="122">
        <f t="shared" si="83"/>
        <v>5000</v>
      </c>
      <c r="AK109" s="122">
        <f t="shared" si="83"/>
        <v>5000</v>
      </c>
      <c r="AL109" s="122">
        <f t="shared" si="83"/>
        <v>5000</v>
      </c>
      <c r="AM109" s="122">
        <f t="shared" si="83"/>
        <v>5000</v>
      </c>
      <c r="AN109" s="122">
        <f t="shared" si="83"/>
        <v>5000</v>
      </c>
      <c r="AO109" s="122">
        <f t="shared" si="83"/>
        <v>5000</v>
      </c>
      <c r="AP109" s="122">
        <f t="shared" si="83"/>
        <v>5000</v>
      </c>
      <c r="AQ109" s="122">
        <f t="shared" si="83"/>
        <v>5000</v>
      </c>
      <c r="AR109" s="122">
        <f t="shared" si="83"/>
        <v>5000</v>
      </c>
      <c r="AS109" s="122">
        <f t="shared" si="83"/>
        <v>5000</v>
      </c>
      <c r="AT109" s="122">
        <f t="shared" si="83"/>
        <v>5000</v>
      </c>
      <c r="AU109" s="122">
        <f t="shared" si="83"/>
        <v>5000</v>
      </c>
      <c r="AV109" s="122">
        <f t="shared" si="83"/>
        <v>5000</v>
      </c>
      <c r="AW109" s="122">
        <f t="shared" si="83"/>
        <v>5000</v>
      </c>
      <c r="AX109" s="122">
        <f t="shared" si="83"/>
        <v>5000</v>
      </c>
      <c r="AY109" s="122">
        <f t="shared" si="83"/>
        <v>5000</v>
      </c>
      <c r="AZ109" s="122">
        <f t="shared" si="83"/>
        <v>5000</v>
      </c>
      <c r="BA109" s="122">
        <f t="shared" si="83"/>
        <v>5000</v>
      </c>
      <c r="BB109" s="122">
        <f t="shared" si="83"/>
        <v>5000</v>
      </c>
      <c r="BC109" s="122">
        <f t="shared" si="83"/>
        <v>5000</v>
      </c>
      <c r="BD109" s="122">
        <f t="shared" si="83"/>
        <v>5000</v>
      </c>
      <c r="BE109" s="122">
        <f t="shared" si="83"/>
        <v>5000</v>
      </c>
      <c r="BF109" s="122">
        <f t="shared" si="83"/>
        <v>5000</v>
      </c>
      <c r="BG109" s="122">
        <f t="shared" si="83"/>
        <v>5000</v>
      </c>
      <c r="BH109" s="122">
        <f t="shared" si="83"/>
        <v>5000</v>
      </c>
      <c r="BI109" s="122">
        <f t="shared" si="83"/>
        <v>5000</v>
      </c>
      <c r="BJ109" s="122">
        <f t="shared" si="83"/>
        <v>5000</v>
      </c>
      <c r="BK109" s="122">
        <f t="shared" si="83"/>
        <v>5000</v>
      </c>
      <c r="BL109" s="122">
        <f t="shared" si="83"/>
        <v>5000</v>
      </c>
      <c r="BM109" s="122">
        <f t="shared" si="83"/>
        <v>5000</v>
      </c>
      <c r="BN109" s="122">
        <f t="shared" si="83"/>
        <v>5000</v>
      </c>
    </row>
    <row r="110" outlineLevel="1">
      <c r="A110" s="47"/>
      <c r="B110" s="123" t="s">
        <v>83</v>
      </c>
      <c r="C110" s="124">
        <v>80000.0</v>
      </c>
      <c r="D110" s="125">
        <v>0.2</v>
      </c>
      <c r="E110" s="126">
        <v>44166.0</v>
      </c>
      <c r="F110" s="122"/>
      <c r="G110" s="122">
        <f t="shared" ref="G110:BN110" si="84">IF(G$4&gt;=$E110,($C110/12)*(1+$D110),0)</f>
        <v>8000</v>
      </c>
      <c r="H110" s="122">
        <f t="shared" si="84"/>
        <v>8000</v>
      </c>
      <c r="I110" s="122">
        <f t="shared" si="84"/>
        <v>8000</v>
      </c>
      <c r="J110" s="122">
        <f t="shared" si="84"/>
        <v>8000</v>
      </c>
      <c r="K110" s="122">
        <f t="shared" si="84"/>
        <v>8000</v>
      </c>
      <c r="L110" s="122">
        <f t="shared" si="84"/>
        <v>8000</v>
      </c>
      <c r="M110" s="122">
        <f t="shared" si="84"/>
        <v>8000</v>
      </c>
      <c r="N110" s="122">
        <f t="shared" si="84"/>
        <v>8000</v>
      </c>
      <c r="O110" s="122">
        <f t="shared" si="84"/>
        <v>8000</v>
      </c>
      <c r="P110" s="122">
        <f t="shared" si="84"/>
        <v>8000</v>
      </c>
      <c r="Q110" s="122">
        <f t="shared" si="84"/>
        <v>8000</v>
      </c>
      <c r="R110" s="122">
        <f t="shared" si="84"/>
        <v>8000</v>
      </c>
      <c r="S110" s="122">
        <f t="shared" si="84"/>
        <v>8000</v>
      </c>
      <c r="T110" s="122">
        <f t="shared" si="84"/>
        <v>8000</v>
      </c>
      <c r="U110" s="122">
        <f t="shared" si="84"/>
        <v>8000</v>
      </c>
      <c r="V110" s="122">
        <f t="shared" si="84"/>
        <v>8000</v>
      </c>
      <c r="W110" s="122">
        <f t="shared" si="84"/>
        <v>8000</v>
      </c>
      <c r="X110" s="122">
        <f t="shared" si="84"/>
        <v>8000</v>
      </c>
      <c r="Y110" s="122">
        <f t="shared" si="84"/>
        <v>8000</v>
      </c>
      <c r="Z110" s="122">
        <f t="shared" si="84"/>
        <v>8000</v>
      </c>
      <c r="AA110" s="122">
        <f t="shared" si="84"/>
        <v>8000</v>
      </c>
      <c r="AB110" s="122">
        <f t="shared" si="84"/>
        <v>8000</v>
      </c>
      <c r="AC110" s="122">
        <f t="shared" si="84"/>
        <v>8000</v>
      </c>
      <c r="AD110" s="122">
        <f t="shared" si="84"/>
        <v>8000</v>
      </c>
      <c r="AE110" s="122">
        <f t="shared" si="84"/>
        <v>8000</v>
      </c>
      <c r="AF110" s="122">
        <f t="shared" si="84"/>
        <v>8000</v>
      </c>
      <c r="AG110" s="122">
        <f t="shared" si="84"/>
        <v>8000</v>
      </c>
      <c r="AH110" s="122">
        <f t="shared" si="84"/>
        <v>8000</v>
      </c>
      <c r="AI110" s="122">
        <f t="shared" si="84"/>
        <v>8000</v>
      </c>
      <c r="AJ110" s="122">
        <f t="shared" si="84"/>
        <v>8000</v>
      </c>
      <c r="AK110" s="122">
        <f t="shared" si="84"/>
        <v>8000</v>
      </c>
      <c r="AL110" s="122">
        <f t="shared" si="84"/>
        <v>8000</v>
      </c>
      <c r="AM110" s="122">
        <f t="shared" si="84"/>
        <v>8000</v>
      </c>
      <c r="AN110" s="122">
        <f t="shared" si="84"/>
        <v>8000</v>
      </c>
      <c r="AO110" s="122">
        <f t="shared" si="84"/>
        <v>8000</v>
      </c>
      <c r="AP110" s="122">
        <f t="shared" si="84"/>
        <v>8000</v>
      </c>
      <c r="AQ110" s="122">
        <f t="shared" si="84"/>
        <v>8000</v>
      </c>
      <c r="AR110" s="122">
        <f t="shared" si="84"/>
        <v>8000</v>
      </c>
      <c r="AS110" s="122">
        <f t="shared" si="84"/>
        <v>8000</v>
      </c>
      <c r="AT110" s="122">
        <f t="shared" si="84"/>
        <v>8000</v>
      </c>
      <c r="AU110" s="122">
        <f t="shared" si="84"/>
        <v>8000</v>
      </c>
      <c r="AV110" s="122">
        <f t="shared" si="84"/>
        <v>8000</v>
      </c>
      <c r="AW110" s="122">
        <f t="shared" si="84"/>
        <v>8000</v>
      </c>
      <c r="AX110" s="122">
        <f t="shared" si="84"/>
        <v>8000</v>
      </c>
      <c r="AY110" s="122">
        <f t="shared" si="84"/>
        <v>8000</v>
      </c>
      <c r="AZ110" s="122">
        <f t="shared" si="84"/>
        <v>8000</v>
      </c>
      <c r="BA110" s="122">
        <f t="shared" si="84"/>
        <v>8000</v>
      </c>
      <c r="BB110" s="122">
        <f t="shared" si="84"/>
        <v>8000</v>
      </c>
      <c r="BC110" s="122">
        <f t="shared" si="84"/>
        <v>8000</v>
      </c>
      <c r="BD110" s="122">
        <f t="shared" si="84"/>
        <v>8000</v>
      </c>
      <c r="BE110" s="122">
        <f t="shared" si="84"/>
        <v>8000</v>
      </c>
      <c r="BF110" s="122">
        <f t="shared" si="84"/>
        <v>8000</v>
      </c>
      <c r="BG110" s="122">
        <f t="shared" si="84"/>
        <v>8000</v>
      </c>
      <c r="BH110" s="122">
        <f t="shared" si="84"/>
        <v>8000</v>
      </c>
      <c r="BI110" s="122">
        <f t="shared" si="84"/>
        <v>8000</v>
      </c>
      <c r="BJ110" s="122">
        <f t="shared" si="84"/>
        <v>8000</v>
      </c>
      <c r="BK110" s="122">
        <f t="shared" si="84"/>
        <v>8000</v>
      </c>
      <c r="BL110" s="122">
        <f t="shared" si="84"/>
        <v>8000</v>
      </c>
      <c r="BM110" s="122">
        <f t="shared" si="84"/>
        <v>8000</v>
      </c>
      <c r="BN110" s="122">
        <f t="shared" si="84"/>
        <v>8000</v>
      </c>
    </row>
    <row r="111" outlineLevel="1">
      <c r="A111" s="47"/>
      <c r="B111" s="123" t="s">
        <v>84</v>
      </c>
      <c r="C111" s="124">
        <v>90000.0</v>
      </c>
      <c r="D111" s="125">
        <v>0.2</v>
      </c>
      <c r="E111" s="126">
        <v>44256.0</v>
      </c>
      <c r="F111" s="122"/>
      <c r="G111" s="122">
        <f t="shared" ref="G111:BN111" si="85">IF(G$4&gt;=$E111,($C111/12)*(1+$D111),0)</f>
        <v>9000</v>
      </c>
      <c r="H111" s="122">
        <f t="shared" si="85"/>
        <v>9000</v>
      </c>
      <c r="I111" s="122">
        <f t="shared" si="85"/>
        <v>9000</v>
      </c>
      <c r="J111" s="122">
        <f t="shared" si="85"/>
        <v>9000</v>
      </c>
      <c r="K111" s="122">
        <f t="shared" si="85"/>
        <v>9000</v>
      </c>
      <c r="L111" s="122">
        <f t="shared" si="85"/>
        <v>9000</v>
      </c>
      <c r="M111" s="122">
        <f t="shared" si="85"/>
        <v>9000</v>
      </c>
      <c r="N111" s="122">
        <f t="shared" si="85"/>
        <v>9000</v>
      </c>
      <c r="O111" s="122">
        <f t="shared" si="85"/>
        <v>9000</v>
      </c>
      <c r="P111" s="122">
        <f t="shared" si="85"/>
        <v>9000</v>
      </c>
      <c r="Q111" s="122">
        <f t="shared" si="85"/>
        <v>9000</v>
      </c>
      <c r="R111" s="122">
        <f t="shared" si="85"/>
        <v>9000</v>
      </c>
      <c r="S111" s="122">
        <f t="shared" si="85"/>
        <v>9000</v>
      </c>
      <c r="T111" s="122">
        <f t="shared" si="85"/>
        <v>9000</v>
      </c>
      <c r="U111" s="122">
        <f t="shared" si="85"/>
        <v>9000</v>
      </c>
      <c r="V111" s="122">
        <f t="shared" si="85"/>
        <v>9000</v>
      </c>
      <c r="W111" s="122">
        <f t="shared" si="85"/>
        <v>9000</v>
      </c>
      <c r="X111" s="122">
        <f t="shared" si="85"/>
        <v>9000</v>
      </c>
      <c r="Y111" s="122">
        <f t="shared" si="85"/>
        <v>9000</v>
      </c>
      <c r="Z111" s="122">
        <f t="shared" si="85"/>
        <v>9000</v>
      </c>
      <c r="AA111" s="122">
        <f t="shared" si="85"/>
        <v>9000</v>
      </c>
      <c r="AB111" s="122">
        <f t="shared" si="85"/>
        <v>9000</v>
      </c>
      <c r="AC111" s="122">
        <f t="shared" si="85"/>
        <v>9000</v>
      </c>
      <c r="AD111" s="122">
        <f t="shared" si="85"/>
        <v>9000</v>
      </c>
      <c r="AE111" s="122">
        <f t="shared" si="85"/>
        <v>9000</v>
      </c>
      <c r="AF111" s="122">
        <f t="shared" si="85"/>
        <v>9000</v>
      </c>
      <c r="AG111" s="122">
        <f t="shared" si="85"/>
        <v>9000</v>
      </c>
      <c r="AH111" s="122">
        <f t="shared" si="85"/>
        <v>9000</v>
      </c>
      <c r="AI111" s="122">
        <f t="shared" si="85"/>
        <v>9000</v>
      </c>
      <c r="AJ111" s="122">
        <f t="shared" si="85"/>
        <v>9000</v>
      </c>
      <c r="AK111" s="122">
        <f t="shared" si="85"/>
        <v>9000</v>
      </c>
      <c r="AL111" s="122">
        <f t="shared" si="85"/>
        <v>9000</v>
      </c>
      <c r="AM111" s="122">
        <f t="shared" si="85"/>
        <v>9000</v>
      </c>
      <c r="AN111" s="122">
        <f t="shared" si="85"/>
        <v>9000</v>
      </c>
      <c r="AO111" s="122">
        <f t="shared" si="85"/>
        <v>9000</v>
      </c>
      <c r="AP111" s="122">
        <f t="shared" si="85"/>
        <v>9000</v>
      </c>
      <c r="AQ111" s="122">
        <f t="shared" si="85"/>
        <v>9000</v>
      </c>
      <c r="AR111" s="122">
        <f t="shared" si="85"/>
        <v>9000</v>
      </c>
      <c r="AS111" s="122">
        <f t="shared" si="85"/>
        <v>9000</v>
      </c>
      <c r="AT111" s="122">
        <f t="shared" si="85"/>
        <v>9000</v>
      </c>
      <c r="AU111" s="122">
        <f t="shared" si="85"/>
        <v>9000</v>
      </c>
      <c r="AV111" s="122">
        <f t="shared" si="85"/>
        <v>9000</v>
      </c>
      <c r="AW111" s="122">
        <f t="shared" si="85"/>
        <v>9000</v>
      </c>
      <c r="AX111" s="122">
        <f t="shared" si="85"/>
        <v>9000</v>
      </c>
      <c r="AY111" s="122">
        <f t="shared" si="85"/>
        <v>9000</v>
      </c>
      <c r="AZ111" s="122">
        <f t="shared" si="85"/>
        <v>9000</v>
      </c>
      <c r="BA111" s="122">
        <f t="shared" si="85"/>
        <v>9000</v>
      </c>
      <c r="BB111" s="122">
        <f t="shared" si="85"/>
        <v>9000</v>
      </c>
      <c r="BC111" s="122">
        <f t="shared" si="85"/>
        <v>9000</v>
      </c>
      <c r="BD111" s="122">
        <f t="shared" si="85"/>
        <v>9000</v>
      </c>
      <c r="BE111" s="122">
        <f t="shared" si="85"/>
        <v>9000</v>
      </c>
      <c r="BF111" s="122">
        <f t="shared" si="85"/>
        <v>9000</v>
      </c>
      <c r="BG111" s="122">
        <f t="shared" si="85"/>
        <v>9000</v>
      </c>
      <c r="BH111" s="122">
        <f t="shared" si="85"/>
        <v>9000</v>
      </c>
      <c r="BI111" s="122">
        <f t="shared" si="85"/>
        <v>9000</v>
      </c>
      <c r="BJ111" s="122">
        <f t="shared" si="85"/>
        <v>9000</v>
      </c>
      <c r="BK111" s="122">
        <f t="shared" si="85"/>
        <v>9000</v>
      </c>
      <c r="BL111" s="122">
        <f t="shared" si="85"/>
        <v>9000</v>
      </c>
      <c r="BM111" s="122">
        <f t="shared" si="85"/>
        <v>9000</v>
      </c>
      <c r="BN111" s="122">
        <f t="shared" si="85"/>
        <v>9000</v>
      </c>
    </row>
    <row r="112" outlineLevel="1">
      <c r="A112" s="47"/>
      <c r="B112" s="123" t="s">
        <v>85</v>
      </c>
      <c r="C112" s="124">
        <v>45000.0</v>
      </c>
      <c r="D112" s="125">
        <v>0.2</v>
      </c>
      <c r="E112" s="126">
        <v>44348.0</v>
      </c>
      <c r="F112" s="122"/>
      <c r="G112" s="122">
        <f t="shared" ref="G112:BN112" si="86">IF(G$4&gt;=$E112,($C112/12)*(1+$D112),0)</f>
        <v>4500</v>
      </c>
      <c r="H112" s="122">
        <f t="shared" si="86"/>
        <v>4500</v>
      </c>
      <c r="I112" s="122">
        <f t="shared" si="86"/>
        <v>4500</v>
      </c>
      <c r="J112" s="122">
        <f t="shared" si="86"/>
        <v>4500</v>
      </c>
      <c r="K112" s="122">
        <f t="shared" si="86"/>
        <v>4500</v>
      </c>
      <c r="L112" s="122">
        <f t="shared" si="86"/>
        <v>4500</v>
      </c>
      <c r="M112" s="122">
        <f t="shared" si="86"/>
        <v>4500</v>
      </c>
      <c r="N112" s="122">
        <f t="shared" si="86"/>
        <v>4500</v>
      </c>
      <c r="O112" s="122">
        <f t="shared" si="86"/>
        <v>4500</v>
      </c>
      <c r="P112" s="122">
        <f t="shared" si="86"/>
        <v>4500</v>
      </c>
      <c r="Q112" s="122">
        <f t="shared" si="86"/>
        <v>4500</v>
      </c>
      <c r="R112" s="122">
        <f t="shared" si="86"/>
        <v>4500</v>
      </c>
      <c r="S112" s="122">
        <f t="shared" si="86"/>
        <v>4500</v>
      </c>
      <c r="T112" s="122">
        <f t="shared" si="86"/>
        <v>4500</v>
      </c>
      <c r="U112" s="122">
        <f t="shared" si="86"/>
        <v>4500</v>
      </c>
      <c r="V112" s="122">
        <f t="shared" si="86"/>
        <v>4500</v>
      </c>
      <c r="W112" s="122">
        <f t="shared" si="86"/>
        <v>4500</v>
      </c>
      <c r="X112" s="122">
        <f t="shared" si="86"/>
        <v>4500</v>
      </c>
      <c r="Y112" s="122">
        <f t="shared" si="86"/>
        <v>4500</v>
      </c>
      <c r="Z112" s="122">
        <f t="shared" si="86"/>
        <v>4500</v>
      </c>
      <c r="AA112" s="122">
        <f t="shared" si="86"/>
        <v>4500</v>
      </c>
      <c r="AB112" s="122">
        <f t="shared" si="86"/>
        <v>4500</v>
      </c>
      <c r="AC112" s="122">
        <f t="shared" si="86"/>
        <v>4500</v>
      </c>
      <c r="AD112" s="122">
        <f t="shared" si="86"/>
        <v>4500</v>
      </c>
      <c r="AE112" s="122">
        <f t="shared" si="86"/>
        <v>4500</v>
      </c>
      <c r="AF112" s="122">
        <f t="shared" si="86"/>
        <v>4500</v>
      </c>
      <c r="AG112" s="122">
        <f t="shared" si="86"/>
        <v>4500</v>
      </c>
      <c r="AH112" s="122">
        <f t="shared" si="86"/>
        <v>4500</v>
      </c>
      <c r="AI112" s="122">
        <f t="shared" si="86"/>
        <v>4500</v>
      </c>
      <c r="AJ112" s="122">
        <f t="shared" si="86"/>
        <v>4500</v>
      </c>
      <c r="AK112" s="122">
        <f t="shared" si="86"/>
        <v>4500</v>
      </c>
      <c r="AL112" s="122">
        <f t="shared" si="86"/>
        <v>4500</v>
      </c>
      <c r="AM112" s="122">
        <f t="shared" si="86"/>
        <v>4500</v>
      </c>
      <c r="AN112" s="122">
        <f t="shared" si="86"/>
        <v>4500</v>
      </c>
      <c r="AO112" s="122">
        <f t="shared" si="86"/>
        <v>4500</v>
      </c>
      <c r="AP112" s="122">
        <f t="shared" si="86"/>
        <v>4500</v>
      </c>
      <c r="AQ112" s="122">
        <f t="shared" si="86"/>
        <v>4500</v>
      </c>
      <c r="AR112" s="122">
        <f t="shared" si="86"/>
        <v>4500</v>
      </c>
      <c r="AS112" s="122">
        <f t="shared" si="86"/>
        <v>4500</v>
      </c>
      <c r="AT112" s="122">
        <f t="shared" si="86"/>
        <v>4500</v>
      </c>
      <c r="AU112" s="122">
        <f t="shared" si="86"/>
        <v>4500</v>
      </c>
      <c r="AV112" s="122">
        <f t="shared" si="86"/>
        <v>4500</v>
      </c>
      <c r="AW112" s="122">
        <f t="shared" si="86"/>
        <v>4500</v>
      </c>
      <c r="AX112" s="122">
        <f t="shared" si="86"/>
        <v>4500</v>
      </c>
      <c r="AY112" s="122">
        <f t="shared" si="86"/>
        <v>4500</v>
      </c>
      <c r="AZ112" s="122">
        <f t="shared" si="86"/>
        <v>4500</v>
      </c>
      <c r="BA112" s="122">
        <f t="shared" si="86"/>
        <v>4500</v>
      </c>
      <c r="BB112" s="122">
        <f t="shared" si="86"/>
        <v>4500</v>
      </c>
      <c r="BC112" s="122">
        <f t="shared" si="86"/>
        <v>4500</v>
      </c>
      <c r="BD112" s="122">
        <f t="shared" si="86"/>
        <v>4500</v>
      </c>
      <c r="BE112" s="122">
        <f t="shared" si="86"/>
        <v>4500</v>
      </c>
      <c r="BF112" s="122">
        <f t="shared" si="86"/>
        <v>4500</v>
      </c>
      <c r="BG112" s="122">
        <f t="shared" si="86"/>
        <v>4500</v>
      </c>
      <c r="BH112" s="122">
        <f t="shared" si="86"/>
        <v>4500</v>
      </c>
      <c r="BI112" s="122">
        <f t="shared" si="86"/>
        <v>4500</v>
      </c>
      <c r="BJ112" s="122">
        <f t="shared" si="86"/>
        <v>4500</v>
      </c>
      <c r="BK112" s="122">
        <f t="shared" si="86"/>
        <v>4500</v>
      </c>
      <c r="BL112" s="122">
        <f t="shared" si="86"/>
        <v>4500</v>
      </c>
      <c r="BM112" s="122">
        <f t="shared" si="86"/>
        <v>4500</v>
      </c>
      <c r="BN112" s="122">
        <f t="shared" si="86"/>
        <v>4500</v>
      </c>
    </row>
    <row r="113" outlineLevel="1">
      <c r="A113" s="47"/>
      <c r="B113" s="123" t="s">
        <v>86</v>
      </c>
      <c r="C113" s="124">
        <v>75000.0</v>
      </c>
      <c r="D113" s="125">
        <v>0.2</v>
      </c>
      <c r="E113" s="126">
        <v>43983.0</v>
      </c>
      <c r="F113" s="122"/>
      <c r="G113" s="122">
        <f t="shared" ref="G113:BN113" si="87">IF(G$4&gt;=$E113,($C113/12)*(1+$D113),0)</f>
        <v>7500</v>
      </c>
      <c r="H113" s="122">
        <f t="shared" si="87"/>
        <v>7500</v>
      </c>
      <c r="I113" s="122">
        <f t="shared" si="87"/>
        <v>7500</v>
      </c>
      <c r="J113" s="122">
        <f t="shared" si="87"/>
        <v>7500</v>
      </c>
      <c r="K113" s="122">
        <f t="shared" si="87"/>
        <v>7500</v>
      </c>
      <c r="L113" s="122">
        <f t="shared" si="87"/>
        <v>7500</v>
      </c>
      <c r="M113" s="122">
        <f t="shared" si="87"/>
        <v>7500</v>
      </c>
      <c r="N113" s="122">
        <f t="shared" si="87"/>
        <v>7500</v>
      </c>
      <c r="O113" s="122">
        <f t="shared" si="87"/>
        <v>7500</v>
      </c>
      <c r="P113" s="122">
        <f t="shared" si="87"/>
        <v>7500</v>
      </c>
      <c r="Q113" s="122">
        <f t="shared" si="87"/>
        <v>7500</v>
      </c>
      <c r="R113" s="122">
        <f t="shared" si="87"/>
        <v>7500</v>
      </c>
      <c r="S113" s="122">
        <f t="shared" si="87"/>
        <v>7500</v>
      </c>
      <c r="T113" s="122">
        <f t="shared" si="87"/>
        <v>7500</v>
      </c>
      <c r="U113" s="122">
        <f t="shared" si="87"/>
        <v>7500</v>
      </c>
      <c r="V113" s="122">
        <f t="shared" si="87"/>
        <v>7500</v>
      </c>
      <c r="W113" s="122">
        <f t="shared" si="87"/>
        <v>7500</v>
      </c>
      <c r="X113" s="122">
        <f t="shared" si="87"/>
        <v>7500</v>
      </c>
      <c r="Y113" s="122">
        <f t="shared" si="87"/>
        <v>7500</v>
      </c>
      <c r="Z113" s="122">
        <f t="shared" si="87"/>
        <v>7500</v>
      </c>
      <c r="AA113" s="122">
        <f t="shared" si="87"/>
        <v>7500</v>
      </c>
      <c r="AB113" s="122">
        <f t="shared" si="87"/>
        <v>7500</v>
      </c>
      <c r="AC113" s="122">
        <f t="shared" si="87"/>
        <v>7500</v>
      </c>
      <c r="AD113" s="122">
        <f t="shared" si="87"/>
        <v>7500</v>
      </c>
      <c r="AE113" s="122">
        <f t="shared" si="87"/>
        <v>7500</v>
      </c>
      <c r="AF113" s="122">
        <f t="shared" si="87"/>
        <v>7500</v>
      </c>
      <c r="AG113" s="122">
        <f t="shared" si="87"/>
        <v>7500</v>
      </c>
      <c r="AH113" s="122">
        <f t="shared" si="87"/>
        <v>7500</v>
      </c>
      <c r="AI113" s="122">
        <f t="shared" si="87"/>
        <v>7500</v>
      </c>
      <c r="AJ113" s="122">
        <f t="shared" si="87"/>
        <v>7500</v>
      </c>
      <c r="AK113" s="122">
        <f t="shared" si="87"/>
        <v>7500</v>
      </c>
      <c r="AL113" s="122">
        <f t="shared" si="87"/>
        <v>7500</v>
      </c>
      <c r="AM113" s="122">
        <f t="shared" si="87"/>
        <v>7500</v>
      </c>
      <c r="AN113" s="122">
        <f t="shared" si="87"/>
        <v>7500</v>
      </c>
      <c r="AO113" s="122">
        <f t="shared" si="87"/>
        <v>7500</v>
      </c>
      <c r="AP113" s="122">
        <f t="shared" si="87"/>
        <v>7500</v>
      </c>
      <c r="AQ113" s="122">
        <f t="shared" si="87"/>
        <v>7500</v>
      </c>
      <c r="AR113" s="122">
        <f t="shared" si="87"/>
        <v>7500</v>
      </c>
      <c r="AS113" s="122">
        <f t="shared" si="87"/>
        <v>7500</v>
      </c>
      <c r="AT113" s="122">
        <f t="shared" si="87"/>
        <v>7500</v>
      </c>
      <c r="AU113" s="122">
        <f t="shared" si="87"/>
        <v>7500</v>
      </c>
      <c r="AV113" s="122">
        <f t="shared" si="87"/>
        <v>7500</v>
      </c>
      <c r="AW113" s="122">
        <f t="shared" si="87"/>
        <v>7500</v>
      </c>
      <c r="AX113" s="122">
        <f t="shared" si="87"/>
        <v>7500</v>
      </c>
      <c r="AY113" s="122">
        <f t="shared" si="87"/>
        <v>7500</v>
      </c>
      <c r="AZ113" s="122">
        <f t="shared" si="87"/>
        <v>7500</v>
      </c>
      <c r="BA113" s="122">
        <f t="shared" si="87"/>
        <v>7500</v>
      </c>
      <c r="BB113" s="122">
        <f t="shared" si="87"/>
        <v>7500</v>
      </c>
      <c r="BC113" s="122">
        <f t="shared" si="87"/>
        <v>7500</v>
      </c>
      <c r="BD113" s="122">
        <f t="shared" si="87"/>
        <v>7500</v>
      </c>
      <c r="BE113" s="122">
        <f t="shared" si="87"/>
        <v>7500</v>
      </c>
      <c r="BF113" s="122">
        <f t="shared" si="87"/>
        <v>7500</v>
      </c>
      <c r="BG113" s="122">
        <f t="shared" si="87"/>
        <v>7500</v>
      </c>
      <c r="BH113" s="122">
        <f t="shared" si="87"/>
        <v>7500</v>
      </c>
      <c r="BI113" s="122">
        <f t="shared" si="87"/>
        <v>7500</v>
      </c>
      <c r="BJ113" s="122">
        <f t="shared" si="87"/>
        <v>7500</v>
      </c>
      <c r="BK113" s="122">
        <f t="shared" si="87"/>
        <v>7500</v>
      </c>
      <c r="BL113" s="122">
        <f t="shared" si="87"/>
        <v>7500</v>
      </c>
      <c r="BM113" s="122">
        <f t="shared" si="87"/>
        <v>7500</v>
      </c>
      <c r="BN113" s="122">
        <f t="shared" si="87"/>
        <v>7500</v>
      </c>
    </row>
    <row r="114" outlineLevel="1">
      <c r="A114" s="47"/>
      <c r="B114" s="123" t="s">
        <v>87</v>
      </c>
      <c r="C114" s="124">
        <v>50000.0</v>
      </c>
      <c r="D114" s="125">
        <v>0.2</v>
      </c>
      <c r="E114" s="126">
        <v>44075.0</v>
      </c>
      <c r="F114" s="122"/>
      <c r="G114" s="122">
        <f t="shared" ref="G114:BN114" si="88">IF(G$4&gt;=$E114,($C114/12)*(1+$D114),0)</f>
        <v>5000</v>
      </c>
      <c r="H114" s="122">
        <f t="shared" si="88"/>
        <v>5000</v>
      </c>
      <c r="I114" s="122">
        <f t="shared" si="88"/>
        <v>5000</v>
      </c>
      <c r="J114" s="122">
        <f t="shared" si="88"/>
        <v>5000</v>
      </c>
      <c r="K114" s="122">
        <f t="shared" si="88"/>
        <v>5000</v>
      </c>
      <c r="L114" s="122">
        <f t="shared" si="88"/>
        <v>5000</v>
      </c>
      <c r="M114" s="122">
        <f t="shared" si="88"/>
        <v>5000</v>
      </c>
      <c r="N114" s="122">
        <f t="shared" si="88"/>
        <v>5000</v>
      </c>
      <c r="O114" s="122">
        <f t="shared" si="88"/>
        <v>5000</v>
      </c>
      <c r="P114" s="122">
        <f t="shared" si="88"/>
        <v>5000</v>
      </c>
      <c r="Q114" s="122">
        <f t="shared" si="88"/>
        <v>5000</v>
      </c>
      <c r="R114" s="122">
        <f t="shared" si="88"/>
        <v>5000</v>
      </c>
      <c r="S114" s="122">
        <f t="shared" si="88"/>
        <v>5000</v>
      </c>
      <c r="T114" s="122">
        <f t="shared" si="88"/>
        <v>5000</v>
      </c>
      <c r="U114" s="122">
        <f t="shared" si="88"/>
        <v>5000</v>
      </c>
      <c r="V114" s="122">
        <f t="shared" si="88"/>
        <v>5000</v>
      </c>
      <c r="W114" s="122">
        <f t="shared" si="88"/>
        <v>5000</v>
      </c>
      <c r="X114" s="122">
        <f t="shared" si="88"/>
        <v>5000</v>
      </c>
      <c r="Y114" s="122">
        <f t="shared" si="88"/>
        <v>5000</v>
      </c>
      <c r="Z114" s="122">
        <f t="shared" si="88"/>
        <v>5000</v>
      </c>
      <c r="AA114" s="122">
        <f t="shared" si="88"/>
        <v>5000</v>
      </c>
      <c r="AB114" s="122">
        <f t="shared" si="88"/>
        <v>5000</v>
      </c>
      <c r="AC114" s="122">
        <f t="shared" si="88"/>
        <v>5000</v>
      </c>
      <c r="AD114" s="122">
        <f t="shared" si="88"/>
        <v>5000</v>
      </c>
      <c r="AE114" s="122">
        <f t="shared" si="88"/>
        <v>5000</v>
      </c>
      <c r="AF114" s="122">
        <f t="shared" si="88"/>
        <v>5000</v>
      </c>
      <c r="AG114" s="122">
        <f t="shared" si="88"/>
        <v>5000</v>
      </c>
      <c r="AH114" s="122">
        <f t="shared" si="88"/>
        <v>5000</v>
      </c>
      <c r="AI114" s="122">
        <f t="shared" si="88"/>
        <v>5000</v>
      </c>
      <c r="AJ114" s="122">
        <f t="shared" si="88"/>
        <v>5000</v>
      </c>
      <c r="AK114" s="122">
        <f t="shared" si="88"/>
        <v>5000</v>
      </c>
      <c r="AL114" s="122">
        <f t="shared" si="88"/>
        <v>5000</v>
      </c>
      <c r="AM114" s="122">
        <f t="shared" si="88"/>
        <v>5000</v>
      </c>
      <c r="AN114" s="122">
        <f t="shared" si="88"/>
        <v>5000</v>
      </c>
      <c r="AO114" s="122">
        <f t="shared" si="88"/>
        <v>5000</v>
      </c>
      <c r="AP114" s="122">
        <f t="shared" si="88"/>
        <v>5000</v>
      </c>
      <c r="AQ114" s="122">
        <f t="shared" si="88"/>
        <v>5000</v>
      </c>
      <c r="AR114" s="122">
        <f t="shared" si="88"/>
        <v>5000</v>
      </c>
      <c r="AS114" s="122">
        <f t="shared" si="88"/>
        <v>5000</v>
      </c>
      <c r="AT114" s="122">
        <f t="shared" si="88"/>
        <v>5000</v>
      </c>
      <c r="AU114" s="122">
        <f t="shared" si="88"/>
        <v>5000</v>
      </c>
      <c r="AV114" s="122">
        <f t="shared" si="88"/>
        <v>5000</v>
      </c>
      <c r="AW114" s="122">
        <f t="shared" si="88"/>
        <v>5000</v>
      </c>
      <c r="AX114" s="122">
        <f t="shared" si="88"/>
        <v>5000</v>
      </c>
      <c r="AY114" s="122">
        <f t="shared" si="88"/>
        <v>5000</v>
      </c>
      <c r="AZ114" s="122">
        <f t="shared" si="88"/>
        <v>5000</v>
      </c>
      <c r="BA114" s="122">
        <f t="shared" si="88"/>
        <v>5000</v>
      </c>
      <c r="BB114" s="122">
        <f t="shared" si="88"/>
        <v>5000</v>
      </c>
      <c r="BC114" s="122">
        <f t="shared" si="88"/>
        <v>5000</v>
      </c>
      <c r="BD114" s="122">
        <f t="shared" si="88"/>
        <v>5000</v>
      </c>
      <c r="BE114" s="122">
        <f t="shared" si="88"/>
        <v>5000</v>
      </c>
      <c r="BF114" s="122">
        <f t="shared" si="88"/>
        <v>5000</v>
      </c>
      <c r="BG114" s="122">
        <f t="shared" si="88"/>
        <v>5000</v>
      </c>
      <c r="BH114" s="122">
        <f t="shared" si="88"/>
        <v>5000</v>
      </c>
      <c r="BI114" s="122">
        <f t="shared" si="88"/>
        <v>5000</v>
      </c>
      <c r="BJ114" s="122">
        <f t="shared" si="88"/>
        <v>5000</v>
      </c>
      <c r="BK114" s="122">
        <f t="shared" si="88"/>
        <v>5000</v>
      </c>
      <c r="BL114" s="122">
        <f t="shared" si="88"/>
        <v>5000</v>
      </c>
      <c r="BM114" s="122">
        <f t="shared" si="88"/>
        <v>5000</v>
      </c>
      <c r="BN114" s="122">
        <f t="shared" si="88"/>
        <v>5000</v>
      </c>
    </row>
    <row r="115" outlineLevel="1">
      <c r="A115" s="47"/>
      <c r="B115" s="123" t="s">
        <v>88</v>
      </c>
      <c r="C115" s="124">
        <v>80000.0</v>
      </c>
      <c r="D115" s="125">
        <v>0.2</v>
      </c>
      <c r="E115" s="126">
        <v>44166.0</v>
      </c>
      <c r="F115" s="122"/>
      <c r="G115" s="122">
        <f t="shared" ref="G115:BN115" si="89">IF(G$4&gt;=$E115,($C115/12)*(1+$D115),0)</f>
        <v>8000</v>
      </c>
      <c r="H115" s="122">
        <f t="shared" si="89"/>
        <v>8000</v>
      </c>
      <c r="I115" s="122">
        <f t="shared" si="89"/>
        <v>8000</v>
      </c>
      <c r="J115" s="122">
        <f t="shared" si="89"/>
        <v>8000</v>
      </c>
      <c r="K115" s="122">
        <f t="shared" si="89"/>
        <v>8000</v>
      </c>
      <c r="L115" s="122">
        <f t="shared" si="89"/>
        <v>8000</v>
      </c>
      <c r="M115" s="122">
        <f t="shared" si="89"/>
        <v>8000</v>
      </c>
      <c r="N115" s="122">
        <f t="shared" si="89"/>
        <v>8000</v>
      </c>
      <c r="O115" s="122">
        <f t="shared" si="89"/>
        <v>8000</v>
      </c>
      <c r="P115" s="122">
        <f t="shared" si="89"/>
        <v>8000</v>
      </c>
      <c r="Q115" s="122">
        <f t="shared" si="89"/>
        <v>8000</v>
      </c>
      <c r="R115" s="122">
        <f t="shared" si="89"/>
        <v>8000</v>
      </c>
      <c r="S115" s="122">
        <f t="shared" si="89"/>
        <v>8000</v>
      </c>
      <c r="T115" s="122">
        <f t="shared" si="89"/>
        <v>8000</v>
      </c>
      <c r="U115" s="122">
        <f t="shared" si="89"/>
        <v>8000</v>
      </c>
      <c r="V115" s="122">
        <f t="shared" si="89"/>
        <v>8000</v>
      </c>
      <c r="W115" s="122">
        <f t="shared" si="89"/>
        <v>8000</v>
      </c>
      <c r="X115" s="122">
        <f t="shared" si="89"/>
        <v>8000</v>
      </c>
      <c r="Y115" s="122">
        <f t="shared" si="89"/>
        <v>8000</v>
      </c>
      <c r="Z115" s="122">
        <f t="shared" si="89"/>
        <v>8000</v>
      </c>
      <c r="AA115" s="122">
        <f t="shared" si="89"/>
        <v>8000</v>
      </c>
      <c r="AB115" s="122">
        <f t="shared" si="89"/>
        <v>8000</v>
      </c>
      <c r="AC115" s="122">
        <f t="shared" si="89"/>
        <v>8000</v>
      </c>
      <c r="AD115" s="122">
        <f t="shared" si="89"/>
        <v>8000</v>
      </c>
      <c r="AE115" s="122">
        <f t="shared" si="89"/>
        <v>8000</v>
      </c>
      <c r="AF115" s="122">
        <f t="shared" si="89"/>
        <v>8000</v>
      </c>
      <c r="AG115" s="122">
        <f t="shared" si="89"/>
        <v>8000</v>
      </c>
      <c r="AH115" s="122">
        <f t="shared" si="89"/>
        <v>8000</v>
      </c>
      <c r="AI115" s="122">
        <f t="shared" si="89"/>
        <v>8000</v>
      </c>
      <c r="AJ115" s="122">
        <f t="shared" si="89"/>
        <v>8000</v>
      </c>
      <c r="AK115" s="122">
        <f t="shared" si="89"/>
        <v>8000</v>
      </c>
      <c r="AL115" s="122">
        <f t="shared" si="89"/>
        <v>8000</v>
      </c>
      <c r="AM115" s="122">
        <f t="shared" si="89"/>
        <v>8000</v>
      </c>
      <c r="AN115" s="122">
        <f t="shared" si="89"/>
        <v>8000</v>
      </c>
      <c r="AO115" s="122">
        <f t="shared" si="89"/>
        <v>8000</v>
      </c>
      <c r="AP115" s="122">
        <f t="shared" si="89"/>
        <v>8000</v>
      </c>
      <c r="AQ115" s="122">
        <f t="shared" si="89"/>
        <v>8000</v>
      </c>
      <c r="AR115" s="122">
        <f t="shared" si="89"/>
        <v>8000</v>
      </c>
      <c r="AS115" s="122">
        <f t="shared" si="89"/>
        <v>8000</v>
      </c>
      <c r="AT115" s="122">
        <f t="shared" si="89"/>
        <v>8000</v>
      </c>
      <c r="AU115" s="122">
        <f t="shared" si="89"/>
        <v>8000</v>
      </c>
      <c r="AV115" s="122">
        <f t="shared" si="89"/>
        <v>8000</v>
      </c>
      <c r="AW115" s="122">
        <f t="shared" si="89"/>
        <v>8000</v>
      </c>
      <c r="AX115" s="122">
        <f t="shared" si="89"/>
        <v>8000</v>
      </c>
      <c r="AY115" s="122">
        <f t="shared" si="89"/>
        <v>8000</v>
      </c>
      <c r="AZ115" s="122">
        <f t="shared" si="89"/>
        <v>8000</v>
      </c>
      <c r="BA115" s="122">
        <f t="shared" si="89"/>
        <v>8000</v>
      </c>
      <c r="BB115" s="122">
        <f t="shared" si="89"/>
        <v>8000</v>
      </c>
      <c r="BC115" s="122">
        <f t="shared" si="89"/>
        <v>8000</v>
      </c>
      <c r="BD115" s="122">
        <f t="shared" si="89"/>
        <v>8000</v>
      </c>
      <c r="BE115" s="122">
        <f t="shared" si="89"/>
        <v>8000</v>
      </c>
      <c r="BF115" s="122">
        <f t="shared" si="89"/>
        <v>8000</v>
      </c>
      <c r="BG115" s="122">
        <f t="shared" si="89"/>
        <v>8000</v>
      </c>
      <c r="BH115" s="122">
        <f t="shared" si="89"/>
        <v>8000</v>
      </c>
      <c r="BI115" s="122">
        <f t="shared" si="89"/>
        <v>8000</v>
      </c>
      <c r="BJ115" s="122">
        <f t="shared" si="89"/>
        <v>8000</v>
      </c>
      <c r="BK115" s="122">
        <f t="shared" si="89"/>
        <v>8000</v>
      </c>
      <c r="BL115" s="122">
        <f t="shared" si="89"/>
        <v>8000</v>
      </c>
      <c r="BM115" s="122">
        <f t="shared" si="89"/>
        <v>8000</v>
      </c>
      <c r="BN115" s="122">
        <f t="shared" si="89"/>
        <v>8000</v>
      </c>
    </row>
    <row r="116" outlineLevel="1">
      <c r="A116" s="47"/>
      <c r="B116" s="123" t="s">
        <v>89</v>
      </c>
      <c r="C116" s="124">
        <v>90000.0</v>
      </c>
      <c r="D116" s="125">
        <v>0.2</v>
      </c>
      <c r="E116" s="126">
        <v>44256.0</v>
      </c>
      <c r="F116" s="122"/>
      <c r="G116" s="122">
        <f t="shared" ref="G116:BN116" si="90">IF(G$4&gt;=$E116,($C116/12)*(1+$D116),0)</f>
        <v>9000</v>
      </c>
      <c r="H116" s="122">
        <f t="shared" si="90"/>
        <v>9000</v>
      </c>
      <c r="I116" s="122">
        <f t="shared" si="90"/>
        <v>9000</v>
      </c>
      <c r="J116" s="122">
        <f t="shared" si="90"/>
        <v>9000</v>
      </c>
      <c r="K116" s="122">
        <f t="shared" si="90"/>
        <v>9000</v>
      </c>
      <c r="L116" s="122">
        <f t="shared" si="90"/>
        <v>9000</v>
      </c>
      <c r="M116" s="122">
        <f t="shared" si="90"/>
        <v>9000</v>
      </c>
      <c r="N116" s="122">
        <f t="shared" si="90"/>
        <v>9000</v>
      </c>
      <c r="O116" s="122">
        <f t="shared" si="90"/>
        <v>9000</v>
      </c>
      <c r="P116" s="122">
        <f t="shared" si="90"/>
        <v>9000</v>
      </c>
      <c r="Q116" s="122">
        <f t="shared" si="90"/>
        <v>9000</v>
      </c>
      <c r="R116" s="122">
        <f t="shared" si="90"/>
        <v>9000</v>
      </c>
      <c r="S116" s="122">
        <f t="shared" si="90"/>
        <v>9000</v>
      </c>
      <c r="T116" s="122">
        <f t="shared" si="90"/>
        <v>9000</v>
      </c>
      <c r="U116" s="122">
        <f t="shared" si="90"/>
        <v>9000</v>
      </c>
      <c r="V116" s="122">
        <f t="shared" si="90"/>
        <v>9000</v>
      </c>
      <c r="W116" s="122">
        <f t="shared" si="90"/>
        <v>9000</v>
      </c>
      <c r="X116" s="122">
        <f t="shared" si="90"/>
        <v>9000</v>
      </c>
      <c r="Y116" s="122">
        <f t="shared" si="90"/>
        <v>9000</v>
      </c>
      <c r="Z116" s="122">
        <f t="shared" si="90"/>
        <v>9000</v>
      </c>
      <c r="AA116" s="122">
        <f t="shared" si="90"/>
        <v>9000</v>
      </c>
      <c r="AB116" s="122">
        <f t="shared" si="90"/>
        <v>9000</v>
      </c>
      <c r="AC116" s="122">
        <f t="shared" si="90"/>
        <v>9000</v>
      </c>
      <c r="AD116" s="122">
        <f t="shared" si="90"/>
        <v>9000</v>
      </c>
      <c r="AE116" s="122">
        <f t="shared" si="90"/>
        <v>9000</v>
      </c>
      <c r="AF116" s="122">
        <f t="shared" si="90"/>
        <v>9000</v>
      </c>
      <c r="AG116" s="122">
        <f t="shared" si="90"/>
        <v>9000</v>
      </c>
      <c r="AH116" s="122">
        <f t="shared" si="90"/>
        <v>9000</v>
      </c>
      <c r="AI116" s="122">
        <f t="shared" si="90"/>
        <v>9000</v>
      </c>
      <c r="AJ116" s="122">
        <f t="shared" si="90"/>
        <v>9000</v>
      </c>
      <c r="AK116" s="122">
        <f t="shared" si="90"/>
        <v>9000</v>
      </c>
      <c r="AL116" s="122">
        <f t="shared" si="90"/>
        <v>9000</v>
      </c>
      <c r="AM116" s="122">
        <f t="shared" si="90"/>
        <v>9000</v>
      </c>
      <c r="AN116" s="122">
        <f t="shared" si="90"/>
        <v>9000</v>
      </c>
      <c r="AO116" s="122">
        <f t="shared" si="90"/>
        <v>9000</v>
      </c>
      <c r="AP116" s="122">
        <f t="shared" si="90"/>
        <v>9000</v>
      </c>
      <c r="AQ116" s="122">
        <f t="shared" si="90"/>
        <v>9000</v>
      </c>
      <c r="AR116" s="122">
        <f t="shared" si="90"/>
        <v>9000</v>
      </c>
      <c r="AS116" s="122">
        <f t="shared" si="90"/>
        <v>9000</v>
      </c>
      <c r="AT116" s="122">
        <f t="shared" si="90"/>
        <v>9000</v>
      </c>
      <c r="AU116" s="122">
        <f t="shared" si="90"/>
        <v>9000</v>
      </c>
      <c r="AV116" s="122">
        <f t="shared" si="90"/>
        <v>9000</v>
      </c>
      <c r="AW116" s="122">
        <f t="shared" si="90"/>
        <v>9000</v>
      </c>
      <c r="AX116" s="122">
        <f t="shared" si="90"/>
        <v>9000</v>
      </c>
      <c r="AY116" s="122">
        <f t="shared" si="90"/>
        <v>9000</v>
      </c>
      <c r="AZ116" s="122">
        <f t="shared" si="90"/>
        <v>9000</v>
      </c>
      <c r="BA116" s="122">
        <f t="shared" si="90"/>
        <v>9000</v>
      </c>
      <c r="BB116" s="122">
        <f t="shared" si="90"/>
        <v>9000</v>
      </c>
      <c r="BC116" s="122">
        <f t="shared" si="90"/>
        <v>9000</v>
      </c>
      <c r="BD116" s="122">
        <f t="shared" si="90"/>
        <v>9000</v>
      </c>
      <c r="BE116" s="122">
        <f t="shared" si="90"/>
        <v>9000</v>
      </c>
      <c r="BF116" s="122">
        <f t="shared" si="90"/>
        <v>9000</v>
      </c>
      <c r="BG116" s="122">
        <f t="shared" si="90"/>
        <v>9000</v>
      </c>
      <c r="BH116" s="122">
        <f t="shared" si="90"/>
        <v>9000</v>
      </c>
      <c r="BI116" s="122">
        <f t="shared" si="90"/>
        <v>9000</v>
      </c>
      <c r="BJ116" s="122">
        <f t="shared" si="90"/>
        <v>9000</v>
      </c>
      <c r="BK116" s="122">
        <f t="shared" si="90"/>
        <v>9000</v>
      </c>
      <c r="BL116" s="122">
        <f t="shared" si="90"/>
        <v>9000</v>
      </c>
      <c r="BM116" s="122">
        <f t="shared" si="90"/>
        <v>9000</v>
      </c>
      <c r="BN116" s="122">
        <f t="shared" si="90"/>
        <v>9000</v>
      </c>
    </row>
    <row r="117" outlineLevel="1">
      <c r="A117" s="47"/>
      <c r="B117" s="123" t="s">
        <v>90</v>
      </c>
      <c r="C117" s="124">
        <v>45000.0</v>
      </c>
      <c r="D117" s="125">
        <v>0.2</v>
      </c>
      <c r="E117" s="126">
        <v>44348.0</v>
      </c>
      <c r="F117" s="122"/>
      <c r="G117" s="122">
        <f t="shared" ref="G117:BN117" si="91">IF(G$4&gt;=$E117,($C117/12)*(1+$D117),0)</f>
        <v>4500</v>
      </c>
      <c r="H117" s="122">
        <f t="shared" si="91"/>
        <v>4500</v>
      </c>
      <c r="I117" s="122">
        <f t="shared" si="91"/>
        <v>4500</v>
      </c>
      <c r="J117" s="122">
        <f t="shared" si="91"/>
        <v>4500</v>
      </c>
      <c r="K117" s="122">
        <f t="shared" si="91"/>
        <v>4500</v>
      </c>
      <c r="L117" s="122">
        <f t="shared" si="91"/>
        <v>4500</v>
      </c>
      <c r="M117" s="122">
        <f t="shared" si="91"/>
        <v>4500</v>
      </c>
      <c r="N117" s="122">
        <f t="shared" si="91"/>
        <v>4500</v>
      </c>
      <c r="O117" s="122">
        <f t="shared" si="91"/>
        <v>4500</v>
      </c>
      <c r="P117" s="122">
        <f t="shared" si="91"/>
        <v>4500</v>
      </c>
      <c r="Q117" s="122">
        <f t="shared" si="91"/>
        <v>4500</v>
      </c>
      <c r="R117" s="122">
        <f t="shared" si="91"/>
        <v>4500</v>
      </c>
      <c r="S117" s="122">
        <f t="shared" si="91"/>
        <v>4500</v>
      </c>
      <c r="T117" s="122">
        <f t="shared" si="91"/>
        <v>4500</v>
      </c>
      <c r="U117" s="122">
        <f t="shared" si="91"/>
        <v>4500</v>
      </c>
      <c r="V117" s="122">
        <f t="shared" si="91"/>
        <v>4500</v>
      </c>
      <c r="W117" s="122">
        <f t="shared" si="91"/>
        <v>4500</v>
      </c>
      <c r="X117" s="122">
        <f t="shared" si="91"/>
        <v>4500</v>
      </c>
      <c r="Y117" s="122">
        <f t="shared" si="91"/>
        <v>4500</v>
      </c>
      <c r="Z117" s="122">
        <f t="shared" si="91"/>
        <v>4500</v>
      </c>
      <c r="AA117" s="122">
        <f t="shared" si="91"/>
        <v>4500</v>
      </c>
      <c r="AB117" s="122">
        <f t="shared" si="91"/>
        <v>4500</v>
      </c>
      <c r="AC117" s="122">
        <f t="shared" si="91"/>
        <v>4500</v>
      </c>
      <c r="AD117" s="122">
        <f t="shared" si="91"/>
        <v>4500</v>
      </c>
      <c r="AE117" s="122">
        <f t="shared" si="91"/>
        <v>4500</v>
      </c>
      <c r="AF117" s="122">
        <f t="shared" si="91"/>
        <v>4500</v>
      </c>
      <c r="AG117" s="122">
        <f t="shared" si="91"/>
        <v>4500</v>
      </c>
      <c r="AH117" s="122">
        <f t="shared" si="91"/>
        <v>4500</v>
      </c>
      <c r="AI117" s="122">
        <f t="shared" si="91"/>
        <v>4500</v>
      </c>
      <c r="AJ117" s="122">
        <f t="shared" si="91"/>
        <v>4500</v>
      </c>
      <c r="AK117" s="122">
        <f t="shared" si="91"/>
        <v>4500</v>
      </c>
      <c r="AL117" s="122">
        <f t="shared" si="91"/>
        <v>4500</v>
      </c>
      <c r="AM117" s="122">
        <f t="shared" si="91"/>
        <v>4500</v>
      </c>
      <c r="AN117" s="122">
        <f t="shared" si="91"/>
        <v>4500</v>
      </c>
      <c r="AO117" s="122">
        <f t="shared" si="91"/>
        <v>4500</v>
      </c>
      <c r="AP117" s="122">
        <f t="shared" si="91"/>
        <v>4500</v>
      </c>
      <c r="AQ117" s="122">
        <f t="shared" si="91"/>
        <v>4500</v>
      </c>
      <c r="AR117" s="122">
        <f t="shared" si="91"/>
        <v>4500</v>
      </c>
      <c r="AS117" s="122">
        <f t="shared" si="91"/>
        <v>4500</v>
      </c>
      <c r="AT117" s="122">
        <f t="shared" si="91"/>
        <v>4500</v>
      </c>
      <c r="AU117" s="122">
        <f t="shared" si="91"/>
        <v>4500</v>
      </c>
      <c r="AV117" s="122">
        <f t="shared" si="91"/>
        <v>4500</v>
      </c>
      <c r="AW117" s="122">
        <f t="shared" si="91"/>
        <v>4500</v>
      </c>
      <c r="AX117" s="122">
        <f t="shared" si="91"/>
        <v>4500</v>
      </c>
      <c r="AY117" s="122">
        <f t="shared" si="91"/>
        <v>4500</v>
      </c>
      <c r="AZ117" s="122">
        <f t="shared" si="91"/>
        <v>4500</v>
      </c>
      <c r="BA117" s="122">
        <f t="shared" si="91"/>
        <v>4500</v>
      </c>
      <c r="BB117" s="122">
        <f t="shared" si="91"/>
        <v>4500</v>
      </c>
      <c r="BC117" s="122">
        <f t="shared" si="91"/>
        <v>4500</v>
      </c>
      <c r="BD117" s="122">
        <f t="shared" si="91"/>
        <v>4500</v>
      </c>
      <c r="BE117" s="122">
        <f t="shared" si="91"/>
        <v>4500</v>
      </c>
      <c r="BF117" s="122">
        <f t="shared" si="91"/>
        <v>4500</v>
      </c>
      <c r="BG117" s="122">
        <f t="shared" si="91"/>
        <v>4500</v>
      </c>
      <c r="BH117" s="122">
        <f t="shared" si="91"/>
        <v>4500</v>
      </c>
      <c r="BI117" s="122">
        <f t="shared" si="91"/>
        <v>4500</v>
      </c>
      <c r="BJ117" s="122">
        <f t="shared" si="91"/>
        <v>4500</v>
      </c>
      <c r="BK117" s="122">
        <f t="shared" si="91"/>
        <v>4500</v>
      </c>
      <c r="BL117" s="122">
        <f t="shared" si="91"/>
        <v>4500</v>
      </c>
      <c r="BM117" s="122">
        <f t="shared" si="91"/>
        <v>4500</v>
      </c>
      <c r="BN117" s="122">
        <f t="shared" si="91"/>
        <v>4500</v>
      </c>
    </row>
    <row r="118">
      <c r="A118" s="47"/>
      <c r="B118" s="47"/>
      <c r="C118" s="47"/>
      <c r="D118" s="47"/>
      <c r="E118" s="47"/>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c r="AZ118" s="122"/>
      <c r="BA118" s="122"/>
      <c r="BB118" s="122"/>
      <c r="BC118" s="122"/>
      <c r="BD118" s="122"/>
      <c r="BE118" s="122"/>
      <c r="BF118" s="122"/>
      <c r="BG118" s="122"/>
      <c r="BH118" s="122"/>
      <c r="BI118" s="122"/>
      <c r="BJ118" s="122"/>
      <c r="BK118" s="122"/>
      <c r="BL118" s="122"/>
      <c r="BM118" s="122"/>
      <c r="BN118" s="122"/>
    </row>
    <row r="119">
      <c r="A119" s="47"/>
      <c r="B119" s="48" t="s">
        <v>91</v>
      </c>
      <c r="C119" s="49"/>
      <c r="D119" s="49"/>
      <c r="E119" s="49"/>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row>
    <row r="120" outlineLevel="1">
      <c r="A120" s="47"/>
      <c r="B120" s="47"/>
      <c r="C120" s="47"/>
      <c r="D120" s="47"/>
      <c r="E120" s="47"/>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row>
    <row r="121" outlineLevel="1">
      <c r="A121" s="47"/>
      <c r="B121" s="67" t="s">
        <v>92</v>
      </c>
      <c r="C121" s="121" t="s">
        <v>93</v>
      </c>
      <c r="D121" s="47"/>
      <c r="E121" s="47"/>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row>
    <row r="122" outlineLevel="1">
      <c r="A122" s="47"/>
      <c r="B122" s="127" t="s">
        <v>94</v>
      </c>
      <c r="C122" s="128">
        <v>0.02</v>
      </c>
      <c r="D122" s="47"/>
      <c r="E122" s="47"/>
      <c r="F122" s="122"/>
      <c r="G122" s="122">
        <f>Financials!F$8*$C122</f>
        <v>267.5</v>
      </c>
      <c r="H122" s="122">
        <f>Financials!G$8*$C122</f>
        <v>402.7625</v>
      </c>
      <c r="I122" s="122">
        <f>Financials!H$8*$C122</f>
        <v>475.4164375</v>
      </c>
      <c r="J122" s="122">
        <f>Financials!I$8*$C122</f>
        <v>511.8187466</v>
      </c>
      <c r="K122" s="122">
        <f>Financials!J$8*$C122</f>
        <v>532.5210312</v>
      </c>
      <c r="L122" s="122">
        <f>Financials!K$8*$C122</f>
        <v>540.4096905</v>
      </c>
      <c r="M122" s="122">
        <f>Financials!L$8*$C122</f>
        <v>544.3170829</v>
      </c>
      <c r="N122" s="122">
        <f>Financials!M$8*$C122</f>
        <v>548.770225</v>
      </c>
      <c r="O122" s="122">
        <f>Financials!N$8*$C122</f>
        <v>548.5342877</v>
      </c>
      <c r="P122" s="122">
        <f>Financials!O$8*$C122</f>
        <v>548.3793815</v>
      </c>
      <c r="Q122" s="122">
        <f>Financials!P$8*$C122</f>
        <v>550.8013743</v>
      </c>
      <c r="R122" s="122">
        <f>Financials!Q$8*$C122</f>
        <v>549.5498624</v>
      </c>
      <c r="S122" s="122">
        <f>Financials!R$8*$C122</f>
        <v>548.8871688</v>
      </c>
      <c r="T122" s="122">
        <f>Financials!S$8*$C122</f>
        <v>548.555268</v>
      </c>
      <c r="U122" s="122">
        <f>Financials!T$8*$C122</f>
        <v>548.3893092</v>
      </c>
      <c r="V122" s="122">
        <f>Financials!U$8*$C122</f>
        <v>548.3063298</v>
      </c>
      <c r="W122" s="122">
        <f>Financials!V$8*$C122</f>
        <v>548.26484</v>
      </c>
      <c r="X122" s="122">
        <f>Financials!W$8*$C122</f>
        <v>548.2440951</v>
      </c>
      <c r="Y122" s="122">
        <f>Financials!X$8*$C122</f>
        <v>548.2337227</v>
      </c>
      <c r="Z122" s="122">
        <f>Financials!Y$8*$C122</f>
        <v>548.2285365</v>
      </c>
      <c r="AA122" s="122">
        <f>Financials!Z$8*$C122</f>
        <v>548.2259434</v>
      </c>
      <c r="AB122" s="122">
        <f>Financials!AA$8*$C122</f>
        <v>548.2246468</v>
      </c>
      <c r="AC122" s="122">
        <f>Financials!AB$8*$C122</f>
        <v>548.2239985</v>
      </c>
      <c r="AD122" s="122">
        <f>Financials!AC$8*$C122</f>
        <v>548.2236744</v>
      </c>
      <c r="AE122" s="122">
        <f>Financials!AD$8*$C122</f>
        <v>548.2235123</v>
      </c>
      <c r="AF122" s="122">
        <f>Financials!AE$8*$C122</f>
        <v>548.2234313</v>
      </c>
      <c r="AG122" s="122">
        <f>Financials!AF$8*$C122</f>
        <v>548.2233908</v>
      </c>
      <c r="AH122" s="122">
        <f>Financials!AG$8*$C122</f>
        <v>548.2233705</v>
      </c>
      <c r="AI122" s="122">
        <f>Financials!AH$8*$C122</f>
        <v>548.2233604</v>
      </c>
      <c r="AJ122" s="122">
        <f>Financials!AI$8*$C122</f>
        <v>548.2233553</v>
      </c>
      <c r="AK122" s="122">
        <f>Financials!AJ$8*$C122</f>
        <v>548.2233528</v>
      </c>
      <c r="AL122" s="122">
        <f>Financials!AK$8*$C122</f>
        <v>548.2233515</v>
      </c>
      <c r="AM122" s="122">
        <f>Financials!AL$8*$C122</f>
        <v>548.2233509</v>
      </c>
      <c r="AN122" s="122">
        <f>Financials!AM$8*$C122</f>
        <v>548.2233506</v>
      </c>
      <c r="AO122" s="122">
        <f>Financials!AN$8*$C122</f>
        <v>548.2233504</v>
      </c>
      <c r="AP122" s="122">
        <f>Financials!AO$8*$C122</f>
        <v>548.2233503</v>
      </c>
      <c r="AQ122" s="122">
        <f>Financials!AP$8*$C122</f>
        <v>548.2233503</v>
      </c>
      <c r="AR122" s="122">
        <f>Financials!AQ$8*$C122</f>
        <v>548.2233503</v>
      </c>
      <c r="AS122" s="122">
        <f>Financials!AR$8*$C122</f>
        <v>548.2233503</v>
      </c>
      <c r="AT122" s="122">
        <f>Financials!AS$8*$C122</f>
        <v>548.2233503</v>
      </c>
      <c r="AU122" s="122">
        <f>Financials!AT$8*$C122</f>
        <v>548.2233503</v>
      </c>
      <c r="AV122" s="122">
        <f>Financials!AU$8*$C122</f>
        <v>548.2233503</v>
      </c>
      <c r="AW122" s="122">
        <f>Financials!AV$8*$C122</f>
        <v>548.2233503</v>
      </c>
      <c r="AX122" s="122">
        <f>Financials!AW$8*$C122</f>
        <v>548.2233503</v>
      </c>
      <c r="AY122" s="122">
        <f>Financials!AX$8*$C122</f>
        <v>548.2233503</v>
      </c>
      <c r="AZ122" s="122">
        <f>Financials!AY$8*$C122</f>
        <v>548.2233503</v>
      </c>
      <c r="BA122" s="122">
        <f>Financials!AZ$8*$C122</f>
        <v>548.2233503</v>
      </c>
      <c r="BB122" s="122">
        <f>Financials!BA$8*$C122</f>
        <v>548.2233503</v>
      </c>
      <c r="BC122" s="122">
        <f>Financials!BB$8*$C122</f>
        <v>548.2233503</v>
      </c>
      <c r="BD122" s="122">
        <f>Financials!BC$8*$C122</f>
        <v>548.2233503</v>
      </c>
      <c r="BE122" s="122">
        <f>Financials!BD$8*$C122</f>
        <v>548.2233503</v>
      </c>
      <c r="BF122" s="122">
        <f>Financials!BE$8*$C122</f>
        <v>548.2233503</v>
      </c>
      <c r="BG122" s="122">
        <f>Financials!BF$8*$C122</f>
        <v>548.2233503</v>
      </c>
      <c r="BH122" s="122">
        <f>Financials!BG$8*$C122</f>
        <v>548.2233503</v>
      </c>
      <c r="BI122" s="122">
        <f>Financials!BH$8*$C122</f>
        <v>548.2233503</v>
      </c>
      <c r="BJ122" s="122">
        <f>Financials!BI$8*$C122</f>
        <v>548.2233503</v>
      </c>
      <c r="BK122" s="122">
        <f>Financials!BJ$8*$C122</f>
        <v>548.2233503</v>
      </c>
      <c r="BL122" s="122">
        <f>Financials!BK$8*$C122</f>
        <v>548.2233503</v>
      </c>
      <c r="BM122" s="122">
        <f>Financials!BL$8*$C122</f>
        <v>548.2233503</v>
      </c>
      <c r="BN122" s="122">
        <f>Financials!BM$8*$C122</f>
        <v>548.2233503</v>
      </c>
    </row>
    <row r="123" outlineLevel="1">
      <c r="A123" s="47"/>
      <c r="B123" s="127" t="s">
        <v>95</v>
      </c>
      <c r="C123" s="128">
        <v>0.03</v>
      </c>
      <c r="D123" s="47"/>
      <c r="E123" s="47"/>
      <c r="F123" s="122"/>
      <c r="G123" s="122">
        <f>Financials!F$8*$C123</f>
        <v>401.25</v>
      </c>
      <c r="H123" s="122">
        <f>Financials!G$8*$C123</f>
        <v>604.14375</v>
      </c>
      <c r="I123" s="122">
        <f>Financials!H$8*$C123</f>
        <v>713.1246563</v>
      </c>
      <c r="J123" s="122">
        <f>Financials!I$8*$C123</f>
        <v>767.7281198</v>
      </c>
      <c r="K123" s="122">
        <f>Financials!J$8*$C123</f>
        <v>798.7815468</v>
      </c>
      <c r="L123" s="122">
        <f>Financials!K$8*$C123</f>
        <v>810.6145357</v>
      </c>
      <c r="M123" s="122">
        <f>Financials!L$8*$C123</f>
        <v>816.4756243</v>
      </c>
      <c r="N123" s="122">
        <f>Financials!M$8*$C123</f>
        <v>823.1553375</v>
      </c>
      <c r="O123" s="122">
        <f>Financials!N$8*$C123</f>
        <v>822.8014316</v>
      </c>
      <c r="P123" s="122">
        <f>Financials!O$8*$C123</f>
        <v>822.5690723</v>
      </c>
      <c r="Q123" s="122">
        <f>Financials!P$8*$C123</f>
        <v>826.2020615</v>
      </c>
      <c r="R123" s="122">
        <f>Financials!Q$8*$C123</f>
        <v>824.3247936</v>
      </c>
      <c r="S123" s="122">
        <f>Financials!R$8*$C123</f>
        <v>823.3307533</v>
      </c>
      <c r="T123" s="122">
        <f>Financials!S$8*$C123</f>
        <v>822.832902</v>
      </c>
      <c r="U123" s="122">
        <f>Financials!T$8*$C123</f>
        <v>822.5839639</v>
      </c>
      <c r="V123" s="122">
        <f>Financials!U$8*$C123</f>
        <v>822.4594946</v>
      </c>
      <c r="W123" s="122">
        <f>Financials!V$8*$C123</f>
        <v>822.39726</v>
      </c>
      <c r="X123" s="122">
        <f>Financials!W$8*$C123</f>
        <v>822.3661427</v>
      </c>
      <c r="Y123" s="122">
        <f>Financials!X$8*$C123</f>
        <v>822.350584</v>
      </c>
      <c r="Z123" s="122">
        <f>Financials!Y$8*$C123</f>
        <v>822.3428047</v>
      </c>
      <c r="AA123" s="122">
        <f>Financials!Z$8*$C123</f>
        <v>822.338915</v>
      </c>
      <c r="AB123" s="122">
        <f>Financials!AA$8*$C123</f>
        <v>822.3369702</v>
      </c>
      <c r="AC123" s="122">
        <f>Financials!AB$8*$C123</f>
        <v>822.3359978</v>
      </c>
      <c r="AD123" s="122">
        <f>Financials!AC$8*$C123</f>
        <v>822.3355116</v>
      </c>
      <c r="AE123" s="122">
        <f>Financials!AD$8*$C123</f>
        <v>822.3352685</v>
      </c>
      <c r="AF123" s="122">
        <f>Financials!AE$8*$C123</f>
        <v>822.3351469</v>
      </c>
      <c r="AG123" s="122">
        <f>Financials!AF$8*$C123</f>
        <v>822.3350862</v>
      </c>
      <c r="AH123" s="122">
        <f>Financials!AG$8*$C123</f>
        <v>822.3350558</v>
      </c>
      <c r="AI123" s="122">
        <f>Financials!AH$8*$C123</f>
        <v>822.3350406</v>
      </c>
      <c r="AJ123" s="122">
        <f>Financials!AI$8*$C123</f>
        <v>822.335033</v>
      </c>
      <c r="AK123" s="122">
        <f>Financials!AJ$8*$C123</f>
        <v>822.3350292</v>
      </c>
      <c r="AL123" s="122">
        <f>Financials!AK$8*$C123</f>
        <v>822.3350273</v>
      </c>
      <c r="AM123" s="122">
        <f>Financials!AL$8*$C123</f>
        <v>822.3350263</v>
      </c>
      <c r="AN123" s="122">
        <f>Financials!AM$8*$C123</f>
        <v>822.3350259</v>
      </c>
      <c r="AO123" s="122">
        <f>Financials!AN$8*$C123</f>
        <v>822.3350256</v>
      </c>
      <c r="AP123" s="122">
        <f>Financials!AO$8*$C123</f>
        <v>822.3350255</v>
      </c>
      <c r="AQ123" s="122">
        <f>Financials!AP$8*$C123</f>
        <v>822.3350254</v>
      </c>
      <c r="AR123" s="122">
        <f>Financials!AQ$8*$C123</f>
        <v>822.3350254</v>
      </c>
      <c r="AS123" s="122">
        <f>Financials!AR$8*$C123</f>
        <v>822.3350254</v>
      </c>
      <c r="AT123" s="122">
        <f>Financials!AS$8*$C123</f>
        <v>822.3350254</v>
      </c>
      <c r="AU123" s="122">
        <f>Financials!AT$8*$C123</f>
        <v>822.3350254</v>
      </c>
      <c r="AV123" s="122">
        <f>Financials!AU$8*$C123</f>
        <v>822.3350254</v>
      </c>
      <c r="AW123" s="122">
        <f>Financials!AV$8*$C123</f>
        <v>822.3350254</v>
      </c>
      <c r="AX123" s="122">
        <f>Financials!AW$8*$C123</f>
        <v>822.3350254</v>
      </c>
      <c r="AY123" s="122">
        <f>Financials!AX$8*$C123</f>
        <v>822.3350254</v>
      </c>
      <c r="AZ123" s="122">
        <f>Financials!AY$8*$C123</f>
        <v>822.3350254</v>
      </c>
      <c r="BA123" s="122">
        <f>Financials!AZ$8*$C123</f>
        <v>822.3350254</v>
      </c>
      <c r="BB123" s="122">
        <f>Financials!BA$8*$C123</f>
        <v>822.3350254</v>
      </c>
      <c r="BC123" s="122">
        <f>Financials!BB$8*$C123</f>
        <v>822.3350254</v>
      </c>
      <c r="BD123" s="122">
        <f>Financials!BC$8*$C123</f>
        <v>822.3350254</v>
      </c>
      <c r="BE123" s="122">
        <f>Financials!BD$8*$C123</f>
        <v>822.3350254</v>
      </c>
      <c r="BF123" s="122">
        <f>Financials!BE$8*$C123</f>
        <v>822.3350254</v>
      </c>
      <c r="BG123" s="122">
        <f>Financials!BF$8*$C123</f>
        <v>822.3350254</v>
      </c>
      <c r="BH123" s="122">
        <f>Financials!BG$8*$C123</f>
        <v>822.3350254</v>
      </c>
      <c r="BI123" s="122">
        <f>Financials!BH$8*$C123</f>
        <v>822.3350254</v>
      </c>
      <c r="BJ123" s="122">
        <f>Financials!BI$8*$C123</f>
        <v>822.3350254</v>
      </c>
      <c r="BK123" s="122">
        <f>Financials!BJ$8*$C123</f>
        <v>822.3350254</v>
      </c>
      <c r="BL123" s="122">
        <f>Financials!BK$8*$C123</f>
        <v>822.3350254</v>
      </c>
      <c r="BM123" s="122">
        <f>Financials!BL$8*$C123</f>
        <v>822.3350254</v>
      </c>
      <c r="BN123" s="122">
        <f>Financials!BM$8*$C123</f>
        <v>822.3350254</v>
      </c>
    </row>
    <row r="124" outlineLevel="1">
      <c r="A124" s="47"/>
      <c r="B124" s="127" t="s">
        <v>96</v>
      </c>
      <c r="C124" s="128">
        <v>0.05</v>
      </c>
      <c r="D124" s="47"/>
      <c r="E124" s="47"/>
      <c r="F124" s="122"/>
      <c r="G124" s="122">
        <f>Financials!F$8*$C124</f>
        <v>668.75</v>
      </c>
      <c r="H124" s="122">
        <f>Financials!G$8*$C124</f>
        <v>1006.90625</v>
      </c>
      <c r="I124" s="122">
        <f>Financials!H$8*$C124</f>
        <v>1188.541094</v>
      </c>
      <c r="J124" s="122">
        <f>Financials!I$8*$C124</f>
        <v>1279.546866</v>
      </c>
      <c r="K124" s="122">
        <f>Financials!J$8*$C124</f>
        <v>1331.302578</v>
      </c>
      <c r="L124" s="122">
        <f>Financials!K$8*$C124</f>
        <v>1351.024226</v>
      </c>
      <c r="M124" s="122">
        <f>Financials!L$8*$C124</f>
        <v>1360.792707</v>
      </c>
      <c r="N124" s="122">
        <f>Financials!M$8*$C124</f>
        <v>1371.925562</v>
      </c>
      <c r="O124" s="122">
        <f>Financials!N$8*$C124</f>
        <v>1371.335719</v>
      </c>
      <c r="P124" s="122">
        <f>Financials!O$8*$C124</f>
        <v>1370.948454</v>
      </c>
      <c r="Q124" s="122">
        <f>Financials!P$8*$C124</f>
        <v>1377.003436</v>
      </c>
      <c r="R124" s="122">
        <f>Financials!Q$8*$C124</f>
        <v>1373.874656</v>
      </c>
      <c r="S124" s="122">
        <f>Financials!R$8*$C124</f>
        <v>1372.217922</v>
      </c>
      <c r="T124" s="122">
        <f>Financials!S$8*$C124</f>
        <v>1371.38817</v>
      </c>
      <c r="U124" s="122">
        <f>Financials!T$8*$C124</f>
        <v>1370.973273</v>
      </c>
      <c r="V124" s="122">
        <f>Financials!U$8*$C124</f>
        <v>1370.765824</v>
      </c>
      <c r="W124" s="122">
        <f>Financials!V$8*$C124</f>
        <v>1370.6621</v>
      </c>
      <c r="X124" s="122">
        <f>Financials!W$8*$C124</f>
        <v>1370.610238</v>
      </c>
      <c r="Y124" s="122">
        <f>Financials!X$8*$C124</f>
        <v>1370.584307</v>
      </c>
      <c r="Z124" s="122">
        <f>Financials!Y$8*$C124</f>
        <v>1370.571341</v>
      </c>
      <c r="AA124" s="122">
        <f>Financials!Z$8*$C124</f>
        <v>1370.564858</v>
      </c>
      <c r="AB124" s="122">
        <f>Financials!AA$8*$C124</f>
        <v>1370.561617</v>
      </c>
      <c r="AC124" s="122">
        <f>Financials!AB$8*$C124</f>
        <v>1370.559996</v>
      </c>
      <c r="AD124" s="122">
        <f>Financials!AC$8*$C124</f>
        <v>1370.559186</v>
      </c>
      <c r="AE124" s="122">
        <f>Financials!AD$8*$C124</f>
        <v>1370.558781</v>
      </c>
      <c r="AF124" s="122">
        <f>Financials!AE$8*$C124</f>
        <v>1370.558578</v>
      </c>
      <c r="AG124" s="122">
        <f>Financials!AF$8*$C124</f>
        <v>1370.558477</v>
      </c>
      <c r="AH124" s="122">
        <f>Financials!AG$8*$C124</f>
        <v>1370.558426</v>
      </c>
      <c r="AI124" s="122">
        <f>Financials!AH$8*$C124</f>
        <v>1370.558401</v>
      </c>
      <c r="AJ124" s="122">
        <f>Financials!AI$8*$C124</f>
        <v>1370.558388</v>
      </c>
      <c r="AK124" s="122">
        <f>Financials!AJ$8*$C124</f>
        <v>1370.558382</v>
      </c>
      <c r="AL124" s="122">
        <f>Financials!AK$8*$C124</f>
        <v>1370.558379</v>
      </c>
      <c r="AM124" s="122">
        <f>Financials!AL$8*$C124</f>
        <v>1370.558377</v>
      </c>
      <c r="AN124" s="122">
        <f>Financials!AM$8*$C124</f>
        <v>1370.558376</v>
      </c>
      <c r="AO124" s="122">
        <f>Financials!AN$8*$C124</f>
        <v>1370.558376</v>
      </c>
      <c r="AP124" s="122">
        <f>Financials!AO$8*$C124</f>
        <v>1370.558376</v>
      </c>
      <c r="AQ124" s="122">
        <f>Financials!AP$8*$C124</f>
        <v>1370.558376</v>
      </c>
      <c r="AR124" s="122">
        <f>Financials!AQ$8*$C124</f>
        <v>1370.558376</v>
      </c>
      <c r="AS124" s="122">
        <f>Financials!AR$8*$C124</f>
        <v>1370.558376</v>
      </c>
      <c r="AT124" s="122">
        <f>Financials!AS$8*$C124</f>
        <v>1370.558376</v>
      </c>
      <c r="AU124" s="122">
        <f>Financials!AT$8*$C124</f>
        <v>1370.558376</v>
      </c>
      <c r="AV124" s="122">
        <f>Financials!AU$8*$C124</f>
        <v>1370.558376</v>
      </c>
      <c r="AW124" s="122">
        <f>Financials!AV$8*$C124</f>
        <v>1370.558376</v>
      </c>
      <c r="AX124" s="122">
        <f>Financials!AW$8*$C124</f>
        <v>1370.558376</v>
      </c>
      <c r="AY124" s="122">
        <f>Financials!AX$8*$C124</f>
        <v>1370.558376</v>
      </c>
      <c r="AZ124" s="122">
        <f>Financials!AY$8*$C124</f>
        <v>1370.558376</v>
      </c>
      <c r="BA124" s="122">
        <f>Financials!AZ$8*$C124</f>
        <v>1370.558376</v>
      </c>
      <c r="BB124" s="122">
        <f>Financials!BA$8*$C124</f>
        <v>1370.558376</v>
      </c>
      <c r="BC124" s="122">
        <f>Financials!BB$8*$C124</f>
        <v>1370.558376</v>
      </c>
      <c r="BD124" s="122">
        <f>Financials!BC$8*$C124</f>
        <v>1370.558376</v>
      </c>
      <c r="BE124" s="122">
        <f>Financials!BD$8*$C124</f>
        <v>1370.558376</v>
      </c>
      <c r="BF124" s="122">
        <f>Financials!BE$8*$C124</f>
        <v>1370.558376</v>
      </c>
      <c r="BG124" s="122">
        <f>Financials!BF$8*$C124</f>
        <v>1370.558376</v>
      </c>
      <c r="BH124" s="122">
        <f>Financials!BG$8*$C124</f>
        <v>1370.558376</v>
      </c>
      <c r="BI124" s="122">
        <f>Financials!BH$8*$C124</f>
        <v>1370.558376</v>
      </c>
      <c r="BJ124" s="122">
        <f>Financials!BI$8*$C124</f>
        <v>1370.558376</v>
      </c>
      <c r="BK124" s="122">
        <f>Financials!BJ$8*$C124</f>
        <v>1370.558376</v>
      </c>
      <c r="BL124" s="122">
        <f>Financials!BK$8*$C124</f>
        <v>1370.558376</v>
      </c>
      <c r="BM124" s="122">
        <f>Financials!BL$8*$C124</f>
        <v>1370.558376</v>
      </c>
      <c r="BN124" s="122">
        <f>Financials!BM$8*$C124</f>
        <v>1370.558376</v>
      </c>
    </row>
    <row r="125" outlineLevel="1">
      <c r="A125" s="47"/>
      <c r="B125" s="129" t="s">
        <v>97</v>
      </c>
      <c r="C125" s="128">
        <v>0.05</v>
      </c>
      <c r="D125" s="47"/>
      <c r="E125" s="47"/>
      <c r="F125" s="122"/>
      <c r="G125" s="122">
        <f>Financials!F$8*$C125</f>
        <v>668.75</v>
      </c>
      <c r="H125" s="122">
        <f>Financials!G$8*$C125</f>
        <v>1006.90625</v>
      </c>
      <c r="I125" s="122">
        <f>Financials!H$8*$C125</f>
        <v>1188.541094</v>
      </c>
      <c r="J125" s="122">
        <f>Financials!I$8*$C125</f>
        <v>1279.546866</v>
      </c>
      <c r="K125" s="122">
        <f>Financials!J$8*$C125</f>
        <v>1331.302578</v>
      </c>
      <c r="L125" s="122">
        <f>Financials!K$8*$C125</f>
        <v>1351.024226</v>
      </c>
      <c r="M125" s="122">
        <f>Financials!L$8*$C125</f>
        <v>1360.792707</v>
      </c>
      <c r="N125" s="122">
        <f>Financials!M$8*$C125</f>
        <v>1371.925562</v>
      </c>
      <c r="O125" s="122">
        <f>Financials!N$8*$C125</f>
        <v>1371.335719</v>
      </c>
      <c r="P125" s="122">
        <f>Financials!O$8*$C125</f>
        <v>1370.948454</v>
      </c>
      <c r="Q125" s="122">
        <f>Financials!P$8*$C125</f>
        <v>1377.003436</v>
      </c>
      <c r="R125" s="122">
        <f>Financials!Q$8*$C125</f>
        <v>1373.874656</v>
      </c>
      <c r="S125" s="122">
        <f>Financials!R$8*$C125</f>
        <v>1372.217922</v>
      </c>
      <c r="T125" s="122">
        <f>Financials!S$8*$C125</f>
        <v>1371.38817</v>
      </c>
      <c r="U125" s="122">
        <f>Financials!T$8*$C125</f>
        <v>1370.973273</v>
      </c>
      <c r="V125" s="122">
        <f>Financials!U$8*$C125</f>
        <v>1370.765824</v>
      </c>
      <c r="W125" s="122">
        <f>Financials!V$8*$C125</f>
        <v>1370.6621</v>
      </c>
      <c r="X125" s="122">
        <f>Financials!W$8*$C125</f>
        <v>1370.610238</v>
      </c>
      <c r="Y125" s="122">
        <f>Financials!X$8*$C125</f>
        <v>1370.584307</v>
      </c>
      <c r="Z125" s="122">
        <f>Financials!Y$8*$C125</f>
        <v>1370.571341</v>
      </c>
      <c r="AA125" s="122">
        <f>Financials!Z$8*$C125</f>
        <v>1370.564858</v>
      </c>
      <c r="AB125" s="122">
        <f>Financials!AA$8*$C125</f>
        <v>1370.561617</v>
      </c>
      <c r="AC125" s="122">
        <f>Financials!AB$8*$C125</f>
        <v>1370.559996</v>
      </c>
      <c r="AD125" s="122">
        <f>Financials!AC$8*$C125</f>
        <v>1370.559186</v>
      </c>
      <c r="AE125" s="122">
        <f>Financials!AD$8*$C125</f>
        <v>1370.558781</v>
      </c>
      <c r="AF125" s="122">
        <f>Financials!AE$8*$C125</f>
        <v>1370.558578</v>
      </c>
      <c r="AG125" s="122">
        <f>Financials!AF$8*$C125</f>
        <v>1370.558477</v>
      </c>
      <c r="AH125" s="122">
        <f>Financials!AG$8*$C125</f>
        <v>1370.558426</v>
      </c>
      <c r="AI125" s="122">
        <f>Financials!AH$8*$C125</f>
        <v>1370.558401</v>
      </c>
      <c r="AJ125" s="122">
        <f>Financials!AI$8*$C125</f>
        <v>1370.558388</v>
      </c>
      <c r="AK125" s="122">
        <f>Financials!AJ$8*$C125</f>
        <v>1370.558382</v>
      </c>
      <c r="AL125" s="122">
        <f>Financials!AK$8*$C125</f>
        <v>1370.558379</v>
      </c>
      <c r="AM125" s="122">
        <f>Financials!AL$8*$C125</f>
        <v>1370.558377</v>
      </c>
      <c r="AN125" s="122">
        <f>Financials!AM$8*$C125</f>
        <v>1370.558376</v>
      </c>
      <c r="AO125" s="122">
        <f>Financials!AN$8*$C125</f>
        <v>1370.558376</v>
      </c>
      <c r="AP125" s="122">
        <f>Financials!AO$8*$C125</f>
        <v>1370.558376</v>
      </c>
      <c r="AQ125" s="122">
        <f>Financials!AP$8*$C125</f>
        <v>1370.558376</v>
      </c>
      <c r="AR125" s="122">
        <f>Financials!AQ$8*$C125</f>
        <v>1370.558376</v>
      </c>
      <c r="AS125" s="122">
        <f>Financials!AR$8*$C125</f>
        <v>1370.558376</v>
      </c>
      <c r="AT125" s="122">
        <f>Financials!AS$8*$C125</f>
        <v>1370.558376</v>
      </c>
      <c r="AU125" s="122">
        <f>Financials!AT$8*$C125</f>
        <v>1370.558376</v>
      </c>
      <c r="AV125" s="122">
        <f>Financials!AU$8*$C125</f>
        <v>1370.558376</v>
      </c>
      <c r="AW125" s="122">
        <f>Financials!AV$8*$C125</f>
        <v>1370.558376</v>
      </c>
      <c r="AX125" s="122">
        <f>Financials!AW$8*$C125</f>
        <v>1370.558376</v>
      </c>
      <c r="AY125" s="122">
        <f>Financials!AX$8*$C125</f>
        <v>1370.558376</v>
      </c>
      <c r="AZ125" s="122">
        <f>Financials!AY$8*$C125</f>
        <v>1370.558376</v>
      </c>
      <c r="BA125" s="122">
        <f>Financials!AZ$8*$C125</f>
        <v>1370.558376</v>
      </c>
      <c r="BB125" s="122">
        <f>Financials!BA$8*$C125</f>
        <v>1370.558376</v>
      </c>
      <c r="BC125" s="122">
        <f>Financials!BB$8*$C125</f>
        <v>1370.558376</v>
      </c>
      <c r="BD125" s="122">
        <f>Financials!BC$8*$C125</f>
        <v>1370.558376</v>
      </c>
      <c r="BE125" s="122">
        <f>Financials!BD$8*$C125</f>
        <v>1370.558376</v>
      </c>
      <c r="BF125" s="122">
        <f>Financials!BE$8*$C125</f>
        <v>1370.558376</v>
      </c>
      <c r="BG125" s="122">
        <f>Financials!BF$8*$C125</f>
        <v>1370.558376</v>
      </c>
      <c r="BH125" s="122">
        <f>Financials!BG$8*$C125</f>
        <v>1370.558376</v>
      </c>
      <c r="BI125" s="122">
        <f>Financials!BH$8*$C125</f>
        <v>1370.558376</v>
      </c>
      <c r="BJ125" s="122">
        <f>Financials!BI$8*$C125</f>
        <v>1370.558376</v>
      </c>
      <c r="BK125" s="122">
        <f>Financials!BJ$8*$C125</f>
        <v>1370.558376</v>
      </c>
      <c r="BL125" s="122">
        <f>Financials!BK$8*$C125</f>
        <v>1370.558376</v>
      </c>
      <c r="BM125" s="122">
        <f>Financials!BL$8*$C125</f>
        <v>1370.558376</v>
      </c>
      <c r="BN125" s="122">
        <f>Financials!BM$8*$C125</f>
        <v>1370.558376</v>
      </c>
    </row>
    <row r="126" outlineLevel="1">
      <c r="A126" s="47"/>
      <c r="B126" s="129" t="s">
        <v>98</v>
      </c>
      <c r="C126" s="128">
        <v>0.05</v>
      </c>
      <c r="D126" s="47"/>
      <c r="E126" s="47"/>
      <c r="F126" s="122"/>
      <c r="G126" s="122">
        <f>Financials!F$8*$C126</f>
        <v>668.75</v>
      </c>
      <c r="H126" s="122">
        <f>Financials!G$8*$C126</f>
        <v>1006.90625</v>
      </c>
      <c r="I126" s="122">
        <f>Financials!H$8*$C126</f>
        <v>1188.541094</v>
      </c>
      <c r="J126" s="122">
        <f>Financials!I$8*$C126</f>
        <v>1279.546866</v>
      </c>
      <c r="K126" s="122">
        <f>Financials!J$8*$C126</f>
        <v>1331.302578</v>
      </c>
      <c r="L126" s="122">
        <f>Financials!K$8*$C126</f>
        <v>1351.024226</v>
      </c>
      <c r="M126" s="122">
        <f>Financials!L$8*$C126</f>
        <v>1360.792707</v>
      </c>
      <c r="N126" s="122">
        <f>Financials!M$8*$C126</f>
        <v>1371.925562</v>
      </c>
      <c r="O126" s="122">
        <f>Financials!N$8*$C126</f>
        <v>1371.335719</v>
      </c>
      <c r="P126" s="122">
        <f>Financials!O$8*$C126</f>
        <v>1370.948454</v>
      </c>
      <c r="Q126" s="122">
        <f>Financials!P$8*$C126</f>
        <v>1377.003436</v>
      </c>
      <c r="R126" s="122">
        <f>Financials!Q$8*$C126</f>
        <v>1373.874656</v>
      </c>
      <c r="S126" s="122">
        <f>Financials!R$8*$C126</f>
        <v>1372.217922</v>
      </c>
      <c r="T126" s="122">
        <f>Financials!S$8*$C126</f>
        <v>1371.38817</v>
      </c>
      <c r="U126" s="122">
        <f>Financials!T$8*$C126</f>
        <v>1370.973273</v>
      </c>
      <c r="V126" s="122">
        <f>Financials!U$8*$C126</f>
        <v>1370.765824</v>
      </c>
      <c r="W126" s="122">
        <f>Financials!V$8*$C126</f>
        <v>1370.6621</v>
      </c>
      <c r="X126" s="122">
        <f>Financials!W$8*$C126</f>
        <v>1370.610238</v>
      </c>
      <c r="Y126" s="122">
        <f>Financials!X$8*$C126</f>
        <v>1370.584307</v>
      </c>
      <c r="Z126" s="122">
        <f>Financials!Y$8*$C126</f>
        <v>1370.571341</v>
      </c>
      <c r="AA126" s="122">
        <f>Financials!Z$8*$C126</f>
        <v>1370.564858</v>
      </c>
      <c r="AB126" s="122">
        <f>Financials!AA$8*$C126</f>
        <v>1370.561617</v>
      </c>
      <c r="AC126" s="122">
        <f>Financials!AB$8*$C126</f>
        <v>1370.559996</v>
      </c>
      <c r="AD126" s="122">
        <f>Financials!AC$8*$C126</f>
        <v>1370.559186</v>
      </c>
      <c r="AE126" s="122">
        <f>Financials!AD$8*$C126</f>
        <v>1370.558781</v>
      </c>
      <c r="AF126" s="122">
        <f>Financials!AE$8*$C126</f>
        <v>1370.558578</v>
      </c>
      <c r="AG126" s="122">
        <f>Financials!AF$8*$C126</f>
        <v>1370.558477</v>
      </c>
      <c r="AH126" s="122">
        <f>Financials!AG$8*$C126</f>
        <v>1370.558426</v>
      </c>
      <c r="AI126" s="122">
        <f>Financials!AH$8*$C126</f>
        <v>1370.558401</v>
      </c>
      <c r="AJ126" s="122">
        <f>Financials!AI$8*$C126</f>
        <v>1370.558388</v>
      </c>
      <c r="AK126" s="122">
        <f>Financials!AJ$8*$C126</f>
        <v>1370.558382</v>
      </c>
      <c r="AL126" s="122">
        <f>Financials!AK$8*$C126</f>
        <v>1370.558379</v>
      </c>
      <c r="AM126" s="122">
        <f>Financials!AL$8*$C126</f>
        <v>1370.558377</v>
      </c>
      <c r="AN126" s="122">
        <f>Financials!AM$8*$C126</f>
        <v>1370.558376</v>
      </c>
      <c r="AO126" s="122">
        <f>Financials!AN$8*$C126</f>
        <v>1370.558376</v>
      </c>
      <c r="AP126" s="122">
        <f>Financials!AO$8*$C126</f>
        <v>1370.558376</v>
      </c>
      <c r="AQ126" s="122">
        <f>Financials!AP$8*$C126</f>
        <v>1370.558376</v>
      </c>
      <c r="AR126" s="122">
        <f>Financials!AQ$8*$C126</f>
        <v>1370.558376</v>
      </c>
      <c r="AS126" s="122">
        <f>Financials!AR$8*$C126</f>
        <v>1370.558376</v>
      </c>
      <c r="AT126" s="122">
        <f>Financials!AS$8*$C126</f>
        <v>1370.558376</v>
      </c>
      <c r="AU126" s="122">
        <f>Financials!AT$8*$C126</f>
        <v>1370.558376</v>
      </c>
      <c r="AV126" s="122">
        <f>Financials!AU$8*$C126</f>
        <v>1370.558376</v>
      </c>
      <c r="AW126" s="122">
        <f>Financials!AV$8*$C126</f>
        <v>1370.558376</v>
      </c>
      <c r="AX126" s="122">
        <f>Financials!AW$8*$C126</f>
        <v>1370.558376</v>
      </c>
      <c r="AY126" s="122">
        <f>Financials!AX$8*$C126</f>
        <v>1370.558376</v>
      </c>
      <c r="AZ126" s="122">
        <f>Financials!AY$8*$C126</f>
        <v>1370.558376</v>
      </c>
      <c r="BA126" s="122">
        <f>Financials!AZ$8*$C126</f>
        <v>1370.558376</v>
      </c>
      <c r="BB126" s="122">
        <f>Financials!BA$8*$C126</f>
        <v>1370.558376</v>
      </c>
      <c r="BC126" s="122">
        <f>Financials!BB$8*$C126</f>
        <v>1370.558376</v>
      </c>
      <c r="BD126" s="122">
        <f>Financials!BC$8*$C126</f>
        <v>1370.558376</v>
      </c>
      <c r="BE126" s="122">
        <f>Financials!BD$8*$C126</f>
        <v>1370.558376</v>
      </c>
      <c r="BF126" s="122">
        <f>Financials!BE$8*$C126</f>
        <v>1370.558376</v>
      </c>
      <c r="BG126" s="122">
        <f>Financials!BF$8*$C126</f>
        <v>1370.558376</v>
      </c>
      <c r="BH126" s="122">
        <f>Financials!BG$8*$C126</f>
        <v>1370.558376</v>
      </c>
      <c r="BI126" s="122">
        <f>Financials!BH$8*$C126</f>
        <v>1370.558376</v>
      </c>
      <c r="BJ126" s="122">
        <f>Financials!BI$8*$C126</f>
        <v>1370.558376</v>
      </c>
      <c r="BK126" s="122">
        <f>Financials!BJ$8*$C126</f>
        <v>1370.558376</v>
      </c>
      <c r="BL126" s="122">
        <f>Financials!BK$8*$C126</f>
        <v>1370.558376</v>
      </c>
      <c r="BM126" s="122">
        <f>Financials!BL$8*$C126</f>
        <v>1370.558376</v>
      </c>
      <c r="BN126" s="122">
        <f>Financials!BM$8*$C126</f>
        <v>1370.558376</v>
      </c>
    </row>
    <row r="127" outlineLevel="1">
      <c r="A127" s="47"/>
      <c r="B127" s="129" t="s">
        <v>99</v>
      </c>
      <c r="C127" s="128">
        <v>0.05</v>
      </c>
      <c r="D127" s="47"/>
      <c r="E127" s="47"/>
      <c r="F127" s="122"/>
      <c r="G127" s="122">
        <f>Financials!F$8*$C127</f>
        <v>668.75</v>
      </c>
      <c r="H127" s="122">
        <f>Financials!G$8*$C127</f>
        <v>1006.90625</v>
      </c>
      <c r="I127" s="122">
        <f>Financials!H$8*$C127</f>
        <v>1188.541094</v>
      </c>
      <c r="J127" s="122">
        <f>Financials!I$8*$C127</f>
        <v>1279.546866</v>
      </c>
      <c r="K127" s="122">
        <f>Financials!J$8*$C127</f>
        <v>1331.302578</v>
      </c>
      <c r="L127" s="122">
        <f>Financials!K$8*$C127</f>
        <v>1351.024226</v>
      </c>
      <c r="M127" s="122">
        <f>Financials!L$8*$C127</f>
        <v>1360.792707</v>
      </c>
      <c r="N127" s="122">
        <f>Financials!M$8*$C127</f>
        <v>1371.925562</v>
      </c>
      <c r="O127" s="122">
        <f>Financials!N$8*$C127</f>
        <v>1371.335719</v>
      </c>
      <c r="P127" s="122">
        <f>Financials!O$8*$C127</f>
        <v>1370.948454</v>
      </c>
      <c r="Q127" s="122">
        <f>Financials!P$8*$C127</f>
        <v>1377.003436</v>
      </c>
      <c r="R127" s="122">
        <f>Financials!Q$8*$C127</f>
        <v>1373.874656</v>
      </c>
      <c r="S127" s="122">
        <f>Financials!R$8*$C127</f>
        <v>1372.217922</v>
      </c>
      <c r="T127" s="122">
        <f>Financials!S$8*$C127</f>
        <v>1371.38817</v>
      </c>
      <c r="U127" s="122">
        <f>Financials!T$8*$C127</f>
        <v>1370.973273</v>
      </c>
      <c r="V127" s="122">
        <f>Financials!U$8*$C127</f>
        <v>1370.765824</v>
      </c>
      <c r="W127" s="122">
        <f>Financials!V$8*$C127</f>
        <v>1370.6621</v>
      </c>
      <c r="X127" s="122">
        <f>Financials!W$8*$C127</f>
        <v>1370.610238</v>
      </c>
      <c r="Y127" s="122">
        <f>Financials!X$8*$C127</f>
        <v>1370.584307</v>
      </c>
      <c r="Z127" s="122">
        <f>Financials!Y$8*$C127</f>
        <v>1370.571341</v>
      </c>
      <c r="AA127" s="122">
        <f>Financials!Z$8*$C127</f>
        <v>1370.564858</v>
      </c>
      <c r="AB127" s="122">
        <f>Financials!AA$8*$C127</f>
        <v>1370.561617</v>
      </c>
      <c r="AC127" s="122">
        <f>Financials!AB$8*$C127</f>
        <v>1370.559996</v>
      </c>
      <c r="AD127" s="122">
        <f>Financials!AC$8*$C127</f>
        <v>1370.559186</v>
      </c>
      <c r="AE127" s="122">
        <f>Financials!AD$8*$C127</f>
        <v>1370.558781</v>
      </c>
      <c r="AF127" s="122">
        <f>Financials!AE$8*$C127</f>
        <v>1370.558578</v>
      </c>
      <c r="AG127" s="122">
        <f>Financials!AF$8*$C127</f>
        <v>1370.558477</v>
      </c>
      <c r="AH127" s="122">
        <f>Financials!AG$8*$C127</f>
        <v>1370.558426</v>
      </c>
      <c r="AI127" s="122">
        <f>Financials!AH$8*$C127</f>
        <v>1370.558401</v>
      </c>
      <c r="AJ127" s="122">
        <f>Financials!AI$8*$C127</f>
        <v>1370.558388</v>
      </c>
      <c r="AK127" s="122">
        <f>Financials!AJ$8*$C127</f>
        <v>1370.558382</v>
      </c>
      <c r="AL127" s="122">
        <f>Financials!AK$8*$C127</f>
        <v>1370.558379</v>
      </c>
      <c r="AM127" s="122">
        <f>Financials!AL$8*$C127</f>
        <v>1370.558377</v>
      </c>
      <c r="AN127" s="122">
        <f>Financials!AM$8*$C127</f>
        <v>1370.558376</v>
      </c>
      <c r="AO127" s="122">
        <f>Financials!AN$8*$C127</f>
        <v>1370.558376</v>
      </c>
      <c r="AP127" s="122">
        <f>Financials!AO$8*$C127</f>
        <v>1370.558376</v>
      </c>
      <c r="AQ127" s="122">
        <f>Financials!AP$8*$C127</f>
        <v>1370.558376</v>
      </c>
      <c r="AR127" s="122">
        <f>Financials!AQ$8*$C127</f>
        <v>1370.558376</v>
      </c>
      <c r="AS127" s="122">
        <f>Financials!AR$8*$C127</f>
        <v>1370.558376</v>
      </c>
      <c r="AT127" s="122">
        <f>Financials!AS$8*$C127</f>
        <v>1370.558376</v>
      </c>
      <c r="AU127" s="122">
        <f>Financials!AT$8*$C127</f>
        <v>1370.558376</v>
      </c>
      <c r="AV127" s="122">
        <f>Financials!AU$8*$C127</f>
        <v>1370.558376</v>
      </c>
      <c r="AW127" s="122">
        <f>Financials!AV$8*$C127</f>
        <v>1370.558376</v>
      </c>
      <c r="AX127" s="122">
        <f>Financials!AW$8*$C127</f>
        <v>1370.558376</v>
      </c>
      <c r="AY127" s="122">
        <f>Financials!AX$8*$C127</f>
        <v>1370.558376</v>
      </c>
      <c r="AZ127" s="122">
        <f>Financials!AY$8*$C127</f>
        <v>1370.558376</v>
      </c>
      <c r="BA127" s="122">
        <f>Financials!AZ$8*$C127</f>
        <v>1370.558376</v>
      </c>
      <c r="BB127" s="122">
        <f>Financials!BA$8*$C127</f>
        <v>1370.558376</v>
      </c>
      <c r="BC127" s="122">
        <f>Financials!BB$8*$C127</f>
        <v>1370.558376</v>
      </c>
      <c r="BD127" s="122">
        <f>Financials!BC$8*$C127</f>
        <v>1370.558376</v>
      </c>
      <c r="BE127" s="122">
        <f>Financials!BD$8*$C127</f>
        <v>1370.558376</v>
      </c>
      <c r="BF127" s="122">
        <f>Financials!BE$8*$C127</f>
        <v>1370.558376</v>
      </c>
      <c r="BG127" s="122">
        <f>Financials!BF$8*$C127</f>
        <v>1370.558376</v>
      </c>
      <c r="BH127" s="122">
        <f>Financials!BG$8*$C127</f>
        <v>1370.558376</v>
      </c>
      <c r="BI127" s="122">
        <f>Financials!BH$8*$C127</f>
        <v>1370.558376</v>
      </c>
      <c r="BJ127" s="122">
        <f>Financials!BI$8*$C127</f>
        <v>1370.558376</v>
      </c>
      <c r="BK127" s="122">
        <f>Financials!BJ$8*$C127</f>
        <v>1370.558376</v>
      </c>
      <c r="BL127" s="122">
        <f>Financials!BK$8*$C127</f>
        <v>1370.558376</v>
      </c>
      <c r="BM127" s="122">
        <f>Financials!BL$8*$C127</f>
        <v>1370.558376</v>
      </c>
      <c r="BN127" s="122">
        <f>Financials!BM$8*$C127</f>
        <v>1370.558376</v>
      </c>
    </row>
    <row r="128" outlineLevel="1">
      <c r="A128" s="47"/>
      <c r="B128" s="129" t="s">
        <v>100</v>
      </c>
      <c r="C128" s="128">
        <v>0.05</v>
      </c>
      <c r="D128" s="47"/>
      <c r="E128" s="47"/>
      <c r="F128" s="122"/>
      <c r="G128" s="122">
        <f>Financials!F$8*$C128</f>
        <v>668.75</v>
      </c>
      <c r="H128" s="122">
        <f>Financials!G$8*$C128</f>
        <v>1006.90625</v>
      </c>
      <c r="I128" s="122">
        <f>Financials!H$8*$C128</f>
        <v>1188.541094</v>
      </c>
      <c r="J128" s="122">
        <f>Financials!I$8*$C128</f>
        <v>1279.546866</v>
      </c>
      <c r="K128" s="122">
        <f>Financials!J$8*$C128</f>
        <v>1331.302578</v>
      </c>
      <c r="L128" s="122">
        <f>Financials!K$8*$C128</f>
        <v>1351.024226</v>
      </c>
      <c r="M128" s="122">
        <f>Financials!L$8*$C128</f>
        <v>1360.792707</v>
      </c>
      <c r="N128" s="122">
        <f>Financials!M$8*$C128</f>
        <v>1371.925562</v>
      </c>
      <c r="O128" s="122">
        <f>Financials!N$8*$C128</f>
        <v>1371.335719</v>
      </c>
      <c r="P128" s="122">
        <f>Financials!O$8*$C128</f>
        <v>1370.948454</v>
      </c>
      <c r="Q128" s="122">
        <f>Financials!P$8*$C128</f>
        <v>1377.003436</v>
      </c>
      <c r="R128" s="122">
        <f>Financials!Q$8*$C128</f>
        <v>1373.874656</v>
      </c>
      <c r="S128" s="122">
        <f>Financials!R$8*$C128</f>
        <v>1372.217922</v>
      </c>
      <c r="T128" s="122">
        <f>Financials!S$8*$C128</f>
        <v>1371.38817</v>
      </c>
      <c r="U128" s="122">
        <f>Financials!T$8*$C128</f>
        <v>1370.973273</v>
      </c>
      <c r="V128" s="122">
        <f>Financials!U$8*$C128</f>
        <v>1370.765824</v>
      </c>
      <c r="W128" s="122">
        <f>Financials!V$8*$C128</f>
        <v>1370.6621</v>
      </c>
      <c r="X128" s="122">
        <f>Financials!W$8*$C128</f>
        <v>1370.610238</v>
      </c>
      <c r="Y128" s="122">
        <f>Financials!X$8*$C128</f>
        <v>1370.584307</v>
      </c>
      <c r="Z128" s="122">
        <f>Financials!Y$8*$C128</f>
        <v>1370.571341</v>
      </c>
      <c r="AA128" s="122">
        <f>Financials!Z$8*$C128</f>
        <v>1370.564858</v>
      </c>
      <c r="AB128" s="122">
        <f>Financials!AA$8*$C128</f>
        <v>1370.561617</v>
      </c>
      <c r="AC128" s="122">
        <f>Financials!AB$8*$C128</f>
        <v>1370.559996</v>
      </c>
      <c r="AD128" s="122">
        <f>Financials!AC$8*$C128</f>
        <v>1370.559186</v>
      </c>
      <c r="AE128" s="122">
        <f>Financials!AD$8*$C128</f>
        <v>1370.558781</v>
      </c>
      <c r="AF128" s="122">
        <f>Financials!AE$8*$C128</f>
        <v>1370.558578</v>
      </c>
      <c r="AG128" s="122">
        <f>Financials!AF$8*$C128</f>
        <v>1370.558477</v>
      </c>
      <c r="AH128" s="122">
        <f>Financials!AG$8*$C128</f>
        <v>1370.558426</v>
      </c>
      <c r="AI128" s="122">
        <f>Financials!AH$8*$C128</f>
        <v>1370.558401</v>
      </c>
      <c r="AJ128" s="122">
        <f>Financials!AI$8*$C128</f>
        <v>1370.558388</v>
      </c>
      <c r="AK128" s="122">
        <f>Financials!AJ$8*$C128</f>
        <v>1370.558382</v>
      </c>
      <c r="AL128" s="122">
        <f>Financials!AK$8*$C128</f>
        <v>1370.558379</v>
      </c>
      <c r="AM128" s="122">
        <f>Financials!AL$8*$C128</f>
        <v>1370.558377</v>
      </c>
      <c r="AN128" s="122">
        <f>Financials!AM$8*$C128</f>
        <v>1370.558376</v>
      </c>
      <c r="AO128" s="122">
        <f>Financials!AN$8*$C128</f>
        <v>1370.558376</v>
      </c>
      <c r="AP128" s="122">
        <f>Financials!AO$8*$C128</f>
        <v>1370.558376</v>
      </c>
      <c r="AQ128" s="122">
        <f>Financials!AP$8*$C128</f>
        <v>1370.558376</v>
      </c>
      <c r="AR128" s="122">
        <f>Financials!AQ$8*$C128</f>
        <v>1370.558376</v>
      </c>
      <c r="AS128" s="122">
        <f>Financials!AR$8*$C128</f>
        <v>1370.558376</v>
      </c>
      <c r="AT128" s="122">
        <f>Financials!AS$8*$C128</f>
        <v>1370.558376</v>
      </c>
      <c r="AU128" s="122">
        <f>Financials!AT$8*$C128</f>
        <v>1370.558376</v>
      </c>
      <c r="AV128" s="122">
        <f>Financials!AU$8*$C128</f>
        <v>1370.558376</v>
      </c>
      <c r="AW128" s="122">
        <f>Financials!AV$8*$C128</f>
        <v>1370.558376</v>
      </c>
      <c r="AX128" s="122">
        <f>Financials!AW$8*$C128</f>
        <v>1370.558376</v>
      </c>
      <c r="AY128" s="122">
        <f>Financials!AX$8*$C128</f>
        <v>1370.558376</v>
      </c>
      <c r="AZ128" s="122">
        <f>Financials!AY$8*$C128</f>
        <v>1370.558376</v>
      </c>
      <c r="BA128" s="122">
        <f>Financials!AZ$8*$C128</f>
        <v>1370.558376</v>
      </c>
      <c r="BB128" s="122">
        <f>Financials!BA$8*$C128</f>
        <v>1370.558376</v>
      </c>
      <c r="BC128" s="122">
        <f>Financials!BB$8*$C128</f>
        <v>1370.558376</v>
      </c>
      <c r="BD128" s="122">
        <f>Financials!BC$8*$C128</f>
        <v>1370.558376</v>
      </c>
      <c r="BE128" s="122">
        <f>Financials!BD$8*$C128</f>
        <v>1370.558376</v>
      </c>
      <c r="BF128" s="122">
        <f>Financials!BE$8*$C128</f>
        <v>1370.558376</v>
      </c>
      <c r="BG128" s="122">
        <f>Financials!BF$8*$C128</f>
        <v>1370.558376</v>
      </c>
      <c r="BH128" s="122">
        <f>Financials!BG$8*$C128</f>
        <v>1370.558376</v>
      </c>
      <c r="BI128" s="122">
        <f>Financials!BH$8*$C128</f>
        <v>1370.558376</v>
      </c>
      <c r="BJ128" s="122">
        <f>Financials!BI$8*$C128</f>
        <v>1370.558376</v>
      </c>
      <c r="BK128" s="122">
        <f>Financials!BJ$8*$C128</f>
        <v>1370.558376</v>
      </c>
      <c r="BL128" s="122">
        <f>Financials!BK$8*$C128</f>
        <v>1370.558376</v>
      </c>
      <c r="BM128" s="122">
        <f>Financials!BL$8*$C128</f>
        <v>1370.558376</v>
      </c>
      <c r="BN128" s="122">
        <f>Financials!BM$8*$C128</f>
        <v>1370.558376</v>
      </c>
    </row>
    <row r="129" outlineLevel="1">
      <c r="A129" s="47"/>
      <c r="B129" s="130" t="s">
        <v>101</v>
      </c>
      <c r="C129" s="131">
        <v>0.05</v>
      </c>
      <c r="D129" s="62"/>
      <c r="E129" s="62"/>
      <c r="F129" s="132"/>
      <c r="G129" s="132">
        <f>Financials!F$8*$C129</f>
        <v>668.75</v>
      </c>
      <c r="H129" s="132">
        <f>Financials!G$8*$C129</f>
        <v>1006.90625</v>
      </c>
      <c r="I129" s="132">
        <f>Financials!H$8*$C129</f>
        <v>1188.541094</v>
      </c>
      <c r="J129" s="132">
        <f>Financials!I$8*$C129</f>
        <v>1279.546866</v>
      </c>
      <c r="K129" s="132">
        <f>Financials!J$8*$C129</f>
        <v>1331.302578</v>
      </c>
      <c r="L129" s="132">
        <f>Financials!K$8*$C129</f>
        <v>1351.024226</v>
      </c>
      <c r="M129" s="132">
        <f>Financials!L$8*$C129</f>
        <v>1360.792707</v>
      </c>
      <c r="N129" s="132">
        <f>Financials!M$8*$C129</f>
        <v>1371.925562</v>
      </c>
      <c r="O129" s="132">
        <f>Financials!N$8*$C129</f>
        <v>1371.335719</v>
      </c>
      <c r="P129" s="132">
        <f>Financials!O$8*$C129</f>
        <v>1370.948454</v>
      </c>
      <c r="Q129" s="132">
        <f>Financials!P$8*$C129</f>
        <v>1377.003436</v>
      </c>
      <c r="R129" s="132">
        <f>Financials!Q$8*$C129</f>
        <v>1373.874656</v>
      </c>
      <c r="S129" s="132">
        <f>Financials!R$8*$C129</f>
        <v>1372.217922</v>
      </c>
      <c r="T129" s="132">
        <f>Financials!S$8*$C129</f>
        <v>1371.38817</v>
      </c>
      <c r="U129" s="132">
        <f>Financials!T$8*$C129</f>
        <v>1370.973273</v>
      </c>
      <c r="V129" s="132">
        <f>Financials!U$8*$C129</f>
        <v>1370.765824</v>
      </c>
      <c r="W129" s="132">
        <f>Financials!V$8*$C129</f>
        <v>1370.6621</v>
      </c>
      <c r="X129" s="132">
        <f>Financials!W$8*$C129</f>
        <v>1370.610238</v>
      </c>
      <c r="Y129" s="132">
        <f>Financials!X$8*$C129</f>
        <v>1370.584307</v>
      </c>
      <c r="Z129" s="132">
        <f>Financials!Y$8*$C129</f>
        <v>1370.571341</v>
      </c>
      <c r="AA129" s="132">
        <f>Financials!Z$8*$C129</f>
        <v>1370.564858</v>
      </c>
      <c r="AB129" s="132">
        <f>Financials!AA$8*$C129</f>
        <v>1370.561617</v>
      </c>
      <c r="AC129" s="132">
        <f>Financials!AB$8*$C129</f>
        <v>1370.559996</v>
      </c>
      <c r="AD129" s="132">
        <f>Financials!AC$8*$C129</f>
        <v>1370.559186</v>
      </c>
      <c r="AE129" s="132">
        <f>Financials!AD$8*$C129</f>
        <v>1370.558781</v>
      </c>
      <c r="AF129" s="132">
        <f>Financials!AE$8*$C129</f>
        <v>1370.558578</v>
      </c>
      <c r="AG129" s="132">
        <f>Financials!AF$8*$C129</f>
        <v>1370.558477</v>
      </c>
      <c r="AH129" s="132">
        <f>Financials!AG$8*$C129</f>
        <v>1370.558426</v>
      </c>
      <c r="AI129" s="132">
        <f>Financials!AH$8*$C129</f>
        <v>1370.558401</v>
      </c>
      <c r="AJ129" s="132">
        <f>Financials!AI$8*$C129</f>
        <v>1370.558388</v>
      </c>
      <c r="AK129" s="132">
        <f>Financials!AJ$8*$C129</f>
        <v>1370.558382</v>
      </c>
      <c r="AL129" s="132">
        <f>Financials!AK$8*$C129</f>
        <v>1370.558379</v>
      </c>
      <c r="AM129" s="132">
        <f>Financials!AL$8*$C129</f>
        <v>1370.558377</v>
      </c>
      <c r="AN129" s="132">
        <f>Financials!AM$8*$C129</f>
        <v>1370.558376</v>
      </c>
      <c r="AO129" s="132">
        <f>Financials!AN$8*$C129</f>
        <v>1370.558376</v>
      </c>
      <c r="AP129" s="132">
        <f>Financials!AO$8*$C129</f>
        <v>1370.558376</v>
      </c>
      <c r="AQ129" s="132">
        <f>Financials!AP$8*$C129</f>
        <v>1370.558376</v>
      </c>
      <c r="AR129" s="132">
        <f>Financials!AQ$8*$C129</f>
        <v>1370.558376</v>
      </c>
      <c r="AS129" s="132">
        <f>Financials!AR$8*$C129</f>
        <v>1370.558376</v>
      </c>
      <c r="AT129" s="132">
        <f>Financials!AS$8*$C129</f>
        <v>1370.558376</v>
      </c>
      <c r="AU129" s="132">
        <f>Financials!AT$8*$C129</f>
        <v>1370.558376</v>
      </c>
      <c r="AV129" s="132">
        <f>Financials!AU$8*$C129</f>
        <v>1370.558376</v>
      </c>
      <c r="AW129" s="132">
        <f>Financials!AV$8*$C129</f>
        <v>1370.558376</v>
      </c>
      <c r="AX129" s="132">
        <f>Financials!AW$8*$C129</f>
        <v>1370.558376</v>
      </c>
      <c r="AY129" s="132">
        <f>Financials!AX$8*$C129</f>
        <v>1370.558376</v>
      </c>
      <c r="AZ129" s="132">
        <f>Financials!AY$8*$C129</f>
        <v>1370.558376</v>
      </c>
      <c r="BA129" s="132">
        <f>Financials!AZ$8*$C129</f>
        <v>1370.558376</v>
      </c>
      <c r="BB129" s="132">
        <f>Financials!BA$8*$C129</f>
        <v>1370.558376</v>
      </c>
      <c r="BC129" s="132">
        <f>Financials!BB$8*$C129</f>
        <v>1370.558376</v>
      </c>
      <c r="BD129" s="132">
        <f>Financials!BC$8*$C129</f>
        <v>1370.558376</v>
      </c>
      <c r="BE129" s="132">
        <f>Financials!BD$8*$C129</f>
        <v>1370.558376</v>
      </c>
      <c r="BF129" s="132">
        <f>Financials!BE$8*$C129</f>
        <v>1370.558376</v>
      </c>
      <c r="BG129" s="132">
        <f>Financials!BF$8*$C129</f>
        <v>1370.558376</v>
      </c>
      <c r="BH129" s="132">
        <f>Financials!BG$8*$C129</f>
        <v>1370.558376</v>
      </c>
      <c r="BI129" s="132">
        <f>Financials!BH$8*$C129</f>
        <v>1370.558376</v>
      </c>
      <c r="BJ129" s="132">
        <f>Financials!BI$8*$C129</f>
        <v>1370.558376</v>
      </c>
      <c r="BK129" s="132">
        <f>Financials!BJ$8*$C129</f>
        <v>1370.558376</v>
      </c>
      <c r="BL129" s="132">
        <f>Financials!BK$8*$C129</f>
        <v>1370.558376</v>
      </c>
      <c r="BM129" s="132">
        <f>Financials!BL$8*$C129</f>
        <v>1370.558376</v>
      </c>
      <c r="BN129" s="132">
        <f>Financials!BM$8*$C129</f>
        <v>1370.558376</v>
      </c>
    </row>
    <row r="130" outlineLevel="1">
      <c r="A130" s="133"/>
      <c r="B130" s="134" t="s">
        <v>102</v>
      </c>
      <c r="C130" s="133"/>
      <c r="D130" s="133"/>
      <c r="E130" s="133"/>
      <c r="F130" s="133"/>
      <c r="G130" s="135">
        <f t="shared" ref="G130:BN130" si="92">sum(G122:G129)</f>
        <v>4681.25</v>
      </c>
      <c r="H130" s="135">
        <f t="shared" si="92"/>
        <v>7048.34375</v>
      </c>
      <c r="I130" s="135">
        <f t="shared" si="92"/>
        <v>8319.787656</v>
      </c>
      <c r="J130" s="135">
        <f t="shared" si="92"/>
        <v>8956.828065</v>
      </c>
      <c r="K130" s="135">
        <f t="shared" si="92"/>
        <v>9319.118046</v>
      </c>
      <c r="L130" s="135">
        <f t="shared" si="92"/>
        <v>9457.169583</v>
      </c>
      <c r="M130" s="135">
        <f t="shared" si="92"/>
        <v>9525.54895</v>
      </c>
      <c r="N130" s="135">
        <f t="shared" si="92"/>
        <v>9603.478937</v>
      </c>
      <c r="O130" s="135">
        <f t="shared" si="92"/>
        <v>9599.350036</v>
      </c>
      <c r="P130" s="135">
        <f t="shared" si="92"/>
        <v>9596.639176</v>
      </c>
      <c r="Q130" s="135">
        <f t="shared" si="92"/>
        <v>9639.024051</v>
      </c>
      <c r="R130" s="135">
        <f t="shared" si="92"/>
        <v>9617.122592</v>
      </c>
      <c r="S130" s="135">
        <f t="shared" si="92"/>
        <v>9605.525455</v>
      </c>
      <c r="T130" s="135">
        <f t="shared" si="92"/>
        <v>9599.71719</v>
      </c>
      <c r="U130" s="135">
        <f t="shared" si="92"/>
        <v>9596.812912</v>
      </c>
      <c r="V130" s="135">
        <f t="shared" si="92"/>
        <v>9595.360771</v>
      </c>
      <c r="W130" s="135">
        <f t="shared" si="92"/>
        <v>9594.6347</v>
      </c>
      <c r="X130" s="135">
        <f t="shared" si="92"/>
        <v>9594.271665</v>
      </c>
      <c r="Y130" s="135">
        <f t="shared" si="92"/>
        <v>9594.090147</v>
      </c>
      <c r="Z130" s="135">
        <f t="shared" si="92"/>
        <v>9593.999388</v>
      </c>
      <c r="AA130" s="135">
        <f t="shared" si="92"/>
        <v>9593.954009</v>
      </c>
      <c r="AB130" s="135">
        <f t="shared" si="92"/>
        <v>9593.931319</v>
      </c>
      <c r="AC130" s="135">
        <f t="shared" si="92"/>
        <v>9593.919974</v>
      </c>
      <c r="AD130" s="135">
        <f t="shared" si="92"/>
        <v>9593.914302</v>
      </c>
      <c r="AE130" s="135">
        <f t="shared" si="92"/>
        <v>9593.911466</v>
      </c>
      <c r="AF130" s="135">
        <f t="shared" si="92"/>
        <v>9593.910048</v>
      </c>
      <c r="AG130" s="135">
        <f t="shared" si="92"/>
        <v>9593.909338</v>
      </c>
      <c r="AH130" s="135">
        <f t="shared" si="92"/>
        <v>9593.908984</v>
      </c>
      <c r="AI130" s="135">
        <f t="shared" si="92"/>
        <v>9593.908807</v>
      </c>
      <c r="AJ130" s="135">
        <f t="shared" si="92"/>
        <v>9593.908718</v>
      </c>
      <c r="AK130" s="135">
        <f t="shared" si="92"/>
        <v>9593.908674</v>
      </c>
      <c r="AL130" s="135">
        <f t="shared" si="92"/>
        <v>9593.908652</v>
      </c>
      <c r="AM130" s="135">
        <f t="shared" si="92"/>
        <v>9593.908641</v>
      </c>
      <c r="AN130" s="135">
        <f t="shared" si="92"/>
        <v>9593.908635</v>
      </c>
      <c r="AO130" s="135">
        <f t="shared" si="92"/>
        <v>9593.908632</v>
      </c>
      <c r="AP130" s="135">
        <f t="shared" si="92"/>
        <v>9593.908631</v>
      </c>
      <c r="AQ130" s="135">
        <f t="shared" si="92"/>
        <v>9593.90863</v>
      </c>
      <c r="AR130" s="135">
        <f t="shared" si="92"/>
        <v>9593.90863</v>
      </c>
      <c r="AS130" s="135">
        <f t="shared" si="92"/>
        <v>9593.90863</v>
      </c>
      <c r="AT130" s="135">
        <f t="shared" si="92"/>
        <v>9593.90863</v>
      </c>
      <c r="AU130" s="135">
        <f t="shared" si="92"/>
        <v>9593.908629</v>
      </c>
      <c r="AV130" s="135">
        <f t="shared" si="92"/>
        <v>9593.908629</v>
      </c>
      <c r="AW130" s="135">
        <f t="shared" si="92"/>
        <v>9593.908629</v>
      </c>
      <c r="AX130" s="135">
        <f t="shared" si="92"/>
        <v>9593.908629</v>
      </c>
      <c r="AY130" s="135">
        <f t="shared" si="92"/>
        <v>9593.908629</v>
      </c>
      <c r="AZ130" s="135">
        <f t="shared" si="92"/>
        <v>9593.908629</v>
      </c>
      <c r="BA130" s="135">
        <f t="shared" si="92"/>
        <v>9593.908629</v>
      </c>
      <c r="BB130" s="135">
        <f t="shared" si="92"/>
        <v>9593.908629</v>
      </c>
      <c r="BC130" s="135">
        <f t="shared" si="92"/>
        <v>9593.908629</v>
      </c>
      <c r="BD130" s="135">
        <f t="shared" si="92"/>
        <v>9593.908629</v>
      </c>
      <c r="BE130" s="135">
        <f t="shared" si="92"/>
        <v>9593.908629</v>
      </c>
      <c r="BF130" s="135">
        <f t="shared" si="92"/>
        <v>9593.908629</v>
      </c>
      <c r="BG130" s="135">
        <f t="shared" si="92"/>
        <v>9593.908629</v>
      </c>
      <c r="BH130" s="135">
        <f t="shared" si="92"/>
        <v>9593.908629</v>
      </c>
      <c r="BI130" s="135">
        <f t="shared" si="92"/>
        <v>9593.908629</v>
      </c>
      <c r="BJ130" s="135">
        <f t="shared" si="92"/>
        <v>9593.908629</v>
      </c>
      <c r="BK130" s="135">
        <f t="shared" si="92"/>
        <v>9593.908629</v>
      </c>
      <c r="BL130" s="135">
        <f t="shared" si="92"/>
        <v>9593.908629</v>
      </c>
      <c r="BM130" s="135">
        <f t="shared" si="92"/>
        <v>9593.908629</v>
      </c>
      <c r="BN130" s="135">
        <f t="shared" si="92"/>
        <v>9593.908629</v>
      </c>
    </row>
    <row r="131" outlineLevel="1">
      <c r="A131" s="47"/>
      <c r="B131" s="67"/>
      <c r="C131" s="47"/>
      <c r="D131" s="47"/>
      <c r="E131" s="47"/>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c r="AZ131" s="122"/>
      <c r="BA131" s="122"/>
      <c r="BB131" s="122"/>
      <c r="BC131" s="122"/>
      <c r="BD131" s="122"/>
      <c r="BE131" s="122"/>
      <c r="BF131" s="122"/>
      <c r="BG131" s="122"/>
      <c r="BH131" s="122"/>
      <c r="BI131" s="122"/>
      <c r="BJ131" s="122"/>
      <c r="BK131" s="122"/>
      <c r="BL131" s="122"/>
      <c r="BM131" s="122"/>
      <c r="BN131" s="122"/>
    </row>
    <row r="132" outlineLevel="1">
      <c r="A132" s="47"/>
      <c r="B132" s="67" t="s">
        <v>103</v>
      </c>
      <c r="C132" s="67"/>
      <c r="D132" s="121"/>
      <c r="E132" s="47"/>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c r="AZ132" s="122"/>
      <c r="BA132" s="122"/>
      <c r="BB132" s="122"/>
      <c r="BC132" s="122"/>
      <c r="BD132" s="122"/>
      <c r="BE132" s="122"/>
      <c r="BF132" s="122"/>
      <c r="BG132" s="122"/>
      <c r="BH132" s="122"/>
      <c r="BI132" s="122"/>
      <c r="BJ132" s="122"/>
      <c r="BK132" s="122"/>
      <c r="BL132" s="122"/>
      <c r="BM132" s="122"/>
      <c r="BN132" s="122"/>
    </row>
    <row r="133" outlineLevel="1">
      <c r="A133" s="68"/>
      <c r="B133" s="123" t="s">
        <v>104</v>
      </c>
      <c r="C133" s="136">
        <v>2500.0</v>
      </c>
      <c r="D133" s="137"/>
      <c r="E133" s="68"/>
      <c r="F133" s="122"/>
      <c r="G133" s="122">
        <f t="shared" ref="G133:G140" si="94">C133</f>
        <v>2500</v>
      </c>
      <c r="H133" s="122">
        <f t="shared" ref="H133:BN133" si="93">G133</f>
        <v>2500</v>
      </c>
      <c r="I133" s="122">
        <f t="shared" si="93"/>
        <v>2500</v>
      </c>
      <c r="J133" s="122">
        <f t="shared" si="93"/>
        <v>2500</v>
      </c>
      <c r="K133" s="122">
        <f t="shared" si="93"/>
        <v>2500</v>
      </c>
      <c r="L133" s="122">
        <f t="shared" si="93"/>
        <v>2500</v>
      </c>
      <c r="M133" s="122">
        <f t="shared" si="93"/>
        <v>2500</v>
      </c>
      <c r="N133" s="122">
        <f t="shared" si="93"/>
        <v>2500</v>
      </c>
      <c r="O133" s="122">
        <f t="shared" si="93"/>
        <v>2500</v>
      </c>
      <c r="P133" s="122">
        <f t="shared" si="93"/>
        <v>2500</v>
      </c>
      <c r="Q133" s="122">
        <f t="shared" si="93"/>
        <v>2500</v>
      </c>
      <c r="R133" s="122">
        <f t="shared" si="93"/>
        <v>2500</v>
      </c>
      <c r="S133" s="122">
        <f t="shared" si="93"/>
        <v>2500</v>
      </c>
      <c r="T133" s="122">
        <f t="shared" si="93"/>
        <v>2500</v>
      </c>
      <c r="U133" s="122">
        <f t="shared" si="93"/>
        <v>2500</v>
      </c>
      <c r="V133" s="122">
        <f t="shared" si="93"/>
        <v>2500</v>
      </c>
      <c r="W133" s="122">
        <f t="shared" si="93"/>
        <v>2500</v>
      </c>
      <c r="X133" s="122">
        <f t="shared" si="93"/>
        <v>2500</v>
      </c>
      <c r="Y133" s="122">
        <f t="shared" si="93"/>
        <v>2500</v>
      </c>
      <c r="Z133" s="122">
        <f t="shared" si="93"/>
        <v>2500</v>
      </c>
      <c r="AA133" s="122">
        <f t="shared" si="93"/>
        <v>2500</v>
      </c>
      <c r="AB133" s="122">
        <f t="shared" si="93"/>
        <v>2500</v>
      </c>
      <c r="AC133" s="122">
        <f t="shared" si="93"/>
        <v>2500</v>
      </c>
      <c r="AD133" s="122">
        <f t="shared" si="93"/>
        <v>2500</v>
      </c>
      <c r="AE133" s="122">
        <f t="shared" si="93"/>
        <v>2500</v>
      </c>
      <c r="AF133" s="122">
        <f t="shared" si="93"/>
        <v>2500</v>
      </c>
      <c r="AG133" s="122">
        <f t="shared" si="93"/>
        <v>2500</v>
      </c>
      <c r="AH133" s="122">
        <f t="shared" si="93"/>
        <v>2500</v>
      </c>
      <c r="AI133" s="122">
        <f t="shared" si="93"/>
        <v>2500</v>
      </c>
      <c r="AJ133" s="122">
        <f t="shared" si="93"/>
        <v>2500</v>
      </c>
      <c r="AK133" s="122">
        <f t="shared" si="93"/>
        <v>2500</v>
      </c>
      <c r="AL133" s="122">
        <f t="shared" si="93"/>
        <v>2500</v>
      </c>
      <c r="AM133" s="122">
        <f t="shared" si="93"/>
        <v>2500</v>
      </c>
      <c r="AN133" s="122">
        <f t="shared" si="93"/>
        <v>2500</v>
      </c>
      <c r="AO133" s="122">
        <f t="shared" si="93"/>
        <v>2500</v>
      </c>
      <c r="AP133" s="122">
        <f t="shared" si="93"/>
        <v>2500</v>
      </c>
      <c r="AQ133" s="122">
        <f t="shared" si="93"/>
        <v>2500</v>
      </c>
      <c r="AR133" s="122">
        <f t="shared" si="93"/>
        <v>2500</v>
      </c>
      <c r="AS133" s="122">
        <f t="shared" si="93"/>
        <v>2500</v>
      </c>
      <c r="AT133" s="122">
        <f t="shared" si="93"/>
        <v>2500</v>
      </c>
      <c r="AU133" s="122">
        <f t="shared" si="93"/>
        <v>2500</v>
      </c>
      <c r="AV133" s="122">
        <f t="shared" si="93"/>
        <v>2500</v>
      </c>
      <c r="AW133" s="122">
        <f t="shared" si="93"/>
        <v>2500</v>
      </c>
      <c r="AX133" s="122">
        <f t="shared" si="93"/>
        <v>2500</v>
      </c>
      <c r="AY133" s="122">
        <f t="shared" si="93"/>
        <v>2500</v>
      </c>
      <c r="AZ133" s="122">
        <f t="shared" si="93"/>
        <v>2500</v>
      </c>
      <c r="BA133" s="122">
        <f t="shared" si="93"/>
        <v>2500</v>
      </c>
      <c r="BB133" s="122">
        <f t="shared" si="93"/>
        <v>2500</v>
      </c>
      <c r="BC133" s="122">
        <f t="shared" si="93"/>
        <v>2500</v>
      </c>
      <c r="BD133" s="122">
        <f t="shared" si="93"/>
        <v>2500</v>
      </c>
      <c r="BE133" s="122">
        <f t="shared" si="93"/>
        <v>2500</v>
      </c>
      <c r="BF133" s="122">
        <f t="shared" si="93"/>
        <v>2500</v>
      </c>
      <c r="BG133" s="122">
        <f t="shared" si="93"/>
        <v>2500</v>
      </c>
      <c r="BH133" s="122">
        <f t="shared" si="93"/>
        <v>2500</v>
      </c>
      <c r="BI133" s="122">
        <f t="shared" si="93"/>
        <v>2500</v>
      </c>
      <c r="BJ133" s="122">
        <f t="shared" si="93"/>
        <v>2500</v>
      </c>
      <c r="BK133" s="122">
        <f t="shared" si="93"/>
        <v>2500</v>
      </c>
      <c r="BL133" s="122">
        <f t="shared" si="93"/>
        <v>2500</v>
      </c>
      <c r="BM133" s="122">
        <f t="shared" si="93"/>
        <v>2500</v>
      </c>
      <c r="BN133" s="122">
        <f t="shared" si="93"/>
        <v>2500</v>
      </c>
    </row>
    <row r="134" outlineLevel="1">
      <c r="A134" s="68"/>
      <c r="B134" s="123" t="s">
        <v>105</v>
      </c>
      <c r="C134" s="136">
        <v>2500.0</v>
      </c>
      <c r="D134" s="137"/>
      <c r="E134" s="68"/>
      <c r="F134" s="122"/>
      <c r="G134" s="122">
        <f t="shared" si="94"/>
        <v>2500</v>
      </c>
      <c r="H134" s="122">
        <f t="shared" ref="H134:BN134" si="95">G134</f>
        <v>2500</v>
      </c>
      <c r="I134" s="122">
        <f t="shared" si="95"/>
        <v>2500</v>
      </c>
      <c r="J134" s="122">
        <f t="shared" si="95"/>
        <v>2500</v>
      </c>
      <c r="K134" s="122">
        <f t="shared" si="95"/>
        <v>2500</v>
      </c>
      <c r="L134" s="122">
        <f t="shared" si="95"/>
        <v>2500</v>
      </c>
      <c r="M134" s="122">
        <f t="shared" si="95"/>
        <v>2500</v>
      </c>
      <c r="N134" s="122">
        <f t="shared" si="95"/>
        <v>2500</v>
      </c>
      <c r="O134" s="122">
        <f t="shared" si="95"/>
        <v>2500</v>
      </c>
      <c r="P134" s="122">
        <f t="shared" si="95"/>
        <v>2500</v>
      </c>
      <c r="Q134" s="122">
        <f t="shared" si="95"/>
        <v>2500</v>
      </c>
      <c r="R134" s="122">
        <f t="shared" si="95"/>
        <v>2500</v>
      </c>
      <c r="S134" s="122">
        <f t="shared" si="95"/>
        <v>2500</v>
      </c>
      <c r="T134" s="122">
        <f t="shared" si="95"/>
        <v>2500</v>
      </c>
      <c r="U134" s="122">
        <f t="shared" si="95"/>
        <v>2500</v>
      </c>
      <c r="V134" s="122">
        <f t="shared" si="95"/>
        <v>2500</v>
      </c>
      <c r="W134" s="122">
        <f t="shared" si="95"/>
        <v>2500</v>
      </c>
      <c r="X134" s="122">
        <f t="shared" si="95"/>
        <v>2500</v>
      </c>
      <c r="Y134" s="122">
        <f t="shared" si="95"/>
        <v>2500</v>
      </c>
      <c r="Z134" s="122">
        <f t="shared" si="95"/>
        <v>2500</v>
      </c>
      <c r="AA134" s="122">
        <f t="shared" si="95"/>
        <v>2500</v>
      </c>
      <c r="AB134" s="122">
        <f t="shared" si="95"/>
        <v>2500</v>
      </c>
      <c r="AC134" s="122">
        <f t="shared" si="95"/>
        <v>2500</v>
      </c>
      <c r="AD134" s="122">
        <f t="shared" si="95"/>
        <v>2500</v>
      </c>
      <c r="AE134" s="122">
        <f t="shared" si="95"/>
        <v>2500</v>
      </c>
      <c r="AF134" s="122">
        <f t="shared" si="95"/>
        <v>2500</v>
      </c>
      <c r="AG134" s="122">
        <f t="shared" si="95"/>
        <v>2500</v>
      </c>
      <c r="AH134" s="122">
        <f t="shared" si="95"/>
        <v>2500</v>
      </c>
      <c r="AI134" s="122">
        <f t="shared" si="95"/>
        <v>2500</v>
      </c>
      <c r="AJ134" s="122">
        <f t="shared" si="95"/>
        <v>2500</v>
      </c>
      <c r="AK134" s="122">
        <f t="shared" si="95"/>
        <v>2500</v>
      </c>
      <c r="AL134" s="122">
        <f t="shared" si="95"/>
        <v>2500</v>
      </c>
      <c r="AM134" s="122">
        <f t="shared" si="95"/>
        <v>2500</v>
      </c>
      <c r="AN134" s="122">
        <f t="shared" si="95"/>
        <v>2500</v>
      </c>
      <c r="AO134" s="122">
        <f t="shared" si="95"/>
        <v>2500</v>
      </c>
      <c r="AP134" s="122">
        <f t="shared" si="95"/>
        <v>2500</v>
      </c>
      <c r="AQ134" s="122">
        <f t="shared" si="95"/>
        <v>2500</v>
      </c>
      <c r="AR134" s="122">
        <f t="shared" si="95"/>
        <v>2500</v>
      </c>
      <c r="AS134" s="122">
        <f t="shared" si="95"/>
        <v>2500</v>
      </c>
      <c r="AT134" s="122">
        <f t="shared" si="95"/>
        <v>2500</v>
      </c>
      <c r="AU134" s="122">
        <f t="shared" si="95"/>
        <v>2500</v>
      </c>
      <c r="AV134" s="122">
        <f t="shared" si="95"/>
        <v>2500</v>
      </c>
      <c r="AW134" s="122">
        <f t="shared" si="95"/>
        <v>2500</v>
      </c>
      <c r="AX134" s="122">
        <f t="shared" si="95"/>
        <v>2500</v>
      </c>
      <c r="AY134" s="122">
        <f t="shared" si="95"/>
        <v>2500</v>
      </c>
      <c r="AZ134" s="122">
        <f t="shared" si="95"/>
        <v>2500</v>
      </c>
      <c r="BA134" s="122">
        <f t="shared" si="95"/>
        <v>2500</v>
      </c>
      <c r="BB134" s="122">
        <f t="shared" si="95"/>
        <v>2500</v>
      </c>
      <c r="BC134" s="122">
        <f t="shared" si="95"/>
        <v>2500</v>
      </c>
      <c r="BD134" s="122">
        <f t="shared" si="95"/>
        <v>2500</v>
      </c>
      <c r="BE134" s="122">
        <f t="shared" si="95"/>
        <v>2500</v>
      </c>
      <c r="BF134" s="122">
        <f t="shared" si="95"/>
        <v>2500</v>
      </c>
      <c r="BG134" s="122">
        <f t="shared" si="95"/>
        <v>2500</v>
      </c>
      <c r="BH134" s="122">
        <f t="shared" si="95"/>
        <v>2500</v>
      </c>
      <c r="BI134" s="122">
        <f t="shared" si="95"/>
        <v>2500</v>
      </c>
      <c r="BJ134" s="122">
        <f t="shared" si="95"/>
        <v>2500</v>
      </c>
      <c r="BK134" s="122">
        <f t="shared" si="95"/>
        <v>2500</v>
      </c>
      <c r="BL134" s="122">
        <f t="shared" si="95"/>
        <v>2500</v>
      </c>
      <c r="BM134" s="122">
        <f t="shared" si="95"/>
        <v>2500</v>
      </c>
      <c r="BN134" s="122">
        <f t="shared" si="95"/>
        <v>2500</v>
      </c>
    </row>
    <row r="135" outlineLevel="1">
      <c r="A135" s="68"/>
      <c r="B135" s="123" t="s">
        <v>106</v>
      </c>
      <c r="C135" s="136">
        <v>2500.0</v>
      </c>
      <c r="D135" s="68"/>
      <c r="E135" s="68"/>
      <c r="F135" s="122"/>
      <c r="G135" s="122">
        <f t="shared" si="94"/>
        <v>2500</v>
      </c>
      <c r="H135" s="122">
        <f t="shared" ref="H135:BN135" si="96">G135</f>
        <v>2500</v>
      </c>
      <c r="I135" s="122">
        <f t="shared" si="96"/>
        <v>2500</v>
      </c>
      <c r="J135" s="122">
        <f t="shared" si="96"/>
        <v>2500</v>
      </c>
      <c r="K135" s="122">
        <f t="shared" si="96"/>
        <v>2500</v>
      </c>
      <c r="L135" s="122">
        <f t="shared" si="96"/>
        <v>2500</v>
      </c>
      <c r="M135" s="122">
        <f t="shared" si="96"/>
        <v>2500</v>
      </c>
      <c r="N135" s="122">
        <f t="shared" si="96"/>
        <v>2500</v>
      </c>
      <c r="O135" s="122">
        <f t="shared" si="96"/>
        <v>2500</v>
      </c>
      <c r="P135" s="122">
        <f t="shared" si="96"/>
        <v>2500</v>
      </c>
      <c r="Q135" s="122">
        <f t="shared" si="96"/>
        <v>2500</v>
      </c>
      <c r="R135" s="122">
        <f t="shared" si="96"/>
        <v>2500</v>
      </c>
      <c r="S135" s="122">
        <f t="shared" si="96"/>
        <v>2500</v>
      </c>
      <c r="T135" s="122">
        <f t="shared" si="96"/>
        <v>2500</v>
      </c>
      <c r="U135" s="122">
        <f t="shared" si="96"/>
        <v>2500</v>
      </c>
      <c r="V135" s="122">
        <f t="shared" si="96"/>
        <v>2500</v>
      </c>
      <c r="W135" s="122">
        <f t="shared" si="96"/>
        <v>2500</v>
      </c>
      <c r="X135" s="122">
        <f t="shared" si="96"/>
        <v>2500</v>
      </c>
      <c r="Y135" s="122">
        <f t="shared" si="96"/>
        <v>2500</v>
      </c>
      <c r="Z135" s="122">
        <f t="shared" si="96"/>
        <v>2500</v>
      </c>
      <c r="AA135" s="122">
        <f t="shared" si="96"/>
        <v>2500</v>
      </c>
      <c r="AB135" s="122">
        <f t="shared" si="96"/>
        <v>2500</v>
      </c>
      <c r="AC135" s="122">
        <f t="shared" si="96"/>
        <v>2500</v>
      </c>
      <c r="AD135" s="122">
        <f t="shared" si="96"/>
        <v>2500</v>
      </c>
      <c r="AE135" s="122">
        <f t="shared" si="96"/>
        <v>2500</v>
      </c>
      <c r="AF135" s="122">
        <f t="shared" si="96"/>
        <v>2500</v>
      </c>
      <c r="AG135" s="122">
        <f t="shared" si="96"/>
        <v>2500</v>
      </c>
      <c r="AH135" s="122">
        <f t="shared" si="96"/>
        <v>2500</v>
      </c>
      <c r="AI135" s="122">
        <f t="shared" si="96"/>
        <v>2500</v>
      </c>
      <c r="AJ135" s="122">
        <f t="shared" si="96"/>
        <v>2500</v>
      </c>
      <c r="AK135" s="122">
        <f t="shared" si="96"/>
        <v>2500</v>
      </c>
      <c r="AL135" s="122">
        <f t="shared" si="96"/>
        <v>2500</v>
      </c>
      <c r="AM135" s="122">
        <f t="shared" si="96"/>
        <v>2500</v>
      </c>
      <c r="AN135" s="122">
        <f t="shared" si="96"/>
        <v>2500</v>
      </c>
      <c r="AO135" s="122">
        <f t="shared" si="96"/>
        <v>2500</v>
      </c>
      <c r="AP135" s="122">
        <f t="shared" si="96"/>
        <v>2500</v>
      </c>
      <c r="AQ135" s="122">
        <f t="shared" si="96"/>
        <v>2500</v>
      </c>
      <c r="AR135" s="122">
        <f t="shared" si="96"/>
        <v>2500</v>
      </c>
      <c r="AS135" s="122">
        <f t="shared" si="96"/>
        <v>2500</v>
      </c>
      <c r="AT135" s="122">
        <f t="shared" si="96"/>
        <v>2500</v>
      </c>
      <c r="AU135" s="122">
        <f t="shared" si="96"/>
        <v>2500</v>
      </c>
      <c r="AV135" s="122">
        <f t="shared" si="96"/>
        <v>2500</v>
      </c>
      <c r="AW135" s="122">
        <f t="shared" si="96"/>
        <v>2500</v>
      </c>
      <c r="AX135" s="122">
        <f t="shared" si="96"/>
        <v>2500</v>
      </c>
      <c r="AY135" s="122">
        <f t="shared" si="96"/>
        <v>2500</v>
      </c>
      <c r="AZ135" s="122">
        <f t="shared" si="96"/>
        <v>2500</v>
      </c>
      <c r="BA135" s="122">
        <f t="shared" si="96"/>
        <v>2500</v>
      </c>
      <c r="BB135" s="122">
        <f t="shared" si="96"/>
        <v>2500</v>
      </c>
      <c r="BC135" s="122">
        <f t="shared" si="96"/>
        <v>2500</v>
      </c>
      <c r="BD135" s="122">
        <f t="shared" si="96"/>
        <v>2500</v>
      </c>
      <c r="BE135" s="122">
        <f t="shared" si="96"/>
        <v>2500</v>
      </c>
      <c r="BF135" s="122">
        <f t="shared" si="96"/>
        <v>2500</v>
      </c>
      <c r="BG135" s="122">
        <f t="shared" si="96"/>
        <v>2500</v>
      </c>
      <c r="BH135" s="122">
        <f t="shared" si="96"/>
        <v>2500</v>
      </c>
      <c r="BI135" s="122">
        <f t="shared" si="96"/>
        <v>2500</v>
      </c>
      <c r="BJ135" s="122">
        <f t="shared" si="96"/>
        <v>2500</v>
      </c>
      <c r="BK135" s="122">
        <f t="shared" si="96"/>
        <v>2500</v>
      </c>
      <c r="BL135" s="122">
        <f t="shared" si="96"/>
        <v>2500</v>
      </c>
      <c r="BM135" s="122">
        <f t="shared" si="96"/>
        <v>2500</v>
      </c>
      <c r="BN135" s="122">
        <f t="shared" si="96"/>
        <v>2500</v>
      </c>
    </row>
    <row r="136" outlineLevel="1">
      <c r="A136" s="68"/>
      <c r="B136" s="123" t="s">
        <v>107</v>
      </c>
      <c r="C136" s="136">
        <v>2500.0</v>
      </c>
      <c r="D136" s="68"/>
      <c r="E136" s="68"/>
      <c r="F136" s="122"/>
      <c r="G136" s="122">
        <f t="shared" si="94"/>
        <v>2500</v>
      </c>
      <c r="H136" s="122">
        <f t="shared" ref="H136:BN136" si="97">G136</f>
        <v>2500</v>
      </c>
      <c r="I136" s="122">
        <f t="shared" si="97"/>
        <v>2500</v>
      </c>
      <c r="J136" s="122">
        <f t="shared" si="97"/>
        <v>2500</v>
      </c>
      <c r="K136" s="122">
        <f t="shared" si="97"/>
        <v>2500</v>
      </c>
      <c r="L136" s="122">
        <f t="shared" si="97"/>
        <v>2500</v>
      </c>
      <c r="M136" s="122">
        <f t="shared" si="97"/>
        <v>2500</v>
      </c>
      <c r="N136" s="122">
        <f t="shared" si="97"/>
        <v>2500</v>
      </c>
      <c r="O136" s="122">
        <f t="shared" si="97"/>
        <v>2500</v>
      </c>
      <c r="P136" s="122">
        <f t="shared" si="97"/>
        <v>2500</v>
      </c>
      <c r="Q136" s="122">
        <f t="shared" si="97"/>
        <v>2500</v>
      </c>
      <c r="R136" s="122">
        <f t="shared" si="97"/>
        <v>2500</v>
      </c>
      <c r="S136" s="122">
        <f t="shared" si="97"/>
        <v>2500</v>
      </c>
      <c r="T136" s="122">
        <f t="shared" si="97"/>
        <v>2500</v>
      </c>
      <c r="U136" s="122">
        <f t="shared" si="97"/>
        <v>2500</v>
      </c>
      <c r="V136" s="122">
        <f t="shared" si="97"/>
        <v>2500</v>
      </c>
      <c r="W136" s="122">
        <f t="shared" si="97"/>
        <v>2500</v>
      </c>
      <c r="X136" s="122">
        <f t="shared" si="97"/>
        <v>2500</v>
      </c>
      <c r="Y136" s="122">
        <f t="shared" si="97"/>
        <v>2500</v>
      </c>
      <c r="Z136" s="122">
        <f t="shared" si="97"/>
        <v>2500</v>
      </c>
      <c r="AA136" s="122">
        <f t="shared" si="97"/>
        <v>2500</v>
      </c>
      <c r="AB136" s="122">
        <f t="shared" si="97"/>
        <v>2500</v>
      </c>
      <c r="AC136" s="122">
        <f t="shared" si="97"/>
        <v>2500</v>
      </c>
      <c r="AD136" s="122">
        <f t="shared" si="97"/>
        <v>2500</v>
      </c>
      <c r="AE136" s="122">
        <f t="shared" si="97"/>
        <v>2500</v>
      </c>
      <c r="AF136" s="122">
        <f t="shared" si="97"/>
        <v>2500</v>
      </c>
      <c r="AG136" s="122">
        <f t="shared" si="97"/>
        <v>2500</v>
      </c>
      <c r="AH136" s="122">
        <f t="shared" si="97"/>
        <v>2500</v>
      </c>
      <c r="AI136" s="122">
        <f t="shared" si="97"/>
        <v>2500</v>
      </c>
      <c r="AJ136" s="122">
        <f t="shared" si="97"/>
        <v>2500</v>
      </c>
      <c r="AK136" s="122">
        <f t="shared" si="97"/>
        <v>2500</v>
      </c>
      <c r="AL136" s="122">
        <f t="shared" si="97"/>
        <v>2500</v>
      </c>
      <c r="AM136" s="122">
        <f t="shared" si="97"/>
        <v>2500</v>
      </c>
      <c r="AN136" s="122">
        <f t="shared" si="97"/>
        <v>2500</v>
      </c>
      <c r="AO136" s="122">
        <f t="shared" si="97"/>
        <v>2500</v>
      </c>
      <c r="AP136" s="122">
        <f t="shared" si="97"/>
        <v>2500</v>
      </c>
      <c r="AQ136" s="122">
        <f t="shared" si="97"/>
        <v>2500</v>
      </c>
      <c r="AR136" s="122">
        <f t="shared" si="97"/>
        <v>2500</v>
      </c>
      <c r="AS136" s="122">
        <f t="shared" si="97"/>
        <v>2500</v>
      </c>
      <c r="AT136" s="122">
        <f t="shared" si="97"/>
        <v>2500</v>
      </c>
      <c r="AU136" s="122">
        <f t="shared" si="97"/>
        <v>2500</v>
      </c>
      <c r="AV136" s="122">
        <f t="shared" si="97"/>
        <v>2500</v>
      </c>
      <c r="AW136" s="122">
        <f t="shared" si="97"/>
        <v>2500</v>
      </c>
      <c r="AX136" s="122">
        <f t="shared" si="97"/>
        <v>2500</v>
      </c>
      <c r="AY136" s="122">
        <f t="shared" si="97"/>
        <v>2500</v>
      </c>
      <c r="AZ136" s="122">
        <f t="shared" si="97"/>
        <v>2500</v>
      </c>
      <c r="BA136" s="122">
        <f t="shared" si="97"/>
        <v>2500</v>
      </c>
      <c r="BB136" s="122">
        <f t="shared" si="97"/>
        <v>2500</v>
      </c>
      <c r="BC136" s="122">
        <f t="shared" si="97"/>
        <v>2500</v>
      </c>
      <c r="BD136" s="122">
        <f t="shared" si="97"/>
        <v>2500</v>
      </c>
      <c r="BE136" s="122">
        <f t="shared" si="97"/>
        <v>2500</v>
      </c>
      <c r="BF136" s="122">
        <f t="shared" si="97"/>
        <v>2500</v>
      </c>
      <c r="BG136" s="122">
        <f t="shared" si="97"/>
        <v>2500</v>
      </c>
      <c r="BH136" s="122">
        <f t="shared" si="97"/>
        <v>2500</v>
      </c>
      <c r="BI136" s="122">
        <f t="shared" si="97"/>
        <v>2500</v>
      </c>
      <c r="BJ136" s="122">
        <f t="shared" si="97"/>
        <v>2500</v>
      </c>
      <c r="BK136" s="122">
        <f t="shared" si="97"/>
        <v>2500</v>
      </c>
      <c r="BL136" s="122">
        <f t="shared" si="97"/>
        <v>2500</v>
      </c>
      <c r="BM136" s="122">
        <f t="shared" si="97"/>
        <v>2500</v>
      </c>
      <c r="BN136" s="122">
        <f t="shared" si="97"/>
        <v>2500</v>
      </c>
    </row>
    <row r="137" outlineLevel="1">
      <c r="A137" s="68"/>
      <c r="B137" s="123" t="s">
        <v>108</v>
      </c>
      <c r="C137" s="136">
        <v>2500.0</v>
      </c>
      <c r="D137" s="68"/>
      <c r="E137" s="68"/>
      <c r="F137" s="122"/>
      <c r="G137" s="122">
        <f t="shared" si="94"/>
        <v>2500</v>
      </c>
      <c r="H137" s="122">
        <f t="shared" ref="H137:BN137" si="98">G137</f>
        <v>2500</v>
      </c>
      <c r="I137" s="122">
        <f t="shared" si="98"/>
        <v>2500</v>
      </c>
      <c r="J137" s="122">
        <f t="shared" si="98"/>
        <v>2500</v>
      </c>
      <c r="K137" s="122">
        <f t="shared" si="98"/>
        <v>2500</v>
      </c>
      <c r="L137" s="122">
        <f t="shared" si="98"/>
        <v>2500</v>
      </c>
      <c r="M137" s="122">
        <f t="shared" si="98"/>
        <v>2500</v>
      </c>
      <c r="N137" s="122">
        <f t="shared" si="98"/>
        <v>2500</v>
      </c>
      <c r="O137" s="122">
        <f t="shared" si="98"/>
        <v>2500</v>
      </c>
      <c r="P137" s="122">
        <f t="shared" si="98"/>
        <v>2500</v>
      </c>
      <c r="Q137" s="122">
        <f t="shared" si="98"/>
        <v>2500</v>
      </c>
      <c r="R137" s="122">
        <f t="shared" si="98"/>
        <v>2500</v>
      </c>
      <c r="S137" s="122">
        <f t="shared" si="98"/>
        <v>2500</v>
      </c>
      <c r="T137" s="122">
        <f t="shared" si="98"/>
        <v>2500</v>
      </c>
      <c r="U137" s="122">
        <f t="shared" si="98"/>
        <v>2500</v>
      </c>
      <c r="V137" s="122">
        <f t="shared" si="98"/>
        <v>2500</v>
      </c>
      <c r="W137" s="122">
        <f t="shared" si="98"/>
        <v>2500</v>
      </c>
      <c r="X137" s="122">
        <f t="shared" si="98"/>
        <v>2500</v>
      </c>
      <c r="Y137" s="122">
        <f t="shared" si="98"/>
        <v>2500</v>
      </c>
      <c r="Z137" s="122">
        <f t="shared" si="98"/>
        <v>2500</v>
      </c>
      <c r="AA137" s="122">
        <f t="shared" si="98"/>
        <v>2500</v>
      </c>
      <c r="AB137" s="122">
        <f t="shared" si="98"/>
        <v>2500</v>
      </c>
      <c r="AC137" s="122">
        <f t="shared" si="98"/>
        <v>2500</v>
      </c>
      <c r="AD137" s="122">
        <f t="shared" si="98"/>
        <v>2500</v>
      </c>
      <c r="AE137" s="122">
        <f t="shared" si="98"/>
        <v>2500</v>
      </c>
      <c r="AF137" s="122">
        <f t="shared" si="98"/>
        <v>2500</v>
      </c>
      <c r="AG137" s="122">
        <f t="shared" si="98"/>
        <v>2500</v>
      </c>
      <c r="AH137" s="122">
        <f t="shared" si="98"/>
        <v>2500</v>
      </c>
      <c r="AI137" s="122">
        <f t="shared" si="98"/>
        <v>2500</v>
      </c>
      <c r="AJ137" s="122">
        <f t="shared" si="98"/>
        <v>2500</v>
      </c>
      <c r="AK137" s="122">
        <f t="shared" si="98"/>
        <v>2500</v>
      </c>
      <c r="AL137" s="122">
        <f t="shared" si="98"/>
        <v>2500</v>
      </c>
      <c r="AM137" s="122">
        <f t="shared" si="98"/>
        <v>2500</v>
      </c>
      <c r="AN137" s="122">
        <f t="shared" si="98"/>
        <v>2500</v>
      </c>
      <c r="AO137" s="122">
        <f t="shared" si="98"/>
        <v>2500</v>
      </c>
      <c r="AP137" s="122">
        <f t="shared" si="98"/>
        <v>2500</v>
      </c>
      <c r="AQ137" s="122">
        <f t="shared" si="98"/>
        <v>2500</v>
      </c>
      <c r="AR137" s="122">
        <f t="shared" si="98"/>
        <v>2500</v>
      </c>
      <c r="AS137" s="122">
        <f t="shared" si="98"/>
        <v>2500</v>
      </c>
      <c r="AT137" s="122">
        <f t="shared" si="98"/>
        <v>2500</v>
      </c>
      <c r="AU137" s="122">
        <f t="shared" si="98"/>
        <v>2500</v>
      </c>
      <c r="AV137" s="122">
        <f t="shared" si="98"/>
        <v>2500</v>
      </c>
      <c r="AW137" s="122">
        <f t="shared" si="98"/>
        <v>2500</v>
      </c>
      <c r="AX137" s="122">
        <f t="shared" si="98"/>
        <v>2500</v>
      </c>
      <c r="AY137" s="122">
        <f t="shared" si="98"/>
        <v>2500</v>
      </c>
      <c r="AZ137" s="122">
        <f t="shared" si="98"/>
        <v>2500</v>
      </c>
      <c r="BA137" s="122">
        <f t="shared" si="98"/>
        <v>2500</v>
      </c>
      <c r="BB137" s="122">
        <f t="shared" si="98"/>
        <v>2500</v>
      </c>
      <c r="BC137" s="122">
        <f t="shared" si="98"/>
        <v>2500</v>
      </c>
      <c r="BD137" s="122">
        <f t="shared" si="98"/>
        <v>2500</v>
      </c>
      <c r="BE137" s="122">
        <f t="shared" si="98"/>
        <v>2500</v>
      </c>
      <c r="BF137" s="122">
        <f t="shared" si="98"/>
        <v>2500</v>
      </c>
      <c r="BG137" s="122">
        <f t="shared" si="98"/>
        <v>2500</v>
      </c>
      <c r="BH137" s="122">
        <f t="shared" si="98"/>
        <v>2500</v>
      </c>
      <c r="BI137" s="122">
        <f t="shared" si="98"/>
        <v>2500</v>
      </c>
      <c r="BJ137" s="122">
        <f t="shared" si="98"/>
        <v>2500</v>
      </c>
      <c r="BK137" s="122">
        <f t="shared" si="98"/>
        <v>2500</v>
      </c>
      <c r="BL137" s="122">
        <f t="shared" si="98"/>
        <v>2500</v>
      </c>
      <c r="BM137" s="122">
        <f t="shared" si="98"/>
        <v>2500</v>
      </c>
      <c r="BN137" s="122">
        <f t="shared" si="98"/>
        <v>2500</v>
      </c>
    </row>
    <row r="138" outlineLevel="1">
      <c r="A138" s="68"/>
      <c r="B138" s="123" t="s">
        <v>109</v>
      </c>
      <c r="C138" s="136">
        <v>2500.0</v>
      </c>
      <c r="D138" s="68"/>
      <c r="E138" s="68"/>
      <c r="F138" s="122"/>
      <c r="G138" s="122">
        <f t="shared" si="94"/>
        <v>2500</v>
      </c>
      <c r="H138" s="122">
        <f t="shared" ref="H138:BN138" si="99">G138</f>
        <v>2500</v>
      </c>
      <c r="I138" s="122">
        <f t="shared" si="99"/>
        <v>2500</v>
      </c>
      <c r="J138" s="122">
        <f t="shared" si="99"/>
        <v>2500</v>
      </c>
      <c r="K138" s="122">
        <f t="shared" si="99"/>
        <v>2500</v>
      </c>
      <c r="L138" s="122">
        <f t="shared" si="99"/>
        <v>2500</v>
      </c>
      <c r="M138" s="122">
        <f t="shared" si="99"/>
        <v>2500</v>
      </c>
      <c r="N138" s="122">
        <f t="shared" si="99"/>
        <v>2500</v>
      </c>
      <c r="O138" s="122">
        <f t="shared" si="99"/>
        <v>2500</v>
      </c>
      <c r="P138" s="122">
        <f t="shared" si="99"/>
        <v>2500</v>
      </c>
      <c r="Q138" s="122">
        <f t="shared" si="99"/>
        <v>2500</v>
      </c>
      <c r="R138" s="122">
        <f t="shared" si="99"/>
        <v>2500</v>
      </c>
      <c r="S138" s="122">
        <f t="shared" si="99"/>
        <v>2500</v>
      </c>
      <c r="T138" s="122">
        <f t="shared" si="99"/>
        <v>2500</v>
      </c>
      <c r="U138" s="122">
        <f t="shared" si="99"/>
        <v>2500</v>
      </c>
      <c r="V138" s="122">
        <f t="shared" si="99"/>
        <v>2500</v>
      </c>
      <c r="W138" s="122">
        <f t="shared" si="99"/>
        <v>2500</v>
      </c>
      <c r="X138" s="122">
        <f t="shared" si="99"/>
        <v>2500</v>
      </c>
      <c r="Y138" s="122">
        <f t="shared" si="99"/>
        <v>2500</v>
      </c>
      <c r="Z138" s="122">
        <f t="shared" si="99"/>
        <v>2500</v>
      </c>
      <c r="AA138" s="122">
        <f t="shared" si="99"/>
        <v>2500</v>
      </c>
      <c r="AB138" s="122">
        <f t="shared" si="99"/>
        <v>2500</v>
      </c>
      <c r="AC138" s="122">
        <f t="shared" si="99"/>
        <v>2500</v>
      </c>
      <c r="AD138" s="122">
        <f t="shared" si="99"/>
        <v>2500</v>
      </c>
      <c r="AE138" s="122">
        <f t="shared" si="99"/>
        <v>2500</v>
      </c>
      <c r="AF138" s="122">
        <f t="shared" si="99"/>
        <v>2500</v>
      </c>
      <c r="AG138" s="122">
        <f t="shared" si="99"/>
        <v>2500</v>
      </c>
      <c r="AH138" s="122">
        <f t="shared" si="99"/>
        <v>2500</v>
      </c>
      <c r="AI138" s="122">
        <f t="shared" si="99"/>
        <v>2500</v>
      </c>
      <c r="AJ138" s="122">
        <f t="shared" si="99"/>
        <v>2500</v>
      </c>
      <c r="AK138" s="122">
        <f t="shared" si="99"/>
        <v>2500</v>
      </c>
      <c r="AL138" s="122">
        <f t="shared" si="99"/>
        <v>2500</v>
      </c>
      <c r="AM138" s="122">
        <f t="shared" si="99"/>
        <v>2500</v>
      </c>
      <c r="AN138" s="122">
        <f t="shared" si="99"/>
        <v>2500</v>
      </c>
      <c r="AO138" s="122">
        <f t="shared" si="99"/>
        <v>2500</v>
      </c>
      <c r="AP138" s="122">
        <f t="shared" si="99"/>
        <v>2500</v>
      </c>
      <c r="AQ138" s="122">
        <f t="shared" si="99"/>
        <v>2500</v>
      </c>
      <c r="AR138" s="122">
        <f t="shared" si="99"/>
        <v>2500</v>
      </c>
      <c r="AS138" s="122">
        <f t="shared" si="99"/>
        <v>2500</v>
      </c>
      <c r="AT138" s="122">
        <f t="shared" si="99"/>
        <v>2500</v>
      </c>
      <c r="AU138" s="122">
        <f t="shared" si="99"/>
        <v>2500</v>
      </c>
      <c r="AV138" s="122">
        <f t="shared" si="99"/>
        <v>2500</v>
      </c>
      <c r="AW138" s="122">
        <f t="shared" si="99"/>
        <v>2500</v>
      </c>
      <c r="AX138" s="122">
        <f t="shared" si="99"/>
        <v>2500</v>
      </c>
      <c r="AY138" s="122">
        <f t="shared" si="99"/>
        <v>2500</v>
      </c>
      <c r="AZ138" s="122">
        <f t="shared" si="99"/>
        <v>2500</v>
      </c>
      <c r="BA138" s="122">
        <f t="shared" si="99"/>
        <v>2500</v>
      </c>
      <c r="BB138" s="122">
        <f t="shared" si="99"/>
        <v>2500</v>
      </c>
      <c r="BC138" s="122">
        <f t="shared" si="99"/>
        <v>2500</v>
      </c>
      <c r="BD138" s="122">
        <f t="shared" si="99"/>
        <v>2500</v>
      </c>
      <c r="BE138" s="122">
        <f t="shared" si="99"/>
        <v>2500</v>
      </c>
      <c r="BF138" s="122">
        <f t="shared" si="99"/>
        <v>2500</v>
      </c>
      <c r="BG138" s="122">
        <f t="shared" si="99"/>
        <v>2500</v>
      </c>
      <c r="BH138" s="122">
        <f t="shared" si="99"/>
        <v>2500</v>
      </c>
      <c r="BI138" s="122">
        <f t="shared" si="99"/>
        <v>2500</v>
      </c>
      <c r="BJ138" s="122">
        <f t="shared" si="99"/>
        <v>2500</v>
      </c>
      <c r="BK138" s="122">
        <f t="shared" si="99"/>
        <v>2500</v>
      </c>
      <c r="BL138" s="122">
        <f t="shared" si="99"/>
        <v>2500</v>
      </c>
      <c r="BM138" s="122">
        <f t="shared" si="99"/>
        <v>2500</v>
      </c>
      <c r="BN138" s="122">
        <f t="shared" si="99"/>
        <v>2500</v>
      </c>
    </row>
    <row r="139" outlineLevel="1">
      <c r="A139" s="68"/>
      <c r="B139" s="123" t="s">
        <v>110</v>
      </c>
      <c r="C139" s="136">
        <v>2500.0</v>
      </c>
      <c r="D139" s="68"/>
      <c r="E139" s="68"/>
      <c r="F139" s="122"/>
      <c r="G139" s="122">
        <f t="shared" si="94"/>
        <v>2500</v>
      </c>
      <c r="H139" s="122">
        <f t="shared" ref="H139:BN139" si="100">G139</f>
        <v>2500</v>
      </c>
      <c r="I139" s="122">
        <f t="shared" si="100"/>
        <v>2500</v>
      </c>
      <c r="J139" s="122">
        <f t="shared" si="100"/>
        <v>2500</v>
      </c>
      <c r="K139" s="122">
        <f t="shared" si="100"/>
        <v>2500</v>
      </c>
      <c r="L139" s="122">
        <f t="shared" si="100"/>
        <v>2500</v>
      </c>
      <c r="M139" s="122">
        <f t="shared" si="100"/>
        <v>2500</v>
      </c>
      <c r="N139" s="122">
        <f t="shared" si="100"/>
        <v>2500</v>
      </c>
      <c r="O139" s="122">
        <f t="shared" si="100"/>
        <v>2500</v>
      </c>
      <c r="P139" s="122">
        <f t="shared" si="100"/>
        <v>2500</v>
      </c>
      <c r="Q139" s="122">
        <f t="shared" si="100"/>
        <v>2500</v>
      </c>
      <c r="R139" s="122">
        <f t="shared" si="100"/>
        <v>2500</v>
      </c>
      <c r="S139" s="122">
        <f t="shared" si="100"/>
        <v>2500</v>
      </c>
      <c r="T139" s="122">
        <f t="shared" si="100"/>
        <v>2500</v>
      </c>
      <c r="U139" s="122">
        <f t="shared" si="100"/>
        <v>2500</v>
      </c>
      <c r="V139" s="122">
        <f t="shared" si="100"/>
        <v>2500</v>
      </c>
      <c r="W139" s="122">
        <f t="shared" si="100"/>
        <v>2500</v>
      </c>
      <c r="X139" s="122">
        <f t="shared" si="100"/>
        <v>2500</v>
      </c>
      <c r="Y139" s="122">
        <f t="shared" si="100"/>
        <v>2500</v>
      </c>
      <c r="Z139" s="122">
        <f t="shared" si="100"/>
        <v>2500</v>
      </c>
      <c r="AA139" s="122">
        <f t="shared" si="100"/>
        <v>2500</v>
      </c>
      <c r="AB139" s="122">
        <f t="shared" si="100"/>
        <v>2500</v>
      </c>
      <c r="AC139" s="122">
        <f t="shared" si="100"/>
        <v>2500</v>
      </c>
      <c r="AD139" s="122">
        <f t="shared" si="100"/>
        <v>2500</v>
      </c>
      <c r="AE139" s="122">
        <f t="shared" si="100"/>
        <v>2500</v>
      </c>
      <c r="AF139" s="122">
        <f t="shared" si="100"/>
        <v>2500</v>
      </c>
      <c r="AG139" s="122">
        <f t="shared" si="100"/>
        <v>2500</v>
      </c>
      <c r="AH139" s="122">
        <f t="shared" si="100"/>
        <v>2500</v>
      </c>
      <c r="AI139" s="122">
        <f t="shared" si="100"/>
        <v>2500</v>
      </c>
      <c r="AJ139" s="122">
        <f t="shared" si="100"/>
        <v>2500</v>
      </c>
      <c r="AK139" s="122">
        <f t="shared" si="100"/>
        <v>2500</v>
      </c>
      <c r="AL139" s="122">
        <f t="shared" si="100"/>
        <v>2500</v>
      </c>
      <c r="AM139" s="122">
        <f t="shared" si="100"/>
        <v>2500</v>
      </c>
      <c r="AN139" s="122">
        <f t="shared" si="100"/>
        <v>2500</v>
      </c>
      <c r="AO139" s="122">
        <f t="shared" si="100"/>
        <v>2500</v>
      </c>
      <c r="AP139" s="122">
        <f t="shared" si="100"/>
        <v>2500</v>
      </c>
      <c r="AQ139" s="122">
        <f t="shared" si="100"/>
        <v>2500</v>
      </c>
      <c r="AR139" s="122">
        <f t="shared" si="100"/>
        <v>2500</v>
      </c>
      <c r="AS139" s="122">
        <f t="shared" si="100"/>
        <v>2500</v>
      </c>
      <c r="AT139" s="122">
        <f t="shared" si="100"/>
        <v>2500</v>
      </c>
      <c r="AU139" s="122">
        <f t="shared" si="100"/>
        <v>2500</v>
      </c>
      <c r="AV139" s="122">
        <f t="shared" si="100"/>
        <v>2500</v>
      </c>
      <c r="AW139" s="122">
        <f t="shared" si="100"/>
        <v>2500</v>
      </c>
      <c r="AX139" s="122">
        <f t="shared" si="100"/>
        <v>2500</v>
      </c>
      <c r="AY139" s="122">
        <f t="shared" si="100"/>
        <v>2500</v>
      </c>
      <c r="AZ139" s="122">
        <f t="shared" si="100"/>
        <v>2500</v>
      </c>
      <c r="BA139" s="122">
        <f t="shared" si="100"/>
        <v>2500</v>
      </c>
      <c r="BB139" s="122">
        <f t="shared" si="100"/>
        <v>2500</v>
      </c>
      <c r="BC139" s="122">
        <f t="shared" si="100"/>
        <v>2500</v>
      </c>
      <c r="BD139" s="122">
        <f t="shared" si="100"/>
        <v>2500</v>
      </c>
      <c r="BE139" s="122">
        <f t="shared" si="100"/>
        <v>2500</v>
      </c>
      <c r="BF139" s="122">
        <f t="shared" si="100"/>
        <v>2500</v>
      </c>
      <c r="BG139" s="122">
        <f t="shared" si="100"/>
        <v>2500</v>
      </c>
      <c r="BH139" s="122">
        <f t="shared" si="100"/>
        <v>2500</v>
      </c>
      <c r="BI139" s="122">
        <f t="shared" si="100"/>
        <v>2500</v>
      </c>
      <c r="BJ139" s="122">
        <f t="shared" si="100"/>
        <v>2500</v>
      </c>
      <c r="BK139" s="122">
        <f t="shared" si="100"/>
        <v>2500</v>
      </c>
      <c r="BL139" s="122">
        <f t="shared" si="100"/>
        <v>2500</v>
      </c>
      <c r="BM139" s="122">
        <f t="shared" si="100"/>
        <v>2500</v>
      </c>
      <c r="BN139" s="122">
        <f t="shared" si="100"/>
        <v>2500</v>
      </c>
    </row>
    <row r="140" outlineLevel="1">
      <c r="A140" s="68"/>
      <c r="B140" s="138" t="s">
        <v>111</v>
      </c>
      <c r="C140" s="139">
        <v>2500.0</v>
      </c>
      <c r="D140" s="140"/>
      <c r="E140" s="140"/>
      <c r="F140" s="132"/>
      <c r="G140" s="132">
        <f t="shared" si="94"/>
        <v>2500</v>
      </c>
      <c r="H140" s="132">
        <f t="shared" ref="H140:BN140" si="101">G140</f>
        <v>2500</v>
      </c>
      <c r="I140" s="132">
        <f t="shared" si="101"/>
        <v>2500</v>
      </c>
      <c r="J140" s="132">
        <f t="shared" si="101"/>
        <v>2500</v>
      </c>
      <c r="K140" s="132">
        <f t="shared" si="101"/>
        <v>2500</v>
      </c>
      <c r="L140" s="132">
        <f t="shared" si="101"/>
        <v>2500</v>
      </c>
      <c r="M140" s="132">
        <f t="shared" si="101"/>
        <v>2500</v>
      </c>
      <c r="N140" s="132">
        <f t="shared" si="101"/>
        <v>2500</v>
      </c>
      <c r="O140" s="132">
        <f t="shared" si="101"/>
        <v>2500</v>
      </c>
      <c r="P140" s="132">
        <f t="shared" si="101"/>
        <v>2500</v>
      </c>
      <c r="Q140" s="132">
        <f t="shared" si="101"/>
        <v>2500</v>
      </c>
      <c r="R140" s="132">
        <f t="shared" si="101"/>
        <v>2500</v>
      </c>
      <c r="S140" s="132">
        <f t="shared" si="101"/>
        <v>2500</v>
      </c>
      <c r="T140" s="132">
        <f t="shared" si="101"/>
        <v>2500</v>
      </c>
      <c r="U140" s="132">
        <f t="shared" si="101"/>
        <v>2500</v>
      </c>
      <c r="V140" s="132">
        <f t="shared" si="101"/>
        <v>2500</v>
      </c>
      <c r="W140" s="132">
        <f t="shared" si="101"/>
        <v>2500</v>
      </c>
      <c r="X140" s="132">
        <f t="shared" si="101"/>
        <v>2500</v>
      </c>
      <c r="Y140" s="132">
        <f t="shared" si="101"/>
        <v>2500</v>
      </c>
      <c r="Z140" s="132">
        <f t="shared" si="101"/>
        <v>2500</v>
      </c>
      <c r="AA140" s="132">
        <f t="shared" si="101"/>
        <v>2500</v>
      </c>
      <c r="AB140" s="132">
        <f t="shared" si="101"/>
        <v>2500</v>
      </c>
      <c r="AC140" s="132">
        <f t="shared" si="101"/>
        <v>2500</v>
      </c>
      <c r="AD140" s="132">
        <f t="shared" si="101"/>
        <v>2500</v>
      </c>
      <c r="AE140" s="132">
        <f t="shared" si="101"/>
        <v>2500</v>
      </c>
      <c r="AF140" s="132">
        <f t="shared" si="101"/>
        <v>2500</v>
      </c>
      <c r="AG140" s="132">
        <f t="shared" si="101"/>
        <v>2500</v>
      </c>
      <c r="AH140" s="132">
        <f t="shared" si="101"/>
        <v>2500</v>
      </c>
      <c r="AI140" s="132">
        <f t="shared" si="101"/>
        <v>2500</v>
      </c>
      <c r="AJ140" s="132">
        <f t="shared" si="101"/>
        <v>2500</v>
      </c>
      <c r="AK140" s="132">
        <f t="shared" si="101"/>
        <v>2500</v>
      </c>
      <c r="AL140" s="132">
        <f t="shared" si="101"/>
        <v>2500</v>
      </c>
      <c r="AM140" s="132">
        <f t="shared" si="101"/>
        <v>2500</v>
      </c>
      <c r="AN140" s="132">
        <f t="shared" si="101"/>
        <v>2500</v>
      </c>
      <c r="AO140" s="132">
        <f t="shared" si="101"/>
        <v>2500</v>
      </c>
      <c r="AP140" s="132">
        <f t="shared" si="101"/>
        <v>2500</v>
      </c>
      <c r="AQ140" s="132">
        <f t="shared" si="101"/>
        <v>2500</v>
      </c>
      <c r="AR140" s="132">
        <f t="shared" si="101"/>
        <v>2500</v>
      </c>
      <c r="AS140" s="132">
        <f t="shared" si="101"/>
        <v>2500</v>
      </c>
      <c r="AT140" s="132">
        <f t="shared" si="101"/>
        <v>2500</v>
      </c>
      <c r="AU140" s="132">
        <f t="shared" si="101"/>
        <v>2500</v>
      </c>
      <c r="AV140" s="132">
        <f t="shared" si="101"/>
        <v>2500</v>
      </c>
      <c r="AW140" s="132">
        <f t="shared" si="101"/>
        <v>2500</v>
      </c>
      <c r="AX140" s="132">
        <f t="shared" si="101"/>
        <v>2500</v>
      </c>
      <c r="AY140" s="132">
        <f t="shared" si="101"/>
        <v>2500</v>
      </c>
      <c r="AZ140" s="132">
        <f t="shared" si="101"/>
        <v>2500</v>
      </c>
      <c r="BA140" s="132">
        <f t="shared" si="101"/>
        <v>2500</v>
      </c>
      <c r="BB140" s="132">
        <f t="shared" si="101"/>
        <v>2500</v>
      </c>
      <c r="BC140" s="132">
        <f t="shared" si="101"/>
        <v>2500</v>
      </c>
      <c r="BD140" s="132">
        <f t="shared" si="101"/>
        <v>2500</v>
      </c>
      <c r="BE140" s="132">
        <f t="shared" si="101"/>
        <v>2500</v>
      </c>
      <c r="BF140" s="132">
        <f t="shared" si="101"/>
        <v>2500</v>
      </c>
      <c r="BG140" s="132">
        <f t="shared" si="101"/>
        <v>2500</v>
      </c>
      <c r="BH140" s="132">
        <f t="shared" si="101"/>
        <v>2500</v>
      </c>
      <c r="BI140" s="132">
        <f t="shared" si="101"/>
        <v>2500</v>
      </c>
      <c r="BJ140" s="132">
        <f t="shared" si="101"/>
        <v>2500</v>
      </c>
      <c r="BK140" s="132">
        <f t="shared" si="101"/>
        <v>2500</v>
      </c>
      <c r="BL140" s="132">
        <f t="shared" si="101"/>
        <v>2500</v>
      </c>
      <c r="BM140" s="132">
        <f t="shared" si="101"/>
        <v>2500</v>
      </c>
      <c r="BN140" s="132">
        <f t="shared" si="101"/>
        <v>2500</v>
      </c>
    </row>
    <row r="141" outlineLevel="1">
      <c r="A141" s="141"/>
      <c r="B141" s="142" t="s">
        <v>102</v>
      </c>
      <c r="C141" s="141"/>
      <c r="D141" s="141"/>
      <c r="E141" s="141"/>
      <c r="F141" s="141"/>
      <c r="G141" s="143">
        <f t="shared" ref="G141:BN141" si="102">sum(G133:G140)</f>
        <v>20000</v>
      </c>
      <c r="H141" s="143">
        <f t="shared" si="102"/>
        <v>20000</v>
      </c>
      <c r="I141" s="143">
        <f t="shared" si="102"/>
        <v>20000</v>
      </c>
      <c r="J141" s="143">
        <f t="shared" si="102"/>
        <v>20000</v>
      </c>
      <c r="K141" s="143">
        <f t="shared" si="102"/>
        <v>20000</v>
      </c>
      <c r="L141" s="143">
        <f t="shared" si="102"/>
        <v>20000</v>
      </c>
      <c r="M141" s="143">
        <f t="shared" si="102"/>
        <v>20000</v>
      </c>
      <c r="N141" s="143">
        <f t="shared" si="102"/>
        <v>20000</v>
      </c>
      <c r="O141" s="143">
        <f t="shared" si="102"/>
        <v>20000</v>
      </c>
      <c r="P141" s="143">
        <f t="shared" si="102"/>
        <v>20000</v>
      </c>
      <c r="Q141" s="143">
        <f t="shared" si="102"/>
        <v>20000</v>
      </c>
      <c r="R141" s="143">
        <f t="shared" si="102"/>
        <v>20000</v>
      </c>
      <c r="S141" s="143">
        <f t="shared" si="102"/>
        <v>20000</v>
      </c>
      <c r="T141" s="143">
        <f t="shared" si="102"/>
        <v>20000</v>
      </c>
      <c r="U141" s="143">
        <f t="shared" si="102"/>
        <v>20000</v>
      </c>
      <c r="V141" s="143">
        <f t="shared" si="102"/>
        <v>20000</v>
      </c>
      <c r="W141" s="143">
        <f t="shared" si="102"/>
        <v>20000</v>
      </c>
      <c r="X141" s="143">
        <f t="shared" si="102"/>
        <v>20000</v>
      </c>
      <c r="Y141" s="143">
        <f t="shared" si="102"/>
        <v>20000</v>
      </c>
      <c r="Z141" s="143">
        <f t="shared" si="102"/>
        <v>20000</v>
      </c>
      <c r="AA141" s="143">
        <f t="shared" si="102"/>
        <v>20000</v>
      </c>
      <c r="AB141" s="143">
        <f t="shared" si="102"/>
        <v>20000</v>
      </c>
      <c r="AC141" s="143">
        <f t="shared" si="102"/>
        <v>20000</v>
      </c>
      <c r="AD141" s="143">
        <f t="shared" si="102"/>
        <v>20000</v>
      </c>
      <c r="AE141" s="143">
        <f t="shared" si="102"/>
        <v>20000</v>
      </c>
      <c r="AF141" s="143">
        <f t="shared" si="102"/>
        <v>20000</v>
      </c>
      <c r="AG141" s="143">
        <f t="shared" si="102"/>
        <v>20000</v>
      </c>
      <c r="AH141" s="143">
        <f t="shared" si="102"/>
        <v>20000</v>
      </c>
      <c r="AI141" s="143">
        <f t="shared" si="102"/>
        <v>20000</v>
      </c>
      <c r="AJ141" s="143">
        <f t="shared" si="102"/>
        <v>20000</v>
      </c>
      <c r="AK141" s="143">
        <f t="shared" si="102"/>
        <v>20000</v>
      </c>
      <c r="AL141" s="143">
        <f t="shared" si="102"/>
        <v>20000</v>
      </c>
      <c r="AM141" s="143">
        <f t="shared" si="102"/>
        <v>20000</v>
      </c>
      <c r="AN141" s="143">
        <f t="shared" si="102"/>
        <v>20000</v>
      </c>
      <c r="AO141" s="143">
        <f t="shared" si="102"/>
        <v>20000</v>
      </c>
      <c r="AP141" s="143">
        <f t="shared" si="102"/>
        <v>20000</v>
      </c>
      <c r="AQ141" s="143">
        <f t="shared" si="102"/>
        <v>20000</v>
      </c>
      <c r="AR141" s="143">
        <f t="shared" si="102"/>
        <v>20000</v>
      </c>
      <c r="AS141" s="143">
        <f t="shared" si="102"/>
        <v>20000</v>
      </c>
      <c r="AT141" s="143">
        <f t="shared" si="102"/>
        <v>20000</v>
      </c>
      <c r="AU141" s="143">
        <f t="shared" si="102"/>
        <v>20000</v>
      </c>
      <c r="AV141" s="143">
        <f t="shared" si="102"/>
        <v>20000</v>
      </c>
      <c r="AW141" s="143">
        <f t="shared" si="102"/>
        <v>20000</v>
      </c>
      <c r="AX141" s="143">
        <f t="shared" si="102"/>
        <v>20000</v>
      </c>
      <c r="AY141" s="143">
        <f t="shared" si="102"/>
        <v>20000</v>
      </c>
      <c r="AZ141" s="143">
        <f t="shared" si="102"/>
        <v>20000</v>
      </c>
      <c r="BA141" s="143">
        <f t="shared" si="102"/>
        <v>20000</v>
      </c>
      <c r="BB141" s="143">
        <f t="shared" si="102"/>
        <v>20000</v>
      </c>
      <c r="BC141" s="143">
        <f t="shared" si="102"/>
        <v>20000</v>
      </c>
      <c r="BD141" s="143">
        <f t="shared" si="102"/>
        <v>20000</v>
      </c>
      <c r="BE141" s="143">
        <f t="shared" si="102"/>
        <v>20000</v>
      </c>
      <c r="BF141" s="143">
        <f t="shared" si="102"/>
        <v>20000</v>
      </c>
      <c r="BG141" s="143">
        <f t="shared" si="102"/>
        <v>20000</v>
      </c>
      <c r="BH141" s="143">
        <f t="shared" si="102"/>
        <v>20000</v>
      </c>
      <c r="BI141" s="143">
        <f t="shared" si="102"/>
        <v>20000</v>
      </c>
      <c r="BJ141" s="143">
        <f t="shared" si="102"/>
        <v>20000</v>
      </c>
      <c r="BK141" s="143">
        <f t="shared" si="102"/>
        <v>20000</v>
      </c>
      <c r="BL141" s="143">
        <f t="shared" si="102"/>
        <v>20000</v>
      </c>
      <c r="BM141" s="143">
        <f t="shared" si="102"/>
        <v>20000</v>
      </c>
      <c r="BN141" s="143">
        <f t="shared" si="102"/>
        <v>20000</v>
      </c>
    </row>
    <row r="142" outlineLevel="1">
      <c r="A142" s="47"/>
      <c r="B142" s="47"/>
      <c r="C142" s="47"/>
      <c r="D142" s="68"/>
      <c r="E142" s="68"/>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c r="AX142" s="122"/>
      <c r="AY142" s="122"/>
      <c r="AZ142" s="122"/>
      <c r="BA142" s="122"/>
      <c r="BB142" s="122"/>
      <c r="BC142" s="122"/>
      <c r="BD142" s="122"/>
      <c r="BE142" s="122"/>
      <c r="BF142" s="122"/>
      <c r="BG142" s="122"/>
      <c r="BH142" s="122"/>
      <c r="BI142" s="122"/>
      <c r="BJ142" s="122"/>
      <c r="BK142" s="122"/>
      <c r="BL142" s="122"/>
      <c r="BM142" s="122"/>
      <c r="BN142" s="122"/>
    </row>
    <row r="143" outlineLevel="1">
      <c r="A143" s="47"/>
      <c r="B143" s="144" t="s">
        <v>112</v>
      </c>
      <c r="C143" s="121" t="s">
        <v>93</v>
      </c>
      <c r="D143" s="145"/>
      <c r="E143" s="68"/>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c r="AX143" s="122"/>
      <c r="AY143" s="122"/>
      <c r="AZ143" s="122"/>
      <c r="BA143" s="122"/>
      <c r="BB143" s="122"/>
      <c r="BC143" s="122"/>
      <c r="BD143" s="122"/>
      <c r="BE143" s="122"/>
      <c r="BF143" s="122"/>
      <c r="BG143" s="122"/>
      <c r="BH143" s="122"/>
      <c r="BI143" s="122"/>
      <c r="BJ143" s="122"/>
      <c r="BK143" s="122"/>
      <c r="BL143" s="122"/>
      <c r="BM143" s="122"/>
      <c r="BN143" s="122"/>
    </row>
    <row r="144" outlineLevel="1">
      <c r="A144" s="47"/>
      <c r="B144" s="127" t="s">
        <v>113</v>
      </c>
      <c r="C144" s="128">
        <v>0.08</v>
      </c>
      <c r="D144" s="68"/>
      <c r="E144" s="68"/>
      <c r="F144" s="122"/>
      <c r="G144" s="122">
        <f>Financials!F$8*$C144</f>
        <v>1070</v>
      </c>
      <c r="H144" s="122">
        <f>Financials!G$8*$C144</f>
        <v>1611.05</v>
      </c>
      <c r="I144" s="122">
        <f>Financials!H$8*$C144</f>
        <v>1901.66575</v>
      </c>
      <c r="J144" s="122">
        <f>Financials!I$8*$C144</f>
        <v>2047.274986</v>
      </c>
      <c r="K144" s="122">
        <f>Financials!J$8*$C144</f>
        <v>2130.084125</v>
      </c>
      <c r="L144" s="122">
        <f>Financials!K$8*$C144</f>
        <v>2161.638762</v>
      </c>
      <c r="M144" s="122">
        <f>Financials!L$8*$C144</f>
        <v>2177.268331</v>
      </c>
      <c r="N144" s="122">
        <f>Financials!M$8*$C144</f>
        <v>2195.0809</v>
      </c>
      <c r="O144" s="122">
        <f>Financials!N$8*$C144</f>
        <v>2194.137151</v>
      </c>
      <c r="P144" s="122">
        <f>Financials!O$8*$C144</f>
        <v>2193.517526</v>
      </c>
      <c r="Q144" s="122">
        <f>Financials!P$8*$C144</f>
        <v>2203.205497</v>
      </c>
      <c r="R144" s="122">
        <f>Financials!Q$8*$C144</f>
        <v>2198.19945</v>
      </c>
      <c r="S144" s="122">
        <f>Financials!R$8*$C144</f>
        <v>2195.548675</v>
      </c>
      <c r="T144" s="122">
        <f>Financials!S$8*$C144</f>
        <v>2194.221072</v>
      </c>
      <c r="U144" s="122">
        <f>Financials!T$8*$C144</f>
        <v>2193.557237</v>
      </c>
      <c r="V144" s="122">
        <f>Financials!U$8*$C144</f>
        <v>2193.225319</v>
      </c>
      <c r="W144" s="122">
        <f>Financials!V$8*$C144</f>
        <v>2193.05936</v>
      </c>
      <c r="X144" s="122">
        <f>Financials!W$8*$C144</f>
        <v>2192.976381</v>
      </c>
      <c r="Y144" s="122">
        <f>Financials!X$8*$C144</f>
        <v>2192.934891</v>
      </c>
      <c r="Z144" s="122">
        <f>Financials!Y$8*$C144</f>
        <v>2192.914146</v>
      </c>
      <c r="AA144" s="122">
        <f>Financials!Z$8*$C144</f>
        <v>2192.903773</v>
      </c>
      <c r="AB144" s="122">
        <f>Financials!AA$8*$C144</f>
        <v>2192.898587</v>
      </c>
      <c r="AC144" s="122">
        <f>Financials!AB$8*$C144</f>
        <v>2192.895994</v>
      </c>
      <c r="AD144" s="122">
        <f>Financials!AC$8*$C144</f>
        <v>2192.894698</v>
      </c>
      <c r="AE144" s="122">
        <f>Financials!AD$8*$C144</f>
        <v>2192.894049</v>
      </c>
      <c r="AF144" s="122">
        <f>Financials!AE$8*$C144</f>
        <v>2192.893725</v>
      </c>
      <c r="AG144" s="122">
        <f>Financials!AF$8*$C144</f>
        <v>2192.893563</v>
      </c>
      <c r="AH144" s="122">
        <f>Financials!AG$8*$C144</f>
        <v>2192.893482</v>
      </c>
      <c r="AI144" s="122">
        <f>Financials!AH$8*$C144</f>
        <v>2192.893442</v>
      </c>
      <c r="AJ144" s="122">
        <f>Financials!AI$8*$C144</f>
        <v>2192.893421</v>
      </c>
      <c r="AK144" s="122">
        <f>Financials!AJ$8*$C144</f>
        <v>2192.893411</v>
      </c>
      <c r="AL144" s="122">
        <f>Financials!AK$8*$C144</f>
        <v>2192.893406</v>
      </c>
      <c r="AM144" s="122">
        <f>Financials!AL$8*$C144</f>
        <v>2192.893404</v>
      </c>
      <c r="AN144" s="122">
        <f>Financials!AM$8*$C144</f>
        <v>2192.893402</v>
      </c>
      <c r="AO144" s="122">
        <f>Financials!AN$8*$C144</f>
        <v>2192.893402</v>
      </c>
      <c r="AP144" s="122">
        <f>Financials!AO$8*$C144</f>
        <v>2192.893401</v>
      </c>
      <c r="AQ144" s="122">
        <f>Financials!AP$8*$C144</f>
        <v>2192.893401</v>
      </c>
      <c r="AR144" s="122">
        <f>Financials!AQ$8*$C144</f>
        <v>2192.893401</v>
      </c>
      <c r="AS144" s="122">
        <f>Financials!AR$8*$C144</f>
        <v>2192.893401</v>
      </c>
      <c r="AT144" s="122">
        <f>Financials!AS$8*$C144</f>
        <v>2192.893401</v>
      </c>
      <c r="AU144" s="122">
        <f>Financials!AT$8*$C144</f>
        <v>2192.893401</v>
      </c>
      <c r="AV144" s="122">
        <f>Financials!AU$8*$C144</f>
        <v>2192.893401</v>
      </c>
      <c r="AW144" s="122">
        <f>Financials!AV$8*$C144</f>
        <v>2192.893401</v>
      </c>
      <c r="AX144" s="122">
        <f>Financials!AW$8*$C144</f>
        <v>2192.893401</v>
      </c>
      <c r="AY144" s="122">
        <f>Financials!AX$8*$C144</f>
        <v>2192.893401</v>
      </c>
      <c r="AZ144" s="122">
        <f>Financials!AY$8*$C144</f>
        <v>2192.893401</v>
      </c>
      <c r="BA144" s="122">
        <f>Financials!AZ$8*$C144</f>
        <v>2192.893401</v>
      </c>
      <c r="BB144" s="122">
        <f>Financials!BA$8*$C144</f>
        <v>2192.893401</v>
      </c>
      <c r="BC144" s="122">
        <f>Financials!BB$8*$C144</f>
        <v>2192.893401</v>
      </c>
      <c r="BD144" s="122">
        <f>Financials!BC$8*$C144</f>
        <v>2192.893401</v>
      </c>
      <c r="BE144" s="122">
        <f>Financials!BD$8*$C144</f>
        <v>2192.893401</v>
      </c>
      <c r="BF144" s="122">
        <f>Financials!BE$8*$C144</f>
        <v>2192.893401</v>
      </c>
      <c r="BG144" s="122">
        <f>Financials!BF$8*$C144</f>
        <v>2192.893401</v>
      </c>
      <c r="BH144" s="122">
        <f>Financials!BG$8*$C144</f>
        <v>2192.893401</v>
      </c>
      <c r="BI144" s="122">
        <f>Financials!BH$8*$C144</f>
        <v>2192.893401</v>
      </c>
      <c r="BJ144" s="122">
        <f>Financials!BI$8*$C144</f>
        <v>2192.893401</v>
      </c>
      <c r="BK144" s="122">
        <f>Financials!BJ$8*$C144</f>
        <v>2192.893401</v>
      </c>
      <c r="BL144" s="122">
        <f>Financials!BK$8*$C144</f>
        <v>2192.893401</v>
      </c>
      <c r="BM144" s="122">
        <f>Financials!BL$8*$C144</f>
        <v>2192.893401</v>
      </c>
      <c r="BN144" s="122">
        <f>Financials!BM$8*$C144</f>
        <v>2192.893401</v>
      </c>
    </row>
    <row r="145" outlineLevel="1">
      <c r="A145" s="47"/>
      <c r="B145" s="130" t="s">
        <v>114</v>
      </c>
      <c r="C145" s="139">
        <v>10000.0</v>
      </c>
      <c r="D145" s="140"/>
      <c r="E145" s="140"/>
      <c r="F145" s="132"/>
      <c r="G145" s="132">
        <f>C145</f>
        <v>10000</v>
      </c>
      <c r="H145" s="132">
        <f t="shared" ref="H145:BN145" si="103">G145</f>
        <v>10000</v>
      </c>
      <c r="I145" s="132">
        <f t="shared" si="103"/>
        <v>10000</v>
      </c>
      <c r="J145" s="132">
        <f t="shared" si="103"/>
        <v>10000</v>
      </c>
      <c r="K145" s="132">
        <f t="shared" si="103"/>
        <v>10000</v>
      </c>
      <c r="L145" s="132">
        <f t="shared" si="103"/>
        <v>10000</v>
      </c>
      <c r="M145" s="132">
        <f t="shared" si="103"/>
        <v>10000</v>
      </c>
      <c r="N145" s="132">
        <f t="shared" si="103"/>
        <v>10000</v>
      </c>
      <c r="O145" s="132">
        <f t="shared" si="103"/>
        <v>10000</v>
      </c>
      <c r="P145" s="132">
        <f t="shared" si="103"/>
        <v>10000</v>
      </c>
      <c r="Q145" s="132">
        <f t="shared" si="103"/>
        <v>10000</v>
      </c>
      <c r="R145" s="132">
        <f t="shared" si="103"/>
        <v>10000</v>
      </c>
      <c r="S145" s="132">
        <f t="shared" si="103"/>
        <v>10000</v>
      </c>
      <c r="T145" s="132">
        <f t="shared" si="103"/>
        <v>10000</v>
      </c>
      <c r="U145" s="132">
        <f t="shared" si="103"/>
        <v>10000</v>
      </c>
      <c r="V145" s="132">
        <f t="shared" si="103"/>
        <v>10000</v>
      </c>
      <c r="W145" s="132">
        <f t="shared" si="103"/>
        <v>10000</v>
      </c>
      <c r="X145" s="132">
        <f t="shared" si="103"/>
        <v>10000</v>
      </c>
      <c r="Y145" s="132">
        <f t="shared" si="103"/>
        <v>10000</v>
      </c>
      <c r="Z145" s="132">
        <f t="shared" si="103"/>
        <v>10000</v>
      </c>
      <c r="AA145" s="132">
        <f t="shared" si="103"/>
        <v>10000</v>
      </c>
      <c r="AB145" s="132">
        <f t="shared" si="103"/>
        <v>10000</v>
      </c>
      <c r="AC145" s="132">
        <f t="shared" si="103"/>
        <v>10000</v>
      </c>
      <c r="AD145" s="132">
        <f t="shared" si="103"/>
        <v>10000</v>
      </c>
      <c r="AE145" s="132">
        <f t="shared" si="103"/>
        <v>10000</v>
      </c>
      <c r="AF145" s="132">
        <f t="shared" si="103"/>
        <v>10000</v>
      </c>
      <c r="AG145" s="132">
        <f t="shared" si="103"/>
        <v>10000</v>
      </c>
      <c r="AH145" s="132">
        <f t="shared" si="103"/>
        <v>10000</v>
      </c>
      <c r="AI145" s="132">
        <f t="shared" si="103"/>
        <v>10000</v>
      </c>
      <c r="AJ145" s="132">
        <f t="shared" si="103"/>
        <v>10000</v>
      </c>
      <c r="AK145" s="132">
        <f t="shared" si="103"/>
        <v>10000</v>
      </c>
      <c r="AL145" s="132">
        <f t="shared" si="103"/>
        <v>10000</v>
      </c>
      <c r="AM145" s="132">
        <f t="shared" si="103"/>
        <v>10000</v>
      </c>
      <c r="AN145" s="132">
        <f t="shared" si="103"/>
        <v>10000</v>
      </c>
      <c r="AO145" s="132">
        <f t="shared" si="103"/>
        <v>10000</v>
      </c>
      <c r="AP145" s="132">
        <f t="shared" si="103"/>
        <v>10000</v>
      </c>
      <c r="AQ145" s="132">
        <f t="shared" si="103"/>
        <v>10000</v>
      </c>
      <c r="AR145" s="132">
        <f t="shared" si="103"/>
        <v>10000</v>
      </c>
      <c r="AS145" s="132">
        <f t="shared" si="103"/>
        <v>10000</v>
      </c>
      <c r="AT145" s="132">
        <f t="shared" si="103"/>
        <v>10000</v>
      </c>
      <c r="AU145" s="132">
        <f t="shared" si="103"/>
        <v>10000</v>
      </c>
      <c r="AV145" s="132">
        <f t="shared" si="103"/>
        <v>10000</v>
      </c>
      <c r="AW145" s="132">
        <f t="shared" si="103"/>
        <v>10000</v>
      </c>
      <c r="AX145" s="132">
        <f t="shared" si="103"/>
        <v>10000</v>
      </c>
      <c r="AY145" s="132">
        <f t="shared" si="103"/>
        <v>10000</v>
      </c>
      <c r="AZ145" s="132">
        <f t="shared" si="103"/>
        <v>10000</v>
      </c>
      <c r="BA145" s="132">
        <f t="shared" si="103"/>
        <v>10000</v>
      </c>
      <c r="BB145" s="132">
        <f t="shared" si="103"/>
        <v>10000</v>
      </c>
      <c r="BC145" s="132">
        <f t="shared" si="103"/>
        <v>10000</v>
      </c>
      <c r="BD145" s="132">
        <f t="shared" si="103"/>
        <v>10000</v>
      </c>
      <c r="BE145" s="132">
        <f t="shared" si="103"/>
        <v>10000</v>
      </c>
      <c r="BF145" s="132">
        <f t="shared" si="103"/>
        <v>10000</v>
      </c>
      <c r="BG145" s="132">
        <f t="shared" si="103"/>
        <v>10000</v>
      </c>
      <c r="BH145" s="132">
        <f t="shared" si="103"/>
        <v>10000</v>
      </c>
      <c r="BI145" s="132">
        <f t="shared" si="103"/>
        <v>10000</v>
      </c>
      <c r="BJ145" s="132">
        <f t="shared" si="103"/>
        <v>10000</v>
      </c>
      <c r="BK145" s="132">
        <f t="shared" si="103"/>
        <v>10000</v>
      </c>
      <c r="BL145" s="132">
        <f t="shared" si="103"/>
        <v>10000</v>
      </c>
      <c r="BM145" s="132">
        <f t="shared" si="103"/>
        <v>10000</v>
      </c>
      <c r="BN145" s="132">
        <f t="shared" si="103"/>
        <v>10000</v>
      </c>
    </row>
    <row r="146" outlineLevel="1">
      <c r="A146" s="141"/>
      <c r="B146" s="146" t="s">
        <v>102</v>
      </c>
      <c r="C146" s="141"/>
      <c r="D146" s="141"/>
      <c r="E146" s="141"/>
      <c r="F146" s="141"/>
      <c r="G146" s="143">
        <f t="shared" ref="G146:BN146" si="104">sum(G144:G145)</f>
        <v>11070</v>
      </c>
      <c r="H146" s="143">
        <f t="shared" si="104"/>
        <v>11611.05</v>
      </c>
      <c r="I146" s="143">
        <f t="shared" si="104"/>
        <v>11901.66575</v>
      </c>
      <c r="J146" s="143">
        <f t="shared" si="104"/>
        <v>12047.27499</v>
      </c>
      <c r="K146" s="143">
        <f t="shared" si="104"/>
        <v>12130.08412</v>
      </c>
      <c r="L146" s="143">
        <f t="shared" si="104"/>
        <v>12161.63876</v>
      </c>
      <c r="M146" s="143">
        <f t="shared" si="104"/>
        <v>12177.26833</v>
      </c>
      <c r="N146" s="143">
        <f t="shared" si="104"/>
        <v>12195.0809</v>
      </c>
      <c r="O146" s="143">
        <f t="shared" si="104"/>
        <v>12194.13715</v>
      </c>
      <c r="P146" s="143">
        <f t="shared" si="104"/>
        <v>12193.51753</v>
      </c>
      <c r="Q146" s="143">
        <f t="shared" si="104"/>
        <v>12203.2055</v>
      </c>
      <c r="R146" s="143">
        <f t="shared" si="104"/>
        <v>12198.19945</v>
      </c>
      <c r="S146" s="143">
        <f t="shared" si="104"/>
        <v>12195.54868</v>
      </c>
      <c r="T146" s="143">
        <f t="shared" si="104"/>
        <v>12194.22107</v>
      </c>
      <c r="U146" s="143">
        <f t="shared" si="104"/>
        <v>12193.55724</v>
      </c>
      <c r="V146" s="143">
        <f t="shared" si="104"/>
        <v>12193.22532</v>
      </c>
      <c r="W146" s="143">
        <f t="shared" si="104"/>
        <v>12193.05936</v>
      </c>
      <c r="X146" s="143">
        <f t="shared" si="104"/>
        <v>12192.97638</v>
      </c>
      <c r="Y146" s="143">
        <f t="shared" si="104"/>
        <v>12192.93489</v>
      </c>
      <c r="Z146" s="143">
        <f t="shared" si="104"/>
        <v>12192.91415</v>
      </c>
      <c r="AA146" s="143">
        <f t="shared" si="104"/>
        <v>12192.90377</v>
      </c>
      <c r="AB146" s="143">
        <f t="shared" si="104"/>
        <v>12192.89859</v>
      </c>
      <c r="AC146" s="143">
        <f t="shared" si="104"/>
        <v>12192.89599</v>
      </c>
      <c r="AD146" s="143">
        <f t="shared" si="104"/>
        <v>12192.8947</v>
      </c>
      <c r="AE146" s="143">
        <f t="shared" si="104"/>
        <v>12192.89405</v>
      </c>
      <c r="AF146" s="143">
        <f t="shared" si="104"/>
        <v>12192.89373</v>
      </c>
      <c r="AG146" s="143">
        <f t="shared" si="104"/>
        <v>12192.89356</v>
      </c>
      <c r="AH146" s="143">
        <f t="shared" si="104"/>
        <v>12192.89348</v>
      </c>
      <c r="AI146" s="143">
        <f t="shared" si="104"/>
        <v>12192.89344</v>
      </c>
      <c r="AJ146" s="143">
        <f t="shared" si="104"/>
        <v>12192.89342</v>
      </c>
      <c r="AK146" s="143">
        <f t="shared" si="104"/>
        <v>12192.89341</v>
      </c>
      <c r="AL146" s="143">
        <f t="shared" si="104"/>
        <v>12192.89341</v>
      </c>
      <c r="AM146" s="143">
        <f t="shared" si="104"/>
        <v>12192.8934</v>
      </c>
      <c r="AN146" s="143">
        <f t="shared" si="104"/>
        <v>12192.8934</v>
      </c>
      <c r="AO146" s="143">
        <f t="shared" si="104"/>
        <v>12192.8934</v>
      </c>
      <c r="AP146" s="143">
        <f t="shared" si="104"/>
        <v>12192.8934</v>
      </c>
      <c r="AQ146" s="143">
        <f t="shared" si="104"/>
        <v>12192.8934</v>
      </c>
      <c r="AR146" s="143">
        <f t="shared" si="104"/>
        <v>12192.8934</v>
      </c>
      <c r="AS146" s="143">
        <f t="shared" si="104"/>
        <v>12192.8934</v>
      </c>
      <c r="AT146" s="143">
        <f t="shared" si="104"/>
        <v>12192.8934</v>
      </c>
      <c r="AU146" s="143">
        <f t="shared" si="104"/>
        <v>12192.8934</v>
      </c>
      <c r="AV146" s="143">
        <f t="shared" si="104"/>
        <v>12192.8934</v>
      </c>
      <c r="AW146" s="143">
        <f t="shared" si="104"/>
        <v>12192.8934</v>
      </c>
      <c r="AX146" s="143">
        <f t="shared" si="104"/>
        <v>12192.8934</v>
      </c>
      <c r="AY146" s="143">
        <f t="shared" si="104"/>
        <v>12192.8934</v>
      </c>
      <c r="AZ146" s="143">
        <f t="shared" si="104"/>
        <v>12192.8934</v>
      </c>
      <c r="BA146" s="143">
        <f t="shared" si="104"/>
        <v>12192.8934</v>
      </c>
      <c r="BB146" s="143">
        <f t="shared" si="104"/>
        <v>12192.8934</v>
      </c>
      <c r="BC146" s="143">
        <f t="shared" si="104"/>
        <v>12192.8934</v>
      </c>
      <c r="BD146" s="143">
        <f t="shared" si="104"/>
        <v>12192.8934</v>
      </c>
      <c r="BE146" s="143">
        <f t="shared" si="104"/>
        <v>12192.8934</v>
      </c>
      <c r="BF146" s="143">
        <f t="shared" si="104"/>
        <v>12192.8934</v>
      </c>
      <c r="BG146" s="143">
        <f t="shared" si="104"/>
        <v>12192.8934</v>
      </c>
      <c r="BH146" s="143">
        <f t="shared" si="104"/>
        <v>12192.8934</v>
      </c>
      <c r="BI146" s="143">
        <f t="shared" si="104"/>
        <v>12192.8934</v>
      </c>
      <c r="BJ146" s="143">
        <f t="shared" si="104"/>
        <v>12192.8934</v>
      </c>
      <c r="BK146" s="143">
        <f t="shared" si="104"/>
        <v>12192.8934</v>
      </c>
      <c r="BL146" s="143">
        <f t="shared" si="104"/>
        <v>12192.8934</v>
      </c>
      <c r="BM146" s="143">
        <f t="shared" si="104"/>
        <v>12192.8934</v>
      </c>
      <c r="BN146" s="143">
        <f t="shared" si="104"/>
        <v>12192.8934</v>
      </c>
    </row>
    <row r="147" outlineLevel="1">
      <c r="A147" s="47"/>
      <c r="B147" s="147"/>
      <c r="C147" s="47"/>
      <c r="D147" s="68"/>
      <c r="E147" s="68"/>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c r="AX147" s="122"/>
      <c r="AY147" s="122"/>
      <c r="AZ147" s="122"/>
      <c r="BA147" s="122"/>
      <c r="BB147" s="122"/>
      <c r="BC147" s="122"/>
      <c r="BD147" s="122"/>
      <c r="BE147" s="122"/>
      <c r="BF147" s="122"/>
      <c r="BG147" s="122"/>
      <c r="BH147" s="122"/>
      <c r="BI147" s="122"/>
      <c r="BJ147" s="122"/>
      <c r="BK147" s="122"/>
      <c r="BL147" s="122"/>
      <c r="BM147" s="122"/>
      <c r="BN147" s="122"/>
    </row>
    <row r="148" outlineLevel="1">
      <c r="A148" s="47"/>
      <c r="B148" s="144" t="s">
        <v>115</v>
      </c>
      <c r="C148" s="67"/>
      <c r="D148" s="145"/>
      <c r="E148" s="68"/>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c r="AZ148" s="122"/>
      <c r="BA148" s="122"/>
      <c r="BB148" s="122"/>
      <c r="BC148" s="122"/>
      <c r="BD148" s="122"/>
      <c r="BE148" s="122"/>
      <c r="BF148" s="122"/>
      <c r="BG148" s="122"/>
      <c r="BH148" s="122"/>
      <c r="BI148" s="122"/>
      <c r="BJ148" s="122"/>
      <c r="BK148" s="122"/>
      <c r="BL148" s="122"/>
      <c r="BM148" s="122"/>
      <c r="BN148" s="122"/>
    </row>
    <row r="149" outlineLevel="1">
      <c r="A149" s="47"/>
      <c r="B149" s="127" t="s">
        <v>116</v>
      </c>
      <c r="C149" s="136">
        <v>2000.0</v>
      </c>
      <c r="D149" s="137"/>
      <c r="E149" s="68"/>
      <c r="F149" s="122"/>
      <c r="G149" s="122">
        <f t="shared" ref="G149:G151" si="106">C149</f>
        <v>2000</v>
      </c>
      <c r="H149" s="122">
        <f t="shared" ref="H149:BN149" si="105">G149</f>
        <v>2000</v>
      </c>
      <c r="I149" s="122">
        <f t="shared" si="105"/>
        <v>2000</v>
      </c>
      <c r="J149" s="122">
        <f t="shared" si="105"/>
        <v>2000</v>
      </c>
      <c r="K149" s="122">
        <f t="shared" si="105"/>
        <v>2000</v>
      </c>
      <c r="L149" s="122">
        <f t="shared" si="105"/>
        <v>2000</v>
      </c>
      <c r="M149" s="122">
        <f t="shared" si="105"/>
        <v>2000</v>
      </c>
      <c r="N149" s="122">
        <f t="shared" si="105"/>
        <v>2000</v>
      </c>
      <c r="O149" s="122">
        <f t="shared" si="105"/>
        <v>2000</v>
      </c>
      <c r="P149" s="122">
        <f t="shared" si="105"/>
        <v>2000</v>
      </c>
      <c r="Q149" s="122">
        <f t="shared" si="105"/>
        <v>2000</v>
      </c>
      <c r="R149" s="122">
        <f t="shared" si="105"/>
        <v>2000</v>
      </c>
      <c r="S149" s="122">
        <f t="shared" si="105"/>
        <v>2000</v>
      </c>
      <c r="T149" s="122">
        <f t="shared" si="105"/>
        <v>2000</v>
      </c>
      <c r="U149" s="122">
        <f t="shared" si="105"/>
        <v>2000</v>
      </c>
      <c r="V149" s="122">
        <f t="shared" si="105"/>
        <v>2000</v>
      </c>
      <c r="W149" s="122">
        <f t="shared" si="105"/>
        <v>2000</v>
      </c>
      <c r="X149" s="122">
        <f t="shared" si="105"/>
        <v>2000</v>
      </c>
      <c r="Y149" s="122">
        <f t="shared" si="105"/>
        <v>2000</v>
      </c>
      <c r="Z149" s="122">
        <f t="shared" si="105"/>
        <v>2000</v>
      </c>
      <c r="AA149" s="122">
        <f t="shared" si="105"/>
        <v>2000</v>
      </c>
      <c r="AB149" s="122">
        <f t="shared" si="105"/>
        <v>2000</v>
      </c>
      <c r="AC149" s="122">
        <f t="shared" si="105"/>
        <v>2000</v>
      </c>
      <c r="AD149" s="122">
        <f t="shared" si="105"/>
        <v>2000</v>
      </c>
      <c r="AE149" s="122">
        <f t="shared" si="105"/>
        <v>2000</v>
      </c>
      <c r="AF149" s="122">
        <f t="shared" si="105"/>
        <v>2000</v>
      </c>
      <c r="AG149" s="122">
        <f t="shared" si="105"/>
        <v>2000</v>
      </c>
      <c r="AH149" s="122">
        <f t="shared" si="105"/>
        <v>2000</v>
      </c>
      <c r="AI149" s="122">
        <f t="shared" si="105"/>
        <v>2000</v>
      </c>
      <c r="AJ149" s="122">
        <f t="shared" si="105"/>
        <v>2000</v>
      </c>
      <c r="AK149" s="122">
        <f t="shared" si="105"/>
        <v>2000</v>
      </c>
      <c r="AL149" s="122">
        <f t="shared" si="105"/>
        <v>2000</v>
      </c>
      <c r="AM149" s="122">
        <f t="shared" si="105"/>
        <v>2000</v>
      </c>
      <c r="AN149" s="122">
        <f t="shared" si="105"/>
        <v>2000</v>
      </c>
      <c r="AO149" s="122">
        <f t="shared" si="105"/>
        <v>2000</v>
      </c>
      <c r="AP149" s="122">
        <f t="shared" si="105"/>
        <v>2000</v>
      </c>
      <c r="AQ149" s="122">
        <f t="shared" si="105"/>
        <v>2000</v>
      </c>
      <c r="AR149" s="122">
        <f t="shared" si="105"/>
        <v>2000</v>
      </c>
      <c r="AS149" s="122">
        <f t="shared" si="105"/>
        <v>2000</v>
      </c>
      <c r="AT149" s="122">
        <f t="shared" si="105"/>
        <v>2000</v>
      </c>
      <c r="AU149" s="122">
        <f t="shared" si="105"/>
        <v>2000</v>
      </c>
      <c r="AV149" s="122">
        <f t="shared" si="105"/>
        <v>2000</v>
      </c>
      <c r="AW149" s="122">
        <f t="shared" si="105"/>
        <v>2000</v>
      </c>
      <c r="AX149" s="122">
        <f t="shared" si="105"/>
        <v>2000</v>
      </c>
      <c r="AY149" s="122">
        <f t="shared" si="105"/>
        <v>2000</v>
      </c>
      <c r="AZ149" s="122">
        <f t="shared" si="105"/>
        <v>2000</v>
      </c>
      <c r="BA149" s="122">
        <f t="shared" si="105"/>
        <v>2000</v>
      </c>
      <c r="BB149" s="122">
        <f t="shared" si="105"/>
        <v>2000</v>
      </c>
      <c r="BC149" s="122">
        <f t="shared" si="105"/>
        <v>2000</v>
      </c>
      <c r="BD149" s="122">
        <f t="shared" si="105"/>
        <v>2000</v>
      </c>
      <c r="BE149" s="122">
        <f t="shared" si="105"/>
        <v>2000</v>
      </c>
      <c r="BF149" s="122">
        <f t="shared" si="105"/>
        <v>2000</v>
      </c>
      <c r="BG149" s="122">
        <f t="shared" si="105"/>
        <v>2000</v>
      </c>
      <c r="BH149" s="122">
        <f t="shared" si="105"/>
        <v>2000</v>
      </c>
      <c r="BI149" s="122">
        <f t="shared" si="105"/>
        <v>2000</v>
      </c>
      <c r="BJ149" s="122">
        <f t="shared" si="105"/>
        <v>2000</v>
      </c>
      <c r="BK149" s="122">
        <f t="shared" si="105"/>
        <v>2000</v>
      </c>
      <c r="BL149" s="122">
        <f t="shared" si="105"/>
        <v>2000</v>
      </c>
      <c r="BM149" s="122">
        <f t="shared" si="105"/>
        <v>2000</v>
      </c>
      <c r="BN149" s="122">
        <f t="shared" si="105"/>
        <v>2000</v>
      </c>
    </row>
    <row r="150" outlineLevel="1">
      <c r="A150" s="47"/>
      <c r="B150" s="127" t="s">
        <v>117</v>
      </c>
      <c r="C150" s="136">
        <v>1000.0</v>
      </c>
      <c r="D150" s="137"/>
      <c r="E150" s="68"/>
      <c r="F150" s="122"/>
      <c r="G150" s="122">
        <f t="shared" si="106"/>
        <v>1000</v>
      </c>
      <c r="H150" s="122">
        <f t="shared" ref="H150:BN150" si="107">G150</f>
        <v>1000</v>
      </c>
      <c r="I150" s="122">
        <f t="shared" si="107"/>
        <v>1000</v>
      </c>
      <c r="J150" s="122">
        <f t="shared" si="107"/>
        <v>1000</v>
      </c>
      <c r="K150" s="122">
        <f t="shared" si="107"/>
        <v>1000</v>
      </c>
      <c r="L150" s="122">
        <f t="shared" si="107"/>
        <v>1000</v>
      </c>
      <c r="M150" s="122">
        <f t="shared" si="107"/>
        <v>1000</v>
      </c>
      <c r="N150" s="122">
        <f t="shared" si="107"/>
        <v>1000</v>
      </c>
      <c r="O150" s="122">
        <f t="shared" si="107"/>
        <v>1000</v>
      </c>
      <c r="P150" s="122">
        <f t="shared" si="107"/>
        <v>1000</v>
      </c>
      <c r="Q150" s="122">
        <f t="shared" si="107"/>
        <v>1000</v>
      </c>
      <c r="R150" s="122">
        <f t="shared" si="107"/>
        <v>1000</v>
      </c>
      <c r="S150" s="122">
        <f t="shared" si="107"/>
        <v>1000</v>
      </c>
      <c r="T150" s="122">
        <f t="shared" si="107"/>
        <v>1000</v>
      </c>
      <c r="U150" s="122">
        <f t="shared" si="107"/>
        <v>1000</v>
      </c>
      <c r="V150" s="122">
        <f t="shared" si="107"/>
        <v>1000</v>
      </c>
      <c r="W150" s="122">
        <f t="shared" si="107"/>
        <v>1000</v>
      </c>
      <c r="X150" s="122">
        <f t="shared" si="107"/>
        <v>1000</v>
      </c>
      <c r="Y150" s="122">
        <f t="shared" si="107"/>
        <v>1000</v>
      </c>
      <c r="Z150" s="122">
        <f t="shared" si="107"/>
        <v>1000</v>
      </c>
      <c r="AA150" s="122">
        <f t="shared" si="107"/>
        <v>1000</v>
      </c>
      <c r="AB150" s="122">
        <f t="shared" si="107"/>
        <v>1000</v>
      </c>
      <c r="AC150" s="122">
        <f t="shared" si="107"/>
        <v>1000</v>
      </c>
      <c r="AD150" s="122">
        <f t="shared" si="107"/>
        <v>1000</v>
      </c>
      <c r="AE150" s="122">
        <f t="shared" si="107"/>
        <v>1000</v>
      </c>
      <c r="AF150" s="122">
        <f t="shared" si="107"/>
        <v>1000</v>
      </c>
      <c r="AG150" s="122">
        <f t="shared" si="107"/>
        <v>1000</v>
      </c>
      <c r="AH150" s="122">
        <f t="shared" si="107"/>
        <v>1000</v>
      </c>
      <c r="AI150" s="122">
        <f t="shared" si="107"/>
        <v>1000</v>
      </c>
      <c r="AJ150" s="122">
        <f t="shared" si="107"/>
        <v>1000</v>
      </c>
      <c r="AK150" s="122">
        <f t="shared" si="107"/>
        <v>1000</v>
      </c>
      <c r="AL150" s="122">
        <f t="shared" si="107"/>
        <v>1000</v>
      </c>
      <c r="AM150" s="122">
        <f t="shared" si="107"/>
        <v>1000</v>
      </c>
      <c r="AN150" s="122">
        <f t="shared" si="107"/>
        <v>1000</v>
      </c>
      <c r="AO150" s="122">
        <f t="shared" si="107"/>
        <v>1000</v>
      </c>
      <c r="AP150" s="122">
        <f t="shared" si="107"/>
        <v>1000</v>
      </c>
      <c r="AQ150" s="122">
        <f t="shared" si="107"/>
        <v>1000</v>
      </c>
      <c r="AR150" s="122">
        <f t="shared" si="107"/>
        <v>1000</v>
      </c>
      <c r="AS150" s="122">
        <f t="shared" si="107"/>
        <v>1000</v>
      </c>
      <c r="AT150" s="122">
        <f t="shared" si="107"/>
        <v>1000</v>
      </c>
      <c r="AU150" s="122">
        <f t="shared" si="107"/>
        <v>1000</v>
      </c>
      <c r="AV150" s="122">
        <f t="shared" si="107"/>
        <v>1000</v>
      </c>
      <c r="AW150" s="122">
        <f t="shared" si="107"/>
        <v>1000</v>
      </c>
      <c r="AX150" s="122">
        <f t="shared" si="107"/>
        <v>1000</v>
      </c>
      <c r="AY150" s="122">
        <f t="shared" si="107"/>
        <v>1000</v>
      </c>
      <c r="AZ150" s="122">
        <f t="shared" si="107"/>
        <v>1000</v>
      </c>
      <c r="BA150" s="122">
        <f t="shared" si="107"/>
        <v>1000</v>
      </c>
      <c r="BB150" s="122">
        <f t="shared" si="107"/>
        <v>1000</v>
      </c>
      <c r="BC150" s="122">
        <f t="shared" si="107"/>
        <v>1000</v>
      </c>
      <c r="BD150" s="122">
        <f t="shared" si="107"/>
        <v>1000</v>
      </c>
      <c r="BE150" s="122">
        <f t="shared" si="107"/>
        <v>1000</v>
      </c>
      <c r="BF150" s="122">
        <f t="shared" si="107"/>
        <v>1000</v>
      </c>
      <c r="BG150" s="122">
        <f t="shared" si="107"/>
        <v>1000</v>
      </c>
      <c r="BH150" s="122">
        <f t="shared" si="107"/>
        <v>1000</v>
      </c>
      <c r="BI150" s="122">
        <f t="shared" si="107"/>
        <v>1000</v>
      </c>
      <c r="BJ150" s="122">
        <f t="shared" si="107"/>
        <v>1000</v>
      </c>
      <c r="BK150" s="122">
        <f t="shared" si="107"/>
        <v>1000</v>
      </c>
      <c r="BL150" s="122">
        <f t="shared" si="107"/>
        <v>1000</v>
      </c>
      <c r="BM150" s="122">
        <f t="shared" si="107"/>
        <v>1000</v>
      </c>
      <c r="BN150" s="122">
        <f t="shared" si="107"/>
        <v>1000</v>
      </c>
    </row>
    <row r="151" outlineLevel="1">
      <c r="A151" s="47"/>
      <c r="B151" s="130" t="s">
        <v>96</v>
      </c>
      <c r="C151" s="139">
        <v>2000.0</v>
      </c>
      <c r="D151" s="140"/>
      <c r="E151" s="140"/>
      <c r="F151" s="132"/>
      <c r="G151" s="132">
        <f t="shared" si="106"/>
        <v>2000</v>
      </c>
      <c r="H151" s="132">
        <f t="shared" ref="H151:BN151" si="108">G151</f>
        <v>2000</v>
      </c>
      <c r="I151" s="132">
        <f t="shared" si="108"/>
        <v>2000</v>
      </c>
      <c r="J151" s="132">
        <f t="shared" si="108"/>
        <v>2000</v>
      </c>
      <c r="K151" s="132">
        <f t="shared" si="108"/>
        <v>2000</v>
      </c>
      <c r="L151" s="132">
        <f t="shared" si="108"/>
        <v>2000</v>
      </c>
      <c r="M151" s="132">
        <f t="shared" si="108"/>
        <v>2000</v>
      </c>
      <c r="N151" s="132">
        <f t="shared" si="108"/>
        <v>2000</v>
      </c>
      <c r="O151" s="132">
        <f t="shared" si="108"/>
        <v>2000</v>
      </c>
      <c r="P151" s="132">
        <f t="shared" si="108"/>
        <v>2000</v>
      </c>
      <c r="Q151" s="132">
        <f t="shared" si="108"/>
        <v>2000</v>
      </c>
      <c r="R151" s="132">
        <f t="shared" si="108"/>
        <v>2000</v>
      </c>
      <c r="S151" s="132">
        <f t="shared" si="108"/>
        <v>2000</v>
      </c>
      <c r="T151" s="132">
        <f t="shared" si="108"/>
        <v>2000</v>
      </c>
      <c r="U151" s="132">
        <f t="shared" si="108"/>
        <v>2000</v>
      </c>
      <c r="V151" s="132">
        <f t="shared" si="108"/>
        <v>2000</v>
      </c>
      <c r="W151" s="132">
        <f t="shared" si="108"/>
        <v>2000</v>
      </c>
      <c r="X151" s="132">
        <f t="shared" si="108"/>
        <v>2000</v>
      </c>
      <c r="Y151" s="132">
        <f t="shared" si="108"/>
        <v>2000</v>
      </c>
      <c r="Z151" s="132">
        <f t="shared" si="108"/>
        <v>2000</v>
      </c>
      <c r="AA151" s="132">
        <f t="shared" si="108"/>
        <v>2000</v>
      </c>
      <c r="AB151" s="132">
        <f t="shared" si="108"/>
        <v>2000</v>
      </c>
      <c r="AC151" s="132">
        <f t="shared" si="108"/>
        <v>2000</v>
      </c>
      <c r="AD151" s="132">
        <f t="shared" si="108"/>
        <v>2000</v>
      </c>
      <c r="AE151" s="132">
        <f t="shared" si="108"/>
        <v>2000</v>
      </c>
      <c r="AF151" s="132">
        <f t="shared" si="108"/>
        <v>2000</v>
      </c>
      <c r="AG151" s="132">
        <f t="shared" si="108"/>
        <v>2000</v>
      </c>
      <c r="AH151" s="132">
        <f t="shared" si="108"/>
        <v>2000</v>
      </c>
      <c r="AI151" s="132">
        <f t="shared" si="108"/>
        <v>2000</v>
      </c>
      <c r="AJ151" s="132">
        <f t="shared" si="108"/>
        <v>2000</v>
      </c>
      <c r="AK151" s="132">
        <f t="shared" si="108"/>
        <v>2000</v>
      </c>
      <c r="AL151" s="132">
        <f t="shared" si="108"/>
        <v>2000</v>
      </c>
      <c r="AM151" s="132">
        <f t="shared" si="108"/>
        <v>2000</v>
      </c>
      <c r="AN151" s="132">
        <f t="shared" si="108"/>
        <v>2000</v>
      </c>
      <c r="AO151" s="132">
        <f t="shared" si="108"/>
        <v>2000</v>
      </c>
      <c r="AP151" s="132">
        <f t="shared" si="108"/>
        <v>2000</v>
      </c>
      <c r="AQ151" s="132">
        <f t="shared" si="108"/>
        <v>2000</v>
      </c>
      <c r="AR151" s="132">
        <f t="shared" si="108"/>
        <v>2000</v>
      </c>
      <c r="AS151" s="132">
        <f t="shared" si="108"/>
        <v>2000</v>
      </c>
      <c r="AT151" s="132">
        <f t="shared" si="108"/>
        <v>2000</v>
      </c>
      <c r="AU151" s="132">
        <f t="shared" si="108"/>
        <v>2000</v>
      </c>
      <c r="AV151" s="132">
        <f t="shared" si="108"/>
        <v>2000</v>
      </c>
      <c r="AW151" s="132">
        <f t="shared" si="108"/>
        <v>2000</v>
      </c>
      <c r="AX151" s="132">
        <f t="shared" si="108"/>
        <v>2000</v>
      </c>
      <c r="AY151" s="132">
        <f t="shared" si="108"/>
        <v>2000</v>
      </c>
      <c r="AZ151" s="132">
        <f t="shared" si="108"/>
        <v>2000</v>
      </c>
      <c r="BA151" s="132">
        <f t="shared" si="108"/>
        <v>2000</v>
      </c>
      <c r="BB151" s="132">
        <f t="shared" si="108"/>
        <v>2000</v>
      </c>
      <c r="BC151" s="132">
        <f t="shared" si="108"/>
        <v>2000</v>
      </c>
      <c r="BD151" s="132">
        <f t="shared" si="108"/>
        <v>2000</v>
      </c>
      <c r="BE151" s="132">
        <f t="shared" si="108"/>
        <v>2000</v>
      </c>
      <c r="BF151" s="132">
        <f t="shared" si="108"/>
        <v>2000</v>
      </c>
      <c r="BG151" s="132">
        <f t="shared" si="108"/>
        <v>2000</v>
      </c>
      <c r="BH151" s="132">
        <f t="shared" si="108"/>
        <v>2000</v>
      </c>
      <c r="BI151" s="132">
        <f t="shared" si="108"/>
        <v>2000</v>
      </c>
      <c r="BJ151" s="132">
        <f t="shared" si="108"/>
        <v>2000</v>
      </c>
      <c r="BK151" s="132">
        <f t="shared" si="108"/>
        <v>2000</v>
      </c>
      <c r="BL151" s="132">
        <f t="shared" si="108"/>
        <v>2000</v>
      </c>
      <c r="BM151" s="132">
        <f t="shared" si="108"/>
        <v>2000</v>
      </c>
      <c r="BN151" s="132">
        <f t="shared" si="108"/>
        <v>2000</v>
      </c>
    </row>
    <row r="152" outlineLevel="1">
      <c r="A152" s="141"/>
      <c r="B152" s="146" t="s">
        <v>102</v>
      </c>
      <c r="C152" s="141"/>
      <c r="D152" s="141"/>
      <c r="E152" s="141"/>
      <c r="F152" s="141"/>
      <c r="G152" s="143">
        <f t="shared" ref="G152:BN152" si="109">sum(G149:G151)</f>
        <v>5000</v>
      </c>
      <c r="H152" s="143">
        <f t="shared" si="109"/>
        <v>5000</v>
      </c>
      <c r="I152" s="143">
        <f t="shared" si="109"/>
        <v>5000</v>
      </c>
      <c r="J152" s="143">
        <f t="shared" si="109"/>
        <v>5000</v>
      </c>
      <c r="K152" s="143">
        <f t="shared" si="109"/>
        <v>5000</v>
      </c>
      <c r="L152" s="143">
        <f t="shared" si="109"/>
        <v>5000</v>
      </c>
      <c r="M152" s="143">
        <f t="shared" si="109"/>
        <v>5000</v>
      </c>
      <c r="N152" s="143">
        <f t="shared" si="109"/>
        <v>5000</v>
      </c>
      <c r="O152" s="143">
        <f t="shared" si="109"/>
        <v>5000</v>
      </c>
      <c r="P152" s="143">
        <f t="shared" si="109"/>
        <v>5000</v>
      </c>
      <c r="Q152" s="143">
        <f t="shared" si="109"/>
        <v>5000</v>
      </c>
      <c r="R152" s="143">
        <f t="shared" si="109"/>
        <v>5000</v>
      </c>
      <c r="S152" s="143">
        <f t="shared" si="109"/>
        <v>5000</v>
      </c>
      <c r="T152" s="143">
        <f t="shared" si="109"/>
        <v>5000</v>
      </c>
      <c r="U152" s="143">
        <f t="shared" si="109"/>
        <v>5000</v>
      </c>
      <c r="V152" s="143">
        <f t="shared" si="109"/>
        <v>5000</v>
      </c>
      <c r="W152" s="143">
        <f t="shared" si="109"/>
        <v>5000</v>
      </c>
      <c r="X152" s="143">
        <f t="shared" si="109"/>
        <v>5000</v>
      </c>
      <c r="Y152" s="143">
        <f t="shared" si="109"/>
        <v>5000</v>
      </c>
      <c r="Z152" s="143">
        <f t="shared" si="109"/>
        <v>5000</v>
      </c>
      <c r="AA152" s="143">
        <f t="shared" si="109"/>
        <v>5000</v>
      </c>
      <c r="AB152" s="143">
        <f t="shared" si="109"/>
        <v>5000</v>
      </c>
      <c r="AC152" s="143">
        <f t="shared" si="109"/>
        <v>5000</v>
      </c>
      <c r="AD152" s="143">
        <f t="shared" si="109"/>
        <v>5000</v>
      </c>
      <c r="AE152" s="143">
        <f t="shared" si="109"/>
        <v>5000</v>
      </c>
      <c r="AF152" s="143">
        <f t="shared" si="109"/>
        <v>5000</v>
      </c>
      <c r="AG152" s="143">
        <f t="shared" si="109"/>
        <v>5000</v>
      </c>
      <c r="AH152" s="143">
        <f t="shared" si="109"/>
        <v>5000</v>
      </c>
      <c r="AI152" s="143">
        <f t="shared" si="109"/>
        <v>5000</v>
      </c>
      <c r="AJ152" s="143">
        <f t="shared" si="109"/>
        <v>5000</v>
      </c>
      <c r="AK152" s="143">
        <f t="shared" si="109"/>
        <v>5000</v>
      </c>
      <c r="AL152" s="143">
        <f t="shared" si="109"/>
        <v>5000</v>
      </c>
      <c r="AM152" s="143">
        <f t="shared" si="109"/>
        <v>5000</v>
      </c>
      <c r="AN152" s="143">
        <f t="shared" si="109"/>
        <v>5000</v>
      </c>
      <c r="AO152" s="143">
        <f t="shared" si="109"/>
        <v>5000</v>
      </c>
      <c r="AP152" s="143">
        <f t="shared" si="109"/>
        <v>5000</v>
      </c>
      <c r="AQ152" s="143">
        <f t="shared" si="109"/>
        <v>5000</v>
      </c>
      <c r="AR152" s="143">
        <f t="shared" si="109"/>
        <v>5000</v>
      </c>
      <c r="AS152" s="143">
        <f t="shared" si="109"/>
        <v>5000</v>
      </c>
      <c r="AT152" s="143">
        <f t="shared" si="109"/>
        <v>5000</v>
      </c>
      <c r="AU152" s="143">
        <f t="shared" si="109"/>
        <v>5000</v>
      </c>
      <c r="AV152" s="143">
        <f t="shared" si="109"/>
        <v>5000</v>
      </c>
      <c r="AW152" s="143">
        <f t="shared" si="109"/>
        <v>5000</v>
      </c>
      <c r="AX152" s="143">
        <f t="shared" si="109"/>
        <v>5000</v>
      </c>
      <c r="AY152" s="143">
        <f t="shared" si="109"/>
        <v>5000</v>
      </c>
      <c r="AZ152" s="143">
        <f t="shared" si="109"/>
        <v>5000</v>
      </c>
      <c r="BA152" s="143">
        <f t="shared" si="109"/>
        <v>5000</v>
      </c>
      <c r="BB152" s="143">
        <f t="shared" si="109"/>
        <v>5000</v>
      </c>
      <c r="BC152" s="143">
        <f t="shared" si="109"/>
        <v>5000</v>
      </c>
      <c r="BD152" s="143">
        <f t="shared" si="109"/>
        <v>5000</v>
      </c>
      <c r="BE152" s="143">
        <f t="shared" si="109"/>
        <v>5000</v>
      </c>
      <c r="BF152" s="143">
        <f t="shared" si="109"/>
        <v>5000</v>
      </c>
      <c r="BG152" s="143">
        <f t="shared" si="109"/>
        <v>5000</v>
      </c>
      <c r="BH152" s="143">
        <f t="shared" si="109"/>
        <v>5000</v>
      </c>
      <c r="BI152" s="143">
        <f t="shared" si="109"/>
        <v>5000</v>
      </c>
      <c r="BJ152" s="143">
        <f t="shared" si="109"/>
        <v>5000</v>
      </c>
      <c r="BK152" s="143">
        <f t="shared" si="109"/>
        <v>5000</v>
      </c>
      <c r="BL152" s="143">
        <f t="shared" si="109"/>
        <v>5000</v>
      </c>
      <c r="BM152" s="143">
        <f t="shared" si="109"/>
        <v>5000</v>
      </c>
      <c r="BN152" s="143">
        <f t="shared" si="109"/>
        <v>5000</v>
      </c>
    </row>
    <row r="153" outlineLevel="1">
      <c r="A153" s="47"/>
      <c r="B153" s="147"/>
      <c r="C153" s="47"/>
      <c r="D153" s="68"/>
      <c r="E153" s="68"/>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c r="AZ153" s="122"/>
      <c r="BA153" s="122"/>
      <c r="BB153" s="122"/>
      <c r="BC153" s="122"/>
      <c r="BD153" s="122"/>
      <c r="BE153" s="122"/>
      <c r="BF153" s="122"/>
      <c r="BG153" s="122"/>
      <c r="BH153" s="122"/>
      <c r="BI153" s="122"/>
      <c r="BJ153" s="122"/>
      <c r="BK153" s="122"/>
      <c r="BL153" s="122"/>
      <c r="BM153" s="122"/>
      <c r="BN153" s="122"/>
    </row>
    <row r="154" outlineLevel="1">
      <c r="A154" s="47"/>
      <c r="B154" s="144" t="s">
        <v>96</v>
      </c>
      <c r="C154" s="121" t="s">
        <v>93</v>
      </c>
      <c r="D154" s="68"/>
      <c r="E154" s="68"/>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c r="AX154" s="122"/>
      <c r="AY154" s="122"/>
      <c r="AZ154" s="122"/>
      <c r="BA154" s="122"/>
      <c r="BB154" s="122"/>
      <c r="BC154" s="122"/>
      <c r="BD154" s="122"/>
      <c r="BE154" s="122"/>
      <c r="BF154" s="122"/>
      <c r="BG154" s="122"/>
      <c r="BH154" s="122"/>
      <c r="BI154" s="122"/>
      <c r="BJ154" s="122"/>
      <c r="BK154" s="122"/>
      <c r="BL154" s="122"/>
      <c r="BM154" s="122"/>
      <c r="BN154" s="122"/>
    </row>
    <row r="155" outlineLevel="1">
      <c r="A155" s="47"/>
      <c r="B155" s="127" t="s">
        <v>118</v>
      </c>
      <c r="C155" s="125">
        <v>0.1</v>
      </c>
      <c r="D155" s="68"/>
      <c r="E155" s="68"/>
      <c r="F155" s="122"/>
      <c r="G155" s="122">
        <f>Financials!F$8*$C155</f>
        <v>1337.5</v>
      </c>
      <c r="H155" s="122">
        <f>Financials!G$8*$C155</f>
        <v>2013.8125</v>
      </c>
      <c r="I155" s="122">
        <f>Financials!H$8*$C155</f>
        <v>2377.082188</v>
      </c>
      <c r="J155" s="122">
        <f>Financials!I$8*$C155</f>
        <v>2559.093733</v>
      </c>
      <c r="K155" s="122">
        <f>Financials!J$8*$C155</f>
        <v>2662.605156</v>
      </c>
      <c r="L155" s="122">
        <f>Financials!K$8*$C155</f>
        <v>2702.048452</v>
      </c>
      <c r="M155" s="122">
        <f>Financials!L$8*$C155</f>
        <v>2721.585414</v>
      </c>
      <c r="N155" s="122">
        <f>Financials!M$8*$C155</f>
        <v>2743.851125</v>
      </c>
      <c r="O155" s="122">
        <f>Financials!N$8*$C155</f>
        <v>2742.671439</v>
      </c>
      <c r="P155" s="122">
        <f>Financials!O$8*$C155</f>
        <v>2741.896908</v>
      </c>
      <c r="Q155" s="122">
        <f>Financials!P$8*$C155</f>
        <v>2754.006872</v>
      </c>
      <c r="R155" s="122">
        <f>Financials!Q$8*$C155</f>
        <v>2747.749312</v>
      </c>
      <c r="S155" s="122">
        <f>Financials!R$8*$C155</f>
        <v>2744.435844</v>
      </c>
      <c r="T155" s="122">
        <f>Financials!S$8*$C155</f>
        <v>2742.77634</v>
      </c>
      <c r="U155" s="122">
        <f>Financials!T$8*$C155</f>
        <v>2741.946546</v>
      </c>
      <c r="V155" s="122">
        <f>Financials!U$8*$C155</f>
        <v>2741.531649</v>
      </c>
      <c r="W155" s="122">
        <f>Financials!V$8*$C155</f>
        <v>2741.3242</v>
      </c>
      <c r="X155" s="122">
        <f>Financials!W$8*$C155</f>
        <v>2741.220476</v>
      </c>
      <c r="Y155" s="122">
        <f>Financials!X$8*$C155</f>
        <v>2741.168613</v>
      </c>
      <c r="Z155" s="122">
        <f>Financials!Y$8*$C155</f>
        <v>2741.142682</v>
      </c>
      <c r="AA155" s="122">
        <f>Financials!Z$8*$C155</f>
        <v>2741.129717</v>
      </c>
      <c r="AB155" s="122">
        <f>Financials!AA$8*$C155</f>
        <v>2741.123234</v>
      </c>
      <c r="AC155" s="122">
        <f>Financials!AB$8*$C155</f>
        <v>2741.119993</v>
      </c>
      <c r="AD155" s="122">
        <f>Financials!AC$8*$C155</f>
        <v>2741.118372</v>
      </c>
      <c r="AE155" s="122">
        <f>Financials!AD$8*$C155</f>
        <v>2741.117562</v>
      </c>
      <c r="AF155" s="122">
        <f>Financials!AE$8*$C155</f>
        <v>2741.117156</v>
      </c>
      <c r="AG155" s="122">
        <f>Financials!AF$8*$C155</f>
        <v>2741.116954</v>
      </c>
      <c r="AH155" s="122">
        <f>Financials!AG$8*$C155</f>
        <v>2741.116853</v>
      </c>
      <c r="AI155" s="122">
        <f>Financials!AH$8*$C155</f>
        <v>2741.116802</v>
      </c>
      <c r="AJ155" s="122">
        <f>Financials!AI$8*$C155</f>
        <v>2741.116777</v>
      </c>
      <c r="AK155" s="122">
        <f>Financials!AJ$8*$C155</f>
        <v>2741.116764</v>
      </c>
      <c r="AL155" s="122">
        <f>Financials!AK$8*$C155</f>
        <v>2741.116758</v>
      </c>
      <c r="AM155" s="122">
        <f>Financials!AL$8*$C155</f>
        <v>2741.116754</v>
      </c>
      <c r="AN155" s="122">
        <f>Financials!AM$8*$C155</f>
        <v>2741.116753</v>
      </c>
      <c r="AO155" s="122">
        <f>Financials!AN$8*$C155</f>
        <v>2741.116752</v>
      </c>
      <c r="AP155" s="122">
        <f>Financials!AO$8*$C155</f>
        <v>2741.116752</v>
      </c>
      <c r="AQ155" s="122">
        <f>Financials!AP$8*$C155</f>
        <v>2741.116751</v>
      </c>
      <c r="AR155" s="122">
        <f>Financials!AQ$8*$C155</f>
        <v>2741.116751</v>
      </c>
      <c r="AS155" s="122">
        <f>Financials!AR$8*$C155</f>
        <v>2741.116751</v>
      </c>
      <c r="AT155" s="122">
        <f>Financials!AS$8*$C155</f>
        <v>2741.116751</v>
      </c>
      <c r="AU155" s="122">
        <f>Financials!AT$8*$C155</f>
        <v>2741.116751</v>
      </c>
      <c r="AV155" s="122">
        <f>Financials!AU$8*$C155</f>
        <v>2741.116751</v>
      </c>
      <c r="AW155" s="122">
        <f>Financials!AV$8*$C155</f>
        <v>2741.116751</v>
      </c>
      <c r="AX155" s="122">
        <f>Financials!AW$8*$C155</f>
        <v>2741.116751</v>
      </c>
      <c r="AY155" s="122">
        <f>Financials!AX$8*$C155</f>
        <v>2741.116751</v>
      </c>
      <c r="AZ155" s="122">
        <f>Financials!AY$8*$C155</f>
        <v>2741.116751</v>
      </c>
      <c r="BA155" s="122">
        <f>Financials!AZ$8*$C155</f>
        <v>2741.116751</v>
      </c>
      <c r="BB155" s="122">
        <f>Financials!BA$8*$C155</f>
        <v>2741.116751</v>
      </c>
      <c r="BC155" s="122">
        <f>Financials!BB$8*$C155</f>
        <v>2741.116751</v>
      </c>
      <c r="BD155" s="122">
        <f>Financials!BC$8*$C155</f>
        <v>2741.116751</v>
      </c>
      <c r="BE155" s="122">
        <f>Financials!BD$8*$C155</f>
        <v>2741.116751</v>
      </c>
      <c r="BF155" s="122">
        <f>Financials!BE$8*$C155</f>
        <v>2741.116751</v>
      </c>
      <c r="BG155" s="122">
        <f>Financials!BF$8*$C155</f>
        <v>2741.116751</v>
      </c>
      <c r="BH155" s="122">
        <f>Financials!BG$8*$C155</f>
        <v>2741.116751</v>
      </c>
      <c r="BI155" s="122">
        <f>Financials!BH$8*$C155</f>
        <v>2741.116751</v>
      </c>
      <c r="BJ155" s="122">
        <f>Financials!BI$8*$C155</f>
        <v>2741.116751</v>
      </c>
      <c r="BK155" s="122">
        <f>Financials!BJ$8*$C155</f>
        <v>2741.116751</v>
      </c>
      <c r="BL155" s="122">
        <f>Financials!BK$8*$C155</f>
        <v>2741.116751</v>
      </c>
      <c r="BM155" s="122">
        <f>Financials!BL$8*$C155</f>
        <v>2741.116751</v>
      </c>
      <c r="BN155" s="122">
        <f>Financials!BM$8*$C155</f>
        <v>2741.116751</v>
      </c>
    </row>
    <row r="156" outlineLevel="1">
      <c r="A156" s="47"/>
      <c r="B156" s="39"/>
      <c r="C156" s="47"/>
      <c r="D156" s="47"/>
      <c r="E156" s="47"/>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c r="AX156" s="122"/>
      <c r="AY156" s="122"/>
      <c r="AZ156" s="122"/>
      <c r="BA156" s="122"/>
      <c r="BB156" s="122"/>
      <c r="BC156" s="122"/>
      <c r="BD156" s="122"/>
      <c r="BE156" s="122"/>
      <c r="BF156" s="122"/>
      <c r="BG156" s="122"/>
      <c r="BH156" s="122"/>
      <c r="BI156" s="122"/>
      <c r="BJ156" s="122"/>
      <c r="BK156" s="122"/>
      <c r="BL156" s="122"/>
      <c r="BM156" s="122"/>
      <c r="BN156" s="122"/>
    </row>
    <row r="157" outlineLevel="1">
      <c r="A157" s="47"/>
      <c r="B157" s="39" t="s">
        <v>119</v>
      </c>
      <c r="C157" s="125">
        <v>0.27</v>
      </c>
      <c r="D157" s="47"/>
      <c r="E157" s="47"/>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c r="AZ157" s="122"/>
      <c r="BA157" s="122"/>
      <c r="BB157" s="122"/>
      <c r="BC157" s="122"/>
      <c r="BD157" s="122"/>
      <c r="BE157" s="122"/>
      <c r="BF157" s="122"/>
      <c r="BG157" s="122"/>
      <c r="BH157" s="122"/>
      <c r="BI157" s="122"/>
      <c r="BJ157" s="122"/>
      <c r="BK157" s="122"/>
      <c r="BL157" s="122"/>
      <c r="BM157" s="122"/>
      <c r="BN157" s="122"/>
    </row>
    <row r="158" outlineLevel="1">
      <c r="A158" s="47"/>
      <c r="B158" s="47"/>
      <c r="C158" s="47"/>
      <c r="D158" s="47"/>
      <c r="E158" s="47"/>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row>
    <row r="159" outlineLevel="1">
      <c r="A159" s="47"/>
      <c r="B159" s="119" t="s">
        <v>60</v>
      </c>
      <c r="C159" s="47"/>
      <c r="D159" s="47"/>
      <c r="E159" s="47"/>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row>
    <row r="160">
      <c r="A160" s="47"/>
      <c r="B160" s="103"/>
      <c r="C160" s="47"/>
      <c r="D160" s="47"/>
      <c r="E160" s="47"/>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row>
    <row r="161">
      <c r="A161" s="47"/>
      <c r="B161" s="48" t="s">
        <v>120</v>
      </c>
      <c r="C161" s="49"/>
      <c r="D161" s="49"/>
      <c r="E161" s="49"/>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row>
    <row r="162" outlineLevel="1">
      <c r="A162" s="47"/>
      <c r="B162" s="47"/>
      <c r="C162" s="47"/>
      <c r="D162" s="47"/>
      <c r="E162" s="47"/>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row>
    <row r="163" outlineLevel="1">
      <c r="A163" s="47"/>
      <c r="B163" s="148" t="s">
        <v>121</v>
      </c>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c r="AB163" s="149"/>
      <c r="AC163" s="149"/>
      <c r="AD163" s="149"/>
      <c r="AE163" s="149"/>
      <c r="AF163" s="149"/>
      <c r="AG163" s="149"/>
      <c r="AH163" s="149"/>
      <c r="AI163" s="149"/>
      <c r="AJ163" s="149"/>
      <c r="AK163" s="149"/>
      <c r="AL163" s="149"/>
      <c r="AM163" s="149"/>
      <c r="AN163" s="149"/>
      <c r="AO163" s="149"/>
      <c r="AP163" s="149"/>
      <c r="AQ163" s="149"/>
      <c r="AR163" s="149"/>
      <c r="AS163" s="149"/>
      <c r="AT163" s="149"/>
      <c r="AU163" s="149"/>
      <c r="AV163" s="149"/>
      <c r="AW163" s="149"/>
      <c r="AX163" s="149"/>
      <c r="AY163" s="149"/>
      <c r="AZ163" s="149"/>
      <c r="BA163" s="149"/>
      <c r="BB163" s="149"/>
      <c r="BC163" s="149"/>
      <c r="BD163" s="149"/>
      <c r="BE163" s="149"/>
      <c r="BF163" s="149"/>
      <c r="BG163" s="149"/>
      <c r="BH163" s="149"/>
      <c r="BI163" s="149"/>
      <c r="BJ163" s="149"/>
      <c r="BK163" s="149"/>
      <c r="BL163" s="149"/>
      <c r="BM163" s="149"/>
      <c r="BN163" s="149"/>
    </row>
    <row r="164" outlineLevel="1">
      <c r="A164" s="47"/>
      <c r="B164" s="39"/>
      <c r="C164" s="47"/>
      <c r="D164" s="47"/>
      <c r="E164" s="47"/>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c r="AH164" s="150"/>
      <c r="AI164" s="150"/>
      <c r="AJ164" s="150"/>
      <c r="AK164" s="150"/>
      <c r="AL164" s="150"/>
      <c r="AM164" s="150"/>
      <c r="AN164" s="150"/>
      <c r="AO164" s="150"/>
      <c r="AP164" s="150"/>
      <c r="AQ164" s="150"/>
      <c r="AR164" s="150"/>
      <c r="AS164" s="150"/>
      <c r="AT164" s="150"/>
      <c r="AU164" s="150"/>
      <c r="AV164" s="150"/>
      <c r="AW164" s="150"/>
      <c r="AX164" s="150"/>
      <c r="AY164" s="150"/>
      <c r="AZ164" s="150"/>
      <c r="BA164" s="150"/>
      <c r="BB164" s="150"/>
      <c r="BC164" s="150"/>
      <c r="BD164" s="150"/>
      <c r="BE164" s="150"/>
      <c r="BF164" s="150"/>
      <c r="BG164" s="150"/>
      <c r="BH164" s="150"/>
      <c r="BI164" s="150"/>
      <c r="BJ164" s="150"/>
      <c r="BK164" s="150"/>
      <c r="BL164" s="150"/>
      <c r="BM164" s="150"/>
      <c r="BN164" s="150"/>
    </row>
    <row r="165" outlineLevel="1">
      <c r="A165" s="68"/>
      <c r="B165" s="69" t="s">
        <v>122</v>
      </c>
      <c r="C165" s="151">
        <v>500000.0</v>
      </c>
      <c r="D165" s="68"/>
      <c r="E165" s="68"/>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22"/>
      <c r="BC165" s="122"/>
      <c r="BD165" s="122"/>
      <c r="BE165" s="122"/>
      <c r="BF165" s="122"/>
      <c r="BG165" s="122"/>
      <c r="BH165" s="122"/>
      <c r="BI165" s="122"/>
      <c r="BJ165" s="122"/>
      <c r="BK165" s="122"/>
      <c r="BL165" s="122"/>
      <c r="BM165" s="122"/>
      <c r="BN165" s="122"/>
    </row>
    <row r="166" outlineLevel="1">
      <c r="A166" s="47"/>
      <c r="B166" s="39"/>
      <c r="C166" s="47"/>
      <c r="D166" s="47"/>
      <c r="E166" s="47"/>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c r="AH166" s="150"/>
      <c r="AI166" s="150"/>
      <c r="AJ166" s="150"/>
      <c r="AK166" s="150"/>
      <c r="AL166" s="150"/>
      <c r="AM166" s="150"/>
      <c r="AN166" s="150"/>
      <c r="AO166" s="150"/>
      <c r="AP166" s="150"/>
      <c r="AQ166" s="150"/>
      <c r="AR166" s="150"/>
      <c r="AS166" s="150"/>
      <c r="AT166" s="150"/>
      <c r="AU166" s="150"/>
      <c r="AV166" s="150"/>
      <c r="AW166" s="150"/>
      <c r="AX166" s="150"/>
      <c r="AY166" s="150"/>
      <c r="AZ166" s="150"/>
      <c r="BA166" s="150"/>
      <c r="BB166" s="150"/>
      <c r="BC166" s="150"/>
      <c r="BD166" s="150"/>
      <c r="BE166" s="150"/>
      <c r="BF166" s="150"/>
      <c r="BG166" s="150"/>
      <c r="BH166" s="150"/>
      <c r="BI166" s="150"/>
      <c r="BJ166" s="150"/>
      <c r="BK166" s="150"/>
      <c r="BL166" s="150"/>
      <c r="BM166" s="150"/>
      <c r="BN166" s="150"/>
    </row>
    <row r="167" outlineLevel="1">
      <c r="A167" s="47"/>
      <c r="B167" s="144" t="s">
        <v>123</v>
      </c>
      <c r="C167" s="152">
        <v>15.0</v>
      </c>
      <c r="D167" s="39" t="s">
        <v>124</v>
      </c>
      <c r="E167" s="47"/>
      <c r="F167" s="153"/>
      <c r="G167" s="153">
        <f>sum(Financials!F8)*($C167/30)</f>
        <v>6687.5</v>
      </c>
      <c r="H167" s="153">
        <f>sum(Financials!G8)*($C167/30)</f>
        <v>10069.0625</v>
      </c>
      <c r="I167" s="153">
        <f>sum(Financials!H8)*($C167/30)</f>
        <v>11885.41094</v>
      </c>
      <c r="J167" s="153">
        <f>sum(Financials!I8)*($C167/30)</f>
        <v>12795.46866</v>
      </c>
      <c r="K167" s="153">
        <f>sum(Financials!J8)*($C167/30)</f>
        <v>13313.02578</v>
      </c>
      <c r="L167" s="153">
        <f>sum(Financials!K8)*($C167/30)</f>
        <v>13510.24226</v>
      </c>
      <c r="M167" s="153">
        <f>sum(Financials!L8)*($C167/30)</f>
        <v>13607.92707</v>
      </c>
      <c r="N167" s="153">
        <f>sum(Financials!M8)*($C167/30)</f>
        <v>13719.25562</v>
      </c>
      <c r="O167" s="153">
        <f>sum(Financials!N8)*($C167/30)</f>
        <v>13713.35719</v>
      </c>
      <c r="P167" s="153">
        <f>sum(Financials!O8)*($C167/30)</f>
        <v>13709.48454</v>
      </c>
      <c r="Q167" s="153">
        <f>sum(Financials!P8)*($C167/30)</f>
        <v>13770.03436</v>
      </c>
      <c r="R167" s="153">
        <f>sum(Financials!Q8)*($C167/30)</f>
        <v>13738.74656</v>
      </c>
      <c r="S167" s="153">
        <f>sum(Financials!R8)*($C167/30)</f>
        <v>13722.17922</v>
      </c>
      <c r="T167" s="153">
        <f>sum(Financials!S8)*($C167/30)</f>
        <v>13713.8817</v>
      </c>
      <c r="U167" s="153">
        <f>sum(Financials!T8)*($C167/30)</f>
        <v>13709.73273</v>
      </c>
      <c r="V167" s="153">
        <f>sum(Financials!U8)*($C167/30)</f>
        <v>13707.65824</v>
      </c>
      <c r="W167" s="153">
        <f>sum(Financials!V8)*($C167/30)</f>
        <v>13706.621</v>
      </c>
      <c r="X167" s="153">
        <f>sum(Financials!W8)*($C167/30)</f>
        <v>13706.10238</v>
      </c>
      <c r="Y167" s="153">
        <f>sum(Financials!X8)*($C167/30)</f>
        <v>13705.84307</v>
      </c>
      <c r="Z167" s="153">
        <f>sum(Financials!Y8)*($C167/30)</f>
        <v>13705.71341</v>
      </c>
      <c r="AA167" s="153">
        <f>sum(Financials!Z8)*($C167/30)</f>
        <v>13705.64858</v>
      </c>
      <c r="AB167" s="153">
        <f>sum(Financials!AA8)*($C167/30)</f>
        <v>13705.61617</v>
      </c>
      <c r="AC167" s="153">
        <f>sum(Financials!AB8)*($C167/30)</f>
        <v>13705.59996</v>
      </c>
      <c r="AD167" s="153">
        <f>sum(Financials!AC8)*($C167/30)</f>
        <v>13705.59186</v>
      </c>
      <c r="AE167" s="153">
        <f>sum(Financials!AD8)*($C167/30)</f>
        <v>13705.58781</v>
      </c>
      <c r="AF167" s="153">
        <f>sum(Financials!AE8)*($C167/30)</f>
        <v>13705.58578</v>
      </c>
      <c r="AG167" s="153">
        <f>sum(Financials!AF8)*($C167/30)</f>
        <v>13705.58477</v>
      </c>
      <c r="AH167" s="153">
        <f>sum(Financials!AG8)*($C167/30)</f>
        <v>13705.58426</v>
      </c>
      <c r="AI167" s="153">
        <f>sum(Financials!AH8)*($C167/30)</f>
        <v>13705.58401</v>
      </c>
      <c r="AJ167" s="153">
        <f>sum(Financials!AI8)*($C167/30)</f>
        <v>13705.58388</v>
      </c>
      <c r="AK167" s="153">
        <f>sum(Financials!AJ8)*($C167/30)</f>
        <v>13705.58382</v>
      </c>
      <c r="AL167" s="153">
        <f>sum(Financials!AK8)*($C167/30)</f>
        <v>13705.58379</v>
      </c>
      <c r="AM167" s="153">
        <f>sum(Financials!AL8)*($C167/30)</f>
        <v>13705.58377</v>
      </c>
      <c r="AN167" s="153">
        <f>sum(Financials!AM8)*($C167/30)</f>
        <v>13705.58376</v>
      </c>
      <c r="AO167" s="153">
        <f>sum(Financials!AN8)*($C167/30)</f>
        <v>13705.58376</v>
      </c>
      <c r="AP167" s="153">
        <f>sum(Financials!AO8)*($C167/30)</f>
        <v>13705.58376</v>
      </c>
      <c r="AQ167" s="153">
        <f>sum(Financials!AP8)*($C167/30)</f>
        <v>13705.58376</v>
      </c>
      <c r="AR167" s="153">
        <f>sum(Financials!AQ8)*($C167/30)</f>
        <v>13705.58376</v>
      </c>
      <c r="AS167" s="153">
        <f>sum(Financials!AR8)*($C167/30)</f>
        <v>13705.58376</v>
      </c>
      <c r="AT167" s="153">
        <f>sum(Financials!AS8)*($C167/30)</f>
        <v>13705.58376</v>
      </c>
      <c r="AU167" s="153">
        <f>sum(Financials!AT8)*($C167/30)</f>
        <v>13705.58376</v>
      </c>
      <c r="AV167" s="153">
        <f>sum(Financials!AU8)*($C167/30)</f>
        <v>13705.58376</v>
      </c>
      <c r="AW167" s="153">
        <f>sum(Financials!AV8)*($C167/30)</f>
        <v>13705.58376</v>
      </c>
      <c r="AX167" s="153">
        <f>sum(Financials!AW8)*($C167/30)</f>
        <v>13705.58376</v>
      </c>
      <c r="AY167" s="153">
        <f>sum(Financials!AX8)*($C167/30)</f>
        <v>13705.58376</v>
      </c>
      <c r="AZ167" s="153">
        <f>sum(Financials!AY8)*($C167/30)</f>
        <v>13705.58376</v>
      </c>
      <c r="BA167" s="153">
        <f>sum(Financials!AZ8)*($C167/30)</f>
        <v>13705.58376</v>
      </c>
      <c r="BB167" s="153">
        <f>sum(Financials!BA8)*($C167/30)</f>
        <v>13705.58376</v>
      </c>
      <c r="BC167" s="153">
        <f>sum(Financials!BB8)*($C167/30)</f>
        <v>13705.58376</v>
      </c>
      <c r="BD167" s="153">
        <f>sum(Financials!BC8)*($C167/30)</f>
        <v>13705.58376</v>
      </c>
      <c r="BE167" s="153">
        <f>sum(Financials!BD8)*($C167/30)</f>
        <v>13705.58376</v>
      </c>
      <c r="BF167" s="153">
        <f>sum(Financials!BE8)*($C167/30)</f>
        <v>13705.58376</v>
      </c>
      <c r="BG167" s="153">
        <f>sum(Financials!BF8)*($C167/30)</f>
        <v>13705.58376</v>
      </c>
      <c r="BH167" s="153">
        <f>sum(Financials!BG8)*($C167/30)</f>
        <v>13705.58376</v>
      </c>
      <c r="BI167" s="153">
        <f>sum(Financials!BH8)*($C167/30)</f>
        <v>13705.58376</v>
      </c>
      <c r="BJ167" s="153">
        <f>sum(Financials!BI8)*($C167/30)</f>
        <v>13705.58376</v>
      </c>
      <c r="BK167" s="153">
        <f>sum(Financials!BJ8)*($C167/30)</f>
        <v>13705.58376</v>
      </c>
      <c r="BL167" s="153">
        <f>sum(Financials!BK8)*($C167/30)</f>
        <v>13705.58376</v>
      </c>
      <c r="BM167" s="153">
        <f>sum(Financials!BL8)*($C167/30)</f>
        <v>13705.58376</v>
      </c>
      <c r="BN167" s="153">
        <f>sum(Financials!BM8)*($C167/30)</f>
        <v>13705.58376</v>
      </c>
    </row>
    <row r="168" outlineLevel="1">
      <c r="A168" s="47"/>
      <c r="B168" s="47"/>
      <c r="C168" s="47"/>
      <c r="D168" s="47"/>
      <c r="E168" s="47"/>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c r="AX168" s="122"/>
      <c r="AY168" s="122"/>
      <c r="AZ168" s="122"/>
      <c r="BA168" s="122"/>
      <c r="BB168" s="122"/>
      <c r="BC168" s="122"/>
      <c r="BD168" s="122"/>
      <c r="BE168" s="122"/>
      <c r="BF168" s="122"/>
      <c r="BG168" s="122"/>
      <c r="BH168" s="122"/>
      <c r="BI168" s="122"/>
      <c r="BJ168" s="122"/>
      <c r="BK168" s="122"/>
      <c r="BL168" s="122"/>
      <c r="BM168" s="122"/>
      <c r="BN168" s="122"/>
    </row>
    <row r="169" outlineLevel="1">
      <c r="A169" s="47"/>
      <c r="B169" s="154" t="s">
        <v>125</v>
      </c>
      <c r="C169" s="155" t="s">
        <v>126</v>
      </c>
      <c r="D169" s="155" t="s">
        <v>127</v>
      </c>
      <c r="E169" s="155" t="s">
        <v>128</v>
      </c>
      <c r="F169" s="47"/>
      <c r="G169" s="147" t="s">
        <v>129</v>
      </c>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c r="AH169" s="150"/>
      <c r="AI169" s="150"/>
      <c r="AJ169" s="150"/>
      <c r="AK169" s="150"/>
      <c r="AL169" s="150"/>
      <c r="AM169" s="150"/>
      <c r="AN169" s="150"/>
      <c r="AO169" s="150"/>
      <c r="AP169" s="150"/>
      <c r="AQ169" s="150"/>
      <c r="AR169" s="150"/>
      <c r="AS169" s="150"/>
      <c r="AT169" s="150"/>
      <c r="AU169" s="150"/>
      <c r="AV169" s="150"/>
      <c r="AW169" s="150"/>
      <c r="AX169" s="150"/>
      <c r="AY169" s="150"/>
      <c r="AZ169" s="150"/>
      <c r="BA169" s="150"/>
      <c r="BB169" s="150"/>
      <c r="BC169" s="150"/>
      <c r="BD169" s="150"/>
      <c r="BE169" s="150"/>
      <c r="BF169" s="150"/>
      <c r="BG169" s="150"/>
      <c r="BH169" s="150"/>
      <c r="BI169" s="150"/>
      <c r="BJ169" s="150"/>
      <c r="BK169" s="150"/>
      <c r="BL169" s="150"/>
      <c r="BM169" s="150"/>
      <c r="BN169" s="150"/>
    </row>
    <row r="170" outlineLevel="1">
      <c r="A170" s="47"/>
      <c r="B170" s="129" t="s">
        <v>130</v>
      </c>
      <c r="C170" s="124">
        <v>0.0</v>
      </c>
      <c r="D170" s="156">
        <v>44562.0</v>
      </c>
      <c r="E170" s="157">
        <v>5.0</v>
      </c>
      <c r="F170" s="122"/>
      <c r="G170" s="150">
        <f t="shared" ref="G170:BN170" si="110">if(G$4&gt;=$D170,$C170,0)</f>
        <v>0</v>
      </c>
      <c r="H170" s="150">
        <f t="shared" si="110"/>
        <v>0</v>
      </c>
      <c r="I170" s="150">
        <f t="shared" si="110"/>
        <v>0</v>
      </c>
      <c r="J170" s="150">
        <f t="shared" si="110"/>
        <v>0</v>
      </c>
      <c r="K170" s="150">
        <f t="shared" si="110"/>
        <v>0</v>
      </c>
      <c r="L170" s="150">
        <f t="shared" si="110"/>
        <v>0</v>
      </c>
      <c r="M170" s="150">
        <f t="shared" si="110"/>
        <v>0</v>
      </c>
      <c r="N170" s="150">
        <f t="shared" si="110"/>
        <v>0</v>
      </c>
      <c r="O170" s="150">
        <f t="shared" si="110"/>
        <v>0</v>
      </c>
      <c r="P170" s="150">
        <f t="shared" si="110"/>
        <v>0</v>
      </c>
      <c r="Q170" s="150">
        <f t="shared" si="110"/>
        <v>0</v>
      </c>
      <c r="R170" s="150">
        <f t="shared" si="110"/>
        <v>0</v>
      </c>
      <c r="S170" s="150">
        <f t="shared" si="110"/>
        <v>0</v>
      </c>
      <c r="T170" s="150">
        <f t="shared" si="110"/>
        <v>0</v>
      </c>
      <c r="U170" s="150">
        <f t="shared" si="110"/>
        <v>0</v>
      </c>
      <c r="V170" s="150">
        <f t="shared" si="110"/>
        <v>0</v>
      </c>
      <c r="W170" s="150">
        <f t="shared" si="110"/>
        <v>0</v>
      </c>
      <c r="X170" s="150">
        <f t="shared" si="110"/>
        <v>0</v>
      </c>
      <c r="Y170" s="150">
        <f t="shared" si="110"/>
        <v>0</v>
      </c>
      <c r="Z170" s="150">
        <f t="shared" si="110"/>
        <v>0</v>
      </c>
      <c r="AA170" s="150">
        <f t="shared" si="110"/>
        <v>0</v>
      </c>
      <c r="AB170" s="150">
        <f t="shared" si="110"/>
        <v>0</v>
      </c>
      <c r="AC170" s="150">
        <f t="shared" si="110"/>
        <v>0</v>
      </c>
      <c r="AD170" s="150">
        <f t="shared" si="110"/>
        <v>0</v>
      </c>
      <c r="AE170" s="150">
        <f t="shared" si="110"/>
        <v>0</v>
      </c>
      <c r="AF170" s="150">
        <f t="shared" si="110"/>
        <v>0</v>
      </c>
      <c r="AG170" s="150">
        <f t="shared" si="110"/>
        <v>0</v>
      </c>
      <c r="AH170" s="150">
        <f t="shared" si="110"/>
        <v>0</v>
      </c>
      <c r="AI170" s="150">
        <f t="shared" si="110"/>
        <v>0</v>
      </c>
      <c r="AJ170" s="150">
        <f t="shared" si="110"/>
        <v>0</v>
      </c>
      <c r="AK170" s="150">
        <f t="shared" si="110"/>
        <v>0</v>
      </c>
      <c r="AL170" s="150">
        <f t="shared" si="110"/>
        <v>0</v>
      </c>
      <c r="AM170" s="150">
        <f t="shared" si="110"/>
        <v>0</v>
      </c>
      <c r="AN170" s="150">
        <f t="shared" si="110"/>
        <v>0</v>
      </c>
      <c r="AO170" s="150">
        <f t="shared" si="110"/>
        <v>0</v>
      </c>
      <c r="AP170" s="150">
        <f t="shared" si="110"/>
        <v>0</v>
      </c>
      <c r="AQ170" s="150">
        <f t="shared" si="110"/>
        <v>0</v>
      </c>
      <c r="AR170" s="150">
        <f t="shared" si="110"/>
        <v>0</v>
      </c>
      <c r="AS170" s="150">
        <f t="shared" si="110"/>
        <v>0</v>
      </c>
      <c r="AT170" s="150">
        <f t="shared" si="110"/>
        <v>0</v>
      </c>
      <c r="AU170" s="150">
        <f t="shared" si="110"/>
        <v>0</v>
      </c>
      <c r="AV170" s="150">
        <f t="shared" si="110"/>
        <v>0</v>
      </c>
      <c r="AW170" s="150">
        <f t="shared" si="110"/>
        <v>0</v>
      </c>
      <c r="AX170" s="150">
        <f t="shared" si="110"/>
        <v>0</v>
      </c>
      <c r="AY170" s="150">
        <f t="shared" si="110"/>
        <v>0</v>
      </c>
      <c r="AZ170" s="150">
        <f t="shared" si="110"/>
        <v>0</v>
      </c>
      <c r="BA170" s="150">
        <f t="shared" si="110"/>
        <v>0</v>
      </c>
      <c r="BB170" s="150">
        <f t="shared" si="110"/>
        <v>0</v>
      </c>
      <c r="BC170" s="150">
        <f t="shared" si="110"/>
        <v>0</v>
      </c>
      <c r="BD170" s="150">
        <f t="shared" si="110"/>
        <v>0</v>
      </c>
      <c r="BE170" s="150">
        <f t="shared" si="110"/>
        <v>0</v>
      </c>
      <c r="BF170" s="150">
        <f t="shared" si="110"/>
        <v>0</v>
      </c>
      <c r="BG170" s="150">
        <f t="shared" si="110"/>
        <v>0</v>
      </c>
      <c r="BH170" s="150">
        <f t="shared" si="110"/>
        <v>0</v>
      </c>
      <c r="BI170" s="150">
        <f t="shared" si="110"/>
        <v>0</v>
      </c>
      <c r="BJ170" s="150">
        <f t="shared" si="110"/>
        <v>0</v>
      </c>
      <c r="BK170" s="150">
        <f t="shared" si="110"/>
        <v>0</v>
      </c>
      <c r="BL170" s="150">
        <f t="shared" si="110"/>
        <v>0</v>
      </c>
      <c r="BM170" s="150">
        <f t="shared" si="110"/>
        <v>0</v>
      </c>
      <c r="BN170" s="150">
        <f t="shared" si="110"/>
        <v>0</v>
      </c>
    </row>
    <row r="171" outlineLevel="1">
      <c r="A171" s="47"/>
      <c r="B171" s="129" t="s">
        <v>131</v>
      </c>
      <c r="C171" s="124">
        <v>0.0</v>
      </c>
      <c r="D171" s="156">
        <v>44562.0</v>
      </c>
      <c r="E171" s="157">
        <v>5.0</v>
      </c>
      <c r="F171" s="122"/>
      <c r="G171" s="150">
        <f t="shared" ref="G171:BN171" si="111">if(G$4&gt;=$D171,$C171,0)</f>
        <v>0</v>
      </c>
      <c r="H171" s="150">
        <f t="shared" si="111"/>
        <v>0</v>
      </c>
      <c r="I171" s="150">
        <f t="shared" si="111"/>
        <v>0</v>
      </c>
      <c r="J171" s="150">
        <f t="shared" si="111"/>
        <v>0</v>
      </c>
      <c r="K171" s="150">
        <f t="shared" si="111"/>
        <v>0</v>
      </c>
      <c r="L171" s="150">
        <f t="shared" si="111"/>
        <v>0</v>
      </c>
      <c r="M171" s="150">
        <f t="shared" si="111"/>
        <v>0</v>
      </c>
      <c r="N171" s="150">
        <f t="shared" si="111"/>
        <v>0</v>
      </c>
      <c r="O171" s="150">
        <f t="shared" si="111"/>
        <v>0</v>
      </c>
      <c r="P171" s="150">
        <f t="shared" si="111"/>
        <v>0</v>
      </c>
      <c r="Q171" s="150">
        <f t="shared" si="111"/>
        <v>0</v>
      </c>
      <c r="R171" s="150">
        <f t="shared" si="111"/>
        <v>0</v>
      </c>
      <c r="S171" s="150">
        <f t="shared" si="111"/>
        <v>0</v>
      </c>
      <c r="T171" s="150">
        <f t="shared" si="111"/>
        <v>0</v>
      </c>
      <c r="U171" s="150">
        <f t="shared" si="111"/>
        <v>0</v>
      </c>
      <c r="V171" s="150">
        <f t="shared" si="111"/>
        <v>0</v>
      </c>
      <c r="W171" s="150">
        <f t="shared" si="111"/>
        <v>0</v>
      </c>
      <c r="X171" s="150">
        <f t="shared" si="111"/>
        <v>0</v>
      </c>
      <c r="Y171" s="150">
        <f t="shared" si="111"/>
        <v>0</v>
      </c>
      <c r="Z171" s="150">
        <f t="shared" si="111"/>
        <v>0</v>
      </c>
      <c r="AA171" s="150">
        <f t="shared" si="111"/>
        <v>0</v>
      </c>
      <c r="AB171" s="150">
        <f t="shared" si="111"/>
        <v>0</v>
      </c>
      <c r="AC171" s="150">
        <f t="shared" si="111"/>
        <v>0</v>
      </c>
      <c r="AD171" s="150">
        <f t="shared" si="111"/>
        <v>0</v>
      </c>
      <c r="AE171" s="150">
        <f t="shared" si="111"/>
        <v>0</v>
      </c>
      <c r="AF171" s="150">
        <f t="shared" si="111"/>
        <v>0</v>
      </c>
      <c r="AG171" s="150">
        <f t="shared" si="111"/>
        <v>0</v>
      </c>
      <c r="AH171" s="150">
        <f t="shared" si="111"/>
        <v>0</v>
      </c>
      <c r="AI171" s="150">
        <f t="shared" si="111"/>
        <v>0</v>
      </c>
      <c r="AJ171" s="150">
        <f t="shared" si="111"/>
        <v>0</v>
      </c>
      <c r="AK171" s="150">
        <f t="shared" si="111"/>
        <v>0</v>
      </c>
      <c r="AL171" s="150">
        <f t="shared" si="111"/>
        <v>0</v>
      </c>
      <c r="AM171" s="150">
        <f t="shared" si="111"/>
        <v>0</v>
      </c>
      <c r="AN171" s="150">
        <f t="shared" si="111"/>
        <v>0</v>
      </c>
      <c r="AO171" s="150">
        <f t="shared" si="111"/>
        <v>0</v>
      </c>
      <c r="AP171" s="150">
        <f t="shared" si="111"/>
        <v>0</v>
      </c>
      <c r="AQ171" s="150">
        <f t="shared" si="111"/>
        <v>0</v>
      </c>
      <c r="AR171" s="150">
        <f t="shared" si="111"/>
        <v>0</v>
      </c>
      <c r="AS171" s="150">
        <f t="shared" si="111"/>
        <v>0</v>
      </c>
      <c r="AT171" s="150">
        <f t="shared" si="111"/>
        <v>0</v>
      </c>
      <c r="AU171" s="150">
        <f t="shared" si="111"/>
        <v>0</v>
      </c>
      <c r="AV171" s="150">
        <f t="shared" si="111"/>
        <v>0</v>
      </c>
      <c r="AW171" s="150">
        <f t="shared" si="111"/>
        <v>0</v>
      </c>
      <c r="AX171" s="150">
        <f t="shared" si="111"/>
        <v>0</v>
      </c>
      <c r="AY171" s="150">
        <f t="shared" si="111"/>
        <v>0</v>
      </c>
      <c r="AZ171" s="150">
        <f t="shared" si="111"/>
        <v>0</v>
      </c>
      <c r="BA171" s="150">
        <f t="shared" si="111"/>
        <v>0</v>
      </c>
      <c r="BB171" s="150">
        <f t="shared" si="111"/>
        <v>0</v>
      </c>
      <c r="BC171" s="150">
        <f t="shared" si="111"/>
        <v>0</v>
      </c>
      <c r="BD171" s="150">
        <f t="shared" si="111"/>
        <v>0</v>
      </c>
      <c r="BE171" s="150">
        <f t="shared" si="111"/>
        <v>0</v>
      </c>
      <c r="BF171" s="150">
        <f t="shared" si="111"/>
        <v>0</v>
      </c>
      <c r="BG171" s="150">
        <f t="shared" si="111"/>
        <v>0</v>
      </c>
      <c r="BH171" s="150">
        <f t="shared" si="111"/>
        <v>0</v>
      </c>
      <c r="BI171" s="150">
        <f t="shared" si="111"/>
        <v>0</v>
      </c>
      <c r="BJ171" s="150">
        <f t="shared" si="111"/>
        <v>0</v>
      </c>
      <c r="BK171" s="150">
        <f t="shared" si="111"/>
        <v>0</v>
      </c>
      <c r="BL171" s="150">
        <f t="shared" si="111"/>
        <v>0</v>
      </c>
      <c r="BM171" s="150">
        <f t="shared" si="111"/>
        <v>0</v>
      </c>
      <c r="BN171" s="150">
        <f t="shared" si="111"/>
        <v>0</v>
      </c>
    </row>
    <row r="172" outlineLevel="1">
      <c r="A172" s="47"/>
      <c r="B172" s="129" t="s">
        <v>132</v>
      </c>
      <c r="C172" s="124">
        <v>0.0</v>
      </c>
      <c r="D172" s="156">
        <v>44562.0</v>
      </c>
      <c r="E172" s="157">
        <v>5.0</v>
      </c>
      <c r="F172" s="122"/>
      <c r="G172" s="150">
        <f t="shared" ref="G172:BN172" si="112">if(G$4&gt;=$D172,$C172,0)</f>
        <v>0</v>
      </c>
      <c r="H172" s="150">
        <f t="shared" si="112"/>
        <v>0</v>
      </c>
      <c r="I172" s="150">
        <f t="shared" si="112"/>
        <v>0</v>
      </c>
      <c r="J172" s="150">
        <f t="shared" si="112"/>
        <v>0</v>
      </c>
      <c r="K172" s="150">
        <f t="shared" si="112"/>
        <v>0</v>
      </c>
      <c r="L172" s="150">
        <f t="shared" si="112"/>
        <v>0</v>
      </c>
      <c r="M172" s="150">
        <f t="shared" si="112"/>
        <v>0</v>
      </c>
      <c r="N172" s="150">
        <f t="shared" si="112"/>
        <v>0</v>
      </c>
      <c r="O172" s="150">
        <f t="shared" si="112"/>
        <v>0</v>
      </c>
      <c r="P172" s="150">
        <f t="shared" si="112"/>
        <v>0</v>
      </c>
      <c r="Q172" s="150">
        <f t="shared" si="112"/>
        <v>0</v>
      </c>
      <c r="R172" s="150">
        <f t="shared" si="112"/>
        <v>0</v>
      </c>
      <c r="S172" s="150">
        <f t="shared" si="112"/>
        <v>0</v>
      </c>
      <c r="T172" s="150">
        <f t="shared" si="112"/>
        <v>0</v>
      </c>
      <c r="U172" s="150">
        <f t="shared" si="112"/>
        <v>0</v>
      </c>
      <c r="V172" s="150">
        <f t="shared" si="112"/>
        <v>0</v>
      </c>
      <c r="W172" s="150">
        <f t="shared" si="112"/>
        <v>0</v>
      </c>
      <c r="X172" s="150">
        <f t="shared" si="112"/>
        <v>0</v>
      </c>
      <c r="Y172" s="150">
        <f t="shared" si="112"/>
        <v>0</v>
      </c>
      <c r="Z172" s="150">
        <f t="shared" si="112"/>
        <v>0</v>
      </c>
      <c r="AA172" s="150">
        <f t="shared" si="112"/>
        <v>0</v>
      </c>
      <c r="AB172" s="150">
        <f t="shared" si="112"/>
        <v>0</v>
      </c>
      <c r="AC172" s="150">
        <f t="shared" si="112"/>
        <v>0</v>
      </c>
      <c r="AD172" s="150">
        <f t="shared" si="112"/>
        <v>0</v>
      </c>
      <c r="AE172" s="150">
        <f t="shared" si="112"/>
        <v>0</v>
      </c>
      <c r="AF172" s="150">
        <f t="shared" si="112"/>
        <v>0</v>
      </c>
      <c r="AG172" s="150">
        <f t="shared" si="112"/>
        <v>0</v>
      </c>
      <c r="AH172" s="150">
        <f t="shared" si="112"/>
        <v>0</v>
      </c>
      <c r="AI172" s="150">
        <f t="shared" si="112"/>
        <v>0</v>
      </c>
      <c r="AJ172" s="150">
        <f t="shared" si="112"/>
        <v>0</v>
      </c>
      <c r="AK172" s="150">
        <f t="shared" si="112"/>
        <v>0</v>
      </c>
      <c r="AL172" s="150">
        <f t="shared" si="112"/>
        <v>0</v>
      </c>
      <c r="AM172" s="150">
        <f t="shared" si="112"/>
        <v>0</v>
      </c>
      <c r="AN172" s="150">
        <f t="shared" si="112"/>
        <v>0</v>
      </c>
      <c r="AO172" s="150">
        <f t="shared" si="112"/>
        <v>0</v>
      </c>
      <c r="AP172" s="150">
        <f t="shared" si="112"/>
        <v>0</v>
      </c>
      <c r="AQ172" s="150">
        <f t="shared" si="112"/>
        <v>0</v>
      </c>
      <c r="AR172" s="150">
        <f t="shared" si="112"/>
        <v>0</v>
      </c>
      <c r="AS172" s="150">
        <f t="shared" si="112"/>
        <v>0</v>
      </c>
      <c r="AT172" s="150">
        <f t="shared" si="112"/>
        <v>0</v>
      </c>
      <c r="AU172" s="150">
        <f t="shared" si="112"/>
        <v>0</v>
      </c>
      <c r="AV172" s="150">
        <f t="shared" si="112"/>
        <v>0</v>
      </c>
      <c r="AW172" s="150">
        <f t="shared" si="112"/>
        <v>0</v>
      </c>
      <c r="AX172" s="150">
        <f t="shared" si="112"/>
        <v>0</v>
      </c>
      <c r="AY172" s="150">
        <f t="shared" si="112"/>
        <v>0</v>
      </c>
      <c r="AZ172" s="150">
        <f t="shared" si="112"/>
        <v>0</v>
      </c>
      <c r="BA172" s="150">
        <f t="shared" si="112"/>
        <v>0</v>
      </c>
      <c r="BB172" s="150">
        <f t="shared" si="112"/>
        <v>0</v>
      </c>
      <c r="BC172" s="150">
        <f t="shared" si="112"/>
        <v>0</v>
      </c>
      <c r="BD172" s="150">
        <f t="shared" si="112"/>
        <v>0</v>
      </c>
      <c r="BE172" s="150">
        <f t="shared" si="112"/>
        <v>0</v>
      </c>
      <c r="BF172" s="150">
        <f t="shared" si="112"/>
        <v>0</v>
      </c>
      <c r="BG172" s="150">
        <f t="shared" si="112"/>
        <v>0</v>
      </c>
      <c r="BH172" s="150">
        <f t="shared" si="112"/>
        <v>0</v>
      </c>
      <c r="BI172" s="150">
        <f t="shared" si="112"/>
        <v>0</v>
      </c>
      <c r="BJ172" s="150">
        <f t="shared" si="112"/>
        <v>0</v>
      </c>
      <c r="BK172" s="150">
        <f t="shared" si="112"/>
        <v>0</v>
      </c>
      <c r="BL172" s="150">
        <f t="shared" si="112"/>
        <v>0</v>
      </c>
      <c r="BM172" s="150">
        <f t="shared" si="112"/>
        <v>0</v>
      </c>
      <c r="BN172" s="150">
        <f t="shared" si="112"/>
        <v>0</v>
      </c>
    </row>
    <row r="173" outlineLevel="1">
      <c r="A173" s="47"/>
      <c r="B173" s="129" t="s">
        <v>133</v>
      </c>
      <c r="C173" s="124">
        <v>0.0</v>
      </c>
      <c r="D173" s="156">
        <v>44562.0</v>
      </c>
      <c r="E173" s="157">
        <v>5.0</v>
      </c>
      <c r="F173" s="122"/>
      <c r="G173" s="150">
        <f t="shared" ref="G173:BN173" si="113">if(G$4&gt;=$D173,$C173,0)</f>
        <v>0</v>
      </c>
      <c r="H173" s="150">
        <f t="shared" si="113"/>
        <v>0</v>
      </c>
      <c r="I173" s="150">
        <f t="shared" si="113"/>
        <v>0</v>
      </c>
      <c r="J173" s="150">
        <f t="shared" si="113"/>
        <v>0</v>
      </c>
      <c r="K173" s="150">
        <f t="shared" si="113"/>
        <v>0</v>
      </c>
      <c r="L173" s="150">
        <f t="shared" si="113"/>
        <v>0</v>
      </c>
      <c r="M173" s="150">
        <f t="shared" si="113"/>
        <v>0</v>
      </c>
      <c r="N173" s="150">
        <f t="shared" si="113"/>
        <v>0</v>
      </c>
      <c r="O173" s="150">
        <f t="shared" si="113"/>
        <v>0</v>
      </c>
      <c r="P173" s="150">
        <f t="shared" si="113"/>
        <v>0</v>
      </c>
      <c r="Q173" s="150">
        <f t="shared" si="113"/>
        <v>0</v>
      </c>
      <c r="R173" s="150">
        <f t="shared" si="113"/>
        <v>0</v>
      </c>
      <c r="S173" s="150">
        <f t="shared" si="113"/>
        <v>0</v>
      </c>
      <c r="T173" s="150">
        <f t="shared" si="113"/>
        <v>0</v>
      </c>
      <c r="U173" s="150">
        <f t="shared" si="113"/>
        <v>0</v>
      </c>
      <c r="V173" s="150">
        <f t="shared" si="113"/>
        <v>0</v>
      </c>
      <c r="W173" s="150">
        <f t="shared" si="113"/>
        <v>0</v>
      </c>
      <c r="X173" s="150">
        <f t="shared" si="113"/>
        <v>0</v>
      </c>
      <c r="Y173" s="150">
        <f t="shared" si="113"/>
        <v>0</v>
      </c>
      <c r="Z173" s="150">
        <f t="shared" si="113"/>
        <v>0</v>
      </c>
      <c r="AA173" s="150">
        <f t="shared" si="113"/>
        <v>0</v>
      </c>
      <c r="AB173" s="150">
        <f t="shared" si="113"/>
        <v>0</v>
      </c>
      <c r="AC173" s="150">
        <f t="shared" si="113"/>
        <v>0</v>
      </c>
      <c r="AD173" s="150">
        <f t="shared" si="113"/>
        <v>0</v>
      </c>
      <c r="AE173" s="150">
        <f t="shared" si="113"/>
        <v>0</v>
      </c>
      <c r="AF173" s="150">
        <f t="shared" si="113"/>
        <v>0</v>
      </c>
      <c r="AG173" s="150">
        <f t="shared" si="113"/>
        <v>0</v>
      </c>
      <c r="AH173" s="150">
        <f t="shared" si="113"/>
        <v>0</v>
      </c>
      <c r="AI173" s="150">
        <f t="shared" si="113"/>
        <v>0</v>
      </c>
      <c r="AJ173" s="150">
        <f t="shared" si="113"/>
        <v>0</v>
      </c>
      <c r="AK173" s="150">
        <f t="shared" si="113"/>
        <v>0</v>
      </c>
      <c r="AL173" s="150">
        <f t="shared" si="113"/>
        <v>0</v>
      </c>
      <c r="AM173" s="150">
        <f t="shared" si="113"/>
        <v>0</v>
      </c>
      <c r="AN173" s="150">
        <f t="shared" si="113"/>
        <v>0</v>
      </c>
      <c r="AO173" s="150">
        <f t="shared" si="113"/>
        <v>0</v>
      </c>
      <c r="AP173" s="150">
        <f t="shared" si="113"/>
        <v>0</v>
      </c>
      <c r="AQ173" s="150">
        <f t="shared" si="113"/>
        <v>0</v>
      </c>
      <c r="AR173" s="150">
        <f t="shared" si="113"/>
        <v>0</v>
      </c>
      <c r="AS173" s="150">
        <f t="shared" si="113"/>
        <v>0</v>
      </c>
      <c r="AT173" s="150">
        <f t="shared" si="113"/>
        <v>0</v>
      </c>
      <c r="AU173" s="150">
        <f t="shared" si="113"/>
        <v>0</v>
      </c>
      <c r="AV173" s="150">
        <f t="shared" si="113"/>
        <v>0</v>
      </c>
      <c r="AW173" s="150">
        <f t="shared" si="113"/>
        <v>0</v>
      </c>
      <c r="AX173" s="150">
        <f t="shared" si="113"/>
        <v>0</v>
      </c>
      <c r="AY173" s="150">
        <f t="shared" si="113"/>
        <v>0</v>
      </c>
      <c r="AZ173" s="150">
        <f t="shared" si="113"/>
        <v>0</v>
      </c>
      <c r="BA173" s="150">
        <f t="shared" si="113"/>
        <v>0</v>
      </c>
      <c r="BB173" s="150">
        <f t="shared" si="113"/>
        <v>0</v>
      </c>
      <c r="BC173" s="150">
        <f t="shared" si="113"/>
        <v>0</v>
      </c>
      <c r="BD173" s="150">
        <f t="shared" si="113"/>
        <v>0</v>
      </c>
      <c r="BE173" s="150">
        <f t="shared" si="113"/>
        <v>0</v>
      </c>
      <c r="BF173" s="150">
        <f t="shared" si="113"/>
        <v>0</v>
      </c>
      <c r="BG173" s="150">
        <f t="shared" si="113"/>
        <v>0</v>
      </c>
      <c r="BH173" s="150">
        <f t="shared" si="113"/>
        <v>0</v>
      </c>
      <c r="BI173" s="150">
        <f t="shared" si="113"/>
        <v>0</v>
      </c>
      <c r="BJ173" s="150">
        <f t="shared" si="113"/>
        <v>0</v>
      </c>
      <c r="BK173" s="150">
        <f t="shared" si="113"/>
        <v>0</v>
      </c>
      <c r="BL173" s="150">
        <f t="shared" si="113"/>
        <v>0</v>
      </c>
      <c r="BM173" s="150">
        <f t="shared" si="113"/>
        <v>0</v>
      </c>
      <c r="BN173" s="150">
        <f t="shared" si="113"/>
        <v>0</v>
      </c>
    </row>
    <row r="174" outlineLevel="1">
      <c r="A174" s="47"/>
      <c r="B174" s="39"/>
      <c r="C174" s="47"/>
      <c r="D174" s="47"/>
      <c r="E174" s="47"/>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2"/>
    </row>
    <row r="175" outlineLevel="1">
      <c r="A175" s="47"/>
      <c r="B175" s="39"/>
      <c r="C175" s="47"/>
      <c r="D175" s="47"/>
      <c r="E175" s="47"/>
      <c r="F175" s="47"/>
      <c r="G175" s="47" t="s">
        <v>134</v>
      </c>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c r="AY175" s="122"/>
      <c r="AZ175" s="122"/>
      <c r="BA175" s="122"/>
      <c r="BB175" s="122"/>
      <c r="BC175" s="122"/>
      <c r="BD175" s="122"/>
      <c r="BE175" s="122"/>
      <c r="BF175" s="122"/>
      <c r="BG175" s="122"/>
      <c r="BH175" s="122"/>
      <c r="BI175" s="122"/>
      <c r="BJ175" s="122"/>
      <c r="BK175" s="122"/>
      <c r="BL175" s="122"/>
      <c r="BM175" s="122"/>
      <c r="BN175" s="122"/>
    </row>
    <row r="176" outlineLevel="1">
      <c r="A176" s="68"/>
      <c r="B176" s="69" t="str">
        <f t="shared" ref="B176:B179" si="115">B170</f>
        <v>Asset 1</v>
      </c>
      <c r="C176" s="68"/>
      <c r="D176" s="68"/>
      <c r="E176" s="68"/>
      <c r="F176" s="122"/>
      <c r="G176" s="122">
        <f t="shared" ref="G176:G179" si="116">MIN(E176+ IF(G$4&gt;=$D170,$C170/($E170*12),0),$C170)</f>
        <v>0</v>
      </c>
      <c r="H176" s="122">
        <f t="shared" ref="H176:BN176" si="114">MIN(G176+ IF(H$4&gt;=$D170,$C170/($E170*12),0),$C170)</f>
        <v>0</v>
      </c>
      <c r="I176" s="122">
        <f t="shared" si="114"/>
        <v>0</v>
      </c>
      <c r="J176" s="122">
        <f t="shared" si="114"/>
        <v>0</v>
      </c>
      <c r="K176" s="122">
        <f t="shared" si="114"/>
        <v>0</v>
      </c>
      <c r="L176" s="122">
        <f t="shared" si="114"/>
        <v>0</v>
      </c>
      <c r="M176" s="122">
        <f t="shared" si="114"/>
        <v>0</v>
      </c>
      <c r="N176" s="122">
        <f t="shared" si="114"/>
        <v>0</v>
      </c>
      <c r="O176" s="122">
        <f t="shared" si="114"/>
        <v>0</v>
      </c>
      <c r="P176" s="122">
        <f t="shared" si="114"/>
        <v>0</v>
      </c>
      <c r="Q176" s="122">
        <f t="shared" si="114"/>
        <v>0</v>
      </c>
      <c r="R176" s="122">
        <f t="shared" si="114"/>
        <v>0</v>
      </c>
      <c r="S176" s="122">
        <f t="shared" si="114"/>
        <v>0</v>
      </c>
      <c r="T176" s="122">
        <f t="shared" si="114"/>
        <v>0</v>
      </c>
      <c r="U176" s="122">
        <f t="shared" si="114"/>
        <v>0</v>
      </c>
      <c r="V176" s="122">
        <f t="shared" si="114"/>
        <v>0</v>
      </c>
      <c r="W176" s="122">
        <f t="shared" si="114"/>
        <v>0</v>
      </c>
      <c r="X176" s="122">
        <f t="shared" si="114"/>
        <v>0</v>
      </c>
      <c r="Y176" s="122">
        <f t="shared" si="114"/>
        <v>0</v>
      </c>
      <c r="Z176" s="122">
        <f t="shared" si="114"/>
        <v>0</v>
      </c>
      <c r="AA176" s="122">
        <f t="shared" si="114"/>
        <v>0</v>
      </c>
      <c r="AB176" s="122">
        <f t="shared" si="114"/>
        <v>0</v>
      </c>
      <c r="AC176" s="122">
        <f t="shared" si="114"/>
        <v>0</v>
      </c>
      <c r="AD176" s="122">
        <f t="shared" si="114"/>
        <v>0</v>
      </c>
      <c r="AE176" s="122">
        <f t="shared" si="114"/>
        <v>0</v>
      </c>
      <c r="AF176" s="122">
        <f t="shared" si="114"/>
        <v>0</v>
      </c>
      <c r="AG176" s="122">
        <f t="shared" si="114"/>
        <v>0</v>
      </c>
      <c r="AH176" s="122">
        <f t="shared" si="114"/>
        <v>0</v>
      </c>
      <c r="AI176" s="122">
        <f t="shared" si="114"/>
        <v>0</v>
      </c>
      <c r="AJ176" s="122">
        <f t="shared" si="114"/>
        <v>0</v>
      </c>
      <c r="AK176" s="122">
        <f t="shared" si="114"/>
        <v>0</v>
      </c>
      <c r="AL176" s="122">
        <f t="shared" si="114"/>
        <v>0</v>
      </c>
      <c r="AM176" s="122">
        <f t="shared" si="114"/>
        <v>0</v>
      </c>
      <c r="AN176" s="122">
        <f t="shared" si="114"/>
        <v>0</v>
      </c>
      <c r="AO176" s="122">
        <f t="shared" si="114"/>
        <v>0</v>
      </c>
      <c r="AP176" s="122">
        <f t="shared" si="114"/>
        <v>0</v>
      </c>
      <c r="AQ176" s="122">
        <f t="shared" si="114"/>
        <v>0</v>
      </c>
      <c r="AR176" s="122">
        <f t="shared" si="114"/>
        <v>0</v>
      </c>
      <c r="AS176" s="122">
        <f t="shared" si="114"/>
        <v>0</v>
      </c>
      <c r="AT176" s="122">
        <f t="shared" si="114"/>
        <v>0</v>
      </c>
      <c r="AU176" s="122">
        <f t="shared" si="114"/>
        <v>0</v>
      </c>
      <c r="AV176" s="122">
        <f t="shared" si="114"/>
        <v>0</v>
      </c>
      <c r="AW176" s="122">
        <f t="shared" si="114"/>
        <v>0</v>
      </c>
      <c r="AX176" s="122">
        <f t="shared" si="114"/>
        <v>0</v>
      </c>
      <c r="AY176" s="122">
        <f t="shared" si="114"/>
        <v>0</v>
      </c>
      <c r="AZ176" s="122">
        <f t="shared" si="114"/>
        <v>0</v>
      </c>
      <c r="BA176" s="122">
        <f t="shared" si="114"/>
        <v>0</v>
      </c>
      <c r="BB176" s="122">
        <f t="shared" si="114"/>
        <v>0</v>
      </c>
      <c r="BC176" s="122">
        <f t="shared" si="114"/>
        <v>0</v>
      </c>
      <c r="BD176" s="122">
        <f t="shared" si="114"/>
        <v>0</v>
      </c>
      <c r="BE176" s="122">
        <f t="shared" si="114"/>
        <v>0</v>
      </c>
      <c r="BF176" s="122">
        <f t="shared" si="114"/>
        <v>0</v>
      </c>
      <c r="BG176" s="122">
        <f t="shared" si="114"/>
        <v>0</v>
      </c>
      <c r="BH176" s="122">
        <f t="shared" si="114"/>
        <v>0</v>
      </c>
      <c r="BI176" s="122">
        <f t="shared" si="114"/>
        <v>0</v>
      </c>
      <c r="BJ176" s="122">
        <f t="shared" si="114"/>
        <v>0</v>
      </c>
      <c r="BK176" s="122">
        <f t="shared" si="114"/>
        <v>0</v>
      </c>
      <c r="BL176" s="122">
        <f t="shared" si="114"/>
        <v>0</v>
      </c>
      <c r="BM176" s="122">
        <f t="shared" si="114"/>
        <v>0</v>
      </c>
      <c r="BN176" s="122">
        <f t="shared" si="114"/>
        <v>0</v>
      </c>
    </row>
    <row r="177" outlineLevel="1">
      <c r="A177" s="68"/>
      <c r="B177" s="69" t="str">
        <f t="shared" si="115"/>
        <v>Asset 2</v>
      </c>
      <c r="C177" s="68"/>
      <c r="D177" s="68"/>
      <c r="E177" s="68"/>
      <c r="F177" s="122"/>
      <c r="G177" s="122">
        <f t="shared" si="116"/>
        <v>0</v>
      </c>
      <c r="H177" s="122">
        <f t="shared" ref="H177:BN177" si="117">MIN(G177+ IF(H$4&gt;=$D171,$C171/($E171*12),0),$C171)</f>
        <v>0</v>
      </c>
      <c r="I177" s="122">
        <f t="shared" si="117"/>
        <v>0</v>
      </c>
      <c r="J177" s="122">
        <f t="shared" si="117"/>
        <v>0</v>
      </c>
      <c r="K177" s="122">
        <f t="shared" si="117"/>
        <v>0</v>
      </c>
      <c r="L177" s="122">
        <f t="shared" si="117"/>
        <v>0</v>
      </c>
      <c r="M177" s="122">
        <f t="shared" si="117"/>
        <v>0</v>
      </c>
      <c r="N177" s="122">
        <f t="shared" si="117"/>
        <v>0</v>
      </c>
      <c r="O177" s="122">
        <f t="shared" si="117"/>
        <v>0</v>
      </c>
      <c r="P177" s="122">
        <f t="shared" si="117"/>
        <v>0</v>
      </c>
      <c r="Q177" s="122">
        <f t="shared" si="117"/>
        <v>0</v>
      </c>
      <c r="R177" s="122">
        <f t="shared" si="117"/>
        <v>0</v>
      </c>
      <c r="S177" s="122">
        <f t="shared" si="117"/>
        <v>0</v>
      </c>
      <c r="T177" s="122">
        <f t="shared" si="117"/>
        <v>0</v>
      </c>
      <c r="U177" s="122">
        <f t="shared" si="117"/>
        <v>0</v>
      </c>
      <c r="V177" s="122">
        <f t="shared" si="117"/>
        <v>0</v>
      </c>
      <c r="W177" s="122">
        <f t="shared" si="117"/>
        <v>0</v>
      </c>
      <c r="X177" s="122">
        <f t="shared" si="117"/>
        <v>0</v>
      </c>
      <c r="Y177" s="122">
        <f t="shared" si="117"/>
        <v>0</v>
      </c>
      <c r="Z177" s="122">
        <f t="shared" si="117"/>
        <v>0</v>
      </c>
      <c r="AA177" s="122">
        <f t="shared" si="117"/>
        <v>0</v>
      </c>
      <c r="AB177" s="122">
        <f t="shared" si="117"/>
        <v>0</v>
      </c>
      <c r="AC177" s="122">
        <f t="shared" si="117"/>
        <v>0</v>
      </c>
      <c r="AD177" s="122">
        <f t="shared" si="117"/>
        <v>0</v>
      </c>
      <c r="AE177" s="122">
        <f t="shared" si="117"/>
        <v>0</v>
      </c>
      <c r="AF177" s="122">
        <f t="shared" si="117"/>
        <v>0</v>
      </c>
      <c r="AG177" s="122">
        <f t="shared" si="117"/>
        <v>0</v>
      </c>
      <c r="AH177" s="122">
        <f t="shared" si="117"/>
        <v>0</v>
      </c>
      <c r="AI177" s="122">
        <f t="shared" si="117"/>
        <v>0</v>
      </c>
      <c r="AJ177" s="122">
        <f t="shared" si="117"/>
        <v>0</v>
      </c>
      <c r="AK177" s="122">
        <f t="shared" si="117"/>
        <v>0</v>
      </c>
      <c r="AL177" s="122">
        <f t="shared" si="117"/>
        <v>0</v>
      </c>
      <c r="AM177" s="122">
        <f t="shared" si="117"/>
        <v>0</v>
      </c>
      <c r="AN177" s="122">
        <f t="shared" si="117"/>
        <v>0</v>
      </c>
      <c r="AO177" s="122">
        <f t="shared" si="117"/>
        <v>0</v>
      </c>
      <c r="AP177" s="122">
        <f t="shared" si="117"/>
        <v>0</v>
      </c>
      <c r="AQ177" s="122">
        <f t="shared" si="117"/>
        <v>0</v>
      </c>
      <c r="AR177" s="122">
        <f t="shared" si="117"/>
        <v>0</v>
      </c>
      <c r="AS177" s="122">
        <f t="shared" si="117"/>
        <v>0</v>
      </c>
      <c r="AT177" s="122">
        <f t="shared" si="117"/>
        <v>0</v>
      </c>
      <c r="AU177" s="122">
        <f t="shared" si="117"/>
        <v>0</v>
      </c>
      <c r="AV177" s="122">
        <f t="shared" si="117"/>
        <v>0</v>
      </c>
      <c r="AW177" s="122">
        <f t="shared" si="117"/>
        <v>0</v>
      </c>
      <c r="AX177" s="122">
        <f t="shared" si="117"/>
        <v>0</v>
      </c>
      <c r="AY177" s="122">
        <f t="shared" si="117"/>
        <v>0</v>
      </c>
      <c r="AZ177" s="122">
        <f t="shared" si="117"/>
        <v>0</v>
      </c>
      <c r="BA177" s="122">
        <f t="shared" si="117"/>
        <v>0</v>
      </c>
      <c r="BB177" s="122">
        <f t="shared" si="117"/>
        <v>0</v>
      </c>
      <c r="BC177" s="122">
        <f t="shared" si="117"/>
        <v>0</v>
      </c>
      <c r="BD177" s="122">
        <f t="shared" si="117"/>
        <v>0</v>
      </c>
      <c r="BE177" s="122">
        <f t="shared" si="117"/>
        <v>0</v>
      </c>
      <c r="BF177" s="122">
        <f t="shared" si="117"/>
        <v>0</v>
      </c>
      <c r="BG177" s="122">
        <f t="shared" si="117"/>
        <v>0</v>
      </c>
      <c r="BH177" s="122">
        <f t="shared" si="117"/>
        <v>0</v>
      </c>
      <c r="BI177" s="122">
        <f t="shared" si="117"/>
        <v>0</v>
      </c>
      <c r="BJ177" s="122">
        <f t="shared" si="117"/>
        <v>0</v>
      </c>
      <c r="BK177" s="122">
        <f t="shared" si="117"/>
        <v>0</v>
      </c>
      <c r="BL177" s="122">
        <f t="shared" si="117"/>
        <v>0</v>
      </c>
      <c r="BM177" s="122">
        <f t="shared" si="117"/>
        <v>0</v>
      </c>
      <c r="BN177" s="122">
        <f t="shared" si="117"/>
        <v>0</v>
      </c>
    </row>
    <row r="178" outlineLevel="1">
      <c r="A178" s="68"/>
      <c r="B178" s="69" t="str">
        <f t="shared" si="115"/>
        <v>Asset 3</v>
      </c>
      <c r="C178" s="68"/>
      <c r="D178" s="68"/>
      <c r="E178" s="68"/>
      <c r="F178" s="122"/>
      <c r="G178" s="122">
        <f t="shared" si="116"/>
        <v>0</v>
      </c>
      <c r="H178" s="122">
        <f t="shared" ref="H178:BN178" si="118">MIN(G178+ IF(H$4&gt;=$D172,$C172/($E172*12),0),$C172)</f>
        <v>0</v>
      </c>
      <c r="I178" s="122">
        <f t="shared" si="118"/>
        <v>0</v>
      </c>
      <c r="J178" s="122">
        <f t="shared" si="118"/>
        <v>0</v>
      </c>
      <c r="K178" s="122">
        <f t="shared" si="118"/>
        <v>0</v>
      </c>
      <c r="L178" s="122">
        <f t="shared" si="118"/>
        <v>0</v>
      </c>
      <c r="M178" s="122">
        <f t="shared" si="118"/>
        <v>0</v>
      </c>
      <c r="N178" s="122">
        <f t="shared" si="118"/>
        <v>0</v>
      </c>
      <c r="O178" s="122">
        <f t="shared" si="118"/>
        <v>0</v>
      </c>
      <c r="P178" s="122">
        <f t="shared" si="118"/>
        <v>0</v>
      </c>
      <c r="Q178" s="122">
        <f t="shared" si="118"/>
        <v>0</v>
      </c>
      <c r="R178" s="122">
        <f t="shared" si="118"/>
        <v>0</v>
      </c>
      <c r="S178" s="122">
        <f t="shared" si="118"/>
        <v>0</v>
      </c>
      <c r="T178" s="122">
        <f t="shared" si="118"/>
        <v>0</v>
      </c>
      <c r="U178" s="122">
        <f t="shared" si="118"/>
        <v>0</v>
      </c>
      <c r="V178" s="122">
        <f t="shared" si="118"/>
        <v>0</v>
      </c>
      <c r="W178" s="122">
        <f t="shared" si="118"/>
        <v>0</v>
      </c>
      <c r="X178" s="122">
        <f t="shared" si="118"/>
        <v>0</v>
      </c>
      <c r="Y178" s="122">
        <f t="shared" si="118"/>
        <v>0</v>
      </c>
      <c r="Z178" s="122">
        <f t="shared" si="118"/>
        <v>0</v>
      </c>
      <c r="AA178" s="122">
        <f t="shared" si="118"/>
        <v>0</v>
      </c>
      <c r="AB178" s="122">
        <f t="shared" si="118"/>
        <v>0</v>
      </c>
      <c r="AC178" s="122">
        <f t="shared" si="118"/>
        <v>0</v>
      </c>
      <c r="AD178" s="122">
        <f t="shared" si="118"/>
        <v>0</v>
      </c>
      <c r="AE178" s="122">
        <f t="shared" si="118"/>
        <v>0</v>
      </c>
      <c r="AF178" s="122">
        <f t="shared" si="118"/>
        <v>0</v>
      </c>
      <c r="AG178" s="122">
        <f t="shared" si="118"/>
        <v>0</v>
      </c>
      <c r="AH178" s="122">
        <f t="shared" si="118"/>
        <v>0</v>
      </c>
      <c r="AI178" s="122">
        <f t="shared" si="118"/>
        <v>0</v>
      </c>
      <c r="AJ178" s="122">
        <f t="shared" si="118"/>
        <v>0</v>
      </c>
      <c r="AK178" s="122">
        <f t="shared" si="118"/>
        <v>0</v>
      </c>
      <c r="AL178" s="122">
        <f t="shared" si="118"/>
        <v>0</v>
      </c>
      <c r="AM178" s="122">
        <f t="shared" si="118"/>
        <v>0</v>
      </c>
      <c r="AN178" s="122">
        <f t="shared" si="118"/>
        <v>0</v>
      </c>
      <c r="AO178" s="122">
        <f t="shared" si="118"/>
        <v>0</v>
      </c>
      <c r="AP178" s="122">
        <f t="shared" si="118"/>
        <v>0</v>
      </c>
      <c r="AQ178" s="122">
        <f t="shared" si="118"/>
        <v>0</v>
      </c>
      <c r="AR178" s="122">
        <f t="shared" si="118"/>
        <v>0</v>
      </c>
      <c r="AS178" s="122">
        <f t="shared" si="118"/>
        <v>0</v>
      </c>
      <c r="AT178" s="122">
        <f t="shared" si="118"/>
        <v>0</v>
      </c>
      <c r="AU178" s="122">
        <f t="shared" si="118"/>
        <v>0</v>
      </c>
      <c r="AV178" s="122">
        <f t="shared" si="118"/>
        <v>0</v>
      </c>
      <c r="AW178" s="122">
        <f t="shared" si="118"/>
        <v>0</v>
      </c>
      <c r="AX178" s="122">
        <f t="shared" si="118"/>
        <v>0</v>
      </c>
      <c r="AY178" s="122">
        <f t="shared" si="118"/>
        <v>0</v>
      </c>
      <c r="AZ178" s="122">
        <f t="shared" si="118"/>
        <v>0</v>
      </c>
      <c r="BA178" s="122">
        <f t="shared" si="118"/>
        <v>0</v>
      </c>
      <c r="BB178" s="122">
        <f t="shared" si="118"/>
        <v>0</v>
      </c>
      <c r="BC178" s="122">
        <f t="shared" si="118"/>
        <v>0</v>
      </c>
      <c r="BD178" s="122">
        <f t="shared" si="118"/>
        <v>0</v>
      </c>
      <c r="BE178" s="122">
        <f t="shared" si="118"/>
        <v>0</v>
      </c>
      <c r="BF178" s="122">
        <f t="shared" si="118"/>
        <v>0</v>
      </c>
      <c r="BG178" s="122">
        <f t="shared" si="118"/>
        <v>0</v>
      </c>
      <c r="BH178" s="122">
        <f t="shared" si="118"/>
        <v>0</v>
      </c>
      <c r="BI178" s="122">
        <f t="shared" si="118"/>
        <v>0</v>
      </c>
      <c r="BJ178" s="122">
        <f t="shared" si="118"/>
        <v>0</v>
      </c>
      <c r="BK178" s="122">
        <f t="shared" si="118"/>
        <v>0</v>
      </c>
      <c r="BL178" s="122">
        <f t="shared" si="118"/>
        <v>0</v>
      </c>
      <c r="BM178" s="122">
        <f t="shared" si="118"/>
        <v>0</v>
      </c>
      <c r="BN178" s="122">
        <f t="shared" si="118"/>
        <v>0</v>
      </c>
    </row>
    <row r="179" outlineLevel="1">
      <c r="A179" s="68"/>
      <c r="B179" s="69" t="str">
        <f t="shared" si="115"/>
        <v>Asset 4</v>
      </c>
      <c r="C179" s="68"/>
      <c r="D179" s="68"/>
      <c r="E179" s="68"/>
      <c r="F179" s="122"/>
      <c r="G179" s="122">
        <f t="shared" si="116"/>
        <v>0</v>
      </c>
      <c r="H179" s="122">
        <f t="shared" ref="H179:BN179" si="119">MIN(G179+ IF(H$4&gt;=$D173,$C173/($E173*12),0),$C173)</f>
        <v>0</v>
      </c>
      <c r="I179" s="122">
        <f t="shared" si="119"/>
        <v>0</v>
      </c>
      <c r="J179" s="122">
        <f t="shared" si="119"/>
        <v>0</v>
      </c>
      <c r="K179" s="122">
        <f t="shared" si="119"/>
        <v>0</v>
      </c>
      <c r="L179" s="122">
        <f t="shared" si="119"/>
        <v>0</v>
      </c>
      <c r="M179" s="122">
        <f t="shared" si="119"/>
        <v>0</v>
      </c>
      <c r="N179" s="122">
        <f t="shared" si="119"/>
        <v>0</v>
      </c>
      <c r="O179" s="122">
        <f t="shared" si="119"/>
        <v>0</v>
      </c>
      <c r="P179" s="122">
        <f t="shared" si="119"/>
        <v>0</v>
      </c>
      <c r="Q179" s="122">
        <f t="shared" si="119"/>
        <v>0</v>
      </c>
      <c r="R179" s="122">
        <f t="shared" si="119"/>
        <v>0</v>
      </c>
      <c r="S179" s="122">
        <f t="shared" si="119"/>
        <v>0</v>
      </c>
      <c r="T179" s="122">
        <f t="shared" si="119"/>
        <v>0</v>
      </c>
      <c r="U179" s="122">
        <f t="shared" si="119"/>
        <v>0</v>
      </c>
      <c r="V179" s="122">
        <f t="shared" si="119"/>
        <v>0</v>
      </c>
      <c r="W179" s="122">
        <f t="shared" si="119"/>
        <v>0</v>
      </c>
      <c r="X179" s="122">
        <f t="shared" si="119"/>
        <v>0</v>
      </c>
      <c r="Y179" s="122">
        <f t="shared" si="119"/>
        <v>0</v>
      </c>
      <c r="Z179" s="122">
        <f t="shared" si="119"/>
        <v>0</v>
      </c>
      <c r="AA179" s="122">
        <f t="shared" si="119"/>
        <v>0</v>
      </c>
      <c r="AB179" s="122">
        <f t="shared" si="119"/>
        <v>0</v>
      </c>
      <c r="AC179" s="122">
        <f t="shared" si="119"/>
        <v>0</v>
      </c>
      <c r="AD179" s="122">
        <f t="shared" si="119"/>
        <v>0</v>
      </c>
      <c r="AE179" s="122">
        <f t="shared" si="119"/>
        <v>0</v>
      </c>
      <c r="AF179" s="122">
        <f t="shared" si="119"/>
        <v>0</v>
      </c>
      <c r="AG179" s="122">
        <f t="shared" si="119"/>
        <v>0</v>
      </c>
      <c r="AH179" s="122">
        <f t="shared" si="119"/>
        <v>0</v>
      </c>
      <c r="AI179" s="122">
        <f t="shared" si="119"/>
        <v>0</v>
      </c>
      <c r="AJ179" s="122">
        <f t="shared" si="119"/>
        <v>0</v>
      </c>
      <c r="AK179" s="122">
        <f t="shared" si="119"/>
        <v>0</v>
      </c>
      <c r="AL179" s="122">
        <f t="shared" si="119"/>
        <v>0</v>
      </c>
      <c r="AM179" s="122">
        <f t="shared" si="119"/>
        <v>0</v>
      </c>
      <c r="AN179" s="122">
        <f t="shared" si="119"/>
        <v>0</v>
      </c>
      <c r="AO179" s="122">
        <f t="shared" si="119"/>
        <v>0</v>
      </c>
      <c r="AP179" s="122">
        <f t="shared" si="119"/>
        <v>0</v>
      </c>
      <c r="AQ179" s="122">
        <f t="shared" si="119"/>
        <v>0</v>
      </c>
      <c r="AR179" s="122">
        <f t="shared" si="119"/>
        <v>0</v>
      </c>
      <c r="AS179" s="122">
        <f t="shared" si="119"/>
        <v>0</v>
      </c>
      <c r="AT179" s="122">
        <f t="shared" si="119"/>
        <v>0</v>
      </c>
      <c r="AU179" s="122">
        <f t="shared" si="119"/>
        <v>0</v>
      </c>
      <c r="AV179" s="122">
        <f t="shared" si="119"/>
        <v>0</v>
      </c>
      <c r="AW179" s="122">
        <f t="shared" si="119"/>
        <v>0</v>
      </c>
      <c r="AX179" s="122">
        <f t="shared" si="119"/>
        <v>0</v>
      </c>
      <c r="AY179" s="122">
        <f t="shared" si="119"/>
        <v>0</v>
      </c>
      <c r="AZ179" s="122">
        <f t="shared" si="119"/>
        <v>0</v>
      </c>
      <c r="BA179" s="122">
        <f t="shared" si="119"/>
        <v>0</v>
      </c>
      <c r="BB179" s="122">
        <f t="shared" si="119"/>
        <v>0</v>
      </c>
      <c r="BC179" s="122">
        <f t="shared" si="119"/>
        <v>0</v>
      </c>
      <c r="BD179" s="122">
        <f t="shared" si="119"/>
        <v>0</v>
      </c>
      <c r="BE179" s="122">
        <f t="shared" si="119"/>
        <v>0</v>
      </c>
      <c r="BF179" s="122">
        <f t="shared" si="119"/>
        <v>0</v>
      </c>
      <c r="BG179" s="122">
        <f t="shared" si="119"/>
        <v>0</v>
      </c>
      <c r="BH179" s="122">
        <f t="shared" si="119"/>
        <v>0</v>
      </c>
      <c r="BI179" s="122">
        <f t="shared" si="119"/>
        <v>0</v>
      </c>
      <c r="BJ179" s="122">
        <f t="shared" si="119"/>
        <v>0</v>
      </c>
      <c r="BK179" s="122">
        <f t="shared" si="119"/>
        <v>0</v>
      </c>
      <c r="BL179" s="122">
        <f t="shared" si="119"/>
        <v>0</v>
      </c>
      <c r="BM179" s="122">
        <f t="shared" si="119"/>
        <v>0</v>
      </c>
      <c r="BN179" s="122">
        <f t="shared" si="119"/>
        <v>0</v>
      </c>
    </row>
    <row r="180" outlineLevel="1">
      <c r="A180" s="47"/>
      <c r="B180" s="39"/>
      <c r="C180" s="47"/>
      <c r="D180" s="47"/>
      <c r="E180" s="47"/>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c r="AY180" s="122"/>
      <c r="AZ180" s="122"/>
      <c r="BA180" s="122"/>
      <c r="BB180" s="122"/>
      <c r="BC180" s="122"/>
      <c r="BD180" s="122"/>
      <c r="BE180" s="122"/>
      <c r="BF180" s="122"/>
      <c r="BG180" s="122"/>
      <c r="BH180" s="122"/>
      <c r="BI180" s="122"/>
      <c r="BJ180" s="122"/>
      <c r="BK180" s="122"/>
      <c r="BL180" s="122"/>
      <c r="BM180" s="122"/>
      <c r="BN180" s="122"/>
    </row>
    <row r="181" outlineLevel="1">
      <c r="A181" s="47"/>
      <c r="B181" s="148" t="s">
        <v>135</v>
      </c>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c r="AB181" s="149"/>
      <c r="AC181" s="149"/>
      <c r="AD181" s="149"/>
      <c r="AE181" s="149"/>
      <c r="AF181" s="149"/>
      <c r="AG181" s="149"/>
      <c r="AH181" s="149"/>
      <c r="AI181" s="149"/>
      <c r="AJ181" s="149"/>
      <c r="AK181" s="149"/>
      <c r="AL181" s="149"/>
      <c r="AM181" s="149"/>
      <c r="AN181" s="149"/>
      <c r="AO181" s="149"/>
      <c r="AP181" s="149"/>
      <c r="AQ181" s="149"/>
      <c r="AR181" s="149"/>
      <c r="AS181" s="149"/>
      <c r="AT181" s="149"/>
      <c r="AU181" s="149"/>
      <c r="AV181" s="149"/>
      <c r="AW181" s="149"/>
      <c r="AX181" s="149"/>
      <c r="AY181" s="149"/>
      <c r="AZ181" s="149"/>
      <c r="BA181" s="149"/>
      <c r="BB181" s="149"/>
      <c r="BC181" s="149"/>
      <c r="BD181" s="149"/>
      <c r="BE181" s="149"/>
      <c r="BF181" s="149"/>
      <c r="BG181" s="149"/>
      <c r="BH181" s="149"/>
      <c r="BI181" s="149"/>
      <c r="BJ181" s="149"/>
      <c r="BK181" s="149"/>
      <c r="BL181" s="149"/>
      <c r="BM181" s="149"/>
      <c r="BN181" s="149"/>
    </row>
    <row r="182" outlineLevel="1">
      <c r="A182" s="47"/>
      <c r="B182" s="39"/>
      <c r="C182" s="47"/>
      <c r="D182" s="47"/>
      <c r="E182" s="47"/>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c r="AX182" s="122"/>
      <c r="AY182" s="122"/>
      <c r="AZ182" s="122"/>
      <c r="BA182" s="122"/>
      <c r="BB182" s="122"/>
      <c r="BC182" s="122"/>
      <c r="BD182" s="122"/>
      <c r="BE182" s="122"/>
      <c r="BF182" s="122"/>
      <c r="BG182" s="122"/>
      <c r="BH182" s="122"/>
      <c r="BI182" s="122"/>
      <c r="BJ182" s="122"/>
      <c r="BK182" s="122"/>
      <c r="BL182" s="122"/>
      <c r="BM182" s="122"/>
      <c r="BN182" s="122"/>
    </row>
    <row r="183" outlineLevel="1">
      <c r="A183" s="47"/>
      <c r="B183" s="67" t="s">
        <v>136</v>
      </c>
      <c r="C183" s="158">
        <v>15.0</v>
      </c>
      <c r="D183" s="39" t="s">
        <v>137</v>
      </c>
      <c r="E183" s="47"/>
      <c r="F183" s="153"/>
      <c r="G183" s="153">
        <f t="shared" ref="G183:BN183" si="120">SUM(G130,G141,G146,G152,G155)*$C183/30</f>
        <v>21044.375</v>
      </c>
      <c r="H183" s="153">
        <f t="shared" si="120"/>
        <v>22836.60313</v>
      </c>
      <c r="I183" s="153">
        <f t="shared" si="120"/>
        <v>23799.2678</v>
      </c>
      <c r="J183" s="153">
        <f t="shared" si="120"/>
        <v>24281.59839</v>
      </c>
      <c r="K183" s="153">
        <f t="shared" si="120"/>
        <v>24555.90366</v>
      </c>
      <c r="L183" s="153">
        <f t="shared" si="120"/>
        <v>24660.4284</v>
      </c>
      <c r="M183" s="153">
        <f t="shared" si="120"/>
        <v>24712.20135</v>
      </c>
      <c r="N183" s="153">
        <f t="shared" si="120"/>
        <v>24771.20548</v>
      </c>
      <c r="O183" s="153">
        <f t="shared" si="120"/>
        <v>24768.07931</v>
      </c>
      <c r="P183" s="153">
        <f t="shared" si="120"/>
        <v>24766.0268</v>
      </c>
      <c r="Q183" s="153">
        <f t="shared" si="120"/>
        <v>24798.11821</v>
      </c>
      <c r="R183" s="153">
        <f t="shared" si="120"/>
        <v>24781.53568</v>
      </c>
      <c r="S183" s="153">
        <f t="shared" si="120"/>
        <v>24772.75499</v>
      </c>
      <c r="T183" s="153">
        <f t="shared" si="120"/>
        <v>24768.3573</v>
      </c>
      <c r="U183" s="153">
        <f t="shared" si="120"/>
        <v>24766.15835</v>
      </c>
      <c r="V183" s="153">
        <f t="shared" si="120"/>
        <v>24765.05887</v>
      </c>
      <c r="W183" s="153">
        <f t="shared" si="120"/>
        <v>24764.50913</v>
      </c>
      <c r="X183" s="153">
        <f t="shared" si="120"/>
        <v>24764.23426</v>
      </c>
      <c r="Y183" s="153">
        <f t="shared" si="120"/>
        <v>24764.09683</v>
      </c>
      <c r="Z183" s="153">
        <f t="shared" si="120"/>
        <v>24764.02811</v>
      </c>
      <c r="AA183" s="153">
        <f t="shared" si="120"/>
        <v>24763.99375</v>
      </c>
      <c r="AB183" s="153">
        <f t="shared" si="120"/>
        <v>24763.97657</v>
      </c>
      <c r="AC183" s="153">
        <f t="shared" si="120"/>
        <v>24763.96798</v>
      </c>
      <c r="AD183" s="153">
        <f t="shared" si="120"/>
        <v>24763.96369</v>
      </c>
      <c r="AE183" s="153">
        <f t="shared" si="120"/>
        <v>24763.96154</v>
      </c>
      <c r="AF183" s="153">
        <f t="shared" si="120"/>
        <v>24763.96046</v>
      </c>
      <c r="AG183" s="153">
        <f t="shared" si="120"/>
        <v>24763.95993</v>
      </c>
      <c r="AH183" s="153">
        <f t="shared" si="120"/>
        <v>24763.95966</v>
      </c>
      <c r="AI183" s="153">
        <f t="shared" si="120"/>
        <v>24763.95953</v>
      </c>
      <c r="AJ183" s="153">
        <f t="shared" si="120"/>
        <v>24763.95946</v>
      </c>
      <c r="AK183" s="153">
        <f t="shared" si="120"/>
        <v>24763.95942</v>
      </c>
      <c r="AL183" s="153">
        <f t="shared" si="120"/>
        <v>24763.95941</v>
      </c>
      <c r="AM183" s="153">
        <f t="shared" si="120"/>
        <v>24763.9594</v>
      </c>
      <c r="AN183" s="153">
        <f t="shared" si="120"/>
        <v>24763.9594</v>
      </c>
      <c r="AO183" s="153">
        <f t="shared" si="120"/>
        <v>24763.95939</v>
      </c>
      <c r="AP183" s="153">
        <f t="shared" si="120"/>
        <v>24763.95939</v>
      </c>
      <c r="AQ183" s="153">
        <f t="shared" si="120"/>
        <v>24763.95939</v>
      </c>
      <c r="AR183" s="153">
        <f t="shared" si="120"/>
        <v>24763.95939</v>
      </c>
      <c r="AS183" s="153">
        <f t="shared" si="120"/>
        <v>24763.95939</v>
      </c>
      <c r="AT183" s="153">
        <f t="shared" si="120"/>
        <v>24763.95939</v>
      </c>
      <c r="AU183" s="153">
        <f t="shared" si="120"/>
        <v>24763.95939</v>
      </c>
      <c r="AV183" s="153">
        <f t="shared" si="120"/>
        <v>24763.95939</v>
      </c>
      <c r="AW183" s="153">
        <f t="shared" si="120"/>
        <v>24763.95939</v>
      </c>
      <c r="AX183" s="153">
        <f t="shared" si="120"/>
        <v>24763.95939</v>
      </c>
      <c r="AY183" s="153">
        <f t="shared" si="120"/>
        <v>24763.95939</v>
      </c>
      <c r="AZ183" s="153">
        <f t="shared" si="120"/>
        <v>24763.95939</v>
      </c>
      <c r="BA183" s="153">
        <f t="shared" si="120"/>
        <v>24763.95939</v>
      </c>
      <c r="BB183" s="153">
        <f t="shared" si="120"/>
        <v>24763.95939</v>
      </c>
      <c r="BC183" s="153">
        <f t="shared" si="120"/>
        <v>24763.95939</v>
      </c>
      <c r="BD183" s="153">
        <f t="shared" si="120"/>
        <v>24763.95939</v>
      </c>
      <c r="BE183" s="153">
        <f t="shared" si="120"/>
        <v>24763.95939</v>
      </c>
      <c r="BF183" s="153">
        <f t="shared" si="120"/>
        <v>24763.95939</v>
      </c>
      <c r="BG183" s="153">
        <f t="shared" si="120"/>
        <v>24763.95939</v>
      </c>
      <c r="BH183" s="153">
        <f t="shared" si="120"/>
        <v>24763.95939</v>
      </c>
      <c r="BI183" s="153">
        <f t="shared" si="120"/>
        <v>24763.95939</v>
      </c>
      <c r="BJ183" s="153">
        <f t="shared" si="120"/>
        <v>24763.95939</v>
      </c>
      <c r="BK183" s="153">
        <f t="shared" si="120"/>
        <v>24763.95939</v>
      </c>
      <c r="BL183" s="153">
        <f t="shared" si="120"/>
        <v>24763.95939</v>
      </c>
      <c r="BM183" s="153">
        <f t="shared" si="120"/>
        <v>24763.95939</v>
      </c>
      <c r="BN183" s="153">
        <f t="shared" si="120"/>
        <v>24763.95939</v>
      </c>
    </row>
    <row r="184" outlineLevel="1">
      <c r="A184" s="47"/>
      <c r="B184" s="47"/>
      <c r="C184" s="47"/>
      <c r="D184" s="47"/>
      <c r="E184" s="47"/>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c r="AX184" s="122"/>
      <c r="AY184" s="122"/>
      <c r="AZ184" s="122"/>
      <c r="BA184" s="122"/>
      <c r="BB184" s="122"/>
      <c r="BC184" s="122"/>
      <c r="BD184" s="122"/>
      <c r="BE184" s="122"/>
      <c r="BF184" s="122"/>
      <c r="BG184" s="122"/>
      <c r="BH184" s="122"/>
      <c r="BI184" s="122"/>
      <c r="BJ184" s="122"/>
      <c r="BK184" s="122"/>
      <c r="BL184" s="122"/>
      <c r="BM184" s="122"/>
      <c r="BN184" s="122"/>
    </row>
    <row r="185" outlineLevel="1">
      <c r="A185" s="47"/>
      <c r="B185" s="148" t="s">
        <v>138</v>
      </c>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c r="AC185" s="149"/>
      <c r="AD185" s="149"/>
      <c r="AE185" s="149"/>
      <c r="AF185" s="149"/>
      <c r="AG185" s="149"/>
      <c r="AH185" s="149"/>
      <c r="AI185" s="149"/>
      <c r="AJ185" s="149"/>
      <c r="AK185" s="149"/>
      <c r="AL185" s="149"/>
      <c r="AM185" s="149"/>
      <c r="AN185" s="149"/>
      <c r="AO185" s="149"/>
      <c r="AP185" s="149"/>
      <c r="AQ185" s="149"/>
      <c r="AR185" s="149"/>
      <c r="AS185" s="149"/>
      <c r="AT185" s="149"/>
      <c r="AU185" s="149"/>
      <c r="AV185" s="149"/>
      <c r="AW185" s="149"/>
      <c r="AX185" s="149"/>
      <c r="AY185" s="149"/>
      <c r="AZ185" s="149"/>
      <c r="BA185" s="149"/>
      <c r="BB185" s="149"/>
      <c r="BC185" s="149"/>
      <c r="BD185" s="149"/>
      <c r="BE185" s="149"/>
      <c r="BF185" s="149"/>
      <c r="BG185" s="149"/>
      <c r="BH185" s="149"/>
      <c r="BI185" s="149"/>
      <c r="BJ185" s="149"/>
      <c r="BK185" s="149"/>
      <c r="BL185" s="149"/>
      <c r="BM185" s="149"/>
      <c r="BN185" s="149"/>
    </row>
    <row r="186" outlineLevel="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row>
    <row r="187" outlineLevel="1">
      <c r="A187" s="68"/>
      <c r="B187" s="69" t="s">
        <v>139</v>
      </c>
      <c r="C187" s="124">
        <v>120000.0</v>
      </c>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row>
    <row r="188" outlineLevel="1">
      <c r="A188" s="47"/>
      <c r="B188" s="39" t="s">
        <v>140</v>
      </c>
      <c r="C188" s="128">
        <v>0.09</v>
      </c>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row>
    <row r="189" outlineLevel="1">
      <c r="A189" s="47"/>
      <c r="B189" s="39"/>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row>
    <row r="190" outlineLevel="1">
      <c r="A190" s="47"/>
      <c r="B190" s="159" t="s">
        <v>141</v>
      </c>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160"/>
      <c r="AH190" s="160"/>
      <c r="AI190" s="160"/>
      <c r="AJ190" s="160"/>
      <c r="AK190" s="160"/>
      <c r="AL190" s="160"/>
      <c r="AM190" s="160"/>
      <c r="AN190" s="160"/>
      <c r="AO190" s="160"/>
      <c r="AP190" s="160"/>
      <c r="AQ190" s="160"/>
      <c r="AR190" s="160"/>
      <c r="AS190" s="160"/>
      <c r="AT190" s="160"/>
      <c r="AU190" s="160"/>
      <c r="AV190" s="160"/>
      <c r="AW190" s="160"/>
      <c r="AX190" s="160"/>
      <c r="AY190" s="160"/>
      <c r="AZ190" s="160"/>
      <c r="BA190" s="160"/>
      <c r="BB190" s="160"/>
      <c r="BC190" s="160"/>
      <c r="BD190" s="160"/>
      <c r="BE190" s="160"/>
      <c r="BF190" s="160"/>
      <c r="BG190" s="160"/>
      <c r="BH190" s="160"/>
      <c r="BI190" s="160"/>
      <c r="BJ190" s="160"/>
      <c r="BK190" s="160"/>
      <c r="BL190" s="160"/>
      <c r="BM190" s="160"/>
      <c r="BN190" s="160"/>
    </row>
    <row r="191" outlineLevel="1">
      <c r="A191" s="47"/>
      <c r="B191" s="161" t="s">
        <v>142</v>
      </c>
      <c r="C191" s="39" t="s">
        <v>143</v>
      </c>
      <c r="D191" s="39" t="s">
        <v>144</v>
      </c>
      <c r="E191" s="162"/>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row>
    <row r="192" outlineLevel="1">
      <c r="A192" s="47"/>
      <c r="B192" s="129" t="s">
        <v>145</v>
      </c>
      <c r="C192" s="70">
        <v>0.0</v>
      </c>
      <c r="D192" s="163">
        <v>44562.0</v>
      </c>
      <c r="E192" s="164"/>
      <c r="F192" s="122"/>
      <c r="G192" s="122">
        <f t="shared" ref="G192:BN192" si="121">IF(AND(Month(G$4)=Month($D192),Year(G$4)=Year($D192)),$C192,0)</f>
        <v>0</v>
      </c>
      <c r="H192" s="122">
        <f t="shared" si="121"/>
        <v>0</v>
      </c>
      <c r="I192" s="122">
        <f t="shared" si="121"/>
        <v>0</v>
      </c>
      <c r="J192" s="122">
        <f t="shared" si="121"/>
        <v>0</v>
      </c>
      <c r="K192" s="122">
        <f t="shared" si="121"/>
        <v>0</v>
      </c>
      <c r="L192" s="122">
        <f t="shared" si="121"/>
        <v>0</v>
      </c>
      <c r="M192" s="122">
        <f t="shared" si="121"/>
        <v>0</v>
      </c>
      <c r="N192" s="122">
        <f t="shared" si="121"/>
        <v>0</v>
      </c>
      <c r="O192" s="122">
        <f t="shared" si="121"/>
        <v>0</v>
      </c>
      <c r="P192" s="122">
        <f t="shared" si="121"/>
        <v>0</v>
      </c>
      <c r="Q192" s="122">
        <f t="shared" si="121"/>
        <v>0</v>
      </c>
      <c r="R192" s="122">
        <f t="shared" si="121"/>
        <v>0</v>
      </c>
      <c r="S192" s="122">
        <f t="shared" si="121"/>
        <v>0</v>
      </c>
      <c r="T192" s="122">
        <f t="shared" si="121"/>
        <v>0</v>
      </c>
      <c r="U192" s="122">
        <f t="shared" si="121"/>
        <v>0</v>
      </c>
      <c r="V192" s="122">
        <f t="shared" si="121"/>
        <v>0</v>
      </c>
      <c r="W192" s="122">
        <f t="shared" si="121"/>
        <v>0</v>
      </c>
      <c r="X192" s="122">
        <f t="shared" si="121"/>
        <v>0</v>
      </c>
      <c r="Y192" s="122">
        <f t="shared" si="121"/>
        <v>0</v>
      </c>
      <c r="Z192" s="122">
        <f t="shared" si="121"/>
        <v>0</v>
      </c>
      <c r="AA192" s="122">
        <f t="shared" si="121"/>
        <v>0</v>
      </c>
      <c r="AB192" s="122">
        <f t="shared" si="121"/>
        <v>0</v>
      </c>
      <c r="AC192" s="122">
        <f t="shared" si="121"/>
        <v>0</v>
      </c>
      <c r="AD192" s="122">
        <f t="shared" si="121"/>
        <v>0</v>
      </c>
      <c r="AE192" s="122">
        <f t="shared" si="121"/>
        <v>0</v>
      </c>
      <c r="AF192" s="122">
        <f t="shared" si="121"/>
        <v>0</v>
      </c>
      <c r="AG192" s="122">
        <f t="shared" si="121"/>
        <v>0</v>
      </c>
      <c r="AH192" s="122">
        <f t="shared" si="121"/>
        <v>0</v>
      </c>
      <c r="AI192" s="122">
        <f t="shared" si="121"/>
        <v>0</v>
      </c>
      <c r="AJ192" s="122">
        <f t="shared" si="121"/>
        <v>0</v>
      </c>
      <c r="AK192" s="122">
        <f t="shared" si="121"/>
        <v>0</v>
      </c>
      <c r="AL192" s="122">
        <f t="shared" si="121"/>
        <v>0</v>
      </c>
      <c r="AM192" s="122">
        <f t="shared" si="121"/>
        <v>0</v>
      </c>
      <c r="AN192" s="122">
        <f t="shared" si="121"/>
        <v>0</v>
      </c>
      <c r="AO192" s="122">
        <f t="shared" si="121"/>
        <v>0</v>
      </c>
      <c r="AP192" s="122">
        <f t="shared" si="121"/>
        <v>0</v>
      </c>
      <c r="AQ192" s="122">
        <f t="shared" si="121"/>
        <v>0</v>
      </c>
      <c r="AR192" s="122">
        <f t="shared" si="121"/>
        <v>0</v>
      </c>
      <c r="AS192" s="122">
        <f t="shared" si="121"/>
        <v>0</v>
      </c>
      <c r="AT192" s="122">
        <f t="shared" si="121"/>
        <v>0</v>
      </c>
      <c r="AU192" s="122">
        <f t="shared" si="121"/>
        <v>0</v>
      </c>
      <c r="AV192" s="122">
        <f t="shared" si="121"/>
        <v>0</v>
      </c>
      <c r="AW192" s="122">
        <f t="shared" si="121"/>
        <v>0</v>
      </c>
      <c r="AX192" s="122">
        <f t="shared" si="121"/>
        <v>0</v>
      </c>
      <c r="AY192" s="122">
        <f t="shared" si="121"/>
        <v>0</v>
      </c>
      <c r="AZ192" s="122">
        <f t="shared" si="121"/>
        <v>0</v>
      </c>
      <c r="BA192" s="122">
        <f t="shared" si="121"/>
        <v>0</v>
      </c>
      <c r="BB192" s="122">
        <f t="shared" si="121"/>
        <v>0</v>
      </c>
      <c r="BC192" s="122">
        <f t="shared" si="121"/>
        <v>0</v>
      </c>
      <c r="BD192" s="122">
        <f t="shared" si="121"/>
        <v>0</v>
      </c>
      <c r="BE192" s="122">
        <f t="shared" si="121"/>
        <v>0</v>
      </c>
      <c r="BF192" s="122">
        <f t="shared" si="121"/>
        <v>0</v>
      </c>
      <c r="BG192" s="122">
        <f t="shared" si="121"/>
        <v>0</v>
      </c>
      <c r="BH192" s="122">
        <f t="shared" si="121"/>
        <v>0</v>
      </c>
      <c r="BI192" s="122">
        <f t="shared" si="121"/>
        <v>0</v>
      </c>
      <c r="BJ192" s="122">
        <f t="shared" si="121"/>
        <v>0</v>
      </c>
      <c r="BK192" s="122">
        <f t="shared" si="121"/>
        <v>0</v>
      </c>
      <c r="BL192" s="122">
        <f t="shared" si="121"/>
        <v>0</v>
      </c>
      <c r="BM192" s="122">
        <f t="shared" si="121"/>
        <v>0</v>
      </c>
      <c r="BN192" s="122">
        <f t="shared" si="121"/>
        <v>0</v>
      </c>
    </row>
    <row r="193" outlineLevel="1">
      <c r="A193" s="47"/>
      <c r="B193" s="129" t="s">
        <v>146</v>
      </c>
      <c r="C193" s="70">
        <v>0.0</v>
      </c>
      <c r="D193" s="163"/>
      <c r="E193" s="164"/>
      <c r="F193" s="122"/>
      <c r="G193" s="122">
        <f t="shared" ref="G193:BN193" si="122">IF(AND(Month(G$4)=Month($D193),Year(G$4)=Year($D193)),$C193,0)</f>
        <v>0</v>
      </c>
      <c r="H193" s="122">
        <f t="shared" si="122"/>
        <v>0</v>
      </c>
      <c r="I193" s="122">
        <f t="shared" si="122"/>
        <v>0</v>
      </c>
      <c r="J193" s="122">
        <f t="shared" si="122"/>
        <v>0</v>
      </c>
      <c r="K193" s="122">
        <f t="shared" si="122"/>
        <v>0</v>
      </c>
      <c r="L193" s="122">
        <f t="shared" si="122"/>
        <v>0</v>
      </c>
      <c r="M193" s="122">
        <f t="shared" si="122"/>
        <v>0</v>
      </c>
      <c r="N193" s="122">
        <f t="shared" si="122"/>
        <v>0</v>
      </c>
      <c r="O193" s="122">
        <f t="shared" si="122"/>
        <v>0</v>
      </c>
      <c r="P193" s="122">
        <f t="shared" si="122"/>
        <v>0</v>
      </c>
      <c r="Q193" s="122">
        <f t="shared" si="122"/>
        <v>0</v>
      </c>
      <c r="R193" s="122">
        <f t="shared" si="122"/>
        <v>0</v>
      </c>
      <c r="S193" s="122">
        <f t="shared" si="122"/>
        <v>0</v>
      </c>
      <c r="T193" s="122">
        <f t="shared" si="122"/>
        <v>0</v>
      </c>
      <c r="U193" s="122">
        <f t="shared" si="122"/>
        <v>0</v>
      </c>
      <c r="V193" s="122">
        <f t="shared" si="122"/>
        <v>0</v>
      </c>
      <c r="W193" s="122">
        <f t="shared" si="122"/>
        <v>0</v>
      </c>
      <c r="X193" s="122">
        <f t="shared" si="122"/>
        <v>0</v>
      </c>
      <c r="Y193" s="122">
        <f t="shared" si="122"/>
        <v>0</v>
      </c>
      <c r="Z193" s="122">
        <f t="shared" si="122"/>
        <v>0</v>
      </c>
      <c r="AA193" s="122">
        <f t="shared" si="122"/>
        <v>0</v>
      </c>
      <c r="AB193" s="122">
        <f t="shared" si="122"/>
        <v>0</v>
      </c>
      <c r="AC193" s="122">
        <f t="shared" si="122"/>
        <v>0</v>
      </c>
      <c r="AD193" s="122">
        <f t="shared" si="122"/>
        <v>0</v>
      </c>
      <c r="AE193" s="122">
        <f t="shared" si="122"/>
        <v>0</v>
      </c>
      <c r="AF193" s="122">
        <f t="shared" si="122"/>
        <v>0</v>
      </c>
      <c r="AG193" s="122">
        <f t="shared" si="122"/>
        <v>0</v>
      </c>
      <c r="AH193" s="122">
        <f t="shared" si="122"/>
        <v>0</v>
      </c>
      <c r="AI193" s="122">
        <f t="shared" si="122"/>
        <v>0</v>
      </c>
      <c r="AJ193" s="122">
        <f t="shared" si="122"/>
        <v>0</v>
      </c>
      <c r="AK193" s="122">
        <f t="shared" si="122"/>
        <v>0</v>
      </c>
      <c r="AL193" s="122">
        <f t="shared" si="122"/>
        <v>0</v>
      </c>
      <c r="AM193" s="122">
        <f t="shared" si="122"/>
        <v>0</v>
      </c>
      <c r="AN193" s="122">
        <f t="shared" si="122"/>
        <v>0</v>
      </c>
      <c r="AO193" s="122">
        <f t="shared" si="122"/>
        <v>0</v>
      </c>
      <c r="AP193" s="122">
        <f t="shared" si="122"/>
        <v>0</v>
      </c>
      <c r="AQ193" s="122">
        <f t="shared" si="122"/>
        <v>0</v>
      </c>
      <c r="AR193" s="122">
        <f t="shared" si="122"/>
        <v>0</v>
      </c>
      <c r="AS193" s="122">
        <f t="shared" si="122"/>
        <v>0</v>
      </c>
      <c r="AT193" s="122">
        <f t="shared" si="122"/>
        <v>0</v>
      </c>
      <c r="AU193" s="122">
        <f t="shared" si="122"/>
        <v>0</v>
      </c>
      <c r="AV193" s="122">
        <f t="shared" si="122"/>
        <v>0</v>
      </c>
      <c r="AW193" s="122">
        <f t="shared" si="122"/>
        <v>0</v>
      </c>
      <c r="AX193" s="122">
        <f t="shared" si="122"/>
        <v>0</v>
      </c>
      <c r="AY193" s="122">
        <f t="shared" si="122"/>
        <v>0</v>
      </c>
      <c r="AZ193" s="122">
        <f t="shared" si="122"/>
        <v>0</v>
      </c>
      <c r="BA193" s="122">
        <f t="shared" si="122"/>
        <v>0</v>
      </c>
      <c r="BB193" s="122">
        <f t="shared" si="122"/>
        <v>0</v>
      </c>
      <c r="BC193" s="122">
        <f t="shared" si="122"/>
        <v>0</v>
      </c>
      <c r="BD193" s="122">
        <f t="shared" si="122"/>
        <v>0</v>
      </c>
      <c r="BE193" s="122">
        <f t="shared" si="122"/>
        <v>0</v>
      </c>
      <c r="BF193" s="122">
        <f t="shared" si="122"/>
        <v>0</v>
      </c>
      <c r="BG193" s="122">
        <f t="shared" si="122"/>
        <v>0</v>
      </c>
      <c r="BH193" s="122">
        <f t="shared" si="122"/>
        <v>0</v>
      </c>
      <c r="BI193" s="122">
        <f t="shared" si="122"/>
        <v>0</v>
      </c>
      <c r="BJ193" s="122">
        <f t="shared" si="122"/>
        <v>0</v>
      </c>
      <c r="BK193" s="122">
        <f t="shared" si="122"/>
        <v>0</v>
      </c>
      <c r="BL193" s="122">
        <f t="shared" si="122"/>
        <v>0</v>
      </c>
      <c r="BM193" s="122">
        <f t="shared" si="122"/>
        <v>0</v>
      </c>
      <c r="BN193" s="122">
        <f t="shared" si="122"/>
        <v>0</v>
      </c>
    </row>
    <row r="194" outlineLevel="1">
      <c r="A194" s="47"/>
      <c r="B194" s="129" t="s">
        <v>147</v>
      </c>
      <c r="C194" s="70">
        <v>0.0</v>
      </c>
      <c r="D194" s="163"/>
      <c r="E194" s="164"/>
      <c r="F194" s="122"/>
      <c r="G194" s="122">
        <f t="shared" ref="G194:BN194" si="123">IF(AND(Month(G$4)=Month($D194),Year(G$4)=Year($D194)),$C194,0)</f>
        <v>0</v>
      </c>
      <c r="H194" s="122">
        <f t="shared" si="123"/>
        <v>0</v>
      </c>
      <c r="I194" s="122">
        <f t="shared" si="123"/>
        <v>0</v>
      </c>
      <c r="J194" s="122">
        <f t="shared" si="123"/>
        <v>0</v>
      </c>
      <c r="K194" s="122">
        <f t="shared" si="123"/>
        <v>0</v>
      </c>
      <c r="L194" s="122">
        <f t="shared" si="123"/>
        <v>0</v>
      </c>
      <c r="M194" s="122">
        <f t="shared" si="123"/>
        <v>0</v>
      </c>
      <c r="N194" s="122">
        <f t="shared" si="123"/>
        <v>0</v>
      </c>
      <c r="O194" s="122">
        <f t="shared" si="123"/>
        <v>0</v>
      </c>
      <c r="P194" s="122">
        <f t="shared" si="123"/>
        <v>0</v>
      </c>
      <c r="Q194" s="122">
        <f t="shared" si="123"/>
        <v>0</v>
      </c>
      <c r="R194" s="122">
        <f t="shared" si="123"/>
        <v>0</v>
      </c>
      <c r="S194" s="122">
        <f t="shared" si="123"/>
        <v>0</v>
      </c>
      <c r="T194" s="122">
        <f t="shared" si="123"/>
        <v>0</v>
      </c>
      <c r="U194" s="122">
        <f t="shared" si="123"/>
        <v>0</v>
      </c>
      <c r="V194" s="122">
        <f t="shared" si="123"/>
        <v>0</v>
      </c>
      <c r="W194" s="122">
        <f t="shared" si="123"/>
        <v>0</v>
      </c>
      <c r="X194" s="122">
        <f t="shared" si="123"/>
        <v>0</v>
      </c>
      <c r="Y194" s="122">
        <f t="shared" si="123"/>
        <v>0</v>
      </c>
      <c r="Z194" s="122">
        <f t="shared" si="123"/>
        <v>0</v>
      </c>
      <c r="AA194" s="122">
        <f t="shared" si="123"/>
        <v>0</v>
      </c>
      <c r="AB194" s="122">
        <f t="shared" si="123"/>
        <v>0</v>
      </c>
      <c r="AC194" s="122">
        <f t="shared" si="123"/>
        <v>0</v>
      </c>
      <c r="AD194" s="122">
        <f t="shared" si="123"/>
        <v>0</v>
      </c>
      <c r="AE194" s="122">
        <f t="shared" si="123"/>
        <v>0</v>
      </c>
      <c r="AF194" s="122">
        <f t="shared" si="123"/>
        <v>0</v>
      </c>
      <c r="AG194" s="122">
        <f t="shared" si="123"/>
        <v>0</v>
      </c>
      <c r="AH194" s="122">
        <f t="shared" si="123"/>
        <v>0</v>
      </c>
      <c r="AI194" s="122">
        <f t="shared" si="123"/>
        <v>0</v>
      </c>
      <c r="AJ194" s="122">
        <f t="shared" si="123"/>
        <v>0</v>
      </c>
      <c r="AK194" s="122">
        <f t="shared" si="123"/>
        <v>0</v>
      </c>
      <c r="AL194" s="122">
        <f t="shared" si="123"/>
        <v>0</v>
      </c>
      <c r="AM194" s="122">
        <f t="shared" si="123"/>
        <v>0</v>
      </c>
      <c r="AN194" s="122">
        <f t="shared" si="123"/>
        <v>0</v>
      </c>
      <c r="AO194" s="122">
        <f t="shared" si="123"/>
        <v>0</v>
      </c>
      <c r="AP194" s="122">
        <f t="shared" si="123"/>
        <v>0</v>
      </c>
      <c r="AQ194" s="122">
        <f t="shared" si="123"/>
        <v>0</v>
      </c>
      <c r="AR194" s="122">
        <f t="shared" si="123"/>
        <v>0</v>
      </c>
      <c r="AS194" s="122">
        <f t="shared" si="123"/>
        <v>0</v>
      </c>
      <c r="AT194" s="122">
        <f t="shared" si="123"/>
        <v>0</v>
      </c>
      <c r="AU194" s="122">
        <f t="shared" si="123"/>
        <v>0</v>
      </c>
      <c r="AV194" s="122">
        <f t="shared" si="123"/>
        <v>0</v>
      </c>
      <c r="AW194" s="122">
        <f t="shared" si="123"/>
        <v>0</v>
      </c>
      <c r="AX194" s="122">
        <f t="shared" si="123"/>
        <v>0</v>
      </c>
      <c r="AY194" s="122">
        <f t="shared" si="123"/>
        <v>0</v>
      </c>
      <c r="AZ194" s="122">
        <f t="shared" si="123"/>
        <v>0</v>
      </c>
      <c r="BA194" s="122">
        <f t="shared" si="123"/>
        <v>0</v>
      </c>
      <c r="BB194" s="122">
        <f t="shared" si="123"/>
        <v>0</v>
      </c>
      <c r="BC194" s="122">
        <f t="shared" si="123"/>
        <v>0</v>
      </c>
      <c r="BD194" s="122">
        <f t="shared" si="123"/>
        <v>0</v>
      </c>
      <c r="BE194" s="122">
        <f t="shared" si="123"/>
        <v>0</v>
      </c>
      <c r="BF194" s="122">
        <f t="shared" si="123"/>
        <v>0</v>
      </c>
      <c r="BG194" s="122">
        <f t="shared" si="123"/>
        <v>0</v>
      </c>
      <c r="BH194" s="122">
        <f t="shared" si="123"/>
        <v>0</v>
      </c>
      <c r="BI194" s="122">
        <f t="shared" si="123"/>
        <v>0</v>
      </c>
      <c r="BJ194" s="122">
        <f t="shared" si="123"/>
        <v>0</v>
      </c>
      <c r="BK194" s="122">
        <f t="shared" si="123"/>
        <v>0</v>
      </c>
      <c r="BL194" s="122">
        <f t="shared" si="123"/>
        <v>0</v>
      </c>
      <c r="BM194" s="122">
        <f t="shared" si="123"/>
        <v>0</v>
      </c>
      <c r="BN194" s="122">
        <f t="shared" si="123"/>
        <v>0</v>
      </c>
    </row>
    <row r="195" outlineLevel="1">
      <c r="A195" s="47"/>
      <c r="B195" s="129" t="s">
        <v>147</v>
      </c>
      <c r="C195" s="70">
        <v>0.0</v>
      </c>
      <c r="D195" s="163"/>
      <c r="E195" s="164"/>
      <c r="F195" s="122"/>
      <c r="G195" s="122">
        <f t="shared" ref="G195:BN195" si="124">IF(AND(Month(G$4)=Month($D195),Year(G$4)=Year($D195)),$C195,0)</f>
        <v>0</v>
      </c>
      <c r="H195" s="122">
        <f t="shared" si="124"/>
        <v>0</v>
      </c>
      <c r="I195" s="122">
        <f t="shared" si="124"/>
        <v>0</v>
      </c>
      <c r="J195" s="122">
        <f t="shared" si="124"/>
        <v>0</v>
      </c>
      <c r="K195" s="122">
        <f t="shared" si="124"/>
        <v>0</v>
      </c>
      <c r="L195" s="122">
        <f t="shared" si="124"/>
        <v>0</v>
      </c>
      <c r="M195" s="122">
        <f t="shared" si="124"/>
        <v>0</v>
      </c>
      <c r="N195" s="122">
        <f t="shared" si="124"/>
        <v>0</v>
      </c>
      <c r="O195" s="122">
        <f t="shared" si="124"/>
        <v>0</v>
      </c>
      <c r="P195" s="122">
        <f t="shared" si="124"/>
        <v>0</v>
      </c>
      <c r="Q195" s="122">
        <f t="shared" si="124"/>
        <v>0</v>
      </c>
      <c r="R195" s="122">
        <f t="shared" si="124"/>
        <v>0</v>
      </c>
      <c r="S195" s="122">
        <f t="shared" si="124"/>
        <v>0</v>
      </c>
      <c r="T195" s="122">
        <f t="shared" si="124"/>
        <v>0</v>
      </c>
      <c r="U195" s="122">
        <f t="shared" si="124"/>
        <v>0</v>
      </c>
      <c r="V195" s="122">
        <f t="shared" si="124"/>
        <v>0</v>
      </c>
      <c r="W195" s="122">
        <f t="shared" si="124"/>
        <v>0</v>
      </c>
      <c r="X195" s="122">
        <f t="shared" si="124"/>
        <v>0</v>
      </c>
      <c r="Y195" s="122">
        <f t="shared" si="124"/>
        <v>0</v>
      </c>
      <c r="Z195" s="122">
        <f t="shared" si="124"/>
        <v>0</v>
      </c>
      <c r="AA195" s="122">
        <f t="shared" si="124"/>
        <v>0</v>
      </c>
      <c r="AB195" s="122">
        <f t="shared" si="124"/>
        <v>0</v>
      </c>
      <c r="AC195" s="122">
        <f t="shared" si="124"/>
        <v>0</v>
      </c>
      <c r="AD195" s="122">
        <f t="shared" si="124"/>
        <v>0</v>
      </c>
      <c r="AE195" s="122">
        <f t="shared" si="124"/>
        <v>0</v>
      </c>
      <c r="AF195" s="122">
        <f t="shared" si="124"/>
        <v>0</v>
      </c>
      <c r="AG195" s="122">
        <f t="shared" si="124"/>
        <v>0</v>
      </c>
      <c r="AH195" s="122">
        <f t="shared" si="124"/>
        <v>0</v>
      </c>
      <c r="AI195" s="122">
        <f t="shared" si="124"/>
        <v>0</v>
      </c>
      <c r="AJ195" s="122">
        <f t="shared" si="124"/>
        <v>0</v>
      </c>
      <c r="AK195" s="122">
        <f t="shared" si="124"/>
        <v>0</v>
      </c>
      <c r="AL195" s="122">
        <f t="shared" si="124"/>
        <v>0</v>
      </c>
      <c r="AM195" s="122">
        <f t="shared" si="124"/>
        <v>0</v>
      </c>
      <c r="AN195" s="122">
        <f t="shared" si="124"/>
        <v>0</v>
      </c>
      <c r="AO195" s="122">
        <f t="shared" si="124"/>
        <v>0</v>
      </c>
      <c r="AP195" s="122">
        <f t="shared" si="124"/>
        <v>0</v>
      </c>
      <c r="AQ195" s="122">
        <f t="shared" si="124"/>
        <v>0</v>
      </c>
      <c r="AR195" s="122">
        <f t="shared" si="124"/>
        <v>0</v>
      </c>
      <c r="AS195" s="122">
        <f t="shared" si="124"/>
        <v>0</v>
      </c>
      <c r="AT195" s="122">
        <f t="shared" si="124"/>
        <v>0</v>
      </c>
      <c r="AU195" s="122">
        <f t="shared" si="124"/>
        <v>0</v>
      </c>
      <c r="AV195" s="122">
        <f t="shared" si="124"/>
        <v>0</v>
      </c>
      <c r="AW195" s="122">
        <f t="shared" si="124"/>
        <v>0</v>
      </c>
      <c r="AX195" s="122">
        <f t="shared" si="124"/>
        <v>0</v>
      </c>
      <c r="AY195" s="122">
        <f t="shared" si="124"/>
        <v>0</v>
      </c>
      <c r="AZ195" s="122">
        <f t="shared" si="124"/>
        <v>0</v>
      </c>
      <c r="BA195" s="122">
        <f t="shared" si="124"/>
        <v>0</v>
      </c>
      <c r="BB195" s="122">
        <f t="shared" si="124"/>
        <v>0</v>
      </c>
      <c r="BC195" s="122">
        <f t="shared" si="124"/>
        <v>0</v>
      </c>
      <c r="BD195" s="122">
        <f t="shared" si="124"/>
        <v>0</v>
      </c>
      <c r="BE195" s="122">
        <f t="shared" si="124"/>
        <v>0</v>
      </c>
      <c r="BF195" s="122">
        <f t="shared" si="124"/>
        <v>0</v>
      </c>
      <c r="BG195" s="122">
        <f t="shared" si="124"/>
        <v>0</v>
      </c>
      <c r="BH195" s="122">
        <f t="shared" si="124"/>
        <v>0</v>
      </c>
      <c r="BI195" s="122">
        <f t="shared" si="124"/>
        <v>0</v>
      </c>
      <c r="BJ195" s="122">
        <f t="shared" si="124"/>
        <v>0</v>
      </c>
      <c r="BK195" s="122">
        <f t="shared" si="124"/>
        <v>0</v>
      </c>
      <c r="BL195" s="122">
        <f t="shared" si="124"/>
        <v>0</v>
      </c>
      <c r="BM195" s="122">
        <f t="shared" si="124"/>
        <v>0</v>
      </c>
      <c r="BN195" s="122">
        <f t="shared" si="124"/>
        <v>0</v>
      </c>
    </row>
    <row r="196" outlineLevel="1">
      <c r="A196" s="47"/>
      <c r="B196" s="147"/>
      <c r="C196" s="47"/>
      <c r="D196" s="47"/>
      <c r="E196" s="68"/>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c r="AX196" s="122"/>
      <c r="AY196" s="122"/>
      <c r="AZ196" s="122"/>
      <c r="BA196" s="122"/>
      <c r="BB196" s="122"/>
      <c r="BC196" s="122"/>
      <c r="BD196" s="122"/>
      <c r="BE196" s="122"/>
      <c r="BF196" s="122"/>
      <c r="BG196" s="122"/>
      <c r="BH196" s="122"/>
      <c r="BI196" s="122"/>
      <c r="BJ196" s="122"/>
      <c r="BK196" s="122"/>
      <c r="BL196" s="122"/>
      <c r="BM196" s="122"/>
      <c r="BN196" s="122"/>
    </row>
    <row r="197" outlineLevel="1">
      <c r="A197" s="47"/>
      <c r="B197" s="144" t="s">
        <v>141</v>
      </c>
      <c r="C197" s="86"/>
      <c r="D197" s="86"/>
      <c r="E197" s="165"/>
      <c r="F197" s="153"/>
      <c r="G197" s="153">
        <f>SUM(G192:G195)</f>
        <v>0</v>
      </c>
      <c r="H197" s="153">
        <f t="shared" ref="H197:BN197" si="125">G197+sum(H192:H195)</f>
        <v>0</v>
      </c>
      <c r="I197" s="153">
        <f t="shared" si="125"/>
        <v>0</v>
      </c>
      <c r="J197" s="153">
        <f t="shared" si="125"/>
        <v>0</v>
      </c>
      <c r="K197" s="153">
        <f t="shared" si="125"/>
        <v>0</v>
      </c>
      <c r="L197" s="153">
        <f t="shared" si="125"/>
        <v>0</v>
      </c>
      <c r="M197" s="153">
        <f t="shared" si="125"/>
        <v>0</v>
      </c>
      <c r="N197" s="153">
        <f t="shared" si="125"/>
        <v>0</v>
      </c>
      <c r="O197" s="153">
        <f t="shared" si="125"/>
        <v>0</v>
      </c>
      <c r="P197" s="153">
        <f t="shared" si="125"/>
        <v>0</v>
      </c>
      <c r="Q197" s="153">
        <f t="shared" si="125"/>
        <v>0</v>
      </c>
      <c r="R197" s="153">
        <f t="shared" si="125"/>
        <v>0</v>
      </c>
      <c r="S197" s="153">
        <f t="shared" si="125"/>
        <v>0</v>
      </c>
      <c r="T197" s="153">
        <f t="shared" si="125"/>
        <v>0</v>
      </c>
      <c r="U197" s="153">
        <f t="shared" si="125"/>
        <v>0</v>
      </c>
      <c r="V197" s="153">
        <f t="shared" si="125"/>
        <v>0</v>
      </c>
      <c r="W197" s="153">
        <f t="shared" si="125"/>
        <v>0</v>
      </c>
      <c r="X197" s="153">
        <f t="shared" si="125"/>
        <v>0</v>
      </c>
      <c r="Y197" s="153">
        <f t="shared" si="125"/>
        <v>0</v>
      </c>
      <c r="Z197" s="153">
        <f t="shared" si="125"/>
        <v>0</v>
      </c>
      <c r="AA197" s="153">
        <f t="shared" si="125"/>
        <v>0</v>
      </c>
      <c r="AB197" s="153">
        <f t="shared" si="125"/>
        <v>0</v>
      </c>
      <c r="AC197" s="153">
        <f t="shared" si="125"/>
        <v>0</v>
      </c>
      <c r="AD197" s="153">
        <f t="shared" si="125"/>
        <v>0</v>
      </c>
      <c r="AE197" s="153">
        <f t="shared" si="125"/>
        <v>0</v>
      </c>
      <c r="AF197" s="153">
        <f t="shared" si="125"/>
        <v>0</v>
      </c>
      <c r="AG197" s="153">
        <f t="shared" si="125"/>
        <v>0</v>
      </c>
      <c r="AH197" s="153">
        <f t="shared" si="125"/>
        <v>0</v>
      </c>
      <c r="AI197" s="153">
        <f t="shared" si="125"/>
        <v>0</v>
      </c>
      <c r="AJ197" s="153">
        <f t="shared" si="125"/>
        <v>0</v>
      </c>
      <c r="AK197" s="153">
        <f t="shared" si="125"/>
        <v>0</v>
      </c>
      <c r="AL197" s="153">
        <f t="shared" si="125"/>
        <v>0</v>
      </c>
      <c r="AM197" s="153">
        <f t="shared" si="125"/>
        <v>0</v>
      </c>
      <c r="AN197" s="153">
        <f t="shared" si="125"/>
        <v>0</v>
      </c>
      <c r="AO197" s="153">
        <f t="shared" si="125"/>
        <v>0</v>
      </c>
      <c r="AP197" s="153">
        <f t="shared" si="125"/>
        <v>0</v>
      </c>
      <c r="AQ197" s="153">
        <f t="shared" si="125"/>
        <v>0</v>
      </c>
      <c r="AR197" s="153">
        <f t="shared" si="125"/>
        <v>0</v>
      </c>
      <c r="AS197" s="153">
        <f t="shared" si="125"/>
        <v>0</v>
      </c>
      <c r="AT197" s="153">
        <f t="shared" si="125"/>
        <v>0</v>
      </c>
      <c r="AU197" s="153">
        <f t="shared" si="125"/>
        <v>0</v>
      </c>
      <c r="AV197" s="153">
        <f t="shared" si="125"/>
        <v>0</v>
      </c>
      <c r="AW197" s="153">
        <f t="shared" si="125"/>
        <v>0</v>
      </c>
      <c r="AX197" s="153">
        <f t="shared" si="125"/>
        <v>0</v>
      </c>
      <c r="AY197" s="153">
        <f t="shared" si="125"/>
        <v>0</v>
      </c>
      <c r="AZ197" s="153">
        <f t="shared" si="125"/>
        <v>0</v>
      </c>
      <c r="BA197" s="153">
        <f t="shared" si="125"/>
        <v>0</v>
      </c>
      <c r="BB197" s="153">
        <f t="shared" si="125"/>
        <v>0</v>
      </c>
      <c r="BC197" s="153">
        <f t="shared" si="125"/>
        <v>0</v>
      </c>
      <c r="BD197" s="153">
        <f t="shared" si="125"/>
        <v>0</v>
      </c>
      <c r="BE197" s="153">
        <f t="shared" si="125"/>
        <v>0</v>
      </c>
      <c r="BF197" s="153">
        <f t="shared" si="125"/>
        <v>0</v>
      </c>
      <c r="BG197" s="153">
        <f t="shared" si="125"/>
        <v>0</v>
      </c>
      <c r="BH197" s="153">
        <f t="shared" si="125"/>
        <v>0</v>
      </c>
      <c r="BI197" s="153">
        <f t="shared" si="125"/>
        <v>0</v>
      </c>
      <c r="BJ197" s="153">
        <f t="shared" si="125"/>
        <v>0</v>
      </c>
      <c r="BK197" s="153">
        <f t="shared" si="125"/>
        <v>0</v>
      </c>
      <c r="BL197" s="153">
        <f t="shared" si="125"/>
        <v>0</v>
      </c>
      <c r="BM197" s="153">
        <f t="shared" si="125"/>
        <v>0</v>
      </c>
      <c r="BN197" s="153">
        <f t="shared" si="125"/>
        <v>0</v>
      </c>
    </row>
    <row r="198">
      <c r="A198" s="47"/>
      <c r="B198" s="47"/>
      <c r="C198" s="47"/>
      <c r="D198" s="47"/>
      <c r="E198" s="47"/>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row>
    <row r="199">
      <c r="A199" s="47"/>
      <c r="B199" s="47"/>
      <c r="C199" s="47"/>
      <c r="D199" s="47"/>
      <c r="E199" s="47"/>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row>
    <row r="200">
      <c r="A200" s="47"/>
      <c r="B200" s="47"/>
      <c r="C200" s="47"/>
      <c r="D200" s="47"/>
      <c r="E200" s="47"/>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row>
    <row r="201">
      <c r="A201" s="47"/>
      <c r="B201" s="47"/>
      <c r="C201" s="47"/>
      <c r="D201" s="47"/>
      <c r="E201" s="47"/>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row>
    <row r="202">
      <c r="A202" s="47"/>
      <c r="B202" s="47"/>
      <c r="C202" s="47"/>
      <c r="D202" s="47"/>
      <c r="E202" s="47"/>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row>
    <row r="203">
      <c r="A203" s="47"/>
      <c r="B203" s="47"/>
      <c r="C203" s="47"/>
      <c r="D203" s="47"/>
      <c r="E203" s="47"/>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row>
    <row r="204">
      <c r="A204" s="47"/>
      <c r="B204" s="47"/>
      <c r="C204" s="47"/>
      <c r="D204" s="47"/>
      <c r="E204" s="47"/>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row>
    <row r="205">
      <c r="A205" s="47"/>
      <c r="B205" s="47"/>
      <c r="C205" s="47"/>
      <c r="D205" s="47"/>
      <c r="E205" s="47"/>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row>
    <row r="206">
      <c r="A206" s="47"/>
      <c r="B206" s="47"/>
      <c r="C206" s="47"/>
      <c r="D206" s="47"/>
      <c r="E206" s="47"/>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row>
    <row r="207">
      <c r="A207" s="47"/>
      <c r="B207" s="47"/>
      <c r="C207" s="47"/>
      <c r="D207" s="47"/>
      <c r="E207" s="47"/>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row>
    <row r="208">
      <c r="A208" s="47"/>
      <c r="B208" s="47"/>
      <c r="C208" s="47"/>
      <c r="D208" s="47"/>
      <c r="E208" s="47"/>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row>
    <row r="209">
      <c r="A209" s="47"/>
      <c r="B209" s="47"/>
      <c r="C209" s="47"/>
      <c r="D209" s="47"/>
      <c r="E209" s="47"/>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row>
    <row r="210">
      <c r="A210" s="47"/>
      <c r="B210" s="47"/>
      <c r="C210" s="47"/>
      <c r="D210" s="47"/>
      <c r="E210" s="47"/>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row>
    <row r="211">
      <c r="A211" s="47"/>
      <c r="B211" s="47"/>
      <c r="C211" s="47"/>
      <c r="D211" s="47"/>
      <c r="E211" s="47"/>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row>
    <row r="212">
      <c r="A212" s="47"/>
      <c r="B212" s="47"/>
      <c r="C212" s="47"/>
      <c r="D212" s="47"/>
      <c r="E212" s="47"/>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row>
    <row r="213">
      <c r="A213" s="47"/>
      <c r="B213" s="47"/>
      <c r="C213" s="47"/>
      <c r="D213" s="47"/>
      <c r="E213" s="47"/>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row>
    <row r="214">
      <c r="A214" s="47"/>
      <c r="B214" s="47"/>
      <c r="C214" s="47"/>
      <c r="D214" s="47"/>
      <c r="E214" s="47"/>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row>
    <row r="215">
      <c r="A215" s="47"/>
      <c r="B215" s="47"/>
      <c r="C215" s="47"/>
      <c r="D215" s="47"/>
      <c r="E215" s="47"/>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row>
    <row r="216">
      <c r="A216" s="47"/>
      <c r="B216" s="47"/>
      <c r="C216" s="47"/>
      <c r="D216" s="47"/>
      <c r="E216" s="47"/>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row>
    <row r="217">
      <c r="A217" s="47"/>
      <c r="B217" s="47"/>
      <c r="C217" s="47"/>
      <c r="D217" s="47"/>
      <c r="E217" s="47"/>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row>
    <row r="218">
      <c r="A218" s="47"/>
      <c r="B218" s="47"/>
      <c r="C218" s="47"/>
      <c r="D218" s="47"/>
      <c r="E218" s="47"/>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row>
    <row r="219">
      <c r="A219" s="47"/>
      <c r="B219" s="47"/>
      <c r="C219" s="47"/>
      <c r="D219" s="47"/>
      <c r="E219" s="47"/>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row>
    <row r="220">
      <c r="A220" s="47"/>
      <c r="B220" s="47"/>
      <c r="C220" s="47"/>
      <c r="D220" s="47"/>
      <c r="E220" s="47"/>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row>
    <row r="221">
      <c r="A221" s="47"/>
      <c r="B221" s="47"/>
      <c r="C221" s="47"/>
      <c r="D221" s="47"/>
      <c r="E221" s="47"/>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row>
    <row r="222">
      <c r="A222" s="47"/>
      <c r="B222" s="47"/>
      <c r="C222" s="47"/>
      <c r="D222" s="47"/>
      <c r="E222" s="47"/>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row>
    <row r="223">
      <c r="A223" s="47"/>
      <c r="B223" s="47"/>
      <c r="C223" s="47"/>
      <c r="D223" s="47"/>
      <c r="E223" s="47"/>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row>
    <row r="224">
      <c r="A224" s="47"/>
      <c r="B224" s="47"/>
      <c r="C224" s="47"/>
      <c r="D224" s="47"/>
      <c r="E224" s="47"/>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row>
    <row r="225">
      <c r="A225" s="47"/>
      <c r="B225" s="47"/>
      <c r="C225" s="47"/>
      <c r="D225" s="47"/>
      <c r="E225" s="47"/>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row>
    <row r="226">
      <c r="A226" s="47"/>
      <c r="B226" s="47"/>
      <c r="C226" s="47"/>
      <c r="D226" s="47"/>
      <c r="E226" s="47"/>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row>
    <row r="227">
      <c r="A227" s="47"/>
      <c r="B227" s="47"/>
      <c r="C227" s="47"/>
      <c r="D227" s="47"/>
      <c r="E227" s="47"/>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row>
    <row r="228">
      <c r="A228" s="47"/>
      <c r="B228" s="47"/>
      <c r="C228" s="47"/>
      <c r="D228" s="47"/>
      <c r="E228" s="47"/>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row>
    <row r="229">
      <c r="A229" s="47"/>
      <c r="B229" s="47"/>
      <c r="C229" s="47"/>
      <c r="D229" s="47"/>
      <c r="E229" s="47"/>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row>
    <row r="230">
      <c r="A230" s="47"/>
      <c r="B230" s="47"/>
      <c r="C230" s="47"/>
      <c r="D230" s="47"/>
      <c r="E230" s="47"/>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row>
    <row r="231">
      <c r="A231" s="47"/>
      <c r="B231" s="47"/>
      <c r="C231" s="47"/>
      <c r="D231" s="47"/>
      <c r="E231" s="47"/>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row>
    <row r="232">
      <c r="A232" s="47"/>
      <c r="B232" s="47"/>
      <c r="C232" s="47"/>
      <c r="D232" s="47"/>
      <c r="E232" s="47"/>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row>
    <row r="1014">
      <c r="A1014" s="47"/>
      <c r="B1014" s="47"/>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row>
    <row r="1018">
      <c r="A1018" s="47"/>
      <c r="B1018" s="47"/>
      <c r="C1018" s="47"/>
      <c r="D1018" s="47"/>
      <c r="E1018" s="47"/>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row>
    <row r="1019">
      <c r="A1019" s="47"/>
      <c r="B1019" s="47"/>
      <c r="C1019" s="47"/>
      <c r="D1019" s="47"/>
      <c r="E1019" s="47"/>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row>
    <row r="1020">
      <c r="A1020" s="47"/>
      <c r="B1020" s="47"/>
      <c r="C1020" s="47"/>
      <c r="D1020" s="47"/>
      <c r="E1020" s="47"/>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row>
    <row r="1021">
      <c r="A1021" s="47"/>
      <c r="B1021" s="47"/>
      <c r="C1021" s="47"/>
      <c r="D1021" s="47"/>
      <c r="E1021" s="47"/>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row>
    <row r="1022">
      <c r="A1022" s="47"/>
      <c r="B1022" s="47"/>
      <c r="C1022" s="47"/>
      <c r="D1022" s="47"/>
      <c r="E1022" s="47"/>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row>
    <row r="1023">
      <c r="A1023" s="47"/>
      <c r="B1023" s="47"/>
      <c r="C1023" s="47"/>
      <c r="D1023" s="47"/>
      <c r="E1023" s="47"/>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row>
    <row r="1024">
      <c r="A1024" s="47"/>
      <c r="B1024" s="47"/>
      <c r="C1024" s="47"/>
      <c r="D1024" s="47"/>
      <c r="E1024" s="47"/>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row>
    <row r="1025">
      <c r="A1025" s="47"/>
      <c r="B1025" s="47"/>
      <c r="C1025" s="47"/>
      <c r="D1025" s="47"/>
      <c r="E1025" s="47"/>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row>
    <row r="1026">
      <c r="A1026" s="47"/>
      <c r="B1026" s="47"/>
      <c r="C1026" s="47"/>
      <c r="D1026" s="47"/>
      <c r="E1026" s="47"/>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row>
    <row r="1027">
      <c r="A1027" s="47"/>
      <c r="B1027" s="47"/>
      <c r="C1027" s="47"/>
      <c r="D1027" s="47"/>
      <c r="E1027" s="47"/>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row>
    <row r="1028">
      <c r="A1028" s="47"/>
      <c r="B1028" s="47"/>
      <c r="C1028" s="47"/>
      <c r="D1028" s="47"/>
      <c r="E1028" s="47"/>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row>
    <row r="1029">
      <c r="A1029" s="47"/>
      <c r="B1029" s="47"/>
      <c r="C1029" s="47"/>
      <c r="D1029" s="47"/>
      <c r="E1029" s="47"/>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row>
    <row r="1030">
      <c r="A1030" s="47"/>
      <c r="B1030" s="47"/>
      <c r="C1030" s="47"/>
      <c r="D1030" s="47"/>
      <c r="E1030" s="47"/>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row>
    <row r="1031">
      <c r="A1031" s="47"/>
      <c r="B1031" s="47"/>
      <c r="C1031" s="47"/>
      <c r="D1031" s="47"/>
      <c r="E1031" s="47"/>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row>
    <row r="1032">
      <c r="A1032" s="47"/>
      <c r="B1032" s="47"/>
      <c r="C1032" s="47"/>
      <c r="D1032" s="47"/>
      <c r="E1032" s="47"/>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row>
    <row r="1033">
      <c r="A1033" s="47"/>
      <c r="B1033" s="47"/>
      <c r="C1033" s="47"/>
      <c r="D1033" s="47"/>
      <c r="E1033" s="47"/>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row>
    <row r="1034">
      <c r="A1034" s="47"/>
      <c r="B1034" s="47"/>
      <c r="C1034" s="47"/>
      <c r="D1034" s="47"/>
      <c r="E1034" s="47"/>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row>
    <row r="1035">
      <c r="A1035" s="47"/>
      <c r="B1035" s="47"/>
      <c r="C1035" s="47"/>
      <c r="D1035" s="47"/>
      <c r="E1035" s="47"/>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row>
    <row r="1036">
      <c r="A1036" s="47"/>
      <c r="B1036" s="47"/>
      <c r="C1036" s="47"/>
      <c r="D1036" s="47"/>
      <c r="E1036" s="47"/>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row>
    <row r="1037">
      <c r="A1037" s="47"/>
      <c r="B1037" s="47"/>
      <c r="C1037" s="47"/>
      <c r="D1037" s="47"/>
      <c r="E1037" s="47"/>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row>
    <row r="1038">
      <c r="A1038" s="47"/>
      <c r="B1038" s="47"/>
      <c r="C1038" s="47"/>
      <c r="D1038" s="47"/>
      <c r="E1038" s="47"/>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row>
    <row r="1039">
      <c r="A1039" s="47"/>
      <c r="B1039" s="47"/>
      <c r="C1039" s="47"/>
      <c r="D1039" s="47"/>
      <c r="E1039" s="47"/>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row>
    <row r="1040">
      <c r="A1040" s="47"/>
      <c r="B1040" s="47"/>
      <c r="C1040" s="47"/>
      <c r="D1040" s="47"/>
      <c r="E1040" s="47"/>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row>
    <row r="1041">
      <c r="A1041" s="47"/>
      <c r="B1041" s="47"/>
      <c r="C1041" s="47"/>
      <c r="D1041" s="47"/>
      <c r="E1041" s="47"/>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row>
    <row r="1042">
      <c r="A1042" s="47"/>
      <c r="B1042" s="47"/>
      <c r="C1042" s="47"/>
      <c r="D1042" s="47"/>
      <c r="E1042" s="47"/>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row>
    <row r="1043">
      <c r="A1043" s="47"/>
      <c r="B1043" s="47"/>
      <c r="C1043" s="47"/>
      <c r="D1043" s="47"/>
      <c r="E1043" s="47"/>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row>
    <row r="1044">
      <c r="A1044" s="47"/>
      <c r="B1044" s="47"/>
      <c r="C1044" s="47"/>
      <c r="D1044" s="47"/>
      <c r="E1044" s="47"/>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row>
    <row r="1045">
      <c r="A1045" s="47"/>
      <c r="B1045" s="47"/>
      <c r="C1045" s="47"/>
      <c r="D1045" s="47"/>
      <c r="E1045" s="47"/>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row>
    <row r="1046">
      <c r="A1046" s="47"/>
      <c r="B1046" s="47"/>
      <c r="C1046" s="47"/>
      <c r="D1046" s="47"/>
      <c r="E1046" s="47"/>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row>
    <row r="1047">
      <c r="A1047" s="47"/>
      <c r="B1047" s="47"/>
      <c r="C1047" s="47"/>
      <c r="D1047" s="47"/>
      <c r="E1047" s="47"/>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row>
    <row r="1048">
      <c r="A1048" s="47"/>
      <c r="B1048" s="47"/>
      <c r="C1048" s="47"/>
      <c r="D1048" s="47"/>
      <c r="E1048" s="47"/>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row>
    <row r="1049">
      <c r="A1049" s="47"/>
      <c r="B1049" s="47"/>
      <c r="C1049" s="47"/>
      <c r="D1049" s="47"/>
      <c r="E1049" s="47"/>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row>
    <row r="1050">
      <c r="A1050" s="47"/>
      <c r="B1050" s="47"/>
      <c r="C1050" s="47"/>
      <c r="D1050" s="47"/>
      <c r="E1050" s="47"/>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row>
    <row r="1051">
      <c r="A1051" s="47"/>
      <c r="B1051" s="47"/>
      <c r="C1051" s="47"/>
      <c r="D1051" s="47"/>
      <c r="E1051" s="47"/>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row>
    <row r="1052">
      <c r="A1052" s="47"/>
      <c r="B1052" s="47"/>
      <c r="C1052" s="47"/>
      <c r="D1052" s="47"/>
      <c r="E1052" s="47"/>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row>
    <row r="1053">
      <c r="A1053" s="47"/>
      <c r="B1053" s="47"/>
      <c r="C1053" s="47"/>
      <c r="D1053" s="47"/>
      <c r="E1053" s="47"/>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row>
    <row r="1054">
      <c r="A1054" s="47"/>
      <c r="B1054" s="47"/>
      <c r="C1054" s="47"/>
      <c r="D1054" s="47"/>
      <c r="E1054" s="47"/>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row>
    <row r="1055">
      <c r="A1055" s="47"/>
      <c r="B1055" s="47"/>
      <c r="C1055" s="47"/>
      <c r="D1055" s="47"/>
      <c r="E1055" s="47"/>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row>
    <row r="1056">
      <c r="A1056" s="47"/>
      <c r="B1056" s="47"/>
      <c r="C1056" s="47"/>
      <c r="D1056" s="47"/>
      <c r="E1056" s="47"/>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row>
    <row r="1057">
      <c r="A1057" s="47"/>
      <c r="B1057" s="47"/>
      <c r="C1057" s="47"/>
      <c r="D1057" s="47"/>
      <c r="E1057" s="47"/>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row>
    <row r="1058">
      <c r="A1058" s="47"/>
      <c r="B1058" s="47"/>
      <c r="C1058" s="47"/>
      <c r="D1058" s="47"/>
      <c r="E1058" s="47"/>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row>
    <row r="1059">
      <c r="A1059" s="47"/>
      <c r="B1059" s="47"/>
      <c r="C1059" s="47"/>
      <c r="D1059" s="47"/>
      <c r="E1059" s="47"/>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row>
    <row r="1060">
      <c r="A1060" s="47"/>
      <c r="B1060" s="47"/>
      <c r="C1060" s="47"/>
      <c r="D1060" s="47"/>
      <c r="E1060" s="47"/>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row>
    <row r="1061">
      <c r="A1061" s="47"/>
      <c r="B1061" s="47"/>
      <c r="C1061" s="47"/>
      <c r="D1061" s="47"/>
      <c r="E1061" s="47"/>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row>
    <row r="1062">
      <c r="A1062" s="47"/>
      <c r="B1062" s="47"/>
      <c r="C1062" s="47"/>
      <c r="D1062" s="47"/>
      <c r="E1062" s="47"/>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row>
    <row r="1063">
      <c r="A1063" s="47"/>
      <c r="B1063" s="47"/>
      <c r="C1063" s="47"/>
      <c r="D1063" s="47"/>
      <c r="E1063" s="47"/>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row>
    <row r="1064">
      <c r="A1064" s="47"/>
      <c r="B1064" s="47"/>
      <c r="C1064" s="47"/>
      <c r="D1064" s="47"/>
      <c r="E1064" s="47"/>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row>
    <row r="1065">
      <c r="A1065" s="47"/>
      <c r="B1065" s="47"/>
      <c r="C1065" s="47"/>
      <c r="D1065" s="47"/>
      <c r="E1065" s="47"/>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row>
    <row r="1066">
      <c r="A1066" s="47"/>
      <c r="B1066" s="47"/>
      <c r="C1066" s="47"/>
      <c r="D1066" s="47"/>
      <c r="E1066" s="47"/>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row>
    <row r="1067">
      <c r="A1067" s="47"/>
      <c r="B1067" s="47"/>
      <c r="C1067" s="47"/>
      <c r="D1067" s="47"/>
      <c r="E1067" s="47"/>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row>
    <row r="1068">
      <c r="A1068" s="47"/>
      <c r="B1068" s="47"/>
      <c r="C1068" s="47"/>
      <c r="D1068" s="47"/>
      <c r="E1068" s="47"/>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row>
    <row r="1069">
      <c r="A1069" s="47"/>
      <c r="B1069" s="47"/>
      <c r="C1069" s="47"/>
      <c r="D1069" s="47"/>
      <c r="E1069" s="47"/>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row>
    <row r="1070">
      <c r="A1070" s="47"/>
      <c r="B1070" s="47"/>
      <c r="C1070" s="47"/>
      <c r="D1070" s="47"/>
      <c r="E1070" s="47"/>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row>
    <row r="1071">
      <c r="A1071" s="47"/>
      <c r="B1071" s="47"/>
      <c r="C1071" s="47"/>
      <c r="D1071" s="47"/>
      <c r="E1071" s="47"/>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row>
    <row r="1072">
      <c r="A1072" s="47"/>
      <c r="B1072" s="47"/>
      <c r="C1072" s="47"/>
      <c r="D1072" s="47"/>
      <c r="E1072" s="47"/>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row>
    <row r="1073">
      <c r="A1073" s="47"/>
      <c r="B1073" s="47"/>
      <c r="C1073" s="47"/>
      <c r="D1073" s="47"/>
      <c r="E1073" s="47"/>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row>
    <row r="1074">
      <c r="A1074" s="47"/>
      <c r="B1074" s="47"/>
      <c r="C1074" s="47"/>
      <c r="D1074" s="47"/>
      <c r="E1074" s="47"/>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row>
    <row r="1075">
      <c r="A1075" s="47"/>
      <c r="B1075" s="47"/>
      <c r="C1075" s="47"/>
      <c r="D1075" s="47"/>
      <c r="E1075" s="47"/>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row>
    <row r="1076">
      <c r="A1076" s="47"/>
      <c r="B1076" s="47"/>
      <c r="C1076" s="47"/>
      <c r="D1076" s="47"/>
      <c r="E1076" s="47"/>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row>
    <row r="1077">
      <c r="A1077" s="47"/>
      <c r="B1077" s="47"/>
      <c r="C1077" s="47"/>
      <c r="D1077" s="47"/>
      <c r="E1077" s="47"/>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row>
    <row r="1078">
      <c r="A1078" s="47"/>
      <c r="B1078" s="47"/>
      <c r="C1078" s="47"/>
      <c r="D1078" s="47"/>
      <c r="E1078" s="47"/>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row>
    <row r="1079">
      <c r="A1079" s="47"/>
      <c r="B1079" s="47"/>
      <c r="C1079" s="47"/>
      <c r="D1079" s="47"/>
      <c r="E1079" s="47"/>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row>
    <row r="1080">
      <c r="A1080" s="47"/>
      <c r="B1080" s="47"/>
      <c r="C1080" s="47"/>
      <c r="D1080" s="47"/>
      <c r="E1080" s="47"/>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row>
    <row r="1081">
      <c r="A1081" s="47"/>
      <c r="B1081" s="47"/>
      <c r="C1081" s="47"/>
      <c r="D1081" s="47"/>
      <c r="E1081" s="47"/>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row>
    <row r="1082">
      <c r="A1082" s="47"/>
      <c r="B1082" s="47"/>
      <c r="C1082" s="47"/>
      <c r="D1082" s="47"/>
      <c r="E1082" s="47"/>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row>
    <row r="1083">
      <c r="A1083" s="47"/>
      <c r="B1083" s="47"/>
      <c r="C1083" s="47"/>
      <c r="D1083" s="47"/>
      <c r="E1083" s="47"/>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row>
    <row r="1084">
      <c r="A1084" s="47"/>
      <c r="B1084" s="47"/>
      <c r="C1084" s="47"/>
      <c r="D1084" s="47"/>
      <c r="E1084" s="47"/>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row>
    <row r="1085">
      <c r="A1085" s="47"/>
      <c r="B1085" s="39" t="s">
        <v>148</v>
      </c>
      <c r="C1085" s="47"/>
      <c r="D1085" s="47"/>
      <c r="E1085" s="47"/>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row>
    <row r="1086">
      <c r="A1086" s="47"/>
      <c r="B1086" s="47"/>
      <c r="C1086" s="47"/>
      <c r="D1086" s="47"/>
      <c r="E1086" s="47"/>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row>
    <row r="1087">
      <c r="A1087" s="47"/>
      <c r="B1087" s="47"/>
      <c r="C1087" s="47"/>
      <c r="D1087" s="47"/>
      <c r="E1087" s="47"/>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66"/>
      <c r="B1" s="166" t="s">
        <v>8</v>
      </c>
      <c r="C1" s="167"/>
      <c r="D1" s="167"/>
      <c r="E1" s="167"/>
      <c r="F1" s="167">
        <v>1.0</v>
      </c>
      <c r="G1" s="167">
        <v>1.0</v>
      </c>
      <c r="H1" s="167">
        <v>1.0</v>
      </c>
      <c r="I1" s="167">
        <v>1.0</v>
      </c>
      <c r="J1" s="167">
        <v>1.0</v>
      </c>
      <c r="K1" s="167">
        <v>1.0</v>
      </c>
      <c r="L1" s="167">
        <v>1.0</v>
      </c>
      <c r="M1" s="167">
        <v>1.0</v>
      </c>
      <c r="N1" s="167">
        <v>1.0</v>
      </c>
      <c r="O1" s="167">
        <v>1.0</v>
      </c>
      <c r="P1" s="167">
        <v>1.0</v>
      </c>
      <c r="Q1" s="167">
        <v>1.0</v>
      </c>
      <c r="R1" s="167">
        <f t="shared" ref="R1:BM1" si="1">F1+1</f>
        <v>2</v>
      </c>
      <c r="S1" s="167">
        <f t="shared" si="1"/>
        <v>2</v>
      </c>
      <c r="T1" s="167">
        <f t="shared" si="1"/>
        <v>2</v>
      </c>
      <c r="U1" s="167">
        <f t="shared" si="1"/>
        <v>2</v>
      </c>
      <c r="V1" s="167">
        <f t="shared" si="1"/>
        <v>2</v>
      </c>
      <c r="W1" s="167">
        <f t="shared" si="1"/>
        <v>2</v>
      </c>
      <c r="X1" s="167">
        <f t="shared" si="1"/>
        <v>2</v>
      </c>
      <c r="Y1" s="167">
        <f t="shared" si="1"/>
        <v>2</v>
      </c>
      <c r="Z1" s="167">
        <f t="shared" si="1"/>
        <v>2</v>
      </c>
      <c r="AA1" s="167">
        <f t="shared" si="1"/>
        <v>2</v>
      </c>
      <c r="AB1" s="167">
        <f t="shared" si="1"/>
        <v>2</v>
      </c>
      <c r="AC1" s="167">
        <f t="shared" si="1"/>
        <v>2</v>
      </c>
      <c r="AD1" s="167">
        <f t="shared" si="1"/>
        <v>3</v>
      </c>
      <c r="AE1" s="167">
        <f t="shared" si="1"/>
        <v>3</v>
      </c>
      <c r="AF1" s="167">
        <f t="shared" si="1"/>
        <v>3</v>
      </c>
      <c r="AG1" s="167">
        <f t="shared" si="1"/>
        <v>3</v>
      </c>
      <c r="AH1" s="167">
        <f t="shared" si="1"/>
        <v>3</v>
      </c>
      <c r="AI1" s="167">
        <f t="shared" si="1"/>
        <v>3</v>
      </c>
      <c r="AJ1" s="167">
        <f t="shared" si="1"/>
        <v>3</v>
      </c>
      <c r="AK1" s="167">
        <f t="shared" si="1"/>
        <v>3</v>
      </c>
      <c r="AL1" s="167">
        <f t="shared" si="1"/>
        <v>3</v>
      </c>
      <c r="AM1" s="167">
        <f t="shared" si="1"/>
        <v>3</v>
      </c>
      <c r="AN1" s="167">
        <f t="shared" si="1"/>
        <v>3</v>
      </c>
      <c r="AO1" s="167">
        <f t="shared" si="1"/>
        <v>3</v>
      </c>
      <c r="AP1" s="167">
        <f t="shared" si="1"/>
        <v>4</v>
      </c>
      <c r="AQ1" s="167">
        <f t="shared" si="1"/>
        <v>4</v>
      </c>
      <c r="AR1" s="167">
        <f t="shared" si="1"/>
        <v>4</v>
      </c>
      <c r="AS1" s="167">
        <f t="shared" si="1"/>
        <v>4</v>
      </c>
      <c r="AT1" s="167">
        <f t="shared" si="1"/>
        <v>4</v>
      </c>
      <c r="AU1" s="167">
        <f t="shared" si="1"/>
        <v>4</v>
      </c>
      <c r="AV1" s="167">
        <f t="shared" si="1"/>
        <v>4</v>
      </c>
      <c r="AW1" s="167">
        <f t="shared" si="1"/>
        <v>4</v>
      </c>
      <c r="AX1" s="167">
        <f t="shared" si="1"/>
        <v>4</v>
      </c>
      <c r="AY1" s="167">
        <f t="shared" si="1"/>
        <v>4</v>
      </c>
      <c r="AZ1" s="167">
        <f t="shared" si="1"/>
        <v>4</v>
      </c>
      <c r="BA1" s="167">
        <f t="shared" si="1"/>
        <v>4</v>
      </c>
      <c r="BB1" s="167">
        <f t="shared" si="1"/>
        <v>5</v>
      </c>
      <c r="BC1" s="167">
        <f t="shared" si="1"/>
        <v>5</v>
      </c>
      <c r="BD1" s="167">
        <f t="shared" si="1"/>
        <v>5</v>
      </c>
      <c r="BE1" s="167">
        <f t="shared" si="1"/>
        <v>5</v>
      </c>
      <c r="BF1" s="167">
        <f t="shared" si="1"/>
        <v>5</v>
      </c>
      <c r="BG1" s="167">
        <f t="shared" si="1"/>
        <v>5</v>
      </c>
      <c r="BH1" s="167">
        <f t="shared" si="1"/>
        <v>5</v>
      </c>
      <c r="BI1" s="167">
        <f t="shared" si="1"/>
        <v>5</v>
      </c>
      <c r="BJ1" s="167">
        <f t="shared" si="1"/>
        <v>5</v>
      </c>
      <c r="BK1" s="167">
        <f t="shared" si="1"/>
        <v>5</v>
      </c>
      <c r="BL1" s="167">
        <f t="shared" si="1"/>
        <v>5</v>
      </c>
      <c r="BM1" s="167">
        <f t="shared" si="1"/>
        <v>5</v>
      </c>
      <c r="BN1" s="167"/>
    </row>
    <row r="2">
      <c r="A2" s="166"/>
      <c r="B2" s="166" t="s">
        <v>9</v>
      </c>
      <c r="C2" s="168"/>
      <c r="D2" s="168"/>
      <c r="E2" s="168"/>
      <c r="F2" s="168">
        <f t="shared" ref="F2:BM2" si="2">YEAR(F4)</f>
        <v>2026</v>
      </c>
      <c r="G2" s="168">
        <f t="shared" si="2"/>
        <v>2026</v>
      </c>
      <c r="H2" s="168">
        <f t="shared" si="2"/>
        <v>2026</v>
      </c>
      <c r="I2" s="168">
        <f t="shared" si="2"/>
        <v>2026</v>
      </c>
      <c r="J2" s="168">
        <f t="shared" si="2"/>
        <v>2026</v>
      </c>
      <c r="K2" s="168">
        <f t="shared" si="2"/>
        <v>2026</v>
      </c>
      <c r="L2" s="168">
        <f t="shared" si="2"/>
        <v>2026</v>
      </c>
      <c r="M2" s="168">
        <f t="shared" si="2"/>
        <v>2026</v>
      </c>
      <c r="N2" s="168">
        <f t="shared" si="2"/>
        <v>2026</v>
      </c>
      <c r="O2" s="168">
        <f t="shared" si="2"/>
        <v>2026</v>
      </c>
      <c r="P2" s="168">
        <f t="shared" si="2"/>
        <v>2026</v>
      </c>
      <c r="Q2" s="168">
        <f t="shared" si="2"/>
        <v>2027</v>
      </c>
      <c r="R2" s="168">
        <f t="shared" si="2"/>
        <v>2027</v>
      </c>
      <c r="S2" s="168">
        <f t="shared" si="2"/>
        <v>2027</v>
      </c>
      <c r="T2" s="168">
        <f t="shared" si="2"/>
        <v>2027</v>
      </c>
      <c r="U2" s="168">
        <f t="shared" si="2"/>
        <v>2027</v>
      </c>
      <c r="V2" s="168">
        <f t="shared" si="2"/>
        <v>2027</v>
      </c>
      <c r="W2" s="168">
        <f t="shared" si="2"/>
        <v>2027</v>
      </c>
      <c r="X2" s="168">
        <f t="shared" si="2"/>
        <v>2027</v>
      </c>
      <c r="Y2" s="168">
        <f t="shared" si="2"/>
        <v>2027</v>
      </c>
      <c r="Z2" s="168">
        <f t="shared" si="2"/>
        <v>2027</v>
      </c>
      <c r="AA2" s="168">
        <f t="shared" si="2"/>
        <v>2027</v>
      </c>
      <c r="AB2" s="168">
        <f t="shared" si="2"/>
        <v>2027</v>
      </c>
      <c r="AC2" s="168">
        <f t="shared" si="2"/>
        <v>2028</v>
      </c>
      <c r="AD2" s="168">
        <f t="shared" si="2"/>
        <v>2028</v>
      </c>
      <c r="AE2" s="168">
        <f t="shared" si="2"/>
        <v>2028</v>
      </c>
      <c r="AF2" s="168">
        <f t="shared" si="2"/>
        <v>2028</v>
      </c>
      <c r="AG2" s="168">
        <f t="shared" si="2"/>
        <v>2028</v>
      </c>
      <c r="AH2" s="168">
        <f t="shared" si="2"/>
        <v>2028</v>
      </c>
      <c r="AI2" s="168">
        <f t="shared" si="2"/>
        <v>2028</v>
      </c>
      <c r="AJ2" s="168">
        <f t="shared" si="2"/>
        <v>2028</v>
      </c>
      <c r="AK2" s="168">
        <f t="shared" si="2"/>
        <v>2028</v>
      </c>
      <c r="AL2" s="168">
        <f t="shared" si="2"/>
        <v>2028</v>
      </c>
      <c r="AM2" s="168">
        <f t="shared" si="2"/>
        <v>2028</v>
      </c>
      <c r="AN2" s="168">
        <f t="shared" si="2"/>
        <v>2028</v>
      </c>
      <c r="AO2" s="168">
        <f t="shared" si="2"/>
        <v>2029</v>
      </c>
      <c r="AP2" s="168">
        <f t="shared" si="2"/>
        <v>2029</v>
      </c>
      <c r="AQ2" s="168">
        <f t="shared" si="2"/>
        <v>2029</v>
      </c>
      <c r="AR2" s="168">
        <f t="shared" si="2"/>
        <v>2029</v>
      </c>
      <c r="AS2" s="168">
        <f t="shared" si="2"/>
        <v>2029</v>
      </c>
      <c r="AT2" s="168">
        <f t="shared" si="2"/>
        <v>2029</v>
      </c>
      <c r="AU2" s="168">
        <f t="shared" si="2"/>
        <v>2029</v>
      </c>
      <c r="AV2" s="168">
        <f t="shared" si="2"/>
        <v>2029</v>
      </c>
      <c r="AW2" s="168">
        <f t="shared" si="2"/>
        <v>2029</v>
      </c>
      <c r="AX2" s="168">
        <f t="shared" si="2"/>
        <v>2029</v>
      </c>
      <c r="AY2" s="168">
        <f t="shared" si="2"/>
        <v>2029</v>
      </c>
      <c r="AZ2" s="168">
        <f t="shared" si="2"/>
        <v>2029</v>
      </c>
      <c r="BA2" s="168">
        <f t="shared" si="2"/>
        <v>2030</v>
      </c>
      <c r="BB2" s="168">
        <f t="shared" si="2"/>
        <v>2030</v>
      </c>
      <c r="BC2" s="168">
        <f t="shared" si="2"/>
        <v>2030</v>
      </c>
      <c r="BD2" s="168">
        <f t="shared" si="2"/>
        <v>2030</v>
      </c>
      <c r="BE2" s="168">
        <f t="shared" si="2"/>
        <v>2030</v>
      </c>
      <c r="BF2" s="168">
        <f t="shared" si="2"/>
        <v>2030</v>
      </c>
      <c r="BG2" s="168">
        <f t="shared" si="2"/>
        <v>2030</v>
      </c>
      <c r="BH2" s="168">
        <f t="shared" si="2"/>
        <v>2030</v>
      </c>
      <c r="BI2" s="168">
        <f t="shared" si="2"/>
        <v>2030</v>
      </c>
      <c r="BJ2" s="168">
        <f t="shared" si="2"/>
        <v>2030</v>
      </c>
      <c r="BK2" s="168">
        <f t="shared" si="2"/>
        <v>2030</v>
      </c>
      <c r="BL2" s="168">
        <f t="shared" si="2"/>
        <v>2030</v>
      </c>
      <c r="BM2" s="168">
        <f t="shared" si="2"/>
        <v>2031</v>
      </c>
      <c r="BN2" s="167"/>
    </row>
    <row r="3">
      <c r="A3" s="166"/>
      <c r="B3" s="166" t="s">
        <v>10</v>
      </c>
      <c r="C3" s="167"/>
      <c r="D3" s="167"/>
      <c r="E3" s="167"/>
      <c r="F3" s="167">
        <v>1.0</v>
      </c>
      <c r="G3" s="168">
        <f t="shared" ref="G3:BM3" si="3">F3+1</f>
        <v>2</v>
      </c>
      <c r="H3" s="168">
        <f t="shared" si="3"/>
        <v>3</v>
      </c>
      <c r="I3" s="168">
        <f t="shared" si="3"/>
        <v>4</v>
      </c>
      <c r="J3" s="168">
        <f t="shared" si="3"/>
        <v>5</v>
      </c>
      <c r="K3" s="168">
        <f t="shared" si="3"/>
        <v>6</v>
      </c>
      <c r="L3" s="168">
        <f t="shared" si="3"/>
        <v>7</v>
      </c>
      <c r="M3" s="168">
        <f t="shared" si="3"/>
        <v>8</v>
      </c>
      <c r="N3" s="168">
        <f t="shared" si="3"/>
        <v>9</v>
      </c>
      <c r="O3" s="168">
        <f t="shared" si="3"/>
        <v>10</v>
      </c>
      <c r="P3" s="168">
        <f t="shared" si="3"/>
        <v>11</v>
      </c>
      <c r="Q3" s="168">
        <f t="shared" si="3"/>
        <v>12</v>
      </c>
      <c r="R3" s="168">
        <f t="shared" si="3"/>
        <v>13</v>
      </c>
      <c r="S3" s="168">
        <f t="shared" si="3"/>
        <v>14</v>
      </c>
      <c r="T3" s="168">
        <f t="shared" si="3"/>
        <v>15</v>
      </c>
      <c r="U3" s="168">
        <f t="shared" si="3"/>
        <v>16</v>
      </c>
      <c r="V3" s="168">
        <f t="shared" si="3"/>
        <v>17</v>
      </c>
      <c r="W3" s="168">
        <f t="shared" si="3"/>
        <v>18</v>
      </c>
      <c r="X3" s="168">
        <f t="shared" si="3"/>
        <v>19</v>
      </c>
      <c r="Y3" s="168">
        <f t="shared" si="3"/>
        <v>20</v>
      </c>
      <c r="Z3" s="168">
        <f t="shared" si="3"/>
        <v>21</v>
      </c>
      <c r="AA3" s="168">
        <f t="shared" si="3"/>
        <v>22</v>
      </c>
      <c r="AB3" s="168">
        <f t="shared" si="3"/>
        <v>23</v>
      </c>
      <c r="AC3" s="168">
        <f t="shared" si="3"/>
        <v>24</v>
      </c>
      <c r="AD3" s="168">
        <f t="shared" si="3"/>
        <v>25</v>
      </c>
      <c r="AE3" s="168">
        <f t="shared" si="3"/>
        <v>26</v>
      </c>
      <c r="AF3" s="168">
        <f t="shared" si="3"/>
        <v>27</v>
      </c>
      <c r="AG3" s="168">
        <f t="shared" si="3"/>
        <v>28</v>
      </c>
      <c r="AH3" s="168">
        <f t="shared" si="3"/>
        <v>29</v>
      </c>
      <c r="AI3" s="168">
        <f t="shared" si="3"/>
        <v>30</v>
      </c>
      <c r="AJ3" s="168">
        <f t="shared" si="3"/>
        <v>31</v>
      </c>
      <c r="AK3" s="168">
        <f t="shared" si="3"/>
        <v>32</v>
      </c>
      <c r="AL3" s="168">
        <f t="shared" si="3"/>
        <v>33</v>
      </c>
      <c r="AM3" s="168">
        <f t="shared" si="3"/>
        <v>34</v>
      </c>
      <c r="AN3" s="168">
        <f t="shared" si="3"/>
        <v>35</v>
      </c>
      <c r="AO3" s="168">
        <f t="shared" si="3"/>
        <v>36</v>
      </c>
      <c r="AP3" s="168">
        <f t="shared" si="3"/>
        <v>37</v>
      </c>
      <c r="AQ3" s="168">
        <f t="shared" si="3"/>
        <v>38</v>
      </c>
      <c r="AR3" s="168">
        <f t="shared" si="3"/>
        <v>39</v>
      </c>
      <c r="AS3" s="168">
        <f t="shared" si="3"/>
        <v>40</v>
      </c>
      <c r="AT3" s="168">
        <f t="shared" si="3"/>
        <v>41</v>
      </c>
      <c r="AU3" s="168">
        <f t="shared" si="3"/>
        <v>42</v>
      </c>
      <c r="AV3" s="168">
        <f t="shared" si="3"/>
        <v>43</v>
      </c>
      <c r="AW3" s="168">
        <f t="shared" si="3"/>
        <v>44</v>
      </c>
      <c r="AX3" s="168">
        <f t="shared" si="3"/>
        <v>45</v>
      </c>
      <c r="AY3" s="168">
        <f t="shared" si="3"/>
        <v>46</v>
      </c>
      <c r="AZ3" s="168">
        <f t="shared" si="3"/>
        <v>47</v>
      </c>
      <c r="BA3" s="168">
        <f t="shared" si="3"/>
        <v>48</v>
      </c>
      <c r="BB3" s="168">
        <f t="shared" si="3"/>
        <v>49</v>
      </c>
      <c r="BC3" s="168">
        <f t="shared" si="3"/>
        <v>50</v>
      </c>
      <c r="BD3" s="168">
        <f t="shared" si="3"/>
        <v>51</v>
      </c>
      <c r="BE3" s="168">
        <f t="shared" si="3"/>
        <v>52</v>
      </c>
      <c r="BF3" s="168">
        <f t="shared" si="3"/>
        <v>53</v>
      </c>
      <c r="BG3" s="168">
        <f t="shared" si="3"/>
        <v>54</v>
      </c>
      <c r="BH3" s="168">
        <f t="shared" si="3"/>
        <v>55</v>
      </c>
      <c r="BI3" s="168">
        <f t="shared" si="3"/>
        <v>56</v>
      </c>
      <c r="BJ3" s="168">
        <f t="shared" si="3"/>
        <v>57</v>
      </c>
      <c r="BK3" s="168">
        <f t="shared" si="3"/>
        <v>58</v>
      </c>
      <c r="BL3" s="168">
        <f t="shared" si="3"/>
        <v>59</v>
      </c>
      <c r="BM3" s="168">
        <f t="shared" si="3"/>
        <v>60</v>
      </c>
      <c r="BN3" s="167"/>
    </row>
    <row r="4">
      <c r="A4" s="166"/>
      <c r="B4" s="166" t="s">
        <v>11</v>
      </c>
      <c r="C4" s="167"/>
      <c r="D4" s="167"/>
      <c r="E4" s="167"/>
      <c r="F4" s="169">
        <f>Assumptions!G4</f>
        <v>46081</v>
      </c>
      <c r="G4" s="169">
        <f t="shared" ref="G4:BM4" si="4">EOMONTH(F4,1)</f>
        <v>46112</v>
      </c>
      <c r="H4" s="169">
        <f t="shared" si="4"/>
        <v>46142</v>
      </c>
      <c r="I4" s="169">
        <f t="shared" si="4"/>
        <v>46173</v>
      </c>
      <c r="J4" s="169">
        <f t="shared" si="4"/>
        <v>46203</v>
      </c>
      <c r="K4" s="169">
        <f t="shared" si="4"/>
        <v>46234</v>
      </c>
      <c r="L4" s="169">
        <f t="shared" si="4"/>
        <v>46265</v>
      </c>
      <c r="M4" s="169">
        <f t="shared" si="4"/>
        <v>46295</v>
      </c>
      <c r="N4" s="169">
        <f t="shared" si="4"/>
        <v>46326</v>
      </c>
      <c r="O4" s="169">
        <f t="shared" si="4"/>
        <v>46356</v>
      </c>
      <c r="P4" s="169">
        <f t="shared" si="4"/>
        <v>46387</v>
      </c>
      <c r="Q4" s="169">
        <f t="shared" si="4"/>
        <v>46418</v>
      </c>
      <c r="R4" s="169">
        <f t="shared" si="4"/>
        <v>46446</v>
      </c>
      <c r="S4" s="169">
        <f t="shared" si="4"/>
        <v>46477</v>
      </c>
      <c r="T4" s="169">
        <f t="shared" si="4"/>
        <v>46507</v>
      </c>
      <c r="U4" s="169">
        <f t="shared" si="4"/>
        <v>46538</v>
      </c>
      <c r="V4" s="169">
        <f t="shared" si="4"/>
        <v>46568</v>
      </c>
      <c r="W4" s="169">
        <f t="shared" si="4"/>
        <v>46599</v>
      </c>
      <c r="X4" s="169">
        <f t="shared" si="4"/>
        <v>46630</v>
      </c>
      <c r="Y4" s="169">
        <f t="shared" si="4"/>
        <v>46660</v>
      </c>
      <c r="Z4" s="169">
        <f t="shared" si="4"/>
        <v>46691</v>
      </c>
      <c r="AA4" s="169">
        <f t="shared" si="4"/>
        <v>46721</v>
      </c>
      <c r="AB4" s="169">
        <f t="shared" si="4"/>
        <v>46752</v>
      </c>
      <c r="AC4" s="169">
        <f t="shared" si="4"/>
        <v>46783</v>
      </c>
      <c r="AD4" s="169">
        <f t="shared" si="4"/>
        <v>46812</v>
      </c>
      <c r="AE4" s="169">
        <f t="shared" si="4"/>
        <v>46843</v>
      </c>
      <c r="AF4" s="169">
        <f t="shared" si="4"/>
        <v>46873</v>
      </c>
      <c r="AG4" s="169">
        <f t="shared" si="4"/>
        <v>46904</v>
      </c>
      <c r="AH4" s="169">
        <f t="shared" si="4"/>
        <v>46934</v>
      </c>
      <c r="AI4" s="169">
        <f t="shared" si="4"/>
        <v>46965</v>
      </c>
      <c r="AJ4" s="169">
        <f t="shared" si="4"/>
        <v>46996</v>
      </c>
      <c r="AK4" s="169">
        <f t="shared" si="4"/>
        <v>47026</v>
      </c>
      <c r="AL4" s="169">
        <f t="shared" si="4"/>
        <v>47057</v>
      </c>
      <c r="AM4" s="169">
        <f t="shared" si="4"/>
        <v>47087</v>
      </c>
      <c r="AN4" s="169">
        <f t="shared" si="4"/>
        <v>47118</v>
      </c>
      <c r="AO4" s="169">
        <f t="shared" si="4"/>
        <v>47149</v>
      </c>
      <c r="AP4" s="169">
        <f t="shared" si="4"/>
        <v>47177</v>
      </c>
      <c r="AQ4" s="169">
        <f t="shared" si="4"/>
        <v>47208</v>
      </c>
      <c r="AR4" s="169">
        <f t="shared" si="4"/>
        <v>47238</v>
      </c>
      <c r="AS4" s="169">
        <f t="shared" si="4"/>
        <v>47269</v>
      </c>
      <c r="AT4" s="169">
        <f t="shared" si="4"/>
        <v>47299</v>
      </c>
      <c r="AU4" s="169">
        <f t="shared" si="4"/>
        <v>47330</v>
      </c>
      <c r="AV4" s="169">
        <f t="shared" si="4"/>
        <v>47361</v>
      </c>
      <c r="AW4" s="169">
        <f t="shared" si="4"/>
        <v>47391</v>
      </c>
      <c r="AX4" s="169">
        <f t="shared" si="4"/>
        <v>47422</v>
      </c>
      <c r="AY4" s="169">
        <f t="shared" si="4"/>
        <v>47452</v>
      </c>
      <c r="AZ4" s="169">
        <f t="shared" si="4"/>
        <v>47483</v>
      </c>
      <c r="BA4" s="169">
        <f t="shared" si="4"/>
        <v>47514</v>
      </c>
      <c r="BB4" s="169">
        <f t="shared" si="4"/>
        <v>47542</v>
      </c>
      <c r="BC4" s="169">
        <f t="shared" si="4"/>
        <v>47573</v>
      </c>
      <c r="BD4" s="169">
        <f t="shared" si="4"/>
        <v>47603</v>
      </c>
      <c r="BE4" s="169">
        <f t="shared" si="4"/>
        <v>47634</v>
      </c>
      <c r="BF4" s="169">
        <f t="shared" si="4"/>
        <v>47664</v>
      </c>
      <c r="BG4" s="169">
        <f t="shared" si="4"/>
        <v>47695</v>
      </c>
      <c r="BH4" s="169">
        <f t="shared" si="4"/>
        <v>47726</v>
      </c>
      <c r="BI4" s="169">
        <f t="shared" si="4"/>
        <v>47756</v>
      </c>
      <c r="BJ4" s="169">
        <f t="shared" si="4"/>
        <v>47787</v>
      </c>
      <c r="BK4" s="169">
        <f t="shared" si="4"/>
        <v>47817</v>
      </c>
      <c r="BL4" s="169">
        <f t="shared" si="4"/>
        <v>47848</v>
      </c>
      <c r="BM4" s="169">
        <f t="shared" si="4"/>
        <v>47879</v>
      </c>
      <c r="BN4" s="167"/>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67"/>
    </row>
    <row r="6">
      <c r="A6" s="30"/>
      <c r="B6" s="170" t="s">
        <v>149</v>
      </c>
      <c r="C6" s="171"/>
      <c r="D6" s="171"/>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67"/>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outlineLevel="1">
      <c r="A8" s="172"/>
      <c r="B8" s="173" t="s">
        <v>150</v>
      </c>
      <c r="C8" s="174"/>
      <c r="D8" s="174"/>
      <c r="E8" s="174"/>
      <c r="F8" s="174">
        <f>Assumptions!G86</f>
        <v>13375</v>
      </c>
      <c r="G8" s="174">
        <f>Assumptions!H86</f>
        <v>20138.125</v>
      </c>
      <c r="H8" s="174">
        <f>Assumptions!I86</f>
        <v>23770.82188</v>
      </c>
      <c r="I8" s="174">
        <f>Assumptions!J86</f>
        <v>25590.93733</v>
      </c>
      <c r="J8" s="174">
        <f>Assumptions!K86</f>
        <v>26626.05156</v>
      </c>
      <c r="K8" s="174">
        <f>Assumptions!L86</f>
        <v>27020.48452</v>
      </c>
      <c r="L8" s="174">
        <f>Assumptions!M86</f>
        <v>27215.85414</v>
      </c>
      <c r="M8" s="174">
        <f>Assumptions!N86</f>
        <v>27438.51125</v>
      </c>
      <c r="N8" s="174">
        <f>Assumptions!O86</f>
        <v>27426.71439</v>
      </c>
      <c r="O8" s="174">
        <f>Assumptions!P86</f>
        <v>27418.96908</v>
      </c>
      <c r="P8" s="174">
        <f>Assumptions!Q86</f>
        <v>27540.06872</v>
      </c>
      <c r="Q8" s="174">
        <f>Assumptions!R86</f>
        <v>27477.49312</v>
      </c>
      <c r="R8" s="174">
        <f>Assumptions!S86</f>
        <v>27444.35844</v>
      </c>
      <c r="S8" s="174">
        <f>Assumptions!T86</f>
        <v>27427.7634</v>
      </c>
      <c r="T8" s="174">
        <f>Assumptions!U86</f>
        <v>27419.46546</v>
      </c>
      <c r="U8" s="174">
        <f>Assumptions!V86</f>
        <v>27415.31649</v>
      </c>
      <c r="V8" s="174">
        <f>Assumptions!W86</f>
        <v>27413.242</v>
      </c>
      <c r="W8" s="174">
        <f>Assumptions!X86</f>
        <v>27412.20476</v>
      </c>
      <c r="X8" s="174">
        <f>Assumptions!Y86</f>
        <v>27411.68613</v>
      </c>
      <c r="Y8" s="174">
        <f>Assumptions!Z86</f>
        <v>27411.42682</v>
      </c>
      <c r="Z8" s="174">
        <f>Assumptions!AA86</f>
        <v>27411.29717</v>
      </c>
      <c r="AA8" s="174">
        <f>Assumptions!AB86</f>
        <v>27411.23234</v>
      </c>
      <c r="AB8" s="174">
        <f>Assumptions!AC86</f>
        <v>27411.19993</v>
      </c>
      <c r="AC8" s="174">
        <f>Assumptions!AD86</f>
        <v>27411.18372</v>
      </c>
      <c r="AD8" s="174">
        <f>Assumptions!AE86</f>
        <v>27411.17562</v>
      </c>
      <c r="AE8" s="174">
        <f>Assumptions!AF86</f>
        <v>27411.17156</v>
      </c>
      <c r="AF8" s="174">
        <f>Assumptions!AG86</f>
        <v>27411.16954</v>
      </c>
      <c r="AG8" s="174">
        <f>Assumptions!AH86</f>
        <v>27411.16853</v>
      </c>
      <c r="AH8" s="174">
        <f>Assumptions!AI86</f>
        <v>27411.16802</v>
      </c>
      <c r="AI8" s="174">
        <f>Assumptions!AJ86</f>
        <v>27411.16777</v>
      </c>
      <c r="AJ8" s="174">
        <f>Assumptions!AK86</f>
        <v>27411.16764</v>
      </c>
      <c r="AK8" s="174">
        <f>Assumptions!AL86</f>
        <v>27411.16758</v>
      </c>
      <c r="AL8" s="174">
        <f>Assumptions!AM86</f>
        <v>27411.16754</v>
      </c>
      <c r="AM8" s="174">
        <f>Assumptions!AN86</f>
        <v>27411.16753</v>
      </c>
      <c r="AN8" s="174">
        <f>Assumptions!AO86</f>
        <v>27411.16752</v>
      </c>
      <c r="AO8" s="174">
        <f>Assumptions!AP86</f>
        <v>27411.16752</v>
      </c>
      <c r="AP8" s="174">
        <f>Assumptions!AQ86</f>
        <v>27411.16751</v>
      </c>
      <c r="AQ8" s="174">
        <f>Assumptions!AR86</f>
        <v>27411.16751</v>
      </c>
      <c r="AR8" s="174">
        <f>Assumptions!AS86</f>
        <v>27411.16751</v>
      </c>
      <c r="AS8" s="174">
        <f>Assumptions!AT86</f>
        <v>27411.16751</v>
      </c>
      <c r="AT8" s="174">
        <f>Assumptions!AU86</f>
        <v>27411.16751</v>
      </c>
      <c r="AU8" s="174">
        <f>Assumptions!AV86</f>
        <v>27411.16751</v>
      </c>
      <c r="AV8" s="174">
        <f>Assumptions!AW86</f>
        <v>27411.16751</v>
      </c>
      <c r="AW8" s="174">
        <f>Assumptions!AX86</f>
        <v>27411.16751</v>
      </c>
      <c r="AX8" s="174">
        <f>Assumptions!AY86</f>
        <v>27411.16751</v>
      </c>
      <c r="AY8" s="174">
        <f>Assumptions!AZ86</f>
        <v>27411.16751</v>
      </c>
      <c r="AZ8" s="174">
        <f>Assumptions!BA86</f>
        <v>27411.16751</v>
      </c>
      <c r="BA8" s="174">
        <f>Assumptions!BB86</f>
        <v>27411.16751</v>
      </c>
      <c r="BB8" s="174">
        <f>Assumptions!BC86</f>
        <v>27411.16751</v>
      </c>
      <c r="BC8" s="174">
        <f>Assumptions!BD86</f>
        <v>27411.16751</v>
      </c>
      <c r="BD8" s="174">
        <f>Assumptions!BE86</f>
        <v>27411.16751</v>
      </c>
      <c r="BE8" s="174">
        <f>Assumptions!BF86</f>
        <v>27411.16751</v>
      </c>
      <c r="BF8" s="174">
        <f>Assumptions!BG86</f>
        <v>27411.16751</v>
      </c>
      <c r="BG8" s="174">
        <f>Assumptions!BH86</f>
        <v>27411.16751</v>
      </c>
      <c r="BH8" s="174">
        <f>Assumptions!BI86</f>
        <v>27411.16751</v>
      </c>
      <c r="BI8" s="174">
        <f>Assumptions!BJ86</f>
        <v>27411.16751</v>
      </c>
      <c r="BJ8" s="174">
        <f>Assumptions!BK86</f>
        <v>27411.16751</v>
      </c>
      <c r="BK8" s="174">
        <f>Assumptions!BL86</f>
        <v>27411.16751</v>
      </c>
      <c r="BL8" s="174">
        <f>Assumptions!BM86</f>
        <v>27411.16751</v>
      </c>
      <c r="BM8" s="174">
        <f>Assumptions!BN86</f>
        <v>27411.16751</v>
      </c>
      <c r="BN8" s="172"/>
    </row>
    <row r="9" outlineLevel="1">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172"/>
    </row>
    <row r="10" outlineLevel="1">
      <c r="A10" s="172"/>
      <c r="B10" s="173" t="s">
        <v>151</v>
      </c>
      <c r="C10" s="174"/>
      <c r="D10" s="174"/>
      <c r="E10" s="174"/>
      <c r="F10" s="174">
        <f>Assumptions!G130</f>
        <v>4681.25</v>
      </c>
      <c r="G10" s="174">
        <f>Assumptions!H130</f>
        <v>7048.34375</v>
      </c>
      <c r="H10" s="174">
        <f>Assumptions!I130</f>
        <v>8319.787656</v>
      </c>
      <c r="I10" s="174">
        <f>Assumptions!J130</f>
        <v>8956.828065</v>
      </c>
      <c r="J10" s="174">
        <f>Assumptions!K130</f>
        <v>9319.118046</v>
      </c>
      <c r="K10" s="174">
        <f>Assumptions!L130</f>
        <v>9457.169583</v>
      </c>
      <c r="L10" s="174">
        <f>Assumptions!M130</f>
        <v>9525.54895</v>
      </c>
      <c r="M10" s="174">
        <f>Assumptions!N130</f>
        <v>9603.478937</v>
      </c>
      <c r="N10" s="174">
        <f>Assumptions!O130</f>
        <v>9599.350036</v>
      </c>
      <c r="O10" s="174">
        <f>Assumptions!P130</f>
        <v>9596.639176</v>
      </c>
      <c r="P10" s="174">
        <f>Assumptions!Q130</f>
        <v>9639.024051</v>
      </c>
      <c r="Q10" s="174">
        <f>Assumptions!R130</f>
        <v>9617.122592</v>
      </c>
      <c r="R10" s="174">
        <f>Assumptions!S130</f>
        <v>9605.525455</v>
      </c>
      <c r="S10" s="174">
        <f>Assumptions!T130</f>
        <v>9599.71719</v>
      </c>
      <c r="T10" s="174">
        <f>Assumptions!U130</f>
        <v>9596.812912</v>
      </c>
      <c r="U10" s="174">
        <f>Assumptions!V130</f>
        <v>9595.360771</v>
      </c>
      <c r="V10" s="174">
        <f>Assumptions!W130</f>
        <v>9594.6347</v>
      </c>
      <c r="W10" s="174">
        <f>Assumptions!X130</f>
        <v>9594.271665</v>
      </c>
      <c r="X10" s="174">
        <f>Assumptions!Y130</f>
        <v>9594.090147</v>
      </c>
      <c r="Y10" s="174">
        <f>Assumptions!Z130</f>
        <v>9593.999388</v>
      </c>
      <c r="Z10" s="174">
        <f>Assumptions!AA130</f>
        <v>9593.954009</v>
      </c>
      <c r="AA10" s="174">
        <f>Assumptions!AB130</f>
        <v>9593.931319</v>
      </c>
      <c r="AB10" s="174">
        <f>Assumptions!AC130</f>
        <v>9593.919974</v>
      </c>
      <c r="AC10" s="174">
        <f>Assumptions!AD130</f>
        <v>9593.914302</v>
      </c>
      <c r="AD10" s="174">
        <f>Assumptions!AE130</f>
        <v>9593.911466</v>
      </c>
      <c r="AE10" s="174">
        <f>Assumptions!AF130</f>
        <v>9593.910048</v>
      </c>
      <c r="AF10" s="174">
        <f>Assumptions!AG130</f>
        <v>9593.909338</v>
      </c>
      <c r="AG10" s="174">
        <f>Assumptions!AH130</f>
        <v>9593.908984</v>
      </c>
      <c r="AH10" s="174">
        <f>Assumptions!AI130</f>
        <v>9593.908807</v>
      </c>
      <c r="AI10" s="174">
        <f>Assumptions!AJ130</f>
        <v>9593.908718</v>
      </c>
      <c r="AJ10" s="174">
        <f>Assumptions!AK130</f>
        <v>9593.908674</v>
      </c>
      <c r="AK10" s="174">
        <f>Assumptions!AL130</f>
        <v>9593.908652</v>
      </c>
      <c r="AL10" s="174">
        <f>Assumptions!AM130</f>
        <v>9593.908641</v>
      </c>
      <c r="AM10" s="174">
        <f>Assumptions!AN130</f>
        <v>9593.908635</v>
      </c>
      <c r="AN10" s="174">
        <f>Assumptions!AO130</f>
        <v>9593.908632</v>
      </c>
      <c r="AO10" s="174">
        <f>Assumptions!AP130</f>
        <v>9593.908631</v>
      </c>
      <c r="AP10" s="174">
        <f>Assumptions!AQ130</f>
        <v>9593.90863</v>
      </c>
      <c r="AQ10" s="174">
        <f>Assumptions!AR130</f>
        <v>9593.90863</v>
      </c>
      <c r="AR10" s="174">
        <f>Assumptions!AS130</f>
        <v>9593.90863</v>
      </c>
      <c r="AS10" s="174">
        <f>Assumptions!AT130</f>
        <v>9593.90863</v>
      </c>
      <c r="AT10" s="174">
        <f>Assumptions!AU130</f>
        <v>9593.908629</v>
      </c>
      <c r="AU10" s="174">
        <f>Assumptions!AV130</f>
        <v>9593.908629</v>
      </c>
      <c r="AV10" s="174">
        <f>Assumptions!AW130</f>
        <v>9593.908629</v>
      </c>
      <c r="AW10" s="174">
        <f>Assumptions!AX130</f>
        <v>9593.908629</v>
      </c>
      <c r="AX10" s="174">
        <f>Assumptions!AY130</f>
        <v>9593.908629</v>
      </c>
      <c r="AY10" s="174">
        <f>Assumptions!AZ130</f>
        <v>9593.908629</v>
      </c>
      <c r="AZ10" s="174">
        <f>Assumptions!BA130</f>
        <v>9593.908629</v>
      </c>
      <c r="BA10" s="174">
        <f>Assumptions!BB130</f>
        <v>9593.908629</v>
      </c>
      <c r="BB10" s="174">
        <f>Assumptions!BC130</f>
        <v>9593.908629</v>
      </c>
      <c r="BC10" s="174">
        <f>Assumptions!BD130</f>
        <v>9593.908629</v>
      </c>
      <c r="BD10" s="174">
        <f>Assumptions!BE130</f>
        <v>9593.908629</v>
      </c>
      <c r="BE10" s="174">
        <f>Assumptions!BF130</f>
        <v>9593.908629</v>
      </c>
      <c r="BF10" s="174">
        <f>Assumptions!BG130</f>
        <v>9593.908629</v>
      </c>
      <c r="BG10" s="174">
        <f>Assumptions!BH130</f>
        <v>9593.908629</v>
      </c>
      <c r="BH10" s="174">
        <f>Assumptions!BI130</f>
        <v>9593.908629</v>
      </c>
      <c r="BI10" s="174">
        <f>Assumptions!BJ130</f>
        <v>9593.908629</v>
      </c>
      <c r="BJ10" s="174">
        <f>Assumptions!BK130</f>
        <v>9593.908629</v>
      </c>
      <c r="BK10" s="174">
        <f>Assumptions!BL130</f>
        <v>9593.908629</v>
      </c>
      <c r="BL10" s="174">
        <f>Assumptions!BM130</f>
        <v>9593.908629</v>
      </c>
      <c r="BM10" s="174">
        <f>Assumptions!BN130</f>
        <v>9593.908629</v>
      </c>
      <c r="BN10" s="172"/>
    </row>
    <row r="11" outlineLevel="1">
      <c r="A11" s="172"/>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2"/>
      <c r="AO11" s="172"/>
      <c r="AP11" s="172"/>
      <c r="AQ11" s="172"/>
      <c r="AR11" s="172"/>
      <c r="AS11" s="172"/>
      <c r="AT11" s="172"/>
      <c r="AU11" s="172"/>
      <c r="AV11" s="172"/>
      <c r="AW11" s="172"/>
      <c r="AX11" s="172"/>
      <c r="AY11" s="172"/>
      <c r="AZ11" s="172"/>
      <c r="BA11" s="172"/>
      <c r="BB11" s="172"/>
      <c r="BC11" s="172"/>
      <c r="BD11" s="172"/>
      <c r="BE11" s="172"/>
      <c r="BF11" s="172"/>
      <c r="BG11" s="172"/>
      <c r="BH11" s="172"/>
      <c r="BI11" s="172"/>
      <c r="BJ11" s="172"/>
      <c r="BK11" s="172"/>
      <c r="BL11" s="172"/>
      <c r="BM11" s="172"/>
      <c r="BN11" s="172"/>
    </row>
    <row r="12" outlineLevel="1">
      <c r="A12" s="172"/>
      <c r="B12" s="175" t="s">
        <v>152</v>
      </c>
      <c r="C12" s="176"/>
      <c r="D12" s="176"/>
      <c r="E12" s="176"/>
      <c r="F12" s="177">
        <f t="shared" ref="F12:BM12" si="5">F8-F10</f>
        <v>8693.75</v>
      </c>
      <c r="G12" s="177">
        <f t="shared" si="5"/>
        <v>13089.78125</v>
      </c>
      <c r="H12" s="177">
        <f t="shared" si="5"/>
        <v>15451.03422</v>
      </c>
      <c r="I12" s="177">
        <f t="shared" si="5"/>
        <v>16634.10926</v>
      </c>
      <c r="J12" s="177">
        <f t="shared" si="5"/>
        <v>17306.93351</v>
      </c>
      <c r="K12" s="177">
        <f t="shared" si="5"/>
        <v>17563.31494</v>
      </c>
      <c r="L12" s="177">
        <f t="shared" si="5"/>
        <v>17690.30519</v>
      </c>
      <c r="M12" s="177">
        <f t="shared" si="5"/>
        <v>17835.03231</v>
      </c>
      <c r="N12" s="177">
        <f t="shared" si="5"/>
        <v>17827.36435</v>
      </c>
      <c r="O12" s="177">
        <f t="shared" si="5"/>
        <v>17822.3299</v>
      </c>
      <c r="P12" s="177">
        <f t="shared" si="5"/>
        <v>17901.04467</v>
      </c>
      <c r="Q12" s="177">
        <f t="shared" si="5"/>
        <v>17860.37053</v>
      </c>
      <c r="R12" s="177">
        <f t="shared" si="5"/>
        <v>17838.83299</v>
      </c>
      <c r="S12" s="177">
        <f t="shared" si="5"/>
        <v>17828.04621</v>
      </c>
      <c r="T12" s="177">
        <f t="shared" si="5"/>
        <v>17822.65255</v>
      </c>
      <c r="U12" s="177">
        <f t="shared" si="5"/>
        <v>17819.95572</v>
      </c>
      <c r="V12" s="177">
        <f t="shared" si="5"/>
        <v>17818.6073</v>
      </c>
      <c r="W12" s="177">
        <f t="shared" si="5"/>
        <v>17817.93309</v>
      </c>
      <c r="X12" s="177">
        <f t="shared" si="5"/>
        <v>17817.59599</v>
      </c>
      <c r="Y12" s="177">
        <f t="shared" si="5"/>
        <v>17817.42744</v>
      </c>
      <c r="Z12" s="177">
        <f t="shared" si="5"/>
        <v>17817.34316</v>
      </c>
      <c r="AA12" s="177">
        <f t="shared" si="5"/>
        <v>17817.30102</v>
      </c>
      <c r="AB12" s="177">
        <f t="shared" si="5"/>
        <v>17817.27995</v>
      </c>
      <c r="AC12" s="177">
        <f t="shared" si="5"/>
        <v>17817.26942</v>
      </c>
      <c r="AD12" s="177">
        <f t="shared" si="5"/>
        <v>17817.26415</v>
      </c>
      <c r="AE12" s="177">
        <f t="shared" si="5"/>
        <v>17817.26152</v>
      </c>
      <c r="AF12" s="177">
        <f t="shared" si="5"/>
        <v>17817.2602</v>
      </c>
      <c r="AG12" s="177">
        <f t="shared" si="5"/>
        <v>17817.25954</v>
      </c>
      <c r="AH12" s="177">
        <f t="shared" si="5"/>
        <v>17817.25921</v>
      </c>
      <c r="AI12" s="177">
        <f t="shared" si="5"/>
        <v>17817.25905</v>
      </c>
      <c r="AJ12" s="177">
        <f t="shared" si="5"/>
        <v>17817.25897</v>
      </c>
      <c r="AK12" s="177">
        <f t="shared" si="5"/>
        <v>17817.25892</v>
      </c>
      <c r="AL12" s="177">
        <f t="shared" si="5"/>
        <v>17817.2589</v>
      </c>
      <c r="AM12" s="177">
        <f t="shared" si="5"/>
        <v>17817.25889</v>
      </c>
      <c r="AN12" s="177">
        <f t="shared" si="5"/>
        <v>17817.25889</v>
      </c>
      <c r="AO12" s="177">
        <f t="shared" si="5"/>
        <v>17817.25889</v>
      </c>
      <c r="AP12" s="177">
        <f t="shared" si="5"/>
        <v>17817.25888</v>
      </c>
      <c r="AQ12" s="177">
        <f t="shared" si="5"/>
        <v>17817.25888</v>
      </c>
      <c r="AR12" s="177">
        <f t="shared" si="5"/>
        <v>17817.25888</v>
      </c>
      <c r="AS12" s="177">
        <f t="shared" si="5"/>
        <v>17817.25888</v>
      </c>
      <c r="AT12" s="177">
        <f t="shared" si="5"/>
        <v>17817.25888</v>
      </c>
      <c r="AU12" s="177">
        <f t="shared" si="5"/>
        <v>17817.25888</v>
      </c>
      <c r="AV12" s="177">
        <f t="shared" si="5"/>
        <v>17817.25888</v>
      </c>
      <c r="AW12" s="177">
        <f t="shared" si="5"/>
        <v>17817.25888</v>
      </c>
      <c r="AX12" s="177">
        <f t="shared" si="5"/>
        <v>17817.25888</v>
      </c>
      <c r="AY12" s="177">
        <f t="shared" si="5"/>
        <v>17817.25888</v>
      </c>
      <c r="AZ12" s="177">
        <f t="shared" si="5"/>
        <v>17817.25888</v>
      </c>
      <c r="BA12" s="177">
        <f t="shared" si="5"/>
        <v>17817.25888</v>
      </c>
      <c r="BB12" s="177">
        <f t="shared" si="5"/>
        <v>17817.25888</v>
      </c>
      <c r="BC12" s="177">
        <f t="shared" si="5"/>
        <v>17817.25888</v>
      </c>
      <c r="BD12" s="177">
        <f t="shared" si="5"/>
        <v>17817.25888</v>
      </c>
      <c r="BE12" s="177">
        <f t="shared" si="5"/>
        <v>17817.25888</v>
      </c>
      <c r="BF12" s="177">
        <f t="shared" si="5"/>
        <v>17817.25888</v>
      </c>
      <c r="BG12" s="177">
        <f t="shared" si="5"/>
        <v>17817.25888</v>
      </c>
      <c r="BH12" s="177">
        <f t="shared" si="5"/>
        <v>17817.25888</v>
      </c>
      <c r="BI12" s="177">
        <f t="shared" si="5"/>
        <v>17817.25888</v>
      </c>
      <c r="BJ12" s="177">
        <f t="shared" si="5"/>
        <v>17817.25888</v>
      </c>
      <c r="BK12" s="177">
        <f t="shared" si="5"/>
        <v>17817.25888</v>
      </c>
      <c r="BL12" s="177">
        <f t="shared" si="5"/>
        <v>17817.25888</v>
      </c>
      <c r="BM12" s="177">
        <f t="shared" si="5"/>
        <v>17817.25888</v>
      </c>
      <c r="BN12" s="172"/>
    </row>
    <row r="13" outlineLevel="1">
      <c r="A13" s="178"/>
      <c r="B13" s="179" t="s">
        <v>153</v>
      </c>
      <c r="C13" s="178"/>
      <c r="D13" s="178"/>
      <c r="E13" s="178"/>
      <c r="F13" s="180">
        <f t="shared" ref="F13:BM13" si="6">F12/F8</f>
        <v>0.65</v>
      </c>
      <c r="G13" s="180">
        <f t="shared" si="6"/>
        <v>0.65</v>
      </c>
      <c r="H13" s="180">
        <f t="shared" si="6"/>
        <v>0.65</v>
      </c>
      <c r="I13" s="180">
        <f t="shared" si="6"/>
        <v>0.65</v>
      </c>
      <c r="J13" s="180">
        <f t="shared" si="6"/>
        <v>0.65</v>
      </c>
      <c r="K13" s="180">
        <f t="shared" si="6"/>
        <v>0.65</v>
      </c>
      <c r="L13" s="180">
        <f t="shared" si="6"/>
        <v>0.65</v>
      </c>
      <c r="M13" s="180">
        <f t="shared" si="6"/>
        <v>0.65</v>
      </c>
      <c r="N13" s="180">
        <f t="shared" si="6"/>
        <v>0.65</v>
      </c>
      <c r="O13" s="180">
        <f t="shared" si="6"/>
        <v>0.65</v>
      </c>
      <c r="P13" s="180">
        <f t="shared" si="6"/>
        <v>0.65</v>
      </c>
      <c r="Q13" s="180">
        <f t="shared" si="6"/>
        <v>0.65</v>
      </c>
      <c r="R13" s="180">
        <f t="shared" si="6"/>
        <v>0.65</v>
      </c>
      <c r="S13" s="180">
        <f t="shared" si="6"/>
        <v>0.65</v>
      </c>
      <c r="T13" s="180">
        <f t="shared" si="6"/>
        <v>0.65</v>
      </c>
      <c r="U13" s="180">
        <f t="shared" si="6"/>
        <v>0.65</v>
      </c>
      <c r="V13" s="180">
        <f t="shared" si="6"/>
        <v>0.65</v>
      </c>
      <c r="W13" s="180">
        <f t="shared" si="6"/>
        <v>0.65</v>
      </c>
      <c r="X13" s="180">
        <f t="shared" si="6"/>
        <v>0.65</v>
      </c>
      <c r="Y13" s="180">
        <f t="shared" si="6"/>
        <v>0.65</v>
      </c>
      <c r="Z13" s="180">
        <f t="shared" si="6"/>
        <v>0.65</v>
      </c>
      <c r="AA13" s="180">
        <f t="shared" si="6"/>
        <v>0.65</v>
      </c>
      <c r="AB13" s="180">
        <f t="shared" si="6"/>
        <v>0.65</v>
      </c>
      <c r="AC13" s="180">
        <f t="shared" si="6"/>
        <v>0.65</v>
      </c>
      <c r="AD13" s="180">
        <f t="shared" si="6"/>
        <v>0.65</v>
      </c>
      <c r="AE13" s="180">
        <f t="shared" si="6"/>
        <v>0.65</v>
      </c>
      <c r="AF13" s="180">
        <f t="shared" si="6"/>
        <v>0.65</v>
      </c>
      <c r="AG13" s="180">
        <f t="shared" si="6"/>
        <v>0.65</v>
      </c>
      <c r="AH13" s="180">
        <f t="shared" si="6"/>
        <v>0.65</v>
      </c>
      <c r="AI13" s="180">
        <f t="shared" si="6"/>
        <v>0.65</v>
      </c>
      <c r="AJ13" s="180">
        <f t="shared" si="6"/>
        <v>0.65</v>
      </c>
      <c r="AK13" s="180">
        <f t="shared" si="6"/>
        <v>0.65</v>
      </c>
      <c r="AL13" s="180">
        <f t="shared" si="6"/>
        <v>0.65</v>
      </c>
      <c r="AM13" s="180">
        <f t="shared" si="6"/>
        <v>0.65</v>
      </c>
      <c r="AN13" s="180">
        <f t="shared" si="6"/>
        <v>0.65</v>
      </c>
      <c r="AO13" s="180">
        <f t="shared" si="6"/>
        <v>0.65</v>
      </c>
      <c r="AP13" s="180">
        <f t="shared" si="6"/>
        <v>0.65</v>
      </c>
      <c r="AQ13" s="180">
        <f t="shared" si="6"/>
        <v>0.65</v>
      </c>
      <c r="AR13" s="180">
        <f t="shared" si="6"/>
        <v>0.65</v>
      </c>
      <c r="AS13" s="180">
        <f t="shared" si="6"/>
        <v>0.65</v>
      </c>
      <c r="AT13" s="180">
        <f t="shared" si="6"/>
        <v>0.65</v>
      </c>
      <c r="AU13" s="180">
        <f t="shared" si="6"/>
        <v>0.65</v>
      </c>
      <c r="AV13" s="180">
        <f t="shared" si="6"/>
        <v>0.65</v>
      </c>
      <c r="AW13" s="180">
        <f t="shared" si="6"/>
        <v>0.65</v>
      </c>
      <c r="AX13" s="180">
        <f t="shared" si="6"/>
        <v>0.65</v>
      </c>
      <c r="AY13" s="180">
        <f t="shared" si="6"/>
        <v>0.65</v>
      </c>
      <c r="AZ13" s="180">
        <f t="shared" si="6"/>
        <v>0.65</v>
      </c>
      <c r="BA13" s="180">
        <f t="shared" si="6"/>
        <v>0.65</v>
      </c>
      <c r="BB13" s="180">
        <f t="shared" si="6"/>
        <v>0.65</v>
      </c>
      <c r="BC13" s="180">
        <f t="shared" si="6"/>
        <v>0.65</v>
      </c>
      <c r="BD13" s="180">
        <f t="shared" si="6"/>
        <v>0.65</v>
      </c>
      <c r="BE13" s="180">
        <f t="shared" si="6"/>
        <v>0.65</v>
      </c>
      <c r="BF13" s="180">
        <f t="shared" si="6"/>
        <v>0.65</v>
      </c>
      <c r="BG13" s="180">
        <f t="shared" si="6"/>
        <v>0.65</v>
      </c>
      <c r="BH13" s="180">
        <f t="shared" si="6"/>
        <v>0.65</v>
      </c>
      <c r="BI13" s="180">
        <f t="shared" si="6"/>
        <v>0.65</v>
      </c>
      <c r="BJ13" s="180">
        <f t="shared" si="6"/>
        <v>0.65</v>
      </c>
      <c r="BK13" s="180">
        <f t="shared" si="6"/>
        <v>0.65</v>
      </c>
      <c r="BL13" s="180">
        <f t="shared" si="6"/>
        <v>0.65</v>
      </c>
      <c r="BM13" s="180">
        <f t="shared" si="6"/>
        <v>0.65</v>
      </c>
      <c r="BN13" s="178"/>
    </row>
    <row r="14" outlineLevel="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row>
    <row r="15" outlineLevel="1">
      <c r="A15" s="172"/>
      <c r="B15" s="181" t="s">
        <v>154</v>
      </c>
      <c r="C15" s="172"/>
      <c r="D15" s="172"/>
      <c r="E15" s="172"/>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row>
    <row r="16" outlineLevel="1">
      <c r="A16" s="172"/>
      <c r="B16" s="182" t="s">
        <v>155</v>
      </c>
      <c r="C16" s="172"/>
      <c r="D16" s="172"/>
      <c r="E16" s="172"/>
      <c r="F16" s="172">
        <f>SUM(Assumptions!G93:G117)</f>
        <v>202000</v>
      </c>
      <c r="G16" s="172">
        <f>SUM(Assumptions!H93:H117)</f>
        <v>202000</v>
      </c>
      <c r="H16" s="172">
        <f>SUM(Assumptions!I93:I117)</f>
        <v>202000</v>
      </c>
      <c r="I16" s="172">
        <f>SUM(Assumptions!J93:J117)</f>
        <v>202000</v>
      </c>
      <c r="J16" s="172">
        <f>SUM(Assumptions!K93:K117)</f>
        <v>202000</v>
      </c>
      <c r="K16" s="172">
        <f>SUM(Assumptions!L93:L117)</f>
        <v>202000</v>
      </c>
      <c r="L16" s="172">
        <f>SUM(Assumptions!M93:M117)</f>
        <v>202000</v>
      </c>
      <c r="M16" s="172">
        <f>SUM(Assumptions!N93:N117)</f>
        <v>202000</v>
      </c>
      <c r="N16" s="172">
        <f>SUM(Assumptions!O93:O117)</f>
        <v>202000</v>
      </c>
      <c r="O16" s="172">
        <f>SUM(Assumptions!P93:P117)</f>
        <v>202000</v>
      </c>
      <c r="P16" s="172">
        <f>SUM(Assumptions!Q93:Q117)</f>
        <v>202000</v>
      </c>
      <c r="Q16" s="172">
        <f>SUM(Assumptions!R93:R117)</f>
        <v>202000</v>
      </c>
      <c r="R16" s="172">
        <f>SUM(Assumptions!S93:S117)</f>
        <v>202000</v>
      </c>
      <c r="S16" s="172">
        <f>SUM(Assumptions!T93:T117)</f>
        <v>202000</v>
      </c>
      <c r="T16" s="172">
        <f>SUM(Assumptions!U93:U117)</f>
        <v>202000</v>
      </c>
      <c r="U16" s="172">
        <f>SUM(Assumptions!V93:V117)</f>
        <v>202000</v>
      </c>
      <c r="V16" s="172">
        <f>SUM(Assumptions!W93:W117)</f>
        <v>202000</v>
      </c>
      <c r="W16" s="172">
        <f>SUM(Assumptions!X93:X117)</f>
        <v>202000</v>
      </c>
      <c r="X16" s="172">
        <f>SUM(Assumptions!Y93:Y117)</f>
        <v>202000</v>
      </c>
      <c r="Y16" s="172">
        <f>SUM(Assumptions!Z93:Z117)</f>
        <v>202000</v>
      </c>
      <c r="Z16" s="172">
        <f>SUM(Assumptions!AA93:AA117)</f>
        <v>202000</v>
      </c>
      <c r="AA16" s="172">
        <f>SUM(Assumptions!AB93:AB117)</f>
        <v>202000</v>
      </c>
      <c r="AB16" s="172">
        <f>SUM(Assumptions!AC93:AC117)</f>
        <v>202000</v>
      </c>
      <c r="AC16" s="172">
        <f>SUM(Assumptions!AD93:AD117)</f>
        <v>202000</v>
      </c>
      <c r="AD16" s="172">
        <f>SUM(Assumptions!AE93:AE117)</f>
        <v>202000</v>
      </c>
      <c r="AE16" s="172">
        <f>SUM(Assumptions!AF93:AF117)</f>
        <v>202000</v>
      </c>
      <c r="AF16" s="172">
        <f>SUM(Assumptions!AG93:AG117)</f>
        <v>202000</v>
      </c>
      <c r="AG16" s="172">
        <f>SUM(Assumptions!AH93:AH117)</f>
        <v>202000</v>
      </c>
      <c r="AH16" s="172">
        <f>SUM(Assumptions!AI93:AI117)</f>
        <v>202000</v>
      </c>
      <c r="AI16" s="172">
        <f>SUM(Assumptions!AJ93:AJ117)</f>
        <v>202000</v>
      </c>
      <c r="AJ16" s="172">
        <f>SUM(Assumptions!AK93:AK117)</f>
        <v>202000</v>
      </c>
      <c r="AK16" s="172">
        <f>SUM(Assumptions!AL93:AL117)</f>
        <v>202000</v>
      </c>
      <c r="AL16" s="172">
        <f>SUM(Assumptions!AM93:AM117)</f>
        <v>202000</v>
      </c>
      <c r="AM16" s="172">
        <f>SUM(Assumptions!AN93:AN117)</f>
        <v>202000</v>
      </c>
      <c r="AN16" s="172">
        <f>SUM(Assumptions!AO93:AO117)</f>
        <v>202000</v>
      </c>
      <c r="AO16" s="172">
        <f>SUM(Assumptions!AP93:AP117)</f>
        <v>202000</v>
      </c>
      <c r="AP16" s="172">
        <f>SUM(Assumptions!AQ93:AQ117)</f>
        <v>202000</v>
      </c>
      <c r="AQ16" s="172">
        <f>SUM(Assumptions!AR93:AR117)</f>
        <v>202000</v>
      </c>
      <c r="AR16" s="172">
        <f>SUM(Assumptions!AS93:AS117)</f>
        <v>202000</v>
      </c>
      <c r="AS16" s="172">
        <f>SUM(Assumptions!AT93:AT117)</f>
        <v>202000</v>
      </c>
      <c r="AT16" s="172">
        <f>SUM(Assumptions!AU93:AU117)</f>
        <v>202000</v>
      </c>
      <c r="AU16" s="172">
        <f>SUM(Assumptions!AV93:AV117)</f>
        <v>202000</v>
      </c>
      <c r="AV16" s="172">
        <f>SUM(Assumptions!AW93:AW117)</f>
        <v>202000</v>
      </c>
      <c r="AW16" s="172">
        <f>SUM(Assumptions!AX93:AX117)</f>
        <v>202000</v>
      </c>
      <c r="AX16" s="172">
        <f>SUM(Assumptions!AY93:AY117)</f>
        <v>202000</v>
      </c>
      <c r="AY16" s="172">
        <f>SUM(Assumptions!AZ93:AZ117)</f>
        <v>202000</v>
      </c>
      <c r="AZ16" s="172">
        <f>SUM(Assumptions!BA93:BA117)</f>
        <v>202000</v>
      </c>
      <c r="BA16" s="172">
        <f>SUM(Assumptions!BB93:BB117)</f>
        <v>202000</v>
      </c>
      <c r="BB16" s="172">
        <f>SUM(Assumptions!BC93:BC117)</f>
        <v>202000</v>
      </c>
      <c r="BC16" s="172">
        <f>SUM(Assumptions!BD93:BD117)</f>
        <v>202000</v>
      </c>
      <c r="BD16" s="172">
        <f>SUM(Assumptions!BE93:BE117)</f>
        <v>202000</v>
      </c>
      <c r="BE16" s="172">
        <f>SUM(Assumptions!BF93:BF117)</f>
        <v>202000</v>
      </c>
      <c r="BF16" s="172">
        <f>SUM(Assumptions!BG93:BG117)</f>
        <v>202000</v>
      </c>
      <c r="BG16" s="172">
        <f>SUM(Assumptions!BH93:BH117)</f>
        <v>202000</v>
      </c>
      <c r="BH16" s="172">
        <f>SUM(Assumptions!BI93:BI117)</f>
        <v>202000</v>
      </c>
      <c r="BI16" s="172">
        <f>SUM(Assumptions!BJ93:BJ117)</f>
        <v>202000</v>
      </c>
      <c r="BJ16" s="172">
        <f>SUM(Assumptions!BK93:BK117)</f>
        <v>202000</v>
      </c>
      <c r="BK16" s="172">
        <f>SUM(Assumptions!BL93:BL117)</f>
        <v>202000</v>
      </c>
      <c r="BL16" s="172">
        <f>SUM(Assumptions!BM93:BM117)</f>
        <v>202000</v>
      </c>
      <c r="BM16" s="172">
        <f>SUM(Assumptions!BN93:BN117)</f>
        <v>202000</v>
      </c>
      <c r="BN16" s="172"/>
    </row>
    <row r="17" outlineLevel="1">
      <c r="A17" s="172"/>
      <c r="B17" s="172" t="str">
        <f>Assumptions!B132</f>
        <v>General &amp; Admin</v>
      </c>
      <c r="C17" s="172"/>
      <c r="D17" s="172"/>
      <c r="E17" s="172"/>
      <c r="F17" s="172">
        <f>sum(Assumptions!G133:G140)</f>
        <v>20000</v>
      </c>
      <c r="G17" s="172">
        <f>sum(Assumptions!H133:H140)</f>
        <v>20000</v>
      </c>
      <c r="H17" s="172">
        <f>sum(Assumptions!I133:I140)</f>
        <v>20000</v>
      </c>
      <c r="I17" s="172">
        <f>sum(Assumptions!J133:J140)</f>
        <v>20000</v>
      </c>
      <c r="J17" s="172">
        <f>sum(Assumptions!K133:K140)</f>
        <v>20000</v>
      </c>
      <c r="K17" s="172">
        <f>sum(Assumptions!L133:L140)</f>
        <v>20000</v>
      </c>
      <c r="L17" s="172">
        <f>sum(Assumptions!M133:M140)</f>
        <v>20000</v>
      </c>
      <c r="M17" s="172">
        <f>sum(Assumptions!N133:N140)</f>
        <v>20000</v>
      </c>
      <c r="N17" s="172">
        <f>sum(Assumptions!O133:O140)</f>
        <v>20000</v>
      </c>
      <c r="O17" s="172">
        <f>sum(Assumptions!P133:P140)</f>
        <v>20000</v>
      </c>
      <c r="P17" s="172">
        <f>sum(Assumptions!Q133:Q140)</f>
        <v>20000</v>
      </c>
      <c r="Q17" s="172">
        <f>sum(Assumptions!R133:R140)</f>
        <v>20000</v>
      </c>
      <c r="R17" s="172">
        <f>sum(Assumptions!S133:S140)</f>
        <v>20000</v>
      </c>
      <c r="S17" s="172">
        <f>sum(Assumptions!T133:T140)</f>
        <v>20000</v>
      </c>
      <c r="T17" s="172">
        <f>sum(Assumptions!U133:U140)</f>
        <v>20000</v>
      </c>
      <c r="U17" s="172">
        <f>sum(Assumptions!V133:V140)</f>
        <v>20000</v>
      </c>
      <c r="V17" s="172">
        <f>sum(Assumptions!W133:W140)</f>
        <v>20000</v>
      </c>
      <c r="W17" s="172">
        <f>sum(Assumptions!X133:X140)</f>
        <v>20000</v>
      </c>
      <c r="X17" s="172">
        <f>sum(Assumptions!Y133:Y140)</f>
        <v>20000</v>
      </c>
      <c r="Y17" s="172">
        <f>sum(Assumptions!Z133:Z140)</f>
        <v>20000</v>
      </c>
      <c r="Z17" s="172">
        <f>sum(Assumptions!AA133:AA140)</f>
        <v>20000</v>
      </c>
      <c r="AA17" s="172">
        <f>sum(Assumptions!AB133:AB140)</f>
        <v>20000</v>
      </c>
      <c r="AB17" s="172">
        <f>sum(Assumptions!AC133:AC140)</f>
        <v>20000</v>
      </c>
      <c r="AC17" s="172">
        <f>sum(Assumptions!AD133:AD140)</f>
        <v>20000</v>
      </c>
      <c r="AD17" s="172">
        <f>sum(Assumptions!AE133:AE140)</f>
        <v>20000</v>
      </c>
      <c r="AE17" s="172">
        <f>sum(Assumptions!AF133:AF140)</f>
        <v>20000</v>
      </c>
      <c r="AF17" s="172">
        <f>sum(Assumptions!AG133:AG140)</f>
        <v>20000</v>
      </c>
      <c r="AG17" s="172">
        <f>sum(Assumptions!AH133:AH140)</f>
        <v>20000</v>
      </c>
      <c r="AH17" s="172">
        <f>sum(Assumptions!AI133:AI140)</f>
        <v>20000</v>
      </c>
      <c r="AI17" s="172">
        <f>sum(Assumptions!AJ133:AJ140)</f>
        <v>20000</v>
      </c>
      <c r="AJ17" s="172">
        <f>sum(Assumptions!AK133:AK140)</f>
        <v>20000</v>
      </c>
      <c r="AK17" s="172">
        <f>sum(Assumptions!AL133:AL140)</f>
        <v>20000</v>
      </c>
      <c r="AL17" s="172">
        <f>sum(Assumptions!AM133:AM140)</f>
        <v>20000</v>
      </c>
      <c r="AM17" s="172">
        <f>sum(Assumptions!AN133:AN140)</f>
        <v>20000</v>
      </c>
      <c r="AN17" s="172">
        <f>sum(Assumptions!AO133:AO140)</f>
        <v>20000</v>
      </c>
      <c r="AO17" s="172">
        <f>sum(Assumptions!AP133:AP140)</f>
        <v>20000</v>
      </c>
      <c r="AP17" s="172">
        <f>sum(Assumptions!AQ133:AQ140)</f>
        <v>20000</v>
      </c>
      <c r="AQ17" s="172">
        <f>sum(Assumptions!AR133:AR140)</f>
        <v>20000</v>
      </c>
      <c r="AR17" s="172">
        <f>sum(Assumptions!AS133:AS140)</f>
        <v>20000</v>
      </c>
      <c r="AS17" s="172">
        <f>sum(Assumptions!AT133:AT140)</f>
        <v>20000</v>
      </c>
      <c r="AT17" s="172">
        <f>sum(Assumptions!AU133:AU140)</f>
        <v>20000</v>
      </c>
      <c r="AU17" s="172">
        <f>sum(Assumptions!AV133:AV140)</f>
        <v>20000</v>
      </c>
      <c r="AV17" s="172">
        <f>sum(Assumptions!AW133:AW140)</f>
        <v>20000</v>
      </c>
      <c r="AW17" s="172">
        <f>sum(Assumptions!AX133:AX140)</f>
        <v>20000</v>
      </c>
      <c r="AX17" s="172">
        <f>sum(Assumptions!AY133:AY140)</f>
        <v>20000</v>
      </c>
      <c r="AY17" s="172">
        <f>sum(Assumptions!AZ133:AZ140)</f>
        <v>20000</v>
      </c>
      <c r="AZ17" s="172">
        <f>sum(Assumptions!BA133:BA140)</f>
        <v>20000</v>
      </c>
      <c r="BA17" s="172">
        <f>sum(Assumptions!BB133:BB140)</f>
        <v>20000</v>
      </c>
      <c r="BB17" s="172">
        <f>sum(Assumptions!BC133:BC140)</f>
        <v>20000</v>
      </c>
      <c r="BC17" s="172">
        <f>sum(Assumptions!BD133:BD140)</f>
        <v>20000</v>
      </c>
      <c r="BD17" s="172">
        <f>sum(Assumptions!BE133:BE140)</f>
        <v>20000</v>
      </c>
      <c r="BE17" s="172">
        <f>sum(Assumptions!BF133:BF140)</f>
        <v>20000</v>
      </c>
      <c r="BF17" s="172">
        <f>sum(Assumptions!BG133:BG140)</f>
        <v>20000</v>
      </c>
      <c r="BG17" s="172">
        <f>sum(Assumptions!BH133:BH140)</f>
        <v>20000</v>
      </c>
      <c r="BH17" s="172">
        <f>sum(Assumptions!BI133:BI140)</f>
        <v>20000</v>
      </c>
      <c r="BI17" s="172">
        <f>sum(Assumptions!BJ133:BJ140)</f>
        <v>20000</v>
      </c>
      <c r="BJ17" s="172">
        <f>sum(Assumptions!BK133:BK140)</f>
        <v>20000</v>
      </c>
      <c r="BK17" s="172">
        <f>sum(Assumptions!BL133:BL140)</f>
        <v>20000</v>
      </c>
      <c r="BL17" s="172">
        <f>sum(Assumptions!BM133:BM140)</f>
        <v>20000</v>
      </c>
      <c r="BM17" s="172">
        <f>sum(Assumptions!BN133:BN140)</f>
        <v>20000</v>
      </c>
      <c r="BN17" s="172"/>
    </row>
    <row r="18" outlineLevel="1">
      <c r="A18" s="172"/>
      <c r="B18" s="182" t="str">
        <f>Assumptions!B143</f>
        <v>Sales &amp; Marketing</v>
      </c>
      <c r="C18" s="172"/>
      <c r="D18" s="172"/>
      <c r="E18" s="172"/>
      <c r="F18" s="172">
        <f>sum(Assumptions!G144:G145)</f>
        <v>11070</v>
      </c>
      <c r="G18" s="172">
        <f>sum(Assumptions!H144:H145)</f>
        <v>11611.05</v>
      </c>
      <c r="H18" s="172">
        <f>sum(Assumptions!I144:I145)</f>
        <v>11901.66575</v>
      </c>
      <c r="I18" s="172">
        <f>sum(Assumptions!J144:J145)</f>
        <v>12047.27499</v>
      </c>
      <c r="J18" s="172">
        <f>sum(Assumptions!K144:K145)</f>
        <v>12130.08412</v>
      </c>
      <c r="K18" s="172">
        <f>sum(Assumptions!L144:L145)</f>
        <v>12161.63876</v>
      </c>
      <c r="L18" s="172">
        <f>sum(Assumptions!M144:M145)</f>
        <v>12177.26833</v>
      </c>
      <c r="M18" s="172">
        <f>sum(Assumptions!N144:N145)</f>
        <v>12195.0809</v>
      </c>
      <c r="N18" s="172">
        <f>sum(Assumptions!O144:O145)</f>
        <v>12194.13715</v>
      </c>
      <c r="O18" s="172">
        <f>sum(Assumptions!P144:P145)</f>
        <v>12193.51753</v>
      </c>
      <c r="P18" s="172">
        <f>sum(Assumptions!Q144:Q145)</f>
        <v>12203.2055</v>
      </c>
      <c r="Q18" s="172">
        <f>sum(Assumptions!R144:R145)</f>
        <v>12198.19945</v>
      </c>
      <c r="R18" s="172">
        <f>sum(Assumptions!S144:S145)</f>
        <v>12195.54868</v>
      </c>
      <c r="S18" s="172">
        <f>sum(Assumptions!T144:T145)</f>
        <v>12194.22107</v>
      </c>
      <c r="T18" s="172">
        <f>sum(Assumptions!U144:U145)</f>
        <v>12193.55724</v>
      </c>
      <c r="U18" s="172">
        <f>sum(Assumptions!V144:V145)</f>
        <v>12193.22532</v>
      </c>
      <c r="V18" s="172">
        <f>sum(Assumptions!W144:W145)</f>
        <v>12193.05936</v>
      </c>
      <c r="W18" s="172">
        <f>sum(Assumptions!X144:X145)</f>
        <v>12192.97638</v>
      </c>
      <c r="X18" s="172">
        <f>sum(Assumptions!Y144:Y145)</f>
        <v>12192.93489</v>
      </c>
      <c r="Y18" s="172">
        <f>sum(Assumptions!Z144:Z145)</f>
        <v>12192.91415</v>
      </c>
      <c r="Z18" s="172">
        <f>sum(Assumptions!AA144:AA145)</f>
        <v>12192.90377</v>
      </c>
      <c r="AA18" s="172">
        <f>sum(Assumptions!AB144:AB145)</f>
        <v>12192.89859</v>
      </c>
      <c r="AB18" s="172">
        <f>sum(Assumptions!AC144:AC145)</f>
        <v>12192.89599</v>
      </c>
      <c r="AC18" s="172">
        <f>sum(Assumptions!AD144:AD145)</f>
        <v>12192.8947</v>
      </c>
      <c r="AD18" s="172">
        <f>sum(Assumptions!AE144:AE145)</f>
        <v>12192.89405</v>
      </c>
      <c r="AE18" s="172">
        <f>sum(Assumptions!AF144:AF145)</f>
        <v>12192.89373</v>
      </c>
      <c r="AF18" s="172">
        <f>sum(Assumptions!AG144:AG145)</f>
        <v>12192.89356</v>
      </c>
      <c r="AG18" s="172">
        <f>sum(Assumptions!AH144:AH145)</f>
        <v>12192.89348</v>
      </c>
      <c r="AH18" s="172">
        <f>sum(Assumptions!AI144:AI145)</f>
        <v>12192.89344</v>
      </c>
      <c r="AI18" s="172">
        <f>sum(Assumptions!AJ144:AJ145)</f>
        <v>12192.89342</v>
      </c>
      <c r="AJ18" s="172">
        <f>sum(Assumptions!AK144:AK145)</f>
        <v>12192.89341</v>
      </c>
      <c r="AK18" s="172">
        <f>sum(Assumptions!AL144:AL145)</f>
        <v>12192.89341</v>
      </c>
      <c r="AL18" s="172">
        <f>sum(Assumptions!AM144:AM145)</f>
        <v>12192.8934</v>
      </c>
      <c r="AM18" s="172">
        <f>sum(Assumptions!AN144:AN145)</f>
        <v>12192.8934</v>
      </c>
      <c r="AN18" s="172">
        <f>sum(Assumptions!AO144:AO145)</f>
        <v>12192.8934</v>
      </c>
      <c r="AO18" s="172">
        <f>sum(Assumptions!AP144:AP145)</f>
        <v>12192.8934</v>
      </c>
      <c r="AP18" s="172">
        <f>sum(Assumptions!AQ144:AQ145)</f>
        <v>12192.8934</v>
      </c>
      <c r="AQ18" s="172">
        <f>sum(Assumptions!AR144:AR145)</f>
        <v>12192.8934</v>
      </c>
      <c r="AR18" s="172">
        <f>sum(Assumptions!AS144:AS145)</f>
        <v>12192.8934</v>
      </c>
      <c r="AS18" s="172">
        <f>sum(Assumptions!AT144:AT145)</f>
        <v>12192.8934</v>
      </c>
      <c r="AT18" s="172">
        <f>sum(Assumptions!AU144:AU145)</f>
        <v>12192.8934</v>
      </c>
      <c r="AU18" s="172">
        <f>sum(Assumptions!AV144:AV145)</f>
        <v>12192.8934</v>
      </c>
      <c r="AV18" s="172">
        <f>sum(Assumptions!AW144:AW145)</f>
        <v>12192.8934</v>
      </c>
      <c r="AW18" s="172">
        <f>sum(Assumptions!AX144:AX145)</f>
        <v>12192.8934</v>
      </c>
      <c r="AX18" s="172">
        <f>sum(Assumptions!AY144:AY145)</f>
        <v>12192.8934</v>
      </c>
      <c r="AY18" s="172">
        <f>sum(Assumptions!AZ144:AZ145)</f>
        <v>12192.8934</v>
      </c>
      <c r="AZ18" s="172">
        <f>sum(Assumptions!BA144:BA145)</f>
        <v>12192.8934</v>
      </c>
      <c r="BA18" s="172">
        <f>sum(Assumptions!BB144:BB145)</f>
        <v>12192.8934</v>
      </c>
      <c r="BB18" s="172">
        <f>sum(Assumptions!BC144:BC145)</f>
        <v>12192.8934</v>
      </c>
      <c r="BC18" s="172">
        <f>sum(Assumptions!BD144:BD145)</f>
        <v>12192.8934</v>
      </c>
      <c r="BD18" s="172">
        <f>sum(Assumptions!BE144:BE145)</f>
        <v>12192.8934</v>
      </c>
      <c r="BE18" s="172">
        <f>sum(Assumptions!BF144:BF145)</f>
        <v>12192.8934</v>
      </c>
      <c r="BF18" s="172">
        <f>sum(Assumptions!BG144:BG145)</f>
        <v>12192.8934</v>
      </c>
      <c r="BG18" s="172">
        <f>sum(Assumptions!BH144:BH145)</f>
        <v>12192.8934</v>
      </c>
      <c r="BH18" s="172">
        <f>sum(Assumptions!BI144:BI145)</f>
        <v>12192.8934</v>
      </c>
      <c r="BI18" s="172">
        <f>sum(Assumptions!BJ144:BJ145)</f>
        <v>12192.8934</v>
      </c>
      <c r="BJ18" s="172">
        <f>sum(Assumptions!BK144:BK145)</f>
        <v>12192.8934</v>
      </c>
      <c r="BK18" s="172">
        <f>sum(Assumptions!BL144:BL145)</f>
        <v>12192.8934</v>
      </c>
      <c r="BL18" s="172">
        <f>sum(Assumptions!BM144:BM145)</f>
        <v>12192.8934</v>
      </c>
      <c r="BM18" s="172">
        <f>sum(Assumptions!BN144:BN145)</f>
        <v>12192.8934</v>
      </c>
      <c r="BN18" s="172"/>
    </row>
    <row r="19" outlineLevel="1">
      <c r="A19" s="172"/>
      <c r="B19" s="172" t="str">
        <f>Assumptions!B148</f>
        <v>Professional Fees</v>
      </c>
      <c r="C19" s="172"/>
      <c r="D19" s="172"/>
      <c r="E19" s="172"/>
      <c r="F19" s="172">
        <f>SUM(Assumptions!G149:G151)</f>
        <v>5000</v>
      </c>
      <c r="G19" s="172">
        <f>SUM(Assumptions!H149:H151)</f>
        <v>5000</v>
      </c>
      <c r="H19" s="172">
        <f>SUM(Assumptions!I149:I151)</f>
        <v>5000</v>
      </c>
      <c r="I19" s="172">
        <f>SUM(Assumptions!J149:J151)</f>
        <v>5000</v>
      </c>
      <c r="J19" s="172">
        <f>SUM(Assumptions!K149:K151)</f>
        <v>5000</v>
      </c>
      <c r="K19" s="172">
        <f>SUM(Assumptions!L149:L151)</f>
        <v>5000</v>
      </c>
      <c r="L19" s="172">
        <f>SUM(Assumptions!M149:M151)</f>
        <v>5000</v>
      </c>
      <c r="M19" s="172">
        <f>SUM(Assumptions!N149:N151)</f>
        <v>5000</v>
      </c>
      <c r="N19" s="172">
        <f>SUM(Assumptions!O149:O151)</f>
        <v>5000</v>
      </c>
      <c r="O19" s="172">
        <f>SUM(Assumptions!P149:P151)</f>
        <v>5000</v>
      </c>
      <c r="P19" s="172">
        <f>SUM(Assumptions!Q149:Q151)</f>
        <v>5000</v>
      </c>
      <c r="Q19" s="172">
        <f>SUM(Assumptions!R149:R151)</f>
        <v>5000</v>
      </c>
      <c r="R19" s="172">
        <f>SUM(Assumptions!S149:S151)</f>
        <v>5000</v>
      </c>
      <c r="S19" s="172">
        <f>SUM(Assumptions!T149:T151)</f>
        <v>5000</v>
      </c>
      <c r="T19" s="172">
        <f>SUM(Assumptions!U149:U151)</f>
        <v>5000</v>
      </c>
      <c r="U19" s="172">
        <f>SUM(Assumptions!V149:V151)</f>
        <v>5000</v>
      </c>
      <c r="V19" s="172">
        <f>SUM(Assumptions!W149:W151)</f>
        <v>5000</v>
      </c>
      <c r="W19" s="172">
        <f>SUM(Assumptions!X149:X151)</f>
        <v>5000</v>
      </c>
      <c r="X19" s="172">
        <f>SUM(Assumptions!Y149:Y151)</f>
        <v>5000</v>
      </c>
      <c r="Y19" s="172">
        <f>SUM(Assumptions!Z149:Z151)</f>
        <v>5000</v>
      </c>
      <c r="Z19" s="172">
        <f>SUM(Assumptions!AA149:AA151)</f>
        <v>5000</v>
      </c>
      <c r="AA19" s="172">
        <f>SUM(Assumptions!AB149:AB151)</f>
        <v>5000</v>
      </c>
      <c r="AB19" s="172">
        <f>SUM(Assumptions!AC149:AC151)</f>
        <v>5000</v>
      </c>
      <c r="AC19" s="172">
        <f>SUM(Assumptions!AD149:AD151)</f>
        <v>5000</v>
      </c>
      <c r="AD19" s="172">
        <f>SUM(Assumptions!AE149:AE151)</f>
        <v>5000</v>
      </c>
      <c r="AE19" s="172">
        <f>SUM(Assumptions!AF149:AF151)</f>
        <v>5000</v>
      </c>
      <c r="AF19" s="172">
        <f>SUM(Assumptions!AG149:AG151)</f>
        <v>5000</v>
      </c>
      <c r="AG19" s="172">
        <f>SUM(Assumptions!AH149:AH151)</f>
        <v>5000</v>
      </c>
      <c r="AH19" s="172">
        <f>SUM(Assumptions!AI149:AI151)</f>
        <v>5000</v>
      </c>
      <c r="AI19" s="172">
        <f>SUM(Assumptions!AJ149:AJ151)</f>
        <v>5000</v>
      </c>
      <c r="AJ19" s="172">
        <f>SUM(Assumptions!AK149:AK151)</f>
        <v>5000</v>
      </c>
      <c r="AK19" s="172">
        <f>SUM(Assumptions!AL149:AL151)</f>
        <v>5000</v>
      </c>
      <c r="AL19" s="172">
        <f>SUM(Assumptions!AM149:AM151)</f>
        <v>5000</v>
      </c>
      <c r="AM19" s="172">
        <f>SUM(Assumptions!AN149:AN151)</f>
        <v>5000</v>
      </c>
      <c r="AN19" s="172">
        <f>SUM(Assumptions!AO149:AO151)</f>
        <v>5000</v>
      </c>
      <c r="AO19" s="172">
        <f>SUM(Assumptions!AP149:AP151)</f>
        <v>5000</v>
      </c>
      <c r="AP19" s="172">
        <f>SUM(Assumptions!AQ149:AQ151)</f>
        <v>5000</v>
      </c>
      <c r="AQ19" s="172">
        <f>SUM(Assumptions!AR149:AR151)</f>
        <v>5000</v>
      </c>
      <c r="AR19" s="172">
        <f>SUM(Assumptions!AS149:AS151)</f>
        <v>5000</v>
      </c>
      <c r="AS19" s="172">
        <f>SUM(Assumptions!AT149:AT151)</f>
        <v>5000</v>
      </c>
      <c r="AT19" s="172">
        <f>SUM(Assumptions!AU149:AU151)</f>
        <v>5000</v>
      </c>
      <c r="AU19" s="172">
        <f>SUM(Assumptions!AV149:AV151)</f>
        <v>5000</v>
      </c>
      <c r="AV19" s="172">
        <f>SUM(Assumptions!AW149:AW151)</f>
        <v>5000</v>
      </c>
      <c r="AW19" s="172">
        <f>SUM(Assumptions!AX149:AX151)</f>
        <v>5000</v>
      </c>
      <c r="AX19" s="172">
        <f>SUM(Assumptions!AY149:AY151)</f>
        <v>5000</v>
      </c>
      <c r="AY19" s="172">
        <f>SUM(Assumptions!AZ149:AZ151)</f>
        <v>5000</v>
      </c>
      <c r="AZ19" s="172">
        <f>SUM(Assumptions!BA149:BA151)</f>
        <v>5000</v>
      </c>
      <c r="BA19" s="172">
        <f>SUM(Assumptions!BB149:BB151)</f>
        <v>5000</v>
      </c>
      <c r="BB19" s="172">
        <f>SUM(Assumptions!BC149:BC151)</f>
        <v>5000</v>
      </c>
      <c r="BC19" s="172">
        <f>SUM(Assumptions!BD149:BD151)</f>
        <v>5000</v>
      </c>
      <c r="BD19" s="172">
        <f>SUM(Assumptions!BE149:BE151)</f>
        <v>5000</v>
      </c>
      <c r="BE19" s="172">
        <f>SUM(Assumptions!BF149:BF151)</f>
        <v>5000</v>
      </c>
      <c r="BF19" s="172">
        <f>SUM(Assumptions!BG149:BG151)</f>
        <v>5000</v>
      </c>
      <c r="BG19" s="172">
        <f>SUM(Assumptions!BH149:BH151)</f>
        <v>5000</v>
      </c>
      <c r="BH19" s="172">
        <f>SUM(Assumptions!BI149:BI151)</f>
        <v>5000</v>
      </c>
      <c r="BI19" s="172">
        <f>SUM(Assumptions!BJ149:BJ151)</f>
        <v>5000</v>
      </c>
      <c r="BJ19" s="172">
        <f>SUM(Assumptions!BK149:BK151)</f>
        <v>5000</v>
      </c>
      <c r="BK19" s="172">
        <f>SUM(Assumptions!BL149:BL151)</f>
        <v>5000</v>
      </c>
      <c r="BL19" s="172">
        <f>SUM(Assumptions!BM149:BM151)</f>
        <v>5000</v>
      </c>
      <c r="BM19" s="172">
        <f>SUM(Assumptions!BN149:BN151)</f>
        <v>5000</v>
      </c>
      <c r="BN19" s="172"/>
    </row>
    <row r="20" outlineLevel="1">
      <c r="A20" s="172"/>
      <c r="B20" s="183" t="str">
        <f>Assumptions!B154</f>
        <v>Other</v>
      </c>
      <c r="C20" s="183"/>
      <c r="D20" s="183"/>
      <c r="E20" s="183"/>
      <c r="F20" s="183">
        <f>Assumptions!G155</f>
        <v>1337.5</v>
      </c>
      <c r="G20" s="183">
        <f>Assumptions!H155</f>
        <v>2013.8125</v>
      </c>
      <c r="H20" s="183">
        <f>Assumptions!I155</f>
        <v>2377.082188</v>
      </c>
      <c r="I20" s="183">
        <f>Assumptions!J155</f>
        <v>2559.093733</v>
      </c>
      <c r="J20" s="183">
        <f>Assumptions!K155</f>
        <v>2662.605156</v>
      </c>
      <c r="K20" s="183">
        <f>Assumptions!L155</f>
        <v>2702.048452</v>
      </c>
      <c r="L20" s="183">
        <f>Assumptions!M155</f>
        <v>2721.585414</v>
      </c>
      <c r="M20" s="183">
        <f>Assumptions!N155</f>
        <v>2743.851125</v>
      </c>
      <c r="N20" s="183">
        <f>Assumptions!O155</f>
        <v>2742.671439</v>
      </c>
      <c r="O20" s="183">
        <f>Assumptions!P155</f>
        <v>2741.896908</v>
      </c>
      <c r="P20" s="183">
        <f>Assumptions!Q155</f>
        <v>2754.006872</v>
      </c>
      <c r="Q20" s="183">
        <f>Assumptions!R155</f>
        <v>2747.749312</v>
      </c>
      <c r="R20" s="183">
        <f>Assumptions!S155</f>
        <v>2744.435844</v>
      </c>
      <c r="S20" s="183">
        <f>Assumptions!T155</f>
        <v>2742.77634</v>
      </c>
      <c r="T20" s="183">
        <f>Assumptions!U155</f>
        <v>2741.946546</v>
      </c>
      <c r="U20" s="183">
        <f>Assumptions!V155</f>
        <v>2741.531649</v>
      </c>
      <c r="V20" s="183">
        <f>Assumptions!W155</f>
        <v>2741.3242</v>
      </c>
      <c r="W20" s="183">
        <f>Assumptions!X155</f>
        <v>2741.220476</v>
      </c>
      <c r="X20" s="183">
        <f>Assumptions!Y155</f>
        <v>2741.168613</v>
      </c>
      <c r="Y20" s="183">
        <f>Assumptions!Z155</f>
        <v>2741.142682</v>
      </c>
      <c r="Z20" s="183">
        <f>Assumptions!AA155</f>
        <v>2741.129717</v>
      </c>
      <c r="AA20" s="183">
        <f>Assumptions!AB155</f>
        <v>2741.123234</v>
      </c>
      <c r="AB20" s="183">
        <f>Assumptions!AC155</f>
        <v>2741.119993</v>
      </c>
      <c r="AC20" s="183">
        <f>Assumptions!AD155</f>
        <v>2741.118372</v>
      </c>
      <c r="AD20" s="183">
        <f>Assumptions!AE155</f>
        <v>2741.117562</v>
      </c>
      <c r="AE20" s="183">
        <f>Assumptions!AF155</f>
        <v>2741.117156</v>
      </c>
      <c r="AF20" s="183">
        <f>Assumptions!AG155</f>
        <v>2741.116954</v>
      </c>
      <c r="AG20" s="183">
        <f>Assumptions!AH155</f>
        <v>2741.116853</v>
      </c>
      <c r="AH20" s="183">
        <f>Assumptions!AI155</f>
        <v>2741.116802</v>
      </c>
      <c r="AI20" s="183">
        <f>Assumptions!AJ155</f>
        <v>2741.116777</v>
      </c>
      <c r="AJ20" s="183">
        <f>Assumptions!AK155</f>
        <v>2741.116764</v>
      </c>
      <c r="AK20" s="183">
        <f>Assumptions!AL155</f>
        <v>2741.116758</v>
      </c>
      <c r="AL20" s="183">
        <f>Assumptions!AM155</f>
        <v>2741.116754</v>
      </c>
      <c r="AM20" s="183">
        <f>Assumptions!AN155</f>
        <v>2741.116753</v>
      </c>
      <c r="AN20" s="183">
        <f>Assumptions!AO155</f>
        <v>2741.116752</v>
      </c>
      <c r="AO20" s="183">
        <f>Assumptions!AP155</f>
        <v>2741.116752</v>
      </c>
      <c r="AP20" s="183">
        <f>Assumptions!AQ155</f>
        <v>2741.116751</v>
      </c>
      <c r="AQ20" s="183">
        <f>Assumptions!AR155</f>
        <v>2741.116751</v>
      </c>
      <c r="AR20" s="183">
        <f>Assumptions!AS155</f>
        <v>2741.116751</v>
      </c>
      <c r="AS20" s="183">
        <f>Assumptions!AT155</f>
        <v>2741.116751</v>
      </c>
      <c r="AT20" s="183">
        <f>Assumptions!AU155</f>
        <v>2741.116751</v>
      </c>
      <c r="AU20" s="183">
        <f>Assumptions!AV155</f>
        <v>2741.116751</v>
      </c>
      <c r="AV20" s="183">
        <f>Assumptions!AW155</f>
        <v>2741.116751</v>
      </c>
      <c r="AW20" s="183">
        <f>Assumptions!AX155</f>
        <v>2741.116751</v>
      </c>
      <c r="AX20" s="183">
        <f>Assumptions!AY155</f>
        <v>2741.116751</v>
      </c>
      <c r="AY20" s="183">
        <f>Assumptions!AZ155</f>
        <v>2741.116751</v>
      </c>
      <c r="AZ20" s="183">
        <f>Assumptions!BA155</f>
        <v>2741.116751</v>
      </c>
      <c r="BA20" s="183">
        <f>Assumptions!BB155</f>
        <v>2741.116751</v>
      </c>
      <c r="BB20" s="183">
        <f>Assumptions!BC155</f>
        <v>2741.116751</v>
      </c>
      <c r="BC20" s="183">
        <f>Assumptions!BD155</f>
        <v>2741.116751</v>
      </c>
      <c r="BD20" s="183">
        <f>Assumptions!BE155</f>
        <v>2741.116751</v>
      </c>
      <c r="BE20" s="183">
        <f>Assumptions!BF155</f>
        <v>2741.116751</v>
      </c>
      <c r="BF20" s="183">
        <f>Assumptions!BG155</f>
        <v>2741.116751</v>
      </c>
      <c r="BG20" s="183">
        <f>Assumptions!BH155</f>
        <v>2741.116751</v>
      </c>
      <c r="BH20" s="183">
        <f>Assumptions!BI155</f>
        <v>2741.116751</v>
      </c>
      <c r="BI20" s="183">
        <f>Assumptions!BJ155</f>
        <v>2741.116751</v>
      </c>
      <c r="BJ20" s="183">
        <f>Assumptions!BK155</f>
        <v>2741.116751</v>
      </c>
      <c r="BK20" s="183">
        <f>Assumptions!BL155</f>
        <v>2741.116751</v>
      </c>
      <c r="BL20" s="183">
        <f>Assumptions!BM155</f>
        <v>2741.116751</v>
      </c>
      <c r="BM20" s="183">
        <f>Assumptions!BN155</f>
        <v>2741.116751</v>
      </c>
      <c r="BN20" s="172"/>
    </row>
    <row r="21" outlineLevel="1">
      <c r="A21" s="172"/>
      <c r="B21" s="181" t="s">
        <v>156</v>
      </c>
      <c r="C21" s="172"/>
      <c r="D21" s="172"/>
      <c r="E21" s="172"/>
      <c r="F21" s="184">
        <f t="shared" ref="F21:BM21" si="7">SUM(F16:F20)</f>
        <v>239407.5</v>
      </c>
      <c r="G21" s="184">
        <f t="shared" si="7"/>
        <v>240624.8625</v>
      </c>
      <c r="H21" s="184">
        <f t="shared" si="7"/>
        <v>241278.7479</v>
      </c>
      <c r="I21" s="184">
        <f t="shared" si="7"/>
        <v>241606.3687</v>
      </c>
      <c r="J21" s="184">
        <f t="shared" si="7"/>
        <v>241792.6893</v>
      </c>
      <c r="K21" s="184">
        <f t="shared" si="7"/>
        <v>241863.6872</v>
      </c>
      <c r="L21" s="184">
        <f t="shared" si="7"/>
        <v>241898.8537</v>
      </c>
      <c r="M21" s="184">
        <f t="shared" si="7"/>
        <v>241938.932</v>
      </c>
      <c r="N21" s="184">
        <f t="shared" si="7"/>
        <v>241936.8086</v>
      </c>
      <c r="O21" s="184">
        <f t="shared" si="7"/>
        <v>241935.4144</v>
      </c>
      <c r="P21" s="184">
        <f t="shared" si="7"/>
        <v>241957.2124</v>
      </c>
      <c r="Q21" s="184">
        <f t="shared" si="7"/>
        <v>241945.9488</v>
      </c>
      <c r="R21" s="184">
        <f t="shared" si="7"/>
        <v>241939.9845</v>
      </c>
      <c r="S21" s="184">
        <f t="shared" si="7"/>
        <v>241936.9974</v>
      </c>
      <c r="T21" s="184">
        <f t="shared" si="7"/>
        <v>241935.5038</v>
      </c>
      <c r="U21" s="184">
        <f t="shared" si="7"/>
        <v>241934.757</v>
      </c>
      <c r="V21" s="184">
        <f t="shared" si="7"/>
        <v>241934.3836</v>
      </c>
      <c r="W21" s="184">
        <f t="shared" si="7"/>
        <v>241934.1969</v>
      </c>
      <c r="X21" s="184">
        <f t="shared" si="7"/>
        <v>241934.1035</v>
      </c>
      <c r="Y21" s="184">
        <f t="shared" si="7"/>
        <v>241934.0568</v>
      </c>
      <c r="Z21" s="184">
        <f t="shared" si="7"/>
        <v>241934.0335</v>
      </c>
      <c r="AA21" s="184">
        <f t="shared" si="7"/>
        <v>241934.0218</v>
      </c>
      <c r="AB21" s="184">
        <f t="shared" si="7"/>
        <v>241934.016</v>
      </c>
      <c r="AC21" s="184">
        <f t="shared" si="7"/>
        <v>241934.0131</v>
      </c>
      <c r="AD21" s="184">
        <f t="shared" si="7"/>
        <v>241934.0116</v>
      </c>
      <c r="AE21" s="184">
        <f t="shared" si="7"/>
        <v>241934.0109</v>
      </c>
      <c r="AF21" s="184">
        <f t="shared" si="7"/>
        <v>241934.0105</v>
      </c>
      <c r="AG21" s="184">
        <f t="shared" si="7"/>
        <v>241934.0103</v>
      </c>
      <c r="AH21" s="184">
        <f t="shared" si="7"/>
        <v>241934.0102</v>
      </c>
      <c r="AI21" s="184">
        <f t="shared" si="7"/>
        <v>241934.0102</v>
      </c>
      <c r="AJ21" s="184">
        <f t="shared" si="7"/>
        <v>241934.0102</v>
      </c>
      <c r="AK21" s="184">
        <f t="shared" si="7"/>
        <v>241934.0102</v>
      </c>
      <c r="AL21" s="184">
        <f t="shared" si="7"/>
        <v>241934.0102</v>
      </c>
      <c r="AM21" s="184">
        <f t="shared" si="7"/>
        <v>241934.0102</v>
      </c>
      <c r="AN21" s="184">
        <f t="shared" si="7"/>
        <v>241934.0102</v>
      </c>
      <c r="AO21" s="184">
        <f t="shared" si="7"/>
        <v>241934.0102</v>
      </c>
      <c r="AP21" s="184">
        <f t="shared" si="7"/>
        <v>241934.0102</v>
      </c>
      <c r="AQ21" s="184">
        <f t="shared" si="7"/>
        <v>241934.0102</v>
      </c>
      <c r="AR21" s="184">
        <f t="shared" si="7"/>
        <v>241934.0102</v>
      </c>
      <c r="AS21" s="184">
        <f t="shared" si="7"/>
        <v>241934.0102</v>
      </c>
      <c r="AT21" s="184">
        <f t="shared" si="7"/>
        <v>241934.0102</v>
      </c>
      <c r="AU21" s="184">
        <f t="shared" si="7"/>
        <v>241934.0102</v>
      </c>
      <c r="AV21" s="184">
        <f t="shared" si="7"/>
        <v>241934.0102</v>
      </c>
      <c r="AW21" s="184">
        <f t="shared" si="7"/>
        <v>241934.0102</v>
      </c>
      <c r="AX21" s="184">
        <f t="shared" si="7"/>
        <v>241934.0102</v>
      </c>
      <c r="AY21" s="184">
        <f t="shared" si="7"/>
        <v>241934.0102</v>
      </c>
      <c r="AZ21" s="184">
        <f t="shared" si="7"/>
        <v>241934.0102</v>
      </c>
      <c r="BA21" s="184">
        <f t="shared" si="7"/>
        <v>241934.0102</v>
      </c>
      <c r="BB21" s="184">
        <f t="shared" si="7"/>
        <v>241934.0102</v>
      </c>
      <c r="BC21" s="184">
        <f t="shared" si="7"/>
        <v>241934.0102</v>
      </c>
      <c r="BD21" s="184">
        <f t="shared" si="7"/>
        <v>241934.0102</v>
      </c>
      <c r="BE21" s="184">
        <f t="shared" si="7"/>
        <v>241934.0102</v>
      </c>
      <c r="BF21" s="184">
        <f t="shared" si="7"/>
        <v>241934.0102</v>
      </c>
      <c r="BG21" s="184">
        <f t="shared" si="7"/>
        <v>241934.0102</v>
      </c>
      <c r="BH21" s="184">
        <f t="shared" si="7"/>
        <v>241934.0102</v>
      </c>
      <c r="BI21" s="184">
        <f t="shared" si="7"/>
        <v>241934.0102</v>
      </c>
      <c r="BJ21" s="184">
        <f t="shared" si="7"/>
        <v>241934.0102</v>
      </c>
      <c r="BK21" s="184">
        <f t="shared" si="7"/>
        <v>241934.0102</v>
      </c>
      <c r="BL21" s="184">
        <f t="shared" si="7"/>
        <v>241934.0102</v>
      </c>
      <c r="BM21" s="184">
        <f t="shared" si="7"/>
        <v>241934.0102</v>
      </c>
      <c r="BN21" s="172"/>
    </row>
    <row r="22" outlineLevel="1">
      <c r="A22" s="172"/>
      <c r="B22" s="172"/>
      <c r="C22" s="172"/>
      <c r="D22" s="172"/>
      <c r="E22" s="172"/>
      <c r="F22" s="172"/>
      <c r="G22" s="172"/>
      <c r="H22" s="172"/>
      <c r="I22" s="172"/>
      <c r="J22" s="172"/>
      <c r="K22" s="172"/>
      <c r="L22" s="172"/>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row>
    <row r="23" outlineLevel="1">
      <c r="A23" s="172"/>
      <c r="B23" s="175" t="s">
        <v>157</v>
      </c>
      <c r="C23" s="176"/>
      <c r="D23" s="176"/>
      <c r="E23" s="176"/>
      <c r="F23" s="177">
        <f t="shared" ref="F23:BM23" si="8">F12-F21</f>
        <v>-230713.75</v>
      </c>
      <c r="G23" s="177">
        <f t="shared" si="8"/>
        <v>-227535.0813</v>
      </c>
      <c r="H23" s="177">
        <f t="shared" si="8"/>
        <v>-225827.7137</v>
      </c>
      <c r="I23" s="177">
        <f t="shared" si="8"/>
        <v>-224972.2595</v>
      </c>
      <c r="J23" s="177">
        <f t="shared" si="8"/>
        <v>-224485.7558</v>
      </c>
      <c r="K23" s="177">
        <f t="shared" si="8"/>
        <v>-224300.3723</v>
      </c>
      <c r="L23" s="177">
        <f t="shared" si="8"/>
        <v>-224208.5486</v>
      </c>
      <c r="M23" s="177">
        <f t="shared" si="8"/>
        <v>-224103.8997</v>
      </c>
      <c r="N23" s="177">
        <f t="shared" si="8"/>
        <v>-224109.4442</v>
      </c>
      <c r="O23" s="177">
        <f t="shared" si="8"/>
        <v>-224113.0845</v>
      </c>
      <c r="P23" s="177">
        <f t="shared" si="8"/>
        <v>-224056.1677</v>
      </c>
      <c r="Q23" s="177">
        <f t="shared" si="8"/>
        <v>-224085.5782</v>
      </c>
      <c r="R23" s="177">
        <f t="shared" si="8"/>
        <v>-224101.1515</v>
      </c>
      <c r="S23" s="177">
        <f t="shared" si="8"/>
        <v>-224108.9512</v>
      </c>
      <c r="T23" s="177">
        <f t="shared" si="8"/>
        <v>-224112.8512</v>
      </c>
      <c r="U23" s="177">
        <f t="shared" si="8"/>
        <v>-224114.8013</v>
      </c>
      <c r="V23" s="177">
        <f t="shared" si="8"/>
        <v>-224115.7763</v>
      </c>
      <c r="W23" s="177">
        <f t="shared" si="8"/>
        <v>-224116.2638</v>
      </c>
      <c r="X23" s="177">
        <f t="shared" si="8"/>
        <v>-224116.5075</v>
      </c>
      <c r="Y23" s="177">
        <f t="shared" si="8"/>
        <v>-224116.6294</v>
      </c>
      <c r="Z23" s="177">
        <f t="shared" si="8"/>
        <v>-224116.6903</v>
      </c>
      <c r="AA23" s="177">
        <f t="shared" si="8"/>
        <v>-224116.7208</v>
      </c>
      <c r="AB23" s="177">
        <f t="shared" si="8"/>
        <v>-224116.736</v>
      </c>
      <c r="AC23" s="177">
        <f t="shared" si="8"/>
        <v>-224116.7437</v>
      </c>
      <c r="AD23" s="177">
        <f t="shared" si="8"/>
        <v>-224116.7475</v>
      </c>
      <c r="AE23" s="177">
        <f t="shared" si="8"/>
        <v>-224116.7494</v>
      </c>
      <c r="AF23" s="177">
        <f t="shared" si="8"/>
        <v>-224116.7503</v>
      </c>
      <c r="AG23" s="177">
        <f t="shared" si="8"/>
        <v>-224116.7508</v>
      </c>
      <c r="AH23" s="177">
        <f t="shared" si="8"/>
        <v>-224116.751</v>
      </c>
      <c r="AI23" s="177">
        <f t="shared" si="8"/>
        <v>-224116.7512</v>
      </c>
      <c r="AJ23" s="177">
        <f t="shared" si="8"/>
        <v>-224116.7512</v>
      </c>
      <c r="AK23" s="177">
        <f t="shared" si="8"/>
        <v>-224116.7512</v>
      </c>
      <c r="AL23" s="177">
        <f t="shared" si="8"/>
        <v>-224116.7513</v>
      </c>
      <c r="AM23" s="177">
        <f t="shared" si="8"/>
        <v>-224116.7513</v>
      </c>
      <c r="AN23" s="177">
        <f t="shared" si="8"/>
        <v>-224116.7513</v>
      </c>
      <c r="AO23" s="177">
        <f t="shared" si="8"/>
        <v>-224116.7513</v>
      </c>
      <c r="AP23" s="177">
        <f t="shared" si="8"/>
        <v>-224116.7513</v>
      </c>
      <c r="AQ23" s="177">
        <f t="shared" si="8"/>
        <v>-224116.7513</v>
      </c>
      <c r="AR23" s="177">
        <f t="shared" si="8"/>
        <v>-224116.7513</v>
      </c>
      <c r="AS23" s="177">
        <f t="shared" si="8"/>
        <v>-224116.7513</v>
      </c>
      <c r="AT23" s="177">
        <f t="shared" si="8"/>
        <v>-224116.7513</v>
      </c>
      <c r="AU23" s="177">
        <f t="shared" si="8"/>
        <v>-224116.7513</v>
      </c>
      <c r="AV23" s="177">
        <f t="shared" si="8"/>
        <v>-224116.7513</v>
      </c>
      <c r="AW23" s="177">
        <f t="shared" si="8"/>
        <v>-224116.7513</v>
      </c>
      <c r="AX23" s="177">
        <f t="shared" si="8"/>
        <v>-224116.7513</v>
      </c>
      <c r="AY23" s="177">
        <f t="shared" si="8"/>
        <v>-224116.7513</v>
      </c>
      <c r="AZ23" s="177">
        <f t="shared" si="8"/>
        <v>-224116.7513</v>
      </c>
      <c r="BA23" s="177">
        <f t="shared" si="8"/>
        <v>-224116.7513</v>
      </c>
      <c r="BB23" s="177">
        <f t="shared" si="8"/>
        <v>-224116.7513</v>
      </c>
      <c r="BC23" s="177">
        <f t="shared" si="8"/>
        <v>-224116.7513</v>
      </c>
      <c r="BD23" s="177">
        <f t="shared" si="8"/>
        <v>-224116.7513</v>
      </c>
      <c r="BE23" s="177">
        <f t="shared" si="8"/>
        <v>-224116.7513</v>
      </c>
      <c r="BF23" s="177">
        <f t="shared" si="8"/>
        <v>-224116.7513</v>
      </c>
      <c r="BG23" s="177">
        <f t="shared" si="8"/>
        <v>-224116.7513</v>
      </c>
      <c r="BH23" s="177">
        <f t="shared" si="8"/>
        <v>-224116.7513</v>
      </c>
      <c r="BI23" s="177">
        <f t="shared" si="8"/>
        <v>-224116.7513</v>
      </c>
      <c r="BJ23" s="177">
        <f t="shared" si="8"/>
        <v>-224116.7513</v>
      </c>
      <c r="BK23" s="177">
        <f t="shared" si="8"/>
        <v>-224116.7513</v>
      </c>
      <c r="BL23" s="177">
        <f t="shared" si="8"/>
        <v>-224116.7513</v>
      </c>
      <c r="BM23" s="177">
        <f t="shared" si="8"/>
        <v>-224116.7513</v>
      </c>
      <c r="BN23" s="172"/>
    </row>
    <row r="24" outlineLevel="1">
      <c r="A24" s="172"/>
      <c r="B24" s="182" t="s">
        <v>158</v>
      </c>
      <c r="C24" s="172"/>
      <c r="D24" s="172"/>
      <c r="E24" s="172"/>
      <c r="F24" s="172">
        <f>SUM(Assumptions!G176:G179)-sum(Assumptions!E176:E179)</f>
        <v>0</v>
      </c>
      <c r="G24" s="172">
        <f>SUM(Assumptions!H176:H179)-sum(Assumptions!G176:G179)</f>
        <v>0</v>
      </c>
      <c r="H24" s="172">
        <f>SUM(Assumptions!I176:I179)-sum(Assumptions!H176:H179)</f>
        <v>0</v>
      </c>
      <c r="I24" s="172">
        <f>SUM(Assumptions!J176:J179)-sum(Assumptions!I176:I179)</f>
        <v>0</v>
      </c>
      <c r="J24" s="172">
        <f>SUM(Assumptions!K176:K179)-sum(Assumptions!J176:J179)</f>
        <v>0</v>
      </c>
      <c r="K24" s="172">
        <f>SUM(Assumptions!L176:L179)-sum(Assumptions!K176:K179)</f>
        <v>0</v>
      </c>
      <c r="L24" s="172">
        <f>SUM(Assumptions!M176:M179)-sum(Assumptions!L176:L179)</f>
        <v>0</v>
      </c>
      <c r="M24" s="172">
        <f>SUM(Assumptions!N176:N179)-sum(Assumptions!M176:M179)</f>
        <v>0</v>
      </c>
      <c r="N24" s="172">
        <f>SUM(Assumptions!O176:O179)-sum(Assumptions!N176:N179)</f>
        <v>0</v>
      </c>
      <c r="O24" s="172">
        <f>SUM(Assumptions!P176:P179)-sum(Assumptions!O176:O179)</f>
        <v>0</v>
      </c>
      <c r="P24" s="172">
        <f>SUM(Assumptions!Q176:Q179)-sum(Assumptions!P176:P179)</f>
        <v>0</v>
      </c>
      <c r="Q24" s="172">
        <f>SUM(Assumptions!R176:R179)-sum(Assumptions!Q176:Q179)</f>
        <v>0</v>
      </c>
      <c r="R24" s="172">
        <f>SUM(Assumptions!S176:S179)-sum(Assumptions!R176:R179)</f>
        <v>0</v>
      </c>
      <c r="S24" s="172">
        <f>SUM(Assumptions!T176:T179)-sum(Assumptions!S176:S179)</f>
        <v>0</v>
      </c>
      <c r="T24" s="172">
        <f>SUM(Assumptions!U176:U179)-sum(Assumptions!T176:T179)</f>
        <v>0</v>
      </c>
      <c r="U24" s="172">
        <f>SUM(Assumptions!V176:V179)-sum(Assumptions!U176:U179)</f>
        <v>0</v>
      </c>
      <c r="V24" s="172">
        <f>SUM(Assumptions!W176:W179)-sum(Assumptions!V176:V179)</f>
        <v>0</v>
      </c>
      <c r="W24" s="172">
        <f>SUM(Assumptions!X176:X179)-sum(Assumptions!W176:W179)</f>
        <v>0</v>
      </c>
      <c r="X24" s="172">
        <f>SUM(Assumptions!Y176:Y179)-sum(Assumptions!X176:X179)</f>
        <v>0</v>
      </c>
      <c r="Y24" s="172">
        <f>SUM(Assumptions!Z176:Z179)-sum(Assumptions!Y176:Y179)</f>
        <v>0</v>
      </c>
      <c r="Z24" s="172">
        <f>SUM(Assumptions!AA176:AA179)-sum(Assumptions!Z176:Z179)</f>
        <v>0</v>
      </c>
      <c r="AA24" s="172">
        <f>SUM(Assumptions!AB176:AB179)-sum(Assumptions!AA176:AA179)</f>
        <v>0</v>
      </c>
      <c r="AB24" s="172">
        <f>SUM(Assumptions!AC176:AC179)-sum(Assumptions!AB176:AB179)</f>
        <v>0</v>
      </c>
      <c r="AC24" s="172">
        <f>SUM(Assumptions!AD176:AD179)-sum(Assumptions!AC176:AC179)</f>
        <v>0</v>
      </c>
      <c r="AD24" s="172">
        <f>SUM(Assumptions!AE176:AE179)-sum(Assumptions!AD176:AD179)</f>
        <v>0</v>
      </c>
      <c r="AE24" s="172">
        <f>SUM(Assumptions!AF176:AF179)-sum(Assumptions!AE176:AE179)</f>
        <v>0</v>
      </c>
      <c r="AF24" s="172">
        <f>SUM(Assumptions!AG176:AG179)-sum(Assumptions!AF176:AF179)</f>
        <v>0</v>
      </c>
      <c r="AG24" s="172">
        <f>SUM(Assumptions!AH176:AH179)-sum(Assumptions!AG176:AG179)</f>
        <v>0</v>
      </c>
      <c r="AH24" s="172">
        <f>SUM(Assumptions!AI176:AI179)-sum(Assumptions!AH176:AH179)</f>
        <v>0</v>
      </c>
      <c r="AI24" s="172">
        <f>SUM(Assumptions!AJ176:AJ179)-sum(Assumptions!AI176:AI179)</f>
        <v>0</v>
      </c>
      <c r="AJ24" s="172">
        <f>SUM(Assumptions!AK176:AK179)-sum(Assumptions!AJ176:AJ179)</f>
        <v>0</v>
      </c>
      <c r="AK24" s="172">
        <f>SUM(Assumptions!AL176:AL179)-sum(Assumptions!AK176:AK179)</f>
        <v>0</v>
      </c>
      <c r="AL24" s="172">
        <f>SUM(Assumptions!AM176:AM179)-sum(Assumptions!AL176:AL179)</f>
        <v>0</v>
      </c>
      <c r="AM24" s="172">
        <f>SUM(Assumptions!AN176:AN179)-sum(Assumptions!AM176:AM179)</f>
        <v>0</v>
      </c>
      <c r="AN24" s="172">
        <f>SUM(Assumptions!AO176:AO179)-sum(Assumptions!AN176:AN179)</f>
        <v>0</v>
      </c>
      <c r="AO24" s="172">
        <f>SUM(Assumptions!AP176:AP179)-sum(Assumptions!AO176:AO179)</f>
        <v>0</v>
      </c>
      <c r="AP24" s="172">
        <f>SUM(Assumptions!AQ176:AQ179)-sum(Assumptions!AP176:AP179)</f>
        <v>0</v>
      </c>
      <c r="AQ24" s="172">
        <f>SUM(Assumptions!AR176:AR179)-sum(Assumptions!AQ176:AQ179)</f>
        <v>0</v>
      </c>
      <c r="AR24" s="172">
        <f>SUM(Assumptions!AS176:AS179)-sum(Assumptions!AR176:AR179)</f>
        <v>0</v>
      </c>
      <c r="AS24" s="172">
        <f>SUM(Assumptions!AT176:AT179)-sum(Assumptions!AS176:AS179)</f>
        <v>0</v>
      </c>
      <c r="AT24" s="172">
        <f>SUM(Assumptions!AU176:AU179)-sum(Assumptions!AT176:AT179)</f>
        <v>0</v>
      </c>
      <c r="AU24" s="172">
        <f>SUM(Assumptions!AV176:AV179)-sum(Assumptions!AU176:AU179)</f>
        <v>0</v>
      </c>
      <c r="AV24" s="172">
        <f>SUM(Assumptions!AW176:AW179)-sum(Assumptions!AV176:AV179)</f>
        <v>0</v>
      </c>
      <c r="AW24" s="172">
        <f>SUM(Assumptions!AX176:AX179)-sum(Assumptions!AW176:AW179)</f>
        <v>0</v>
      </c>
      <c r="AX24" s="172">
        <f>SUM(Assumptions!AY176:AY179)-sum(Assumptions!AX176:AX179)</f>
        <v>0</v>
      </c>
      <c r="AY24" s="172">
        <f>SUM(Assumptions!AZ176:AZ179)-sum(Assumptions!AY176:AY179)</f>
        <v>0</v>
      </c>
      <c r="AZ24" s="172">
        <f>SUM(Assumptions!BA176:BA179)-sum(Assumptions!AZ176:AZ179)</f>
        <v>0</v>
      </c>
      <c r="BA24" s="172">
        <f>SUM(Assumptions!BB176:BB179)-sum(Assumptions!BA176:BA179)</f>
        <v>0</v>
      </c>
      <c r="BB24" s="172">
        <f>SUM(Assumptions!BC176:BC179)-sum(Assumptions!BB176:BB179)</f>
        <v>0</v>
      </c>
      <c r="BC24" s="172">
        <f>SUM(Assumptions!BD176:BD179)-sum(Assumptions!BC176:BC179)</f>
        <v>0</v>
      </c>
      <c r="BD24" s="172">
        <f>SUM(Assumptions!BE176:BE179)-sum(Assumptions!BD176:BD179)</f>
        <v>0</v>
      </c>
      <c r="BE24" s="172">
        <f>SUM(Assumptions!BF176:BF179)-sum(Assumptions!BE176:BE179)</f>
        <v>0</v>
      </c>
      <c r="BF24" s="172">
        <f>SUM(Assumptions!BG176:BG179)-sum(Assumptions!BF176:BF179)</f>
        <v>0</v>
      </c>
      <c r="BG24" s="172">
        <f>SUM(Assumptions!BH176:BH179)-sum(Assumptions!BG176:BG179)</f>
        <v>0</v>
      </c>
      <c r="BH24" s="172">
        <f>SUM(Assumptions!BI176:BI179)-sum(Assumptions!BH176:BH179)</f>
        <v>0</v>
      </c>
      <c r="BI24" s="172">
        <f>SUM(Assumptions!BJ176:BJ179)-sum(Assumptions!BI176:BI179)</f>
        <v>0</v>
      </c>
      <c r="BJ24" s="172">
        <f>SUM(Assumptions!BK176:BK179)-sum(Assumptions!BJ176:BJ179)</f>
        <v>0</v>
      </c>
      <c r="BK24" s="172">
        <f>SUM(Assumptions!BL176:BL179)-sum(Assumptions!BK176:BK179)</f>
        <v>0</v>
      </c>
      <c r="BL24" s="172">
        <f>SUM(Assumptions!BM176:BM179)-sum(Assumptions!BL176:BL179)</f>
        <v>0</v>
      </c>
      <c r="BM24" s="172">
        <f>SUM(Assumptions!BN176:BN179)-sum(Assumptions!BM176:BM179)</f>
        <v>0</v>
      </c>
      <c r="BN24" s="172"/>
    </row>
    <row r="25" outlineLevel="1">
      <c r="A25" s="172"/>
      <c r="B25" s="175" t="s">
        <v>159</v>
      </c>
      <c r="C25" s="176"/>
      <c r="D25" s="176"/>
      <c r="E25" s="176"/>
      <c r="F25" s="177">
        <f t="shared" ref="F25:BM25" si="9">F23-F24</f>
        <v>-230713.75</v>
      </c>
      <c r="G25" s="177">
        <f t="shared" si="9"/>
        <v>-227535.0813</v>
      </c>
      <c r="H25" s="177">
        <f t="shared" si="9"/>
        <v>-225827.7137</v>
      </c>
      <c r="I25" s="177">
        <f t="shared" si="9"/>
        <v>-224972.2595</v>
      </c>
      <c r="J25" s="177">
        <f t="shared" si="9"/>
        <v>-224485.7558</v>
      </c>
      <c r="K25" s="177">
        <f t="shared" si="9"/>
        <v>-224300.3723</v>
      </c>
      <c r="L25" s="177">
        <f t="shared" si="9"/>
        <v>-224208.5486</v>
      </c>
      <c r="M25" s="177">
        <f t="shared" si="9"/>
        <v>-224103.8997</v>
      </c>
      <c r="N25" s="177">
        <f t="shared" si="9"/>
        <v>-224109.4442</v>
      </c>
      <c r="O25" s="177">
        <f t="shared" si="9"/>
        <v>-224113.0845</v>
      </c>
      <c r="P25" s="177">
        <f t="shared" si="9"/>
        <v>-224056.1677</v>
      </c>
      <c r="Q25" s="177">
        <f t="shared" si="9"/>
        <v>-224085.5782</v>
      </c>
      <c r="R25" s="177">
        <f t="shared" si="9"/>
        <v>-224101.1515</v>
      </c>
      <c r="S25" s="177">
        <f t="shared" si="9"/>
        <v>-224108.9512</v>
      </c>
      <c r="T25" s="177">
        <f t="shared" si="9"/>
        <v>-224112.8512</v>
      </c>
      <c r="U25" s="177">
        <f t="shared" si="9"/>
        <v>-224114.8013</v>
      </c>
      <c r="V25" s="177">
        <f t="shared" si="9"/>
        <v>-224115.7763</v>
      </c>
      <c r="W25" s="177">
        <f t="shared" si="9"/>
        <v>-224116.2638</v>
      </c>
      <c r="X25" s="177">
        <f t="shared" si="9"/>
        <v>-224116.5075</v>
      </c>
      <c r="Y25" s="177">
        <f t="shared" si="9"/>
        <v>-224116.6294</v>
      </c>
      <c r="Z25" s="177">
        <f t="shared" si="9"/>
        <v>-224116.6903</v>
      </c>
      <c r="AA25" s="177">
        <f t="shared" si="9"/>
        <v>-224116.7208</v>
      </c>
      <c r="AB25" s="177">
        <f t="shared" si="9"/>
        <v>-224116.736</v>
      </c>
      <c r="AC25" s="177">
        <f t="shared" si="9"/>
        <v>-224116.7437</v>
      </c>
      <c r="AD25" s="177">
        <f t="shared" si="9"/>
        <v>-224116.7475</v>
      </c>
      <c r="AE25" s="177">
        <f t="shared" si="9"/>
        <v>-224116.7494</v>
      </c>
      <c r="AF25" s="177">
        <f t="shared" si="9"/>
        <v>-224116.7503</v>
      </c>
      <c r="AG25" s="177">
        <f t="shared" si="9"/>
        <v>-224116.7508</v>
      </c>
      <c r="AH25" s="177">
        <f t="shared" si="9"/>
        <v>-224116.751</v>
      </c>
      <c r="AI25" s="177">
        <f t="shared" si="9"/>
        <v>-224116.7512</v>
      </c>
      <c r="AJ25" s="177">
        <f t="shared" si="9"/>
        <v>-224116.7512</v>
      </c>
      <c r="AK25" s="177">
        <f t="shared" si="9"/>
        <v>-224116.7512</v>
      </c>
      <c r="AL25" s="177">
        <f t="shared" si="9"/>
        <v>-224116.7513</v>
      </c>
      <c r="AM25" s="177">
        <f t="shared" si="9"/>
        <v>-224116.7513</v>
      </c>
      <c r="AN25" s="177">
        <f t="shared" si="9"/>
        <v>-224116.7513</v>
      </c>
      <c r="AO25" s="177">
        <f t="shared" si="9"/>
        <v>-224116.7513</v>
      </c>
      <c r="AP25" s="177">
        <f t="shared" si="9"/>
        <v>-224116.7513</v>
      </c>
      <c r="AQ25" s="177">
        <f t="shared" si="9"/>
        <v>-224116.7513</v>
      </c>
      <c r="AR25" s="177">
        <f t="shared" si="9"/>
        <v>-224116.7513</v>
      </c>
      <c r="AS25" s="177">
        <f t="shared" si="9"/>
        <v>-224116.7513</v>
      </c>
      <c r="AT25" s="177">
        <f t="shared" si="9"/>
        <v>-224116.7513</v>
      </c>
      <c r="AU25" s="177">
        <f t="shared" si="9"/>
        <v>-224116.7513</v>
      </c>
      <c r="AV25" s="177">
        <f t="shared" si="9"/>
        <v>-224116.7513</v>
      </c>
      <c r="AW25" s="177">
        <f t="shared" si="9"/>
        <v>-224116.7513</v>
      </c>
      <c r="AX25" s="177">
        <f t="shared" si="9"/>
        <v>-224116.7513</v>
      </c>
      <c r="AY25" s="177">
        <f t="shared" si="9"/>
        <v>-224116.7513</v>
      </c>
      <c r="AZ25" s="177">
        <f t="shared" si="9"/>
        <v>-224116.7513</v>
      </c>
      <c r="BA25" s="177">
        <f t="shared" si="9"/>
        <v>-224116.7513</v>
      </c>
      <c r="BB25" s="177">
        <f t="shared" si="9"/>
        <v>-224116.7513</v>
      </c>
      <c r="BC25" s="177">
        <f t="shared" si="9"/>
        <v>-224116.7513</v>
      </c>
      <c r="BD25" s="177">
        <f t="shared" si="9"/>
        <v>-224116.7513</v>
      </c>
      <c r="BE25" s="177">
        <f t="shared" si="9"/>
        <v>-224116.7513</v>
      </c>
      <c r="BF25" s="177">
        <f t="shared" si="9"/>
        <v>-224116.7513</v>
      </c>
      <c r="BG25" s="177">
        <f t="shared" si="9"/>
        <v>-224116.7513</v>
      </c>
      <c r="BH25" s="177">
        <f t="shared" si="9"/>
        <v>-224116.7513</v>
      </c>
      <c r="BI25" s="177">
        <f t="shared" si="9"/>
        <v>-224116.7513</v>
      </c>
      <c r="BJ25" s="177">
        <f t="shared" si="9"/>
        <v>-224116.7513</v>
      </c>
      <c r="BK25" s="177">
        <f t="shared" si="9"/>
        <v>-224116.7513</v>
      </c>
      <c r="BL25" s="177">
        <f t="shared" si="9"/>
        <v>-224116.7513</v>
      </c>
      <c r="BM25" s="177">
        <f t="shared" si="9"/>
        <v>-224116.7513</v>
      </c>
      <c r="BN25" s="172"/>
    </row>
    <row r="26" outlineLevel="1">
      <c r="A26" s="172"/>
      <c r="B26" s="185" t="s">
        <v>160</v>
      </c>
      <c r="C26" s="183"/>
      <c r="D26" s="183"/>
      <c r="E26" s="183"/>
      <c r="F26" s="183">
        <f>IF(F25&gt;0,F25*Assumptions!$C$157,0)</f>
        <v>0</v>
      </c>
      <c r="G26" s="183">
        <f>IF(G25&gt;0,G25*Assumptions!$C$157,0)</f>
        <v>0</v>
      </c>
      <c r="H26" s="183">
        <f>IF(H25&gt;0,H25*Assumptions!$C$157,0)</f>
        <v>0</v>
      </c>
      <c r="I26" s="183">
        <f>IF(I25&gt;0,I25*Assumptions!$C$157,0)</f>
        <v>0</v>
      </c>
      <c r="J26" s="183">
        <f>IF(J25&gt;0,J25*Assumptions!$C$157,0)</f>
        <v>0</v>
      </c>
      <c r="K26" s="183">
        <f>IF(K25&gt;0,K25*Assumptions!$C$157,0)</f>
        <v>0</v>
      </c>
      <c r="L26" s="183">
        <f>IF(L25&gt;0,L25*Assumptions!$C$157,0)</f>
        <v>0</v>
      </c>
      <c r="M26" s="183">
        <f>IF(M25&gt;0,M25*Assumptions!$C$157,0)</f>
        <v>0</v>
      </c>
      <c r="N26" s="183">
        <f>IF(N25&gt;0,N25*Assumptions!$C$157,0)</f>
        <v>0</v>
      </c>
      <c r="O26" s="183">
        <f>IF(O25&gt;0,O25*Assumptions!$C$157,0)</f>
        <v>0</v>
      </c>
      <c r="P26" s="183">
        <f>IF(P25&gt;0,P25*Assumptions!$C$157,0)</f>
        <v>0</v>
      </c>
      <c r="Q26" s="183">
        <f>IF(Q25&gt;0,Q25*Assumptions!$C$157,0)</f>
        <v>0</v>
      </c>
      <c r="R26" s="183">
        <f>IF(R25&gt;0,R25*Assumptions!$C$157,0)</f>
        <v>0</v>
      </c>
      <c r="S26" s="183">
        <f>IF(S25&gt;0,S25*Assumptions!$C$157,0)</f>
        <v>0</v>
      </c>
      <c r="T26" s="183">
        <f>IF(T25&gt;0,T25*Assumptions!$C$157,0)</f>
        <v>0</v>
      </c>
      <c r="U26" s="183">
        <f>IF(U25&gt;0,U25*Assumptions!$C$157,0)</f>
        <v>0</v>
      </c>
      <c r="V26" s="183">
        <f>IF(V25&gt;0,V25*Assumptions!$C$157,0)</f>
        <v>0</v>
      </c>
      <c r="W26" s="183">
        <f>IF(W25&gt;0,W25*Assumptions!$C$157,0)</f>
        <v>0</v>
      </c>
      <c r="X26" s="183">
        <f>IF(X25&gt;0,X25*Assumptions!$C$157,0)</f>
        <v>0</v>
      </c>
      <c r="Y26" s="183">
        <f>IF(Y25&gt;0,Y25*Assumptions!$C$157,0)</f>
        <v>0</v>
      </c>
      <c r="Z26" s="183">
        <f>IF(Z25&gt;0,Z25*Assumptions!$C$157,0)</f>
        <v>0</v>
      </c>
      <c r="AA26" s="183">
        <f>IF(AA25&gt;0,AA25*Assumptions!$C$157,0)</f>
        <v>0</v>
      </c>
      <c r="AB26" s="183">
        <f>IF(AB25&gt;0,AB25*Assumptions!$C$157,0)</f>
        <v>0</v>
      </c>
      <c r="AC26" s="183">
        <f>IF(AC25&gt;0,AC25*Assumptions!$C$157,0)</f>
        <v>0</v>
      </c>
      <c r="AD26" s="183">
        <f>IF(AD25&gt;0,AD25*Assumptions!$C$157,0)</f>
        <v>0</v>
      </c>
      <c r="AE26" s="183">
        <f>IF(AE25&gt;0,AE25*Assumptions!$C$157,0)</f>
        <v>0</v>
      </c>
      <c r="AF26" s="183">
        <f>IF(AF25&gt;0,AF25*Assumptions!$C$157,0)</f>
        <v>0</v>
      </c>
      <c r="AG26" s="183">
        <f>IF(AG25&gt;0,AG25*Assumptions!$C$157,0)</f>
        <v>0</v>
      </c>
      <c r="AH26" s="183">
        <f>IF(AH25&gt;0,AH25*Assumptions!$C$157,0)</f>
        <v>0</v>
      </c>
      <c r="AI26" s="183">
        <f>IF(AI25&gt;0,AI25*Assumptions!$C$157,0)</f>
        <v>0</v>
      </c>
      <c r="AJ26" s="183">
        <f>IF(AJ25&gt;0,AJ25*Assumptions!$C$157,0)</f>
        <v>0</v>
      </c>
      <c r="AK26" s="183">
        <f>IF(AK25&gt;0,AK25*Assumptions!$C$157,0)</f>
        <v>0</v>
      </c>
      <c r="AL26" s="183">
        <f>IF(AL25&gt;0,AL25*Assumptions!$C$157,0)</f>
        <v>0</v>
      </c>
      <c r="AM26" s="183">
        <f>IF(AM25&gt;0,AM25*Assumptions!$C$157,0)</f>
        <v>0</v>
      </c>
      <c r="AN26" s="183">
        <f>IF(AN25&gt;0,AN25*Assumptions!$C$157,0)</f>
        <v>0</v>
      </c>
      <c r="AO26" s="183">
        <f>IF(AO25&gt;0,AO25*Assumptions!$C$157,0)</f>
        <v>0</v>
      </c>
      <c r="AP26" s="183">
        <f>IF(AP25&gt;0,AP25*Assumptions!$C$157,0)</f>
        <v>0</v>
      </c>
      <c r="AQ26" s="183">
        <f>IF(AQ25&gt;0,AQ25*Assumptions!$C$157,0)</f>
        <v>0</v>
      </c>
      <c r="AR26" s="183">
        <f>IF(AR25&gt;0,AR25*Assumptions!$C$157,0)</f>
        <v>0</v>
      </c>
      <c r="AS26" s="183">
        <f>IF(AS25&gt;0,AS25*Assumptions!$C$157,0)</f>
        <v>0</v>
      </c>
      <c r="AT26" s="183">
        <f>IF(AT25&gt;0,AT25*Assumptions!$C$157,0)</f>
        <v>0</v>
      </c>
      <c r="AU26" s="183">
        <f>IF(AU25&gt;0,AU25*Assumptions!$C$157,0)</f>
        <v>0</v>
      </c>
      <c r="AV26" s="183">
        <f>IF(AV25&gt;0,AV25*Assumptions!$C$157,0)</f>
        <v>0</v>
      </c>
      <c r="AW26" s="183">
        <f>IF(AW25&gt;0,AW25*Assumptions!$C$157,0)</f>
        <v>0</v>
      </c>
      <c r="AX26" s="183">
        <f>IF(AX25&gt;0,AX25*Assumptions!$C$157,0)</f>
        <v>0</v>
      </c>
      <c r="AY26" s="183">
        <f>IF(AY25&gt;0,AY25*Assumptions!$C$157,0)</f>
        <v>0</v>
      </c>
      <c r="AZ26" s="183">
        <f>IF(AZ25&gt;0,AZ25*Assumptions!$C$157,0)</f>
        <v>0</v>
      </c>
      <c r="BA26" s="183">
        <f>IF(BA25&gt;0,BA25*Assumptions!$C$157,0)</f>
        <v>0</v>
      </c>
      <c r="BB26" s="183">
        <f>IF(BB25&gt;0,BB25*Assumptions!$C$157,0)</f>
        <v>0</v>
      </c>
      <c r="BC26" s="183">
        <f>IF(BC25&gt;0,BC25*Assumptions!$C$157,0)</f>
        <v>0</v>
      </c>
      <c r="BD26" s="183">
        <f>IF(BD25&gt;0,BD25*Assumptions!$C$157,0)</f>
        <v>0</v>
      </c>
      <c r="BE26" s="183">
        <f>IF(BE25&gt;0,BE25*Assumptions!$C$157,0)</f>
        <v>0</v>
      </c>
      <c r="BF26" s="183">
        <f>IF(BF25&gt;0,BF25*Assumptions!$C$157,0)</f>
        <v>0</v>
      </c>
      <c r="BG26" s="183">
        <f>IF(BG25&gt;0,BG25*Assumptions!$C$157,0)</f>
        <v>0</v>
      </c>
      <c r="BH26" s="183">
        <f>IF(BH25&gt;0,BH25*Assumptions!$C$157,0)</f>
        <v>0</v>
      </c>
      <c r="BI26" s="183">
        <f>IF(BI25&gt;0,BI25*Assumptions!$C$157,0)</f>
        <v>0</v>
      </c>
      <c r="BJ26" s="183">
        <f>IF(BJ25&gt;0,BJ25*Assumptions!$C$157,0)</f>
        <v>0</v>
      </c>
      <c r="BK26" s="183">
        <f>IF(BK25&gt;0,BK25*Assumptions!$C$157,0)</f>
        <v>0</v>
      </c>
      <c r="BL26" s="183">
        <f>IF(BL25&gt;0,BL25*Assumptions!$C$157,0)</f>
        <v>0</v>
      </c>
      <c r="BM26" s="183">
        <f>IF(BM25&gt;0,BM25*Assumptions!$C$157,0)</f>
        <v>0</v>
      </c>
      <c r="BN26" s="172"/>
    </row>
    <row r="27" outlineLevel="1">
      <c r="A27" s="172"/>
      <c r="B27" s="181" t="s">
        <v>161</v>
      </c>
      <c r="C27" s="172"/>
      <c r="D27" s="172"/>
      <c r="E27" s="172"/>
      <c r="F27" s="184">
        <f t="shared" ref="F27:BM27" si="10">F25-F26</f>
        <v>-230713.75</v>
      </c>
      <c r="G27" s="184">
        <f t="shared" si="10"/>
        <v>-227535.0813</v>
      </c>
      <c r="H27" s="184">
        <f t="shared" si="10"/>
        <v>-225827.7137</v>
      </c>
      <c r="I27" s="184">
        <f t="shared" si="10"/>
        <v>-224972.2595</v>
      </c>
      <c r="J27" s="184">
        <f t="shared" si="10"/>
        <v>-224485.7558</v>
      </c>
      <c r="K27" s="184">
        <f t="shared" si="10"/>
        <v>-224300.3723</v>
      </c>
      <c r="L27" s="184">
        <f t="shared" si="10"/>
        <v>-224208.5486</v>
      </c>
      <c r="M27" s="184">
        <f t="shared" si="10"/>
        <v>-224103.8997</v>
      </c>
      <c r="N27" s="184">
        <f t="shared" si="10"/>
        <v>-224109.4442</v>
      </c>
      <c r="O27" s="184">
        <f t="shared" si="10"/>
        <v>-224113.0845</v>
      </c>
      <c r="P27" s="184">
        <f t="shared" si="10"/>
        <v>-224056.1677</v>
      </c>
      <c r="Q27" s="184">
        <f t="shared" si="10"/>
        <v>-224085.5782</v>
      </c>
      <c r="R27" s="184">
        <f t="shared" si="10"/>
        <v>-224101.1515</v>
      </c>
      <c r="S27" s="184">
        <f t="shared" si="10"/>
        <v>-224108.9512</v>
      </c>
      <c r="T27" s="184">
        <f t="shared" si="10"/>
        <v>-224112.8512</v>
      </c>
      <c r="U27" s="184">
        <f t="shared" si="10"/>
        <v>-224114.8013</v>
      </c>
      <c r="V27" s="184">
        <f t="shared" si="10"/>
        <v>-224115.7763</v>
      </c>
      <c r="W27" s="184">
        <f t="shared" si="10"/>
        <v>-224116.2638</v>
      </c>
      <c r="X27" s="184">
        <f t="shared" si="10"/>
        <v>-224116.5075</v>
      </c>
      <c r="Y27" s="184">
        <f t="shared" si="10"/>
        <v>-224116.6294</v>
      </c>
      <c r="Z27" s="184">
        <f t="shared" si="10"/>
        <v>-224116.6903</v>
      </c>
      <c r="AA27" s="184">
        <f t="shared" si="10"/>
        <v>-224116.7208</v>
      </c>
      <c r="AB27" s="184">
        <f t="shared" si="10"/>
        <v>-224116.736</v>
      </c>
      <c r="AC27" s="184">
        <f t="shared" si="10"/>
        <v>-224116.7437</v>
      </c>
      <c r="AD27" s="184">
        <f t="shared" si="10"/>
        <v>-224116.7475</v>
      </c>
      <c r="AE27" s="184">
        <f t="shared" si="10"/>
        <v>-224116.7494</v>
      </c>
      <c r="AF27" s="184">
        <f t="shared" si="10"/>
        <v>-224116.7503</v>
      </c>
      <c r="AG27" s="184">
        <f t="shared" si="10"/>
        <v>-224116.7508</v>
      </c>
      <c r="AH27" s="184">
        <f t="shared" si="10"/>
        <v>-224116.751</v>
      </c>
      <c r="AI27" s="184">
        <f t="shared" si="10"/>
        <v>-224116.7512</v>
      </c>
      <c r="AJ27" s="184">
        <f t="shared" si="10"/>
        <v>-224116.7512</v>
      </c>
      <c r="AK27" s="184">
        <f t="shared" si="10"/>
        <v>-224116.7512</v>
      </c>
      <c r="AL27" s="184">
        <f t="shared" si="10"/>
        <v>-224116.7513</v>
      </c>
      <c r="AM27" s="184">
        <f t="shared" si="10"/>
        <v>-224116.7513</v>
      </c>
      <c r="AN27" s="184">
        <f t="shared" si="10"/>
        <v>-224116.7513</v>
      </c>
      <c r="AO27" s="184">
        <f t="shared" si="10"/>
        <v>-224116.7513</v>
      </c>
      <c r="AP27" s="184">
        <f t="shared" si="10"/>
        <v>-224116.7513</v>
      </c>
      <c r="AQ27" s="184">
        <f t="shared" si="10"/>
        <v>-224116.7513</v>
      </c>
      <c r="AR27" s="184">
        <f t="shared" si="10"/>
        <v>-224116.7513</v>
      </c>
      <c r="AS27" s="184">
        <f t="shared" si="10"/>
        <v>-224116.7513</v>
      </c>
      <c r="AT27" s="184">
        <f t="shared" si="10"/>
        <v>-224116.7513</v>
      </c>
      <c r="AU27" s="184">
        <f t="shared" si="10"/>
        <v>-224116.7513</v>
      </c>
      <c r="AV27" s="184">
        <f t="shared" si="10"/>
        <v>-224116.7513</v>
      </c>
      <c r="AW27" s="184">
        <f t="shared" si="10"/>
        <v>-224116.7513</v>
      </c>
      <c r="AX27" s="184">
        <f t="shared" si="10"/>
        <v>-224116.7513</v>
      </c>
      <c r="AY27" s="184">
        <f t="shared" si="10"/>
        <v>-224116.7513</v>
      </c>
      <c r="AZ27" s="184">
        <f t="shared" si="10"/>
        <v>-224116.7513</v>
      </c>
      <c r="BA27" s="184">
        <f t="shared" si="10"/>
        <v>-224116.7513</v>
      </c>
      <c r="BB27" s="184">
        <f t="shared" si="10"/>
        <v>-224116.7513</v>
      </c>
      <c r="BC27" s="184">
        <f t="shared" si="10"/>
        <v>-224116.7513</v>
      </c>
      <c r="BD27" s="184">
        <f t="shared" si="10"/>
        <v>-224116.7513</v>
      </c>
      <c r="BE27" s="184">
        <f t="shared" si="10"/>
        <v>-224116.7513</v>
      </c>
      <c r="BF27" s="184">
        <f t="shared" si="10"/>
        <v>-224116.7513</v>
      </c>
      <c r="BG27" s="184">
        <f t="shared" si="10"/>
        <v>-224116.7513</v>
      </c>
      <c r="BH27" s="184">
        <f t="shared" si="10"/>
        <v>-224116.7513</v>
      </c>
      <c r="BI27" s="184">
        <f t="shared" si="10"/>
        <v>-224116.7513</v>
      </c>
      <c r="BJ27" s="184">
        <f t="shared" si="10"/>
        <v>-224116.7513</v>
      </c>
      <c r="BK27" s="184">
        <f t="shared" si="10"/>
        <v>-224116.7513</v>
      </c>
      <c r="BL27" s="184">
        <f t="shared" si="10"/>
        <v>-224116.7513</v>
      </c>
      <c r="BM27" s="184">
        <f t="shared" si="10"/>
        <v>-224116.7513</v>
      </c>
      <c r="BN27" s="172"/>
    </row>
    <row r="28" outlineLevel="1">
      <c r="A28" s="30"/>
      <c r="B28" s="186" t="s">
        <v>162</v>
      </c>
      <c r="C28" s="30"/>
      <c r="D28" s="30"/>
      <c r="E28" s="30"/>
      <c r="F28" s="180">
        <f t="shared" ref="F28:BM28" si="11">F27/F8</f>
        <v>-17.24962617</v>
      </c>
      <c r="G28" s="180">
        <f t="shared" si="11"/>
        <v>-11.29872226</v>
      </c>
      <c r="H28" s="180">
        <f t="shared" si="11"/>
        <v>-9.500206384</v>
      </c>
      <c r="I28" s="180">
        <f t="shared" si="11"/>
        <v>-8.791091025</v>
      </c>
      <c r="J28" s="180">
        <f t="shared" si="11"/>
        <v>-8.431056902</v>
      </c>
      <c r="K28" s="180">
        <f t="shared" si="11"/>
        <v>-8.301123249</v>
      </c>
      <c r="L28" s="180">
        <f t="shared" si="11"/>
        <v>-8.238159544</v>
      </c>
      <c r="M28" s="180">
        <f t="shared" si="11"/>
        <v>-8.167494864</v>
      </c>
      <c r="N28" s="180">
        <f t="shared" si="11"/>
        <v>-8.17121005</v>
      </c>
      <c r="O28" s="180">
        <f t="shared" si="11"/>
        <v>-8.173651019</v>
      </c>
      <c r="P28" s="180">
        <f t="shared" si="11"/>
        <v>-8.135643016</v>
      </c>
      <c r="Q28" s="180">
        <f t="shared" si="11"/>
        <v>-8.155240991</v>
      </c>
      <c r="R28" s="180">
        <f t="shared" si="11"/>
        <v>-8.165654592</v>
      </c>
      <c r="S28" s="180">
        <f t="shared" si="11"/>
        <v>-8.170879555</v>
      </c>
      <c r="T28" s="180">
        <f t="shared" si="11"/>
        <v>-8.17349454</v>
      </c>
      <c r="U28" s="180">
        <f t="shared" si="11"/>
        <v>-8.174802627</v>
      </c>
      <c r="V28" s="180">
        <f t="shared" si="11"/>
        <v>-8.17545682</v>
      </c>
      <c r="W28" s="180">
        <f t="shared" si="11"/>
        <v>-8.175783953</v>
      </c>
      <c r="X28" s="180">
        <f t="shared" si="11"/>
        <v>-8.175947529</v>
      </c>
      <c r="Y28" s="180">
        <f t="shared" si="11"/>
        <v>-8.176029319</v>
      </c>
      <c r="Z28" s="180">
        <f t="shared" si="11"/>
        <v>-8.176070215</v>
      </c>
      <c r="AA28" s="180">
        <f t="shared" si="11"/>
        <v>-8.176090663</v>
      </c>
      <c r="AB28" s="180">
        <f t="shared" si="11"/>
        <v>-8.176100887</v>
      </c>
      <c r="AC28" s="180">
        <f t="shared" si="11"/>
        <v>-8.176105999</v>
      </c>
      <c r="AD28" s="180">
        <f t="shared" si="11"/>
        <v>-8.176108555</v>
      </c>
      <c r="AE28" s="180">
        <f t="shared" si="11"/>
        <v>-8.176109833</v>
      </c>
      <c r="AF28" s="180">
        <f t="shared" si="11"/>
        <v>-8.176110472</v>
      </c>
      <c r="AG28" s="180">
        <f t="shared" si="11"/>
        <v>-8.176110792</v>
      </c>
      <c r="AH28" s="180">
        <f t="shared" si="11"/>
        <v>-8.176110951</v>
      </c>
      <c r="AI28" s="180">
        <f t="shared" si="11"/>
        <v>-8.176111031</v>
      </c>
      <c r="AJ28" s="180">
        <f t="shared" si="11"/>
        <v>-8.176111071</v>
      </c>
      <c r="AK28" s="180">
        <f t="shared" si="11"/>
        <v>-8.176111091</v>
      </c>
      <c r="AL28" s="180">
        <f t="shared" si="11"/>
        <v>-8.176111101</v>
      </c>
      <c r="AM28" s="180">
        <f t="shared" si="11"/>
        <v>-8.176111106</v>
      </c>
      <c r="AN28" s="180">
        <f t="shared" si="11"/>
        <v>-8.176111109</v>
      </c>
      <c r="AO28" s="180">
        <f t="shared" si="11"/>
        <v>-8.17611111</v>
      </c>
      <c r="AP28" s="180">
        <f t="shared" si="11"/>
        <v>-8.17611111</v>
      </c>
      <c r="AQ28" s="180">
        <f t="shared" si="11"/>
        <v>-8.176111111</v>
      </c>
      <c r="AR28" s="180">
        <f t="shared" si="11"/>
        <v>-8.176111111</v>
      </c>
      <c r="AS28" s="180">
        <f t="shared" si="11"/>
        <v>-8.176111111</v>
      </c>
      <c r="AT28" s="180">
        <f t="shared" si="11"/>
        <v>-8.176111111</v>
      </c>
      <c r="AU28" s="180">
        <f t="shared" si="11"/>
        <v>-8.176111111</v>
      </c>
      <c r="AV28" s="180">
        <f t="shared" si="11"/>
        <v>-8.176111111</v>
      </c>
      <c r="AW28" s="180">
        <f t="shared" si="11"/>
        <v>-8.176111111</v>
      </c>
      <c r="AX28" s="180">
        <f t="shared" si="11"/>
        <v>-8.176111111</v>
      </c>
      <c r="AY28" s="180">
        <f t="shared" si="11"/>
        <v>-8.176111111</v>
      </c>
      <c r="AZ28" s="180">
        <f t="shared" si="11"/>
        <v>-8.176111111</v>
      </c>
      <c r="BA28" s="180">
        <f t="shared" si="11"/>
        <v>-8.176111111</v>
      </c>
      <c r="BB28" s="180">
        <f t="shared" si="11"/>
        <v>-8.176111111</v>
      </c>
      <c r="BC28" s="180">
        <f t="shared" si="11"/>
        <v>-8.176111111</v>
      </c>
      <c r="BD28" s="180">
        <f t="shared" si="11"/>
        <v>-8.176111111</v>
      </c>
      <c r="BE28" s="180">
        <f t="shared" si="11"/>
        <v>-8.176111111</v>
      </c>
      <c r="BF28" s="180">
        <f t="shared" si="11"/>
        <v>-8.176111111</v>
      </c>
      <c r="BG28" s="180">
        <f t="shared" si="11"/>
        <v>-8.176111111</v>
      </c>
      <c r="BH28" s="180">
        <f t="shared" si="11"/>
        <v>-8.176111111</v>
      </c>
      <c r="BI28" s="180">
        <f t="shared" si="11"/>
        <v>-8.176111111</v>
      </c>
      <c r="BJ28" s="180">
        <f t="shared" si="11"/>
        <v>-8.176111111</v>
      </c>
      <c r="BK28" s="180">
        <f t="shared" si="11"/>
        <v>-8.176111111</v>
      </c>
      <c r="BL28" s="180">
        <f t="shared" si="11"/>
        <v>-8.176111111</v>
      </c>
      <c r="BM28" s="180">
        <f t="shared" si="11"/>
        <v>-8.176111111</v>
      </c>
      <c r="BN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row>
    <row r="30">
      <c r="A30" s="30"/>
      <c r="B30" s="170" t="s">
        <v>120</v>
      </c>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67"/>
    </row>
    <row r="31" outlineLevel="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row>
    <row r="32" outlineLevel="1">
      <c r="A32" s="172"/>
      <c r="B32" s="181" t="s">
        <v>121</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row>
    <row r="33" outlineLevel="1">
      <c r="A33" s="172"/>
      <c r="B33" s="187" t="s">
        <v>163</v>
      </c>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2"/>
      <c r="AZ33" s="172"/>
      <c r="BA33" s="172"/>
      <c r="BB33" s="172"/>
      <c r="BC33" s="172"/>
      <c r="BD33" s="172"/>
      <c r="BE33" s="172"/>
      <c r="BF33" s="172"/>
      <c r="BG33" s="172"/>
      <c r="BH33" s="172"/>
      <c r="BI33" s="172"/>
      <c r="BJ33" s="172"/>
      <c r="BK33" s="172"/>
      <c r="BL33" s="172"/>
      <c r="BM33" s="172"/>
      <c r="BN33" s="172"/>
    </row>
    <row r="34" outlineLevel="1">
      <c r="A34" s="172"/>
      <c r="B34" s="182" t="s">
        <v>164</v>
      </c>
      <c r="C34" s="172"/>
      <c r="D34" s="172"/>
      <c r="E34" s="172"/>
      <c r="F34" s="172">
        <f t="shared" ref="F34:BM34" si="12">F77</f>
        <v>283643.125</v>
      </c>
      <c r="G34" s="172">
        <f t="shared" si="12"/>
        <v>54518.70938</v>
      </c>
      <c r="H34" s="172">
        <f t="shared" si="12"/>
        <v>-172162.6881</v>
      </c>
      <c r="I34" s="172">
        <f t="shared" si="12"/>
        <v>-397562.6747</v>
      </c>
      <c r="J34" s="172">
        <f t="shared" si="12"/>
        <v>-622291.6823</v>
      </c>
      <c r="K34" s="172">
        <f t="shared" si="12"/>
        <v>-846684.7463</v>
      </c>
      <c r="L34" s="172">
        <f t="shared" si="12"/>
        <v>-1070939.207</v>
      </c>
      <c r="M34" s="172">
        <f t="shared" si="12"/>
        <v>-1295095.431</v>
      </c>
      <c r="N34" s="172">
        <f t="shared" si="12"/>
        <v>-1519202.103</v>
      </c>
      <c r="O34" s="172">
        <f t="shared" si="12"/>
        <v>-1743313.367</v>
      </c>
      <c r="P34" s="172">
        <f t="shared" si="12"/>
        <v>-1967397.993</v>
      </c>
      <c r="Q34" s="172">
        <f t="shared" si="12"/>
        <v>-2191468.866</v>
      </c>
      <c r="R34" s="172">
        <f t="shared" si="12"/>
        <v>-2415562.231</v>
      </c>
      <c r="S34" s="172">
        <f t="shared" si="12"/>
        <v>-2639667.283</v>
      </c>
      <c r="T34" s="172">
        <f t="shared" si="12"/>
        <v>-2863778.184</v>
      </c>
      <c r="U34" s="172">
        <f t="shared" si="12"/>
        <v>-3087892.01</v>
      </c>
      <c r="V34" s="172">
        <f t="shared" si="12"/>
        <v>-3312007.299</v>
      </c>
      <c r="W34" s="172">
        <f t="shared" si="12"/>
        <v>-3536123.319</v>
      </c>
      <c r="X34" s="172">
        <f t="shared" si="12"/>
        <v>-3760239.704</v>
      </c>
      <c r="Y34" s="172">
        <f t="shared" si="12"/>
        <v>-3984356.273</v>
      </c>
      <c r="Z34" s="172">
        <f t="shared" si="12"/>
        <v>-4208472.933</v>
      </c>
      <c r="AA34" s="172">
        <f t="shared" si="12"/>
        <v>-4432589.638</v>
      </c>
      <c r="AB34" s="172">
        <f t="shared" si="12"/>
        <v>-4656706.367</v>
      </c>
      <c r="AC34" s="172">
        <f t="shared" si="12"/>
        <v>-4880823.107</v>
      </c>
      <c r="AD34" s="172">
        <f t="shared" si="12"/>
        <v>-5104939.852</v>
      </c>
      <c r="AE34" s="172">
        <f t="shared" si="12"/>
        <v>-5329056.601</v>
      </c>
      <c r="AF34" s="172">
        <f t="shared" si="12"/>
        <v>-5553173.35</v>
      </c>
      <c r="AG34" s="172">
        <f t="shared" si="12"/>
        <v>-5777290.101</v>
      </c>
      <c r="AH34" s="172">
        <f t="shared" si="12"/>
        <v>-6001406.852</v>
      </c>
      <c r="AI34" s="172">
        <f t="shared" si="12"/>
        <v>-6225523.603</v>
      </c>
      <c r="AJ34" s="172">
        <f t="shared" si="12"/>
        <v>-6449640.354</v>
      </c>
      <c r="AK34" s="172">
        <f t="shared" si="12"/>
        <v>-6673757.105</v>
      </c>
      <c r="AL34" s="172">
        <f t="shared" si="12"/>
        <v>-6897873.857</v>
      </c>
      <c r="AM34" s="172">
        <f t="shared" si="12"/>
        <v>-7121990.608</v>
      </c>
      <c r="AN34" s="172">
        <f t="shared" si="12"/>
        <v>-7346107.359</v>
      </c>
      <c r="AO34" s="172">
        <f t="shared" si="12"/>
        <v>-7570224.11</v>
      </c>
      <c r="AP34" s="172">
        <f t="shared" si="12"/>
        <v>-7794340.862</v>
      </c>
      <c r="AQ34" s="172">
        <f t="shared" si="12"/>
        <v>-8018457.613</v>
      </c>
      <c r="AR34" s="172">
        <f t="shared" si="12"/>
        <v>-8242574.364</v>
      </c>
      <c r="AS34" s="172">
        <f t="shared" si="12"/>
        <v>-8466691.115</v>
      </c>
      <c r="AT34" s="172">
        <f t="shared" si="12"/>
        <v>-8690807.867</v>
      </c>
      <c r="AU34" s="172">
        <f t="shared" si="12"/>
        <v>-8914924.618</v>
      </c>
      <c r="AV34" s="172">
        <f t="shared" si="12"/>
        <v>-9139041.369</v>
      </c>
      <c r="AW34" s="172">
        <f t="shared" si="12"/>
        <v>-9363158.121</v>
      </c>
      <c r="AX34" s="172">
        <f t="shared" si="12"/>
        <v>-9587274.872</v>
      </c>
      <c r="AY34" s="172">
        <f t="shared" si="12"/>
        <v>-9811391.623</v>
      </c>
      <c r="AZ34" s="172">
        <f t="shared" si="12"/>
        <v>-10035508.37</v>
      </c>
      <c r="BA34" s="172">
        <f t="shared" si="12"/>
        <v>-10259625.13</v>
      </c>
      <c r="BB34" s="172">
        <f t="shared" si="12"/>
        <v>-10483741.88</v>
      </c>
      <c r="BC34" s="172">
        <f t="shared" si="12"/>
        <v>-10707858.63</v>
      </c>
      <c r="BD34" s="172">
        <f t="shared" si="12"/>
        <v>-10931975.38</v>
      </c>
      <c r="BE34" s="172">
        <f t="shared" si="12"/>
        <v>-11156092.13</v>
      </c>
      <c r="BF34" s="172">
        <f t="shared" si="12"/>
        <v>-11380208.88</v>
      </c>
      <c r="BG34" s="172">
        <f t="shared" si="12"/>
        <v>-11604325.63</v>
      </c>
      <c r="BH34" s="172">
        <f t="shared" si="12"/>
        <v>-11828442.38</v>
      </c>
      <c r="BI34" s="172">
        <f t="shared" si="12"/>
        <v>-12052559.14</v>
      </c>
      <c r="BJ34" s="172">
        <f t="shared" si="12"/>
        <v>-12276675.89</v>
      </c>
      <c r="BK34" s="172">
        <f t="shared" si="12"/>
        <v>-12500792.64</v>
      </c>
      <c r="BL34" s="172">
        <f t="shared" si="12"/>
        <v>-12724909.39</v>
      </c>
      <c r="BM34" s="172">
        <f t="shared" si="12"/>
        <v>-12949026.14</v>
      </c>
      <c r="BN34" s="172"/>
    </row>
    <row r="35" outlineLevel="1">
      <c r="A35" s="172"/>
      <c r="B35" s="182" t="s">
        <v>165</v>
      </c>
      <c r="C35" s="172"/>
      <c r="D35" s="172"/>
      <c r="E35" s="172"/>
      <c r="F35" s="172">
        <f>Assumptions!G167</f>
        <v>6687.5</v>
      </c>
      <c r="G35" s="172">
        <f>Assumptions!H167</f>
        <v>10069.0625</v>
      </c>
      <c r="H35" s="172">
        <f>Assumptions!I167</f>
        <v>11885.41094</v>
      </c>
      <c r="I35" s="172">
        <f>Assumptions!J167</f>
        <v>12795.46866</v>
      </c>
      <c r="J35" s="172">
        <f>Assumptions!K167</f>
        <v>13313.02578</v>
      </c>
      <c r="K35" s="172">
        <f>Assumptions!L167</f>
        <v>13510.24226</v>
      </c>
      <c r="L35" s="172">
        <f>Assumptions!M167</f>
        <v>13607.92707</v>
      </c>
      <c r="M35" s="172">
        <f>Assumptions!N167</f>
        <v>13719.25562</v>
      </c>
      <c r="N35" s="172">
        <f>Assumptions!O167</f>
        <v>13713.35719</v>
      </c>
      <c r="O35" s="172">
        <f>Assumptions!P167</f>
        <v>13709.48454</v>
      </c>
      <c r="P35" s="172">
        <f>Assumptions!Q167</f>
        <v>13770.03436</v>
      </c>
      <c r="Q35" s="172">
        <f>Assumptions!R167</f>
        <v>13738.74656</v>
      </c>
      <c r="R35" s="172">
        <f>Assumptions!S167</f>
        <v>13722.17922</v>
      </c>
      <c r="S35" s="172">
        <f>Assumptions!T167</f>
        <v>13713.8817</v>
      </c>
      <c r="T35" s="172">
        <f>Assumptions!U167</f>
        <v>13709.73273</v>
      </c>
      <c r="U35" s="172">
        <f>Assumptions!V167</f>
        <v>13707.65824</v>
      </c>
      <c r="V35" s="172">
        <f>Assumptions!W167</f>
        <v>13706.621</v>
      </c>
      <c r="W35" s="172">
        <f>Assumptions!X167</f>
        <v>13706.10238</v>
      </c>
      <c r="X35" s="172">
        <f>Assumptions!Y167</f>
        <v>13705.84307</v>
      </c>
      <c r="Y35" s="172">
        <f>Assumptions!Z167</f>
        <v>13705.71341</v>
      </c>
      <c r="Z35" s="172">
        <f>Assumptions!AA167</f>
        <v>13705.64858</v>
      </c>
      <c r="AA35" s="172">
        <f>Assumptions!AB167</f>
        <v>13705.61617</v>
      </c>
      <c r="AB35" s="172">
        <f>Assumptions!AC167</f>
        <v>13705.59996</v>
      </c>
      <c r="AC35" s="172">
        <f>Assumptions!AD167</f>
        <v>13705.59186</v>
      </c>
      <c r="AD35" s="172">
        <f>Assumptions!AE167</f>
        <v>13705.58781</v>
      </c>
      <c r="AE35" s="172">
        <f>Assumptions!AF167</f>
        <v>13705.58578</v>
      </c>
      <c r="AF35" s="172">
        <f>Assumptions!AG167</f>
        <v>13705.58477</v>
      </c>
      <c r="AG35" s="172">
        <f>Assumptions!AH167</f>
        <v>13705.58426</v>
      </c>
      <c r="AH35" s="172">
        <f>Assumptions!AI167</f>
        <v>13705.58401</v>
      </c>
      <c r="AI35" s="172">
        <f>Assumptions!AJ167</f>
        <v>13705.58388</v>
      </c>
      <c r="AJ35" s="172">
        <f>Assumptions!AK167</f>
        <v>13705.58382</v>
      </c>
      <c r="AK35" s="172">
        <f>Assumptions!AL167</f>
        <v>13705.58379</v>
      </c>
      <c r="AL35" s="172">
        <f>Assumptions!AM167</f>
        <v>13705.58377</v>
      </c>
      <c r="AM35" s="172">
        <f>Assumptions!AN167</f>
        <v>13705.58376</v>
      </c>
      <c r="AN35" s="172">
        <f>Assumptions!AO167</f>
        <v>13705.58376</v>
      </c>
      <c r="AO35" s="172">
        <f>Assumptions!AP167</f>
        <v>13705.58376</v>
      </c>
      <c r="AP35" s="172">
        <f>Assumptions!AQ167</f>
        <v>13705.58376</v>
      </c>
      <c r="AQ35" s="172">
        <f>Assumptions!AR167</f>
        <v>13705.58376</v>
      </c>
      <c r="AR35" s="172">
        <f>Assumptions!AS167</f>
        <v>13705.58376</v>
      </c>
      <c r="AS35" s="172">
        <f>Assumptions!AT167</f>
        <v>13705.58376</v>
      </c>
      <c r="AT35" s="172">
        <f>Assumptions!AU167</f>
        <v>13705.58376</v>
      </c>
      <c r="AU35" s="172">
        <f>Assumptions!AV167</f>
        <v>13705.58376</v>
      </c>
      <c r="AV35" s="172">
        <f>Assumptions!AW167</f>
        <v>13705.58376</v>
      </c>
      <c r="AW35" s="172">
        <f>Assumptions!AX167</f>
        <v>13705.58376</v>
      </c>
      <c r="AX35" s="172">
        <f>Assumptions!AY167</f>
        <v>13705.58376</v>
      </c>
      <c r="AY35" s="172">
        <f>Assumptions!AZ167</f>
        <v>13705.58376</v>
      </c>
      <c r="AZ35" s="172">
        <f>Assumptions!BA167</f>
        <v>13705.58376</v>
      </c>
      <c r="BA35" s="172">
        <f>Assumptions!BB167</f>
        <v>13705.58376</v>
      </c>
      <c r="BB35" s="172">
        <f>Assumptions!BC167</f>
        <v>13705.58376</v>
      </c>
      <c r="BC35" s="172">
        <f>Assumptions!BD167</f>
        <v>13705.58376</v>
      </c>
      <c r="BD35" s="172">
        <f>Assumptions!BE167</f>
        <v>13705.58376</v>
      </c>
      <c r="BE35" s="172">
        <f>Assumptions!BF167</f>
        <v>13705.58376</v>
      </c>
      <c r="BF35" s="172">
        <f>Assumptions!BG167</f>
        <v>13705.58376</v>
      </c>
      <c r="BG35" s="172">
        <f>Assumptions!BH167</f>
        <v>13705.58376</v>
      </c>
      <c r="BH35" s="172">
        <f>Assumptions!BI167</f>
        <v>13705.58376</v>
      </c>
      <c r="BI35" s="172">
        <f>Assumptions!BJ167</f>
        <v>13705.58376</v>
      </c>
      <c r="BJ35" s="172">
        <f>Assumptions!BK167</f>
        <v>13705.58376</v>
      </c>
      <c r="BK35" s="172">
        <f>Assumptions!BL167</f>
        <v>13705.58376</v>
      </c>
      <c r="BL35" s="172">
        <f>Assumptions!BM167</f>
        <v>13705.58376</v>
      </c>
      <c r="BM35" s="172">
        <f>Assumptions!BN167</f>
        <v>13705.58376</v>
      </c>
      <c r="BN35" s="172"/>
    </row>
    <row r="36" outlineLevel="1">
      <c r="A36" s="172"/>
      <c r="B36" s="188" t="s">
        <v>166</v>
      </c>
      <c r="C36" s="189"/>
      <c r="D36" s="189"/>
      <c r="E36" s="189"/>
      <c r="F36" s="189">
        <f t="shared" ref="F36:BM36" si="13">SUM(F34:F35)</f>
        <v>290330.625</v>
      </c>
      <c r="G36" s="190">
        <f t="shared" si="13"/>
        <v>64587.77188</v>
      </c>
      <c r="H36" s="190">
        <f t="shared" si="13"/>
        <v>-160277.2772</v>
      </c>
      <c r="I36" s="190">
        <f t="shared" si="13"/>
        <v>-384767.206</v>
      </c>
      <c r="J36" s="190">
        <f t="shared" si="13"/>
        <v>-608978.6565</v>
      </c>
      <c r="K36" s="190">
        <f t="shared" si="13"/>
        <v>-833174.5041</v>
      </c>
      <c r="L36" s="190">
        <f t="shared" si="13"/>
        <v>-1057331.28</v>
      </c>
      <c r="M36" s="190">
        <f t="shared" si="13"/>
        <v>-1281376.175</v>
      </c>
      <c r="N36" s="190">
        <f t="shared" si="13"/>
        <v>-1505488.746</v>
      </c>
      <c r="O36" s="190">
        <f t="shared" si="13"/>
        <v>-1729603.883</v>
      </c>
      <c r="P36" s="190">
        <f t="shared" si="13"/>
        <v>-1953627.959</v>
      </c>
      <c r="Q36" s="190">
        <f t="shared" si="13"/>
        <v>-2177730.12</v>
      </c>
      <c r="R36" s="190">
        <f t="shared" si="13"/>
        <v>-2401840.052</v>
      </c>
      <c r="S36" s="190">
        <f t="shared" si="13"/>
        <v>-2625953.401</v>
      </c>
      <c r="T36" s="190">
        <f t="shared" si="13"/>
        <v>-2850068.451</v>
      </c>
      <c r="U36" s="190">
        <f t="shared" si="13"/>
        <v>-3074184.352</v>
      </c>
      <c r="V36" s="190">
        <f t="shared" si="13"/>
        <v>-3298300.678</v>
      </c>
      <c r="W36" s="190">
        <f t="shared" si="13"/>
        <v>-3522417.216</v>
      </c>
      <c r="X36" s="190">
        <f t="shared" si="13"/>
        <v>-3746533.861</v>
      </c>
      <c r="Y36" s="190">
        <f t="shared" si="13"/>
        <v>-3970650.559</v>
      </c>
      <c r="Z36" s="190">
        <f t="shared" si="13"/>
        <v>-4194767.284</v>
      </c>
      <c r="AA36" s="190">
        <f t="shared" si="13"/>
        <v>-4418884.022</v>
      </c>
      <c r="AB36" s="190">
        <f t="shared" si="13"/>
        <v>-4643000.767</v>
      </c>
      <c r="AC36" s="190">
        <f t="shared" si="13"/>
        <v>-4867117.515</v>
      </c>
      <c r="AD36" s="190">
        <f t="shared" si="13"/>
        <v>-5091234.264</v>
      </c>
      <c r="AE36" s="190">
        <f t="shared" si="13"/>
        <v>-5315351.015</v>
      </c>
      <c r="AF36" s="190">
        <f t="shared" si="13"/>
        <v>-5539467.766</v>
      </c>
      <c r="AG36" s="190">
        <f t="shared" si="13"/>
        <v>-5763584.517</v>
      </c>
      <c r="AH36" s="190">
        <f t="shared" si="13"/>
        <v>-5987701.268</v>
      </c>
      <c r="AI36" s="190">
        <f t="shared" si="13"/>
        <v>-6211818.019</v>
      </c>
      <c r="AJ36" s="190">
        <f t="shared" si="13"/>
        <v>-6435934.77</v>
      </c>
      <c r="AK36" s="190">
        <f t="shared" si="13"/>
        <v>-6660051.522</v>
      </c>
      <c r="AL36" s="190">
        <f t="shared" si="13"/>
        <v>-6884168.273</v>
      </c>
      <c r="AM36" s="190">
        <f t="shared" si="13"/>
        <v>-7108285.024</v>
      </c>
      <c r="AN36" s="190">
        <f t="shared" si="13"/>
        <v>-7332401.775</v>
      </c>
      <c r="AO36" s="190">
        <f t="shared" si="13"/>
        <v>-7556518.527</v>
      </c>
      <c r="AP36" s="190">
        <f t="shared" si="13"/>
        <v>-7780635.278</v>
      </c>
      <c r="AQ36" s="190">
        <f t="shared" si="13"/>
        <v>-8004752.029</v>
      </c>
      <c r="AR36" s="190">
        <f t="shared" si="13"/>
        <v>-8228868.78</v>
      </c>
      <c r="AS36" s="190">
        <f t="shared" si="13"/>
        <v>-8452985.532</v>
      </c>
      <c r="AT36" s="190">
        <f t="shared" si="13"/>
        <v>-8677102.283</v>
      </c>
      <c r="AU36" s="190">
        <f t="shared" si="13"/>
        <v>-8901219.034</v>
      </c>
      <c r="AV36" s="190">
        <f t="shared" si="13"/>
        <v>-9125335.786</v>
      </c>
      <c r="AW36" s="190">
        <f t="shared" si="13"/>
        <v>-9349452.537</v>
      </c>
      <c r="AX36" s="190">
        <f t="shared" si="13"/>
        <v>-9573569.288</v>
      </c>
      <c r="AY36" s="190">
        <f t="shared" si="13"/>
        <v>-9797686.039</v>
      </c>
      <c r="AZ36" s="190">
        <f t="shared" si="13"/>
        <v>-10021802.79</v>
      </c>
      <c r="BA36" s="190">
        <f t="shared" si="13"/>
        <v>-10245919.54</v>
      </c>
      <c r="BB36" s="190">
        <f t="shared" si="13"/>
        <v>-10470036.29</v>
      </c>
      <c r="BC36" s="190">
        <f t="shared" si="13"/>
        <v>-10694153.04</v>
      </c>
      <c r="BD36" s="190">
        <f t="shared" si="13"/>
        <v>-10918269.8</v>
      </c>
      <c r="BE36" s="190">
        <f t="shared" si="13"/>
        <v>-11142386.55</v>
      </c>
      <c r="BF36" s="190">
        <f t="shared" si="13"/>
        <v>-11366503.3</v>
      </c>
      <c r="BG36" s="190">
        <f t="shared" si="13"/>
        <v>-11590620.05</v>
      </c>
      <c r="BH36" s="190">
        <f t="shared" si="13"/>
        <v>-11814736.8</v>
      </c>
      <c r="BI36" s="190">
        <f t="shared" si="13"/>
        <v>-12038853.55</v>
      </c>
      <c r="BJ36" s="190">
        <f t="shared" si="13"/>
        <v>-12262970.3</v>
      </c>
      <c r="BK36" s="190">
        <f t="shared" si="13"/>
        <v>-12487087.05</v>
      </c>
      <c r="BL36" s="190">
        <f t="shared" si="13"/>
        <v>-12711203.81</v>
      </c>
      <c r="BM36" s="190">
        <f t="shared" si="13"/>
        <v>-12935320.56</v>
      </c>
      <c r="BN36" s="172"/>
    </row>
    <row r="37" outlineLevel="1">
      <c r="A37" s="172"/>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2"/>
      <c r="AZ37" s="172"/>
      <c r="BA37" s="172"/>
      <c r="BB37" s="172"/>
      <c r="BC37" s="172"/>
      <c r="BD37" s="172"/>
      <c r="BE37" s="172"/>
      <c r="BF37" s="172"/>
      <c r="BG37" s="172"/>
      <c r="BH37" s="172"/>
      <c r="BI37" s="172"/>
      <c r="BJ37" s="172"/>
      <c r="BK37" s="172"/>
      <c r="BL37" s="172"/>
      <c r="BM37" s="172"/>
      <c r="BN37" s="172"/>
    </row>
    <row r="38" outlineLevel="1">
      <c r="A38" s="172"/>
      <c r="B38" s="182" t="s">
        <v>125</v>
      </c>
      <c r="C38" s="172"/>
      <c r="D38" s="172"/>
      <c r="E38" s="172"/>
      <c r="F38" s="172">
        <f>SUM(Assumptions!G169:G173)</f>
        <v>0</v>
      </c>
      <c r="G38" s="172">
        <f>SUM(Assumptions!H169:H173)</f>
        <v>0</v>
      </c>
      <c r="H38" s="172">
        <f>SUM(Assumptions!I169:I173)</f>
        <v>0</v>
      </c>
      <c r="I38" s="172">
        <f>SUM(Assumptions!J169:J173)</f>
        <v>0</v>
      </c>
      <c r="J38" s="172">
        <f>SUM(Assumptions!K169:K173)</f>
        <v>0</v>
      </c>
      <c r="K38" s="172">
        <f>SUM(Assumptions!L169:L173)</f>
        <v>0</v>
      </c>
      <c r="L38" s="172">
        <f>SUM(Assumptions!M169:M173)</f>
        <v>0</v>
      </c>
      <c r="M38" s="172">
        <f>SUM(Assumptions!N169:N173)</f>
        <v>0</v>
      </c>
      <c r="N38" s="172">
        <f>SUM(Assumptions!O169:O173)</f>
        <v>0</v>
      </c>
      <c r="O38" s="172">
        <f>SUM(Assumptions!P169:P173)</f>
        <v>0</v>
      </c>
      <c r="P38" s="172">
        <f>SUM(Assumptions!Q169:Q173)</f>
        <v>0</v>
      </c>
      <c r="Q38" s="172">
        <f>SUM(Assumptions!R169:R173)</f>
        <v>0</v>
      </c>
      <c r="R38" s="172">
        <f>SUM(Assumptions!S169:S173)</f>
        <v>0</v>
      </c>
      <c r="S38" s="172">
        <f>SUM(Assumptions!T169:T173)</f>
        <v>0</v>
      </c>
      <c r="T38" s="172">
        <f>SUM(Assumptions!U169:U173)</f>
        <v>0</v>
      </c>
      <c r="U38" s="172">
        <f>SUM(Assumptions!V169:V173)</f>
        <v>0</v>
      </c>
      <c r="V38" s="172">
        <f>SUM(Assumptions!W169:W173)</f>
        <v>0</v>
      </c>
      <c r="W38" s="172">
        <f>SUM(Assumptions!X169:X173)</f>
        <v>0</v>
      </c>
      <c r="X38" s="172">
        <f>SUM(Assumptions!Y169:Y173)</f>
        <v>0</v>
      </c>
      <c r="Y38" s="172">
        <f>SUM(Assumptions!Z169:Z173)</f>
        <v>0</v>
      </c>
      <c r="Z38" s="172">
        <f>SUM(Assumptions!AA169:AA173)</f>
        <v>0</v>
      </c>
      <c r="AA38" s="172">
        <f>SUM(Assumptions!AB169:AB173)</f>
        <v>0</v>
      </c>
      <c r="AB38" s="172">
        <f>SUM(Assumptions!AC169:AC173)</f>
        <v>0</v>
      </c>
      <c r="AC38" s="172">
        <f>SUM(Assumptions!AD169:AD173)</f>
        <v>0</v>
      </c>
      <c r="AD38" s="172">
        <f>SUM(Assumptions!AE169:AE173)</f>
        <v>0</v>
      </c>
      <c r="AE38" s="172">
        <f>SUM(Assumptions!AF169:AF173)</f>
        <v>0</v>
      </c>
      <c r="AF38" s="172">
        <f>SUM(Assumptions!AG169:AG173)</f>
        <v>0</v>
      </c>
      <c r="AG38" s="172">
        <f>SUM(Assumptions!AH169:AH173)</f>
        <v>0</v>
      </c>
      <c r="AH38" s="172">
        <f>SUM(Assumptions!AI169:AI173)</f>
        <v>0</v>
      </c>
      <c r="AI38" s="172">
        <f>SUM(Assumptions!AJ169:AJ173)</f>
        <v>0</v>
      </c>
      <c r="AJ38" s="172">
        <f>SUM(Assumptions!AK169:AK173)</f>
        <v>0</v>
      </c>
      <c r="AK38" s="172">
        <f>SUM(Assumptions!AL169:AL173)</f>
        <v>0</v>
      </c>
      <c r="AL38" s="172">
        <f>SUM(Assumptions!AM169:AM173)</f>
        <v>0</v>
      </c>
      <c r="AM38" s="172">
        <f>SUM(Assumptions!AN169:AN173)</f>
        <v>0</v>
      </c>
      <c r="AN38" s="172">
        <f>SUM(Assumptions!AO169:AO173)</f>
        <v>0</v>
      </c>
      <c r="AO38" s="172">
        <f>SUM(Assumptions!AP169:AP173)</f>
        <v>0</v>
      </c>
      <c r="AP38" s="172">
        <f>SUM(Assumptions!AQ169:AQ173)</f>
        <v>0</v>
      </c>
      <c r="AQ38" s="172">
        <f>SUM(Assumptions!AR169:AR173)</f>
        <v>0</v>
      </c>
      <c r="AR38" s="172">
        <f>SUM(Assumptions!AS169:AS173)</f>
        <v>0</v>
      </c>
      <c r="AS38" s="172">
        <f>SUM(Assumptions!AT169:AT173)</f>
        <v>0</v>
      </c>
      <c r="AT38" s="172">
        <f>SUM(Assumptions!AU169:AU173)</f>
        <v>0</v>
      </c>
      <c r="AU38" s="172">
        <f>SUM(Assumptions!AV169:AV173)</f>
        <v>0</v>
      </c>
      <c r="AV38" s="172">
        <f>SUM(Assumptions!AW169:AW173)</f>
        <v>0</v>
      </c>
      <c r="AW38" s="172">
        <f>SUM(Assumptions!AX169:AX173)</f>
        <v>0</v>
      </c>
      <c r="AX38" s="172">
        <f>SUM(Assumptions!AY169:AY173)</f>
        <v>0</v>
      </c>
      <c r="AY38" s="172">
        <f>SUM(Assumptions!AZ169:AZ173)</f>
        <v>0</v>
      </c>
      <c r="AZ38" s="172">
        <f>SUM(Assumptions!BA169:BA173)</f>
        <v>0</v>
      </c>
      <c r="BA38" s="172">
        <f>SUM(Assumptions!BB169:BB173)</f>
        <v>0</v>
      </c>
      <c r="BB38" s="172">
        <f>SUM(Assumptions!BC169:BC173)</f>
        <v>0</v>
      </c>
      <c r="BC38" s="172">
        <f>SUM(Assumptions!BD169:BD173)</f>
        <v>0</v>
      </c>
      <c r="BD38" s="172">
        <f>SUM(Assumptions!BE169:BE173)</f>
        <v>0</v>
      </c>
      <c r="BE38" s="172">
        <f>SUM(Assumptions!BF169:BF173)</f>
        <v>0</v>
      </c>
      <c r="BF38" s="172">
        <f>SUM(Assumptions!BG169:BG173)</f>
        <v>0</v>
      </c>
      <c r="BG38" s="172">
        <f>SUM(Assumptions!BH169:BH173)</f>
        <v>0</v>
      </c>
      <c r="BH38" s="172">
        <f>SUM(Assumptions!BI169:BI173)</f>
        <v>0</v>
      </c>
      <c r="BI38" s="172">
        <f>SUM(Assumptions!BJ169:BJ173)</f>
        <v>0</v>
      </c>
      <c r="BJ38" s="172">
        <f>SUM(Assumptions!BK169:BK173)</f>
        <v>0</v>
      </c>
      <c r="BK38" s="172">
        <f>SUM(Assumptions!BL169:BL173)</f>
        <v>0</v>
      </c>
      <c r="BL38" s="172">
        <f>SUM(Assumptions!BM169:BM173)</f>
        <v>0</v>
      </c>
      <c r="BM38" s="172">
        <f>SUM(Assumptions!BN169:BN173)</f>
        <v>0</v>
      </c>
      <c r="BN38" s="172"/>
    </row>
    <row r="39" outlineLevel="1">
      <c r="A39" s="172"/>
      <c r="B39" s="182" t="s">
        <v>167</v>
      </c>
      <c r="C39" s="172"/>
      <c r="D39" s="172"/>
      <c r="E39" s="172"/>
      <c r="F39" s="172">
        <f>-SUM(Assumptions!G176:G179)</f>
        <v>0</v>
      </c>
      <c r="G39" s="172">
        <f>-SUM(Assumptions!H176:H179)</f>
        <v>0</v>
      </c>
      <c r="H39" s="172">
        <f>-SUM(Assumptions!I176:I179)</f>
        <v>0</v>
      </c>
      <c r="I39" s="172">
        <f>-SUM(Assumptions!J176:J179)</f>
        <v>0</v>
      </c>
      <c r="J39" s="172">
        <f>-SUM(Assumptions!K176:K179)</f>
        <v>0</v>
      </c>
      <c r="K39" s="172">
        <f>-SUM(Assumptions!L176:L179)</f>
        <v>0</v>
      </c>
      <c r="L39" s="172">
        <f>-SUM(Assumptions!M176:M179)</f>
        <v>0</v>
      </c>
      <c r="M39" s="172">
        <f>-SUM(Assumptions!N176:N179)</f>
        <v>0</v>
      </c>
      <c r="N39" s="172">
        <f>-SUM(Assumptions!O176:O179)</f>
        <v>0</v>
      </c>
      <c r="O39" s="172">
        <f>-SUM(Assumptions!P176:P179)</f>
        <v>0</v>
      </c>
      <c r="P39" s="172">
        <f>-SUM(Assumptions!Q176:Q179)</f>
        <v>0</v>
      </c>
      <c r="Q39" s="172">
        <f>-SUM(Assumptions!R176:R179)</f>
        <v>0</v>
      </c>
      <c r="R39" s="172">
        <f>-SUM(Assumptions!S176:S179)</f>
        <v>0</v>
      </c>
      <c r="S39" s="172">
        <f>-SUM(Assumptions!T176:T179)</f>
        <v>0</v>
      </c>
      <c r="T39" s="172">
        <f>-SUM(Assumptions!U176:U179)</f>
        <v>0</v>
      </c>
      <c r="U39" s="172">
        <f>-SUM(Assumptions!V176:V179)</f>
        <v>0</v>
      </c>
      <c r="V39" s="172">
        <f>-SUM(Assumptions!W176:W179)</f>
        <v>0</v>
      </c>
      <c r="W39" s="172">
        <f>-SUM(Assumptions!X176:X179)</f>
        <v>0</v>
      </c>
      <c r="X39" s="172">
        <f>-SUM(Assumptions!Y176:Y179)</f>
        <v>0</v>
      </c>
      <c r="Y39" s="172">
        <f>-SUM(Assumptions!Z176:Z179)</f>
        <v>0</v>
      </c>
      <c r="Z39" s="172">
        <f>-SUM(Assumptions!AA176:AA179)</f>
        <v>0</v>
      </c>
      <c r="AA39" s="172">
        <f>-SUM(Assumptions!AB176:AB179)</f>
        <v>0</v>
      </c>
      <c r="AB39" s="172">
        <f>-SUM(Assumptions!AC176:AC179)</f>
        <v>0</v>
      </c>
      <c r="AC39" s="172">
        <f>-SUM(Assumptions!AD176:AD179)</f>
        <v>0</v>
      </c>
      <c r="AD39" s="172">
        <f>-SUM(Assumptions!AE176:AE179)</f>
        <v>0</v>
      </c>
      <c r="AE39" s="172">
        <f>-SUM(Assumptions!AF176:AF179)</f>
        <v>0</v>
      </c>
      <c r="AF39" s="172">
        <f>-SUM(Assumptions!AG176:AG179)</f>
        <v>0</v>
      </c>
      <c r="AG39" s="172">
        <f>-SUM(Assumptions!AH176:AH179)</f>
        <v>0</v>
      </c>
      <c r="AH39" s="172">
        <f>-SUM(Assumptions!AI176:AI179)</f>
        <v>0</v>
      </c>
      <c r="AI39" s="172">
        <f>-SUM(Assumptions!AJ176:AJ179)</f>
        <v>0</v>
      </c>
      <c r="AJ39" s="172">
        <f>-SUM(Assumptions!AK176:AK179)</f>
        <v>0</v>
      </c>
      <c r="AK39" s="172">
        <f>-SUM(Assumptions!AL176:AL179)</f>
        <v>0</v>
      </c>
      <c r="AL39" s="172">
        <f>-SUM(Assumptions!AM176:AM179)</f>
        <v>0</v>
      </c>
      <c r="AM39" s="172">
        <f>-SUM(Assumptions!AN176:AN179)</f>
        <v>0</v>
      </c>
      <c r="AN39" s="172">
        <f>-SUM(Assumptions!AO176:AO179)</f>
        <v>0</v>
      </c>
      <c r="AO39" s="172">
        <f>-SUM(Assumptions!AP176:AP179)</f>
        <v>0</v>
      </c>
      <c r="AP39" s="172">
        <f>-SUM(Assumptions!AQ176:AQ179)</f>
        <v>0</v>
      </c>
      <c r="AQ39" s="172">
        <f>-SUM(Assumptions!AR176:AR179)</f>
        <v>0</v>
      </c>
      <c r="AR39" s="172">
        <f>-SUM(Assumptions!AS176:AS179)</f>
        <v>0</v>
      </c>
      <c r="AS39" s="172">
        <f>-SUM(Assumptions!AT176:AT179)</f>
        <v>0</v>
      </c>
      <c r="AT39" s="172">
        <f>-SUM(Assumptions!AU176:AU179)</f>
        <v>0</v>
      </c>
      <c r="AU39" s="172">
        <f>-SUM(Assumptions!AV176:AV179)</f>
        <v>0</v>
      </c>
      <c r="AV39" s="172">
        <f>-SUM(Assumptions!AW176:AW179)</f>
        <v>0</v>
      </c>
      <c r="AW39" s="172">
        <f>-SUM(Assumptions!AX176:AX179)</f>
        <v>0</v>
      </c>
      <c r="AX39" s="172">
        <f>-SUM(Assumptions!AY176:AY179)</f>
        <v>0</v>
      </c>
      <c r="AY39" s="172">
        <f>-SUM(Assumptions!AZ176:AZ179)</f>
        <v>0</v>
      </c>
      <c r="AZ39" s="172">
        <f>-SUM(Assumptions!BA176:BA179)</f>
        <v>0</v>
      </c>
      <c r="BA39" s="172">
        <f>-SUM(Assumptions!BB176:BB179)</f>
        <v>0</v>
      </c>
      <c r="BB39" s="172">
        <f>-SUM(Assumptions!BC176:BC179)</f>
        <v>0</v>
      </c>
      <c r="BC39" s="172">
        <f>-SUM(Assumptions!BD176:BD179)</f>
        <v>0</v>
      </c>
      <c r="BD39" s="172">
        <f>-SUM(Assumptions!BE176:BE179)</f>
        <v>0</v>
      </c>
      <c r="BE39" s="172">
        <f>-SUM(Assumptions!BF176:BF179)</f>
        <v>0</v>
      </c>
      <c r="BF39" s="172">
        <f>-SUM(Assumptions!BG176:BG179)</f>
        <v>0</v>
      </c>
      <c r="BG39" s="172">
        <f>-SUM(Assumptions!BH176:BH179)</f>
        <v>0</v>
      </c>
      <c r="BH39" s="172">
        <f>-SUM(Assumptions!BI176:BI179)</f>
        <v>0</v>
      </c>
      <c r="BI39" s="172">
        <f>-SUM(Assumptions!BJ176:BJ179)</f>
        <v>0</v>
      </c>
      <c r="BJ39" s="172">
        <f>-SUM(Assumptions!BK176:BK179)</f>
        <v>0</v>
      </c>
      <c r="BK39" s="172">
        <f>-SUM(Assumptions!BL176:BL179)</f>
        <v>0</v>
      </c>
      <c r="BL39" s="172">
        <f>-SUM(Assumptions!BM176:BM179)</f>
        <v>0</v>
      </c>
      <c r="BM39" s="172">
        <f>-SUM(Assumptions!BN176:BN179)</f>
        <v>0</v>
      </c>
      <c r="BN39" s="172"/>
    </row>
    <row r="40" outlineLevel="1">
      <c r="A40" s="172"/>
      <c r="B40" s="175" t="s">
        <v>168</v>
      </c>
      <c r="C40" s="176"/>
      <c r="D40" s="176"/>
      <c r="E40" s="176"/>
      <c r="F40" s="177">
        <f t="shared" ref="F40:BM40" si="14">SUM(F36:F39)</f>
        <v>290330.625</v>
      </c>
      <c r="G40" s="177">
        <f t="shared" si="14"/>
        <v>64587.77188</v>
      </c>
      <c r="H40" s="177">
        <f t="shared" si="14"/>
        <v>-160277.2772</v>
      </c>
      <c r="I40" s="177">
        <f t="shared" si="14"/>
        <v>-384767.206</v>
      </c>
      <c r="J40" s="177">
        <f t="shared" si="14"/>
        <v>-608978.6565</v>
      </c>
      <c r="K40" s="177">
        <f t="shared" si="14"/>
        <v>-833174.5041</v>
      </c>
      <c r="L40" s="177">
        <f t="shared" si="14"/>
        <v>-1057331.28</v>
      </c>
      <c r="M40" s="177">
        <f t="shared" si="14"/>
        <v>-1281376.175</v>
      </c>
      <c r="N40" s="177">
        <f t="shared" si="14"/>
        <v>-1505488.746</v>
      </c>
      <c r="O40" s="177">
        <f t="shared" si="14"/>
        <v>-1729603.883</v>
      </c>
      <c r="P40" s="177">
        <f t="shared" si="14"/>
        <v>-1953627.959</v>
      </c>
      <c r="Q40" s="177">
        <f t="shared" si="14"/>
        <v>-2177730.12</v>
      </c>
      <c r="R40" s="177">
        <f t="shared" si="14"/>
        <v>-2401840.052</v>
      </c>
      <c r="S40" s="177">
        <f t="shared" si="14"/>
        <v>-2625953.401</v>
      </c>
      <c r="T40" s="177">
        <f t="shared" si="14"/>
        <v>-2850068.451</v>
      </c>
      <c r="U40" s="177">
        <f t="shared" si="14"/>
        <v>-3074184.352</v>
      </c>
      <c r="V40" s="177">
        <f t="shared" si="14"/>
        <v>-3298300.678</v>
      </c>
      <c r="W40" s="177">
        <f t="shared" si="14"/>
        <v>-3522417.216</v>
      </c>
      <c r="X40" s="177">
        <f t="shared" si="14"/>
        <v>-3746533.861</v>
      </c>
      <c r="Y40" s="177">
        <f t="shared" si="14"/>
        <v>-3970650.559</v>
      </c>
      <c r="Z40" s="177">
        <f t="shared" si="14"/>
        <v>-4194767.284</v>
      </c>
      <c r="AA40" s="177">
        <f t="shared" si="14"/>
        <v>-4418884.022</v>
      </c>
      <c r="AB40" s="177">
        <f t="shared" si="14"/>
        <v>-4643000.767</v>
      </c>
      <c r="AC40" s="177">
        <f t="shared" si="14"/>
        <v>-4867117.515</v>
      </c>
      <c r="AD40" s="177">
        <f t="shared" si="14"/>
        <v>-5091234.264</v>
      </c>
      <c r="AE40" s="177">
        <f t="shared" si="14"/>
        <v>-5315351.015</v>
      </c>
      <c r="AF40" s="177">
        <f t="shared" si="14"/>
        <v>-5539467.766</v>
      </c>
      <c r="AG40" s="177">
        <f t="shared" si="14"/>
        <v>-5763584.517</v>
      </c>
      <c r="AH40" s="177">
        <f t="shared" si="14"/>
        <v>-5987701.268</v>
      </c>
      <c r="AI40" s="177">
        <f t="shared" si="14"/>
        <v>-6211818.019</v>
      </c>
      <c r="AJ40" s="177">
        <f t="shared" si="14"/>
        <v>-6435934.77</v>
      </c>
      <c r="AK40" s="177">
        <f t="shared" si="14"/>
        <v>-6660051.522</v>
      </c>
      <c r="AL40" s="177">
        <f t="shared" si="14"/>
        <v>-6884168.273</v>
      </c>
      <c r="AM40" s="177">
        <f t="shared" si="14"/>
        <v>-7108285.024</v>
      </c>
      <c r="AN40" s="177">
        <f t="shared" si="14"/>
        <v>-7332401.775</v>
      </c>
      <c r="AO40" s="177">
        <f t="shared" si="14"/>
        <v>-7556518.527</v>
      </c>
      <c r="AP40" s="177">
        <f t="shared" si="14"/>
        <v>-7780635.278</v>
      </c>
      <c r="AQ40" s="177">
        <f t="shared" si="14"/>
        <v>-8004752.029</v>
      </c>
      <c r="AR40" s="177">
        <f t="shared" si="14"/>
        <v>-8228868.78</v>
      </c>
      <c r="AS40" s="177">
        <f t="shared" si="14"/>
        <v>-8452985.532</v>
      </c>
      <c r="AT40" s="177">
        <f t="shared" si="14"/>
        <v>-8677102.283</v>
      </c>
      <c r="AU40" s="177">
        <f t="shared" si="14"/>
        <v>-8901219.034</v>
      </c>
      <c r="AV40" s="177">
        <f t="shared" si="14"/>
        <v>-9125335.786</v>
      </c>
      <c r="AW40" s="177">
        <f t="shared" si="14"/>
        <v>-9349452.537</v>
      </c>
      <c r="AX40" s="177">
        <f t="shared" si="14"/>
        <v>-9573569.288</v>
      </c>
      <c r="AY40" s="177">
        <f t="shared" si="14"/>
        <v>-9797686.039</v>
      </c>
      <c r="AZ40" s="177">
        <f t="shared" si="14"/>
        <v>-10021802.79</v>
      </c>
      <c r="BA40" s="177">
        <f t="shared" si="14"/>
        <v>-10245919.54</v>
      </c>
      <c r="BB40" s="177">
        <f t="shared" si="14"/>
        <v>-10470036.29</v>
      </c>
      <c r="BC40" s="177">
        <f t="shared" si="14"/>
        <v>-10694153.04</v>
      </c>
      <c r="BD40" s="177">
        <f t="shared" si="14"/>
        <v>-10918269.8</v>
      </c>
      <c r="BE40" s="177">
        <f t="shared" si="14"/>
        <v>-11142386.55</v>
      </c>
      <c r="BF40" s="177">
        <f t="shared" si="14"/>
        <v>-11366503.3</v>
      </c>
      <c r="BG40" s="177">
        <f t="shared" si="14"/>
        <v>-11590620.05</v>
      </c>
      <c r="BH40" s="177">
        <f t="shared" si="14"/>
        <v>-11814736.8</v>
      </c>
      <c r="BI40" s="177">
        <f t="shared" si="14"/>
        <v>-12038853.55</v>
      </c>
      <c r="BJ40" s="177">
        <f t="shared" si="14"/>
        <v>-12262970.3</v>
      </c>
      <c r="BK40" s="177">
        <f t="shared" si="14"/>
        <v>-12487087.05</v>
      </c>
      <c r="BL40" s="177">
        <f t="shared" si="14"/>
        <v>-12711203.81</v>
      </c>
      <c r="BM40" s="177">
        <f t="shared" si="14"/>
        <v>-12935320.56</v>
      </c>
      <c r="BN40" s="172"/>
    </row>
    <row r="41" outlineLevel="1">
      <c r="A41" s="172"/>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row>
    <row r="42" outlineLevel="1">
      <c r="A42" s="172"/>
      <c r="B42" s="181" t="s">
        <v>169</v>
      </c>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2"/>
      <c r="BN42" s="172"/>
    </row>
    <row r="43" outlineLevel="1">
      <c r="A43" s="172"/>
      <c r="B43" s="187" t="s">
        <v>135</v>
      </c>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row>
    <row r="44" outlineLevel="1">
      <c r="A44" s="172"/>
      <c r="B44" s="182" t="s">
        <v>170</v>
      </c>
      <c r="C44" s="172"/>
      <c r="D44" s="172"/>
      <c r="E44" s="172"/>
      <c r="F44" s="172">
        <f>Assumptions!G183</f>
        <v>21044.375</v>
      </c>
      <c r="G44" s="172">
        <f>Assumptions!H183</f>
        <v>22836.60313</v>
      </c>
      <c r="H44" s="172">
        <f>Assumptions!I183</f>
        <v>23799.2678</v>
      </c>
      <c r="I44" s="172">
        <f>Assumptions!J183</f>
        <v>24281.59839</v>
      </c>
      <c r="J44" s="172">
        <f>Assumptions!K183</f>
        <v>24555.90366</v>
      </c>
      <c r="K44" s="172">
        <f>Assumptions!L183</f>
        <v>24660.4284</v>
      </c>
      <c r="L44" s="172">
        <f>Assumptions!M183</f>
        <v>24712.20135</v>
      </c>
      <c r="M44" s="172">
        <f>Assumptions!N183</f>
        <v>24771.20548</v>
      </c>
      <c r="N44" s="172">
        <f>Assumptions!O183</f>
        <v>24768.07931</v>
      </c>
      <c r="O44" s="172">
        <f>Assumptions!P183</f>
        <v>24766.0268</v>
      </c>
      <c r="P44" s="172">
        <f>Assumptions!Q183</f>
        <v>24798.11821</v>
      </c>
      <c r="Q44" s="172">
        <f>Assumptions!R183</f>
        <v>24781.53568</v>
      </c>
      <c r="R44" s="172">
        <f>Assumptions!S183</f>
        <v>24772.75499</v>
      </c>
      <c r="S44" s="172">
        <f>Assumptions!T183</f>
        <v>24768.3573</v>
      </c>
      <c r="T44" s="172">
        <f>Assumptions!U183</f>
        <v>24766.15835</v>
      </c>
      <c r="U44" s="172">
        <f>Assumptions!V183</f>
        <v>24765.05887</v>
      </c>
      <c r="V44" s="172">
        <f>Assumptions!W183</f>
        <v>24764.50913</v>
      </c>
      <c r="W44" s="172">
        <f>Assumptions!X183</f>
        <v>24764.23426</v>
      </c>
      <c r="X44" s="172">
        <f>Assumptions!Y183</f>
        <v>24764.09683</v>
      </c>
      <c r="Y44" s="172">
        <f>Assumptions!Z183</f>
        <v>24764.02811</v>
      </c>
      <c r="Z44" s="172">
        <f>Assumptions!AA183</f>
        <v>24763.99375</v>
      </c>
      <c r="AA44" s="172">
        <f>Assumptions!AB183</f>
        <v>24763.97657</v>
      </c>
      <c r="AB44" s="172">
        <f>Assumptions!AC183</f>
        <v>24763.96798</v>
      </c>
      <c r="AC44" s="172">
        <f>Assumptions!AD183</f>
        <v>24763.96369</v>
      </c>
      <c r="AD44" s="172">
        <f>Assumptions!AE183</f>
        <v>24763.96154</v>
      </c>
      <c r="AE44" s="172">
        <f>Assumptions!AF183</f>
        <v>24763.96046</v>
      </c>
      <c r="AF44" s="172">
        <f>Assumptions!AG183</f>
        <v>24763.95993</v>
      </c>
      <c r="AG44" s="172">
        <f>Assumptions!AH183</f>
        <v>24763.95966</v>
      </c>
      <c r="AH44" s="172">
        <f>Assumptions!AI183</f>
        <v>24763.95953</v>
      </c>
      <c r="AI44" s="172">
        <f>Assumptions!AJ183</f>
        <v>24763.95946</v>
      </c>
      <c r="AJ44" s="172">
        <f>Assumptions!AK183</f>
        <v>24763.95942</v>
      </c>
      <c r="AK44" s="172">
        <f>Assumptions!AL183</f>
        <v>24763.95941</v>
      </c>
      <c r="AL44" s="172">
        <f>Assumptions!AM183</f>
        <v>24763.9594</v>
      </c>
      <c r="AM44" s="172">
        <f>Assumptions!AN183</f>
        <v>24763.9594</v>
      </c>
      <c r="AN44" s="172">
        <f>Assumptions!AO183</f>
        <v>24763.95939</v>
      </c>
      <c r="AO44" s="172">
        <f>Assumptions!AP183</f>
        <v>24763.95939</v>
      </c>
      <c r="AP44" s="172">
        <f>Assumptions!AQ183</f>
        <v>24763.95939</v>
      </c>
      <c r="AQ44" s="172">
        <f>Assumptions!AR183</f>
        <v>24763.95939</v>
      </c>
      <c r="AR44" s="172">
        <f>Assumptions!AS183</f>
        <v>24763.95939</v>
      </c>
      <c r="AS44" s="172">
        <f>Assumptions!AT183</f>
        <v>24763.95939</v>
      </c>
      <c r="AT44" s="172">
        <f>Assumptions!AU183</f>
        <v>24763.95939</v>
      </c>
      <c r="AU44" s="172">
        <f>Assumptions!AV183</f>
        <v>24763.95939</v>
      </c>
      <c r="AV44" s="172">
        <f>Assumptions!AW183</f>
        <v>24763.95939</v>
      </c>
      <c r="AW44" s="172">
        <f>Assumptions!AX183</f>
        <v>24763.95939</v>
      </c>
      <c r="AX44" s="172">
        <f>Assumptions!AY183</f>
        <v>24763.95939</v>
      </c>
      <c r="AY44" s="172">
        <f>Assumptions!AZ183</f>
        <v>24763.95939</v>
      </c>
      <c r="AZ44" s="172">
        <f>Assumptions!BA183</f>
        <v>24763.95939</v>
      </c>
      <c r="BA44" s="172">
        <f>Assumptions!BB183</f>
        <v>24763.95939</v>
      </c>
      <c r="BB44" s="172">
        <f>Assumptions!BC183</f>
        <v>24763.95939</v>
      </c>
      <c r="BC44" s="172">
        <f>Assumptions!BD183</f>
        <v>24763.95939</v>
      </c>
      <c r="BD44" s="172">
        <f>Assumptions!BE183</f>
        <v>24763.95939</v>
      </c>
      <c r="BE44" s="172">
        <f>Assumptions!BF183</f>
        <v>24763.95939</v>
      </c>
      <c r="BF44" s="172">
        <f>Assumptions!BG183</f>
        <v>24763.95939</v>
      </c>
      <c r="BG44" s="172">
        <f>Assumptions!BH183</f>
        <v>24763.95939</v>
      </c>
      <c r="BH44" s="172">
        <f>Assumptions!BI183</f>
        <v>24763.95939</v>
      </c>
      <c r="BI44" s="172">
        <f>Assumptions!BJ183</f>
        <v>24763.95939</v>
      </c>
      <c r="BJ44" s="172">
        <f>Assumptions!BK183</f>
        <v>24763.95939</v>
      </c>
      <c r="BK44" s="172">
        <f>Assumptions!BL183</f>
        <v>24763.95939</v>
      </c>
      <c r="BL44" s="172">
        <f>Assumptions!BM183</f>
        <v>24763.95939</v>
      </c>
      <c r="BM44" s="172">
        <f>Assumptions!BN183</f>
        <v>24763.95939</v>
      </c>
      <c r="BN44" s="172"/>
    </row>
    <row r="45" outlineLevel="1">
      <c r="A45" s="172"/>
      <c r="B45" s="191" t="s">
        <v>171</v>
      </c>
      <c r="C45" s="192"/>
      <c r="D45" s="192"/>
      <c r="E45" s="192"/>
      <c r="F45" s="191">
        <f t="shared" ref="F45:BM45" si="15">F44</f>
        <v>21044.375</v>
      </c>
      <c r="G45" s="191">
        <f t="shared" si="15"/>
        <v>22836.60313</v>
      </c>
      <c r="H45" s="191">
        <f t="shared" si="15"/>
        <v>23799.2678</v>
      </c>
      <c r="I45" s="191">
        <f t="shared" si="15"/>
        <v>24281.59839</v>
      </c>
      <c r="J45" s="191">
        <f t="shared" si="15"/>
        <v>24555.90366</v>
      </c>
      <c r="K45" s="191">
        <f t="shared" si="15"/>
        <v>24660.4284</v>
      </c>
      <c r="L45" s="191">
        <f t="shared" si="15"/>
        <v>24712.20135</v>
      </c>
      <c r="M45" s="191">
        <f t="shared" si="15"/>
        <v>24771.20548</v>
      </c>
      <c r="N45" s="191">
        <f t="shared" si="15"/>
        <v>24768.07931</v>
      </c>
      <c r="O45" s="191">
        <f t="shared" si="15"/>
        <v>24766.0268</v>
      </c>
      <c r="P45" s="191">
        <f t="shared" si="15"/>
        <v>24798.11821</v>
      </c>
      <c r="Q45" s="191">
        <f t="shared" si="15"/>
        <v>24781.53568</v>
      </c>
      <c r="R45" s="191">
        <f t="shared" si="15"/>
        <v>24772.75499</v>
      </c>
      <c r="S45" s="191">
        <f t="shared" si="15"/>
        <v>24768.3573</v>
      </c>
      <c r="T45" s="191">
        <f t="shared" si="15"/>
        <v>24766.15835</v>
      </c>
      <c r="U45" s="191">
        <f t="shared" si="15"/>
        <v>24765.05887</v>
      </c>
      <c r="V45" s="191">
        <f t="shared" si="15"/>
        <v>24764.50913</v>
      </c>
      <c r="W45" s="191">
        <f t="shared" si="15"/>
        <v>24764.23426</v>
      </c>
      <c r="X45" s="191">
        <f t="shared" si="15"/>
        <v>24764.09683</v>
      </c>
      <c r="Y45" s="191">
        <f t="shared" si="15"/>
        <v>24764.02811</v>
      </c>
      <c r="Z45" s="191">
        <f t="shared" si="15"/>
        <v>24763.99375</v>
      </c>
      <c r="AA45" s="191">
        <f t="shared" si="15"/>
        <v>24763.97657</v>
      </c>
      <c r="AB45" s="191">
        <f t="shared" si="15"/>
        <v>24763.96798</v>
      </c>
      <c r="AC45" s="191">
        <f t="shared" si="15"/>
        <v>24763.96369</v>
      </c>
      <c r="AD45" s="191">
        <f t="shared" si="15"/>
        <v>24763.96154</v>
      </c>
      <c r="AE45" s="191">
        <f t="shared" si="15"/>
        <v>24763.96046</v>
      </c>
      <c r="AF45" s="191">
        <f t="shared" si="15"/>
        <v>24763.95993</v>
      </c>
      <c r="AG45" s="191">
        <f t="shared" si="15"/>
        <v>24763.95966</v>
      </c>
      <c r="AH45" s="191">
        <f t="shared" si="15"/>
        <v>24763.95953</v>
      </c>
      <c r="AI45" s="191">
        <f t="shared" si="15"/>
        <v>24763.95946</v>
      </c>
      <c r="AJ45" s="191">
        <f t="shared" si="15"/>
        <v>24763.95942</v>
      </c>
      <c r="AK45" s="191">
        <f t="shared" si="15"/>
        <v>24763.95941</v>
      </c>
      <c r="AL45" s="191">
        <f t="shared" si="15"/>
        <v>24763.9594</v>
      </c>
      <c r="AM45" s="191">
        <f t="shared" si="15"/>
        <v>24763.9594</v>
      </c>
      <c r="AN45" s="191">
        <f t="shared" si="15"/>
        <v>24763.95939</v>
      </c>
      <c r="AO45" s="191">
        <f t="shared" si="15"/>
        <v>24763.95939</v>
      </c>
      <c r="AP45" s="191">
        <f t="shared" si="15"/>
        <v>24763.95939</v>
      </c>
      <c r="AQ45" s="191">
        <f t="shared" si="15"/>
        <v>24763.95939</v>
      </c>
      <c r="AR45" s="191">
        <f t="shared" si="15"/>
        <v>24763.95939</v>
      </c>
      <c r="AS45" s="191">
        <f t="shared" si="15"/>
        <v>24763.95939</v>
      </c>
      <c r="AT45" s="191">
        <f t="shared" si="15"/>
        <v>24763.95939</v>
      </c>
      <c r="AU45" s="191">
        <f t="shared" si="15"/>
        <v>24763.95939</v>
      </c>
      <c r="AV45" s="191">
        <f t="shared" si="15"/>
        <v>24763.95939</v>
      </c>
      <c r="AW45" s="191">
        <f t="shared" si="15"/>
        <v>24763.95939</v>
      </c>
      <c r="AX45" s="191">
        <f t="shared" si="15"/>
        <v>24763.95939</v>
      </c>
      <c r="AY45" s="191">
        <f t="shared" si="15"/>
        <v>24763.95939</v>
      </c>
      <c r="AZ45" s="191">
        <f t="shared" si="15"/>
        <v>24763.95939</v>
      </c>
      <c r="BA45" s="191">
        <f t="shared" si="15"/>
        <v>24763.95939</v>
      </c>
      <c r="BB45" s="191">
        <f t="shared" si="15"/>
        <v>24763.95939</v>
      </c>
      <c r="BC45" s="191">
        <f t="shared" si="15"/>
        <v>24763.95939</v>
      </c>
      <c r="BD45" s="191">
        <f t="shared" si="15"/>
        <v>24763.95939</v>
      </c>
      <c r="BE45" s="191">
        <f t="shared" si="15"/>
        <v>24763.95939</v>
      </c>
      <c r="BF45" s="191">
        <f t="shared" si="15"/>
        <v>24763.95939</v>
      </c>
      <c r="BG45" s="191">
        <f t="shared" si="15"/>
        <v>24763.95939</v>
      </c>
      <c r="BH45" s="191">
        <f t="shared" si="15"/>
        <v>24763.95939</v>
      </c>
      <c r="BI45" s="191">
        <f t="shared" si="15"/>
        <v>24763.95939</v>
      </c>
      <c r="BJ45" s="191">
        <f t="shared" si="15"/>
        <v>24763.95939</v>
      </c>
      <c r="BK45" s="191">
        <f t="shared" si="15"/>
        <v>24763.95939</v>
      </c>
      <c r="BL45" s="191">
        <f t="shared" si="15"/>
        <v>24763.95939</v>
      </c>
      <c r="BM45" s="191">
        <f t="shared" si="15"/>
        <v>24763.95939</v>
      </c>
      <c r="BN45" s="172"/>
    </row>
    <row r="46" outlineLevel="1">
      <c r="A46" s="172"/>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c r="AC46" s="172"/>
      <c r="AD46" s="172"/>
      <c r="AE46" s="172"/>
      <c r="AF46" s="172"/>
      <c r="AG46" s="172"/>
      <c r="AH46" s="172"/>
      <c r="AI46" s="172"/>
      <c r="AJ46" s="172"/>
      <c r="AK46" s="172"/>
      <c r="AL46" s="172"/>
      <c r="AM46" s="172"/>
      <c r="AN46" s="172"/>
      <c r="AO46" s="172"/>
      <c r="AP46" s="172"/>
      <c r="AQ46" s="172"/>
      <c r="AR46" s="172"/>
      <c r="AS46" s="172"/>
      <c r="AT46" s="172"/>
      <c r="AU46" s="172"/>
      <c r="AV46" s="172"/>
      <c r="AW46" s="172"/>
      <c r="AX46" s="172"/>
      <c r="AY46" s="172"/>
      <c r="AZ46" s="172"/>
      <c r="BA46" s="172"/>
      <c r="BB46" s="172"/>
      <c r="BC46" s="172"/>
      <c r="BD46" s="172"/>
      <c r="BE46" s="172"/>
      <c r="BF46" s="172"/>
      <c r="BG46" s="172"/>
      <c r="BH46" s="172"/>
      <c r="BI46" s="172"/>
      <c r="BJ46" s="172"/>
      <c r="BK46" s="172"/>
      <c r="BL46" s="172"/>
      <c r="BM46" s="172"/>
      <c r="BN46" s="172"/>
    </row>
    <row r="47" outlineLevel="1">
      <c r="A47" s="172"/>
      <c r="B47" s="187" t="s">
        <v>172</v>
      </c>
      <c r="C47" s="172"/>
      <c r="D47" s="172"/>
      <c r="E47" s="193" t="s">
        <v>173</v>
      </c>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2"/>
      <c r="BK47" s="172"/>
      <c r="BL47" s="172"/>
      <c r="BM47" s="172"/>
      <c r="BN47" s="172"/>
    </row>
    <row r="48" outlineLevel="1">
      <c r="A48" s="172"/>
      <c r="B48" s="182" t="s">
        <v>174</v>
      </c>
      <c r="C48" s="172"/>
      <c r="D48" s="172"/>
      <c r="E48" s="194">
        <f>Assumptions!C165</f>
        <v>500000</v>
      </c>
      <c r="F48" s="172">
        <f>E48</f>
        <v>500000</v>
      </c>
      <c r="G48" s="172">
        <f>Assumptions!H197+$E48</f>
        <v>500000</v>
      </c>
      <c r="H48" s="172">
        <f>Assumptions!I197+$E48</f>
        <v>500000</v>
      </c>
      <c r="I48" s="172">
        <f>Assumptions!J197+$E48</f>
        <v>500000</v>
      </c>
      <c r="J48" s="172">
        <f>Assumptions!K197+$E48</f>
        <v>500000</v>
      </c>
      <c r="K48" s="172">
        <f>Assumptions!L197+$E48</f>
        <v>500000</v>
      </c>
      <c r="L48" s="172">
        <f>Assumptions!M197+$E48</f>
        <v>500000</v>
      </c>
      <c r="M48" s="172">
        <f>Assumptions!N197+$E48</f>
        <v>500000</v>
      </c>
      <c r="N48" s="172">
        <f>Assumptions!O197+$E48</f>
        <v>500000</v>
      </c>
      <c r="O48" s="172">
        <f>Assumptions!P197+$E48</f>
        <v>500000</v>
      </c>
      <c r="P48" s="172">
        <f>Assumptions!Q197+$E48</f>
        <v>500000</v>
      </c>
      <c r="Q48" s="172">
        <f>Assumptions!R197+$E48</f>
        <v>500000</v>
      </c>
      <c r="R48" s="172">
        <f>Assumptions!S197+$E48</f>
        <v>500000</v>
      </c>
      <c r="S48" s="172">
        <f>Assumptions!T197+$E48</f>
        <v>500000</v>
      </c>
      <c r="T48" s="172">
        <f>Assumptions!U197+$E48</f>
        <v>500000</v>
      </c>
      <c r="U48" s="172">
        <f>Assumptions!V197+$E48</f>
        <v>500000</v>
      </c>
      <c r="V48" s="172">
        <f>Assumptions!W197+$E48</f>
        <v>500000</v>
      </c>
      <c r="W48" s="172">
        <f>Assumptions!X197+$E48</f>
        <v>500000</v>
      </c>
      <c r="X48" s="172">
        <f>Assumptions!Y197+$E48</f>
        <v>500000</v>
      </c>
      <c r="Y48" s="172">
        <f>Assumptions!Z197+$E48</f>
        <v>500000</v>
      </c>
      <c r="Z48" s="172">
        <f>Assumptions!AA197+$E48</f>
        <v>500000</v>
      </c>
      <c r="AA48" s="172">
        <f>Assumptions!AB197+$E48</f>
        <v>500000</v>
      </c>
      <c r="AB48" s="172">
        <f>Assumptions!AC197+$E48</f>
        <v>500000</v>
      </c>
      <c r="AC48" s="172">
        <f>Assumptions!AD197+$E48</f>
        <v>500000</v>
      </c>
      <c r="AD48" s="172">
        <f>Assumptions!AE197+$E48</f>
        <v>500000</v>
      </c>
      <c r="AE48" s="172">
        <f>Assumptions!AF197+$E48</f>
        <v>500000</v>
      </c>
      <c r="AF48" s="172">
        <f>Assumptions!AG197+$E48</f>
        <v>500000</v>
      </c>
      <c r="AG48" s="172">
        <f>Assumptions!AH197+$E48</f>
        <v>500000</v>
      </c>
      <c r="AH48" s="172">
        <f>Assumptions!AI197+$E48</f>
        <v>500000</v>
      </c>
      <c r="AI48" s="172">
        <f>Assumptions!AJ197+$E48</f>
        <v>500000</v>
      </c>
      <c r="AJ48" s="172">
        <f>Assumptions!AK197+$E48</f>
        <v>500000</v>
      </c>
      <c r="AK48" s="172">
        <f>Assumptions!AL197+$E48</f>
        <v>500000</v>
      </c>
      <c r="AL48" s="172">
        <f>Assumptions!AM197+$E48</f>
        <v>500000</v>
      </c>
      <c r="AM48" s="172">
        <f>Assumptions!AN197+$E48</f>
        <v>500000</v>
      </c>
      <c r="AN48" s="172">
        <f>Assumptions!AO197+$E48</f>
        <v>500000</v>
      </c>
      <c r="AO48" s="172">
        <f>Assumptions!AP197+$E48</f>
        <v>500000</v>
      </c>
      <c r="AP48" s="172">
        <f>Assumptions!AQ197+$E48</f>
        <v>500000</v>
      </c>
      <c r="AQ48" s="172">
        <f>Assumptions!AR197+$E48</f>
        <v>500000</v>
      </c>
      <c r="AR48" s="172">
        <f>Assumptions!AS197+$E48</f>
        <v>500000</v>
      </c>
      <c r="AS48" s="172">
        <f>Assumptions!AT197+$E48</f>
        <v>500000</v>
      </c>
      <c r="AT48" s="172">
        <f>Assumptions!AU197+$E48</f>
        <v>500000</v>
      </c>
      <c r="AU48" s="172">
        <f>Assumptions!AV197+$E48</f>
        <v>500000</v>
      </c>
      <c r="AV48" s="172">
        <f>Assumptions!AW197+$E48</f>
        <v>500000</v>
      </c>
      <c r="AW48" s="172">
        <f>Assumptions!AX197+$E48</f>
        <v>500000</v>
      </c>
      <c r="AX48" s="172">
        <f>Assumptions!AY197+$E48</f>
        <v>500000</v>
      </c>
      <c r="AY48" s="172">
        <f>Assumptions!AZ197+$E48</f>
        <v>500000</v>
      </c>
      <c r="AZ48" s="172">
        <f>Assumptions!BA197+$E48</f>
        <v>500000</v>
      </c>
      <c r="BA48" s="172">
        <f>Assumptions!BB197+$E48</f>
        <v>500000</v>
      </c>
      <c r="BB48" s="172">
        <f>Assumptions!BC197+$E48</f>
        <v>500000</v>
      </c>
      <c r="BC48" s="172">
        <f>Assumptions!BD197+$E48</f>
        <v>500000</v>
      </c>
      <c r="BD48" s="172">
        <f>Assumptions!BE197+$E48</f>
        <v>500000</v>
      </c>
      <c r="BE48" s="172">
        <f>Assumptions!BF197+$E48</f>
        <v>500000</v>
      </c>
      <c r="BF48" s="172">
        <f>Assumptions!BG197+$E48</f>
        <v>500000</v>
      </c>
      <c r="BG48" s="172">
        <f>Assumptions!BH197+$E48</f>
        <v>500000</v>
      </c>
      <c r="BH48" s="172">
        <f>Assumptions!BI197+$E48</f>
        <v>500000</v>
      </c>
      <c r="BI48" s="172">
        <f>Assumptions!BJ197+$E48</f>
        <v>500000</v>
      </c>
      <c r="BJ48" s="172">
        <f>Assumptions!BK197+$E48</f>
        <v>500000</v>
      </c>
      <c r="BK48" s="172">
        <f>Assumptions!BL197+$E48</f>
        <v>500000</v>
      </c>
      <c r="BL48" s="172">
        <f>Assumptions!BM197+$E48</f>
        <v>500000</v>
      </c>
      <c r="BM48" s="172">
        <f>Assumptions!BN197+$E48</f>
        <v>500000</v>
      </c>
      <c r="BN48" s="172"/>
    </row>
    <row r="49" outlineLevel="1">
      <c r="A49" s="172"/>
      <c r="B49" s="182" t="s">
        <v>175</v>
      </c>
      <c r="C49" s="172"/>
      <c r="D49" s="172"/>
      <c r="E49" s="172"/>
      <c r="F49" s="172">
        <f t="shared" ref="F49:BM49" si="16">E49+F27</f>
        <v>-230713.75</v>
      </c>
      <c r="G49" s="172">
        <f t="shared" si="16"/>
        <v>-458248.8313</v>
      </c>
      <c r="H49" s="172">
        <f t="shared" si="16"/>
        <v>-684076.545</v>
      </c>
      <c r="I49" s="172">
        <f t="shared" si="16"/>
        <v>-909048.8044</v>
      </c>
      <c r="J49" s="172">
        <f t="shared" si="16"/>
        <v>-1133534.56</v>
      </c>
      <c r="K49" s="172">
        <f t="shared" si="16"/>
        <v>-1357834.932</v>
      </c>
      <c r="L49" s="172">
        <f t="shared" si="16"/>
        <v>-1582043.481</v>
      </c>
      <c r="M49" s="172">
        <f t="shared" si="16"/>
        <v>-1806147.381</v>
      </c>
      <c r="N49" s="172">
        <f t="shared" si="16"/>
        <v>-2030256.825</v>
      </c>
      <c r="O49" s="172">
        <f t="shared" si="16"/>
        <v>-2254369.91</v>
      </c>
      <c r="P49" s="172">
        <f t="shared" si="16"/>
        <v>-2478426.077</v>
      </c>
      <c r="Q49" s="172">
        <f t="shared" si="16"/>
        <v>-2702511.655</v>
      </c>
      <c r="R49" s="172">
        <f t="shared" si="16"/>
        <v>-2926612.807</v>
      </c>
      <c r="S49" s="172">
        <f t="shared" si="16"/>
        <v>-3150721.758</v>
      </c>
      <c r="T49" s="172">
        <f t="shared" si="16"/>
        <v>-3374834.609</v>
      </c>
      <c r="U49" s="172">
        <f t="shared" si="16"/>
        <v>-3598949.411</v>
      </c>
      <c r="V49" s="172">
        <f t="shared" si="16"/>
        <v>-3823065.187</v>
      </c>
      <c r="W49" s="172">
        <f t="shared" si="16"/>
        <v>-4047181.451</v>
      </c>
      <c r="X49" s="172">
        <f t="shared" si="16"/>
        <v>-4271297.958</v>
      </c>
      <c r="Y49" s="172">
        <f t="shared" si="16"/>
        <v>-4495414.588</v>
      </c>
      <c r="Z49" s="172">
        <f t="shared" si="16"/>
        <v>-4719531.278</v>
      </c>
      <c r="AA49" s="172">
        <f t="shared" si="16"/>
        <v>-4943647.999</v>
      </c>
      <c r="AB49" s="172">
        <f t="shared" si="16"/>
        <v>-5167764.735</v>
      </c>
      <c r="AC49" s="172">
        <f t="shared" si="16"/>
        <v>-5391881.478</v>
      </c>
      <c r="AD49" s="172">
        <f t="shared" si="16"/>
        <v>-5615998.226</v>
      </c>
      <c r="AE49" s="172">
        <f t="shared" si="16"/>
        <v>-5840114.975</v>
      </c>
      <c r="AF49" s="172">
        <f t="shared" si="16"/>
        <v>-6064231.726</v>
      </c>
      <c r="AG49" s="172">
        <f t="shared" si="16"/>
        <v>-6288348.476</v>
      </c>
      <c r="AH49" s="172">
        <f t="shared" si="16"/>
        <v>-6512465.227</v>
      </c>
      <c r="AI49" s="172">
        <f t="shared" si="16"/>
        <v>-6736581.979</v>
      </c>
      <c r="AJ49" s="172">
        <f t="shared" si="16"/>
        <v>-6960698.73</v>
      </c>
      <c r="AK49" s="172">
        <f t="shared" si="16"/>
        <v>-7184815.481</v>
      </c>
      <c r="AL49" s="172">
        <f t="shared" si="16"/>
        <v>-7408932.232</v>
      </c>
      <c r="AM49" s="172">
        <f t="shared" si="16"/>
        <v>-7633048.983</v>
      </c>
      <c r="AN49" s="172">
        <f t="shared" si="16"/>
        <v>-7857165.735</v>
      </c>
      <c r="AO49" s="172">
        <f t="shared" si="16"/>
        <v>-8081282.486</v>
      </c>
      <c r="AP49" s="172">
        <f t="shared" si="16"/>
        <v>-8305399.237</v>
      </c>
      <c r="AQ49" s="172">
        <f t="shared" si="16"/>
        <v>-8529515.989</v>
      </c>
      <c r="AR49" s="172">
        <f t="shared" si="16"/>
        <v>-8753632.74</v>
      </c>
      <c r="AS49" s="172">
        <f t="shared" si="16"/>
        <v>-8977749.491</v>
      </c>
      <c r="AT49" s="172">
        <f t="shared" si="16"/>
        <v>-9201866.242</v>
      </c>
      <c r="AU49" s="172">
        <f t="shared" si="16"/>
        <v>-9425982.994</v>
      </c>
      <c r="AV49" s="172">
        <f t="shared" si="16"/>
        <v>-9650099.745</v>
      </c>
      <c r="AW49" s="172">
        <f t="shared" si="16"/>
        <v>-9874216.496</v>
      </c>
      <c r="AX49" s="172">
        <f t="shared" si="16"/>
        <v>-10098333.25</v>
      </c>
      <c r="AY49" s="172">
        <f t="shared" si="16"/>
        <v>-10322450</v>
      </c>
      <c r="AZ49" s="172">
        <f t="shared" si="16"/>
        <v>-10546566.75</v>
      </c>
      <c r="BA49" s="172">
        <f t="shared" si="16"/>
        <v>-10770683.5</v>
      </c>
      <c r="BB49" s="172">
        <f t="shared" si="16"/>
        <v>-10994800.25</v>
      </c>
      <c r="BC49" s="172">
        <f t="shared" si="16"/>
        <v>-11218917</v>
      </c>
      <c r="BD49" s="172">
        <f t="shared" si="16"/>
        <v>-11443033.76</v>
      </c>
      <c r="BE49" s="172">
        <f t="shared" si="16"/>
        <v>-11667150.51</v>
      </c>
      <c r="BF49" s="172">
        <f t="shared" si="16"/>
        <v>-11891267.26</v>
      </c>
      <c r="BG49" s="172">
        <f t="shared" si="16"/>
        <v>-12115384.01</v>
      </c>
      <c r="BH49" s="172">
        <f t="shared" si="16"/>
        <v>-12339500.76</v>
      </c>
      <c r="BI49" s="172">
        <f t="shared" si="16"/>
        <v>-12563617.51</v>
      </c>
      <c r="BJ49" s="172">
        <f t="shared" si="16"/>
        <v>-12787734.26</v>
      </c>
      <c r="BK49" s="172">
        <f t="shared" si="16"/>
        <v>-13011851.01</v>
      </c>
      <c r="BL49" s="172">
        <f t="shared" si="16"/>
        <v>-13235967.77</v>
      </c>
      <c r="BM49" s="172">
        <f t="shared" si="16"/>
        <v>-13460084.52</v>
      </c>
      <c r="BN49" s="172"/>
    </row>
    <row r="50" outlineLevel="1">
      <c r="A50" s="172"/>
      <c r="B50" s="191" t="s">
        <v>176</v>
      </c>
      <c r="C50" s="192"/>
      <c r="D50" s="192"/>
      <c r="E50" s="192"/>
      <c r="F50" s="191">
        <f t="shared" ref="F50:BM50" si="17">SUM(F48:F49)</f>
        <v>269286.25</v>
      </c>
      <c r="G50" s="191">
        <f t="shared" si="17"/>
        <v>41751.16875</v>
      </c>
      <c r="H50" s="191">
        <f t="shared" si="17"/>
        <v>-184076.545</v>
      </c>
      <c r="I50" s="191">
        <f t="shared" si="17"/>
        <v>-409048.8044</v>
      </c>
      <c r="J50" s="191">
        <f t="shared" si="17"/>
        <v>-633534.5602</v>
      </c>
      <c r="K50" s="191">
        <f t="shared" si="17"/>
        <v>-857834.9325</v>
      </c>
      <c r="L50" s="191">
        <f t="shared" si="17"/>
        <v>-1082043.481</v>
      </c>
      <c r="M50" s="191">
        <f t="shared" si="17"/>
        <v>-1306147.381</v>
      </c>
      <c r="N50" s="191">
        <f t="shared" si="17"/>
        <v>-1530256.825</v>
      </c>
      <c r="O50" s="191">
        <f t="shared" si="17"/>
        <v>-1754369.91</v>
      </c>
      <c r="P50" s="191">
        <f t="shared" si="17"/>
        <v>-1978426.077</v>
      </c>
      <c r="Q50" s="191">
        <f t="shared" si="17"/>
        <v>-2202511.655</v>
      </c>
      <c r="R50" s="191">
        <f t="shared" si="17"/>
        <v>-2426612.807</v>
      </c>
      <c r="S50" s="191">
        <f t="shared" si="17"/>
        <v>-2650721.758</v>
      </c>
      <c r="T50" s="191">
        <f t="shared" si="17"/>
        <v>-2874834.609</v>
      </c>
      <c r="U50" s="191">
        <f t="shared" si="17"/>
        <v>-3098949.411</v>
      </c>
      <c r="V50" s="191">
        <f t="shared" si="17"/>
        <v>-3323065.187</v>
      </c>
      <c r="W50" s="191">
        <f t="shared" si="17"/>
        <v>-3547181.451</v>
      </c>
      <c r="X50" s="191">
        <f t="shared" si="17"/>
        <v>-3771297.958</v>
      </c>
      <c r="Y50" s="191">
        <f t="shared" si="17"/>
        <v>-3995414.588</v>
      </c>
      <c r="Z50" s="191">
        <f t="shared" si="17"/>
        <v>-4219531.278</v>
      </c>
      <c r="AA50" s="191">
        <f t="shared" si="17"/>
        <v>-4443647.999</v>
      </c>
      <c r="AB50" s="191">
        <f t="shared" si="17"/>
        <v>-4667764.735</v>
      </c>
      <c r="AC50" s="191">
        <f t="shared" si="17"/>
        <v>-4891881.478</v>
      </c>
      <c r="AD50" s="191">
        <f t="shared" si="17"/>
        <v>-5115998.226</v>
      </c>
      <c r="AE50" s="191">
        <f t="shared" si="17"/>
        <v>-5340114.975</v>
      </c>
      <c r="AF50" s="191">
        <f t="shared" si="17"/>
        <v>-5564231.726</v>
      </c>
      <c r="AG50" s="191">
        <f t="shared" si="17"/>
        <v>-5788348.476</v>
      </c>
      <c r="AH50" s="191">
        <f t="shared" si="17"/>
        <v>-6012465.227</v>
      </c>
      <c r="AI50" s="191">
        <f t="shared" si="17"/>
        <v>-6236581.979</v>
      </c>
      <c r="AJ50" s="191">
        <f t="shared" si="17"/>
        <v>-6460698.73</v>
      </c>
      <c r="AK50" s="191">
        <f t="shared" si="17"/>
        <v>-6684815.481</v>
      </c>
      <c r="AL50" s="191">
        <f t="shared" si="17"/>
        <v>-6908932.232</v>
      </c>
      <c r="AM50" s="191">
        <f t="shared" si="17"/>
        <v>-7133048.983</v>
      </c>
      <c r="AN50" s="191">
        <f t="shared" si="17"/>
        <v>-7357165.735</v>
      </c>
      <c r="AO50" s="191">
        <f t="shared" si="17"/>
        <v>-7581282.486</v>
      </c>
      <c r="AP50" s="191">
        <f t="shared" si="17"/>
        <v>-7805399.237</v>
      </c>
      <c r="AQ50" s="191">
        <f t="shared" si="17"/>
        <v>-8029515.989</v>
      </c>
      <c r="AR50" s="191">
        <f t="shared" si="17"/>
        <v>-8253632.74</v>
      </c>
      <c r="AS50" s="191">
        <f t="shared" si="17"/>
        <v>-8477749.491</v>
      </c>
      <c r="AT50" s="191">
        <f t="shared" si="17"/>
        <v>-8701866.242</v>
      </c>
      <c r="AU50" s="191">
        <f t="shared" si="17"/>
        <v>-8925982.994</v>
      </c>
      <c r="AV50" s="191">
        <f t="shared" si="17"/>
        <v>-9150099.745</v>
      </c>
      <c r="AW50" s="191">
        <f t="shared" si="17"/>
        <v>-9374216.496</v>
      </c>
      <c r="AX50" s="191">
        <f t="shared" si="17"/>
        <v>-9598333.247</v>
      </c>
      <c r="AY50" s="191">
        <f t="shared" si="17"/>
        <v>-9822449.999</v>
      </c>
      <c r="AZ50" s="191">
        <f t="shared" si="17"/>
        <v>-10046566.75</v>
      </c>
      <c r="BA50" s="191">
        <f t="shared" si="17"/>
        <v>-10270683.5</v>
      </c>
      <c r="BB50" s="191">
        <f t="shared" si="17"/>
        <v>-10494800.25</v>
      </c>
      <c r="BC50" s="191">
        <f t="shared" si="17"/>
        <v>-10718917</v>
      </c>
      <c r="BD50" s="191">
        <f t="shared" si="17"/>
        <v>-10943033.76</v>
      </c>
      <c r="BE50" s="191">
        <f t="shared" si="17"/>
        <v>-11167150.51</v>
      </c>
      <c r="BF50" s="191">
        <f t="shared" si="17"/>
        <v>-11391267.26</v>
      </c>
      <c r="BG50" s="191">
        <f t="shared" si="17"/>
        <v>-11615384.01</v>
      </c>
      <c r="BH50" s="191">
        <f t="shared" si="17"/>
        <v>-11839500.76</v>
      </c>
      <c r="BI50" s="191">
        <f t="shared" si="17"/>
        <v>-12063617.51</v>
      </c>
      <c r="BJ50" s="191">
        <f t="shared" si="17"/>
        <v>-12287734.26</v>
      </c>
      <c r="BK50" s="191">
        <f t="shared" si="17"/>
        <v>-12511851.01</v>
      </c>
      <c r="BL50" s="191">
        <f t="shared" si="17"/>
        <v>-12735967.77</v>
      </c>
      <c r="BM50" s="191">
        <f t="shared" si="17"/>
        <v>-12960084.52</v>
      </c>
      <c r="BN50" s="172"/>
    </row>
    <row r="51" outlineLevel="1">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row>
    <row r="52" outlineLevel="1">
      <c r="A52" s="172"/>
      <c r="B52" s="175" t="s">
        <v>177</v>
      </c>
      <c r="C52" s="176"/>
      <c r="D52" s="176"/>
      <c r="E52" s="176"/>
      <c r="F52" s="177">
        <f t="shared" ref="F52:BM52" si="18">F50+F45</f>
        <v>290330.625</v>
      </c>
      <c r="G52" s="177">
        <f t="shared" si="18"/>
        <v>64587.77188</v>
      </c>
      <c r="H52" s="177">
        <f t="shared" si="18"/>
        <v>-160277.2772</v>
      </c>
      <c r="I52" s="177">
        <f t="shared" si="18"/>
        <v>-384767.206</v>
      </c>
      <c r="J52" s="177">
        <f t="shared" si="18"/>
        <v>-608978.6565</v>
      </c>
      <c r="K52" s="177">
        <f t="shared" si="18"/>
        <v>-833174.5041</v>
      </c>
      <c r="L52" s="177">
        <f t="shared" si="18"/>
        <v>-1057331.28</v>
      </c>
      <c r="M52" s="177">
        <f t="shared" si="18"/>
        <v>-1281376.175</v>
      </c>
      <c r="N52" s="177">
        <f t="shared" si="18"/>
        <v>-1505488.746</v>
      </c>
      <c r="O52" s="177">
        <f t="shared" si="18"/>
        <v>-1729603.883</v>
      </c>
      <c r="P52" s="177">
        <f t="shared" si="18"/>
        <v>-1953627.959</v>
      </c>
      <c r="Q52" s="177">
        <f t="shared" si="18"/>
        <v>-2177730.12</v>
      </c>
      <c r="R52" s="177">
        <f t="shared" si="18"/>
        <v>-2401840.052</v>
      </c>
      <c r="S52" s="177">
        <f t="shared" si="18"/>
        <v>-2625953.401</v>
      </c>
      <c r="T52" s="177">
        <f t="shared" si="18"/>
        <v>-2850068.451</v>
      </c>
      <c r="U52" s="177">
        <f t="shared" si="18"/>
        <v>-3074184.352</v>
      </c>
      <c r="V52" s="177">
        <f t="shared" si="18"/>
        <v>-3298300.678</v>
      </c>
      <c r="W52" s="177">
        <f t="shared" si="18"/>
        <v>-3522417.216</v>
      </c>
      <c r="X52" s="177">
        <f t="shared" si="18"/>
        <v>-3746533.861</v>
      </c>
      <c r="Y52" s="177">
        <f t="shared" si="18"/>
        <v>-3970650.559</v>
      </c>
      <c r="Z52" s="177">
        <f t="shared" si="18"/>
        <v>-4194767.284</v>
      </c>
      <c r="AA52" s="177">
        <f t="shared" si="18"/>
        <v>-4418884.022</v>
      </c>
      <c r="AB52" s="177">
        <f t="shared" si="18"/>
        <v>-4643000.767</v>
      </c>
      <c r="AC52" s="177">
        <f t="shared" si="18"/>
        <v>-4867117.515</v>
      </c>
      <c r="AD52" s="177">
        <f t="shared" si="18"/>
        <v>-5091234.264</v>
      </c>
      <c r="AE52" s="177">
        <f t="shared" si="18"/>
        <v>-5315351.015</v>
      </c>
      <c r="AF52" s="177">
        <f t="shared" si="18"/>
        <v>-5539467.766</v>
      </c>
      <c r="AG52" s="177">
        <f t="shared" si="18"/>
        <v>-5763584.517</v>
      </c>
      <c r="AH52" s="177">
        <f t="shared" si="18"/>
        <v>-5987701.268</v>
      </c>
      <c r="AI52" s="177">
        <f t="shared" si="18"/>
        <v>-6211818.019</v>
      </c>
      <c r="AJ52" s="177">
        <f t="shared" si="18"/>
        <v>-6435934.77</v>
      </c>
      <c r="AK52" s="177">
        <f t="shared" si="18"/>
        <v>-6660051.522</v>
      </c>
      <c r="AL52" s="177">
        <f t="shared" si="18"/>
        <v>-6884168.273</v>
      </c>
      <c r="AM52" s="177">
        <f t="shared" si="18"/>
        <v>-7108285.024</v>
      </c>
      <c r="AN52" s="177">
        <f t="shared" si="18"/>
        <v>-7332401.775</v>
      </c>
      <c r="AO52" s="177">
        <f t="shared" si="18"/>
        <v>-7556518.527</v>
      </c>
      <c r="AP52" s="177">
        <f t="shared" si="18"/>
        <v>-7780635.278</v>
      </c>
      <c r="AQ52" s="177">
        <f t="shared" si="18"/>
        <v>-8004752.029</v>
      </c>
      <c r="AR52" s="177">
        <f t="shared" si="18"/>
        <v>-8228868.78</v>
      </c>
      <c r="AS52" s="177">
        <f t="shared" si="18"/>
        <v>-8452985.532</v>
      </c>
      <c r="AT52" s="177">
        <f t="shared" si="18"/>
        <v>-8677102.283</v>
      </c>
      <c r="AU52" s="177">
        <f t="shared" si="18"/>
        <v>-8901219.034</v>
      </c>
      <c r="AV52" s="177">
        <f t="shared" si="18"/>
        <v>-9125335.786</v>
      </c>
      <c r="AW52" s="177">
        <f t="shared" si="18"/>
        <v>-9349452.537</v>
      </c>
      <c r="AX52" s="177">
        <f t="shared" si="18"/>
        <v>-9573569.288</v>
      </c>
      <c r="AY52" s="177">
        <f t="shared" si="18"/>
        <v>-9797686.039</v>
      </c>
      <c r="AZ52" s="177">
        <f t="shared" si="18"/>
        <v>-10021802.79</v>
      </c>
      <c r="BA52" s="177">
        <f t="shared" si="18"/>
        <v>-10245919.54</v>
      </c>
      <c r="BB52" s="177">
        <f t="shared" si="18"/>
        <v>-10470036.29</v>
      </c>
      <c r="BC52" s="177">
        <f t="shared" si="18"/>
        <v>-10694153.04</v>
      </c>
      <c r="BD52" s="177">
        <f t="shared" si="18"/>
        <v>-10918269.8</v>
      </c>
      <c r="BE52" s="177">
        <f t="shared" si="18"/>
        <v>-11142386.55</v>
      </c>
      <c r="BF52" s="177">
        <f t="shared" si="18"/>
        <v>-11366503.3</v>
      </c>
      <c r="BG52" s="177">
        <f t="shared" si="18"/>
        <v>-11590620.05</v>
      </c>
      <c r="BH52" s="177">
        <f t="shared" si="18"/>
        <v>-11814736.8</v>
      </c>
      <c r="BI52" s="177">
        <f t="shared" si="18"/>
        <v>-12038853.55</v>
      </c>
      <c r="BJ52" s="177">
        <f t="shared" si="18"/>
        <v>-12262970.3</v>
      </c>
      <c r="BK52" s="177">
        <f t="shared" si="18"/>
        <v>-12487087.05</v>
      </c>
      <c r="BL52" s="177">
        <f t="shared" si="18"/>
        <v>-12711203.81</v>
      </c>
      <c r="BM52" s="177">
        <f t="shared" si="18"/>
        <v>-12935320.56</v>
      </c>
      <c r="BN52" s="172"/>
    </row>
    <row r="53" outlineLevel="1">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2"/>
      <c r="BK53" s="172"/>
      <c r="BL53" s="172"/>
      <c r="BM53" s="172"/>
      <c r="BN53" s="172"/>
    </row>
    <row r="54" outlineLevel="1">
      <c r="A54" s="30"/>
      <c r="B54" s="195" t="s">
        <v>178</v>
      </c>
      <c r="C54" s="30"/>
      <c r="D54" s="30"/>
      <c r="E54" s="30"/>
      <c r="F54" s="196" t="str">
        <f t="shared" ref="F54:BM54" si="19">IF(ABS(F52-F40)&gt;0.001,"ERROR","OK")</f>
        <v>OK</v>
      </c>
      <c r="G54" s="196" t="str">
        <f t="shared" si="19"/>
        <v>OK</v>
      </c>
      <c r="H54" s="196" t="str">
        <f t="shared" si="19"/>
        <v>OK</v>
      </c>
      <c r="I54" s="196" t="str">
        <f t="shared" si="19"/>
        <v>OK</v>
      </c>
      <c r="J54" s="196" t="str">
        <f t="shared" si="19"/>
        <v>OK</v>
      </c>
      <c r="K54" s="196" t="str">
        <f t="shared" si="19"/>
        <v>OK</v>
      </c>
      <c r="L54" s="196" t="str">
        <f t="shared" si="19"/>
        <v>OK</v>
      </c>
      <c r="M54" s="196" t="str">
        <f t="shared" si="19"/>
        <v>OK</v>
      </c>
      <c r="N54" s="196" t="str">
        <f t="shared" si="19"/>
        <v>OK</v>
      </c>
      <c r="O54" s="196" t="str">
        <f t="shared" si="19"/>
        <v>OK</v>
      </c>
      <c r="P54" s="196" t="str">
        <f t="shared" si="19"/>
        <v>OK</v>
      </c>
      <c r="Q54" s="196" t="str">
        <f t="shared" si="19"/>
        <v>OK</v>
      </c>
      <c r="R54" s="196" t="str">
        <f t="shared" si="19"/>
        <v>OK</v>
      </c>
      <c r="S54" s="196" t="str">
        <f t="shared" si="19"/>
        <v>OK</v>
      </c>
      <c r="T54" s="196" t="str">
        <f t="shared" si="19"/>
        <v>OK</v>
      </c>
      <c r="U54" s="196" t="str">
        <f t="shared" si="19"/>
        <v>OK</v>
      </c>
      <c r="V54" s="196" t="str">
        <f t="shared" si="19"/>
        <v>OK</v>
      </c>
      <c r="W54" s="196" t="str">
        <f t="shared" si="19"/>
        <v>OK</v>
      </c>
      <c r="X54" s="196" t="str">
        <f t="shared" si="19"/>
        <v>OK</v>
      </c>
      <c r="Y54" s="196" t="str">
        <f t="shared" si="19"/>
        <v>OK</v>
      </c>
      <c r="Z54" s="196" t="str">
        <f t="shared" si="19"/>
        <v>OK</v>
      </c>
      <c r="AA54" s="196" t="str">
        <f t="shared" si="19"/>
        <v>OK</v>
      </c>
      <c r="AB54" s="196" t="str">
        <f t="shared" si="19"/>
        <v>OK</v>
      </c>
      <c r="AC54" s="196" t="str">
        <f t="shared" si="19"/>
        <v>OK</v>
      </c>
      <c r="AD54" s="196" t="str">
        <f t="shared" si="19"/>
        <v>OK</v>
      </c>
      <c r="AE54" s="196" t="str">
        <f t="shared" si="19"/>
        <v>OK</v>
      </c>
      <c r="AF54" s="196" t="str">
        <f t="shared" si="19"/>
        <v>OK</v>
      </c>
      <c r="AG54" s="196" t="str">
        <f t="shared" si="19"/>
        <v>OK</v>
      </c>
      <c r="AH54" s="196" t="str">
        <f t="shared" si="19"/>
        <v>OK</v>
      </c>
      <c r="AI54" s="196" t="str">
        <f t="shared" si="19"/>
        <v>OK</v>
      </c>
      <c r="AJ54" s="196" t="str">
        <f t="shared" si="19"/>
        <v>OK</v>
      </c>
      <c r="AK54" s="196" t="str">
        <f t="shared" si="19"/>
        <v>OK</v>
      </c>
      <c r="AL54" s="196" t="str">
        <f t="shared" si="19"/>
        <v>OK</v>
      </c>
      <c r="AM54" s="196" t="str">
        <f t="shared" si="19"/>
        <v>OK</v>
      </c>
      <c r="AN54" s="196" t="str">
        <f t="shared" si="19"/>
        <v>OK</v>
      </c>
      <c r="AO54" s="196" t="str">
        <f t="shared" si="19"/>
        <v>OK</v>
      </c>
      <c r="AP54" s="196" t="str">
        <f t="shared" si="19"/>
        <v>OK</v>
      </c>
      <c r="AQ54" s="196" t="str">
        <f t="shared" si="19"/>
        <v>OK</v>
      </c>
      <c r="AR54" s="196" t="str">
        <f t="shared" si="19"/>
        <v>OK</v>
      </c>
      <c r="AS54" s="196" t="str">
        <f t="shared" si="19"/>
        <v>OK</v>
      </c>
      <c r="AT54" s="196" t="str">
        <f t="shared" si="19"/>
        <v>OK</v>
      </c>
      <c r="AU54" s="196" t="str">
        <f t="shared" si="19"/>
        <v>OK</v>
      </c>
      <c r="AV54" s="196" t="str">
        <f t="shared" si="19"/>
        <v>OK</v>
      </c>
      <c r="AW54" s="196" t="str">
        <f t="shared" si="19"/>
        <v>OK</v>
      </c>
      <c r="AX54" s="196" t="str">
        <f t="shared" si="19"/>
        <v>OK</v>
      </c>
      <c r="AY54" s="196" t="str">
        <f t="shared" si="19"/>
        <v>OK</v>
      </c>
      <c r="AZ54" s="196" t="str">
        <f t="shared" si="19"/>
        <v>OK</v>
      </c>
      <c r="BA54" s="196" t="str">
        <f t="shared" si="19"/>
        <v>OK</v>
      </c>
      <c r="BB54" s="196" t="str">
        <f t="shared" si="19"/>
        <v>OK</v>
      </c>
      <c r="BC54" s="196" t="str">
        <f t="shared" si="19"/>
        <v>OK</v>
      </c>
      <c r="BD54" s="196" t="str">
        <f t="shared" si="19"/>
        <v>OK</v>
      </c>
      <c r="BE54" s="196" t="str">
        <f t="shared" si="19"/>
        <v>OK</v>
      </c>
      <c r="BF54" s="196" t="str">
        <f t="shared" si="19"/>
        <v>OK</v>
      </c>
      <c r="BG54" s="196" t="str">
        <f t="shared" si="19"/>
        <v>OK</v>
      </c>
      <c r="BH54" s="196" t="str">
        <f t="shared" si="19"/>
        <v>OK</v>
      </c>
      <c r="BI54" s="196" t="str">
        <f t="shared" si="19"/>
        <v>OK</v>
      </c>
      <c r="BJ54" s="196" t="str">
        <f t="shared" si="19"/>
        <v>OK</v>
      </c>
      <c r="BK54" s="196" t="str">
        <f t="shared" si="19"/>
        <v>OK</v>
      </c>
      <c r="BL54" s="196" t="str">
        <f t="shared" si="19"/>
        <v>OK</v>
      </c>
      <c r="BM54" s="196" t="str">
        <f t="shared" si="19"/>
        <v>OK</v>
      </c>
      <c r="BN54" s="30"/>
    </row>
    <row r="55">
      <c r="A55" s="30"/>
      <c r="B55" s="197"/>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167"/>
    </row>
    <row r="56">
      <c r="A56" s="30"/>
      <c r="B56" s="170" t="s">
        <v>179</v>
      </c>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c r="AL56" s="171"/>
      <c r="AM56" s="171"/>
      <c r="AN56" s="171"/>
      <c r="AO56" s="171"/>
      <c r="AP56" s="171"/>
      <c r="AQ56" s="171"/>
      <c r="AR56" s="171"/>
      <c r="AS56" s="171"/>
      <c r="AT56" s="171"/>
      <c r="AU56" s="171"/>
      <c r="AV56" s="171"/>
      <c r="AW56" s="171"/>
      <c r="AX56" s="171"/>
      <c r="AY56" s="171"/>
      <c r="AZ56" s="171"/>
      <c r="BA56" s="171"/>
      <c r="BB56" s="171"/>
      <c r="BC56" s="171"/>
      <c r="BD56" s="171"/>
      <c r="BE56" s="171"/>
      <c r="BF56" s="171"/>
      <c r="BG56" s="171"/>
      <c r="BH56" s="171"/>
      <c r="BI56" s="171"/>
      <c r="BJ56" s="171"/>
      <c r="BK56" s="171"/>
      <c r="BL56" s="171"/>
      <c r="BM56" s="171"/>
      <c r="BN56" s="167"/>
    </row>
    <row r="57" outlineLevel="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row>
    <row r="58" outlineLevel="1">
      <c r="A58" s="172"/>
      <c r="B58" s="181" t="s">
        <v>180</v>
      </c>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2"/>
      <c r="BK58" s="172"/>
      <c r="BL58" s="172"/>
      <c r="BM58" s="172"/>
      <c r="BN58" s="172"/>
    </row>
    <row r="59" outlineLevel="1">
      <c r="A59" s="172"/>
      <c r="B59" s="182" t="s">
        <v>181</v>
      </c>
      <c r="C59" s="172"/>
      <c r="D59" s="172"/>
      <c r="E59" s="172"/>
      <c r="F59" s="172">
        <f t="shared" ref="F59:BM59" si="20">F49-E49</f>
        <v>-230713.75</v>
      </c>
      <c r="G59" s="172">
        <f t="shared" si="20"/>
        <v>-227535.0813</v>
      </c>
      <c r="H59" s="172">
        <f t="shared" si="20"/>
        <v>-225827.7137</v>
      </c>
      <c r="I59" s="172">
        <f t="shared" si="20"/>
        <v>-224972.2595</v>
      </c>
      <c r="J59" s="172">
        <f t="shared" si="20"/>
        <v>-224485.7558</v>
      </c>
      <c r="K59" s="172">
        <f t="shared" si="20"/>
        <v>-224300.3723</v>
      </c>
      <c r="L59" s="172">
        <f t="shared" si="20"/>
        <v>-224208.5486</v>
      </c>
      <c r="M59" s="172">
        <f t="shared" si="20"/>
        <v>-224103.8997</v>
      </c>
      <c r="N59" s="172">
        <f t="shared" si="20"/>
        <v>-224109.4442</v>
      </c>
      <c r="O59" s="172">
        <f t="shared" si="20"/>
        <v>-224113.0845</v>
      </c>
      <c r="P59" s="172">
        <f t="shared" si="20"/>
        <v>-224056.1677</v>
      </c>
      <c r="Q59" s="172">
        <f t="shared" si="20"/>
        <v>-224085.5782</v>
      </c>
      <c r="R59" s="172">
        <f t="shared" si="20"/>
        <v>-224101.1515</v>
      </c>
      <c r="S59" s="172">
        <f t="shared" si="20"/>
        <v>-224108.9512</v>
      </c>
      <c r="T59" s="172">
        <f t="shared" si="20"/>
        <v>-224112.8512</v>
      </c>
      <c r="U59" s="172">
        <f t="shared" si="20"/>
        <v>-224114.8013</v>
      </c>
      <c r="V59" s="172">
        <f t="shared" si="20"/>
        <v>-224115.7763</v>
      </c>
      <c r="W59" s="172">
        <f t="shared" si="20"/>
        <v>-224116.2638</v>
      </c>
      <c r="X59" s="172">
        <f t="shared" si="20"/>
        <v>-224116.5075</v>
      </c>
      <c r="Y59" s="172">
        <f t="shared" si="20"/>
        <v>-224116.6294</v>
      </c>
      <c r="Z59" s="172">
        <f t="shared" si="20"/>
        <v>-224116.6903</v>
      </c>
      <c r="AA59" s="172">
        <f t="shared" si="20"/>
        <v>-224116.7208</v>
      </c>
      <c r="AB59" s="172">
        <f t="shared" si="20"/>
        <v>-224116.736</v>
      </c>
      <c r="AC59" s="172">
        <f t="shared" si="20"/>
        <v>-224116.7437</v>
      </c>
      <c r="AD59" s="172">
        <f t="shared" si="20"/>
        <v>-224116.7475</v>
      </c>
      <c r="AE59" s="172">
        <f t="shared" si="20"/>
        <v>-224116.7494</v>
      </c>
      <c r="AF59" s="172">
        <f t="shared" si="20"/>
        <v>-224116.7503</v>
      </c>
      <c r="AG59" s="172">
        <f t="shared" si="20"/>
        <v>-224116.7508</v>
      </c>
      <c r="AH59" s="172">
        <f t="shared" si="20"/>
        <v>-224116.751</v>
      </c>
      <c r="AI59" s="172">
        <f t="shared" si="20"/>
        <v>-224116.7512</v>
      </c>
      <c r="AJ59" s="172">
        <f t="shared" si="20"/>
        <v>-224116.7512</v>
      </c>
      <c r="AK59" s="172">
        <f t="shared" si="20"/>
        <v>-224116.7512</v>
      </c>
      <c r="AL59" s="172">
        <f t="shared" si="20"/>
        <v>-224116.7513</v>
      </c>
      <c r="AM59" s="172">
        <f t="shared" si="20"/>
        <v>-224116.7513</v>
      </c>
      <c r="AN59" s="172">
        <f t="shared" si="20"/>
        <v>-224116.7513</v>
      </c>
      <c r="AO59" s="172">
        <f t="shared" si="20"/>
        <v>-224116.7513</v>
      </c>
      <c r="AP59" s="172">
        <f t="shared" si="20"/>
        <v>-224116.7513</v>
      </c>
      <c r="AQ59" s="172">
        <f t="shared" si="20"/>
        <v>-224116.7513</v>
      </c>
      <c r="AR59" s="172">
        <f t="shared" si="20"/>
        <v>-224116.7513</v>
      </c>
      <c r="AS59" s="172">
        <f t="shared" si="20"/>
        <v>-224116.7513</v>
      </c>
      <c r="AT59" s="172">
        <f t="shared" si="20"/>
        <v>-224116.7513</v>
      </c>
      <c r="AU59" s="172">
        <f t="shared" si="20"/>
        <v>-224116.7513</v>
      </c>
      <c r="AV59" s="172">
        <f t="shared" si="20"/>
        <v>-224116.7513</v>
      </c>
      <c r="AW59" s="172">
        <f t="shared" si="20"/>
        <v>-224116.7513</v>
      </c>
      <c r="AX59" s="172">
        <f t="shared" si="20"/>
        <v>-224116.7513</v>
      </c>
      <c r="AY59" s="172">
        <f t="shared" si="20"/>
        <v>-224116.7513</v>
      </c>
      <c r="AZ59" s="172">
        <f t="shared" si="20"/>
        <v>-224116.7513</v>
      </c>
      <c r="BA59" s="172">
        <f t="shared" si="20"/>
        <v>-224116.7513</v>
      </c>
      <c r="BB59" s="172">
        <f t="shared" si="20"/>
        <v>-224116.7513</v>
      </c>
      <c r="BC59" s="172">
        <f t="shared" si="20"/>
        <v>-224116.7513</v>
      </c>
      <c r="BD59" s="172">
        <f t="shared" si="20"/>
        <v>-224116.7513</v>
      </c>
      <c r="BE59" s="172">
        <f t="shared" si="20"/>
        <v>-224116.7513</v>
      </c>
      <c r="BF59" s="172">
        <f t="shared" si="20"/>
        <v>-224116.7513</v>
      </c>
      <c r="BG59" s="172">
        <f t="shared" si="20"/>
        <v>-224116.7513</v>
      </c>
      <c r="BH59" s="172">
        <f t="shared" si="20"/>
        <v>-224116.7513</v>
      </c>
      <c r="BI59" s="172">
        <f t="shared" si="20"/>
        <v>-224116.7513</v>
      </c>
      <c r="BJ59" s="172">
        <f t="shared" si="20"/>
        <v>-224116.7513</v>
      </c>
      <c r="BK59" s="172">
        <f t="shared" si="20"/>
        <v>-224116.7513</v>
      </c>
      <c r="BL59" s="172">
        <f t="shared" si="20"/>
        <v>-224116.7513</v>
      </c>
      <c r="BM59" s="172">
        <f t="shared" si="20"/>
        <v>-224116.7513</v>
      </c>
      <c r="BN59" s="172"/>
    </row>
    <row r="60" outlineLevel="1">
      <c r="A60" s="172"/>
      <c r="B60" s="182" t="s">
        <v>158</v>
      </c>
      <c r="C60" s="172"/>
      <c r="D60" s="172"/>
      <c r="E60" s="172"/>
      <c r="F60" s="172">
        <f t="shared" ref="F60:BM60" si="21">E39-F39</f>
        <v>0</v>
      </c>
      <c r="G60" s="172">
        <f t="shared" si="21"/>
        <v>0</v>
      </c>
      <c r="H60" s="172">
        <f t="shared" si="21"/>
        <v>0</v>
      </c>
      <c r="I60" s="172">
        <f t="shared" si="21"/>
        <v>0</v>
      </c>
      <c r="J60" s="172">
        <f t="shared" si="21"/>
        <v>0</v>
      </c>
      <c r="K60" s="172">
        <f t="shared" si="21"/>
        <v>0</v>
      </c>
      <c r="L60" s="172">
        <f t="shared" si="21"/>
        <v>0</v>
      </c>
      <c r="M60" s="172">
        <f t="shared" si="21"/>
        <v>0</v>
      </c>
      <c r="N60" s="172">
        <f t="shared" si="21"/>
        <v>0</v>
      </c>
      <c r="O60" s="172">
        <f t="shared" si="21"/>
        <v>0</v>
      </c>
      <c r="P60" s="172">
        <f t="shared" si="21"/>
        <v>0</v>
      </c>
      <c r="Q60" s="172">
        <f t="shared" si="21"/>
        <v>0</v>
      </c>
      <c r="R60" s="172">
        <f t="shared" si="21"/>
        <v>0</v>
      </c>
      <c r="S60" s="172">
        <f t="shared" si="21"/>
        <v>0</v>
      </c>
      <c r="T60" s="172">
        <f t="shared" si="21"/>
        <v>0</v>
      </c>
      <c r="U60" s="172">
        <f t="shared" si="21"/>
        <v>0</v>
      </c>
      <c r="V60" s="172">
        <f t="shared" si="21"/>
        <v>0</v>
      </c>
      <c r="W60" s="172">
        <f t="shared" si="21"/>
        <v>0</v>
      </c>
      <c r="X60" s="172">
        <f t="shared" si="21"/>
        <v>0</v>
      </c>
      <c r="Y60" s="172">
        <f t="shared" si="21"/>
        <v>0</v>
      </c>
      <c r="Z60" s="172">
        <f t="shared" si="21"/>
        <v>0</v>
      </c>
      <c r="AA60" s="172">
        <f t="shared" si="21"/>
        <v>0</v>
      </c>
      <c r="AB60" s="172">
        <f t="shared" si="21"/>
        <v>0</v>
      </c>
      <c r="AC60" s="172">
        <f t="shared" si="21"/>
        <v>0</v>
      </c>
      <c r="AD60" s="172">
        <f t="shared" si="21"/>
        <v>0</v>
      </c>
      <c r="AE60" s="172">
        <f t="shared" si="21"/>
        <v>0</v>
      </c>
      <c r="AF60" s="172">
        <f t="shared" si="21"/>
        <v>0</v>
      </c>
      <c r="AG60" s="172">
        <f t="shared" si="21"/>
        <v>0</v>
      </c>
      <c r="AH60" s="172">
        <f t="shared" si="21"/>
        <v>0</v>
      </c>
      <c r="AI60" s="172">
        <f t="shared" si="21"/>
        <v>0</v>
      </c>
      <c r="AJ60" s="172">
        <f t="shared" si="21"/>
        <v>0</v>
      </c>
      <c r="AK60" s="172">
        <f t="shared" si="21"/>
        <v>0</v>
      </c>
      <c r="AL60" s="172">
        <f t="shared" si="21"/>
        <v>0</v>
      </c>
      <c r="AM60" s="172">
        <f t="shared" si="21"/>
        <v>0</v>
      </c>
      <c r="AN60" s="172">
        <f t="shared" si="21"/>
        <v>0</v>
      </c>
      <c r="AO60" s="172">
        <f t="shared" si="21"/>
        <v>0</v>
      </c>
      <c r="AP60" s="172">
        <f t="shared" si="21"/>
        <v>0</v>
      </c>
      <c r="AQ60" s="172">
        <f t="shared" si="21"/>
        <v>0</v>
      </c>
      <c r="AR60" s="172">
        <f t="shared" si="21"/>
        <v>0</v>
      </c>
      <c r="AS60" s="172">
        <f t="shared" si="21"/>
        <v>0</v>
      </c>
      <c r="AT60" s="172">
        <f t="shared" si="21"/>
        <v>0</v>
      </c>
      <c r="AU60" s="172">
        <f t="shared" si="21"/>
        <v>0</v>
      </c>
      <c r="AV60" s="172">
        <f t="shared" si="21"/>
        <v>0</v>
      </c>
      <c r="AW60" s="172">
        <f t="shared" si="21"/>
        <v>0</v>
      </c>
      <c r="AX60" s="172">
        <f t="shared" si="21"/>
        <v>0</v>
      </c>
      <c r="AY60" s="172">
        <f t="shared" si="21"/>
        <v>0</v>
      </c>
      <c r="AZ60" s="172">
        <f t="shared" si="21"/>
        <v>0</v>
      </c>
      <c r="BA60" s="172">
        <f t="shared" si="21"/>
        <v>0</v>
      </c>
      <c r="BB60" s="172">
        <f t="shared" si="21"/>
        <v>0</v>
      </c>
      <c r="BC60" s="172">
        <f t="shared" si="21"/>
        <v>0</v>
      </c>
      <c r="BD60" s="172">
        <f t="shared" si="21"/>
        <v>0</v>
      </c>
      <c r="BE60" s="172">
        <f t="shared" si="21"/>
        <v>0</v>
      </c>
      <c r="BF60" s="172">
        <f t="shared" si="21"/>
        <v>0</v>
      </c>
      <c r="BG60" s="172">
        <f t="shared" si="21"/>
        <v>0</v>
      </c>
      <c r="BH60" s="172">
        <f t="shared" si="21"/>
        <v>0</v>
      </c>
      <c r="BI60" s="172">
        <f t="shared" si="21"/>
        <v>0</v>
      </c>
      <c r="BJ60" s="172">
        <f t="shared" si="21"/>
        <v>0</v>
      </c>
      <c r="BK60" s="172">
        <f t="shared" si="21"/>
        <v>0</v>
      </c>
      <c r="BL60" s="172">
        <f t="shared" si="21"/>
        <v>0</v>
      </c>
      <c r="BM60" s="172">
        <f t="shared" si="21"/>
        <v>0</v>
      </c>
      <c r="BN60" s="172"/>
    </row>
    <row r="61" outlineLevel="1">
      <c r="A61" s="172"/>
      <c r="B61" s="182" t="s">
        <v>182</v>
      </c>
      <c r="C61" s="172"/>
      <c r="D61" s="172"/>
      <c r="E61" s="172"/>
      <c r="F61" s="172">
        <f t="shared" ref="F61:BM61" si="22">E35-F35</f>
        <v>-6687.5</v>
      </c>
      <c r="G61" s="172">
        <f t="shared" si="22"/>
        <v>-3381.5625</v>
      </c>
      <c r="H61" s="172">
        <f t="shared" si="22"/>
        <v>-1816.348438</v>
      </c>
      <c r="I61" s="172">
        <f t="shared" si="22"/>
        <v>-910.0577266</v>
      </c>
      <c r="J61" s="172">
        <f t="shared" si="22"/>
        <v>-517.5571159</v>
      </c>
      <c r="K61" s="172">
        <f t="shared" si="22"/>
        <v>-197.2164817</v>
      </c>
      <c r="L61" s="172">
        <f t="shared" si="22"/>
        <v>-97.68480973</v>
      </c>
      <c r="M61" s="172">
        <f t="shared" si="22"/>
        <v>-111.3285534</v>
      </c>
      <c r="N61" s="172">
        <f t="shared" si="22"/>
        <v>5.898431074</v>
      </c>
      <c r="O61" s="172">
        <f t="shared" si="22"/>
        <v>3.872656154</v>
      </c>
      <c r="P61" s="172">
        <f t="shared" si="22"/>
        <v>-60.54982031</v>
      </c>
      <c r="Q61" s="172">
        <f t="shared" si="22"/>
        <v>31.28779762</v>
      </c>
      <c r="R61" s="172">
        <f t="shared" si="22"/>
        <v>16.56733943</v>
      </c>
      <c r="S61" s="172">
        <f t="shared" si="22"/>
        <v>8.297521322</v>
      </c>
      <c r="T61" s="172">
        <f t="shared" si="22"/>
        <v>4.148968435</v>
      </c>
      <c r="U61" s="172">
        <f t="shared" si="22"/>
        <v>2.074487334</v>
      </c>
      <c r="V61" s="172">
        <f t="shared" si="22"/>
        <v>1.037243714</v>
      </c>
      <c r="W61" s="172">
        <f t="shared" si="22"/>
        <v>0.5186218576</v>
      </c>
      <c r="X61" s="172">
        <f t="shared" si="22"/>
        <v>0.2593109288</v>
      </c>
      <c r="Y61" s="172">
        <f t="shared" si="22"/>
        <v>0.1296554644</v>
      </c>
      <c r="Z61" s="172">
        <f t="shared" si="22"/>
        <v>0.06482773221</v>
      </c>
      <c r="AA61" s="172">
        <f t="shared" si="22"/>
        <v>0.0324138661</v>
      </c>
      <c r="AB61" s="172">
        <f t="shared" si="22"/>
        <v>0.01620693305</v>
      </c>
      <c r="AC61" s="172">
        <f t="shared" si="22"/>
        <v>0.008103466525</v>
      </c>
      <c r="AD61" s="172">
        <f t="shared" si="22"/>
        <v>0.004051733265</v>
      </c>
      <c r="AE61" s="172">
        <f t="shared" si="22"/>
        <v>0.002025866632</v>
      </c>
      <c r="AF61" s="172">
        <f t="shared" si="22"/>
        <v>0.001012933313</v>
      </c>
      <c r="AG61" s="172">
        <f t="shared" si="22"/>
        <v>0.0005064666602</v>
      </c>
      <c r="AH61" s="172">
        <f t="shared" si="22"/>
        <v>0.0002532333256</v>
      </c>
      <c r="AI61" s="172">
        <f t="shared" si="22"/>
        <v>0.0001266166637</v>
      </c>
      <c r="AJ61" s="172">
        <f t="shared" si="22"/>
        <v>0.00006330833457</v>
      </c>
      <c r="AK61" s="172">
        <f t="shared" si="22"/>
        <v>0.0000316541682</v>
      </c>
      <c r="AL61" s="172">
        <f t="shared" si="22"/>
        <v>0.00001582708319</v>
      </c>
      <c r="AM61" s="172">
        <f t="shared" si="22"/>
        <v>0.000007913542504</v>
      </c>
      <c r="AN61" s="172">
        <f t="shared" si="22"/>
        <v>0.000003956767614</v>
      </c>
      <c r="AO61" s="172">
        <f t="shared" si="22"/>
        <v>0.000001978383807</v>
      </c>
      <c r="AP61" s="172">
        <f t="shared" si="22"/>
        <v>0.0000009891955415</v>
      </c>
      <c r="AQ61" s="172">
        <f t="shared" si="22"/>
        <v>0.0000004945941328</v>
      </c>
      <c r="AR61" s="172">
        <f t="shared" si="22"/>
        <v>0.0000002472970664</v>
      </c>
      <c r="AS61" s="172">
        <f t="shared" si="22"/>
        <v>0.0000001236512617</v>
      </c>
      <c r="AT61" s="172">
        <f t="shared" si="22"/>
        <v>0.00000006182381185</v>
      </c>
      <c r="AU61" s="172">
        <f t="shared" si="22"/>
        <v>0.00000003091008693</v>
      </c>
      <c r="AV61" s="172">
        <f t="shared" si="22"/>
        <v>0.00000001545595296</v>
      </c>
      <c r="AW61" s="172">
        <f t="shared" si="22"/>
        <v>0.000000007730704965</v>
      </c>
      <c r="AX61" s="172">
        <f t="shared" si="22"/>
        <v>0.000000003865352483</v>
      </c>
      <c r="AY61" s="172">
        <f t="shared" si="22"/>
        <v>0.000000001933585736</v>
      </c>
      <c r="AZ61" s="172">
        <f t="shared" si="22"/>
        <v>0.0000000009658833733</v>
      </c>
      <c r="BA61" s="172">
        <f t="shared" si="22"/>
        <v>0.0000000004838511813</v>
      </c>
      <c r="BB61" s="172">
        <f t="shared" si="22"/>
        <v>0.0000000002382876119</v>
      </c>
      <c r="BC61" s="172">
        <f t="shared" si="22"/>
        <v>0.0000000001200533006</v>
      </c>
      <c r="BD61" s="172">
        <f t="shared" si="22"/>
        <v>0</v>
      </c>
      <c r="BE61" s="172">
        <f t="shared" si="22"/>
        <v>0</v>
      </c>
      <c r="BF61" s="172">
        <f t="shared" si="22"/>
        <v>0</v>
      </c>
      <c r="BG61" s="172">
        <f t="shared" si="22"/>
        <v>0</v>
      </c>
      <c r="BH61" s="172">
        <f t="shared" si="22"/>
        <v>0</v>
      </c>
      <c r="BI61" s="172">
        <f t="shared" si="22"/>
        <v>0</v>
      </c>
      <c r="BJ61" s="172">
        <f t="shared" si="22"/>
        <v>0</v>
      </c>
      <c r="BK61" s="172">
        <f t="shared" si="22"/>
        <v>0</v>
      </c>
      <c r="BL61" s="172">
        <f t="shared" si="22"/>
        <v>0</v>
      </c>
      <c r="BM61" s="172">
        <f t="shared" si="22"/>
        <v>0</v>
      </c>
      <c r="BN61" s="172"/>
    </row>
    <row r="62" outlineLevel="1">
      <c r="A62" s="172"/>
      <c r="B62" s="182" t="s">
        <v>183</v>
      </c>
      <c r="C62" s="172"/>
      <c r="D62" s="172"/>
      <c r="E62" s="172"/>
      <c r="F62" s="172">
        <f t="shared" ref="F62:BM62" si="23">F44-E44</f>
        <v>21044.375</v>
      </c>
      <c r="G62" s="172">
        <f t="shared" si="23"/>
        <v>1792.228125</v>
      </c>
      <c r="H62" s="172">
        <f t="shared" si="23"/>
        <v>962.6646719</v>
      </c>
      <c r="I62" s="172">
        <f t="shared" si="23"/>
        <v>482.3305951</v>
      </c>
      <c r="J62" s="172">
        <f t="shared" si="23"/>
        <v>274.3052714</v>
      </c>
      <c r="K62" s="172">
        <f t="shared" si="23"/>
        <v>104.5247353</v>
      </c>
      <c r="L62" s="172">
        <f t="shared" si="23"/>
        <v>51.77294915</v>
      </c>
      <c r="M62" s="172">
        <f t="shared" si="23"/>
        <v>59.0041333</v>
      </c>
      <c r="N62" s="172">
        <f t="shared" si="23"/>
        <v>-3.126168469</v>
      </c>
      <c r="O62" s="172">
        <f t="shared" si="23"/>
        <v>-2.052507761</v>
      </c>
      <c r="P62" s="172">
        <f t="shared" si="23"/>
        <v>32.09140477</v>
      </c>
      <c r="Q62" s="172">
        <f t="shared" si="23"/>
        <v>-16.58253274</v>
      </c>
      <c r="R62" s="172">
        <f t="shared" si="23"/>
        <v>-8.780689895</v>
      </c>
      <c r="S62" s="172">
        <f t="shared" si="23"/>
        <v>-4.397686301</v>
      </c>
      <c r="T62" s="172">
        <f t="shared" si="23"/>
        <v>-2.198953271</v>
      </c>
      <c r="U62" s="172">
        <f t="shared" si="23"/>
        <v>-1.099478287</v>
      </c>
      <c r="V62" s="172">
        <f t="shared" si="23"/>
        <v>-0.5497391683</v>
      </c>
      <c r="W62" s="172">
        <f t="shared" si="23"/>
        <v>-0.2748695845</v>
      </c>
      <c r="X62" s="172">
        <f t="shared" si="23"/>
        <v>-0.1374347923</v>
      </c>
      <c r="Y62" s="172">
        <f t="shared" si="23"/>
        <v>-0.06871739614</v>
      </c>
      <c r="Z62" s="172">
        <f t="shared" si="23"/>
        <v>-0.03435869807</v>
      </c>
      <c r="AA62" s="172">
        <f t="shared" si="23"/>
        <v>-0.01717934903</v>
      </c>
      <c r="AB62" s="172">
        <f t="shared" si="23"/>
        <v>-0.008589674515</v>
      </c>
      <c r="AC62" s="172">
        <f t="shared" si="23"/>
        <v>-0.004294837257</v>
      </c>
      <c r="AD62" s="172">
        <f t="shared" si="23"/>
        <v>-0.002147418632</v>
      </c>
      <c r="AE62" s="172">
        <f t="shared" si="23"/>
        <v>-0.001073709314</v>
      </c>
      <c r="AF62" s="172">
        <f t="shared" si="23"/>
        <v>-0.0005368546517</v>
      </c>
      <c r="AG62" s="172">
        <f t="shared" si="23"/>
        <v>-0.0002684273313</v>
      </c>
      <c r="AH62" s="172">
        <f t="shared" si="23"/>
        <v>-0.0001342136675</v>
      </c>
      <c r="AI62" s="172">
        <f t="shared" si="23"/>
        <v>-0.0000671068301</v>
      </c>
      <c r="AJ62" s="172">
        <f t="shared" si="23"/>
        <v>-0.00003355341687</v>
      </c>
      <c r="AK62" s="172">
        <f t="shared" si="23"/>
        <v>-0.00001677671025</v>
      </c>
      <c r="AL62" s="172">
        <f t="shared" si="23"/>
        <v>-0.00000838834967</v>
      </c>
      <c r="AM62" s="172">
        <f t="shared" si="23"/>
        <v>-0.000004194178473</v>
      </c>
      <c r="AN62" s="172">
        <f t="shared" si="23"/>
        <v>-0.000002097087417</v>
      </c>
      <c r="AO62" s="172">
        <f t="shared" si="23"/>
        <v>-0.000001048545528</v>
      </c>
      <c r="AP62" s="172">
        <f t="shared" si="23"/>
        <v>-0.0000005242727639</v>
      </c>
      <c r="AQ62" s="172">
        <f t="shared" si="23"/>
        <v>-0.0000002621382009</v>
      </c>
      <c r="AR62" s="172">
        <f t="shared" si="23"/>
        <v>-0.0000001310654625</v>
      </c>
      <c r="AS62" s="172">
        <f t="shared" si="23"/>
        <v>-0.00000006553091225</v>
      </c>
      <c r="AT62" s="172">
        <f t="shared" si="23"/>
        <v>-0.00000003277091309</v>
      </c>
      <c r="AU62" s="172">
        <f t="shared" si="23"/>
        <v>-0.00000001638181857</v>
      </c>
      <c r="AV62" s="172">
        <f t="shared" si="23"/>
        <v>-0.000000008185452316</v>
      </c>
      <c r="AW62" s="172">
        <f t="shared" si="23"/>
        <v>-0.000000004103640094</v>
      </c>
      <c r="AX62" s="172">
        <f t="shared" si="23"/>
        <v>-0.000000002048182068</v>
      </c>
      <c r="AY62" s="172">
        <f t="shared" si="23"/>
        <v>-0.000000001025910024</v>
      </c>
      <c r="AZ62" s="172">
        <f t="shared" si="23"/>
        <v>-0.0000000005129550118</v>
      </c>
      <c r="BA62" s="172">
        <f t="shared" si="23"/>
        <v>-0.0000000002510205377</v>
      </c>
      <c r="BB62" s="172">
        <f t="shared" si="23"/>
        <v>-0.0000000001309672371</v>
      </c>
      <c r="BC62" s="172">
        <f t="shared" si="23"/>
        <v>0</v>
      </c>
      <c r="BD62" s="172">
        <f t="shared" si="23"/>
        <v>0</v>
      </c>
      <c r="BE62" s="172">
        <f t="shared" si="23"/>
        <v>0</v>
      </c>
      <c r="BF62" s="172">
        <f t="shared" si="23"/>
        <v>0</v>
      </c>
      <c r="BG62" s="172">
        <f t="shared" si="23"/>
        <v>0</v>
      </c>
      <c r="BH62" s="172">
        <f t="shared" si="23"/>
        <v>0</v>
      </c>
      <c r="BI62" s="172">
        <f t="shared" si="23"/>
        <v>0</v>
      </c>
      <c r="BJ62" s="172">
        <f t="shared" si="23"/>
        <v>0</v>
      </c>
      <c r="BK62" s="172">
        <f t="shared" si="23"/>
        <v>0</v>
      </c>
      <c r="BL62" s="172">
        <f t="shared" si="23"/>
        <v>0</v>
      </c>
      <c r="BM62" s="172">
        <f t="shared" si="23"/>
        <v>0</v>
      </c>
      <c r="BN62" s="172"/>
    </row>
    <row r="63" outlineLevel="1">
      <c r="A63" s="172"/>
      <c r="B63" s="175" t="s">
        <v>184</v>
      </c>
      <c r="C63" s="176"/>
      <c r="D63" s="176"/>
      <c r="E63" s="176"/>
      <c r="F63" s="177">
        <f t="shared" ref="F63:BM63" si="24">SUM(F59:F62)</f>
        <v>-216356.875</v>
      </c>
      <c r="G63" s="177">
        <f t="shared" si="24"/>
        <v>-229124.4156</v>
      </c>
      <c r="H63" s="177">
        <f t="shared" si="24"/>
        <v>-226681.3975</v>
      </c>
      <c r="I63" s="177">
        <f t="shared" si="24"/>
        <v>-225399.9866</v>
      </c>
      <c r="J63" s="177">
        <f t="shared" si="24"/>
        <v>-224729.0076</v>
      </c>
      <c r="K63" s="177">
        <f t="shared" si="24"/>
        <v>-224393.064</v>
      </c>
      <c r="L63" s="177">
        <f t="shared" si="24"/>
        <v>-224254.4604</v>
      </c>
      <c r="M63" s="177">
        <f t="shared" si="24"/>
        <v>-224156.2241</v>
      </c>
      <c r="N63" s="177">
        <f t="shared" si="24"/>
        <v>-224106.672</v>
      </c>
      <c r="O63" s="177">
        <f t="shared" si="24"/>
        <v>-224111.2644</v>
      </c>
      <c r="P63" s="177">
        <f t="shared" si="24"/>
        <v>-224084.6261</v>
      </c>
      <c r="Q63" s="177">
        <f t="shared" si="24"/>
        <v>-224070.873</v>
      </c>
      <c r="R63" s="177">
        <f t="shared" si="24"/>
        <v>-224093.3649</v>
      </c>
      <c r="S63" s="177">
        <f t="shared" si="24"/>
        <v>-224105.0514</v>
      </c>
      <c r="T63" s="177">
        <f t="shared" si="24"/>
        <v>-224110.9012</v>
      </c>
      <c r="U63" s="177">
        <f t="shared" si="24"/>
        <v>-224113.8262</v>
      </c>
      <c r="V63" s="177">
        <f t="shared" si="24"/>
        <v>-224115.2888</v>
      </c>
      <c r="W63" s="177">
        <f t="shared" si="24"/>
        <v>-224116.02</v>
      </c>
      <c r="X63" s="177">
        <f t="shared" si="24"/>
        <v>-224116.3856</v>
      </c>
      <c r="Y63" s="177">
        <f t="shared" si="24"/>
        <v>-224116.5685</v>
      </c>
      <c r="Z63" s="177">
        <f t="shared" si="24"/>
        <v>-224116.6599</v>
      </c>
      <c r="AA63" s="177">
        <f t="shared" si="24"/>
        <v>-224116.7056</v>
      </c>
      <c r="AB63" s="177">
        <f t="shared" si="24"/>
        <v>-224116.7284</v>
      </c>
      <c r="AC63" s="177">
        <f t="shared" si="24"/>
        <v>-224116.7398</v>
      </c>
      <c r="AD63" s="177">
        <f t="shared" si="24"/>
        <v>-224116.7456</v>
      </c>
      <c r="AE63" s="177">
        <f t="shared" si="24"/>
        <v>-224116.7484</v>
      </c>
      <c r="AF63" s="177">
        <f t="shared" si="24"/>
        <v>-224116.7498</v>
      </c>
      <c r="AG63" s="177">
        <f t="shared" si="24"/>
        <v>-224116.7506</v>
      </c>
      <c r="AH63" s="177">
        <f t="shared" si="24"/>
        <v>-224116.7509</v>
      </c>
      <c r="AI63" s="177">
        <f t="shared" si="24"/>
        <v>-224116.7511</v>
      </c>
      <c r="AJ63" s="177">
        <f t="shared" si="24"/>
        <v>-224116.7512</v>
      </c>
      <c r="AK63" s="177">
        <f t="shared" si="24"/>
        <v>-224116.7512</v>
      </c>
      <c r="AL63" s="177">
        <f t="shared" si="24"/>
        <v>-224116.7512</v>
      </c>
      <c r="AM63" s="177">
        <f t="shared" si="24"/>
        <v>-224116.7513</v>
      </c>
      <c r="AN63" s="177">
        <f t="shared" si="24"/>
        <v>-224116.7513</v>
      </c>
      <c r="AO63" s="177">
        <f t="shared" si="24"/>
        <v>-224116.7513</v>
      </c>
      <c r="AP63" s="177">
        <f t="shared" si="24"/>
        <v>-224116.7513</v>
      </c>
      <c r="AQ63" s="177">
        <f t="shared" si="24"/>
        <v>-224116.7513</v>
      </c>
      <c r="AR63" s="177">
        <f t="shared" si="24"/>
        <v>-224116.7513</v>
      </c>
      <c r="AS63" s="177">
        <f t="shared" si="24"/>
        <v>-224116.7513</v>
      </c>
      <c r="AT63" s="177">
        <f t="shared" si="24"/>
        <v>-224116.7513</v>
      </c>
      <c r="AU63" s="177">
        <f t="shared" si="24"/>
        <v>-224116.7513</v>
      </c>
      <c r="AV63" s="177">
        <f t="shared" si="24"/>
        <v>-224116.7513</v>
      </c>
      <c r="AW63" s="177">
        <f t="shared" si="24"/>
        <v>-224116.7513</v>
      </c>
      <c r="AX63" s="177">
        <f t="shared" si="24"/>
        <v>-224116.7513</v>
      </c>
      <c r="AY63" s="177">
        <f t="shared" si="24"/>
        <v>-224116.7513</v>
      </c>
      <c r="AZ63" s="177">
        <f t="shared" si="24"/>
        <v>-224116.7513</v>
      </c>
      <c r="BA63" s="177">
        <f t="shared" si="24"/>
        <v>-224116.7513</v>
      </c>
      <c r="BB63" s="177">
        <f t="shared" si="24"/>
        <v>-224116.7513</v>
      </c>
      <c r="BC63" s="177">
        <f t="shared" si="24"/>
        <v>-224116.7513</v>
      </c>
      <c r="BD63" s="177">
        <f t="shared" si="24"/>
        <v>-224116.7513</v>
      </c>
      <c r="BE63" s="177">
        <f t="shared" si="24"/>
        <v>-224116.7513</v>
      </c>
      <c r="BF63" s="177">
        <f t="shared" si="24"/>
        <v>-224116.7513</v>
      </c>
      <c r="BG63" s="177">
        <f t="shared" si="24"/>
        <v>-224116.7513</v>
      </c>
      <c r="BH63" s="177">
        <f t="shared" si="24"/>
        <v>-224116.7513</v>
      </c>
      <c r="BI63" s="177">
        <f t="shared" si="24"/>
        <v>-224116.7513</v>
      </c>
      <c r="BJ63" s="177">
        <f t="shared" si="24"/>
        <v>-224116.7513</v>
      </c>
      <c r="BK63" s="177">
        <f t="shared" si="24"/>
        <v>-224116.7513</v>
      </c>
      <c r="BL63" s="177">
        <f t="shared" si="24"/>
        <v>-224116.7513</v>
      </c>
      <c r="BM63" s="177">
        <f t="shared" si="24"/>
        <v>-224116.7513</v>
      </c>
      <c r="BN63" s="172"/>
    </row>
    <row r="64" outlineLevel="1">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2"/>
      <c r="AZ64" s="172"/>
      <c r="BA64" s="172"/>
      <c r="BB64" s="172"/>
      <c r="BC64" s="172"/>
      <c r="BD64" s="172"/>
      <c r="BE64" s="172"/>
      <c r="BF64" s="172"/>
      <c r="BG64" s="172"/>
      <c r="BH64" s="172"/>
      <c r="BI64" s="172"/>
      <c r="BJ64" s="172"/>
      <c r="BK64" s="172"/>
      <c r="BL64" s="172"/>
      <c r="BM64" s="172"/>
      <c r="BN64" s="172"/>
    </row>
    <row r="65" outlineLevel="1">
      <c r="A65" s="172"/>
      <c r="B65" s="181" t="s">
        <v>185</v>
      </c>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2"/>
      <c r="AZ65" s="172"/>
      <c r="BA65" s="172"/>
      <c r="BB65" s="172"/>
      <c r="BC65" s="172"/>
      <c r="BD65" s="172"/>
      <c r="BE65" s="172"/>
      <c r="BF65" s="172"/>
      <c r="BG65" s="172"/>
      <c r="BH65" s="172"/>
      <c r="BI65" s="172"/>
      <c r="BJ65" s="172"/>
      <c r="BK65" s="172"/>
      <c r="BL65" s="172"/>
      <c r="BM65" s="172"/>
      <c r="BN65" s="172"/>
    </row>
    <row r="66" outlineLevel="1">
      <c r="A66" s="172"/>
      <c r="B66" s="182" t="s">
        <v>186</v>
      </c>
      <c r="C66" s="172"/>
      <c r="D66" s="172"/>
      <c r="E66" s="172"/>
      <c r="F66" s="172">
        <f t="shared" ref="F66:BM66" si="25">E38-F38</f>
        <v>0</v>
      </c>
      <c r="G66" s="172">
        <f t="shared" si="25"/>
        <v>0</v>
      </c>
      <c r="H66" s="172">
        <f t="shared" si="25"/>
        <v>0</v>
      </c>
      <c r="I66" s="172">
        <f t="shared" si="25"/>
        <v>0</v>
      </c>
      <c r="J66" s="172">
        <f t="shared" si="25"/>
        <v>0</v>
      </c>
      <c r="K66" s="172">
        <f t="shared" si="25"/>
        <v>0</v>
      </c>
      <c r="L66" s="172">
        <f t="shared" si="25"/>
        <v>0</v>
      </c>
      <c r="M66" s="172">
        <f t="shared" si="25"/>
        <v>0</v>
      </c>
      <c r="N66" s="172">
        <f t="shared" si="25"/>
        <v>0</v>
      </c>
      <c r="O66" s="172">
        <f t="shared" si="25"/>
        <v>0</v>
      </c>
      <c r="P66" s="172">
        <f t="shared" si="25"/>
        <v>0</v>
      </c>
      <c r="Q66" s="172">
        <f t="shared" si="25"/>
        <v>0</v>
      </c>
      <c r="R66" s="172">
        <f t="shared" si="25"/>
        <v>0</v>
      </c>
      <c r="S66" s="172">
        <f t="shared" si="25"/>
        <v>0</v>
      </c>
      <c r="T66" s="172">
        <f t="shared" si="25"/>
        <v>0</v>
      </c>
      <c r="U66" s="172">
        <f t="shared" si="25"/>
        <v>0</v>
      </c>
      <c r="V66" s="172">
        <f t="shared" si="25"/>
        <v>0</v>
      </c>
      <c r="W66" s="172">
        <f t="shared" si="25"/>
        <v>0</v>
      </c>
      <c r="X66" s="172">
        <f t="shared" si="25"/>
        <v>0</v>
      </c>
      <c r="Y66" s="172">
        <f t="shared" si="25"/>
        <v>0</v>
      </c>
      <c r="Z66" s="172">
        <f t="shared" si="25"/>
        <v>0</v>
      </c>
      <c r="AA66" s="172">
        <f t="shared" si="25"/>
        <v>0</v>
      </c>
      <c r="AB66" s="172">
        <f t="shared" si="25"/>
        <v>0</v>
      </c>
      <c r="AC66" s="172">
        <f t="shared" si="25"/>
        <v>0</v>
      </c>
      <c r="AD66" s="172">
        <f t="shared" si="25"/>
        <v>0</v>
      </c>
      <c r="AE66" s="172">
        <f t="shared" si="25"/>
        <v>0</v>
      </c>
      <c r="AF66" s="172">
        <f t="shared" si="25"/>
        <v>0</v>
      </c>
      <c r="AG66" s="172">
        <f t="shared" si="25"/>
        <v>0</v>
      </c>
      <c r="AH66" s="172">
        <f t="shared" si="25"/>
        <v>0</v>
      </c>
      <c r="AI66" s="172">
        <f t="shared" si="25"/>
        <v>0</v>
      </c>
      <c r="AJ66" s="172">
        <f t="shared" si="25"/>
        <v>0</v>
      </c>
      <c r="AK66" s="172">
        <f t="shared" si="25"/>
        <v>0</v>
      </c>
      <c r="AL66" s="172">
        <f t="shared" si="25"/>
        <v>0</v>
      </c>
      <c r="AM66" s="172">
        <f t="shared" si="25"/>
        <v>0</v>
      </c>
      <c r="AN66" s="172">
        <f t="shared" si="25"/>
        <v>0</v>
      </c>
      <c r="AO66" s="172">
        <f t="shared" si="25"/>
        <v>0</v>
      </c>
      <c r="AP66" s="172">
        <f t="shared" si="25"/>
        <v>0</v>
      </c>
      <c r="AQ66" s="172">
        <f t="shared" si="25"/>
        <v>0</v>
      </c>
      <c r="AR66" s="172">
        <f t="shared" si="25"/>
        <v>0</v>
      </c>
      <c r="AS66" s="172">
        <f t="shared" si="25"/>
        <v>0</v>
      </c>
      <c r="AT66" s="172">
        <f t="shared" si="25"/>
        <v>0</v>
      </c>
      <c r="AU66" s="172">
        <f t="shared" si="25"/>
        <v>0</v>
      </c>
      <c r="AV66" s="172">
        <f t="shared" si="25"/>
        <v>0</v>
      </c>
      <c r="AW66" s="172">
        <f t="shared" si="25"/>
        <v>0</v>
      </c>
      <c r="AX66" s="172">
        <f t="shared" si="25"/>
        <v>0</v>
      </c>
      <c r="AY66" s="172">
        <f t="shared" si="25"/>
        <v>0</v>
      </c>
      <c r="AZ66" s="172">
        <f t="shared" si="25"/>
        <v>0</v>
      </c>
      <c r="BA66" s="172">
        <f t="shared" si="25"/>
        <v>0</v>
      </c>
      <c r="BB66" s="172">
        <f t="shared" si="25"/>
        <v>0</v>
      </c>
      <c r="BC66" s="172">
        <f t="shared" si="25"/>
        <v>0</v>
      </c>
      <c r="BD66" s="172">
        <f t="shared" si="25"/>
        <v>0</v>
      </c>
      <c r="BE66" s="172">
        <f t="shared" si="25"/>
        <v>0</v>
      </c>
      <c r="BF66" s="172">
        <f t="shared" si="25"/>
        <v>0</v>
      </c>
      <c r="BG66" s="172">
        <f t="shared" si="25"/>
        <v>0</v>
      </c>
      <c r="BH66" s="172">
        <f t="shared" si="25"/>
        <v>0</v>
      </c>
      <c r="BI66" s="172">
        <f t="shared" si="25"/>
        <v>0</v>
      </c>
      <c r="BJ66" s="172">
        <f t="shared" si="25"/>
        <v>0</v>
      </c>
      <c r="BK66" s="172">
        <f t="shared" si="25"/>
        <v>0</v>
      </c>
      <c r="BL66" s="172">
        <f t="shared" si="25"/>
        <v>0</v>
      </c>
      <c r="BM66" s="172">
        <f t="shared" si="25"/>
        <v>0</v>
      </c>
      <c r="BN66" s="172"/>
    </row>
    <row r="67" outlineLevel="1">
      <c r="A67" s="172"/>
      <c r="B67" s="175" t="s">
        <v>187</v>
      </c>
      <c r="C67" s="176"/>
      <c r="D67" s="176"/>
      <c r="E67" s="176"/>
      <c r="F67" s="177">
        <f t="shared" ref="F67:BM67" si="26">F66</f>
        <v>0</v>
      </c>
      <c r="G67" s="177">
        <f t="shared" si="26"/>
        <v>0</v>
      </c>
      <c r="H67" s="177">
        <f t="shared" si="26"/>
        <v>0</v>
      </c>
      <c r="I67" s="177">
        <f t="shared" si="26"/>
        <v>0</v>
      </c>
      <c r="J67" s="177">
        <f t="shared" si="26"/>
        <v>0</v>
      </c>
      <c r="K67" s="177">
        <f t="shared" si="26"/>
        <v>0</v>
      </c>
      <c r="L67" s="177">
        <f t="shared" si="26"/>
        <v>0</v>
      </c>
      <c r="M67" s="177">
        <f t="shared" si="26"/>
        <v>0</v>
      </c>
      <c r="N67" s="177">
        <f t="shared" si="26"/>
        <v>0</v>
      </c>
      <c r="O67" s="177">
        <f t="shared" si="26"/>
        <v>0</v>
      </c>
      <c r="P67" s="177">
        <f t="shared" si="26"/>
        <v>0</v>
      </c>
      <c r="Q67" s="177">
        <f t="shared" si="26"/>
        <v>0</v>
      </c>
      <c r="R67" s="177">
        <f t="shared" si="26"/>
        <v>0</v>
      </c>
      <c r="S67" s="177">
        <f t="shared" si="26"/>
        <v>0</v>
      </c>
      <c r="T67" s="177">
        <f t="shared" si="26"/>
        <v>0</v>
      </c>
      <c r="U67" s="177">
        <f t="shared" si="26"/>
        <v>0</v>
      </c>
      <c r="V67" s="177">
        <f t="shared" si="26"/>
        <v>0</v>
      </c>
      <c r="W67" s="177">
        <f t="shared" si="26"/>
        <v>0</v>
      </c>
      <c r="X67" s="177">
        <f t="shared" si="26"/>
        <v>0</v>
      </c>
      <c r="Y67" s="177">
        <f t="shared" si="26"/>
        <v>0</v>
      </c>
      <c r="Z67" s="177">
        <f t="shared" si="26"/>
        <v>0</v>
      </c>
      <c r="AA67" s="177">
        <f t="shared" si="26"/>
        <v>0</v>
      </c>
      <c r="AB67" s="177">
        <f t="shared" si="26"/>
        <v>0</v>
      </c>
      <c r="AC67" s="177">
        <f t="shared" si="26"/>
        <v>0</v>
      </c>
      <c r="AD67" s="177">
        <f t="shared" si="26"/>
        <v>0</v>
      </c>
      <c r="AE67" s="177">
        <f t="shared" si="26"/>
        <v>0</v>
      </c>
      <c r="AF67" s="177">
        <f t="shared" si="26"/>
        <v>0</v>
      </c>
      <c r="AG67" s="177">
        <f t="shared" si="26"/>
        <v>0</v>
      </c>
      <c r="AH67" s="177">
        <f t="shared" si="26"/>
        <v>0</v>
      </c>
      <c r="AI67" s="177">
        <f t="shared" si="26"/>
        <v>0</v>
      </c>
      <c r="AJ67" s="177">
        <f t="shared" si="26"/>
        <v>0</v>
      </c>
      <c r="AK67" s="177">
        <f t="shared" si="26"/>
        <v>0</v>
      </c>
      <c r="AL67" s="177">
        <f t="shared" si="26"/>
        <v>0</v>
      </c>
      <c r="AM67" s="177">
        <f t="shared" si="26"/>
        <v>0</v>
      </c>
      <c r="AN67" s="177">
        <f t="shared" si="26"/>
        <v>0</v>
      </c>
      <c r="AO67" s="177">
        <f t="shared" si="26"/>
        <v>0</v>
      </c>
      <c r="AP67" s="177">
        <f t="shared" si="26"/>
        <v>0</v>
      </c>
      <c r="AQ67" s="177">
        <f t="shared" si="26"/>
        <v>0</v>
      </c>
      <c r="AR67" s="177">
        <f t="shared" si="26"/>
        <v>0</v>
      </c>
      <c r="AS67" s="177">
        <f t="shared" si="26"/>
        <v>0</v>
      </c>
      <c r="AT67" s="177">
        <f t="shared" si="26"/>
        <v>0</v>
      </c>
      <c r="AU67" s="177">
        <f t="shared" si="26"/>
        <v>0</v>
      </c>
      <c r="AV67" s="177">
        <f t="shared" si="26"/>
        <v>0</v>
      </c>
      <c r="AW67" s="177">
        <f t="shared" si="26"/>
        <v>0</v>
      </c>
      <c r="AX67" s="177">
        <f t="shared" si="26"/>
        <v>0</v>
      </c>
      <c r="AY67" s="177">
        <f t="shared" si="26"/>
        <v>0</v>
      </c>
      <c r="AZ67" s="177">
        <f t="shared" si="26"/>
        <v>0</v>
      </c>
      <c r="BA67" s="177">
        <f t="shared" si="26"/>
        <v>0</v>
      </c>
      <c r="BB67" s="177">
        <f t="shared" si="26"/>
        <v>0</v>
      </c>
      <c r="BC67" s="177">
        <f t="shared" si="26"/>
        <v>0</v>
      </c>
      <c r="BD67" s="177">
        <f t="shared" si="26"/>
        <v>0</v>
      </c>
      <c r="BE67" s="177">
        <f t="shared" si="26"/>
        <v>0</v>
      </c>
      <c r="BF67" s="177">
        <f t="shared" si="26"/>
        <v>0</v>
      </c>
      <c r="BG67" s="177">
        <f t="shared" si="26"/>
        <v>0</v>
      </c>
      <c r="BH67" s="177">
        <f t="shared" si="26"/>
        <v>0</v>
      </c>
      <c r="BI67" s="177">
        <f t="shared" si="26"/>
        <v>0</v>
      </c>
      <c r="BJ67" s="177">
        <f t="shared" si="26"/>
        <v>0</v>
      </c>
      <c r="BK67" s="177">
        <f t="shared" si="26"/>
        <v>0</v>
      </c>
      <c r="BL67" s="177">
        <f t="shared" si="26"/>
        <v>0</v>
      </c>
      <c r="BM67" s="177">
        <f t="shared" si="26"/>
        <v>0</v>
      </c>
      <c r="BN67" s="172"/>
    </row>
    <row r="68" outlineLevel="1">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2"/>
      <c r="AZ68" s="172"/>
      <c r="BA68" s="172"/>
      <c r="BB68" s="172"/>
      <c r="BC68" s="172"/>
      <c r="BD68" s="172"/>
      <c r="BE68" s="172"/>
      <c r="BF68" s="172"/>
      <c r="BG68" s="172"/>
      <c r="BH68" s="172"/>
      <c r="BI68" s="172"/>
      <c r="BJ68" s="172"/>
      <c r="BK68" s="172"/>
      <c r="BL68" s="172"/>
      <c r="BM68" s="172"/>
      <c r="BN68" s="172"/>
    </row>
    <row r="69" outlineLevel="1">
      <c r="A69" s="172"/>
      <c r="B69" s="181" t="s">
        <v>188</v>
      </c>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c r="BM69" s="172"/>
      <c r="BN69" s="172"/>
    </row>
    <row r="70" outlineLevel="1">
      <c r="A70" s="172"/>
      <c r="B70" s="182" t="s">
        <v>189</v>
      </c>
      <c r="C70" s="172"/>
      <c r="D70" s="172"/>
      <c r="E70" s="172"/>
      <c r="F70" s="172">
        <f t="shared" ref="F70:BM70" si="27">F48-E48</f>
        <v>0</v>
      </c>
      <c r="G70" s="172">
        <f t="shared" si="27"/>
        <v>0</v>
      </c>
      <c r="H70" s="172">
        <f t="shared" si="27"/>
        <v>0</v>
      </c>
      <c r="I70" s="172">
        <f t="shared" si="27"/>
        <v>0</v>
      </c>
      <c r="J70" s="172">
        <f t="shared" si="27"/>
        <v>0</v>
      </c>
      <c r="K70" s="172">
        <f t="shared" si="27"/>
        <v>0</v>
      </c>
      <c r="L70" s="172">
        <f t="shared" si="27"/>
        <v>0</v>
      </c>
      <c r="M70" s="172">
        <f t="shared" si="27"/>
        <v>0</v>
      </c>
      <c r="N70" s="172">
        <f t="shared" si="27"/>
        <v>0</v>
      </c>
      <c r="O70" s="172">
        <f t="shared" si="27"/>
        <v>0</v>
      </c>
      <c r="P70" s="172">
        <f t="shared" si="27"/>
        <v>0</v>
      </c>
      <c r="Q70" s="172">
        <f t="shared" si="27"/>
        <v>0</v>
      </c>
      <c r="R70" s="172">
        <f t="shared" si="27"/>
        <v>0</v>
      </c>
      <c r="S70" s="172">
        <f t="shared" si="27"/>
        <v>0</v>
      </c>
      <c r="T70" s="172">
        <f t="shared" si="27"/>
        <v>0</v>
      </c>
      <c r="U70" s="172">
        <f t="shared" si="27"/>
        <v>0</v>
      </c>
      <c r="V70" s="172">
        <f t="shared" si="27"/>
        <v>0</v>
      </c>
      <c r="W70" s="172">
        <f t="shared" si="27"/>
        <v>0</v>
      </c>
      <c r="X70" s="172">
        <f t="shared" si="27"/>
        <v>0</v>
      </c>
      <c r="Y70" s="172">
        <f t="shared" si="27"/>
        <v>0</v>
      </c>
      <c r="Z70" s="172">
        <f t="shared" si="27"/>
        <v>0</v>
      </c>
      <c r="AA70" s="172">
        <f t="shared" si="27"/>
        <v>0</v>
      </c>
      <c r="AB70" s="172">
        <f t="shared" si="27"/>
        <v>0</v>
      </c>
      <c r="AC70" s="172">
        <f t="shared" si="27"/>
        <v>0</v>
      </c>
      <c r="AD70" s="172">
        <f t="shared" si="27"/>
        <v>0</v>
      </c>
      <c r="AE70" s="172">
        <f t="shared" si="27"/>
        <v>0</v>
      </c>
      <c r="AF70" s="172">
        <f t="shared" si="27"/>
        <v>0</v>
      </c>
      <c r="AG70" s="172">
        <f t="shared" si="27"/>
        <v>0</v>
      </c>
      <c r="AH70" s="172">
        <f t="shared" si="27"/>
        <v>0</v>
      </c>
      <c r="AI70" s="172">
        <f t="shared" si="27"/>
        <v>0</v>
      </c>
      <c r="AJ70" s="172">
        <f t="shared" si="27"/>
        <v>0</v>
      </c>
      <c r="AK70" s="172">
        <f t="shared" si="27"/>
        <v>0</v>
      </c>
      <c r="AL70" s="172">
        <f t="shared" si="27"/>
        <v>0</v>
      </c>
      <c r="AM70" s="172">
        <f t="shared" si="27"/>
        <v>0</v>
      </c>
      <c r="AN70" s="172">
        <f t="shared" si="27"/>
        <v>0</v>
      </c>
      <c r="AO70" s="172">
        <f t="shared" si="27"/>
        <v>0</v>
      </c>
      <c r="AP70" s="172">
        <f t="shared" si="27"/>
        <v>0</v>
      </c>
      <c r="AQ70" s="172">
        <f t="shared" si="27"/>
        <v>0</v>
      </c>
      <c r="AR70" s="172">
        <f t="shared" si="27"/>
        <v>0</v>
      </c>
      <c r="AS70" s="172">
        <f t="shared" si="27"/>
        <v>0</v>
      </c>
      <c r="AT70" s="172">
        <f t="shared" si="27"/>
        <v>0</v>
      </c>
      <c r="AU70" s="172">
        <f t="shared" si="27"/>
        <v>0</v>
      </c>
      <c r="AV70" s="172">
        <f t="shared" si="27"/>
        <v>0</v>
      </c>
      <c r="AW70" s="172">
        <f t="shared" si="27"/>
        <v>0</v>
      </c>
      <c r="AX70" s="172">
        <f t="shared" si="27"/>
        <v>0</v>
      </c>
      <c r="AY70" s="172">
        <f t="shared" si="27"/>
        <v>0</v>
      </c>
      <c r="AZ70" s="172">
        <f t="shared" si="27"/>
        <v>0</v>
      </c>
      <c r="BA70" s="172">
        <f t="shared" si="27"/>
        <v>0</v>
      </c>
      <c r="BB70" s="172">
        <f t="shared" si="27"/>
        <v>0</v>
      </c>
      <c r="BC70" s="172">
        <f t="shared" si="27"/>
        <v>0</v>
      </c>
      <c r="BD70" s="172">
        <f t="shared" si="27"/>
        <v>0</v>
      </c>
      <c r="BE70" s="172">
        <f t="shared" si="27"/>
        <v>0</v>
      </c>
      <c r="BF70" s="172">
        <f t="shared" si="27"/>
        <v>0</v>
      </c>
      <c r="BG70" s="172">
        <f t="shared" si="27"/>
        <v>0</v>
      </c>
      <c r="BH70" s="172">
        <f t="shared" si="27"/>
        <v>0</v>
      </c>
      <c r="BI70" s="172">
        <f t="shared" si="27"/>
        <v>0</v>
      </c>
      <c r="BJ70" s="172">
        <f t="shared" si="27"/>
        <v>0</v>
      </c>
      <c r="BK70" s="172">
        <f t="shared" si="27"/>
        <v>0</v>
      </c>
      <c r="BL70" s="172">
        <f t="shared" si="27"/>
        <v>0</v>
      </c>
      <c r="BM70" s="172">
        <f t="shared" si="27"/>
        <v>0</v>
      </c>
      <c r="BN70" s="172"/>
    </row>
    <row r="71" outlineLevel="1">
      <c r="A71" s="172"/>
      <c r="B71" s="175" t="s">
        <v>190</v>
      </c>
      <c r="C71" s="176"/>
      <c r="D71" s="176"/>
      <c r="E71" s="176"/>
      <c r="F71" s="177">
        <f t="shared" ref="F71:BM71" si="28">F70</f>
        <v>0</v>
      </c>
      <c r="G71" s="177">
        <f t="shared" si="28"/>
        <v>0</v>
      </c>
      <c r="H71" s="177">
        <f t="shared" si="28"/>
        <v>0</v>
      </c>
      <c r="I71" s="177">
        <f t="shared" si="28"/>
        <v>0</v>
      </c>
      <c r="J71" s="177">
        <f t="shared" si="28"/>
        <v>0</v>
      </c>
      <c r="K71" s="177">
        <f t="shared" si="28"/>
        <v>0</v>
      </c>
      <c r="L71" s="177">
        <f t="shared" si="28"/>
        <v>0</v>
      </c>
      <c r="M71" s="177">
        <f t="shared" si="28"/>
        <v>0</v>
      </c>
      <c r="N71" s="177">
        <f t="shared" si="28"/>
        <v>0</v>
      </c>
      <c r="O71" s="177">
        <f t="shared" si="28"/>
        <v>0</v>
      </c>
      <c r="P71" s="177">
        <f t="shared" si="28"/>
        <v>0</v>
      </c>
      <c r="Q71" s="177">
        <f t="shared" si="28"/>
        <v>0</v>
      </c>
      <c r="R71" s="177">
        <f t="shared" si="28"/>
        <v>0</v>
      </c>
      <c r="S71" s="177">
        <f t="shared" si="28"/>
        <v>0</v>
      </c>
      <c r="T71" s="177">
        <f t="shared" si="28"/>
        <v>0</v>
      </c>
      <c r="U71" s="177">
        <f t="shared" si="28"/>
        <v>0</v>
      </c>
      <c r="V71" s="177">
        <f t="shared" si="28"/>
        <v>0</v>
      </c>
      <c r="W71" s="177">
        <f t="shared" si="28"/>
        <v>0</v>
      </c>
      <c r="X71" s="177">
        <f t="shared" si="28"/>
        <v>0</v>
      </c>
      <c r="Y71" s="177">
        <f t="shared" si="28"/>
        <v>0</v>
      </c>
      <c r="Z71" s="177">
        <f t="shared" si="28"/>
        <v>0</v>
      </c>
      <c r="AA71" s="177">
        <f t="shared" si="28"/>
        <v>0</v>
      </c>
      <c r="AB71" s="177">
        <f t="shared" si="28"/>
        <v>0</v>
      </c>
      <c r="AC71" s="177">
        <f t="shared" si="28"/>
        <v>0</v>
      </c>
      <c r="AD71" s="177">
        <f t="shared" si="28"/>
        <v>0</v>
      </c>
      <c r="AE71" s="177">
        <f t="shared" si="28"/>
        <v>0</v>
      </c>
      <c r="AF71" s="177">
        <f t="shared" si="28"/>
        <v>0</v>
      </c>
      <c r="AG71" s="177">
        <f t="shared" si="28"/>
        <v>0</v>
      </c>
      <c r="AH71" s="177">
        <f t="shared" si="28"/>
        <v>0</v>
      </c>
      <c r="AI71" s="177">
        <f t="shared" si="28"/>
        <v>0</v>
      </c>
      <c r="AJ71" s="177">
        <f t="shared" si="28"/>
        <v>0</v>
      </c>
      <c r="AK71" s="177">
        <f t="shared" si="28"/>
        <v>0</v>
      </c>
      <c r="AL71" s="177">
        <f t="shared" si="28"/>
        <v>0</v>
      </c>
      <c r="AM71" s="177">
        <f t="shared" si="28"/>
        <v>0</v>
      </c>
      <c r="AN71" s="177">
        <f t="shared" si="28"/>
        <v>0</v>
      </c>
      <c r="AO71" s="177">
        <f t="shared" si="28"/>
        <v>0</v>
      </c>
      <c r="AP71" s="177">
        <f t="shared" si="28"/>
        <v>0</v>
      </c>
      <c r="AQ71" s="177">
        <f t="shared" si="28"/>
        <v>0</v>
      </c>
      <c r="AR71" s="177">
        <f t="shared" si="28"/>
        <v>0</v>
      </c>
      <c r="AS71" s="177">
        <f t="shared" si="28"/>
        <v>0</v>
      </c>
      <c r="AT71" s="177">
        <f t="shared" si="28"/>
        <v>0</v>
      </c>
      <c r="AU71" s="177">
        <f t="shared" si="28"/>
        <v>0</v>
      </c>
      <c r="AV71" s="177">
        <f t="shared" si="28"/>
        <v>0</v>
      </c>
      <c r="AW71" s="177">
        <f t="shared" si="28"/>
        <v>0</v>
      </c>
      <c r="AX71" s="177">
        <f t="shared" si="28"/>
        <v>0</v>
      </c>
      <c r="AY71" s="177">
        <f t="shared" si="28"/>
        <v>0</v>
      </c>
      <c r="AZ71" s="177">
        <f t="shared" si="28"/>
        <v>0</v>
      </c>
      <c r="BA71" s="177">
        <f t="shared" si="28"/>
        <v>0</v>
      </c>
      <c r="BB71" s="177">
        <f t="shared" si="28"/>
        <v>0</v>
      </c>
      <c r="BC71" s="177">
        <f t="shared" si="28"/>
        <v>0</v>
      </c>
      <c r="BD71" s="177">
        <f t="shared" si="28"/>
        <v>0</v>
      </c>
      <c r="BE71" s="177">
        <f t="shared" si="28"/>
        <v>0</v>
      </c>
      <c r="BF71" s="177">
        <f t="shared" si="28"/>
        <v>0</v>
      </c>
      <c r="BG71" s="177">
        <f t="shared" si="28"/>
        <v>0</v>
      </c>
      <c r="BH71" s="177">
        <f t="shared" si="28"/>
        <v>0</v>
      </c>
      <c r="BI71" s="177">
        <f t="shared" si="28"/>
        <v>0</v>
      </c>
      <c r="BJ71" s="177">
        <f t="shared" si="28"/>
        <v>0</v>
      </c>
      <c r="BK71" s="177">
        <f t="shared" si="28"/>
        <v>0</v>
      </c>
      <c r="BL71" s="177">
        <f t="shared" si="28"/>
        <v>0</v>
      </c>
      <c r="BM71" s="177">
        <f t="shared" si="28"/>
        <v>0</v>
      </c>
      <c r="BN71" s="172"/>
    </row>
    <row r="72" outlineLevel="1">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72"/>
      <c r="AH72" s="172"/>
      <c r="AI72" s="172"/>
      <c r="AJ72" s="172"/>
      <c r="AK72" s="172"/>
      <c r="AL72" s="172"/>
      <c r="AM72" s="172"/>
      <c r="AN72" s="172"/>
      <c r="AO72" s="172"/>
      <c r="AP72" s="172"/>
      <c r="AQ72" s="172"/>
      <c r="AR72" s="172"/>
      <c r="AS72" s="172"/>
      <c r="AT72" s="172"/>
      <c r="AU72" s="172"/>
      <c r="AV72" s="172"/>
      <c r="AW72" s="172"/>
      <c r="AX72" s="172"/>
      <c r="AY72" s="172"/>
      <c r="AZ72" s="172"/>
      <c r="BA72" s="172"/>
      <c r="BB72" s="172"/>
      <c r="BC72" s="172"/>
      <c r="BD72" s="172"/>
      <c r="BE72" s="172"/>
      <c r="BF72" s="172"/>
      <c r="BG72" s="172"/>
      <c r="BH72" s="172"/>
      <c r="BI72" s="172"/>
      <c r="BJ72" s="172"/>
      <c r="BK72" s="172"/>
      <c r="BL72" s="172"/>
      <c r="BM72" s="172"/>
      <c r="BN72" s="172"/>
    </row>
    <row r="73" outlineLevel="1">
      <c r="A73" s="172"/>
      <c r="B73" s="181" t="s">
        <v>191</v>
      </c>
      <c r="C73" s="172"/>
      <c r="D73" s="172"/>
      <c r="E73" s="172"/>
      <c r="F73" s="184">
        <f>Assumptions!C165</f>
        <v>500000</v>
      </c>
      <c r="G73" s="184">
        <f t="shared" ref="G73:BM73" si="29">F77</f>
        <v>283643.125</v>
      </c>
      <c r="H73" s="184">
        <f t="shared" si="29"/>
        <v>54518.70938</v>
      </c>
      <c r="I73" s="184">
        <f t="shared" si="29"/>
        <v>-172162.6881</v>
      </c>
      <c r="J73" s="184">
        <f t="shared" si="29"/>
        <v>-397562.6747</v>
      </c>
      <c r="K73" s="184">
        <f t="shared" si="29"/>
        <v>-622291.6823</v>
      </c>
      <c r="L73" s="184">
        <f t="shared" si="29"/>
        <v>-846684.7463</v>
      </c>
      <c r="M73" s="184">
        <f t="shared" si="29"/>
        <v>-1070939.207</v>
      </c>
      <c r="N73" s="184">
        <f t="shared" si="29"/>
        <v>-1295095.431</v>
      </c>
      <c r="O73" s="184">
        <f t="shared" si="29"/>
        <v>-1519202.103</v>
      </c>
      <c r="P73" s="184">
        <f t="shared" si="29"/>
        <v>-1743313.367</v>
      </c>
      <c r="Q73" s="184">
        <f t="shared" si="29"/>
        <v>-1967397.993</v>
      </c>
      <c r="R73" s="184">
        <f t="shared" si="29"/>
        <v>-2191468.866</v>
      </c>
      <c r="S73" s="184">
        <f t="shared" si="29"/>
        <v>-2415562.231</v>
      </c>
      <c r="T73" s="184">
        <f t="shared" si="29"/>
        <v>-2639667.283</v>
      </c>
      <c r="U73" s="184">
        <f t="shared" si="29"/>
        <v>-2863778.184</v>
      </c>
      <c r="V73" s="184">
        <f t="shared" si="29"/>
        <v>-3087892.01</v>
      </c>
      <c r="W73" s="184">
        <f t="shared" si="29"/>
        <v>-3312007.299</v>
      </c>
      <c r="X73" s="184">
        <f t="shared" si="29"/>
        <v>-3536123.319</v>
      </c>
      <c r="Y73" s="184">
        <f t="shared" si="29"/>
        <v>-3760239.704</v>
      </c>
      <c r="Z73" s="184">
        <f t="shared" si="29"/>
        <v>-3984356.273</v>
      </c>
      <c r="AA73" s="184">
        <f t="shared" si="29"/>
        <v>-4208472.933</v>
      </c>
      <c r="AB73" s="184">
        <f t="shared" si="29"/>
        <v>-4432589.638</v>
      </c>
      <c r="AC73" s="184">
        <f t="shared" si="29"/>
        <v>-4656706.367</v>
      </c>
      <c r="AD73" s="184">
        <f t="shared" si="29"/>
        <v>-4880823.107</v>
      </c>
      <c r="AE73" s="184">
        <f t="shared" si="29"/>
        <v>-5104939.852</v>
      </c>
      <c r="AF73" s="184">
        <f t="shared" si="29"/>
        <v>-5329056.601</v>
      </c>
      <c r="AG73" s="184">
        <f t="shared" si="29"/>
        <v>-5553173.35</v>
      </c>
      <c r="AH73" s="184">
        <f t="shared" si="29"/>
        <v>-5777290.101</v>
      </c>
      <c r="AI73" s="184">
        <f t="shared" si="29"/>
        <v>-6001406.852</v>
      </c>
      <c r="AJ73" s="184">
        <f t="shared" si="29"/>
        <v>-6225523.603</v>
      </c>
      <c r="AK73" s="184">
        <f t="shared" si="29"/>
        <v>-6449640.354</v>
      </c>
      <c r="AL73" s="184">
        <f t="shared" si="29"/>
        <v>-6673757.105</v>
      </c>
      <c r="AM73" s="184">
        <f t="shared" si="29"/>
        <v>-6897873.857</v>
      </c>
      <c r="AN73" s="184">
        <f t="shared" si="29"/>
        <v>-7121990.608</v>
      </c>
      <c r="AO73" s="184">
        <f t="shared" si="29"/>
        <v>-7346107.359</v>
      </c>
      <c r="AP73" s="184">
        <f t="shared" si="29"/>
        <v>-7570224.11</v>
      </c>
      <c r="AQ73" s="184">
        <f t="shared" si="29"/>
        <v>-7794340.862</v>
      </c>
      <c r="AR73" s="184">
        <f t="shared" si="29"/>
        <v>-8018457.613</v>
      </c>
      <c r="AS73" s="184">
        <f t="shared" si="29"/>
        <v>-8242574.364</v>
      </c>
      <c r="AT73" s="184">
        <f t="shared" si="29"/>
        <v>-8466691.115</v>
      </c>
      <c r="AU73" s="184">
        <f t="shared" si="29"/>
        <v>-8690807.867</v>
      </c>
      <c r="AV73" s="184">
        <f t="shared" si="29"/>
        <v>-8914924.618</v>
      </c>
      <c r="AW73" s="184">
        <f t="shared" si="29"/>
        <v>-9139041.369</v>
      </c>
      <c r="AX73" s="184">
        <f t="shared" si="29"/>
        <v>-9363158.121</v>
      </c>
      <c r="AY73" s="184">
        <f t="shared" si="29"/>
        <v>-9587274.872</v>
      </c>
      <c r="AZ73" s="184">
        <f t="shared" si="29"/>
        <v>-9811391.623</v>
      </c>
      <c r="BA73" s="184">
        <f t="shared" si="29"/>
        <v>-10035508.37</v>
      </c>
      <c r="BB73" s="184">
        <f t="shared" si="29"/>
        <v>-10259625.13</v>
      </c>
      <c r="BC73" s="184">
        <f t="shared" si="29"/>
        <v>-10483741.88</v>
      </c>
      <c r="BD73" s="184">
        <f t="shared" si="29"/>
        <v>-10707858.63</v>
      </c>
      <c r="BE73" s="184">
        <f t="shared" si="29"/>
        <v>-10931975.38</v>
      </c>
      <c r="BF73" s="184">
        <f t="shared" si="29"/>
        <v>-11156092.13</v>
      </c>
      <c r="BG73" s="184">
        <f t="shared" si="29"/>
        <v>-11380208.88</v>
      </c>
      <c r="BH73" s="184">
        <f t="shared" si="29"/>
        <v>-11604325.63</v>
      </c>
      <c r="BI73" s="184">
        <f t="shared" si="29"/>
        <v>-11828442.38</v>
      </c>
      <c r="BJ73" s="184">
        <f t="shared" si="29"/>
        <v>-12052559.14</v>
      </c>
      <c r="BK73" s="184">
        <f t="shared" si="29"/>
        <v>-12276675.89</v>
      </c>
      <c r="BL73" s="184">
        <f t="shared" si="29"/>
        <v>-12500792.64</v>
      </c>
      <c r="BM73" s="184">
        <f t="shared" si="29"/>
        <v>-12724909.39</v>
      </c>
      <c r="BN73" s="172"/>
    </row>
    <row r="74" outlineLevel="1">
      <c r="A74" s="172"/>
      <c r="B74" s="184"/>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c r="AA74" s="172"/>
      <c r="AB74" s="172"/>
      <c r="AC74" s="172"/>
      <c r="AD74" s="172"/>
      <c r="AE74" s="172"/>
      <c r="AF74" s="172"/>
      <c r="AG74" s="172"/>
      <c r="AH74" s="172"/>
      <c r="AI74" s="172"/>
      <c r="AJ74" s="172"/>
      <c r="AK74" s="172"/>
      <c r="AL74" s="172"/>
      <c r="AM74" s="172"/>
      <c r="AN74" s="172"/>
      <c r="AO74" s="172"/>
      <c r="AP74" s="172"/>
      <c r="AQ74" s="172"/>
      <c r="AR74" s="172"/>
      <c r="AS74" s="172"/>
      <c r="AT74" s="172"/>
      <c r="AU74" s="172"/>
      <c r="AV74" s="172"/>
      <c r="AW74" s="172"/>
      <c r="AX74" s="172"/>
      <c r="AY74" s="172"/>
      <c r="AZ74" s="172"/>
      <c r="BA74" s="172"/>
      <c r="BB74" s="172"/>
      <c r="BC74" s="172"/>
      <c r="BD74" s="172"/>
      <c r="BE74" s="172"/>
      <c r="BF74" s="172"/>
      <c r="BG74" s="172"/>
      <c r="BH74" s="172"/>
      <c r="BI74" s="172"/>
      <c r="BJ74" s="172"/>
      <c r="BK74" s="172"/>
      <c r="BL74" s="172"/>
      <c r="BM74" s="172"/>
      <c r="BN74" s="172"/>
    </row>
    <row r="75" outlineLevel="1">
      <c r="A75" s="172"/>
      <c r="B75" s="181" t="s">
        <v>192</v>
      </c>
      <c r="C75" s="172"/>
      <c r="D75" s="172"/>
      <c r="E75" s="172"/>
      <c r="F75" s="184">
        <f t="shared" ref="F75:BM75" si="30">F71+F67+F63</f>
        <v>-216356.875</v>
      </c>
      <c r="G75" s="184">
        <f t="shared" si="30"/>
        <v>-229124.4156</v>
      </c>
      <c r="H75" s="184">
        <f t="shared" si="30"/>
        <v>-226681.3975</v>
      </c>
      <c r="I75" s="184">
        <f t="shared" si="30"/>
        <v>-225399.9866</v>
      </c>
      <c r="J75" s="184">
        <f t="shared" si="30"/>
        <v>-224729.0076</v>
      </c>
      <c r="K75" s="184">
        <f t="shared" si="30"/>
        <v>-224393.064</v>
      </c>
      <c r="L75" s="184">
        <f t="shared" si="30"/>
        <v>-224254.4604</v>
      </c>
      <c r="M75" s="184">
        <f t="shared" si="30"/>
        <v>-224156.2241</v>
      </c>
      <c r="N75" s="184">
        <f t="shared" si="30"/>
        <v>-224106.672</v>
      </c>
      <c r="O75" s="184">
        <f t="shared" si="30"/>
        <v>-224111.2644</v>
      </c>
      <c r="P75" s="184">
        <f t="shared" si="30"/>
        <v>-224084.6261</v>
      </c>
      <c r="Q75" s="184">
        <f t="shared" si="30"/>
        <v>-224070.873</v>
      </c>
      <c r="R75" s="184">
        <f t="shared" si="30"/>
        <v>-224093.3649</v>
      </c>
      <c r="S75" s="184">
        <f t="shared" si="30"/>
        <v>-224105.0514</v>
      </c>
      <c r="T75" s="184">
        <f t="shared" si="30"/>
        <v>-224110.9012</v>
      </c>
      <c r="U75" s="184">
        <f t="shared" si="30"/>
        <v>-224113.8262</v>
      </c>
      <c r="V75" s="184">
        <f t="shared" si="30"/>
        <v>-224115.2888</v>
      </c>
      <c r="W75" s="184">
        <f t="shared" si="30"/>
        <v>-224116.02</v>
      </c>
      <c r="X75" s="184">
        <f t="shared" si="30"/>
        <v>-224116.3856</v>
      </c>
      <c r="Y75" s="184">
        <f t="shared" si="30"/>
        <v>-224116.5685</v>
      </c>
      <c r="Z75" s="184">
        <f t="shared" si="30"/>
        <v>-224116.6599</v>
      </c>
      <c r="AA75" s="184">
        <f t="shared" si="30"/>
        <v>-224116.7056</v>
      </c>
      <c r="AB75" s="184">
        <f t="shared" si="30"/>
        <v>-224116.7284</v>
      </c>
      <c r="AC75" s="184">
        <f t="shared" si="30"/>
        <v>-224116.7398</v>
      </c>
      <c r="AD75" s="184">
        <f t="shared" si="30"/>
        <v>-224116.7456</v>
      </c>
      <c r="AE75" s="184">
        <f t="shared" si="30"/>
        <v>-224116.7484</v>
      </c>
      <c r="AF75" s="184">
        <f t="shared" si="30"/>
        <v>-224116.7498</v>
      </c>
      <c r="AG75" s="184">
        <f t="shared" si="30"/>
        <v>-224116.7506</v>
      </c>
      <c r="AH75" s="184">
        <f t="shared" si="30"/>
        <v>-224116.7509</v>
      </c>
      <c r="AI75" s="184">
        <f t="shared" si="30"/>
        <v>-224116.7511</v>
      </c>
      <c r="AJ75" s="184">
        <f t="shared" si="30"/>
        <v>-224116.7512</v>
      </c>
      <c r="AK75" s="184">
        <f t="shared" si="30"/>
        <v>-224116.7512</v>
      </c>
      <c r="AL75" s="184">
        <f t="shared" si="30"/>
        <v>-224116.7512</v>
      </c>
      <c r="AM75" s="184">
        <f t="shared" si="30"/>
        <v>-224116.7513</v>
      </c>
      <c r="AN75" s="184">
        <f t="shared" si="30"/>
        <v>-224116.7513</v>
      </c>
      <c r="AO75" s="184">
        <f t="shared" si="30"/>
        <v>-224116.7513</v>
      </c>
      <c r="AP75" s="184">
        <f t="shared" si="30"/>
        <v>-224116.7513</v>
      </c>
      <c r="AQ75" s="184">
        <f t="shared" si="30"/>
        <v>-224116.7513</v>
      </c>
      <c r="AR75" s="184">
        <f t="shared" si="30"/>
        <v>-224116.7513</v>
      </c>
      <c r="AS75" s="184">
        <f t="shared" si="30"/>
        <v>-224116.7513</v>
      </c>
      <c r="AT75" s="184">
        <f t="shared" si="30"/>
        <v>-224116.7513</v>
      </c>
      <c r="AU75" s="184">
        <f t="shared" si="30"/>
        <v>-224116.7513</v>
      </c>
      <c r="AV75" s="184">
        <f t="shared" si="30"/>
        <v>-224116.7513</v>
      </c>
      <c r="AW75" s="184">
        <f t="shared" si="30"/>
        <v>-224116.7513</v>
      </c>
      <c r="AX75" s="184">
        <f t="shared" si="30"/>
        <v>-224116.7513</v>
      </c>
      <c r="AY75" s="184">
        <f t="shared" si="30"/>
        <v>-224116.7513</v>
      </c>
      <c r="AZ75" s="184">
        <f t="shared" si="30"/>
        <v>-224116.7513</v>
      </c>
      <c r="BA75" s="184">
        <f t="shared" si="30"/>
        <v>-224116.7513</v>
      </c>
      <c r="BB75" s="184">
        <f t="shared" si="30"/>
        <v>-224116.7513</v>
      </c>
      <c r="BC75" s="184">
        <f t="shared" si="30"/>
        <v>-224116.7513</v>
      </c>
      <c r="BD75" s="184">
        <f t="shared" si="30"/>
        <v>-224116.7513</v>
      </c>
      <c r="BE75" s="184">
        <f t="shared" si="30"/>
        <v>-224116.7513</v>
      </c>
      <c r="BF75" s="184">
        <f t="shared" si="30"/>
        <v>-224116.7513</v>
      </c>
      <c r="BG75" s="184">
        <f t="shared" si="30"/>
        <v>-224116.7513</v>
      </c>
      <c r="BH75" s="184">
        <f t="shared" si="30"/>
        <v>-224116.7513</v>
      </c>
      <c r="BI75" s="184">
        <f t="shared" si="30"/>
        <v>-224116.7513</v>
      </c>
      <c r="BJ75" s="184">
        <f t="shared" si="30"/>
        <v>-224116.7513</v>
      </c>
      <c r="BK75" s="184">
        <f t="shared" si="30"/>
        <v>-224116.7513</v>
      </c>
      <c r="BL75" s="184">
        <f t="shared" si="30"/>
        <v>-224116.7513</v>
      </c>
      <c r="BM75" s="184">
        <f t="shared" si="30"/>
        <v>-224116.7513</v>
      </c>
      <c r="BN75" s="172"/>
    </row>
    <row r="76" outlineLevel="1">
      <c r="A76" s="172"/>
      <c r="B76" s="184"/>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c r="AA76" s="172"/>
      <c r="AB76" s="172"/>
      <c r="AC76" s="172"/>
      <c r="AD76" s="172"/>
      <c r="AE76" s="172"/>
      <c r="AF76" s="172"/>
      <c r="AG76" s="172"/>
      <c r="AH76" s="172"/>
      <c r="AI76" s="172"/>
      <c r="AJ76" s="172"/>
      <c r="AK76" s="172"/>
      <c r="AL76" s="172"/>
      <c r="AM76" s="172"/>
      <c r="AN76" s="172"/>
      <c r="AO76" s="172"/>
      <c r="AP76" s="172"/>
      <c r="AQ76" s="172"/>
      <c r="AR76" s="172"/>
      <c r="AS76" s="172"/>
      <c r="AT76" s="172"/>
      <c r="AU76" s="172"/>
      <c r="AV76" s="172"/>
      <c r="AW76" s="172"/>
      <c r="AX76" s="172"/>
      <c r="AY76" s="172"/>
      <c r="AZ76" s="172"/>
      <c r="BA76" s="172"/>
      <c r="BB76" s="172"/>
      <c r="BC76" s="172"/>
      <c r="BD76" s="172"/>
      <c r="BE76" s="172"/>
      <c r="BF76" s="172"/>
      <c r="BG76" s="172"/>
      <c r="BH76" s="172"/>
      <c r="BI76" s="172"/>
      <c r="BJ76" s="172"/>
      <c r="BK76" s="172"/>
      <c r="BL76" s="172"/>
      <c r="BM76" s="172"/>
      <c r="BN76" s="172"/>
    </row>
    <row r="77" outlineLevel="1">
      <c r="A77" s="172"/>
      <c r="B77" s="181" t="s">
        <v>193</v>
      </c>
      <c r="C77" s="172"/>
      <c r="D77" s="172"/>
      <c r="E77" s="184"/>
      <c r="F77" s="184">
        <f t="shared" ref="F77:BM77" si="31">F73+F75</f>
        <v>283643.125</v>
      </c>
      <c r="G77" s="184">
        <f t="shared" si="31"/>
        <v>54518.70938</v>
      </c>
      <c r="H77" s="184">
        <f t="shared" si="31"/>
        <v>-172162.6881</v>
      </c>
      <c r="I77" s="184">
        <f t="shared" si="31"/>
        <v>-397562.6747</v>
      </c>
      <c r="J77" s="184">
        <f t="shared" si="31"/>
        <v>-622291.6823</v>
      </c>
      <c r="K77" s="184">
        <f t="shared" si="31"/>
        <v>-846684.7463</v>
      </c>
      <c r="L77" s="184">
        <f t="shared" si="31"/>
        <v>-1070939.207</v>
      </c>
      <c r="M77" s="184">
        <f t="shared" si="31"/>
        <v>-1295095.431</v>
      </c>
      <c r="N77" s="184">
        <f t="shared" si="31"/>
        <v>-1519202.103</v>
      </c>
      <c r="O77" s="184">
        <f t="shared" si="31"/>
        <v>-1743313.367</v>
      </c>
      <c r="P77" s="184">
        <f t="shared" si="31"/>
        <v>-1967397.993</v>
      </c>
      <c r="Q77" s="184">
        <f t="shared" si="31"/>
        <v>-2191468.866</v>
      </c>
      <c r="R77" s="184">
        <f t="shared" si="31"/>
        <v>-2415562.231</v>
      </c>
      <c r="S77" s="184">
        <f t="shared" si="31"/>
        <v>-2639667.283</v>
      </c>
      <c r="T77" s="184">
        <f t="shared" si="31"/>
        <v>-2863778.184</v>
      </c>
      <c r="U77" s="184">
        <f t="shared" si="31"/>
        <v>-3087892.01</v>
      </c>
      <c r="V77" s="184">
        <f t="shared" si="31"/>
        <v>-3312007.299</v>
      </c>
      <c r="W77" s="184">
        <f t="shared" si="31"/>
        <v>-3536123.319</v>
      </c>
      <c r="X77" s="184">
        <f t="shared" si="31"/>
        <v>-3760239.704</v>
      </c>
      <c r="Y77" s="184">
        <f t="shared" si="31"/>
        <v>-3984356.273</v>
      </c>
      <c r="Z77" s="184">
        <f t="shared" si="31"/>
        <v>-4208472.933</v>
      </c>
      <c r="AA77" s="184">
        <f t="shared" si="31"/>
        <v>-4432589.638</v>
      </c>
      <c r="AB77" s="184">
        <f t="shared" si="31"/>
        <v>-4656706.367</v>
      </c>
      <c r="AC77" s="184">
        <f t="shared" si="31"/>
        <v>-4880823.107</v>
      </c>
      <c r="AD77" s="184">
        <f t="shared" si="31"/>
        <v>-5104939.852</v>
      </c>
      <c r="AE77" s="184">
        <f t="shared" si="31"/>
        <v>-5329056.601</v>
      </c>
      <c r="AF77" s="184">
        <f t="shared" si="31"/>
        <v>-5553173.35</v>
      </c>
      <c r="AG77" s="184">
        <f t="shared" si="31"/>
        <v>-5777290.101</v>
      </c>
      <c r="AH77" s="184">
        <f t="shared" si="31"/>
        <v>-6001406.852</v>
      </c>
      <c r="AI77" s="184">
        <f t="shared" si="31"/>
        <v>-6225523.603</v>
      </c>
      <c r="AJ77" s="184">
        <f t="shared" si="31"/>
        <v>-6449640.354</v>
      </c>
      <c r="AK77" s="184">
        <f t="shared" si="31"/>
        <v>-6673757.105</v>
      </c>
      <c r="AL77" s="184">
        <f t="shared" si="31"/>
        <v>-6897873.857</v>
      </c>
      <c r="AM77" s="184">
        <f t="shared" si="31"/>
        <v>-7121990.608</v>
      </c>
      <c r="AN77" s="184">
        <f t="shared" si="31"/>
        <v>-7346107.359</v>
      </c>
      <c r="AO77" s="184">
        <f t="shared" si="31"/>
        <v>-7570224.11</v>
      </c>
      <c r="AP77" s="184">
        <f t="shared" si="31"/>
        <v>-7794340.862</v>
      </c>
      <c r="AQ77" s="184">
        <f t="shared" si="31"/>
        <v>-8018457.613</v>
      </c>
      <c r="AR77" s="184">
        <f t="shared" si="31"/>
        <v>-8242574.364</v>
      </c>
      <c r="AS77" s="184">
        <f t="shared" si="31"/>
        <v>-8466691.115</v>
      </c>
      <c r="AT77" s="184">
        <f t="shared" si="31"/>
        <v>-8690807.867</v>
      </c>
      <c r="AU77" s="184">
        <f t="shared" si="31"/>
        <v>-8914924.618</v>
      </c>
      <c r="AV77" s="184">
        <f t="shared" si="31"/>
        <v>-9139041.369</v>
      </c>
      <c r="AW77" s="184">
        <f t="shared" si="31"/>
        <v>-9363158.121</v>
      </c>
      <c r="AX77" s="184">
        <f t="shared" si="31"/>
        <v>-9587274.872</v>
      </c>
      <c r="AY77" s="184">
        <f t="shared" si="31"/>
        <v>-9811391.623</v>
      </c>
      <c r="AZ77" s="184">
        <f t="shared" si="31"/>
        <v>-10035508.37</v>
      </c>
      <c r="BA77" s="184">
        <f t="shared" si="31"/>
        <v>-10259625.13</v>
      </c>
      <c r="BB77" s="184">
        <f t="shared" si="31"/>
        <v>-10483741.88</v>
      </c>
      <c r="BC77" s="184">
        <f t="shared" si="31"/>
        <v>-10707858.63</v>
      </c>
      <c r="BD77" s="184">
        <f t="shared" si="31"/>
        <v>-10931975.38</v>
      </c>
      <c r="BE77" s="184">
        <f t="shared" si="31"/>
        <v>-11156092.13</v>
      </c>
      <c r="BF77" s="184">
        <f t="shared" si="31"/>
        <v>-11380208.88</v>
      </c>
      <c r="BG77" s="184">
        <f t="shared" si="31"/>
        <v>-11604325.63</v>
      </c>
      <c r="BH77" s="184">
        <f t="shared" si="31"/>
        <v>-11828442.38</v>
      </c>
      <c r="BI77" s="184">
        <f t="shared" si="31"/>
        <v>-12052559.14</v>
      </c>
      <c r="BJ77" s="184">
        <f t="shared" si="31"/>
        <v>-12276675.89</v>
      </c>
      <c r="BK77" s="184">
        <f t="shared" si="31"/>
        <v>-12500792.64</v>
      </c>
      <c r="BL77" s="184">
        <f t="shared" si="31"/>
        <v>-12724909.39</v>
      </c>
      <c r="BM77" s="184">
        <f t="shared" si="31"/>
        <v>-12949026.14</v>
      </c>
      <c r="BN77" s="172"/>
    </row>
    <row r="78">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c r="AA78" s="172"/>
      <c r="AB78" s="172"/>
      <c r="AC78" s="172"/>
      <c r="AD78" s="172"/>
      <c r="AE78" s="172"/>
      <c r="AF78" s="172"/>
      <c r="AG78" s="172"/>
      <c r="AH78" s="172"/>
      <c r="AI78" s="172"/>
      <c r="AJ78" s="172"/>
      <c r="AK78" s="172"/>
      <c r="AL78" s="172"/>
      <c r="AM78" s="172"/>
      <c r="AN78" s="172"/>
      <c r="AO78" s="172"/>
      <c r="AP78" s="172"/>
      <c r="AQ78" s="172"/>
      <c r="AR78" s="172"/>
      <c r="AS78" s="172"/>
      <c r="AT78" s="172"/>
      <c r="AU78" s="172"/>
      <c r="AV78" s="172"/>
      <c r="AW78" s="172"/>
      <c r="AX78" s="172"/>
      <c r="AY78" s="172"/>
      <c r="AZ78" s="172"/>
      <c r="BA78" s="172"/>
      <c r="BB78" s="172"/>
      <c r="BC78" s="172"/>
      <c r="BD78" s="172"/>
      <c r="BE78" s="172"/>
      <c r="BF78" s="172"/>
      <c r="BG78" s="172"/>
      <c r="BH78" s="172"/>
      <c r="BI78" s="172"/>
      <c r="BJ78" s="172"/>
      <c r="BK78" s="172"/>
      <c r="BL78" s="172"/>
      <c r="BM78" s="172"/>
      <c r="BN78" s="172"/>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9"/>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9" t="s">
        <v>148</v>
      </c>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sheetData>
  <conditionalFormatting sqref="F23:BM23 F25:BM25 F27:BM27 F34:BM34 F36:BM36">
    <cfRule type="cellIs" dxfId="0" priority="1" operator="lessThan">
      <formula>0</formula>
    </cfRule>
  </conditionalFormatting>
  <conditionalFormatting sqref="F77:BM77">
    <cfRule type="cellIs" dxfId="1" priority="2" operator="lessThan">
      <formula>0</formula>
    </cfRule>
  </conditionalFormatting>
  <drawing r:id="rId1"/>
</worksheet>
</file>