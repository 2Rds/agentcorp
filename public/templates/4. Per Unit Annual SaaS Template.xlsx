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<sst xmlns="http://schemas.openxmlformats.org/spreadsheetml/2006/main" count="232" uniqueCount="185">
  <si>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</si>
  <si>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</si>
  <si>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</si>
  <si>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</si>
  <si>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</si>
  <si>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</si>
  <si>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</si>
  <si>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</si>
  <si>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</si>
  <si>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</si>
  <si>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</si>
  <si>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</si>
  <si>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</si>
  <si>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Regular Schools Sales</t>
  </si>
  <si>
    <t>Start Value</t>
  </si>
  <si>
    <t>MoM Growth</t>
  </si>
  <si>
    <t>Sales Leads</t>
  </si>
  <si>
    <t>Sales Cycle</t>
  </si>
  <si>
    <t>Conversion Rate</t>
  </si>
  <si>
    <t>New Regular Schools</t>
  </si>
  <si>
    <t>Large Schools Sales</t>
  </si>
  <si>
    <t>New Large Schools</t>
  </si>
  <si>
    <t>Total New Schools</t>
  </si>
  <si>
    <t>Revenue - Per Unit Annual SaaS:</t>
  </si>
  <si>
    <t>Regular School Licenses</t>
  </si>
  <si>
    <t>Billed Subscriptions</t>
  </si>
  <si>
    <t>Subscriptions Available for Renewal</t>
  </si>
  <si>
    <t>Subscriptions In-between Billing Cycles</t>
  </si>
  <si>
    <t>Annual Churn Rate</t>
  </si>
  <si>
    <t>Churned Licenses</t>
  </si>
  <si>
    <t>Renewed Licenses</t>
  </si>
  <si>
    <t>Total Regular School Licenses</t>
  </si>
  <si>
    <t>Previous Months Active Subsciptions</t>
  </si>
  <si>
    <t>Average Students per School</t>
  </si>
  <si>
    <t xml:space="preserve">Total Students </t>
  </si>
  <si>
    <t>Average Price per Student</t>
  </si>
  <si>
    <t>Cash Collected</t>
  </si>
  <si>
    <t>Revenue</t>
  </si>
  <si>
    <t>Large School Licenses</t>
  </si>
  <si>
    <t>Per Unit Annual SaaS Tier 3</t>
  </si>
  <si>
    <t>% of Total New Customers</t>
  </si>
  <si>
    <t>New Customers</t>
  </si>
  <si>
    <t>Churned Subscriptions</t>
  </si>
  <si>
    <t>Renewed Susbcriptions</t>
  </si>
  <si>
    <t>Active Subscriptions</t>
  </si>
  <si>
    <t>Average Units Purchased per Subscription</t>
  </si>
  <si>
    <t>Total Purchases this Month</t>
  </si>
  <si>
    <t>Average Annual Price per Unit</t>
  </si>
  <si>
    <t>Bookings</t>
  </si>
  <si>
    <t xml:space="preserve"> + ADD MORE </t>
  </si>
  <si>
    <t>People:</t>
  </si>
  <si>
    <t>Name</t>
  </si>
  <si>
    <t>Salary</t>
  </si>
  <si>
    <t>Benefits</t>
  </si>
  <si>
    <t>Start Date</t>
  </si>
  <si>
    <t>Head of Marketing</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</si>
  <si>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</si>
  <si>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</si>
  <si>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</si>
  <si>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</si>
  <si>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</si>
  <si>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</si>
  <si>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</si>
  <si>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</si>
  <si>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</si>
  <si>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</si>
  <si>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</si>
  <si>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</si>
  <si>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</si>
  <si>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</si>
  <si>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</si>
  <si>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</si>
  <si>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</si>
  <si>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</si>
  <si>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</si>
  <si>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</si>
  <si>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</si>
  <si>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</si>
  <si>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</si>
  <si>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</si>
  <si>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</si>
  <si>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</si>
  <si>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</si>
  <si>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</si>
  <si>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</si>
  <si>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</si>
  <si>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</si>
  <si>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</si>
  <si>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</si>
  <si>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</si>
  <si>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</si>
  <si>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</si>
  <si>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</si>
  <si>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</si>
  <si>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</si>
  <si>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</si>
  <si>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</si>
  <si>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</si>
  <si>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</si>
  <si>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</si>
  <si>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</si>
  <si>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</si>
  <si>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</si>
  <si>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</si>
  <si>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</si>
  <si>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</si>
  <si>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</si>
  <si>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</si>
  <si>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</si>
  <si>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</si>
  <si>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</si>
  <si>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</si>
  <si>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</si>
  <si>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</si>
  <si>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</si>
  <si>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</si>
  <si>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</si>
  <si>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</si>
  <si>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</si>
  <si>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</si>
  <si>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</si>
  <si>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</si>
  <si>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</si>
  <si>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</si>
  <si>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</si>
  <si>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</si>
  <si>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</si>
  <si>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Deferred Revenue</t>
  </si>
  <si>
    <t>Equity</t>
  </si>
  <si>
    <t>Starting Paid in Capital</t>
  </si>
  <si>
    <t>Current Equity Dilution</t>
  </si>
  <si>
    <t>New Equity</t>
  </si>
  <si>
    <t xml:space="preserve">Name of Round </t>
  </si>
  <si>
    <t>Amount</t>
  </si>
  <si>
    <t>Date</t>
  </si>
  <si>
    <t>Pre-Seed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</si>
  <si>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</si>
  <si>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</si>
  <si>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</si>
  <si>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</si>
  <si>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</si>
  <si>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</si>
  <si>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</si>
  <si>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</si>
  <si>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</si>
  <si>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</si>
  <si>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</si>
  <si>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</si>
  <si>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</si>
  <si>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</si>
  <si>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</si>
  <si>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</si>
  <si>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</si>
  <si>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</si>
  <si>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</si>
  <si>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</si>
  <si>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</si>
  <si>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</si>
  <si>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</si>
  <si>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</si>
  <si>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</si>
  <si>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</si>
  <si>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</si>
  <si>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</si>
  <si>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</si>
  <si>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</si>
  <si>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</si>
  <si>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</si>
  <si>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</si>
  <si>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</si>
  <si>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</si>
  <si>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</si>
  <si>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</si>
  <si>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</si>
  <si>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Change in Deferred Revenue</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</si>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</sst>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 &quot;Months&quot;"/>
    <numFmt numFmtId="166" formatCode="&quot;$&quot;#,##0.00"/>
    <numFmt numFmtId="167" formatCode="&quot;$&quot;#,##0"/>
    <numFmt numFmtId="168" formatCode="_(&quot;$&quot;* #,##0_);_(&quot;$&quot;* \(#,##0\);_(&quot;$&quot;* &quot;-&quot;??_);_(@_)"/>
    <numFmt numFmtId="169" formatCode="m/d/yyyy"/>
    <numFmt numFmtId="170" formatCode="_(&quot;$&quot;* #,##0.00_);_(&quot;$&quot;* \(#,##0.00\);_(&quot;$&quot;* &quot;-&quot;??_);_(@_)"/>
  </numFmts>
  <fonts count="34">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b/>
      <color rgb="FF000000"/>
      <name val="Montserrat"/>
    </font>
    <font>
      <color rgb="FF000000"/>
      <name val="Montserrat"/>
    </font>
    <font>
      <b/>
      <color rgb="FF434343"/>
      <name val="Montserrat"/>
    </font>
    <font>
      <sz val="10.0"/>
      <color rgb="FF1B202B"/>
      <name val="Montserrat"/>
    </font>
    <font>
      <b/>
      <sz val="11.0"/>
      <color rgb="FF1B202B"/>
      <name val="Montserrat"/>
    </font>
    <font>
      <b/>
      <sz val="11.0"/>
      <color theme="1"/>
      <name val="Montserrat"/>
    </font>
    <font>
      <b/>
      <i/>
      <color theme="1"/>
      <name val="Montserrat"/>
    </font>
    <font>
      <color theme="1"/>
      <name val="Arial"/>
      <scheme val="minor"/>
    </font>
    <font>
      <i/>
      <color theme="1"/>
      <name val="Montserrat"/>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24">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bottom style="thick">
        <color rgb="FF00CD95"/>
      </bottom>
    </border>
    <border>
      <left style="medium">
        <color rgb="FFFFFFFF"/>
      </left>
      <right style="medium">
        <color rgb="FFFFFFFF"/>
      </right>
      <top style="medium">
        <color rgb="FFFFFFFF"/>
      </top>
      <bottom style="medium">
        <color rgb="FFFFFFFF"/>
      </bottom>
    </border>
    <border>
      <bottom style="thick">
        <color rgb="FF1B202B"/>
      </bottom>
    </border>
    <border>
      <left style="medium">
        <color rgb="FFFFFFFF"/>
      </left>
      <right style="medium">
        <color rgb="FFFFFFFF"/>
      </right>
      <top style="medium">
        <color rgb="FFFFFFFF"/>
      </top>
      <bottom style="thick">
        <color rgb="FF000000"/>
      </bottom>
    </border>
    <border>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left style="medium">
        <color rgb="FFFFFFFF"/>
      </left>
      <right style="medium">
        <color rgb="FFFFFFFF"/>
      </right>
      <top style="medium">
        <color rgb="FFFFFFFF"/>
      </top>
    </border>
    <border>
      <bottom style="thin">
        <color rgb="FFB7B7B7"/>
      </bottom>
    </border>
    <border>
      <bottom style="medium">
        <color rgb="FF000000"/>
      </bottom>
    </border>
    <border>
      <top style="medium">
        <color rgb="FF000000"/>
      </top>
    </border>
    <border>
      <top style="thin">
        <color rgb="FF000000"/>
      </top>
    </border>
    <border>
      <right/>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0" fillId="5" fontId="17" numFmtId="14" xfId="0" applyAlignment="1" applyFill="1" applyFont="1" applyNumberFormat="1">
      <alignment horizontal="right" readingOrder="0" vertical="center"/>
    </xf>
    <xf borderId="0" fillId="0" fontId="13" numFmtId="14" xfId="0" applyAlignment="1" applyFont="1" applyNumberFormat="1">
      <alignment horizontal="right" vertical="center"/>
    </xf>
    <xf borderId="0" fillId="0" fontId="13" numFmtId="0" xfId="0" applyAlignment="1" applyFont="1">
      <alignment vertical="center"/>
    </xf>
    <xf borderId="9" fillId="6" fontId="18" numFmtId="0" xfId="0" applyAlignment="1" applyBorder="1" applyFill="1" applyFont="1">
      <alignment readingOrder="0" vertical="center"/>
    </xf>
    <xf borderId="9" fillId="6" fontId="13" numFmtId="0" xfId="0" applyAlignment="1" applyBorder="1" applyFont="1">
      <alignment vertical="center"/>
    </xf>
    <xf borderId="9" fillId="6" fontId="13" numFmtId="0" xfId="0" applyAlignment="1" applyBorder="1" applyFont="1">
      <alignment horizontal="right" vertical="center"/>
    </xf>
    <xf borderId="0" fillId="0" fontId="19" numFmtId="0" xfId="0" applyAlignment="1" applyFont="1">
      <alignment readingOrder="0" vertical="center"/>
    </xf>
    <xf borderId="0" fillId="0" fontId="17" numFmtId="0" xfId="0" applyAlignment="1" applyFont="1">
      <alignment readingOrder="0" vertical="center"/>
    </xf>
    <xf borderId="0" fillId="0" fontId="17" numFmtId="0" xfId="0" applyAlignment="1" applyFont="1">
      <alignment horizontal="right" readingOrder="0" vertical="center"/>
    </xf>
    <xf borderId="10" fillId="5" fontId="20" numFmtId="164" xfId="0" applyAlignment="1" applyBorder="1" applyFont="1" applyNumberFormat="1">
      <alignment horizontal="right" readingOrder="0" vertical="center"/>
    </xf>
    <xf borderId="10" fillId="5" fontId="20" numFmtId="10" xfId="0" applyAlignment="1" applyBorder="1" applyFont="1" applyNumberFormat="1">
      <alignment horizontal="right" readingOrder="0" vertical="center"/>
    </xf>
    <xf borderId="0" fillId="3" fontId="13" numFmtId="3" xfId="0" applyAlignment="1" applyFont="1" applyNumberFormat="1">
      <alignment horizontal="right" vertical="center"/>
    </xf>
    <xf borderId="10" fillId="5" fontId="21" numFmtId="165" xfId="0" applyAlignment="1" applyBorder="1" applyFont="1" applyNumberFormat="1">
      <alignment horizontal="right" readingOrder="0" vertical="center"/>
    </xf>
    <xf borderId="0" fillId="3" fontId="22" numFmtId="165" xfId="0" applyAlignment="1" applyFont="1" applyNumberFormat="1">
      <alignment horizontal="right" vertical="center"/>
    </xf>
    <xf borderId="11" fillId="0" fontId="13" numFmtId="0" xfId="0" applyAlignment="1" applyBorder="1" applyFont="1">
      <alignment readingOrder="0" vertical="center"/>
    </xf>
    <xf borderId="11" fillId="0" fontId="13" numFmtId="0" xfId="0" applyAlignment="1" applyBorder="1" applyFont="1">
      <alignment vertical="center"/>
    </xf>
    <xf borderId="12" fillId="5" fontId="17" numFmtId="10" xfId="0" applyAlignment="1" applyBorder="1" applyFont="1" applyNumberFormat="1">
      <alignment horizontal="right" readingOrder="0" vertical="center"/>
    </xf>
    <xf borderId="13" fillId="0" fontId="13" numFmtId="0" xfId="0" applyAlignment="1" applyBorder="1" applyFont="1">
      <alignment vertical="center"/>
    </xf>
    <xf borderId="11" fillId="0" fontId="13" numFmtId="10" xfId="0" applyAlignment="1" applyBorder="1" applyFont="1" applyNumberFormat="1">
      <alignment horizontal="right" vertical="center"/>
    </xf>
    <xf borderId="0" fillId="0" fontId="23" numFmtId="0" xfId="0" applyAlignment="1" applyFont="1">
      <alignment readingOrder="0" vertical="center"/>
    </xf>
    <xf borderId="0" fillId="3" fontId="21" numFmtId="3" xfId="0" applyAlignment="1" applyFont="1" applyNumberFormat="1">
      <alignment horizontal="right" vertical="center"/>
    </xf>
    <xf borderId="0" fillId="0" fontId="17" numFmtId="164" xfId="0" applyAlignment="1" applyFont="1" applyNumberFormat="1">
      <alignment horizontal="center" readingOrder="0" vertical="center"/>
    </xf>
    <xf borderId="0" fillId="0" fontId="24" numFmtId="0" xfId="0" applyAlignment="1" applyFont="1">
      <alignment readingOrder="0" vertical="center"/>
    </xf>
    <xf borderId="0" fillId="0" fontId="13" numFmtId="1" xfId="0" applyAlignment="1" applyFont="1" applyNumberFormat="1">
      <alignment horizontal="right" vertical="center"/>
    </xf>
    <xf borderId="13" fillId="0" fontId="24" numFmtId="0" xfId="0" applyAlignment="1" applyBorder="1" applyFont="1">
      <alignment readingOrder="0" vertical="center"/>
    </xf>
    <xf borderId="13" fillId="0" fontId="13" numFmtId="1" xfId="0" applyAlignment="1" applyBorder="1" applyFont="1" applyNumberFormat="1">
      <alignment horizontal="right" vertical="center"/>
    </xf>
    <xf borderId="0" fillId="0" fontId="7" numFmtId="0" xfId="0" applyAlignment="1" applyFont="1">
      <alignment vertical="center"/>
    </xf>
    <xf borderId="0" fillId="0" fontId="25" numFmtId="0" xfId="0" applyAlignment="1" applyFont="1">
      <alignment readingOrder="0" vertical="center"/>
    </xf>
    <xf borderId="0" fillId="0" fontId="26" numFmtId="0" xfId="0" applyAlignment="1" applyFont="1">
      <alignment horizontal="center" vertical="center"/>
    </xf>
    <xf borderId="0" fillId="0" fontId="26" numFmtId="1" xfId="0" applyAlignment="1" applyFont="1" applyNumberFormat="1">
      <alignment horizontal="right" vertical="center"/>
    </xf>
    <xf borderId="0" fillId="0" fontId="18" numFmtId="0" xfId="0" applyAlignment="1" applyFont="1">
      <alignment readingOrder="0" vertical="center"/>
    </xf>
    <xf borderId="0" fillId="0" fontId="17" numFmtId="0" xfId="0" applyAlignment="1" applyFont="1">
      <alignment horizontal="center" vertical="center"/>
    </xf>
    <xf borderId="0" fillId="0" fontId="13" numFmtId="1" xfId="0" applyAlignment="1" applyFont="1" applyNumberFormat="1">
      <alignment vertical="center"/>
    </xf>
    <xf borderId="0" fillId="5" fontId="17" numFmtId="10" xfId="0" applyAlignment="1" applyFont="1" applyNumberFormat="1">
      <alignment horizontal="right" readingOrder="0" vertical="center"/>
    </xf>
    <xf borderId="0" fillId="0" fontId="17" numFmtId="10" xfId="0" applyAlignment="1" applyFont="1" applyNumberFormat="1">
      <alignment horizontal="right" readingOrder="0" vertical="center"/>
    </xf>
    <xf borderId="0" fillId="0" fontId="13" numFmtId="10" xfId="0" applyAlignment="1" applyFont="1" applyNumberFormat="1">
      <alignment horizontal="right" vertical="center"/>
    </xf>
    <xf borderId="0" fillId="5" fontId="17" numFmtId="3" xfId="0" applyAlignment="1" applyFont="1" applyNumberFormat="1">
      <alignment horizontal="right" readingOrder="0" vertical="center"/>
    </xf>
    <xf borderId="0" fillId="0" fontId="17" numFmtId="166" xfId="0" applyAlignment="1" applyFont="1" applyNumberFormat="1">
      <alignment horizontal="right" readingOrder="0" vertical="center"/>
    </xf>
    <xf borderId="0" fillId="0" fontId="13" numFmtId="3" xfId="0" applyAlignment="1" applyFont="1" applyNumberFormat="1">
      <alignment horizontal="right" vertical="center"/>
    </xf>
    <xf borderId="0" fillId="5" fontId="17" numFmtId="166" xfId="0" applyAlignment="1" applyFont="1" applyNumberFormat="1">
      <alignment horizontal="right" readingOrder="0" vertical="center"/>
    </xf>
    <xf borderId="0" fillId="0" fontId="13" numFmtId="166" xfId="0" applyAlignment="1" applyFont="1" applyNumberFormat="1">
      <alignment horizontal="right" vertical="center"/>
    </xf>
    <xf borderId="11" fillId="0" fontId="13" numFmtId="167" xfId="0" applyAlignment="1" applyBorder="1" applyFont="1" applyNumberFormat="1">
      <alignment horizontal="right" readingOrder="0" vertical="center"/>
    </xf>
    <xf borderId="0" fillId="0" fontId="17" numFmtId="164" xfId="0" applyAlignment="1" applyFont="1" applyNumberFormat="1">
      <alignment horizontal="center" vertical="center"/>
    </xf>
    <xf borderId="0" fillId="0" fontId="17" numFmtId="167" xfId="0" applyAlignment="1" applyFont="1" applyNumberFormat="1">
      <alignment horizontal="right" vertical="center"/>
    </xf>
    <xf borderId="0" fillId="3" fontId="17" numFmtId="167" xfId="0" applyAlignment="1" applyFont="1" applyNumberFormat="1">
      <alignment horizontal="right" vertical="center"/>
    </xf>
    <xf borderId="14" fillId="7" fontId="13" numFmtId="0" xfId="0" applyAlignment="1" applyBorder="1" applyFill="1" applyFont="1">
      <alignment readingOrder="0" vertical="center"/>
    </xf>
    <xf borderId="0" fillId="0" fontId="27" numFmtId="0" xfId="0" applyAlignment="1" applyFont="1">
      <alignment readingOrder="0" vertical="center"/>
    </xf>
    <xf borderId="0" fillId="0" fontId="27" numFmtId="0" xfId="0" applyAlignment="1" applyFont="1">
      <alignment horizontal="center" readingOrder="0" vertical="center"/>
    </xf>
    <xf borderId="0" fillId="0" fontId="13" numFmtId="168" xfId="0" applyAlignment="1" applyFont="1" applyNumberFormat="1">
      <alignment horizontal="right" vertical="center"/>
    </xf>
    <xf borderId="10" fillId="5" fontId="20" numFmtId="168" xfId="0" applyAlignment="1" applyBorder="1" applyFont="1" applyNumberFormat="1">
      <alignment horizontal="left" readingOrder="0" vertical="center"/>
    </xf>
    <xf borderId="10" fillId="5" fontId="20" numFmtId="168" xfId="0" applyAlignment="1" applyBorder="1" applyFont="1" applyNumberFormat="1">
      <alignment horizontal="center" readingOrder="0" vertical="center"/>
    </xf>
    <xf borderId="10" fillId="5" fontId="20" numFmtId="9" xfId="0" applyAlignment="1" applyBorder="1" applyFont="1" applyNumberFormat="1">
      <alignment horizontal="center" readingOrder="0" vertical="center"/>
    </xf>
    <xf borderId="15" fillId="5" fontId="20" numFmtId="169" xfId="0" applyAlignment="1" applyBorder="1" applyFont="1" applyNumberFormat="1">
      <alignment horizontal="center" readingOrder="0" vertical="center"/>
    </xf>
    <xf borderId="10" fillId="5" fontId="20" numFmtId="168" xfId="0" applyAlignment="1" applyBorder="1" applyFont="1" applyNumberFormat="1">
      <alignment horizontal="left" vertical="center"/>
    </xf>
    <xf borderId="10" fillId="5" fontId="20" numFmtId="170" xfId="0" applyAlignment="1" applyBorder="1" applyFont="1" applyNumberFormat="1">
      <alignment horizontal="left" vertical="center"/>
    </xf>
    <xf borderId="10" fillId="5" fontId="20" numFmtId="10" xfId="0" applyAlignment="1" applyBorder="1" applyFont="1" applyNumberFormat="1">
      <alignment horizontal="center" readingOrder="0" vertical="center"/>
    </xf>
    <xf borderId="10" fillId="5" fontId="20" numFmtId="170" xfId="0" applyAlignment="1" applyBorder="1" applyFont="1" applyNumberFormat="1">
      <alignment horizontal="left" readingOrder="0" vertical="center"/>
    </xf>
    <xf borderId="12" fillId="5" fontId="20" numFmtId="170" xfId="0" applyAlignment="1" applyBorder="1" applyFont="1" applyNumberFormat="1">
      <alignment horizontal="left" readingOrder="0" vertical="center"/>
    </xf>
    <xf borderId="12" fillId="5" fontId="20" numFmtId="10" xfId="0" applyAlignment="1" applyBorder="1" applyFont="1" applyNumberFormat="1">
      <alignment horizontal="center" readingOrder="0" vertical="center"/>
    </xf>
    <xf borderId="13" fillId="0" fontId="13" numFmtId="168" xfId="0" applyAlignment="1" applyBorder="1" applyFont="1" applyNumberFormat="1">
      <alignment horizontal="right" vertical="center"/>
    </xf>
    <xf borderId="0" fillId="0" fontId="3" numFmtId="168" xfId="0" applyAlignment="1" applyFont="1" applyNumberFormat="1">
      <alignment vertical="bottom"/>
    </xf>
    <xf borderId="0" fillId="0" fontId="23" numFmtId="170" xfId="0" applyAlignment="1" applyFont="1" applyNumberFormat="1">
      <alignment vertical="bottom"/>
    </xf>
    <xf borderId="0" fillId="3" fontId="17" numFmtId="168" xfId="0" applyAlignment="1" applyFont="1" applyNumberFormat="1">
      <alignment horizontal="right" vertical="bottom"/>
    </xf>
    <xf borderId="0" fillId="0" fontId="13" numFmtId="168" xfId="0" applyAlignment="1" applyFont="1" applyNumberFormat="1">
      <alignment vertical="center"/>
    </xf>
    <xf borderId="10" fillId="5" fontId="20" numFmtId="168" xfId="0" applyAlignment="1" applyBorder="1" applyFont="1" applyNumberFormat="1">
      <alignment horizontal="center" vertical="center"/>
    </xf>
    <xf borderId="0" fillId="0" fontId="20" numFmtId="168" xfId="0" applyAlignment="1" applyFont="1" applyNumberFormat="1">
      <alignment horizontal="center" readingOrder="0" vertical="center"/>
    </xf>
    <xf borderId="15" fillId="5" fontId="20" numFmtId="168" xfId="0" applyAlignment="1" applyBorder="1" applyFont="1" applyNumberFormat="1">
      <alignment horizontal="center" readingOrder="0" vertical="center"/>
    </xf>
    <xf borderId="12" fillId="5" fontId="20" numFmtId="168" xfId="0" applyAlignment="1" applyBorder="1" applyFont="1" applyNumberFormat="1">
      <alignment horizontal="left" readingOrder="0" vertical="center"/>
    </xf>
    <xf borderId="12" fillId="5" fontId="20" numFmtId="168" xfId="0" applyAlignment="1" applyBorder="1" applyFont="1" applyNumberFormat="1">
      <alignment horizontal="center" vertical="center"/>
    </xf>
    <xf borderId="13" fillId="0" fontId="13" numFmtId="168" xfId="0" applyAlignment="1" applyBorder="1" applyFont="1" applyNumberFormat="1">
      <alignment vertical="center"/>
    </xf>
    <xf borderId="16" fillId="5" fontId="20" numFmtId="168" xfId="0" applyAlignment="1" applyBorder="1" applyFont="1" applyNumberFormat="1">
      <alignment horizontal="center" readingOrder="0" vertical="center"/>
    </xf>
    <xf borderId="0" fillId="0" fontId="3" numFmtId="168" xfId="0" applyFont="1" applyNumberFormat="1"/>
    <xf borderId="0" fillId="0" fontId="23" numFmtId="168" xfId="0" applyFont="1" applyNumberFormat="1"/>
    <xf borderId="0" fillId="3" fontId="17" numFmtId="168" xfId="0" applyAlignment="1" applyFont="1" applyNumberFormat="1">
      <alignment horizontal="right"/>
    </xf>
    <xf borderId="0" fillId="0" fontId="17" numFmtId="170" xfId="0" applyAlignment="1" applyFont="1" applyNumberFormat="1">
      <alignment readingOrder="0" vertical="center"/>
    </xf>
    <xf borderId="0" fillId="0" fontId="27" numFmtId="168" xfId="0" applyAlignment="1" applyFont="1" applyNumberFormat="1">
      <alignment horizontal="center" readingOrder="0" vertical="center"/>
    </xf>
    <xf borderId="12" fillId="5" fontId="20" numFmtId="168" xfId="0" applyAlignment="1" applyBorder="1" applyFont="1" applyNumberFormat="1">
      <alignment horizontal="center" readingOrder="0" vertical="center"/>
    </xf>
    <xf borderId="0" fillId="0" fontId="23" numFmtId="170" xfId="0" applyFont="1" applyNumberFormat="1"/>
    <xf borderId="0" fillId="0" fontId="13" numFmtId="170" xfId="0" applyAlignment="1" applyFont="1" applyNumberFormat="1">
      <alignment vertical="center"/>
    </xf>
    <xf borderId="17" fillId="0" fontId="17" numFmtId="0" xfId="0" applyAlignment="1" applyBorder="1" applyFont="1">
      <alignment readingOrder="0" vertical="center"/>
    </xf>
    <xf borderId="17" fillId="0" fontId="13" numFmtId="0" xfId="0" applyAlignment="1" applyBorder="1" applyFont="1">
      <alignment vertical="center"/>
    </xf>
    <xf borderId="0" fillId="0" fontId="13" numFmtId="170" xfId="0" applyAlignment="1" applyFont="1" applyNumberFormat="1">
      <alignment horizontal="right" vertical="center"/>
    </xf>
    <xf borderId="0" fillId="0" fontId="17" numFmtId="168" xfId="0" applyAlignment="1" applyFont="1" applyNumberFormat="1">
      <alignment readingOrder="0" vertical="center"/>
    </xf>
    <xf borderId="0" fillId="5" fontId="20" numFmtId="168" xfId="0" applyAlignment="1" applyFont="1" applyNumberFormat="1">
      <alignment horizontal="center" readingOrder="0" vertical="center"/>
    </xf>
    <xf borderId="18" fillId="5" fontId="20" numFmtId="3" xfId="0" applyAlignment="1" applyBorder="1" applyFont="1" applyNumberFormat="1">
      <alignment horizontal="center" readingOrder="0" vertical="center"/>
    </xf>
    <xf borderId="0" fillId="0" fontId="17" numFmtId="168" xfId="0" applyAlignment="1" applyFont="1" applyNumberFormat="1">
      <alignment horizontal="right" vertical="center"/>
    </xf>
    <xf borderId="0" fillId="0" fontId="27" numFmtId="170" xfId="0" applyAlignment="1" applyFont="1" applyNumberFormat="1">
      <alignment readingOrder="0" vertical="center"/>
    </xf>
    <xf borderId="0" fillId="0" fontId="27" numFmtId="0" xfId="0" applyAlignment="1" applyFont="1">
      <alignment horizontal="center" readingOrder="0" vertical="center"/>
    </xf>
    <xf borderId="10" fillId="5" fontId="20" numFmtId="169" xfId="0" applyAlignment="1" applyBorder="1" applyFont="1" applyNumberFormat="1">
      <alignment horizontal="center" readingOrder="0" vertical="center"/>
    </xf>
    <xf borderId="15" fillId="5" fontId="20" numFmtId="3" xfId="0" applyAlignment="1" applyBorder="1" applyFont="1" applyNumberFormat="1">
      <alignment horizontal="center" readingOrder="0" vertical="center"/>
    </xf>
    <xf borderId="0" fillId="0" fontId="13" numFmtId="168" xfId="0" applyAlignment="1" applyFont="1" applyNumberFormat="1">
      <alignment readingOrder="0" vertical="center"/>
    </xf>
    <xf borderId="10" fillId="5" fontId="20" numFmtId="3" xfId="0" applyAlignment="1" applyBorder="1" applyFont="1" applyNumberFormat="1">
      <alignment horizontal="center" readingOrder="0" vertical="center"/>
    </xf>
    <xf borderId="0" fillId="0" fontId="17" numFmtId="168" xfId="0" applyAlignment="1" applyFont="1" applyNumberFormat="1">
      <alignment vertical="center"/>
    </xf>
    <xf borderId="0" fillId="0" fontId="13" numFmtId="170" xfId="0" applyAlignment="1" applyFont="1" applyNumberFormat="1">
      <alignment readingOrder="0" vertical="center"/>
    </xf>
    <xf borderId="0" fillId="0" fontId="28" numFmtId="0" xfId="0" applyAlignment="1" applyFont="1">
      <alignment vertical="center"/>
    </xf>
    <xf borderId="19" fillId="0" fontId="29" numFmtId="0" xfId="0" applyAlignment="1" applyBorder="1" applyFont="1">
      <alignment readingOrder="0" vertical="center"/>
    </xf>
    <xf borderId="19" fillId="0" fontId="13" numFmtId="0" xfId="0" applyAlignment="1" applyBorder="1" applyFont="1">
      <alignment vertical="center"/>
    </xf>
    <xf borderId="0" fillId="0" fontId="28" numFmtId="168" xfId="0" applyAlignment="1" applyFont="1" applyNumberFormat="1">
      <alignment vertical="center"/>
    </xf>
    <xf borderId="10" fillId="5" fontId="20" numFmtId="168" xfId="0" applyAlignment="1" applyBorder="1" applyFont="1" applyNumberFormat="1">
      <alignment horizontal="right" readingOrder="0" vertical="center"/>
    </xf>
    <xf borderId="10" fillId="5" fontId="20" numFmtId="169" xfId="0" applyAlignment="1" applyBorder="1" applyFont="1" applyNumberFormat="1">
      <alignment horizontal="right" readingOrder="0" vertical="center"/>
    </xf>
    <xf borderId="0" fillId="0" fontId="17" numFmtId="0" xfId="0" applyAlignment="1" applyFon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9" fillId="6" fontId="18" numFmtId="0" xfId="0" applyAlignment="1" applyBorder="1" applyFont="1">
      <alignment readingOrder="0"/>
    </xf>
    <xf borderId="9" fillId="6" fontId="13" numFmtId="0" xfId="0" applyBorder="1" applyFont="1"/>
    <xf borderId="0" fillId="0" fontId="13" numFmtId="168" xfId="0" applyFont="1" applyNumberFormat="1"/>
    <xf borderId="20" fillId="0" fontId="17" numFmtId="168" xfId="0" applyAlignment="1" applyBorder="1" applyFont="1" applyNumberFormat="1">
      <alignment readingOrder="0"/>
    </xf>
    <xf borderId="20" fillId="0" fontId="17" numFmtId="168" xfId="0" applyBorder="1" applyFont="1" applyNumberFormat="1"/>
    <xf borderId="21" fillId="0" fontId="17" numFmtId="168" xfId="0" applyAlignment="1" applyBorder="1" applyFont="1" applyNumberFormat="1">
      <alignment readingOrder="0"/>
    </xf>
    <xf borderId="21" fillId="0" fontId="13" numFmtId="168" xfId="0" applyBorder="1" applyFont="1" applyNumberFormat="1"/>
    <xf borderId="21" fillId="0" fontId="17" numFmtId="168" xfId="0" applyBorder="1" applyFont="1" applyNumberFormat="1"/>
    <xf borderId="0" fillId="0" fontId="13" numFmtId="10" xfId="0" applyFont="1" applyNumberFormat="1"/>
    <xf borderId="0" fillId="0" fontId="29" numFmtId="10" xfId="0" applyAlignment="1" applyFont="1" applyNumberFormat="1">
      <alignment readingOrder="0"/>
    </xf>
    <xf borderId="0" fillId="0" fontId="29" numFmtId="10" xfId="0" applyFont="1" applyNumberFormat="1"/>
    <xf borderId="0" fillId="0" fontId="17" numFmtId="168" xfId="0" applyAlignment="1" applyFont="1" applyNumberFormat="1">
      <alignment readingOrder="0"/>
    </xf>
    <xf borderId="0" fillId="0" fontId="13" numFmtId="168" xfId="0" applyAlignment="1" applyFont="1" applyNumberFormat="1">
      <alignment readingOrder="0"/>
    </xf>
    <xf borderId="20" fillId="0" fontId="13" numFmtId="168" xfId="0" applyBorder="1" applyFont="1" applyNumberFormat="1"/>
    <xf borderId="0" fillId="0" fontId="17" numFmtId="168" xfId="0" applyFont="1" applyNumberFormat="1"/>
    <xf borderId="20" fillId="0" fontId="13" numFmtId="168" xfId="0" applyAlignment="1" applyBorder="1" applyFont="1" applyNumberFormat="1">
      <alignment readingOrder="0"/>
    </xf>
    <xf borderId="0" fillId="0" fontId="29" numFmtId="0" xfId="0" applyAlignment="1" applyFont="1">
      <alignment readingOrder="0"/>
    </xf>
    <xf borderId="0" fillId="0" fontId="30" numFmtId="168" xfId="0" applyAlignment="1" applyFont="1" applyNumberFormat="1">
      <alignment readingOrder="0"/>
    </xf>
    <xf borderId="22" fillId="0" fontId="29" numFmtId="168" xfId="0" applyAlignment="1" applyBorder="1" applyFont="1" applyNumberFormat="1">
      <alignment readingOrder="0"/>
    </xf>
    <xf borderId="22" fillId="0" fontId="29" numFmtId="168" xfId="0" applyBorder="1" applyFont="1" applyNumberFormat="1"/>
    <xf borderId="22" fillId="0" fontId="13" numFmtId="168" xfId="0" applyBorder="1" applyFont="1" applyNumberFormat="1"/>
    <xf borderId="23" fillId="0" fontId="13" numFmtId="168" xfId="0" applyAlignment="1" applyBorder="1" applyFont="1" applyNumberFormat="1">
      <alignment shrinkToFit="0" vertical="bottom" wrapText="0"/>
    </xf>
    <xf borderId="0" fillId="0" fontId="13" numFmtId="168" xfId="0" applyAlignment="1" applyFont="1" applyNumberFormat="1">
      <alignment horizontal="right" vertical="bottom"/>
    </xf>
    <xf borderId="22" fillId="0" fontId="30" numFmtId="168" xfId="0" applyAlignment="1" applyBorder="1" applyFont="1" applyNumberFormat="1">
      <alignment readingOrder="0"/>
    </xf>
    <xf borderId="22" fillId="0" fontId="22" numFmtId="168" xfId="0" applyBorder="1" applyFont="1" applyNumberFormat="1"/>
    <xf borderId="0" fillId="0" fontId="31" numFmtId="168" xfId="0" applyAlignment="1" applyFont="1" applyNumberFormat="1">
      <alignment horizontal="center" readingOrder="0"/>
    </xf>
    <xf borderId="0" fillId="0" fontId="22" numFmtId="168" xfId="0" applyAlignment="1" applyFont="1" applyNumberFormat="1">
      <alignment horizontal="center"/>
    </xf>
    <xf borderId="0" fillId="0" fontId="32" numFmtId="0" xfId="0" applyAlignment="1" applyFont="1">
      <alignment readingOrder="0"/>
    </xf>
    <xf borderId="0" fillId="0" fontId="33"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DCs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2.63" defaultRowHeight="15.75" outlineLevelRow="1"/>
  <cols>
    <col customWidth="1" min="1" max="1" width="2.38"/>
    <col customWidth="1" min="2" max="2" width="23.88"/>
    <col customWidth="1" min="3" max="3" width="12.38"/>
    <col customWidth="1" min="4" max="7" width="14.13"/>
    <col hidden="1" min="8" max="18" width="12.63"/>
  </cols>
  <sheetData>
    <row r="1">
      <c r="A1" s="39"/>
      <c r="B1" s="39" t="s">
        <v>8</v>
      </c>
      <c r="C1" s="40"/>
      <c r="D1" s="40"/>
      <c r="E1" s="40"/>
      <c r="F1" s="40"/>
      <c r="G1" s="40"/>
      <c r="H1" s="41"/>
      <c r="I1" s="41"/>
      <c r="J1" s="41"/>
      <c r="K1" s="41"/>
      <c r="L1" s="41"/>
      <c r="M1" s="41"/>
      <c r="N1" s="41"/>
      <c r="O1" s="41"/>
      <c r="P1" s="41"/>
      <c r="Q1" s="41"/>
      <c r="R1" s="41"/>
      <c r="S1" s="41"/>
      <c r="T1" s="41">
        <v>1.0</v>
      </c>
      <c r="U1" s="41">
        <v>1.0</v>
      </c>
      <c r="V1" s="41">
        <v>1.0</v>
      </c>
      <c r="W1" s="41">
        <v>1.0</v>
      </c>
      <c r="X1" s="41">
        <v>1.0</v>
      </c>
      <c r="Y1" s="41">
        <v>1.0</v>
      </c>
      <c r="Z1" s="41">
        <v>1.0</v>
      </c>
      <c r="AA1" s="41">
        <v>1.0</v>
      </c>
      <c r="AB1" s="41">
        <v>1.0</v>
      </c>
      <c r="AC1" s="41">
        <v>1.0</v>
      </c>
      <c r="AD1" s="41">
        <v>1.0</v>
      </c>
      <c r="AE1" s="41">
        <v>1.0</v>
      </c>
      <c r="AF1" s="41">
        <f t="shared" ref="AF1:CA1" si="1">T1+1</f>
        <v>2</v>
      </c>
      <c r="AG1" s="41">
        <f t="shared" si="1"/>
        <v>2</v>
      </c>
      <c r="AH1" s="41">
        <f t="shared" si="1"/>
        <v>2</v>
      </c>
      <c r="AI1" s="41">
        <f t="shared" si="1"/>
        <v>2</v>
      </c>
      <c r="AJ1" s="41">
        <f t="shared" si="1"/>
        <v>2</v>
      </c>
      <c r="AK1" s="41">
        <f t="shared" si="1"/>
        <v>2</v>
      </c>
      <c r="AL1" s="41">
        <f t="shared" si="1"/>
        <v>2</v>
      </c>
      <c r="AM1" s="41">
        <f t="shared" si="1"/>
        <v>2</v>
      </c>
      <c r="AN1" s="41">
        <f t="shared" si="1"/>
        <v>2</v>
      </c>
      <c r="AO1" s="41">
        <f t="shared" si="1"/>
        <v>2</v>
      </c>
      <c r="AP1" s="41">
        <f t="shared" si="1"/>
        <v>2</v>
      </c>
      <c r="AQ1" s="41">
        <f t="shared" si="1"/>
        <v>2</v>
      </c>
      <c r="AR1" s="41">
        <f t="shared" si="1"/>
        <v>3</v>
      </c>
      <c r="AS1" s="41">
        <f t="shared" si="1"/>
        <v>3</v>
      </c>
      <c r="AT1" s="41">
        <f t="shared" si="1"/>
        <v>3</v>
      </c>
      <c r="AU1" s="41">
        <f t="shared" si="1"/>
        <v>3</v>
      </c>
      <c r="AV1" s="41">
        <f t="shared" si="1"/>
        <v>3</v>
      </c>
      <c r="AW1" s="41">
        <f t="shared" si="1"/>
        <v>3</v>
      </c>
      <c r="AX1" s="41">
        <f t="shared" si="1"/>
        <v>3</v>
      </c>
      <c r="AY1" s="41">
        <f t="shared" si="1"/>
        <v>3</v>
      </c>
      <c r="AZ1" s="41">
        <f t="shared" si="1"/>
        <v>3</v>
      </c>
      <c r="BA1" s="41">
        <f t="shared" si="1"/>
        <v>3</v>
      </c>
      <c r="BB1" s="41">
        <f t="shared" si="1"/>
        <v>3</v>
      </c>
      <c r="BC1" s="41">
        <f t="shared" si="1"/>
        <v>3</v>
      </c>
      <c r="BD1" s="41">
        <f t="shared" si="1"/>
        <v>4</v>
      </c>
      <c r="BE1" s="41">
        <f t="shared" si="1"/>
        <v>4</v>
      </c>
      <c r="BF1" s="41">
        <f t="shared" si="1"/>
        <v>4</v>
      </c>
      <c r="BG1" s="41">
        <f t="shared" si="1"/>
        <v>4</v>
      </c>
      <c r="BH1" s="41">
        <f t="shared" si="1"/>
        <v>4</v>
      </c>
      <c r="BI1" s="41">
        <f t="shared" si="1"/>
        <v>4</v>
      </c>
      <c r="BJ1" s="41">
        <f t="shared" si="1"/>
        <v>4</v>
      </c>
      <c r="BK1" s="41">
        <f t="shared" si="1"/>
        <v>4</v>
      </c>
      <c r="BL1" s="41">
        <f t="shared" si="1"/>
        <v>4</v>
      </c>
      <c r="BM1" s="41">
        <f t="shared" si="1"/>
        <v>4</v>
      </c>
      <c r="BN1" s="41">
        <f t="shared" si="1"/>
        <v>4</v>
      </c>
      <c r="BO1" s="41">
        <f t="shared" si="1"/>
        <v>4</v>
      </c>
      <c r="BP1" s="41">
        <f t="shared" si="1"/>
        <v>5</v>
      </c>
      <c r="BQ1" s="41">
        <f t="shared" si="1"/>
        <v>5</v>
      </c>
      <c r="BR1" s="41">
        <f t="shared" si="1"/>
        <v>5</v>
      </c>
      <c r="BS1" s="41">
        <f t="shared" si="1"/>
        <v>5</v>
      </c>
      <c r="BT1" s="41">
        <f t="shared" si="1"/>
        <v>5</v>
      </c>
      <c r="BU1" s="41">
        <f t="shared" si="1"/>
        <v>5</v>
      </c>
      <c r="BV1" s="41">
        <f t="shared" si="1"/>
        <v>5</v>
      </c>
      <c r="BW1" s="41">
        <f t="shared" si="1"/>
        <v>5</v>
      </c>
      <c r="BX1" s="41">
        <f t="shared" si="1"/>
        <v>5</v>
      </c>
      <c r="BY1" s="41">
        <f t="shared" si="1"/>
        <v>5</v>
      </c>
      <c r="BZ1" s="41">
        <f t="shared" si="1"/>
        <v>5</v>
      </c>
      <c r="CA1" s="41">
        <f t="shared" si="1"/>
        <v>5</v>
      </c>
    </row>
    <row r="2">
      <c r="A2" s="39"/>
      <c r="B2" s="39" t="s">
        <v>9</v>
      </c>
      <c r="C2" s="42"/>
      <c r="D2" s="42"/>
      <c r="E2" s="42"/>
      <c r="F2" s="42"/>
      <c r="G2" s="42"/>
      <c r="H2" s="43"/>
      <c r="I2" s="43"/>
      <c r="J2" s="43"/>
      <c r="K2" s="43"/>
      <c r="L2" s="43"/>
      <c r="M2" s="43"/>
      <c r="N2" s="43"/>
      <c r="O2" s="43"/>
      <c r="P2" s="43"/>
      <c r="Q2" s="43"/>
      <c r="R2" s="43"/>
      <c r="S2" s="43"/>
      <c r="T2" s="43">
        <f t="shared" ref="T2:CA2" si="2">YEAR(T4)</f>
        <v>2024</v>
      </c>
      <c r="U2" s="43">
        <f t="shared" si="2"/>
        <v>2024</v>
      </c>
      <c r="V2" s="43">
        <f t="shared" si="2"/>
        <v>2024</v>
      </c>
      <c r="W2" s="43">
        <f t="shared" si="2"/>
        <v>2024</v>
      </c>
      <c r="X2" s="43">
        <f t="shared" si="2"/>
        <v>2024</v>
      </c>
      <c r="Y2" s="43">
        <f t="shared" si="2"/>
        <v>2024</v>
      </c>
      <c r="Z2" s="43">
        <f t="shared" si="2"/>
        <v>2024</v>
      </c>
      <c r="AA2" s="43">
        <f t="shared" si="2"/>
        <v>2024</v>
      </c>
      <c r="AB2" s="43">
        <f t="shared" si="2"/>
        <v>2024</v>
      </c>
      <c r="AC2" s="43">
        <f t="shared" si="2"/>
        <v>2024</v>
      </c>
      <c r="AD2" s="43">
        <f t="shared" si="2"/>
        <v>2024</v>
      </c>
      <c r="AE2" s="43">
        <f t="shared" si="2"/>
        <v>2024</v>
      </c>
      <c r="AF2" s="43">
        <f t="shared" si="2"/>
        <v>2025</v>
      </c>
      <c r="AG2" s="43">
        <f t="shared" si="2"/>
        <v>2025</v>
      </c>
      <c r="AH2" s="43">
        <f t="shared" si="2"/>
        <v>2025</v>
      </c>
      <c r="AI2" s="43">
        <f t="shared" si="2"/>
        <v>2025</v>
      </c>
      <c r="AJ2" s="43">
        <f t="shared" si="2"/>
        <v>2025</v>
      </c>
      <c r="AK2" s="43">
        <f t="shared" si="2"/>
        <v>2025</v>
      </c>
      <c r="AL2" s="43">
        <f t="shared" si="2"/>
        <v>2025</v>
      </c>
      <c r="AM2" s="43">
        <f t="shared" si="2"/>
        <v>2025</v>
      </c>
      <c r="AN2" s="43">
        <f t="shared" si="2"/>
        <v>2025</v>
      </c>
      <c r="AO2" s="43">
        <f t="shared" si="2"/>
        <v>2025</v>
      </c>
      <c r="AP2" s="43">
        <f t="shared" si="2"/>
        <v>2025</v>
      </c>
      <c r="AQ2" s="43">
        <f t="shared" si="2"/>
        <v>2025</v>
      </c>
      <c r="AR2" s="43">
        <f t="shared" si="2"/>
        <v>2026</v>
      </c>
      <c r="AS2" s="43">
        <f t="shared" si="2"/>
        <v>2026</v>
      </c>
      <c r="AT2" s="43">
        <f t="shared" si="2"/>
        <v>2026</v>
      </c>
      <c r="AU2" s="43">
        <f t="shared" si="2"/>
        <v>2026</v>
      </c>
      <c r="AV2" s="43">
        <f t="shared" si="2"/>
        <v>2026</v>
      </c>
      <c r="AW2" s="43">
        <f t="shared" si="2"/>
        <v>2026</v>
      </c>
      <c r="AX2" s="43">
        <f t="shared" si="2"/>
        <v>2026</v>
      </c>
      <c r="AY2" s="43">
        <f t="shared" si="2"/>
        <v>2026</v>
      </c>
      <c r="AZ2" s="43">
        <f t="shared" si="2"/>
        <v>2026</v>
      </c>
      <c r="BA2" s="43">
        <f t="shared" si="2"/>
        <v>2026</v>
      </c>
      <c r="BB2" s="43">
        <f t="shared" si="2"/>
        <v>2026</v>
      </c>
      <c r="BC2" s="43">
        <f t="shared" si="2"/>
        <v>2026</v>
      </c>
      <c r="BD2" s="43">
        <f t="shared" si="2"/>
        <v>2027</v>
      </c>
      <c r="BE2" s="43">
        <f t="shared" si="2"/>
        <v>2027</v>
      </c>
      <c r="BF2" s="43">
        <f t="shared" si="2"/>
        <v>2027</v>
      </c>
      <c r="BG2" s="43">
        <f t="shared" si="2"/>
        <v>2027</v>
      </c>
      <c r="BH2" s="43">
        <f t="shared" si="2"/>
        <v>2027</v>
      </c>
      <c r="BI2" s="43">
        <f t="shared" si="2"/>
        <v>2027</v>
      </c>
      <c r="BJ2" s="43">
        <f t="shared" si="2"/>
        <v>2027</v>
      </c>
      <c r="BK2" s="43">
        <f t="shared" si="2"/>
        <v>2027</v>
      </c>
      <c r="BL2" s="43">
        <f t="shared" si="2"/>
        <v>2027</v>
      </c>
      <c r="BM2" s="43">
        <f t="shared" si="2"/>
        <v>2027</v>
      </c>
      <c r="BN2" s="43">
        <f t="shared" si="2"/>
        <v>2027</v>
      </c>
      <c r="BO2" s="43">
        <f t="shared" si="2"/>
        <v>2027</v>
      </c>
      <c r="BP2" s="43">
        <f t="shared" si="2"/>
        <v>2028</v>
      </c>
      <c r="BQ2" s="43">
        <f t="shared" si="2"/>
        <v>2028</v>
      </c>
      <c r="BR2" s="43">
        <f t="shared" si="2"/>
        <v>2028</v>
      </c>
      <c r="BS2" s="43">
        <f t="shared" si="2"/>
        <v>2028</v>
      </c>
      <c r="BT2" s="43">
        <f t="shared" si="2"/>
        <v>2028</v>
      </c>
      <c r="BU2" s="43">
        <f t="shared" si="2"/>
        <v>2028</v>
      </c>
      <c r="BV2" s="43">
        <f t="shared" si="2"/>
        <v>2028</v>
      </c>
      <c r="BW2" s="43">
        <f t="shared" si="2"/>
        <v>2028</v>
      </c>
      <c r="BX2" s="43">
        <f t="shared" si="2"/>
        <v>2028</v>
      </c>
      <c r="BY2" s="43">
        <f t="shared" si="2"/>
        <v>2028</v>
      </c>
      <c r="BZ2" s="43">
        <f t="shared" si="2"/>
        <v>2028</v>
      </c>
      <c r="CA2" s="43">
        <f t="shared" si="2"/>
        <v>2028</v>
      </c>
    </row>
    <row r="3">
      <c r="A3" s="39"/>
      <c r="B3" s="39" t="s">
        <v>10</v>
      </c>
      <c r="C3" s="40"/>
      <c r="D3" s="40"/>
      <c r="E3" s="40"/>
      <c r="F3" s="40"/>
      <c r="G3" s="40"/>
      <c r="H3" s="43"/>
      <c r="I3" s="43"/>
      <c r="J3" s="43"/>
      <c r="K3" s="43"/>
      <c r="L3" s="43"/>
      <c r="M3" s="43"/>
      <c r="N3" s="43"/>
      <c r="O3" s="43"/>
      <c r="P3" s="43"/>
      <c r="Q3" s="43"/>
      <c r="R3" s="43"/>
      <c r="S3" s="43"/>
      <c r="T3" s="43">
        <v>1.0</v>
      </c>
      <c r="U3" s="43">
        <f t="shared" ref="U3:CA3" si="3">T3+1</f>
        <v>2</v>
      </c>
      <c r="V3" s="43">
        <f t="shared" si="3"/>
        <v>3</v>
      </c>
      <c r="W3" s="43">
        <f t="shared" si="3"/>
        <v>4</v>
      </c>
      <c r="X3" s="43">
        <f t="shared" si="3"/>
        <v>5</v>
      </c>
      <c r="Y3" s="43">
        <f t="shared" si="3"/>
        <v>6</v>
      </c>
      <c r="Z3" s="43">
        <f t="shared" si="3"/>
        <v>7</v>
      </c>
      <c r="AA3" s="43">
        <f t="shared" si="3"/>
        <v>8</v>
      </c>
      <c r="AB3" s="43">
        <f t="shared" si="3"/>
        <v>9</v>
      </c>
      <c r="AC3" s="43">
        <f t="shared" si="3"/>
        <v>10</v>
      </c>
      <c r="AD3" s="43">
        <f t="shared" si="3"/>
        <v>11</v>
      </c>
      <c r="AE3" s="43">
        <f t="shared" si="3"/>
        <v>12</v>
      </c>
      <c r="AF3" s="43">
        <f t="shared" si="3"/>
        <v>13</v>
      </c>
      <c r="AG3" s="43">
        <f t="shared" si="3"/>
        <v>14</v>
      </c>
      <c r="AH3" s="43">
        <f t="shared" si="3"/>
        <v>15</v>
      </c>
      <c r="AI3" s="43">
        <f t="shared" si="3"/>
        <v>16</v>
      </c>
      <c r="AJ3" s="43">
        <f t="shared" si="3"/>
        <v>17</v>
      </c>
      <c r="AK3" s="43">
        <f t="shared" si="3"/>
        <v>18</v>
      </c>
      <c r="AL3" s="43">
        <f t="shared" si="3"/>
        <v>19</v>
      </c>
      <c r="AM3" s="43">
        <f t="shared" si="3"/>
        <v>20</v>
      </c>
      <c r="AN3" s="43">
        <f t="shared" si="3"/>
        <v>21</v>
      </c>
      <c r="AO3" s="43">
        <f t="shared" si="3"/>
        <v>22</v>
      </c>
      <c r="AP3" s="43">
        <f t="shared" si="3"/>
        <v>23</v>
      </c>
      <c r="AQ3" s="43">
        <f t="shared" si="3"/>
        <v>24</v>
      </c>
      <c r="AR3" s="43">
        <f t="shared" si="3"/>
        <v>25</v>
      </c>
      <c r="AS3" s="43">
        <f t="shared" si="3"/>
        <v>26</v>
      </c>
      <c r="AT3" s="43">
        <f t="shared" si="3"/>
        <v>27</v>
      </c>
      <c r="AU3" s="43">
        <f t="shared" si="3"/>
        <v>28</v>
      </c>
      <c r="AV3" s="43">
        <f t="shared" si="3"/>
        <v>29</v>
      </c>
      <c r="AW3" s="43">
        <f t="shared" si="3"/>
        <v>30</v>
      </c>
      <c r="AX3" s="43">
        <f t="shared" si="3"/>
        <v>31</v>
      </c>
      <c r="AY3" s="43">
        <f t="shared" si="3"/>
        <v>32</v>
      </c>
      <c r="AZ3" s="43">
        <f t="shared" si="3"/>
        <v>33</v>
      </c>
      <c r="BA3" s="43">
        <f t="shared" si="3"/>
        <v>34</v>
      </c>
      <c r="BB3" s="43">
        <f t="shared" si="3"/>
        <v>35</v>
      </c>
      <c r="BC3" s="43">
        <f t="shared" si="3"/>
        <v>36</v>
      </c>
      <c r="BD3" s="43">
        <f t="shared" si="3"/>
        <v>37</v>
      </c>
      <c r="BE3" s="43">
        <f t="shared" si="3"/>
        <v>38</v>
      </c>
      <c r="BF3" s="43">
        <f t="shared" si="3"/>
        <v>39</v>
      </c>
      <c r="BG3" s="43">
        <f t="shared" si="3"/>
        <v>40</v>
      </c>
      <c r="BH3" s="43">
        <f t="shared" si="3"/>
        <v>41</v>
      </c>
      <c r="BI3" s="43">
        <f t="shared" si="3"/>
        <v>42</v>
      </c>
      <c r="BJ3" s="43">
        <f t="shared" si="3"/>
        <v>43</v>
      </c>
      <c r="BK3" s="43">
        <f t="shared" si="3"/>
        <v>44</v>
      </c>
      <c r="BL3" s="43">
        <f t="shared" si="3"/>
        <v>45</v>
      </c>
      <c r="BM3" s="43">
        <f t="shared" si="3"/>
        <v>46</v>
      </c>
      <c r="BN3" s="43">
        <f t="shared" si="3"/>
        <v>47</v>
      </c>
      <c r="BO3" s="43">
        <f t="shared" si="3"/>
        <v>48</v>
      </c>
      <c r="BP3" s="43">
        <f t="shared" si="3"/>
        <v>49</v>
      </c>
      <c r="BQ3" s="43">
        <f t="shared" si="3"/>
        <v>50</v>
      </c>
      <c r="BR3" s="43">
        <f t="shared" si="3"/>
        <v>51</v>
      </c>
      <c r="BS3" s="43">
        <f t="shared" si="3"/>
        <v>52</v>
      </c>
      <c r="BT3" s="43">
        <f t="shared" si="3"/>
        <v>53</v>
      </c>
      <c r="BU3" s="43">
        <f t="shared" si="3"/>
        <v>54</v>
      </c>
      <c r="BV3" s="43">
        <f t="shared" si="3"/>
        <v>55</v>
      </c>
      <c r="BW3" s="43">
        <f t="shared" si="3"/>
        <v>56</v>
      </c>
      <c r="BX3" s="43">
        <f t="shared" si="3"/>
        <v>57</v>
      </c>
      <c r="BY3" s="43">
        <f t="shared" si="3"/>
        <v>58</v>
      </c>
      <c r="BZ3" s="43">
        <f t="shared" si="3"/>
        <v>59</v>
      </c>
      <c r="CA3" s="43">
        <f t="shared" si="3"/>
        <v>60</v>
      </c>
    </row>
    <row r="4">
      <c r="A4" s="39"/>
      <c r="B4" s="39" t="s">
        <v>11</v>
      </c>
      <c r="C4" s="40"/>
      <c r="D4" s="40"/>
      <c r="E4" s="40"/>
      <c r="F4" s="40"/>
      <c r="G4" s="40"/>
      <c r="H4" s="44"/>
      <c r="I4" s="44"/>
      <c r="J4" s="44"/>
      <c r="K4" s="44"/>
      <c r="L4" s="44"/>
      <c r="M4" s="44"/>
      <c r="N4" s="44"/>
      <c r="O4" s="44"/>
      <c r="P4" s="44"/>
      <c r="Q4" s="44"/>
      <c r="R4" s="44"/>
      <c r="S4" s="44"/>
      <c r="T4" s="45">
        <v>45292.0</v>
      </c>
      <c r="U4" s="46">
        <f t="shared" ref="U4:CA4" si="4">EOMONTH(T4,1)</f>
        <v>45351</v>
      </c>
      <c r="V4" s="46">
        <f t="shared" si="4"/>
        <v>45382</v>
      </c>
      <c r="W4" s="46">
        <f t="shared" si="4"/>
        <v>45412</v>
      </c>
      <c r="X4" s="46">
        <f t="shared" si="4"/>
        <v>45443</v>
      </c>
      <c r="Y4" s="46">
        <f t="shared" si="4"/>
        <v>45473</v>
      </c>
      <c r="Z4" s="46">
        <f t="shared" si="4"/>
        <v>45504</v>
      </c>
      <c r="AA4" s="46">
        <f t="shared" si="4"/>
        <v>45535</v>
      </c>
      <c r="AB4" s="46">
        <f t="shared" si="4"/>
        <v>45565</v>
      </c>
      <c r="AC4" s="46">
        <f t="shared" si="4"/>
        <v>45596</v>
      </c>
      <c r="AD4" s="46">
        <f t="shared" si="4"/>
        <v>45626</v>
      </c>
      <c r="AE4" s="46">
        <f t="shared" si="4"/>
        <v>45657</v>
      </c>
      <c r="AF4" s="46">
        <f t="shared" si="4"/>
        <v>45688</v>
      </c>
      <c r="AG4" s="46">
        <f t="shared" si="4"/>
        <v>45716</v>
      </c>
      <c r="AH4" s="46">
        <f t="shared" si="4"/>
        <v>45747</v>
      </c>
      <c r="AI4" s="46">
        <f t="shared" si="4"/>
        <v>45777</v>
      </c>
      <c r="AJ4" s="46">
        <f t="shared" si="4"/>
        <v>45808</v>
      </c>
      <c r="AK4" s="46">
        <f t="shared" si="4"/>
        <v>45838</v>
      </c>
      <c r="AL4" s="46">
        <f t="shared" si="4"/>
        <v>45869</v>
      </c>
      <c r="AM4" s="46">
        <f t="shared" si="4"/>
        <v>45900</v>
      </c>
      <c r="AN4" s="46">
        <f t="shared" si="4"/>
        <v>45930</v>
      </c>
      <c r="AO4" s="46">
        <f t="shared" si="4"/>
        <v>45961</v>
      </c>
      <c r="AP4" s="46">
        <f t="shared" si="4"/>
        <v>45991</v>
      </c>
      <c r="AQ4" s="46">
        <f t="shared" si="4"/>
        <v>46022</v>
      </c>
      <c r="AR4" s="46">
        <f t="shared" si="4"/>
        <v>46053</v>
      </c>
      <c r="AS4" s="46">
        <f t="shared" si="4"/>
        <v>46081</v>
      </c>
      <c r="AT4" s="46">
        <f t="shared" si="4"/>
        <v>46112</v>
      </c>
      <c r="AU4" s="46">
        <f t="shared" si="4"/>
        <v>46142</v>
      </c>
      <c r="AV4" s="46">
        <f t="shared" si="4"/>
        <v>46173</v>
      </c>
      <c r="AW4" s="46">
        <f t="shared" si="4"/>
        <v>46203</v>
      </c>
      <c r="AX4" s="46">
        <f t="shared" si="4"/>
        <v>46234</v>
      </c>
      <c r="AY4" s="46">
        <f t="shared" si="4"/>
        <v>46265</v>
      </c>
      <c r="AZ4" s="46">
        <f t="shared" si="4"/>
        <v>46295</v>
      </c>
      <c r="BA4" s="46">
        <f t="shared" si="4"/>
        <v>46326</v>
      </c>
      <c r="BB4" s="46">
        <f t="shared" si="4"/>
        <v>46356</v>
      </c>
      <c r="BC4" s="46">
        <f t="shared" si="4"/>
        <v>46387</v>
      </c>
      <c r="BD4" s="46">
        <f t="shared" si="4"/>
        <v>46418</v>
      </c>
      <c r="BE4" s="46">
        <f t="shared" si="4"/>
        <v>46446</v>
      </c>
      <c r="BF4" s="46">
        <f t="shared" si="4"/>
        <v>46477</v>
      </c>
      <c r="BG4" s="46">
        <f t="shared" si="4"/>
        <v>46507</v>
      </c>
      <c r="BH4" s="46">
        <f t="shared" si="4"/>
        <v>46538</v>
      </c>
      <c r="BI4" s="46">
        <f t="shared" si="4"/>
        <v>46568</v>
      </c>
      <c r="BJ4" s="46">
        <f t="shared" si="4"/>
        <v>46599</v>
      </c>
      <c r="BK4" s="46">
        <f t="shared" si="4"/>
        <v>46630</v>
      </c>
      <c r="BL4" s="46">
        <f t="shared" si="4"/>
        <v>46660</v>
      </c>
      <c r="BM4" s="46">
        <f t="shared" si="4"/>
        <v>46691</v>
      </c>
      <c r="BN4" s="46">
        <f t="shared" si="4"/>
        <v>46721</v>
      </c>
      <c r="BO4" s="46">
        <f t="shared" si="4"/>
        <v>46752</v>
      </c>
      <c r="BP4" s="46">
        <f t="shared" si="4"/>
        <v>46783</v>
      </c>
      <c r="BQ4" s="46">
        <f t="shared" si="4"/>
        <v>46812</v>
      </c>
      <c r="BR4" s="46">
        <f t="shared" si="4"/>
        <v>46843</v>
      </c>
      <c r="BS4" s="46">
        <f t="shared" si="4"/>
        <v>46873</v>
      </c>
      <c r="BT4" s="46">
        <f t="shared" si="4"/>
        <v>46904</v>
      </c>
      <c r="BU4" s="46">
        <f t="shared" si="4"/>
        <v>46934</v>
      </c>
      <c r="BV4" s="46">
        <f t="shared" si="4"/>
        <v>46965</v>
      </c>
      <c r="BW4" s="46">
        <f t="shared" si="4"/>
        <v>46996</v>
      </c>
      <c r="BX4" s="46">
        <f t="shared" si="4"/>
        <v>47026</v>
      </c>
      <c r="BY4" s="46">
        <f t="shared" si="4"/>
        <v>47057</v>
      </c>
      <c r="BZ4" s="46">
        <f t="shared" si="4"/>
        <v>47087</v>
      </c>
      <c r="CA4" s="46">
        <f t="shared" si="4"/>
        <v>47118</v>
      </c>
    </row>
    <row r="5">
      <c r="A5" s="47"/>
      <c r="B5" s="47"/>
      <c r="C5" s="47"/>
      <c r="D5" s="47"/>
      <c r="E5" s="47"/>
      <c r="F5" s="47"/>
      <c r="G5" s="47"/>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row>
    <row r="6">
      <c r="A6" s="47"/>
      <c r="B6" s="48" t="s">
        <v>12</v>
      </c>
      <c r="C6" s="49"/>
      <c r="D6" s="49"/>
      <c r="E6" s="49"/>
      <c r="F6" s="49"/>
      <c r="G6" s="49"/>
      <c r="H6" s="49"/>
      <c r="I6" s="49"/>
      <c r="J6" s="49"/>
      <c r="K6" s="49"/>
      <c r="L6" s="49"/>
      <c r="M6" s="49"/>
      <c r="N6" s="49"/>
      <c r="O6" s="49"/>
      <c r="P6" s="49"/>
      <c r="Q6" s="49"/>
      <c r="R6" s="49"/>
      <c r="S6" s="49"/>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row>
    <row r="7" outlineLevel="1">
      <c r="A7" s="47"/>
      <c r="B7" s="47"/>
      <c r="C7" s="47"/>
      <c r="D7" s="47"/>
      <c r="E7" s="47"/>
      <c r="F7" s="47"/>
      <c r="G7" s="47"/>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row>
    <row r="8" outlineLevel="1">
      <c r="A8" s="47"/>
      <c r="C8" s="47"/>
      <c r="D8" s="47"/>
      <c r="E8" s="47"/>
      <c r="F8" s="47"/>
      <c r="G8" s="47"/>
      <c r="H8" s="47"/>
      <c r="I8" s="47"/>
      <c r="J8" s="47"/>
      <c r="K8" s="47"/>
      <c r="L8" s="47"/>
      <c r="M8" s="47"/>
      <c r="N8" s="47"/>
      <c r="O8" s="47"/>
      <c r="P8" s="47"/>
      <c r="Q8" s="47"/>
      <c r="R8" s="47"/>
      <c r="S8" s="47"/>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row>
    <row r="9" outlineLevel="1">
      <c r="A9" s="47"/>
      <c r="B9" s="51"/>
      <c r="C9" s="47"/>
      <c r="D9" s="47"/>
      <c r="E9" s="47"/>
      <c r="F9" s="47"/>
      <c r="G9" s="47"/>
      <c r="H9" s="47"/>
      <c r="I9" s="47"/>
      <c r="J9" s="47"/>
      <c r="K9" s="47"/>
      <c r="L9" s="47"/>
      <c r="M9" s="47"/>
      <c r="N9" s="47"/>
      <c r="O9" s="47"/>
      <c r="P9" s="47"/>
      <c r="Q9" s="47"/>
      <c r="R9" s="47"/>
      <c r="S9" s="47"/>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row>
    <row r="10" outlineLevel="1">
      <c r="A10" s="47"/>
      <c r="B10" s="52" t="s">
        <v>13</v>
      </c>
      <c r="C10" s="47"/>
      <c r="D10" s="53" t="s">
        <v>14</v>
      </c>
      <c r="E10" s="52" t="s">
        <v>15</v>
      </c>
      <c r="F10" s="47"/>
      <c r="G10" s="47"/>
      <c r="H10" s="47"/>
      <c r="I10" s="47"/>
      <c r="J10" s="47"/>
      <c r="K10" s="47"/>
      <c r="L10" s="47"/>
      <c r="M10" s="47"/>
      <c r="N10" s="47"/>
      <c r="O10" s="47"/>
      <c r="P10" s="47"/>
      <c r="Q10" s="47"/>
      <c r="R10" s="47"/>
      <c r="S10" s="47"/>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row>
    <row r="11" outlineLevel="1">
      <c r="A11" s="47"/>
      <c r="B11" s="39" t="s">
        <v>16</v>
      </c>
      <c r="C11" s="47"/>
      <c r="D11" s="54">
        <v>10.0</v>
      </c>
      <c r="E11" s="55">
        <v>0.02</v>
      </c>
      <c r="F11" s="47"/>
      <c r="G11" s="47"/>
      <c r="H11" s="47"/>
      <c r="I11" s="47"/>
      <c r="J11" s="47"/>
      <c r="K11" s="47"/>
      <c r="L11" s="47"/>
      <c r="M11" s="47"/>
      <c r="N11" s="47"/>
      <c r="O11" s="47"/>
      <c r="P11" s="47"/>
      <c r="Q11" s="47"/>
      <c r="R11" s="47"/>
      <c r="S11" s="47"/>
      <c r="T11" s="56">
        <f t="shared" ref="T11:T13" si="6">D11</f>
        <v>10</v>
      </c>
      <c r="U11" s="56">
        <f t="shared" ref="U11:CA11" si="5">T11*(1+$E$11)</f>
        <v>10.2</v>
      </c>
      <c r="V11" s="56">
        <f t="shared" si="5"/>
        <v>10.404</v>
      </c>
      <c r="W11" s="56">
        <f t="shared" si="5"/>
        <v>10.61208</v>
      </c>
      <c r="X11" s="56">
        <f t="shared" si="5"/>
        <v>10.8243216</v>
      </c>
      <c r="Y11" s="56">
        <f t="shared" si="5"/>
        <v>11.04080803</v>
      </c>
      <c r="Z11" s="56">
        <f t="shared" si="5"/>
        <v>11.26162419</v>
      </c>
      <c r="AA11" s="56">
        <f t="shared" si="5"/>
        <v>11.48685668</v>
      </c>
      <c r="AB11" s="56">
        <f t="shared" si="5"/>
        <v>11.71659381</v>
      </c>
      <c r="AC11" s="56">
        <f t="shared" si="5"/>
        <v>11.95092569</v>
      </c>
      <c r="AD11" s="56">
        <f t="shared" si="5"/>
        <v>12.1899442</v>
      </c>
      <c r="AE11" s="56">
        <f t="shared" si="5"/>
        <v>12.43374308</v>
      </c>
      <c r="AF11" s="56">
        <f t="shared" si="5"/>
        <v>12.68241795</v>
      </c>
      <c r="AG11" s="56">
        <f t="shared" si="5"/>
        <v>12.9360663</v>
      </c>
      <c r="AH11" s="56">
        <f t="shared" si="5"/>
        <v>13.19478763</v>
      </c>
      <c r="AI11" s="56">
        <f t="shared" si="5"/>
        <v>13.45868338</v>
      </c>
      <c r="AJ11" s="56">
        <f t="shared" si="5"/>
        <v>13.72785705</v>
      </c>
      <c r="AK11" s="56">
        <f t="shared" si="5"/>
        <v>14.00241419</v>
      </c>
      <c r="AL11" s="56">
        <f t="shared" si="5"/>
        <v>14.28246248</v>
      </c>
      <c r="AM11" s="56">
        <f t="shared" si="5"/>
        <v>14.56811173</v>
      </c>
      <c r="AN11" s="56">
        <f t="shared" si="5"/>
        <v>14.85947396</v>
      </c>
      <c r="AO11" s="56">
        <f t="shared" si="5"/>
        <v>15.15666344</v>
      </c>
      <c r="AP11" s="56">
        <f t="shared" si="5"/>
        <v>15.45979671</v>
      </c>
      <c r="AQ11" s="56">
        <f t="shared" si="5"/>
        <v>15.76899264</v>
      </c>
      <c r="AR11" s="56">
        <f t="shared" si="5"/>
        <v>16.08437249</v>
      </c>
      <c r="AS11" s="56">
        <f t="shared" si="5"/>
        <v>16.40605994</v>
      </c>
      <c r="AT11" s="56">
        <f t="shared" si="5"/>
        <v>16.73418114</v>
      </c>
      <c r="AU11" s="56">
        <f t="shared" si="5"/>
        <v>17.06886477</v>
      </c>
      <c r="AV11" s="56">
        <f t="shared" si="5"/>
        <v>17.41024206</v>
      </c>
      <c r="AW11" s="56">
        <f t="shared" si="5"/>
        <v>17.7584469</v>
      </c>
      <c r="AX11" s="56">
        <f t="shared" si="5"/>
        <v>18.11361584</v>
      </c>
      <c r="AY11" s="56">
        <f t="shared" si="5"/>
        <v>18.47588816</v>
      </c>
      <c r="AZ11" s="56">
        <f t="shared" si="5"/>
        <v>18.84540592</v>
      </c>
      <c r="BA11" s="56">
        <f t="shared" si="5"/>
        <v>19.22231404</v>
      </c>
      <c r="BB11" s="56">
        <f t="shared" si="5"/>
        <v>19.60676032</v>
      </c>
      <c r="BC11" s="56">
        <f t="shared" si="5"/>
        <v>19.99889553</v>
      </c>
      <c r="BD11" s="56">
        <f t="shared" si="5"/>
        <v>20.39887344</v>
      </c>
      <c r="BE11" s="56">
        <f t="shared" si="5"/>
        <v>20.80685091</v>
      </c>
      <c r="BF11" s="56">
        <f t="shared" si="5"/>
        <v>21.22298792</v>
      </c>
      <c r="BG11" s="56">
        <f t="shared" si="5"/>
        <v>21.64744768</v>
      </c>
      <c r="BH11" s="56">
        <f t="shared" si="5"/>
        <v>22.08039664</v>
      </c>
      <c r="BI11" s="56">
        <f t="shared" si="5"/>
        <v>22.52200457</v>
      </c>
      <c r="BJ11" s="56">
        <f t="shared" si="5"/>
        <v>22.97244466</v>
      </c>
      <c r="BK11" s="56">
        <f t="shared" si="5"/>
        <v>23.43189355</v>
      </c>
      <c r="BL11" s="56">
        <f t="shared" si="5"/>
        <v>23.90053142</v>
      </c>
      <c r="BM11" s="56">
        <f t="shared" si="5"/>
        <v>24.37854205</v>
      </c>
      <c r="BN11" s="56">
        <f t="shared" si="5"/>
        <v>24.86611289</v>
      </c>
      <c r="BO11" s="56">
        <f t="shared" si="5"/>
        <v>25.36343515</v>
      </c>
      <c r="BP11" s="56">
        <f t="shared" si="5"/>
        <v>25.87070385</v>
      </c>
      <c r="BQ11" s="56">
        <f t="shared" si="5"/>
        <v>26.38811793</v>
      </c>
      <c r="BR11" s="56">
        <f t="shared" si="5"/>
        <v>26.91588029</v>
      </c>
      <c r="BS11" s="56">
        <f t="shared" si="5"/>
        <v>27.4541979</v>
      </c>
      <c r="BT11" s="56">
        <f t="shared" si="5"/>
        <v>28.00328185</v>
      </c>
      <c r="BU11" s="56">
        <f t="shared" si="5"/>
        <v>28.56334749</v>
      </c>
      <c r="BV11" s="56">
        <f t="shared" si="5"/>
        <v>29.13461444</v>
      </c>
      <c r="BW11" s="56">
        <f t="shared" si="5"/>
        <v>29.71730673</v>
      </c>
      <c r="BX11" s="56">
        <f t="shared" si="5"/>
        <v>30.31165286</v>
      </c>
      <c r="BY11" s="56">
        <f t="shared" si="5"/>
        <v>30.91788592</v>
      </c>
      <c r="BZ11" s="56">
        <f t="shared" si="5"/>
        <v>31.53624364</v>
      </c>
      <c r="CA11" s="56">
        <f t="shared" si="5"/>
        <v>32.16696851</v>
      </c>
    </row>
    <row r="12" outlineLevel="1">
      <c r="A12" s="47"/>
      <c r="B12" s="39" t="s">
        <v>17</v>
      </c>
      <c r="C12" s="47"/>
      <c r="D12" s="57">
        <v>2.0</v>
      </c>
      <c r="E12" s="47"/>
      <c r="F12" s="47"/>
      <c r="G12" s="47"/>
      <c r="H12" s="47"/>
      <c r="I12" s="47"/>
      <c r="J12" s="47"/>
      <c r="K12" s="47"/>
      <c r="L12" s="47"/>
      <c r="M12" s="47"/>
      <c r="N12" s="47"/>
      <c r="O12" s="47"/>
      <c r="P12" s="47"/>
      <c r="Q12" s="47"/>
      <c r="R12" s="47"/>
      <c r="S12" s="47"/>
      <c r="T12" s="58">
        <f t="shared" si="6"/>
        <v>2</v>
      </c>
      <c r="U12" s="58">
        <f t="shared" ref="U12:CA12" si="7">T12</f>
        <v>2</v>
      </c>
      <c r="V12" s="58">
        <f t="shared" si="7"/>
        <v>2</v>
      </c>
      <c r="W12" s="58">
        <f t="shared" si="7"/>
        <v>2</v>
      </c>
      <c r="X12" s="58">
        <f t="shared" si="7"/>
        <v>2</v>
      </c>
      <c r="Y12" s="58">
        <f t="shared" si="7"/>
        <v>2</v>
      </c>
      <c r="Z12" s="58">
        <f t="shared" si="7"/>
        <v>2</v>
      </c>
      <c r="AA12" s="58">
        <f t="shared" si="7"/>
        <v>2</v>
      </c>
      <c r="AB12" s="58">
        <f t="shared" si="7"/>
        <v>2</v>
      </c>
      <c r="AC12" s="58">
        <f t="shared" si="7"/>
        <v>2</v>
      </c>
      <c r="AD12" s="58">
        <f t="shared" si="7"/>
        <v>2</v>
      </c>
      <c r="AE12" s="58">
        <f t="shared" si="7"/>
        <v>2</v>
      </c>
      <c r="AF12" s="58">
        <f t="shared" si="7"/>
        <v>2</v>
      </c>
      <c r="AG12" s="58">
        <f t="shared" si="7"/>
        <v>2</v>
      </c>
      <c r="AH12" s="58">
        <f t="shared" si="7"/>
        <v>2</v>
      </c>
      <c r="AI12" s="58">
        <f t="shared" si="7"/>
        <v>2</v>
      </c>
      <c r="AJ12" s="58">
        <f t="shared" si="7"/>
        <v>2</v>
      </c>
      <c r="AK12" s="58">
        <f t="shared" si="7"/>
        <v>2</v>
      </c>
      <c r="AL12" s="58">
        <f t="shared" si="7"/>
        <v>2</v>
      </c>
      <c r="AM12" s="58">
        <f t="shared" si="7"/>
        <v>2</v>
      </c>
      <c r="AN12" s="58">
        <f t="shared" si="7"/>
        <v>2</v>
      </c>
      <c r="AO12" s="58">
        <f t="shared" si="7"/>
        <v>2</v>
      </c>
      <c r="AP12" s="58">
        <f t="shared" si="7"/>
        <v>2</v>
      </c>
      <c r="AQ12" s="58">
        <f t="shared" si="7"/>
        <v>2</v>
      </c>
      <c r="AR12" s="58">
        <f t="shared" si="7"/>
        <v>2</v>
      </c>
      <c r="AS12" s="58">
        <f t="shared" si="7"/>
        <v>2</v>
      </c>
      <c r="AT12" s="58">
        <f t="shared" si="7"/>
        <v>2</v>
      </c>
      <c r="AU12" s="58">
        <f t="shared" si="7"/>
        <v>2</v>
      </c>
      <c r="AV12" s="58">
        <f t="shared" si="7"/>
        <v>2</v>
      </c>
      <c r="AW12" s="58">
        <f t="shared" si="7"/>
        <v>2</v>
      </c>
      <c r="AX12" s="58">
        <f t="shared" si="7"/>
        <v>2</v>
      </c>
      <c r="AY12" s="58">
        <f t="shared" si="7"/>
        <v>2</v>
      </c>
      <c r="AZ12" s="58">
        <f t="shared" si="7"/>
        <v>2</v>
      </c>
      <c r="BA12" s="58">
        <f t="shared" si="7"/>
        <v>2</v>
      </c>
      <c r="BB12" s="58">
        <f t="shared" si="7"/>
        <v>2</v>
      </c>
      <c r="BC12" s="58">
        <f t="shared" si="7"/>
        <v>2</v>
      </c>
      <c r="BD12" s="58">
        <f t="shared" si="7"/>
        <v>2</v>
      </c>
      <c r="BE12" s="58">
        <f t="shared" si="7"/>
        <v>2</v>
      </c>
      <c r="BF12" s="58">
        <f t="shared" si="7"/>
        <v>2</v>
      </c>
      <c r="BG12" s="58">
        <f t="shared" si="7"/>
        <v>2</v>
      </c>
      <c r="BH12" s="58">
        <f t="shared" si="7"/>
        <v>2</v>
      </c>
      <c r="BI12" s="58">
        <f t="shared" si="7"/>
        <v>2</v>
      </c>
      <c r="BJ12" s="58">
        <f t="shared" si="7"/>
        <v>2</v>
      </c>
      <c r="BK12" s="58">
        <f t="shared" si="7"/>
        <v>2</v>
      </c>
      <c r="BL12" s="58">
        <f t="shared" si="7"/>
        <v>2</v>
      </c>
      <c r="BM12" s="58">
        <f t="shared" si="7"/>
        <v>2</v>
      </c>
      <c r="BN12" s="58">
        <f t="shared" si="7"/>
        <v>2</v>
      </c>
      <c r="BO12" s="58">
        <f t="shared" si="7"/>
        <v>2</v>
      </c>
      <c r="BP12" s="58">
        <f t="shared" si="7"/>
        <v>2</v>
      </c>
      <c r="BQ12" s="58">
        <f t="shared" si="7"/>
        <v>2</v>
      </c>
      <c r="BR12" s="58">
        <f t="shared" si="7"/>
        <v>2</v>
      </c>
      <c r="BS12" s="58">
        <f t="shared" si="7"/>
        <v>2</v>
      </c>
      <c r="BT12" s="58">
        <f t="shared" si="7"/>
        <v>2</v>
      </c>
      <c r="BU12" s="58">
        <f t="shared" si="7"/>
        <v>2</v>
      </c>
      <c r="BV12" s="58">
        <f t="shared" si="7"/>
        <v>2</v>
      </c>
      <c r="BW12" s="58">
        <f t="shared" si="7"/>
        <v>2</v>
      </c>
      <c r="BX12" s="58">
        <f t="shared" si="7"/>
        <v>2</v>
      </c>
      <c r="BY12" s="58">
        <f t="shared" si="7"/>
        <v>2</v>
      </c>
      <c r="BZ12" s="58">
        <f t="shared" si="7"/>
        <v>2</v>
      </c>
      <c r="CA12" s="58">
        <f t="shared" si="7"/>
        <v>2</v>
      </c>
    </row>
    <row r="13" outlineLevel="1">
      <c r="A13" s="47"/>
      <c r="B13" s="59" t="s">
        <v>18</v>
      </c>
      <c r="C13" s="60"/>
      <c r="D13" s="61">
        <v>0.25</v>
      </c>
      <c r="E13" s="62"/>
      <c r="F13" s="62"/>
      <c r="G13" s="62"/>
      <c r="H13" s="62"/>
      <c r="I13" s="62"/>
      <c r="J13" s="62"/>
      <c r="K13" s="62"/>
      <c r="L13" s="62"/>
      <c r="M13" s="62"/>
      <c r="N13" s="62"/>
      <c r="O13" s="62"/>
      <c r="P13" s="62"/>
      <c r="Q13" s="62"/>
      <c r="R13" s="62"/>
      <c r="S13" s="62"/>
      <c r="T13" s="63">
        <f t="shared" si="6"/>
        <v>0.25</v>
      </c>
      <c r="U13" s="63">
        <f t="shared" ref="U13:CA13" si="8">T13</f>
        <v>0.25</v>
      </c>
      <c r="V13" s="63">
        <f t="shared" si="8"/>
        <v>0.25</v>
      </c>
      <c r="W13" s="63">
        <f t="shared" si="8"/>
        <v>0.25</v>
      </c>
      <c r="X13" s="63">
        <f t="shared" si="8"/>
        <v>0.25</v>
      </c>
      <c r="Y13" s="63">
        <f t="shared" si="8"/>
        <v>0.25</v>
      </c>
      <c r="Z13" s="63">
        <f t="shared" si="8"/>
        <v>0.25</v>
      </c>
      <c r="AA13" s="63">
        <f t="shared" si="8"/>
        <v>0.25</v>
      </c>
      <c r="AB13" s="63">
        <f t="shared" si="8"/>
        <v>0.25</v>
      </c>
      <c r="AC13" s="63">
        <f t="shared" si="8"/>
        <v>0.25</v>
      </c>
      <c r="AD13" s="63">
        <f t="shared" si="8"/>
        <v>0.25</v>
      </c>
      <c r="AE13" s="63">
        <f t="shared" si="8"/>
        <v>0.25</v>
      </c>
      <c r="AF13" s="63">
        <f t="shared" si="8"/>
        <v>0.25</v>
      </c>
      <c r="AG13" s="63">
        <f t="shared" si="8"/>
        <v>0.25</v>
      </c>
      <c r="AH13" s="63">
        <f t="shared" si="8"/>
        <v>0.25</v>
      </c>
      <c r="AI13" s="63">
        <f t="shared" si="8"/>
        <v>0.25</v>
      </c>
      <c r="AJ13" s="63">
        <f t="shared" si="8"/>
        <v>0.25</v>
      </c>
      <c r="AK13" s="63">
        <f t="shared" si="8"/>
        <v>0.25</v>
      </c>
      <c r="AL13" s="63">
        <f t="shared" si="8"/>
        <v>0.25</v>
      </c>
      <c r="AM13" s="63">
        <f t="shared" si="8"/>
        <v>0.25</v>
      </c>
      <c r="AN13" s="63">
        <f t="shared" si="8"/>
        <v>0.25</v>
      </c>
      <c r="AO13" s="63">
        <f t="shared" si="8"/>
        <v>0.25</v>
      </c>
      <c r="AP13" s="63">
        <f t="shared" si="8"/>
        <v>0.25</v>
      </c>
      <c r="AQ13" s="63">
        <f t="shared" si="8"/>
        <v>0.25</v>
      </c>
      <c r="AR13" s="63">
        <f t="shared" si="8"/>
        <v>0.25</v>
      </c>
      <c r="AS13" s="63">
        <f t="shared" si="8"/>
        <v>0.25</v>
      </c>
      <c r="AT13" s="63">
        <f t="shared" si="8"/>
        <v>0.25</v>
      </c>
      <c r="AU13" s="63">
        <f t="shared" si="8"/>
        <v>0.25</v>
      </c>
      <c r="AV13" s="63">
        <f t="shared" si="8"/>
        <v>0.25</v>
      </c>
      <c r="AW13" s="63">
        <f t="shared" si="8"/>
        <v>0.25</v>
      </c>
      <c r="AX13" s="63">
        <f t="shared" si="8"/>
        <v>0.25</v>
      </c>
      <c r="AY13" s="63">
        <f t="shared" si="8"/>
        <v>0.25</v>
      </c>
      <c r="AZ13" s="63">
        <f t="shared" si="8"/>
        <v>0.25</v>
      </c>
      <c r="BA13" s="63">
        <f t="shared" si="8"/>
        <v>0.25</v>
      </c>
      <c r="BB13" s="63">
        <f t="shared" si="8"/>
        <v>0.25</v>
      </c>
      <c r="BC13" s="63">
        <f t="shared" si="8"/>
        <v>0.25</v>
      </c>
      <c r="BD13" s="63">
        <f t="shared" si="8"/>
        <v>0.25</v>
      </c>
      <c r="BE13" s="63">
        <f t="shared" si="8"/>
        <v>0.25</v>
      </c>
      <c r="BF13" s="63">
        <f t="shared" si="8"/>
        <v>0.25</v>
      </c>
      <c r="BG13" s="63">
        <f t="shared" si="8"/>
        <v>0.25</v>
      </c>
      <c r="BH13" s="63">
        <f t="shared" si="8"/>
        <v>0.25</v>
      </c>
      <c r="BI13" s="63">
        <f t="shared" si="8"/>
        <v>0.25</v>
      </c>
      <c r="BJ13" s="63">
        <f t="shared" si="8"/>
        <v>0.25</v>
      </c>
      <c r="BK13" s="63">
        <f t="shared" si="8"/>
        <v>0.25</v>
      </c>
      <c r="BL13" s="63">
        <f t="shared" si="8"/>
        <v>0.25</v>
      </c>
      <c r="BM13" s="63">
        <f t="shared" si="8"/>
        <v>0.25</v>
      </c>
      <c r="BN13" s="63">
        <f t="shared" si="8"/>
        <v>0.25</v>
      </c>
      <c r="BO13" s="63">
        <f t="shared" si="8"/>
        <v>0.25</v>
      </c>
      <c r="BP13" s="63">
        <f t="shared" si="8"/>
        <v>0.25</v>
      </c>
      <c r="BQ13" s="63">
        <f t="shared" si="8"/>
        <v>0.25</v>
      </c>
      <c r="BR13" s="63">
        <f t="shared" si="8"/>
        <v>0.25</v>
      </c>
      <c r="BS13" s="63">
        <f t="shared" si="8"/>
        <v>0.25</v>
      </c>
      <c r="BT13" s="63">
        <f t="shared" si="8"/>
        <v>0.25</v>
      </c>
      <c r="BU13" s="63">
        <f t="shared" si="8"/>
        <v>0.25</v>
      </c>
      <c r="BV13" s="63">
        <f t="shared" si="8"/>
        <v>0.25</v>
      </c>
      <c r="BW13" s="63">
        <f t="shared" si="8"/>
        <v>0.25</v>
      </c>
      <c r="BX13" s="63">
        <f t="shared" si="8"/>
        <v>0.25</v>
      </c>
      <c r="BY13" s="63">
        <f t="shared" si="8"/>
        <v>0.25</v>
      </c>
      <c r="BZ13" s="63">
        <f t="shared" si="8"/>
        <v>0.25</v>
      </c>
      <c r="CA13" s="63">
        <f t="shared" si="8"/>
        <v>0.25</v>
      </c>
    </row>
    <row r="14" outlineLevel="1">
      <c r="A14" s="47"/>
      <c r="B14" s="64" t="s">
        <v>19</v>
      </c>
      <c r="C14" s="47"/>
      <c r="D14" s="65"/>
      <c r="E14" s="65"/>
      <c r="F14" s="65"/>
      <c r="G14" s="66"/>
      <c r="H14" s="66"/>
      <c r="I14" s="66"/>
      <c r="J14" s="66"/>
      <c r="K14" s="66"/>
      <c r="L14" s="66"/>
      <c r="M14" s="66"/>
      <c r="N14" s="66"/>
      <c r="O14" s="66"/>
      <c r="P14" s="66"/>
      <c r="Q14" s="66"/>
      <c r="R14" s="66"/>
      <c r="S14" s="66"/>
      <c r="T14" s="65">
        <f t="shared" ref="T14:CA14" si="9">IFERROR(offset(T11,,-T12+1)*T13,0)</f>
        <v>0</v>
      </c>
      <c r="U14" s="65">
        <f t="shared" si="9"/>
        <v>2.5</v>
      </c>
      <c r="V14" s="65">
        <f t="shared" si="9"/>
        <v>2.55</v>
      </c>
      <c r="W14" s="65">
        <f t="shared" si="9"/>
        <v>2.601</v>
      </c>
      <c r="X14" s="65">
        <f t="shared" si="9"/>
        <v>2.65302</v>
      </c>
      <c r="Y14" s="65">
        <f t="shared" si="9"/>
        <v>2.7060804</v>
      </c>
      <c r="Z14" s="65">
        <f t="shared" si="9"/>
        <v>2.760202008</v>
      </c>
      <c r="AA14" s="65">
        <f t="shared" si="9"/>
        <v>2.815406048</v>
      </c>
      <c r="AB14" s="65">
        <f t="shared" si="9"/>
        <v>2.871714169</v>
      </c>
      <c r="AC14" s="65">
        <f t="shared" si="9"/>
        <v>2.929148453</v>
      </c>
      <c r="AD14" s="65">
        <f t="shared" si="9"/>
        <v>2.987731422</v>
      </c>
      <c r="AE14" s="65">
        <f t="shared" si="9"/>
        <v>3.04748605</v>
      </c>
      <c r="AF14" s="65">
        <f t="shared" si="9"/>
        <v>3.108435771</v>
      </c>
      <c r="AG14" s="65">
        <f t="shared" si="9"/>
        <v>3.170604486</v>
      </c>
      <c r="AH14" s="65">
        <f t="shared" si="9"/>
        <v>3.234016576</v>
      </c>
      <c r="AI14" s="65">
        <f t="shared" si="9"/>
        <v>3.298696908</v>
      </c>
      <c r="AJ14" s="65">
        <f t="shared" si="9"/>
        <v>3.364670846</v>
      </c>
      <c r="AK14" s="65">
        <f t="shared" si="9"/>
        <v>3.431964263</v>
      </c>
      <c r="AL14" s="65">
        <f t="shared" si="9"/>
        <v>3.500603548</v>
      </c>
      <c r="AM14" s="65">
        <f t="shared" si="9"/>
        <v>3.570615619</v>
      </c>
      <c r="AN14" s="65">
        <f t="shared" si="9"/>
        <v>3.642027931</v>
      </c>
      <c r="AO14" s="65">
        <f t="shared" si="9"/>
        <v>3.71486849</v>
      </c>
      <c r="AP14" s="65">
        <f t="shared" si="9"/>
        <v>3.78916586</v>
      </c>
      <c r="AQ14" s="65">
        <f t="shared" si="9"/>
        <v>3.864949177</v>
      </c>
      <c r="AR14" s="65">
        <f t="shared" si="9"/>
        <v>3.94224816</v>
      </c>
      <c r="AS14" s="65">
        <f t="shared" si="9"/>
        <v>4.021093124</v>
      </c>
      <c r="AT14" s="65">
        <f t="shared" si="9"/>
        <v>4.101514986</v>
      </c>
      <c r="AU14" s="65">
        <f t="shared" si="9"/>
        <v>4.183545286</v>
      </c>
      <c r="AV14" s="65">
        <f t="shared" si="9"/>
        <v>4.267216192</v>
      </c>
      <c r="AW14" s="65">
        <f t="shared" si="9"/>
        <v>4.352560515</v>
      </c>
      <c r="AX14" s="65">
        <f t="shared" si="9"/>
        <v>4.439611726</v>
      </c>
      <c r="AY14" s="65">
        <f t="shared" si="9"/>
        <v>4.52840396</v>
      </c>
      <c r="AZ14" s="65">
        <f t="shared" si="9"/>
        <v>4.618972039</v>
      </c>
      <c r="BA14" s="65">
        <f t="shared" si="9"/>
        <v>4.71135148</v>
      </c>
      <c r="BB14" s="65">
        <f t="shared" si="9"/>
        <v>4.80557851</v>
      </c>
      <c r="BC14" s="65">
        <f t="shared" si="9"/>
        <v>4.90169008</v>
      </c>
      <c r="BD14" s="65">
        <f t="shared" si="9"/>
        <v>4.999723882</v>
      </c>
      <c r="BE14" s="65">
        <f t="shared" si="9"/>
        <v>5.099718359</v>
      </c>
      <c r="BF14" s="65">
        <f t="shared" si="9"/>
        <v>5.201712726</v>
      </c>
      <c r="BG14" s="65">
        <f t="shared" si="9"/>
        <v>5.305746981</v>
      </c>
      <c r="BH14" s="65">
        <f t="shared" si="9"/>
        <v>5.411861921</v>
      </c>
      <c r="BI14" s="65">
        <f t="shared" si="9"/>
        <v>5.520099159</v>
      </c>
      <c r="BJ14" s="65">
        <f t="shared" si="9"/>
        <v>5.630501142</v>
      </c>
      <c r="BK14" s="65">
        <f t="shared" si="9"/>
        <v>5.743111165</v>
      </c>
      <c r="BL14" s="65">
        <f t="shared" si="9"/>
        <v>5.857973388</v>
      </c>
      <c r="BM14" s="65">
        <f t="shared" si="9"/>
        <v>5.975132856</v>
      </c>
      <c r="BN14" s="65">
        <f t="shared" si="9"/>
        <v>6.094635513</v>
      </c>
      <c r="BO14" s="65">
        <f t="shared" si="9"/>
        <v>6.216528224</v>
      </c>
      <c r="BP14" s="65">
        <f t="shared" si="9"/>
        <v>6.340858788</v>
      </c>
      <c r="BQ14" s="65">
        <f t="shared" si="9"/>
        <v>6.467675964</v>
      </c>
      <c r="BR14" s="65">
        <f t="shared" si="9"/>
        <v>6.597029483</v>
      </c>
      <c r="BS14" s="65">
        <f t="shared" si="9"/>
        <v>6.728970073</v>
      </c>
      <c r="BT14" s="65">
        <f t="shared" si="9"/>
        <v>6.863549474</v>
      </c>
      <c r="BU14" s="65">
        <f t="shared" si="9"/>
        <v>7.000820464</v>
      </c>
      <c r="BV14" s="65">
        <f t="shared" si="9"/>
        <v>7.140836873</v>
      </c>
      <c r="BW14" s="65">
        <f t="shared" si="9"/>
        <v>7.28365361</v>
      </c>
      <c r="BX14" s="65">
        <f t="shared" si="9"/>
        <v>7.429326683</v>
      </c>
      <c r="BY14" s="65">
        <f t="shared" si="9"/>
        <v>7.577913216</v>
      </c>
      <c r="BZ14" s="65">
        <f t="shared" si="9"/>
        <v>7.729471481</v>
      </c>
      <c r="CA14" s="65">
        <f t="shared" si="9"/>
        <v>7.88406091</v>
      </c>
    </row>
    <row r="15" outlineLevel="1">
      <c r="A15" s="47"/>
      <c r="B15" s="67"/>
      <c r="C15" s="47"/>
      <c r="D15" s="47"/>
      <c r="E15" s="47"/>
      <c r="F15" s="47"/>
      <c r="G15" s="47"/>
      <c r="H15" s="47"/>
      <c r="I15" s="47"/>
      <c r="J15" s="47"/>
      <c r="K15" s="47"/>
      <c r="L15" s="47"/>
      <c r="M15" s="47"/>
      <c r="N15" s="47"/>
      <c r="O15" s="47"/>
      <c r="P15" s="47"/>
      <c r="Q15" s="47"/>
      <c r="R15" s="47"/>
      <c r="S15" s="47"/>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row>
    <row r="16" outlineLevel="1">
      <c r="A16" s="47"/>
      <c r="B16" s="52" t="s">
        <v>20</v>
      </c>
      <c r="C16" s="47"/>
      <c r="D16" s="53" t="s">
        <v>14</v>
      </c>
      <c r="E16" s="52" t="s">
        <v>15</v>
      </c>
      <c r="F16" s="47"/>
      <c r="G16" s="47"/>
      <c r="H16" s="47"/>
      <c r="I16" s="47"/>
      <c r="J16" s="47"/>
      <c r="K16" s="47"/>
      <c r="L16" s="47"/>
      <c r="M16" s="47"/>
      <c r="N16" s="47"/>
      <c r="O16" s="47"/>
      <c r="P16" s="47"/>
      <c r="Q16" s="47"/>
      <c r="R16" s="47"/>
      <c r="S16" s="47"/>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row>
    <row r="17" outlineLevel="1">
      <c r="A17" s="47"/>
      <c r="B17" s="39" t="s">
        <v>16</v>
      </c>
      <c r="C17" s="47"/>
      <c r="D17" s="54">
        <v>10.0</v>
      </c>
      <c r="E17" s="55">
        <v>0.02</v>
      </c>
      <c r="F17" s="47"/>
      <c r="G17" s="47"/>
      <c r="H17" s="47"/>
      <c r="I17" s="47"/>
      <c r="J17" s="47"/>
      <c r="K17" s="47"/>
      <c r="L17" s="47"/>
      <c r="M17" s="47"/>
      <c r="N17" s="47"/>
      <c r="O17" s="47"/>
      <c r="P17" s="47"/>
      <c r="Q17" s="47"/>
      <c r="R17" s="47"/>
      <c r="S17" s="47"/>
      <c r="T17" s="56">
        <f t="shared" ref="T17:T19" si="11">D17</f>
        <v>10</v>
      </c>
      <c r="U17" s="56">
        <f t="shared" ref="U17:CA17" si="10">T17*(1+$E$17)</f>
        <v>10.2</v>
      </c>
      <c r="V17" s="56">
        <f t="shared" si="10"/>
        <v>10.404</v>
      </c>
      <c r="W17" s="56">
        <f t="shared" si="10"/>
        <v>10.61208</v>
      </c>
      <c r="X17" s="56">
        <f t="shared" si="10"/>
        <v>10.8243216</v>
      </c>
      <c r="Y17" s="56">
        <f t="shared" si="10"/>
        <v>11.04080803</v>
      </c>
      <c r="Z17" s="56">
        <f t="shared" si="10"/>
        <v>11.26162419</v>
      </c>
      <c r="AA17" s="56">
        <f t="shared" si="10"/>
        <v>11.48685668</v>
      </c>
      <c r="AB17" s="56">
        <f t="shared" si="10"/>
        <v>11.71659381</v>
      </c>
      <c r="AC17" s="56">
        <f t="shared" si="10"/>
        <v>11.95092569</v>
      </c>
      <c r="AD17" s="56">
        <f t="shared" si="10"/>
        <v>12.1899442</v>
      </c>
      <c r="AE17" s="56">
        <f t="shared" si="10"/>
        <v>12.43374308</v>
      </c>
      <c r="AF17" s="56">
        <f t="shared" si="10"/>
        <v>12.68241795</v>
      </c>
      <c r="AG17" s="56">
        <f t="shared" si="10"/>
        <v>12.9360663</v>
      </c>
      <c r="AH17" s="56">
        <f t="shared" si="10"/>
        <v>13.19478763</v>
      </c>
      <c r="AI17" s="56">
        <f t="shared" si="10"/>
        <v>13.45868338</v>
      </c>
      <c r="AJ17" s="56">
        <f t="shared" si="10"/>
        <v>13.72785705</v>
      </c>
      <c r="AK17" s="56">
        <f t="shared" si="10"/>
        <v>14.00241419</v>
      </c>
      <c r="AL17" s="56">
        <f t="shared" si="10"/>
        <v>14.28246248</v>
      </c>
      <c r="AM17" s="56">
        <f t="shared" si="10"/>
        <v>14.56811173</v>
      </c>
      <c r="AN17" s="56">
        <f t="shared" si="10"/>
        <v>14.85947396</v>
      </c>
      <c r="AO17" s="56">
        <f t="shared" si="10"/>
        <v>15.15666344</v>
      </c>
      <c r="AP17" s="56">
        <f t="shared" si="10"/>
        <v>15.45979671</v>
      </c>
      <c r="AQ17" s="56">
        <f t="shared" si="10"/>
        <v>15.76899264</v>
      </c>
      <c r="AR17" s="56">
        <f t="shared" si="10"/>
        <v>16.08437249</v>
      </c>
      <c r="AS17" s="56">
        <f t="shared" si="10"/>
        <v>16.40605994</v>
      </c>
      <c r="AT17" s="56">
        <f t="shared" si="10"/>
        <v>16.73418114</v>
      </c>
      <c r="AU17" s="56">
        <f t="shared" si="10"/>
        <v>17.06886477</v>
      </c>
      <c r="AV17" s="56">
        <f t="shared" si="10"/>
        <v>17.41024206</v>
      </c>
      <c r="AW17" s="56">
        <f t="shared" si="10"/>
        <v>17.7584469</v>
      </c>
      <c r="AX17" s="56">
        <f t="shared" si="10"/>
        <v>18.11361584</v>
      </c>
      <c r="AY17" s="56">
        <f t="shared" si="10"/>
        <v>18.47588816</v>
      </c>
      <c r="AZ17" s="56">
        <f t="shared" si="10"/>
        <v>18.84540592</v>
      </c>
      <c r="BA17" s="56">
        <f t="shared" si="10"/>
        <v>19.22231404</v>
      </c>
      <c r="BB17" s="56">
        <f t="shared" si="10"/>
        <v>19.60676032</v>
      </c>
      <c r="BC17" s="56">
        <f t="shared" si="10"/>
        <v>19.99889553</v>
      </c>
      <c r="BD17" s="56">
        <f t="shared" si="10"/>
        <v>20.39887344</v>
      </c>
      <c r="BE17" s="56">
        <f t="shared" si="10"/>
        <v>20.80685091</v>
      </c>
      <c r="BF17" s="56">
        <f t="shared" si="10"/>
        <v>21.22298792</v>
      </c>
      <c r="BG17" s="56">
        <f t="shared" si="10"/>
        <v>21.64744768</v>
      </c>
      <c r="BH17" s="56">
        <f t="shared" si="10"/>
        <v>22.08039664</v>
      </c>
      <c r="BI17" s="56">
        <f t="shared" si="10"/>
        <v>22.52200457</v>
      </c>
      <c r="BJ17" s="56">
        <f t="shared" si="10"/>
        <v>22.97244466</v>
      </c>
      <c r="BK17" s="56">
        <f t="shared" si="10"/>
        <v>23.43189355</v>
      </c>
      <c r="BL17" s="56">
        <f t="shared" si="10"/>
        <v>23.90053142</v>
      </c>
      <c r="BM17" s="56">
        <f t="shared" si="10"/>
        <v>24.37854205</v>
      </c>
      <c r="BN17" s="56">
        <f t="shared" si="10"/>
        <v>24.86611289</v>
      </c>
      <c r="BO17" s="56">
        <f t="shared" si="10"/>
        <v>25.36343515</v>
      </c>
      <c r="BP17" s="56">
        <f t="shared" si="10"/>
        <v>25.87070385</v>
      </c>
      <c r="BQ17" s="56">
        <f t="shared" si="10"/>
        <v>26.38811793</v>
      </c>
      <c r="BR17" s="56">
        <f t="shared" si="10"/>
        <v>26.91588029</v>
      </c>
      <c r="BS17" s="56">
        <f t="shared" si="10"/>
        <v>27.4541979</v>
      </c>
      <c r="BT17" s="56">
        <f t="shared" si="10"/>
        <v>28.00328185</v>
      </c>
      <c r="BU17" s="56">
        <f t="shared" si="10"/>
        <v>28.56334749</v>
      </c>
      <c r="BV17" s="56">
        <f t="shared" si="10"/>
        <v>29.13461444</v>
      </c>
      <c r="BW17" s="56">
        <f t="shared" si="10"/>
        <v>29.71730673</v>
      </c>
      <c r="BX17" s="56">
        <f t="shared" si="10"/>
        <v>30.31165286</v>
      </c>
      <c r="BY17" s="56">
        <f t="shared" si="10"/>
        <v>30.91788592</v>
      </c>
      <c r="BZ17" s="56">
        <f t="shared" si="10"/>
        <v>31.53624364</v>
      </c>
      <c r="CA17" s="56">
        <f t="shared" si="10"/>
        <v>32.16696851</v>
      </c>
    </row>
    <row r="18" outlineLevel="1">
      <c r="A18" s="47"/>
      <c r="B18" s="39" t="s">
        <v>17</v>
      </c>
      <c r="C18" s="47"/>
      <c r="D18" s="57">
        <v>6.0</v>
      </c>
      <c r="E18" s="47"/>
      <c r="F18" s="47"/>
      <c r="G18" s="47"/>
      <c r="H18" s="47"/>
      <c r="I18" s="47"/>
      <c r="J18" s="47"/>
      <c r="K18" s="47"/>
      <c r="L18" s="47"/>
      <c r="M18" s="47"/>
      <c r="N18" s="47"/>
      <c r="O18" s="47"/>
      <c r="P18" s="47"/>
      <c r="Q18" s="47"/>
      <c r="R18" s="47"/>
      <c r="S18" s="47"/>
      <c r="T18" s="58">
        <f t="shared" si="11"/>
        <v>6</v>
      </c>
      <c r="U18" s="58">
        <f t="shared" ref="U18:CA18" si="12">T18</f>
        <v>6</v>
      </c>
      <c r="V18" s="58">
        <f t="shared" si="12"/>
        <v>6</v>
      </c>
      <c r="W18" s="58">
        <f t="shared" si="12"/>
        <v>6</v>
      </c>
      <c r="X18" s="58">
        <f t="shared" si="12"/>
        <v>6</v>
      </c>
      <c r="Y18" s="58">
        <f t="shared" si="12"/>
        <v>6</v>
      </c>
      <c r="Z18" s="58">
        <f t="shared" si="12"/>
        <v>6</v>
      </c>
      <c r="AA18" s="58">
        <f t="shared" si="12"/>
        <v>6</v>
      </c>
      <c r="AB18" s="58">
        <f t="shared" si="12"/>
        <v>6</v>
      </c>
      <c r="AC18" s="58">
        <f t="shared" si="12"/>
        <v>6</v>
      </c>
      <c r="AD18" s="58">
        <f t="shared" si="12"/>
        <v>6</v>
      </c>
      <c r="AE18" s="58">
        <f t="shared" si="12"/>
        <v>6</v>
      </c>
      <c r="AF18" s="58">
        <f t="shared" si="12"/>
        <v>6</v>
      </c>
      <c r="AG18" s="58">
        <f t="shared" si="12"/>
        <v>6</v>
      </c>
      <c r="AH18" s="58">
        <f t="shared" si="12"/>
        <v>6</v>
      </c>
      <c r="AI18" s="58">
        <f t="shared" si="12"/>
        <v>6</v>
      </c>
      <c r="AJ18" s="58">
        <f t="shared" si="12"/>
        <v>6</v>
      </c>
      <c r="AK18" s="58">
        <f t="shared" si="12"/>
        <v>6</v>
      </c>
      <c r="AL18" s="58">
        <f t="shared" si="12"/>
        <v>6</v>
      </c>
      <c r="AM18" s="58">
        <f t="shared" si="12"/>
        <v>6</v>
      </c>
      <c r="AN18" s="58">
        <f t="shared" si="12"/>
        <v>6</v>
      </c>
      <c r="AO18" s="58">
        <f t="shared" si="12"/>
        <v>6</v>
      </c>
      <c r="AP18" s="58">
        <f t="shared" si="12"/>
        <v>6</v>
      </c>
      <c r="AQ18" s="58">
        <f t="shared" si="12"/>
        <v>6</v>
      </c>
      <c r="AR18" s="58">
        <f t="shared" si="12"/>
        <v>6</v>
      </c>
      <c r="AS18" s="58">
        <f t="shared" si="12"/>
        <v>6</v>
      </c>
      <c r="AT18" s="58">
        <f t="shared" si="12"/>
        <v>6</v>
      </c>
      <c r="AU18" s="58">
        <f t="shared" si="12"/>
        <v>6</v>
      </c>
      <c r="AV18" s="58">
        <f t="shared" si="12"/>
        <v>6</v>
      </c>
      <c r="AW18" s="58">
        <f t="shared" si="12"/>
        <v>6</v>
      </c>
      <c r="AX18" s="58">
        <f t="shared" si="12"/>
        <v>6</v>
      </c>
      <c r="AY18" s="58">
        <f t="shared" si="12"/>
        <v>6</v>
      </c>
      <c r="AZ18" s="58">
        <f t="shared" si="12"/>
        <v>6</v>
      </c>
      <c r="BA18" s="58">
        <f t="shared" si="12"/>
        <v>6</v>
      </c>
      <c r="BB18" s="58">
        <f t="shared" si="12"/>
        <v>6</v>
      </c>
      <c r="BC18" s="58">
        <f t="shared" si="12"/>
        <v>6</v>
      </c>
      <c r="BD18" s="58">
        <f t="shared" si="12"/>
        <v>6</v>
      </c>
      <c r="BE18" s="58">
        <f t="shared" si="12"/>
        <v>6</v>
      </c>
      <c r="BF18" s="58">
        <f t="shared" si="12"/>
        <v>6</v>
      </c>
      <c r="BG18" s="58">
        <f t="shared" si="12"/>
        <v>6</v>
      </c>
      <c r="BH18" s="58">
        <f t="shared" si="12"/>
        <v>6</v>
      </c>
      <c r="BI18" s="58">
        <f t="shared" si="12"/>
        <v>6</v>
      </c>
      <c r="BJ18" s="58">
        <f t="shared" si="12"/>
        <v>6</v>
      </c>
      <c r="BK18" s="58">
        <f t="shared" si="12"/>
        <v>6</v>
      </c>
      <c r="BL18" s="58">
        <f t="shared" si="12"/>
        <v>6</v>
      </c>
      <c r="BM18" s="58">
        <f t="shared" si="12"/>
        <v>6</v>
      </c>
      <c r="BN18" s="58">
        <f t="shared" si="12"/>
        <v>6</v>
      </c>
      <c r="BO18" s="58">
        <f t="shared" si="12"/>
        <v>6</v>
      </c>
      <c r="BP18" s="58">
        <f t="shared" si="12"/>
        <v>6</v>
      </c>
      <c r="BQ18" s="58">
        <f t="shared" si="12"/>
        <v>6</v>
      </c>
      <c r="BR18" s="58">
        <f t="shared" si="12"/>
        <v>6</v>
      </c>
      <c r="BS18" s="58">
        <f t="shared" si="12"/>
        <v>6</v>
      </c>
      <c r="BT18" s="58">
        <f t="shared" si="12"/>
        <v>6</v>
      </c>
      <c r="BU18" s="58">
        <f t="shared" si="12"/>
        <v>6</v>
      </c>
      <c r="BV18" s="58">
        <f t="shared" si="12"/>
        <v>6</v>
      </c>
      <c r="BW18" s="58">
        <f t="shared" si="12"/>
        <v>6</v>
      </c>
      <c r="BX18" s="58">
        <f t="shared" si="12"/>
        <v>6</v>
      </c>
      <c r="BY18" s="58">
        <f t="shared" si="12"/>
        <v>6</v>
      </c>
      <c r="BZ18" s="58">
        <f t="shared" si="12"/>
        <v>6</v>
      </c>
      <c r="CA18" s="58">
        <f t="shared" si="12"/>
        <v>6</v>
      </c>
    </row>
    <row r="19" outlineLevel="1">
      <c r="A19" s="47"/>
      <c r="B19" s="59" t="s">
        <v>18</v>
      </c>
      <c r="C19" s="60"/>
      <c r="D19" s="61">
        <v>0.1</v>
      </c>
      <c r="E19" s="62"/>
      <c r="F19" s="62"/>
      <c r="G19" s="62"/>
      <c r="H19" s="62"/>
      <c r="I19" s="62"/>
      <c r="J19" s="62"/>
      <c r="K19" s="62"/>
      <c r="L19" s="62"/>
      <c r="M19" s="62"/>
      <c r="N19" s="62"/>
      <c r="O19" s="62"/>
      <c r="P19" s="62"/>
      <c r="Q19" s="62"/>
      <c r="R19" s="62"/>
      <c r="S19" s="62"/>
      <c r="T19" s="63">
        <f t="shared" si="11"/>
        <v>0.1</v>
      </c>
      <c r="U19" s="63">
        <f t="shared" ref="U19:CA19" si="13">T19</f>
        <v>0.1</v>
      </c>
      <c r="V19" s="63">
        <f t="shared" si="13"/>
        <v>0.1</v>
      </c>
      <c r="W19" s="63">
        <f t="shared" si="13"/>
        <v>0.1</v>
      </c>
      <c r="X19" s="63">
        <f t="shared" si="13"/>
        <v>0.1</v>
      </c>
      <c r="Y19" s="63">
        <f t="shared" si="13"/>
        <v>0.1</v>
      </c>
      <c r="Z19" s="63">
        <f t="shared" si="13"/>
        <v>0.1</v>
      </c>
      <c r="AA19" s="63">
        <f t="shared" si="13"/>
        <v>0.1</v>
      </c>
      <c r="AB19" s="63">
        <f t="shared" si="13"/>
        <v>0.1</v>
      </c>
      <c r="AC19" s="63">
        <f t="shared" si="13"/>
        <v>0.1</v>
      </c>
      <c r="AD19" s="63">
        <f t="shared" si="13"/>
        <v>0.1</v>
      </c>
      <c r="AE19" s="63">
        <f t="shared" si="13"/>
        <v>0.1</v>
      </c>
      <c r="AF19" s="63">
        <f t="shared" si="13"/>
        <v>0.1</v>
      </c>
      <c r="AG19" s="63">
        <f t="shared" si="13"/>
        <v>0.1</v>
      </c>
      <c r="AH19" s="63">
        <f t="shared" si="13"/>
        <v>0.1</v>
      </c>
      <c r="AI19" s="63">
        <f t="shared" si="13"/>
        <v>0.1</v>
      </c>
      <c r="AJ19" s="63">
        <f t="shared" si="13"/>
        <v>0.1</v>
      </c>
      <c r="AK19" s="63">
        <f t="shared" si="13"/>
        <v>0.1</v>
      </c>
      <c r="AL19" s="63">
        <f t="shared" si="13"/>
        <v>0.1</v>
      </c>
      <c r="AM19" s="63">
        <f t="shared" si="13"/>
        <v>0.1</v>
      </c>
      <c r="AN19" s="63">
        <f t="shared" si="13"/>
        <v>0.1</v>
      </c>
      <c r="AO19" s="63">
        <f t="shared" si="13"/>
        <v>0.1</v>
      </c>
      <c r="AP19" s="63">
        <f t="shared" si="13"/>
        <v>0.1</v>
      </c>
      <c r="AQ19" s="63">
        <f t="shared" si="13"/>
        <v>0.1</v>
      </c>
      <c r="AR19" s="63">
        <f t="shared" si="13"/>
        <v>0.1</v>
      </c>
      <c r="AS19" s="63">
        <f t="shared" si="13"/>
        <v>0.1</v>
      </c>
      <c r="AT19" s="63">
        <f t="shared" si="13"/>
        <v>0.1</v>
      </c>
      <c r="AU19" s="63">
        <f t="shared" si="13"/>
        <v>0.1</v>
      </c>
      <c r="AV19" s="63">
        <f t="shared" si="13"/>
        <v>0.1</v>
      </c>
      <c r="AW19" s="63">
        <f t="shared" si="13"/>
        <v>0.1</v>
      </c>
      <c r="AX19" s="63">
        <f t="shared" si="13"/>
        <v>0.1</v>
      </c>
      <c r="AY19" s="63">
        <f t="shared" si="13"/>
        <v>0.1</v>
      </c>
      <c r="AZ19" s="63">
        <f t="shared" si="13"/>
        <v>0.1</v>
      </c>
      <c r="BA19" s="63">
        <f t="shared" si="13"/>
        <v>0.1</v>
      </c>
      <c r="BB19" s="63">
        <f t="shared" si="13"/>
        <v>0.1</v>
      </c>
      <c r="BC19" s="63">
        <f t="shared" si="13"/>
        <v>0.1</v>
      </c>
      <c r="BD19" s="63">
        <f t="shared" si="13"/>
        <v>0.1</v>
      </c>
      <c r="BE19" s="63">
        <f t="shared" si="13"/>
        <v>0.1</v>
      </c>
      <c r="BF19" s="63">
        <f t="shared" si="13"/>
        <v>0.1</v>
      </c>
      <c r="BG19" s="63">
        <f t="shared" si="13"/>
        <v>0.1</v>
      </c>
      <c r="BH19" s="63">
        <f t="shared" si="13"/>
        <v>0.1</v>
      </c>
      <c r="BI19" s="63">
        <f t="shared" si="13"/>
        <v>0.1</v>
      </c>
      <c r="BJ19" s="63">
        <f t="shared" si="13"/>
        <v>0.1</v>
      </c>
      <c r="BK19" s="63">
        <f t="shared" si="13"/>
        <v>0.1</v>
      </c>
      <c r="BL19" s="63">
        <f t="shared" si="13"/>
        <v>0.1</v>
      </c>
      <c r="BM19" s="63">
        <f t="shared" si="13"/>
        <v>0.1</v>
      </c>
      <c r="BN19" s="63">
        <f t="shared" si="13"/>
        <v>0.1</v>
      </c>
      <c r="BO19" s="63">
        <f t="shared" si="13"/>
        <v>0.1</v>
      </c>
      <c r="BP19" s="63">
        <f t="shared" si="13"/>
        <v>0.1</v>
      </c>
      <c r="BQ19" s="63">
        <f t="shared" si="13"/>
        <v>0.1</v>
      </c>
      <c r="BR19" s="63">
        <f t="shared" si="13"/>
        <v>0.1</v>
      </c>
      <c r="BS19" s="63">
        <f t="shared" si="13"/>
        <v>0.1</v>
      </c>
      <c r="BT19" s="63">
        <f t="shared" si="13"/>
        <v>0.1</v>
      </c>
      <c r="BU19" s="63">
        <f t="shared" si="13"/>
        <v>0.1</v>
      </c>
      <c r="BV19" s="63">
        <f t="shared" si="13"/>
        <v>0.1</v>
      </c>
      <c r="BW19" s="63">
        <f t="shared" si="13"/>
        <v>0.1</v>
      </c>
      <c r="BX19" s="63">
        <f t="shared" si="13"/>
        <v>0.1</v>
      </c>
      <c r="BY19" s="63">
        <f t="shared" si="13"/>
        <v>0.1</v>
      </c>
      <c r="BZ19" s="63">
        <f t="shared" si="13"/>
        <v>0.1</v>
      </c>
      <c r="CA19" s="63">
        <f t="shared" si="13"/>
        <v>0.1</v>
      </c>
    </row>
    <row r="20" outlineLevel="1">
      <c r="A20" s="47"/>
      <c r="B20" s="64" t="s">
        <v>21</v>
      </c>
      <c r="C20" s="47"/>
      <c r="D20" s="65"/>
      <c r="E20" s="66"/>
      <c r="F20" s="66"/>
      <c r="G20" s="66"/>
      <c r="H20" s="66"/>
      <c r="I20" s="66"/>
      <c r="J20" s="66"/>
      <c r="K20" s="66"/>
      <c r="L20" s="66"/>
      <c r="M20" s="66"/>
      <c r="N20" s="66"/>
      <c r="O20" s="66"/>
      <c r="P20" s="66"/>
      <c r="Q20" s="66"/>
      <c r="R20" s="66"/>
      <c r="S20" s="66"/>
      <c r="T20" s="65">
        <f t="shared" ref="T20:CA20" si="14">IFERROR(offset(T17,,-T18+1)*T19,0)</f>
        <v>0</v>
      </c>
      <c r="U20" s="65">
        <f t="shared" si="14"/>
        <v>0</v>
      </c>
      <c r="V20" s="65">
        <f t="shared" si="14"/>
        <v>0</v>
      </c>
      <c r="W20" s="65">
        <f t="shared" si="14"/>
        <v>0</v>
      </c>
      <c r="X20" s="65">
        <f t="shared" si="14"/>
        <v>0</v>
      </c>
      <c r="Y20" s="65">
        <f t="shared" si="14"/>
        <v>1</v>
      </c>
      <c r="Z20" s="65">
        <f t="shared" si="14"/>
        <v>1.02</v>
      </c>
      <c r="AA20" s="65">
        <f t="shared" si="14"/>
        <v>1.0404</v>
      </c>
      <c r="AB20" s="65">
        <f t="shared" si="14"/>
        <v>1.061208</v>
      </c>
      <c r="AC20" s="65">
        <f t="shared" si="14"/>
        <v>1.08243216</v>
      </c>
      <c r="AD20" s="65">
        <f t="shared" si="14"/>
        <v>1.104080803</v>
      </c>
      <c r="AE20" s="65">
        <f t="shared" si="14"/>
        <v>1.126162419</v>
      </c>
      <c r="AF20" s="65">
        <f t="shared" si="14"/>
        <v>1.148685668</v>
      </c>
      <c r="AG20" s="65">
        <f t="shared" si="14"/>
        <v>1.171659381</v>
      </c>
      <c r="AH20" s="65">
        <f t="shared" si="14"/>
        <v>1.195092569</v>
      </c>
      <c r="AI20" s="65">
        <f t="shared" si="14"/>
        <v>1.21899442</v>
      </c>
      <c r="AJ20" s="65">
        <f t="shared" si="14"/>
        <v>1.243374308</v>
      </c>
      <c r="AK20" s="65">
        <f t="shared" si="14"/>
        <v>1.268241795</v>
      </c>
      <c r="AL20" s="65">
        <f t="shared" si="14"/>
        <v>1.29360663</v>
      </c>
      <c r="AM20" s="65">
        <f t="shared" si="14"/>
        <v>1.319478763</v>
      </c>
      <c r="AN20" s="65">
        <f t="shared" si="14"/>
        <v>1.345868338</v>
      </c>
      <c r="AO20" s="65">
        <f t="shared" si="14"/>
        <v>1.372785705</v>
      </c>
      <c r="AP20" s="65">
        <f t="shared" si="14"/>
        <v>1.400241419</v>
      </c>
      <c r="AQ20" s="65">
        <f t="shared" si="14"/>
        <v>1.428246248</v>
      </c>
      <c r="AR20" s="65">
        <f t="shared" si="14"/>
        <v>1.456811173</v>
      </c>
      <c r="AS20" s="65">
        <f t="shared" si="14"/>
        <v>1.485947396</v>
      </c>
      <c r="AT20" s="65">
        <f t="shared" si="14"/>
        <v>1.515666344</v>
      </c>
      <c r="AU20" s="65">
        <f t="shared" si="14"/>
        <v>1.545979671</v>
      </c>
      <c r="AV20" s="65">
        <f t="shared" si="14"/>
        <v>1.576899264</v>
      </c>
      <c r="AW20" s="65">
        <f t="shared" si="14"/>
        <v>1.608437249</v>
      </c>
      <c r="AX20" s="65">
        <f t="shared" si="14"/>
        <v>1.640605994</v>
      </c>
      <c r="AY20" s="65">
        <f t="shared" si="14"/>
        <v>1.673418114</v>
      </c>
      <c r="AZ20" s="65">
        <f t="shared" si="14"/>
        <v>1.706886477</v>
      </c>
      <c r="BA20" s="65">
        <f t="shared" si="14"/>
        <v>1.741024206</v>
      </c>
      <c r="BB20" s="65">
        <f t="shared" si="14"/>
        <v>1.77584469</v>
      </c>
      <c r="BC20" s="65">
        <f t="shared" si="14"/>
        <v>1.811361584</v>
      </c>
      <c r="BD20" s="65">
        <f t="shared" si="14"/>
        <v>1.847588816</v>
      </c>
      <c r="BE20" s="65">
        <f t="shared" si="14"/>
        <v>1.884540592</v>
      </c>
      <c r="BF20" s="65">
        <f t="shared" si="14"/>
        <v>1.922231404</v>
      </c>
      <c r="BG20" s="65">
        <f t="shared" si="14"/>
        <v>1.960676032</v>
      </c>
      <c r="BH20" s="65">
        <f t="shared" si="14"/>
        <v>1.999889553</v>
      </c>
      <c r="BI20" s="65">
        <f t="shared" si="14"/>
        <v>2.039887344</v>
      </c>
      <c r="BJ20" s="65">
        <f t="shared" si="14"/>
        <v>2.080685091</v>
      </c>
      <c r="BK20" s="65">
        <f t="shared" si="14"/>
        <v>2.122298792</v>
      </c>
      <c r="BL20" s="65">
        <f t="shared" si="14"/>
        <v>2.164744768</v>
      </c>
      <c r="BM20" s="65">
        <f t="shared" si="14"/>
        <v>2.208039664</v>
      </c>
      <c r="BN20" s="65">
        <f t="shared" si="14"/>
        <v>2.252200457</v>
      </c>
      <c r="BO20" s="65">
        <f t="shared" si="14"/>
        <v>2.297244466</v>
      </c>
      <c r="BP20" s="65">
        <f t="shared" si="14"/>
        <v>2.343189355</v>
      </c>
      <c r="BQ20" s="65">
        <f t="shared" si="14"/>
        <v>2.390053142</v>
      </c>
      <c r="BR20" s="65">
        <f t="shared" si="14"/>
        <v>2.437854205</v>
      </c>
      <c r="BS20" s="65">
        <f t="shared" si="14"/>
        <v>2.486611289</v>
      </c>
      <c r="BT20" s="65">
        <f t="shared" si="14"/>
        <v>2.536343515</v>
      </c>
      <c r="BU20" s="65">
        <f t="shared" si="14"/>
        <v>2.587070385</v>
      </c>
      <c r="BV20" s="65">
        <f t="shared" si="14"/>
        <v>2.638811793</v>
      </c>
      <c r="BW20" s="65">
        <f t="shared" si="14"/>
        <v>2.691588029</v>
      </c>
      <c r="BX20" s="65">
        <f t="shared" si="14"/>
        <v>2.74541979</v>
      </c>
      <c r="BY20" s="65">
        <f t="shared" si="14"/>
        <v>2.800328185</v>
      </c>
      <c r="BZ20" s="65">
        <f t="shared" si="14"/>
        <v>2.856334749</v>
      </c>
      <c r="CA20" s="65">
        <f t="shared" si="14"/>
        <v>2.913461444</v>
      </c>
    </row>
    <row r="21" outlineLevel="1">
      <c r="A21" s="47"/>
      <c r="B21" s="67"/>
      <c r="C21" s="47"/>
      <c r="D21" s="47"/>
      <c r="E21" s="47"/>
      <c r="F21" s="47"/>
      <c r="G21" s="47"/>
      <c r="H21" s="47"/>
      <c r="I21" s="47"/>
      <c r="J21" s="47"/>
      <c r="K21" s="47"/>
      <c r="L21" s="47"/>
      <c r="M21" s="47"/>
      <c r="N21" s="47"/>
      <c r="O21" s="47"/>
      <c r="P21" s="47"/>
      <c r="Q21" s="47"/>
      <c r="R21" s="47"/>
      <c r="S21" s="47"/>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row>
    <row r="22" outlineLevel="1">
      <c r="A22" s="47"/>
      <c r="B22" s="69"/>
      <c r="C22" s="62"/>
      <c r="D22" s="62"/>
      <c r="E22" s="62"/>
      <c r="F22" s="62"/>
      <c r="G22" s="62"/>
      <c r="H22" s="62"/>
      <c r="I22" s="62"/>
      <c r="J22" s="62"/>
      <c r="K22" s="62"/>
      <c r="L22" s="62"/>
      <c r="M22" s="62"/>
      <c r="N22" s="62"/>
      <c r="O22" s="62"/>
      <c r="P22" s="62"/>
      <c r="Q22" s="62"/>
      <c r="R22" s="62"/>
      <c r="S22" s="62"/>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row>
    <row r="23" outlineLevel="1">
      <c r="A23" s="71"/>
      <c r="B23" s="72" t="s">
        <v>22</v>
      </c>
      <c r="C23" s="71"/>
      <c r="D23" s="73"/>
      <c r="E23" s="73"/>
      <c r="F23" s="73"/>
      <c r="G23" s="73"/>
      <c r="H23" s="73"/>
      <c r="I23" s="73"/>
      <c r="J23" s="73"/>
      <c r="K23" s="73"/>
      <c r="L23" s="73"/>
      <c r="M23" s="73"/>
      <c r="N23" s="73"/>
      <c r="O23" s="73"/>
      <c r="P23" s="73"/>
      <c r="Q23" s="73"/>
      <c r="R23" s="73"/>
      <c r="S23" s="73"/>
      <c r="T23" s="74">
        <f t="shared" ref="T23:CA23" si="15">sum(T20,T14)</f>
        <v>0</v>
      </c>
      <c r="U23" s="74">
        <f t="shared" si="15"/>
        <v>2.5</v>
      </c>
      <c r="V23" s="74">
        <f t="shared" si="15"/>
        <v>2.55</v>
      </c>
      <c r="W23" s="74">
        <f t="shared" si="15"/>
        <v>2.601</v>
      </c>
      <c r="X23" s="74">
        <f t="shared" si="15"/>
        <v>2.65302</v>
      </c>
      <c r="Y23" s="74">
        <f t="shared" si="15"/>
        <v>3.7060804</v>
      </c>
      <c r="Z23" s="74">
        <f t="shared" si="15"/>
        <v>3.780202008</v>
      </c>
      <c r="AA23" s="74">
        <f t="shared" si="15"/>
        <v>3.855806048</v>
      </c>
      <c r="AB23" s="74">
        <f t="shared" si="15"/>
        <v>3.932922169</v>
      </c>
      <c r="AC23" s="74">
        <f t="shared" si="15"/>
        <v>4.011580613</v>
      </c>
      <c r="AD23" s="74">
        <f t="shared" si="15"/>
        <v>4.091812225</v>
      </c>
      <c r="AE23" s="74">
        <f t="shared" si="15"/>
        <v>4.173648469</v>
      </c>
      <c r="AF23" s="74">
        <f t="shared" si="15"/>
        <v>4.257121439</v>
      </c>
      <c r="AG23" s="74">
        <f t="shared" si="15"/>
        <v>4.342263867</v>
      </c>
      <c r="AH23" s="74">
        <f t="shared" si="15"/>
        <v>4.429109145</v>
      </c>
      <c r="AI23" s="74">
        <f t="shared" si="15"/>
        <v>4.517691328</v>
      </c>
      <c r="AJ23" s="74">
        <f t="shared" si="15"/>
        <v>4.608045154</v>
      </c>
      <c r="AK23" s="74">
        <f t="shared" si="15"/>
        <v>4.700206057</v>
      </c>
      <c r="AL23" s="74">
        <f t="shared" si="15"/>
        <v>4.794210178</v>
      </c>
      <c r="AM23" s="74">
        <f t="shared" si="15"/>
        <v>4.890094382</v>
      </c>
      <c r="AN23" s="74">
        <f t="shared" si="15"/>
        <v>4.98789627</v>
      </c>
      <c r="AO23" s="74">
        <f t="shared" si="15"/>
        <v>5.087654195</v>
      </c>
      <c r="AP23" s="74">
        <f t="shared" si="15"/>
        <v>5.189407279</v>
      </c>
      <c r="AQ23" s="74">
        <f t="shared" si="15"/>
        <v>5.293195425</v>
      </c>
      <c r="AR23" s="74">
        <f t="shared" si="15"/>
        <v>5.399059333</v>
      </c>
      <c r="AS23" s="74">
        <f t="shared" si="15"/>
        <v>5.50704052</v>
      </c>
      <c r="AT23" s="74">
        <f t="shared" si="15"/>
        <v>5.61718133</v>
      </c>
      <c r="AU23" s="74">
        <f t="shared" si="15"/>
        <v>5.729524957</v>
      </c>
      <c r="AV23" s="74">
        <f t="shared" si="15"/>
        <v>5.844115456</v>
      </c>
      <c r="AW23" s="74">
        <f t="shared" si="15"/>
        <v>5.960997765</v>
      </c>
      <c r="AX23" s="74">
        <f t="shared" si="15"/>
        <v>6.08021772</v>
      </c>
      <c r="AY23" s="74">
        <f t="shared" si="15"/>
        <v>6.201822075</v>
      </c>
      <c r="AZ23" s="74">
        <f t="shared" si="15"/>
        <v>6.325858516</v>
      </c>
      <c r="BA23" s="74">
        <f t="shared" si="15"/>
        <v>6.452375686</v>
      </c>
      <c r="BB23" s="74">
        <f t="shared" si="15"/>
        <v>6.5814232</v>
      </c>
      <c r="BC23" s="74">
        <f t="shared" si="15"/>
        <v>6.713051664</v>
      </c>
      <c r="BD23" s="74">
        <f t="shared" si="15"/>
        <v>6.847312697</v>
      </c>
      <c r="BE23" s="74">
        <f t="shared" si="15"/>
        <v>6.984258951</v>
      </c>
      <c r="BF23" s="74">
        <f t="shared" si="15"/>
        <v>7.12394413</v>
      </c>
      <c r="BG23" s="74">
        <f t="shared" si="15"/>
        <v>7.266423013</v>
      </c>
      <c r="BH23" s="74">
        <f t="shared" si="15"/>
        <v>7.411751473</v>
      </c>
      <c r="BI23" s="74">
        <f t="shared" si="15"/>
        <v>7.559986503</v>
      </c>
      <c r="BJ23" s="74">
        <f t="shared" si="15"/>
        <v>7.711186233</v>
      </c>
      <c r="BK23" s="74">
        <f t="shared" si="15"/>
        <v>7.865409957</v>
      </c>
      <c r="BL23" s="74">
        <f t="shared" si="15"/>
        <v>8.022718157</v>
      </c>
      <c r="BM23" s="74">
        <f t="shared" si="15"/>
        <v>8.18317252</v>
      </c>
      <c r="BN23" s="74">
        <f t="shared" si="15"/>
        <v>8.34683597</v>
      </c>
      <c r="BO23" s="74">
        <f t="shared" si="15"/>
        <v>8.51377269</v>
      </c>
      <c r="BP23" s="74">
        <f t="shared" si="15"/>
        <v>8.684048143</v>
      </c>
      <c r="BQ23" s="74">
        <f t="shared" si="15"/>
        <v>8.857729106</v>
      </c>
      <c r="BR23" s="74">
        <f t="shared" si="15"/>
        <v>9.034883688</v>
      </c>
      <c r="BS23" s="74">
        <f t="shared" si="15"/>
        <v>9.215581362</v>
      </c>
      <c r="BT23" s="74">
        <f t="shared" si="15"/>
        <v>9.399892989</v>
      </c>
      <c r="BU23" s="74">
        <f t="shared" si="15"/>
        <v>9.587890849</v>
      </c>
      <c r="BV23" s="74">
        <f t="shared" si="15"/>
        <v>9.779648666</v>
      </c>
      <c r="BW23" s="74">
        <f t="shared" si="15"/>
        <v>9.975241639</v>
      </c>
      <c r="BX23" s="74">
        <f t="shared" si="15"/>
        <v>10.17474647</v>
      </c>
      <c r="BY23" s="74">
        <f t="shared" si="15"/>
        <v>10.3782414</v>
      </c>
      <c r="BZ23" s="74">
        <f t="shared" si="15"/>
        <v>10.58580623</v>
      </c>
      <c r="CA23" s="74">
        <f t="shared" si="15"/>
        <v>10.79752235</v>
      </c>
    </row>
    <row r="24">
      <c r="A24" s="47"/>
      <c r="B24" s="75"/>
      <c r="C24" s="47"/>
      <c r="D24" s="47"/>
      <c r="E24" s="47"/>
      <c r="F24" s="47"/>
      <c r="G24" s="47"/>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row>
    <row r="25">
      <c r="A25" s="47"/>
      <c r="B25" s="48" t="s">
        <v>23</v>
      </c>
      <c r="C25" s="49"/>
      <c r="D25" s="49"/>
      <c r="E25" s="49"/>
      <c r="F25" s="49"/>
      <c r="G25" s="49"/>
      <c r="H25" s="49"/>
      <c r="I25" s="49"/>
      <c r="J25" s="49"/>
      <c r="K25" s="49"/>
      <c r="L25" s="49"/>
      <c r="M25" s="49"/>
      <c r="N25" s="49"/>
      <c r="O25" s="49"/>
      <c r="P25" s="49"/>
      <c r="Q25" s="49"/>
      <c r="R25" s="49"/>
      <c r="S25" s="49"/>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row>
    <row r="26" outlineLevel="1">
      <c r="A26" s="47"/>
      <c r="B26" s="47"/>
      <c r="C26" s="47"/>
      <c r="D26" s="47"/>
      <c r="E26" s="47"/>
      <c r="F26" s="47"/>
      <c r="G26" s="47"/>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row>
    <row r="27" outlineLevel="1">
      <c r="A27" s="47"/>
      <c r="B27" s="52" t="s">
        <v>24</v>
      </c>
      <c r="C27" s="76"/>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row>
    <row r="28" outlineLevel="1">
      <c r="A28" s="47"/>
      <c r="B28" s="39" t="s">
        <v>19</v>
      </c>
      <c r="C28" s="76"/>
      <c r="D28" s="77"/>
      <c r="E28" s="47"/>
      <c r="F28" s="47"/>
      <c r="G28" s="47"/>
      <c r="H28" s="77"/>
      <c r="I28" s="77"/>
      <c r="J28" s="77"/>
      <c r="K28" s="77"/>
      <c r="L28" s="77"/>
      <c r="M28" s="77"/>
      <c r="N28" s="77"/>
      <c r="O28" s="77"/>
      <c r="P28" s="77"/>
      <c r="Q28" s="77"/>
      <c r="R28" s="77"/>
      <c r="S28" s="77"/>
      <c r="T28" s="77">
        <f t="shared" ref="T28:CA28" si="16">T14</f>
        <v>0</v>
      </c>
      <c r="U28" s="77">
        <f t="shared" si="16"/>
        <v>2.5</v>
      </c>
      <c r="V28" s="77">
        <f t="shared" si="16"/>
        <v>2.55</v>
      </c>
      <c r="W28" s="77">
        <f t="shared" si="16"/>
        <v>2.601</v>
      </c>
      <c r="X28" s="77">
        <f t="shared" si="16"/>
        <v>2.65302</v>
      </c>
      <c r="Y28" s="77">
        <f t="shared" si="16"/>
        <v>2.7060804</v>
      </c>
      <c r="Z28" s="77">
        <f t="shared" si="16"/>
        <v>2.760202008</v>
      </c>
      <c r="AA28" s="77">
        <f t="shared" si="16"/>
        <v>2.815406048</v>
      </c>
      <c r="AB28" s="77">
        <f t="shared" si="16"/>
        <v>2.871714169</v>
      </c>
      <c r="AC28" s="77">
        <f t="shared" si="16"/>
        <v>2.929148453</v>
      </c>
      <c r="AD28" s="77">
        <f t="shared" si="16"/>
        <v>2.987731422</v>
      </c>
      <c r="AE28" s="77">
        <f t="shared" si="16"/>
        <v>3.04748605</v>
      </c>
      <c r="AF28" s="77">
        <f t="shared" si="16"/>
        <v>3.108435771</v>
      </c>
      <c r="AG28" s="77">
        <f t="shared" si="16"/>
        <v>3.170604486</v>
      </c>
      <c r="AH28" s="77">
        <f t="shared" si="16"/>
        <v>3.234016576</v>
      </c>
      <c r="AI28" s="77">
        <f t="shared" si="16"/>
        <v>3.298696908</v>
      </c>
      <c r="AJ28" s="77">
        <f t="shared" si="16"/>
        <v>3.364670846</v>
      </c>
      <c r="AK28" s="77">
        <f t="shared" si="16"/>
        <v>3.431964263</v>
      </c>
      <c r="AL28" s="77">
        <f t="shared" si="16"/>
        <v>3.500603548</v>
      </c>
      <c r="AM28" s="77">
        <f t="shared" si="16"/>
        <v>3.570615619</v>
      </c>
      <c r="AN28" s="77">
        <f t="shared" si="16"/>
        <v>3.642027931</v>
      </c>
      <c r="AO28" s="77">
        <f t="shared" si="16"/>
        <v>3.71486849</v>
      </c>
      <c r="AP28" s="77">
        <f t="shared" si="16"/>
        <v>3.78916586</v>
      </c>
      <c r="AQ28" s="77">
        <f t="shared" si="16"/>
        <v>3.864949177</v>
      </c>
      <c r="AR28" s="77">
        <f t="shared" si="16"/>
        <v>3.94224816</v>
      </c>
      <c r="AS28" s="77">
        <f t="shared" si="16"/>
        <v>4.021093124</v>
      </c>
      <c r="AT28" s="77">
        <f t="shared" si="16"/>
        <v>4.101514986</v>
      </c>
      <c r="AU28" s="77">
        <f t="shared" si="16"/>
        <v>4.183545286</v>
      </c>
      <c r="AV28" s="77">
        <f t="shared" si="16"/>
        <v>4.267216192</v>
      </c>
      <c r="AW28" s="77">
        <f t="shared" si="16"/>
        <v>4.352560515</v>
      </c>
      <c r="AX28" s="77">
        <f t="shared" si="16"/>
        <v>4.439611726</v>
      </c>
      <c r="AY28" s="77">
        <f t="shared" si="16"/>
        <v>4.52840396</v>
      </c>
      <c r="AZ28" s="77">
        <f t="shared" si="16"/>
        <v>4.618972039</v>
      </c>
      <c r="BA28" s="77">
        <f t="shared" si="16"/>
        <v>4.71135148</v>
      </c>
      <c r="BB28" s="77">
        <f t="shared" si="16"/>
        <v>4.80557851</v>
      </c>
      <c r="BC28" s="77">
        <f t="shared" si="16"/>
        <v>4.90169008</v>
      </c>
      <c r="BD28" s="77">
        <f t="shared" si="16"/>
        <v>4.999723882</v>
      </c>
      <c r="BE28" s="77">
        <f t="shared" si="16"/>
        <v>5.099718359</v>
      </c>
      <c r="BF28" s="77">
        <f t="shared" si="16"/>
        <v>5.201712726</v>
      </c>
      <c r="BG28" s="77">
        <f t="shared" si="16"/>
        <v>5.305746981</v>
      </c>
      <c r="BH28" s="77">
        <f t="shared" si="16"/>
        <v>5.411861921</v>
      </c>
      <c r="BI28" s="77">
        <f t="shared" si="16"/>
        <v>5.520099159</v>
      </c>
      <c r="BJ28" s="77">
        <f t="shared" si="16"/>
        <v>5.630501142</v>
      </c>
      <c r="BK28" s="77">
        <f t="shared" si="16"/>
        <v>5.743111165</v>
      </c>
      <c r="BL28" s="77">
        <f t="shared" si="16"/>
        <v>5.857973388</v>
      </c>
      <c r="BM28" s="77">
        <f t="shared" si="16"/>
        <v>5.975132856</v>
      </c>
      <c r="BN28" s="77">
        <f t="shared" si="16"/>
        <v>6.094635513</v>
      </c>
      <c r="BO28" s="77">
        <f t="shared" si="16"/>
        <v>6.216528224</v>
      </c>
      <c r="BP28" s="77">
        <f t="shared" si="16"/>
        <v>6.340858788</v>
      </c>
      <c r="BQ28" s="77">
        <f t="shared" si="16"/>
        <v>6.467675964</v>
      </c>
      <c r="BR28" s="77">
        <f t="shared" si="16"/>
        <v>6.597029483</v>
      </c>
      <c r="BS28" s="77">
        <f t="shared" si="16"/>
        <v>6.728970073</v>
      </c>
      <c r="BT28" s="77">
        <f t="shared" si="16"/>
        <v>6.863549474</v>
      </c>
      <c r="BU28" s="77">
        <f t="shared" si="16"/>
        <v>7.000820464</v>
      </c>
      <c r="BV28" s="77">
        <f t="shared" si="16"/>
        <v>7.140836873</v>
      </c>
      <c r="BW28" s="77">
        <f t="shared" si="16"/>
        <v>7.28365361</v>
      </c>
      <c r="BX28" s="77">
        <f t="shared" si="16"/>
        <v>7.429326683</v>
      </c>
      <c r="BY28" s="77">
        <f t="shared" si="16"/>
        <v>7.577913216</v>
      </c>
      <c r="BZ28" s="77">
        <f t="shared" si="16"/>
        <v>7.729471481</v>
      </c>
      <c r="CA28" s="77">
        <f t="shared" si="16"/>
        <v>7.88406091</v>
      </c>
    </row>
    <row r="29" outlineLevel="1">
      <c r="A29" s="47"/>
      <c r="B29" s="39" t="s">
        <v>25</v>
      </c>
      <c r="C29" s="76"/>
      <c r="D29" s="47"/>
      <c r="E29" s="47"/>
      <c r="F29" s="47"/>
      <c r="G29" s="47"/>
      <c r="H29" s="39">
        <v>0.0</v>
      </c>
      <c r="I29" s="39">
        <v>0.0</v>
      </c>
      <c r="J29" s="39">
        <v>0.0</v>
      </c>
      <c r="K29" s="39">
        <v>0.0</v>
      </c>
      <c r="L29" s="39">
        <v>0.0</v>
      </c>
      <c r="M29" s="39">
        <v>0.0</v>
      </c>
      <c r="N29" s="39">
        <v>0.0</v>
      </c>
      <c r="O29" s="39">
        <v>0.0</v>
      </c>
      <c r="P29" s="39">
        <v>0.0</v>
      </c>
      <c r="Q29" s="39">
        <v>0.0</v>
      </c>
      <c r="R29" s="39">
        <v>0.0</v>
      </c>
      <c r="S29" s="39"/>
      <c r="T29" s="77">
        <f t="shared" ref="T29:CA29" si="17">T28+T34</f>
        <v>0</v>
      </c>
      <c r="U29" s="77">
        <f t="shared" si="17"/>
        <v>2.5</v>
      </c>
      <c r="V29" s="77">
        <f t="shared" si="17"/>
        <v>2.55</v>
      </c>
      <c r="W29" s="77">
        <f t="shared" si="17"/>
        <v>2.601</v>
      </c>
      <c r="X29" s="77">
        <f t="shared" si="17"/>
        <v>2.65302</v>
      </c>
      <c r="Y29" s="77">
        <f t="shared" si="17"/>
        <v>2.7060804</v>
      </c>
      <c r="Z29" s="77">
        <f t="shared" si="17"/>
        <v>2.760202008</v>
      </c>
      <c r="AA29" s="77">
        <f t="shared" si="17"/>
        <v>2.815406048</v>
      </c>
      <c r="AB29" s="77">
        <f t="shared" si="17"/>
        <v>2.871714169</v>
      </c>
      <c r="AC29" s="77">
        <f t="shared" si="17"/>
        <v>2.929148453</v>
      </c>
      <c r="AD29" s="77">
        <f t="shared" si="17"/>
        <v>2.987731422</v>
      </c>
      <c r="AE29" s="77">
        <f t="shared" si="17"/>
        <v>3.04748605</v>
      </c>
      <c r="AF29" s="77">
        <f t="shared" si="17"/>
        <v>3.108435771</v>
      </c>
      <c r="AG29" s="77">
        <f t="shared" si="17"/>
        <v>5.170604486</v>
      </c>
      <c r="AH29" s="77">
        <f t="shared" si="17"/>
        <v>5.274016576</v>
      </c>
      <c r="AI29" s="77">
        <f t="shared" si="17"/>
        <v>5.379496908</v>
      </c>
      <c r="AJ29" s="77">
        <f t="shared" si="17"/>
        <v>5.487086846</v>
      </c>
      <c r="AK29" s="77">
        <f t="shared" si="17"/>
        <v>5.596828583</v>
      </c>
      <c r="AL29" s="77">
        <f t="shared" si="17"/>
        <v>5.708765154</v>
      </c>
      <c r="AM29" s="77">
        <f t="shared" si="17"/>
        <v>5.822940457</v>
      </c>
      <c r="AN29" s="77">
        <f t="shared" si="17"/>
        <v>5.939399267</v>
      </c>
      <c r="AO29" s="77">
        <f t="shared" si="17"/>
        <v>6.058187252</v>
      </c>
      <c r="AP29" s="77">
        <f t="shared" si="17"/>
        <v>6.179350997</v>
      </c>
      <c r="AQ29" s="77">
        <f t="shared" si="17"/>
        <v>6.302938017</v>
      </c>
      <c r="AR29" s="77">
        <f t="shared" si="17"/>
        <v>6.428996777</v>
      </c>
      <c r="AS29" s="77">
        <f t="shared" si="17"/>
        <v>8.157576713</v>
      </c>
      <c r="AT29" s="77">
        <f t="shared" si="17"/>
        <v>8.320728247</v>
      </c>
      <c r="AU29" s="77">
        <f t="shared" si="17"/>
        <v>8.487142812</v>
      </c>
      <c r="AV29" s="77">
        <f t="shared" si="17"/>
        <v>8.656885668</v>
      </c>
      <c r="AW29" s="77">
        <f t="shared" si="17"/>
        <v>8.830023382</v>
      </c>
      <c r="AX29" s="77">
        <f t="shared" si="17"/>
        <v>9.006623849</v>
      </c>
      <c r="AY29" s="77">
        <f t="shared" si="17"/>
        <v>9.186756326</v>
      </c>
      <c r="AZ29" s="77">
        <f t="shared" si="17"/>
        <v>9.370491453</v>
      </c>
      <c r="BA29" s="77">
        <f t="shared" si="17"/>
        <v>9.557901282</v>
      </c>
      <c r="BB29" s="77">
        <f t="shared" si="17"/>
        <v>9.749059307</v>
      </c>
      <c r="BC29" s="77">
        <f t="shared" si="17"/>
        <v>9.944040494</v>
      </c>
      <c r="BD29" s="77">
        <f t="shared" si="17"/>
        <v>10.1429213</v>
      </c>
      <c r="BE29" s="77">
        <f t="shared" si="17"/>
        <v>11.62577973</v>
      </c>
      <c r="BF29" s="77">
        <f t="shared" si="17"/>
        <v>11.85829532</v>
      </c>
      <c r="BG29" s="77">
        <f t="shared" si="17"/>
        <v>12.09546123</v>
      </c>
      <c r="BH29" s="77">
        <f t="shared" si="17"/>
        <v>12.33737046</v>
      </c>
      <c r="BI29" s="77">
        <f t="shared" si="17"/>
        <v>12.58411786</v>
      </c>
      <c r="BJ29" s="77">
        <f t="shared" si="17"/>
        <v>12.83580022</v>
      </c>
      <c r="BK29" s="77">
        <f t="shared" si="17"/>
        <v>13.09251623</v>
      </c>
      <c r="BL29" s="77">
        <f t="shared" si="17"/>
        <v>13.35436655</v>
      </c>
      <c r="BM29" s="77">
        <f t="shared" si="17"/>
        <v>13.62145388</v>
      </c>
      <c r="BN29" s="77">
        <f t="shared" si="17"/>
        <v>13.89388296</v>
      </c>
      <c r="BO29" s="77">
        <f t="shared" si="17"/>
        <v>14.17176062</v>
      </c>
      <c r="BP29" s="77">
        <f t="shared" si="17"/>
        <v>14.45519583</v>
      </c>
      <c r="BQ29" s="77">
        <f t="shared" si="17"/>
        <v>15.76829975</v>
      </c>
      <c r="BR29" s="77">
        <f t="shared" si="17"/>
        <v>16.08366574</v>
      </c>
      <c r="BS29" s="77">
        <f t="shared" si="17"/>
        <v>16.40533906</v>
      </c>
      <c r="BT29" s="77">
        <f t="shared" si="17"/>
        <v>16.73344584</v>
      </c>
      <c r="BU29" s="77">
        <f t="shared" si="17"/>
        <v>17.06811476</v>
      </c>
      <c r="BV29" s="77">
        <f t="shared" si="17"/>
        <v>17.40947705</v>
      </c>
      <c r="BW29" s="77">
        <f t="shared" si="17"/>
        <v>17.75766659</v>
      </c>
      <c r="BX29" s="77">
        <f t="shared" si="17"/>
        <v>18.11281992</v>
      </c>
      <c r="BY29" s="77">
        <f t="shared" si="17"/>
        <v>18.47507632</v>
      </c>
      <c r="BZ29" s="77">
        <f t="shared" si="17"/>
        <v>18.84457785</v>
      </c>
      <c r="CA29" s="77">
        <f t="shared" si="17"/>
        <v>19.2214694</v>
      </c>
    </row>
    <row r="30" outlineLevel="1">
      <c r="A30" s="47"/>
      <c r="B30" s="39" t="s">
        <v>26</v>
      </c>
      <c r="C30" s="76"/>
      <c r="D30" s="47"/>
      <c r="E30" s="47"/>
      <c r="F30" s="47"/>
      <c r="G30" s="47"/>
      <c r="H30" s="39"/>
      <c r="I30" s="39"/>
      <c r="J30" s="39"/>
      <c r="K30" s="39"/>
      <c r="L30" s="39"/>
      <c r="M30" s="39"/>
      <c r="N30" s="39"/>
      <c r="O30" s="39"/>
      <c r="P30" s="39"/>
      <c r="Q30" s="39"/>
      <c r="R30" s="39"/>
      <c r="S30" s="39"/>
      <c r="T30" s="47">
        <f t="shared" ref="T30:CA30" si="18">H29</f>
        <v>0</v>
      </c>
      <c r="U30" s="47">
        <f t="shared" si="18"/>
        <v>0</v>
      </c>
      <c r="V30" s="47">
        <f t="shared" si="18"/>
        <v>0</v>
      </c>
      <c r="W30" s="47">
        <f t="shared" si="18"/>
        <v>0</v>
      </c>
      <c r="X30" s="47">
        <f t="shared" si="18"/>
        <v>0</v>
      </c>
      <c r="Y30" s="47">
        <f t="shared" si="18"/>
        <v>0</v>
      </c>
      <c r="Z30" s="47">
        <f t="shared" si="18"/>
        <v>0</v>
      </c>
      <c r="AA30" s="47">
        <f t="shared" si="18"/>
        <v>0</v>
      </c>
      <c r="AB30" s="47">
        <f t="shared" si="18"/>
        <v>0</v>
      </c>
      <c r="AC30" s="47">
        <f t="shared" si="18"/>
        <v>0</v>
      </c>
      <c r="AD30" s="47">
        <f t="shared" si="18"/>
        <v>0</v>
      </c>
      <c r="AE30" s="47" t="str">
        <f t="shared" si="18"/>
        <v/>
      </c>
      <c r="AF30" s="77">
        <f t="shared" si="18"/>
        <v>0</v>
      </c>
      <c r="AG30" s="77">
        <f t="shared" si="18"/>
        <v>2.5</v>
      </c>
      <c r="AH30" s="77">
        <f t="shared" si="18"/>
        <v>2.55</v>
      </c>
      <c r="AI30" s="77">
        <f t="shared" si="18"/>
        <v>2.601</v>
      </c>
      <c r="AJ30" s="77">
        <f t="shared" si="18"/>
        <v>2.65302</v>
      </c>
      <c r="AK30" s="77">
        <f t="shared" si="18"/>
        <v>2.7060804</v>
      </c>
      <c r="AL30" s="77">
        <f t="shared" si="18"/>
        <v>2.760202008</v>
      </c>
      <c r="AM30" s="77">
        <f t="shared" si="18"/>
        <v>2.815406048</v>
      </c>
      <c r="AN30" s="77">
        <f t="shared" si="18"/>
        <v>2.871714169</v>
      </c>
      <c r="AO30" s="77">
        <f t="shared" si="18"/>
        <v>2.929148453</v>
      </c>
      <c r="AP30" s="77">
        <f t="shared" si="18"/>
        <v>2.987731422</v>
      </c>
      <c r="AQ30" s="77">
        <f t="shared" si="18"/>
        <v>3.04748605</v>
      </c>
      <c r="AR30" s="77">
        <f t="shared" si="18"/>
        <v>3.108435771</v>
      </c>
      <c r="AS30" s="77">
        <f t="shared" si="18"/>
        <v>5.170604486</v>
      </c>
      <c r="AT30" s="77">
        <f t="shared" si="18"/>
        <v>5.274016576</v>
      </c>
      <c r="AU30" s="77">
        <f t="shared" si="18"/>
        <v>5.379496908</v>
      </c>
      <c r="AV30" s="77">
        <f t="shared" si="18"/>
        <v>5.487086846</v>
      </c>
      <c r="AW30" s="77">
        <f t="shared" si="18"/>
        <v>5.596828583</v>
      </c>
      <c r="AX30" s="77">
        <f t="shared" si="18"/>
        <v>5.708765154</v>
      </c>
      <c r="AY30" s="77">
        <f t="shared" si="18"/>
        <v>5.822940457</v>
      </c>
      <c r="AZ30" s="77">
        <f t="shared" si="18"/>
        <v>5.939399267</v>
      </c>
      <c r="BA30" s="77">
        <f t="shared" si="18"/>
        <v>6.058187252</v>
      </c>
      <c r="BB30" s="77">
        <f t="shared" si="18"/>
        <v>6.179350997</v>
      </c>
      <c r="BC30" s="77">
        <f t="shared" si="18"/>
        <v>6.302938017</v>
      </c>
      <c r="BD30" s="77">
        <f t="shared" si="18"/>
        <v>6.428996777</v>
      </c>
      <c r="BE30" s="77">
        <f t="shared" si="18"/>
        <v>8.157576713</v>
      </c>
      <c r="BF30" s="77">
        <f t="shared" si="18"/>
        <v>8.320728247</v>
      </c>
      <c r="BG30" s="77">
        <f t="shared" si="18"/>
        <v>8.487142812</v>
      </c>
      <c r="BH30" s="77">
        <f t="shared" si="18"/>
        <v>8.656885668</v>
      </c>
      <c r="BI30" s="77">
        <f t="shared" si="18"/>
        <v>8.830023382</v>
      </c>
      <c r="BJ30" s="77">
        <f t="shared" si="18"/>
        <v>9.006623849</v>
      </c>
      <c r="BK30" s="77">
        <f t="shared" si="18"/>
        <v>9.186756326</v>
      </c>
      <c r="BL30" s="77">
        <f t="shared" si="18"/>
        <v>9.370491453</v>
      </c>
      <c r="BM30" s="77">
        <f t="shared" si="18"/>
        <v>9.557901282</v>
      </c>
      <c r="BN30" s="77">
        <f t="shared" si="18"/>
        <v>9.749059307</v>
      </c>
      <c r="BO30" s="77">
        <f t="shared" si="18"/>
        <v>9.944040494</v>
      </c>
      <c r="BP30" s="77">
        <f t="shared" si="18"/>
        <v>10.1429213</v>
      </c>
      <c r="BQ30" s="77">
        <f t="shared" si="18"/>
        <v>11.62577973</v>
      </c>
      <c r="BR30" s="77">
        <f t="shared" si="18"/>
        <v>11.85829532</v>
      </c>
      <c r="BS30" s="77">
        <f t="shared" si="18"/>
        <v>12.09546123</v>
      </c>
      <c r="BT30" s="77">
        <f t="shared" si="18"/>
        <v>12.33737046</v>
      </c>
      <c r="BU30" s="77">
        <f t="shared" si="18"/>
        <v>12.58411786</v>
      </c>
      <c r="BV30" s="77">
        <f t="shared" si="18"/>
        <v>12.83580022</v>
      </c>
      <c r="BW30" s="77">
        <f t="shared" si="18"/>
        <v>13.09251623</v>
      </c>
      <c r="BX30" s="77">
        <f t="shared" si="18"/>
        <v>13.35436655</v>
      </c>
      <c r="BY30" s="77">
        <f t="shared" si="18"/>
        <v>13.62145388</v>
      </c>
      <c r="BZ30" s="77">
        <f t="shared" si="18"/>
        <v>13.89388296</v>
      </c>
      <c r="CA30" s="77">
        <f t="shared" si="18"/>
        <v>14.17176062</v>
      </c>
    </row>
    <row r="31" outlineLevel="1">
      <c r="A31" s="47"/>
      <c r="B31" s="39" t="s">
        <v>27</v>
      </c>
      <c r="C31" s="76"/>
      <c r="D31" s="47"/>
      <c r="E31" s="47"/>
      <c r="F31" s="47"/>
      <c r="G31" s="47"/>
      <c r="H31" s="47"/>
      <c r="I31" s="47"/>
      <c r="J31" s="47"/>
      <c r="K31" s="47"/>
      <c r="L31" s="47"/>
      <c r="M31" s="47"/>
      <c r="N31" s="47"/>
      <c r="O31" s="47"/>
      <c r="P31" s="47"/>
      <c r="Q31" s="47"/>
      <c r="R31" s="47"/>
      <c r="S31" s="47"/>
      <c r="T31" s="77">
        <f t="shared" ref="T31:CA31" si="19">T36-T30</f>
        <v>0</v>
      </c>
      <c r="U31" s="77">
        <f t="shared" si="19"/>
        <v>0</v>
      </c>
      <c r="V31" s="77">
        <f t="shared" si="19"/>
        <v>2.5</v>
      </c>
      <c r="W31" s="77">
        <f t="shared" si="19"/>
        <v>5.05</v>
      </c>
      <c r="X31" s="77">
        <f t="shared" si="19"/>
        <v>7.651</v>
      </c>
      <c r="Y31" s="77">
        <f t="shared" si="19"/>
        <v>10.30402</v>
      </c>
      <c r="Z31" s="77">
        <f t="shared" si="19"/>
        <v>13.0101004</v>
      </c>
      <c r="AA31" s="77">
        <f t="shared" si="19"/>
        <v>15.77030241</v>
      </c>
      <c r="AB31" s="77">
        <f t="shared" si="19"/>
        <v>18.58570846</v>
      </c>
      <c r="AC31" s="77">
        <f t="shared" si="19"/>
        <v>21.45742263</v>
      </c>
      <c r="AD31" s="77">
        <f t="shared" si="19"/>
        <v>24.38657108</v>
      </c>
      <c r="AE31" s="77">
        <f t="shared" si="19"/>
        <v>27.3743025</v>
      </c>
      <c r="AF31" s="77">
        <f t="shared" si="19"/>
        <v>30.42178855</v>
      </c>
      <c r="AG31" s="77">
        <f t="shared" si="19"/>
        <v>31.03022432</v>
      </c>
      <c r="AH31" s="77">
        <f t="shared" si="19"/>
        <v>33.65082881</v>
      </c>
      <c r="AI31" s="77">
        <f t="shared" si="19"/>
        <v>36.32384538</v>
      </c>
      <c r="AJ31" s="77">
        <f t="shared" si="19"/>
        <v>39.05032229</v>
      </c>
      <c r="AK31" s="77">
        <f t="shared" si="19"/>
        <v>41.83132874</v>
      </c>
      <c r="AL31" s="77">
        <f t="shared" si="19"/>
        <v>44.66795531</v>
      </c>
      <c r="AM31" s="77">
        <f t="shared" si="19"/>
        <v>47.56131442</v>
      </c>
      <c r="AN31" s="77">
        <f t="shared" si="19"/>
        <v>50.51254071</v>
      </c>
      <c r="AO31" s="77">
        <f t="shared" si="19"/>
        <v>53.52279152</v>
      </c>
      <c r="AP31" s="77">
        <f t="shared" si="19"/>
        <v>56.59324735</v>
      </c>
      <c r="AQ31" s="77">
        <f t="shared" si="19"/>
        <v>59.7251123</v>
      </c>
      <c r="AR31" s="77">
        <f t="shared" si="19"/>
        <v>62.91961454</v>
      </c>
      <c r="AS31" s="77">
        <f t="shared" si="19"/>
        <v>64.17800683</v>
      </c>
      <c r="AT31" s="77">
        <f t="shared" si="19"/>
        <v>67.06156697</v>
      </c>
      <c r="AU31" s="77">
        <f t="shared" si="19"/>
        <v>70.00279831</v>
      </c>
      <c r="AV31" s="77">
        <f t="shared" si="19"/>
        <v>73.00285428</v>
      </c>
      <c r="AW31" s="77">
        <f t="shared" si="19"/>
        <v>76.06291136</v>
      </c>
      <c r="AX31" s="77">
        <f t="shared" si="19"/>
        <v>79.18416959</v>
      </c>
      <c r="AY31" s="77">
        <f t="shared" si="19"/>
        <v>82.36785298</v>
      </c>
      <c r="AZ31" s="77">
        <f t="shared" si="19"/>
        <v>85.61521004</v>
      </c>
      <c r="BA31" s="77">
        <f t="shared" si="19"/>
        <v>88.92751424</v>
      </c>
      <c r="BB31" s="77">
        <f t="shared" si="19"/>
        <v>92.30606453</v>
      </c>
      <c r="BC31" s="77">
        <f t="shared" si="19"/>
        <v>95.75218582</v>
      </c>
      <c r="BD31" s="77">
        <f t="shared" si="19"/>
        <v>99.26722953</v>
      </c>
      <c r="BE31" s="77">
        <f t="shared" si="19"/>
        <v>101.2525741</v>
      </c>
      <c r="BF31" s="77">
        <f t="shared" si="19"/>
        <v>104.5576256</v>
      </c>
      <c r="BG31" s="77">
        <f t="shared" si="19"/>
        <v>107.9287781</v>
      </c>
      <c r="BH31" s="77">
        <f t="shared" si="19"/>
        <v>111.3673537</v>
      </c>
      <c r="BI31" s="77">
        <f t="shared" si="19"/>
        <v>114.8747008</v>
      </c>
      <c r="BJ31" s="77">
        <f t="shared" si="19"/>
        <v>118.4521948</v>
      </c>
      <c r="BK31" s="77">
        <f t="shared" si="19"/>
        <v>122.1012387</v>
      </c>
      <c r="BL31" s="77">
        <f t="shared" si="19"/>
        <v>125.8232634</v>
      </c>
      <c r="BM31" s="77">
        <f t="shared" si="19"/>
        <v>129.6197287</v>
      </c>
      <c r="BN31" s="77">
        <f t="shared" si="19"/>
        <v>133.4921233</v>
      </c>
      <c r="BO31" s="77">
        <f t="shared" si="19"/>
        <v>137.4419657</v>
      </c>
      <c r="BP31" s="77">
        <f t="shared" si="19"/>
        <v>141.4708051</v>
      </c>
      <c r="BQ31" s="77">
        <f t="shared" si="19"/>
        <v>144.3002212</v>
      </c>
      <c r="BR31" s="77">
        <f t="shared" si="19"/>
        <v>148.2102256</v>
      </c>
      <c r="BS31" s="77">
        <f t="shared" si="19"/>
        <v>152.1984301</v>
      </c>
      <c r="BT31" s="77">
        <f t="shared" si="19"/>
        <v>156.2663987</v>
      </c>
      <c r="BU31" s="77">
        <f t="shared" si="19"/>
        <v>160.4157267</v>
      </c>
      <c r="BV31" s="77">
        <f t="shared" si="19"/>
        <v>164.6480412</v>
      </c>
      <c r="BW31" s="77">
        <f t="shared" si="19"/>
        <v>168.965002</v>
      </c>
      <c r="BX31" s="77">
        <f t="shared" si="19"/>
        <v>173.3683021</v>
      </c>
      <c r="BY31" s="77">
        <f t="shared" si="19"/>
        <v>177.8596681</v>
      </c>
      <c r="BZ31" s="77">
        <f t="shared" si="19"/>
        <v>182.4408615</v>
      </c>
      <c r="CA31" s="77">
        <f t="shared" si="19"/>
        <v>187.1136787</v>
      </c>
    </row>
    <row r="32" outlineLevel="1">
      <c r="A32" s="47"/>
      <c r="B32" s="39" t="s">
        <v>28</v>
      </c>
      <c r="C32" s="76"/>
      <c r="D32" s="78">
        <v>0.2</v>
      </c>
      <c r="E32" s="47"/>
      <c r="F32" s="47"/>
      <c r="G32" s="47"/>
      <c r="H32" s="79"/>
      <c r="I32" s="79"/>
      <c r="J32" s="79"/>
      <c r="K32" s="79"/>
      <c r="L32" s="79"/>
      <c r="M32" s="79"/>
      <c r="N32" s="79"/>
      <c r="O32" s="79"/>
      <c r="P32" s="79"/>
      <c r="Q32" s="79"/>
      <c r="R32" s="79"/>
      <c r="S32" s="79"/>
      <c r="T32" s="80">
        <f>D32</f>
        <v>0.2</v>
      </c>
      <c r="U32" s="80">
        <f t="shared" ref="U32:CA32" si="20">T32</f>
        <v>0.2</v>
      </c>
      <c r="V32" s="80">
        <f t="shared" si="20"/>
        <v>0.2</v>
      </c>
      <c r="W32" s="80">
        <f t="shared" si="20"/>
        <v>0.2</v>
      </c>
      <c r="X32" s="80">
        <f t="shared" si="20"/>
        <v>0.2</v>
      </c>
      <c r="Y32" s="80">
        <f t="shared" si="20"/>
        <v>0.2</v>
      </c>
      <c r="Z32" s="80">
        <f t="shared" si="20"/>
        <v>0.2</v>
      </c>
      <c r="AA32" s="80">
        <f t="shared" si="20"/>
        <v>0.2</v>
      </c>
      <c r="AB32" s="80">
        <f t="shared" si="20"/>
        <v>0.2</v>
      </c>
      <c r="AC32" s="80">
        <f t="shared" si="20"/>
        <v>0.2</v>
      </c>
      <c r="AD32" s="80">
        <f t="shared" si="20"/>
        <v>0.2</v>
      </c>
      <c r="AE32" s="80">
        <f t="shared" si="20"/>
        <v>0.2</v>
      </c>
      <c r="AF32" s="80">
        <f t="shared" si="20"/>
        <v>0.2</v>
      </c>
      <c r="AG32" s="80">
        <f t="shared" si="20"/>
        <v>0.2</v>
      </c>
      <c r="AH32" s="80">
        <f t="shared" si="20"/>
        <v>0.2</v>
      </c>
      <c r="AI32" s="80">
        <f t="shared" si="20"/>
        <v>0.2</v>
      </c>
      <c r="AJ32" s="80">
        <f t="shared" si="20"/>
        <v>0.2</v>
      </c>
      <c r="AK32" s="80">
        <f t="shared" si="20"/>
        <v>0.2</v>
      </c>
      <c r="AL32" s="80">
        <f t="shared" si="20"/>
        <v>0.2</v>
      </c>
      <c r="AM32" s="80">
        <f t="shared" si="20"/>
        <v>0.2</v>
      </c>
      <c r="AN32" s="80">
        <f t="shared" si="20"/>
        <v>0.2</v>
      </c>
      <c r="AO32" s="80">
        <f t="shared" si="20"/>
        <v>0.2</v>
      </c>
      <c r="AP32" s="80">
        <f t="shared" si="20"/>
        <v>0.2</v>
      </c>
      <c r="AQ32" s="80">
        <f t="shared" si="20"/>
        <v>0.2</v>
      </c>
      <c r="AR32" s="80">
        <f t="shared" si="20"/>
        <v>0.2</v>
      </c>
      <c r="AS32" s="80">
        <f t="shared" si="20"/>
        <v>0.2</v>
      </c>
      <c r="AT32" s="80">
        <f t="shared" si="20"/>
        <v>0.2</v>
      </c>
      <c r="AU32" s="80">
        <f t="shared" si="20"/>
        <v>0.2</v>
      </c>
      <c r="AV32" s="80">
        <f t="shared" si="20"/>
        <v>0.2</v>
      </c>
      <c r="AW32" s="80">
        <f t="shared" si="20"/>
        <v>0.2</v>
      </c>
      <c r="AX32" s="80">
        <f t="shared" si="20"/>
        <v>0.2</v>
      </c>
      <c r="AY32" s="80">
        <f t="shared" si="20"/>
        <v>0.2</v>
      </c>
      <c r="AZ32" s="80">
        <f t="shared" si="20"/>
        <v>0.2</v>
      </c>
      <c r="BA32" s="80">
        <f t="shared" si="20"/>
        <v>0.2</v>
      </c>
      <c r="BB32" s="80">
        <f t="shared" si="20"/>
        <v>0.2</v>
      </c>
      <c r="BC32" s="80">
        <f t="shared" si="20"/>
        <v>0.2</v>
      </c>
      <c r="BD32" s="80">
        <f t="shared" si="20"/>
        <v>0.2</v>
      </c>
      <c r="BE32" s="80">
        <f t="shared" si="20"/>
        <v>0.2</v>
      </c>
      <c r="BF32" s="80">
        <f t="shared" si="20"/>
        <v>0.2</v>
      </c>
      <c r="BG32" s="80">
        <f t="shared" si="20"/>
        <v>0.2</v>
      </c>
      <c r="BH32" s="80">
        <f t="shared" si="20"/>
        <v>0.2</v>
      </c>
      <c r="BI32" s="80">
        <f t="shared" si="20"/>
        <v>0.2</v>
      </c>
      <c r="BJ32" s="80">
        <f t="shared" si="20"/>
        <v>0.2</v>
      </c>
      <c r="BK32" s="80">
        <f t="shared" si="20"/>
        <v>0.2</v>
      </c>
      <c r="BL32" s="80">
        <f t="shared" si="20"/>
        <v>0.2</v>
      </c>
      <c r="BM32" s="80">
        <f t="shared" si="20"/>
        <v>0.2</v>
      </c>
      <c r="BN32" s="80">
        <f t="shared" si="20"/>
        <v>0.2</v>
      </c>
      <c r="BO32" s="80">
        <f t="shared" si="20"/>
        <v>0.2</v>
      </c>
      <c r="BP32" s="80">
        <f t="shared" si="20"/>
        <v>0.2</v>
      </c>
      <c r="BQ32" s="80">
        <f t="shared" si="20"/>
        <v>0.2</v>
      </c>
      <c r="BR32" s="80">
        <f t="shared" si="20"/>
        <v>0.2</v>
      </c>
      <c r="BS32" s="80">
        <f t="shared" si="20"/>
        <v>0.2</v>
      </c>
      <c r="BT32" s="80">
        <f t="shared" si="20"/>
        <v>0.2</v>
      </c>
      <c r="BU32" s="80">
        <f t="shared" si="20"/>
        <v>0.2</v>
      </c>
      <c r="BV32" s="80">
        <f t="shared" si="20"/>
        <v>0.2</v>
      </c>
      <c r="BW32" s="80">
        <f t="shared" si="20"/>
        <v>0.2</v>
      </c>
      <c r="BX32" s="80">
        <f t="shared" si="20"/>
        <v>0.2</v>
      </c>
      <c r="BY32" s="80">
        <f t="shared" si="20"/>
        <v>0.2</v>
      </c>
      <c r="BZ32" s="80">
        <f t="shared" si="20"/>
        <v>0.2</v>
      </c>
      <c r="CA32" s="80">
        <f t="shared" si="20"/>
        <v>0.2</v>
      </c>
    </row>
    <row r="33" outlineLevel="1">
      <c r="A33" s="47"/>
      <c r="B33" s="39" t="s">
        <v>29</v>
      </c>
      <c r="C33" s="76"/>
      <c r="D33" s="77"/>
      <c r="E33" s="47"/>
      <c r="F33" s="47"/>
      <c r="G33" s="47"/>
      <c r="H33" s="77"/>
      <c r="I33" s="77"/>
      <c r="J33" s="77"/>
      <c r="K33" s="77"/>
      <c r="L33" s="77"/>
      <c r="M33" s="77"/>
      <c r="N33" s="77"/>
      <c r="O33" s="77"/>
      <c r="P33" s="77"/>
      <c r="Q33" s="77"/>
      <c r="R33" s="77"/>
      <c r="S33" s="77"/>
      <c r="T33" s="77">
        <f t="shared" ref="T33:CA33" si="21">T30*T32</f>
        <v>0</v>
      </c>
      <c r="U33" s="77">
        <f t="shared" si="21"/>
        <v>0</v>
      </c>
      <c r="V33" s="77">
        <f t="shared" si="21"/>
        <v>0</v>
      </c>
      <c r="W33" s="77">
        <f t="shared" si="21"/>
        <v>0</v>
      </c>
      <c r="X33" s="77">
        <f t="shared" si="21"/>
        <v>0</v>
      </c>
      <c r="Y33" s="77">
        <f t="shared" si="21"/>
        <v>0</v>
      </c>
      <c r="Z33" s="77">
        <f t="shared" si="21"/>
        <v>0</v>
      </c>
      <c r="AA33" s="77">
        <f t="shared" si="21"/>
        <v>0</v>
      </c>
      <c r="AB33" s="77">
        <f t="shared" si="21"/>
        <v>0</v>
      </c>
      <c r="AC33" s="77">
        <f t="shared" si="21"/>
        <v>0</v>
      </c>
      <c r="AD33" s="77">
        <f t="shared" si="21"/>
        <v>0</v>
      </c>
      <c r="AE33" s="77">
        <f t="shared" si="21"/>
        <v>0</v>
      </c>
      <c r="AF33" s="77">
        <f t="shared" si="21"/>
        <v>0</v>
      </c>
      <c r="AG33" s="77">
        <f t="shared" si="21"/>
        <v>0.5</v>
      </c>
      <c r="AH33" s="77">
        <f t="shared" si="21"/>
        <v>0.51</v>
      </c>
      <c r="AI33" s="77">
        <f t="shared" si="21"/>
        <v>0.5202</v>
      </c>
      <c r="AJ33" s="77">
        <f t="shared" si="21"/>
        <v>0.530604</v>
      </c>
      <c r="AK33" s="77">
        <f t="shared" si="21"/>
        <v>0.54121608</v>
      </c>
      <c r="AL33" s="77">
        <f t="shared" si="21"/>
        <v>0.5520404016</v>
      </c>
      <c r="AM33" s="77">
        <f t="shared" si="21"/>
        <v>0.5630812096</v>
      </c>
      <c r="AN33" s="77">
        <f t="shared" si="21"/>
        <v>0.5743428338</v>
      </c>
      <c r="AO33" s="77">
        <f t="shared" si="21"/>
        <v>0.5858296905</v>
      </c>
      <c r="AP33" s="77">
        <f t="shared" si="21"/>
        <v>0.5975462843</v>
      </c>
      <c r="AQ33" s="77">
        <f t="shared" si="21"/>
        <v>0.60949721</v>
      </c>
      <c r="AR33" s="77">
        <f t="shared" si="21"/>
        <v>0.6216871542</v>
      </c>
      <c r="AS33" s="77">
        <f t="shared" si="21"/>
        <v>1.034120897</v>
      </c>
      <c r="AT33" s="77">
        <f t="shared" si="21"/>
        <v>1.054803315</v>
      </c>
      <c r="AU33" s="77">
        <f t="shared" si="21"/>
        <v>1.075899382</v>
      </c>
      <c r="AV33" s="77">
        <f t="shared" si="21"/>
        <v>1.097417369</v>
      </c>
      <c r="AW33" s="77">
        <f t="shared" si="21"/>
        <v>1.119365717</v>
      </c>
      <c r="AX33" s="77">
        <f t="shared" si="21"/>
        <v>1.141753031</v>
      </c>
      <c r="AY33" s="77">
        <f t="shared" si="21"/>
        <v>1.164588091</v>
      </c>
      <c r="AZ33" s="77">
        <f t="shared" si="21"/>
        <v>1.187879853</v>
      </c>
      <c r="BA33" s="77">
        <f t="shared" si="21"/>
        <v>1.21163745</v>
      </c>
      <c r="BB33" s="77">
        <f t="shared" si="21"/>
        <v>1.235870199</v>
      </c>
      <c r="BC33" s="77">
        <f t="shared" si="21"/>
        <v>1.260587603</v>
      </c>
      <c r="BD33" s="77">
        <f t="shared" si="21"/>
        <v>1.285799355</v>
      </c>
      <c r="BE33" s="77">
        <f t="shared" si="21"/>
        <v>1.631515343</v>
      </c>
      <c r="BF33" s="77">
        <f t="shared" si="21"/>
        <v>1.664145649</v>
      </c>
      <c r="BG33" s="77">
        <f t="shared" si="21"/>
        <v>1.697428562</v>
      </c>
      <c r="BH33" s="77">
        <f t="shared" si="21"/>
        <v>1.731377134</v>
      </c>
      <c r="BI33" s="77">
        <f t="shared" si="21"/>
        <v>1.766004676</v>
      </c>
      <c r="BJ33" s="77">
        <f t="shared" si="21"/>
        <v>1.80132477</v>
      </c>
      <c r="BK33" s="77">
        <f t="shared" si="21"/>
        <v>1.837351265</v>
      </c>
      <c r="BL33" s="77">
        <f t="shared" si="21"/>
        <v>1.874098291</v>
      </c>
      <c r="BM33" s="77">
        <f t="shared" si="21"/>
        <v>1.911580256</v>
      </c>
      <c r="BN33" s="77">
        <f t="shared" si="21"/>
        <v>1.949811861</v>
      </c>
      <c r="BO33" s="77">
        <f t="shared" si="21"/>
        <v>1.988808099</v>
      </c>
      <c r="BP33" s="77">
        <f t="shared" si="21"/>
        <v>2.028584261</v>
      </c>
      <c r="BQ33" s="77">
        <f t="shared" si="21"/>
        <v>2.325155946</v>
      </c>
      <c r="BR33" s="77">
        <f t="shared" si="21"/>
        <v>2.371659065</v>
      </c>
      <c r="BS33" s="77">
        <f t="shared" si="21"/>
        <v>2.419092246</v>
      </c>
      <c r="BT33" s="77">
        <f t="shared" si="21"/>
        <v>2.467474091</v>
      </c>
      <c r="BU33" s="77">
        <f t="shared" si="21"/>
        <v>2.516823573</v>
      </c>
      <c r="BV33" s="77">
        <f t="shared" si="21"/>
        <v>2.567160044</v>
      </c>
      <c r="BW33" s="77">
        <f t="shared" si="21"/>
        <v>2.618503245</v>
      </c>
      <c r="BX33" s="77">
        <f t="shared" si="21"/>
        <v>2.67087331</v>
      </c>
      <c r="BY33" s="77">
        <f t="shared" si="21"/>
        <v>2.724290776</v>
      </c>
      <c r="BZ33" s="77">
        <f t="shared" si="21"/>
        <v>2.778776592</v>
      </c>
      <c r="CA33" s="77">
        <f t="shared" si="21"/>
        <v>2.834352124</v>
      </c>
    </row>
    <row r="34" outlineLevel="1">
      <c r="A34" s="47"/>
      <c r="B34" s="39" t="s">
        <v>30</v>
      </c>
      <c r="C34" s="76"/>
      <c r="D34" s="47"/>
      <c r="E34" s="47"/>
      <c r="F34" s="47"/>
      <c r="G34" s="47"/>
      <c r="H34" s="47"/>
      <c r="I34" s="47"/>
      <c r="J34" s="47"/>
      <c r="K34" s="47"/>
      <c r="L34" s="47"/>
      <c r="M34" s="47"/>
      <c r="N34" s="47"/>
      <c r="O34" s="47"/>
      <c r="P34" s="47"/>
      <c r="Q34" s="47"/>
      <c r="R34" s="47"/>
      <c r="S34" s="47"/>
      <c r="T34" s="77">
        <f t="shared" ref="T34:CA34" si="22">T30-T33</f>
        <v>0</v>
      </c>
      <c r="U34" s="77">
        <f t="shared" si="22"/>
        <v>0</v>
      </c>
      <c r="V34" s="77">
        <f t="shared" si="22"/>
        <v>0</v>
      </c>
      <c r="W34" s="77">
        <f t="shared" si="22"/>
        <v>0</v>
      </c>
      <c r="X34" s="77">
        <f t="shared" si="22"/>
        <v>0</v>
      </c>
      <c r="Y34" s="77">
        <f t="shared" si="22"/>
        <v>0</v>
      </c>
      <c r="Z34" s="77">
        <f t="shared" si="22"/>
        <v>0</v>
      </c>
      <c r="AA34" s="77">
        <f t="shared" si="22"/>
        <v>0</v>
      </c>
      <c r="AB34" s="77">
        <f t="shared" si="22"/>
        <v>0</v>
      </c>
      <c r="AC34" s="77">
        <f t="shared" si="22"/>
        <v>0</v>
      </c>
      <c r="AD34" s="77">
        <f t="shared" si="22"/>
        <v>0</v>
      </c>
      <c r="AE34" s="77">
        <f t="shared" si="22"/>
        <v>0</v>
      </c>
      <c r="AF34" s="77">
        <f t="shared" si="22"/>
        <v>0</v>
      </c>
      <c r="AG34" s="77">
        <f t="shared" si="22"/>
        <v>2</v>
      </c>
      <c r="AH34" s="77">
        <f t="shared" si="22"/>
        <v>2.04</v>
      </c>
      <c r="AI34" s="77">
        <f t="shared" si="22"/>
        <v>2.0808</v>
      </c>
      <c r="AJ34" s="77">
        <f t="shared" si="22"/>
        <v>2.122416</v>
      </c>
      <c r="AK34" s="77">
        <f t="shared" si="22"/>
        <v>2.16486432</v>
      </c>
      <c r="AL34" s="77">
        <f t="shared" si="22"/>
        <v>2.208161606</v>
      </c>
      <c r="AM34" s="77">
        <f t="shared" si="22"/>
        <v>2.252324839</v>
      </c>
      <c r="AN34" s="77">
        <f t="shared" si="22"/>
        <v>2.297371335</v>
      </c>
      <c r="AO34" s="77">
        <f t="shared" si="22"/>
        <v>2.343318762</v>
      </c>
      <c r="AP34" s="77">
        <f t="shared" si="22"/>
        <v>2.390185137</v>
      </c>
      <c r="AQ34" s="77">
        <f t="shared" si="22"/>
        <v>2.43798884</v>
      </c>
      <c r="AR34" s="77">
        <f t="shared" si="22"/>
        <v>2.486748617</v>
      </c>
      <c r="AS34" s="77">
        <f t="shared" si="22"/>
        <v>4.136483589</v>
      </c>
      <c r="AT34" s="77">
        <f t="shared" si="22"/>
        <v>4.219213261</v>
      </c>
      <c r="AU34" s="77">
        <f t="shared" si="22"/>
        <v>4.303597526</v>
      </c>
      <c r="AV34" s="77">
        <f t="shared" si="22"/>
        <v>4.389669477</v>
      </c>
      <c r="AW34" s="77">
        <f t="shared" si="22"/>
        <v>4.477462866</v>
      </c>
      <c r="AX34" s="77">
        <f t="shared" si="22"/>
        <v>4.567012124</v>
      </c>
      <c r="AY34" s="77">
        <f t="shared" si="22"/>
        <v>4.658352366</v>
      </c>
      <c r="AZ34" s="77">
        <f t="shared" si="22"/>
        <v>4.751519413</v>
      </c>
      <c r="BA34" s="77">
        <f t="shared" si="22"/>
        <v>4.846549802</v>
      </c>
      <c r="BB34" s="77">
        <f t="shared" si="22"/>
        <v>4.943480798</v>
      </c>
      <c r="BC34" s="77">
        <f t="shared" si="22"/>
        <v>5.042350414</v>
      </c>
      <c r="BD34" s="77">
        <f t="shared" si="22"/>
        <v>5.143197422</v>
      </c>
      <c r="BE34" s="77">
        <f t="shared" si="22"/>
        <v>6.52606137</v>
      </c>
      <c r="BF34" s="77">
        <f t="shared" si="22"/>
        <v>6.656582598</v>
      </c>
      <c r="BG34" s="77">
        <f t="shared" si="22"/>
        <v>6.78971425</v>
      </c>
      <c r="BH34" s="77">
        <f t="shared" si="22"/>
        <v>6.925508535</v>
      </c>
      <c r="BI34" s="77">
        <f t="shared" si="22"/>
        <v>7.064018705</v>
      </c>
      <c r="BJ34" s="77">
        <f t="shared" si="22"/>
        <v>7.205299079</v>
      </c>
      <c r="BK34" s="77">
        <f t="shared" si="22"/>
        <v>7.349405061</v>
      </c>
      <c r="BL34" s="77">
        <f t="shared" si="22"/>
        <v>7.496393162</v>
      </c>
      <c r="BM34" s="77">
        <f t="shared" si="22"/>
        <v>7.646321025</v>
      </c>
      <c r="BN34" s="77">
        <f t="shared" si="22"/>
        <v>7.799247446</v>
      </c>
      <c r="BO34" s="77">
        <f t="shared" si="22"/>
        <v>7.955232395</v>
      </c>
      <c r="BP34" s="77">
        <f t="shared" si="22"/>
        <v>8.114337043</v>
      </c>
      <c r="BQ34" s="77">
        <f t="shared" si="22"/>
        <v>9.300623784</v>
      </c>
      <c r="BR34" s="77">
        <f t="shared" si="22"/>
        <v>9.486636259</v>
      </c>
      <c r="BS34" s="77">
        <f t="shared" si="22"/>
        <v>9.676368984</v>
      </c>
      <c r="BT34" s="77">
        <f t="shared" si="22"/>
        <v>9.869896364</v>
      </c>
      <c r="BU34" s="77">
        <f t="shared" si="22"/>
        <v>10.06729429</v>
      </c>
      <c r="BV34" s="77">
        <f t="shared" si="22"/>
        <v>10.26864018</v>
      </c>
      <c r="BW34" s="77">
        <f t="shared" si="22"/>
        <v>10.47401298</v>
      </c>
      <c r="BX34" s="77">
        <f t="shared" si="22"/>
        <v>10.68349324</v>
      </c>
      <c r="BY34" s="77">
        <f t="shared" si="22"/>
        <v>10.89716311</v>
      </c>
      <c r="BZ34" s="77">
        <f t="shared" si="22"/>
        <v>11.11510637</v>
      </c>
      <c r="CA34" s="77">
        <f t="shared" si="22"/>
        <v>11.33740849</v>
      </c>
    </row>
    <row r="35" outlineLevel="1">
      <c r="A35" s="47"/>
      <c r="B35" s="39" t="s">
        <v>31</v>
      </c>
      <c r="C35" s="76"/>
      <c r="D35" s="47"/>
      <c r="E35" s="47"/>
      <c r="F35" s="47"/>
      <c r="G35" s="47"/>
      <c r="H35" s="47"/>
      <c r="I35" s="47"/>
      <c r="J35" s="47"/>
      <c r="K35" s="47"/>
      <c r="L35" s="47"/>
      <c r="M35" s="47"/>
      <c r="N35" s="47"/>
      <c r="O35" s="47"/>
      <c r="P35" s="47"/>
      <c r="Q35" s="47"/>
      <c r="R35" s="47"/>
      <c r="S35" s="47"/>
      <c r="T35" s="77">
        <f t="shared" ref="T35:CA35" si="23">T29+T31</f>
        <v>0</v>
      </c>
      <c r="U35" s="77">
        <f t="shared" si="23"/>
        <v>2.5</v>
      </c>
      <c r="V35" s="77">
        <f t="shared" si="23"/>
        <v>5.05</v>
      </c>
      <c r="W35" s="77">
        <f t="shared" si="23"/>
        <v>7.651</v>
      </c>
      <c r="X35" s="77">
        <f t="shared" si="23"/>
        <v>10.30402</v>
      </c>
      <c r="Y35" s="77">
        <f t="shared" si="23"/>
        <v>13.0101004</v>
      </c>
      <c r="Z35" s="77">
        <f t="shared" si="23"/>
        <v>15.77030241</v>
      </c>
      <c r="AA35" s="77">
        <f t="shared" si="23"/>
        <v>18.58570846</v>
      </c>
      <c r="AB35" s="77">
        <f t="shared" si="23"/>
        <v>21.45742263</v>
      </c>
      <c r="AC35" s="77">
        <f t="shared" si="23"/>
        <v>24.38657108</v>
      </c>
      <c r="AD35" s="77">
        <f t="shared" si="23"/>
        <v>27.3743025</v>
      </c>
      <c r="AE35" s="77">
        <f t="shared" si="23"/>
        <v>30.42178855</v>
      </c>
      <c r="AF35" s="77">
        <f t="shared" si="23"/>
        <v>33.53022432</v>
      </c>
      <c r="AG35" s="77">
        <f t="shared" si="23"/>
        <v>36.20082881</v>
      </c>
      <c r="AH35" s="77">
        <f t="shared" si="23"/>
        <v>38.92484538</v>
      </c>
      <c r="AI35" s="77">
        <f t="shared" si="23"/>
        <v>41.70334229</v>
      </c>
      <c r="AJ35" s="77">
        <f t="shared" si="23"/>
        <v>44.53740914</v>
      </c>
      <c r="AK35" s="77">
        <f t="shared" si="23"/>
        <v>47.42815732</v>
      </c>
      <c r="AL35" s="77">
        <f t="shared" si="23"/>
        <v>50.37672047</v>
      </c>
      <c r="AM35" s="77">
        <f t="shared" si="23"/>
        <v>53.38425487</v>
      </c>
      <c r="AN35" s="77">
        <f t="shared" si="23"/>
        <v>56.45193997</v>
      </c>
      <c r="AO35" s="77">
        <f t="shared" si="23"/>
        <v>59.58097877</v>
      </c>
      <c r="AP35" s="77">
        <f t="shared" si="23"/>
        <v>62.77259835</v>
      </c>
      <c r="AQ35" s="77">
        <f t="shared" si="23"/>
        <v>66.02805031</v>
      </c>
      <c r="AR35" s="77">
        <f t="shared" si="23"/>
        <v>69.34861132</v>
      </c>
      <c r="AS35" s="77">
        <f t="shared" si="23"/>
        <v>72.33558355</v>
      </c>
      <c r="AT35" s="77">
        <f t="shared" si="23"/>
        <v>75.38229522</v>
      </c>
      <c r="AU35" s="77">
        <f t="shared" si="23"/>
        <v>78.48994112</v>
      </c>
      <c r="AV35" s="77">
        <f t="shared" si="23"/>
        <v>81.65973994</v>
      </c>
      <c r="AW35" s="77">
        <f t="shared" si="23"/>
        <v>84.89293474</v>
      </c>
      <c r="AX35" s="77">
        <f t="shared" si="23"/>
        <v>88.19079344</v>
      </c>
      <c r="AY35" s="77">
        <f t="shared" si="23"/>
        <v>91.55460931</v>
      </c>
      <c r="AZ35" s="77">
        <f t="shared" si="23"/>
        <v>94.98570149</v>
      </c>
      <c r="BA35" s="77">
        <f t="shared" si="23"/>
        <v>98.48541552</v>
      </c>
      <c r="BB35" s="77">
        <f t="shared" si="23"/>
        <v>102.0551238</v>
      </c>
      <c r="BC35" s="77">
        <f t="shared" si="23"/>
        <v>105.6962263</v>
      </c>
      <c r="BD35" s="77">
        <f t="shared" si="23"/>
        <v>109.4101508</v>
      </c>
      <c r="BE35" s="77">
        <f t="shared" si="23"/>
        <v>112.8783539</v>
      </c>
      <c r="BF35" s="77">
        <f t="shared" si="23"/>
        <v>116.4159209</v>
      </c>
      <c r="BG35" s="77">
        <f t="shared" si="23"/>
        <v>120.0242393</v>
      </c>
      <c r="BH35" s="77">
        <f t="shared" si="23"/>
        <v>123.7047241</v>
      </c>
      <c r="BI35" s="77">
        <f t="shared" si="23"/>
        <v>127.4588186</v>
      </c>
      <c r="BJ35" s="77">
        <f t="shared" si="23"/>
        <v>131.287995</v>
      </c>
      <c r="BK35" s="77">
        <f t="shared" si="23"/>
        <v>135.1937549</v>
      </c>
      <c r="BL35" s="77">
        <f t="shared" si="23"/>
        <v>139.17763</v>
      </c>
      <c r="BM35" s="77">
        <f t="shared" si="23"/>
        <v>143.2411826</v>
      </c>
      <c r="BN35" s="77">
        <f t="shared" si="23"/>
        <v>147.3860062</v>
      </c>
      <c r="BO35" s="77">
        <f t="shared" si="23"/>
        <v>151.6137264</v>
      </c>
      <c r="BP35" s="77">
        <f t="shared" si="23"/>
        <v>155.9260009</v>
      </c>
      <c r="BQ35" s="77">
        <f t="shared" si="23"/>
        <v>160.0685209</v>
      </c>
      <c r="BR35" s="77">
        <f t="shared" si="23"/>
        <v>164.2938913</v>
      </c>
      <c r="BS35" s="77">
        <f t="shared" si="23"/>
        <v>168.6037692</v>
      </c>
      <c r="BT35" s="77">
        <f t="shared" si="23"/>
        <v>172.9998445</v>
      </c>
      <c r="BU35" s="77">
        <f t="shared" si="23"/>
        <v>177.4838414</v>
      </c>
      <c r="BV35" s="77">
        <f t="shared" si="23"/>
        <v>182.0575183</v>
      </c>
      <c r="BW35" s="77">
        <f t="shared" si="23"/>
        <v>186.7226686</v>
      </c>
      <c r="BX35" s="77">
        <f t="shared" si="23"/>
        <v>191.481122</v>
      </c>
      <c r="BY35" s="77">
        <f t="shared" si="23"/>
        <v>196.3347444</v>
      </c>
      <c r="BZ35" s="77">
        <f t="shared" si="23"/>
        <v>201.2854393</v>
      </c>
      <c r="CA35" s="77">
        <f t="shared" si="23"/>
        <v>206.3351481</v>
      </c>
    </row>
    <row r="36" outlineLevel="1">
      <c r="A36" s="47"/>
      <c r="B36" s="39" t="s">
        <v>32</v>
      </c>
      <c r="C36" s="47"/>
      <c r="D36" s="68"/>
      <c r="E36" s="47"/>
      <c r="F36" s="47"/>
      <c r="G36" s="47"/>
      <c r="H36" s="68"/>
      <c r="I36" s="68"/>
      <c r="J36" s="68"/>
      <c r="K36" s="68"/>
      <c r="L36" s="68"/>
      <c r="M36" s="68"/>
      <c r="N36" s="68"/>
      <c r="O36" s="68"/>
      <c r="P36" s="68"/>
      <c r="Q36" s="68"/>
      <c r="R36" s="68"/>
      <c r="S36" s="68"/>
      <c r="T36" s="68" t="str">
        <f>G35</f>
        <v/>
      </c>
      <c r="U36" s="68">
        <f t="shared" ref="U36:CA36" si="24">T35</f>
        <v>0</v>
      </c>
      <c r="V36" s="68">
        <f t="shared" si="24"/>
        <v>2.5</v>
      </c>
      <c r="W36" s="68">
        <f t="shared" si="24"/>
        <v>5.05</v>
      </c>
      <c r="X36" s="68">
        <f t="shared" si="24"/>
        <v>7.651</v>
      </c>
      <c r="Y36" s="68">
        <f t="shared" si="24"/>
        <v>10.30402</v>
      </c>
      <c r="Z36" s="68">
        <f t="shared" si="24"/>
        <v>13.0101004</v>
      </c>
      <c r="AA36" s="68">
        <f t="shared" si="24"/>
        <v>15.77030241</v>
      </c>
      <c r="AB36" s="68">
        <f t="shared" si="24"/>
        <v>18.58570846</v>
      </c>
      <c r="AC36" s="68">
        <f t="shared" si="24"/>
        <v>21.45742263</v>
      </c>
      <c r="AD36" s="68">
        <f t="shared" si="24"/>
        <v>24.38657108</v>
      </c>
      <c r="AE36" s="68">
        <f t="shared" si="24"/>
        <v>27.3743025</v>
      </c>
      <c r="AF36" s="68">
        <f t="shared" si="24"/>
        <v>30.42178855</v>
      </c>
      <c r="AG36" s="68">
        <f t="shared" si="24"/>
        <v>33.53022432</v>
      </c>
      <c r="AH36" s="68">
        <f t="shared" si="24"/>
        <v>36.20082881</v>
      </c>
      <c r="AI36" s="68">
        <f t="shared" si="24"/>
        <v>38.92484538</v>
      </c>
      <c r="AJ36" s="68">
        <f t="shared" si="24"/>
        <v>41.70334229</v>
      </c>
      <c r="AK36" s="68">
        <f t="shared" si="24"/>
        <v>44.53740914</v>
      </c>
      <c r="AL36" s="68">
        <f t="shared" si="24"/>
        <v>47.42815732</v>
      </c>
      <c r="AM36" s="68">
        <f t="shared" si="24"/>
        <v>50.37672047</v>
      </c>
      <c r="AN36" s="68">
        <f t="shared" si="24"/>
        <v>53.38425487</v>
      </c>
      <c r="AO36" s="68">
        <f t="shared" si="24"/>
        <v>56.45193997</v>
      </c>
      <c r="AP36" s="68">
        <f t="shared" si="24"/>
        <v>59.58097877</v>
      </c>
      <c r="AQ36" s="68">
        <f t="shared" si="24"/>
        <v>62.77259835</v>
      </c>
      <c r="AR36" s="68">
        <f t="shared" si="24"/>
        <v>66.02805031</v>
      </c>
      <c r="AS36" s="68">
        <f t="shared" si="24"/>
        <v>69.34861132</v>
      </c>
      <c r="AT36" s="68">
        <f t="shared" si="24"/>
        <v>72.33558355</v>
      </c>
      <c r="AU36" s="68">
        <f t="shared" si="24"/>
        <v>75.38229522</v>
      </c>
      <c r="AV36" s="68">
        <f t="shared" si="24"/>
        <v>78.48994112</v>
      </c>
      <c r="AW36" s="68">
        <f t="shared" si="24"/>
        <v>81.65973994</v>
      </c>
      <c r="AX36" s="68">
        <f t="shared" si="24"/>
        <v>84.89293474</v>
      </c>
      <c r="AY36" s="68">
        <f t="shared" si="24"/>
        <v>88.19079344</v>
      </c>
      <c r="AZ36" s="68">
        <f t="shared" si="24"/>
        <v>91.55460931</v>
      </c>
      <c r="BA36" s="68">
        <f t="shared" si="24"/>
        <v>94.98570149</v>
      </c>
      <c r="BB36" s="68">
        <f t="shared" si="24"/>
        <v>98.48541552</v>
      </c>
      <c r="BC36" s="68">
        <f t="shared" si="24"/>
        <v>102.0551238</v>
      </c>
      <c r="BD36" s="68">
        <f t="shared" si="24"/>
        <v>105.6962263</v>
      </c>
      <c r="BE36" s="68">
        <f t="shared" si="24"/>
        <v>109.4101508</v>
      </c>
      <c r="BF36" s="68">
        <f t="shared" si="24"/>
        <v>112.8783539</v>
      </c>
      <c r="BG36" s="68">
        <f t="shared" si="24"/>
        <v>116.4159209</v>
      </c>
      <c r="BH36" s="68">
        <f t="shared" si="24"/>
        <v>120.0242393</v>
      </c>
      <c r="BI36" s="68">
        <f t="shared" si="24"/>
        <v>123.7047241</v>
      </c>
      <c r="BJ36" s="68">
        <f t="shared" si="24"/>
        <v>127.4588186</v>
      </c>
      <c r="BK36" s="68">
        <f t="shared" si="24"/>
        <v>131.287995</v>
      </c>
      <c r="BL36" s="68">
        <f t="shared" si="24"/>
        <v>135.1937549</v>
      </c>
      <c r="BM36" s="68">
        <f t="shared" si="24"/>
        <v>139.17763</v>
      </c>
      <c r="BN36" s="68">
        <f t="shared" si="24"/>
        <v>143.2411826</v>
      </c>
      <c r="BO36" s="68">
        <f t="shared" si="24"/>
        <v>147.3860062</v>
      </c>
      <c r="BP36" s="68">
        <f t="shared" si="24"/>
        <v>151.6137264</v>
      </c>
      <c r="BQ36" s="68">
        <f t="shared" si="24"/>
        <v>155.9260009</v>
      </c>
      <c r="BR36" s="68">
        <f t="shared" si="24"/>
        <v>160.0685209</v>
      </c>
      <c r="BS36" s="68">
        <f t="shared" si="24"/>
        <v>164.2938913</v>
      </c>
      <c r="BT36" s="68">
        <f t="shared" si="24"/>
        <v>168.6037692</v>
      </c>
      <c r="BU36" s="68">
        <f t="shared" si="24"/>
        <v>172.9998445</v>
      </c>
      <c r="BV36" s="68">
        <f t="shared" si="24"/>
        <v>177.4838414</v>
      </c>
      <c r="BW36" s="68">
        <f t="shared" si="24"/>
        <v>182.0575183</v>
      </c>
      <c r="BX36" s="68">
        <f t="shared" si="24"/>
        <v>186.7226686</v>
      </c>
      <c r="BY36" s="68">
        <f t="shared" si="24"/>
        <v>191.481122</v>
      </c>
      <c r="BZ36" s="68">
        <f t="shared" si="24"/>
        <v>196.3347444</v>
      </c>
      <c r="CA36" s="68">
        <f t="shared" si="24"/>
        <v>201.2854393</v>
      </c>
    </row>
    <row r="37" outlineLevel="1">
      <c r="A37" s="47"/>
      <c r="B37" s="39" t="s">
        <v>33</v>
      </c>
      <c r="C37" s="47"/>
      <c r="D37" s="81">
        <v>30.0</v>
      </c>
      <c r="E37" s="47"/>
      <c r="F37" s="47"/>
      <c r="G37" s="47"/>
      <c r="H37" s="82"/>
      <c r="I37" s="82"/>
      <c r="J37" s="82"/>
      <c r="K37" s="82"/>
      <c r="L37" s="82"/>
      <c r="M37" s="82"/>
      <c r="N37" s="82"/>
      <c r="O37" s="82"/>
      <c r="P37" s="82"/>
      <c r="Q37" s="82"/>
      <c r="R37" s="82"/>
      <c r="S37" s="82"/>
      <c r="T37" s="83">
        <f>D37</f>
        <v>30</v>
      </c>
      <c r="U37" s="83">
        <f t="shared" ref="U37:CA37" si="25">T37</f>
        <v>30</v>
      </c>
      <c r="V37" s="83">
        <f t="shared" si="25"/>
        <v>30</v>
      </c>
      <c r="W37" s="83">
        <f t="shared" si="25"/>
        <v>30</v>
      </c>
      <c r="X37" s="83">
        <f t="shared" si="25"/>
        <v>30</v>
      </c>
      <c r="Y37" s="83">
        <f t="shared" si="25"/>
        <v>30</v>
      </c>
      <c r="Z37" s="83">
        <f t="shared" si="25"/>
        <v>30</v>
      </c>
      <c r="AA37" s="83">
        <f t="shared" si="25"/>
        <v>30</v>
      </c>
      <c r="AB37" s="83">
        <f t="shared" si="25"/>
        <v>30</v>
      </c>
      <c r="AC37" s="83">
        <f t="shared" si="25"/>
        <v>30</v>
      </c>
      <c r="AD37" s="83">
        <f t="shared" si="25"/>
        <v>30</v>
      </c>
      <c r="AE37" s="83">
        <f t="shared" si="25"/>
        <v>30</v>
      </c>
      <c r="AF37" s="83">
        <f t="shared" si="25"/>
        <v>30</v>
      </c>
      <c r="AG37" s="83">
        <f t="shared" si="25"/>
        <v>30</v>
      </c>
      <c r="AH37" s="83">
        <f t="shared" si="25"/>
        <v>30</v>
      </c>
      <c r="AI37" s="83">
        <f t="shared" si="25"/>
        <v>30</v>
      </c>
      <c r="AJ37" s="83">
        <f t="shared" si="25"/>
        <v>30</v>
      </c>
      <c r="AK37" s="83">
        <f t="shared" si="25"/>
        <v>30</v>
      </c>
      <c r="AL37" s="83">
        <f t="shared" si="25"/>
        <v>30</v>
      </c>
      <c r="AM37" s="83">
        <f t="shared" si="25"/>
        <v>30</v>
      </c>
      <c r="AN37" s="83">
        <f t="shared" si="25"/>
        <v>30</v>
      </c>
      <c r="AO37" s="83">
        <f t="shared" si="25"/>
        <v>30</v>
      </c>
      <c r="AP37" s="83">
        <f t="shared" si="25"/>
        <v>30</v>
      </c>
      <c r="AQ37" s="83">
        <f t="shared" si="25"/>
        <v>30</v>
      </c>
      <c r="AR37" s="83">
        <f t="shared" si="25"/>
        <v>30</v>
      </c>
      <c r="AS37" s="83">
        <f t="shared" si="25"/>
        <v>30</v>
      </c>
      <c r="AT37" s="83">
        <f t="shared" si="25"/>
        <v>30</v>
      </c>
      <c r="AU37" s="83">
        <f t="shared" si="25"/>
        <v>30</v>
      </c>
      <c r="AV37" s="83">
        <f t="shared" si="25"/>
        <v>30</v>
      </c>
      <c r="AW37" s="83">
        <f t="shared" si="25"/>
        <v>30</v>
      </c>
      <c r="AX37" s="83">
        <f t="shared" si="25"/>
        <v>30</v>
      </c>
      <c r="AY37" s="83">
        <f t="shared" si="25"/>
        <v>30</v>
      </c>
      <c r="AZ37" s="83">
        <f t="shared" si="25"/>
        <v>30</v>
      </c>
      <c r="BA37" s="83">
        <f t="shared" si="25"/>
        <v>30</v>
      </c>
      <c r="BB37" s="83">
        <f t="shared" si="25"/>
        <v>30</v>
      </c>
      <c r="BC37" s="83">
        <f t="shared" si="25"/>
        <v>30</v>
      </c>
      <c r="BD37" s="83">
        <f t="shared" si="25"/>
        <v>30</v>
      </c>
      <c r="BE37" s="83">
        <f t="shared" si="25"/>
        <v>30</v>
      </c>
      <c r="BF37" s="83">
        <f t="shared" si="25"/>
        <v>30</v>
      </c>
      <c r="BG37" s="83">
        <f t="shared" si="25"/>
        <v>30</v>
      </c>
      <c r="BH37" s="83">
        <f t="shared" si="25"/>
        <v>30</v>
      </c>
      <c r="BI37" s="83">
        <f t="shared" si="25"/>
        <v>30</v>
      </c>
      <c r="BJ37" s="83">
        <f t="shared" si="25"/>
        <v>30</v>
      </c>
      <c r="BK37" s="83">
        <f t="shared" si="25"/>
        <v>30</v>
      </c>
      <c r="BL37" s="83">
        <f t="shared" si="25"/>
        <v>30</v>
      </c>
      <c r="BM37" s="83">
        <f t="shared" si="25"/>
        <v>30</v>
      </c>
      <c r="BN37" s="83">
        <f t="shared" si="25"/>
        <v>30</v>
      </c>
      <c r="BO37" s="83">
        <f t="shared" si="25"/>
        <v>30</v>
      </c>
      <c r="BP37" s="83">
        <f t="shared" si="25"/>
        <v>30</v>
      </c>
      <c r="BQ37" s="83">
        <f t="shared" si="25"/>
        <v>30</v>
      </c>
      <c r="BR37" s="83">
        <f t="shared" si="25"/>
        <v>30</v>
      </c>
      <c r="BS37" s="83">
        <f t="shared" si="25"/>
        <v>30</v>
      </c>
      <c r="BT37" s="83">
        <f t="shared" si="25"/>
        <v>30</v>
      </c>
      <c r="BU37" s="83">
        <f t="shared" si="25"/>
        <v>30</v>
      </c>
      <c r="BV37" s="83">
        <f t="shared" si="25"/>
        <v>30</v>
      </c>
      <c r="BW37" s="83">
        <f t="shared" si="25"/>
        <v>30</v>
      </c>
      <c r="BX37" s="83">
        <f t="shared" si="25"/>
        <v>30</v>
      </c>
      <c r="BY37" s="83">
        <f t="shared" si="25"/>
        <v>30</v>
      </c>
      <c r="BZ37" s="83">
        <f t="shared" si="25"/>
        <v>30</v>
      </c>
      <c r="CA37" s="83">
        <f t="shared" si="25"/>
        <v>30</v>
      </c>
    </row>
    <row r="38" outlineLevel="1">
      <c r="A38" s="47"/>
      <c r="B38" s="39" t="s">
        <v>34</v>
      </c>
      <c r="C38" s="47"/>
      <c r="D38" s="83"/>
      <c r="E38" s="47"/>
      <c r="F38" s="47"/>
      <c r="G38" s="47"/>
      <c r="H38" s="82"/>
      <c r="I38" s="82"/>
      <c r="J38" s="82"/>
      <c r="K38" s="82"/>
      <c r="L38" s="82"/>
      <c r="M38" s="82"/>
      <c r="N38" s="82"/>
      <c r="O38" s="82"/>
      <c r="P38" s="82"/>
      <c r="Q38" s="82"/>
      <c r="R38" s="82"/>
      <c r="S38" s="82"/>
      <c r="T38" s="83">
        <f t="shared" ref="T38:CA38" si="26">T37*T29</f>
        <v>0</v>
      </c>
      <c r="U38" s="83">
        <f t="shared" si="26"/>
        <v>75</v>
      </c>
      <c r="V38" s="83">
        <f t="shared" si="26"/>
        <v>76.5</v>
      </c>
      <c r="W38" s="83">
        <f t="shared" si="26"/>
        <v>78.03</v>
      </c>
      <c r="X38" s="83">
        <f t="shared" si="26"/>
        <v>79.5906</v>
      </c>
      <c r="Y38" s="83">
        <f t="shared" si="26"/>
        <v>81.182412</v>
      </c>
      <c r="Z38" s="83">
        <f t="shared" si="26"/>
        <v>82.80606024</v>
      </c>
      <c r="AA38" s="83">
        <f t="shared" si="26"/>
        <v>84.46218144</v>
      </c>
      <c r="AB38" s="83">
        <f t="shared" si="26"/>
        <v>86.15142507</v>
      </c>
      <c r="AC38" s="83">
        <f t="shared" si="26"/>
        <v>87.87445358</v>
      </c>
      <c r="AD38" s="83">
        <f t="shared" si="26"/>
        <v>89.63194265</v>
      </c>
      <c r="AE38" s="83">
        <f t="shared" si="26"/>
        <v>91.4245815</v>
      </c>
      <c r="AF38" s="83">
        <f t="shared" si="26"/>
        <v>93.25307313</v>
      </c>
      <c r="AG38" s="83">
        <f t="shared" si="26"/>
        <v>155.1181346</v>
      </c>
      <c r="AH38" s="83">
        <f t="shared" si="26"/>
        <v>158.2204973</v>
      </c>
      <c r="AI38" s="83">
        <f t="shared" si="26"/>
        <v>161.3849072</v>
      </c>
      <c r="AJ38" s="83">
        <f t="shared" si="26"/>
        <v>164.6126054</v>
      </c>
      <c r="AK38" s="83">
        <f t="shared" si="26"/>
        <v>167.9048575</v>
      </c>
      <c r="AL38" s="83">
        <f t="shared" si="26"/>
        <v>171.2629546</v>
      </c>
      <c r="AM38" s="83">
        <f t="shared" si="26"/>
        <v>174.6882137</v>
      </c>
      <c r="AN38" s="83">
        <f t="shared" si="26"/>
        <v>178.181978</v>
      </c>
      <c r="AO38" s="83">
        <f t="shared" si="26"/>
        <v>181.7456176</v>
      </c>
      <c r="AP38" s="83">
        <f t="shared" si="26"/>
        <v>185.3805299</v>
      </c>
      <c r="AQ38" s="83">
        <f t="shared" si="26"/>
        <v>189.0881405</v>
      </c>
      <c r="AR38" s="83">
        <f t="shared" si="26"/>
        <v>192.8699033</v>
      </c>
      <c r="AS38" s="83">
        <f t="shared" si="26"/>
        <v>244.7273014</v>
      </c>
      <c r="AT38" s="83">
        <f t="shared" si="26"/>
        <v>249.6218474</v>
      </c>
      <c r="AU38" s="83">
        <f t="shared" si="26"/>
        <v>254.6142844</v>
      </c>
      <c r="AV38" s="83">
        <f t="shared" si="26"/>
        <v>259.70657</v>
      </c>
      <c r="AW38" s="83">
        <f t="shared" si="26"/>
        <v>264.9007014</v>
      </c>
      <c r="AX38" s="83">
        <f t="shared" si="26"/>
        <v>270.1987155</v>
      </c>
      <c r="AY38" s="83">
        <f t="shared" si="26"/>
        <v>275.6026898</v>
      </c>
      <c r="AZ38" s="83">
        <f t="shared" si="26"/>
        <v>281.1147436</v>
      </c>
      <c r="BA38" s="83">
        <f t="shared" si="26"/>
        <v>286.7370385</v>
      </c>
      <c r="BB38" s="83">
        <f t="shared" si="26"/>
        <v>292.4717792</v>
      </c>
      <c r="BC38" s="83">
        <f t="shared" si="26"/>
        <v>298.3212148</v>
      </c>
      <c r="BD38" s="83">
        <f t="shared" si="26"/>
        <v>304.2876391</v>
      </c>
      <c r="BE38" s="83">
        <f t="shared" si="26"/>
        <v>348.7733919</v>
      </c>
      <c r="BF38" s="83">
        <f t="shared" si="26"/>
        <v>355.7488597</v>
      </c>
      <c r="BG38" s="83">
        <f t="shared" si="26"/>
        <v>362.8638369</v>
      </c>
      <c r="BH38" s="83">
        <f t="shared" si="26"/>
        <v>370.1211137</v>
      </c>
      <c r="BI38" s="83">
        <f t="shared" si="26"/>
        <v>377.5235359</v>
      </c>
      <c r="BJ38" s="83">
        <f t="shared" si="26"/>
        <v>385.0740066</v>
      </c>
      <c r="BK38" s="83">
        <f t="shared" si="26"/>
        <v>392.7754868</v>
      </c>
      <c r="BL38" s="83">
        <f t="shared" si="26"/>
        <v>400.6309965</v>
      </c>
      <c r="BM38" s="83">
        <f t="shared" si="26"/>
        <v>408.6436164</v>
      </c>
      <c r="BN38" s="83">
        <f t="shared" si="26"/>
        <v>416.8164888</v>
      </c>
      <c r="BO38" s="83">
        <f t="shared" si="26"/>
        <v>425.1528186</v>
      </c>
      <c r="BP38" s="83">
        <f t="shared" si="26"/>
        <v>433.6558749</v>
      </c>
      <c r="BQ38" s="83">
        <f t="shared" si="26"/>
        <v>473.0489924</v>
      </c>
      <c r="BR38" s="83">
        <f t="shared" si="26"/>
        <v>482.5099723</v>
      </c>
      <c r="BS38" s="83">
        <f t="shared" si="26"/>
        <v>492.1601717</v>
      </c>
      <c r="BT38" s="83">
        <f t="shared" si="26"/>
        <v>502.0033751</v>
      </c>
      <c r="BU38" s="83">
        <f t="shared" si="26"/>
        <v>512.0434427</v>
      </c>
      <c r="BV38" s="83">
        <f t="shared" si="26"/>
        <v>522.2843115</v>
      </c>
      <c r="BW38" s="83">
        <f t="shared" si="26"/>
        <v>532.7299977</v>
      </c>
      <c r="BX38" s="83">
        <f t="shared" si="26"/>
        <v>543.3845977</v>
      </c>
      <c r="BY38" s="83">
        <f t="shared" si="26"/>
        <v>554.2522896</v>
      </c>
      <c r="BZ38" s="83">
        <f t="shared" si="26"/>
        <v>565.3373354</v>
      </c>
      <c r="CA38" s="83">
        <f t="shared" si="26"/>
        <v>576.6440821</v>
      </c>
    </row>
    <row r="39" outlineLevel="1">
      <c r="A39" s="47"/>
      <c r="B39" s="39" t="s">
        <v>35</v>
      </c>
      <c r="C39" s="47"/>
      <c r="D39" s="84">
        <v>72.0</v>
      </c>
      <c r="E39" s="47"/>
      <c r="F39" s="47"/>
      <c r="G39" s="47"/>
      <c r="H39" s="82"/>
      <c r="I39" s="82"/>
      <c r="J39" s="82"/>
      <c r="K39" s="82"/>
      <c r="L39" s="82"/>
      <c r="M39" s="82"/>
      <c r="N39" s="82"/>
      <c r="O39" s="82"/>
      <c r="P39" s="82"/>
      <c r="Q39" s="82"/>
      <c r="R39" s="82"/>
      <c r="S39" s="82"/>
      <c r="T39" s="85">
        <f>D39</f>
        <v>72</v>
      </c>
      <c r="U39" s="85">
        <f t="shared" ref="U39:CA39" si="27">T39</f>
        <v>72</v>
      </c>
      <c r="V39" s="85">
        <f t="shared" si="27"/>
        <v>72</v>
      </c>
      <c r="W39" s="85">
        <f t="shared" si="27"/>
        <v>72</v>
      </c>
      <c r="X39" s="85">
        <f t="shared" si="27"/>
        <v>72</v>
      </c>
      <c r="Y39" s="85">
        <f t="shared" si="27"/>
        <v>72</v>
      </c>
      <c r="Z39" s="85">
        <f t="shared" si="27"/>
        <v>72</v>
      </c>
      <c r="AA39" s="85">
        <f t="shared" si="27"/>
        <v>72</v>
      </c>
      <c r="AB39" s="85">
        <f t="shared" si="27"/>
        <v>72</v>
      </c>
      <c r="AC39" s="85">
        <f t="shared" si="27"/>
        <v>72</v>
      </c>
      <c r="AD39" s="85">
        <f t="shared" si="27"/>
        <v>72</v>
      </c>
      <c r="AE39" s="85">
        <f t="shared" si="27"/>
        <v>72</v>
      </c>
      <c r="AF39" s="85">
        <f t="shared" si="27"/>
        <v>72</v>
      </c>
      <c r="AG39" s="85">
        <f t="shared" si="27"/>
        <v>72</v>
      </c>
      <c r="AH39" s="85">
        <f t="shared" si="27"/>
        <v>72</v>
      </c>
      <c r="AI39" s="85">
        <f t="shared" si="27"/>
        <v>72</v>
      </c>
      <c r="AJ39" s="85">
        <f t="shared" si="27"/>
        <v>72</v>
      </c>
      <c r="AK39" s="85">
        <f t="shared" si="27"/>
        <v>72</v>
      </c>
      <c r="AL39" s="85">
        <f t="shared" si="27"/>
        <v>72</v>
      </c>
      <c r="AM39" s="85">
        <f t="shared" si="27"/>
        <v>72</v>
      </c>
      <c r="AN39" s="85">
        <f t="shared" si="27"/>
        <v>72</v>
      </c>
      <c r="AO39" s="85">
        <f t="shared" si="27"/>
        <v>72</v>
      </c>
      <c r="AP39" s="85">
        <f t="shared" si="27"/>
        <v>72</v>
      </c>
      <c r="AQ39" s="85">
        <f t="shared" si="27"/>
        <v>72</v>
      </c>
      <c r="AR39" s="85">
        <f t="shared" si="27"/>
        <v>72</v>
      </c>
      <c r="AS39" s="85">
        <f t="shared" si="27"/>
        <v>72</v>
      </c>
      <c r="AT39" s="85">
        <f t="shared" si="27"/>
        <v>72</v>
      </c>
      <c r="AU39" s="85">
        <f t="shared" si="27"/>
        <v>72</v>
      </c>
      <c r="AV39" s="85">
        <f t="shared" si="27"/>
        <v>72</v>
      </c>
      <c r="AW39" s="85">
        <f t="shared" si="27"/>
        <v>72</v>
      </c>
      <c r="AX39" s="85">
        <f t="shared" si="27"/>
        <v>72</v>
      </c>
      <c r="AY39" s="85">
        <f t="shared" si="27"/>
        <v>72</v>
      </c>
      <c r="AZ39" s="85">
        <f t="shared" si="27"/>
        <v>72</v>
      </c>
      <c r="BA39" s="85">
        <f t="shared" si="27"/>
        <v>72</v>
      </c>
      <c r="BB39" s="85">
        <f t="shared" si="27"/>
        <v>72</v>
      </c>
      <c r="BC39" s="85">
        <f t="shared" si="27"/>
        <v>72</v>
      </c>
      <c r="BD39" s="85">
        <f t="shared" si="27"/>
        <v>72</v>
      </c>
      <c r="BE39" s="85">
        <f t="shared" si="27"/>
        <v>72</v>
      </c>
      <c r="BF39" s="85">
        <f t="shared" si="27"/>
        <v>72</v>
      </c>
      <c r="BG39" s="85">
        <f t="shared" si="27"/>
        <v>72</v>
      </c>
      <c r="BH39" s="85">
        <f t="shared" si="27"/>
        <v>72</v>
      </c>
      <c r="BI39" s="85">
        <f t="shared" si="27"/>
        <v>72</v>
      </c>
      <c r="BJ39" s="85">
        <f t="shared" si="27"/>
        <v>72</v>
      </c>
      <c r="BK39" s="85">
        <f t="shared" si="27"/>
        <v>72</v>
      </c>
      <c r="BL39" s="85">
        <f t="shared" si="27"/>
        <v>72</v>
      </c>
      <c r="BM39" s="85">
        <f t="shared" si="27"/>
        <v>72</v>
      </c>
      <c r="BN39" s="85">
        <f t="shared" si="27"/>
        <v>72</v>
      </c>
      <c r="BO39" s="85">
        <f t="shared" si="27"/>
        <v>72</v>
      </c>
      <c r="BP39" s="85">
        <f t="shared" si="27"/>
        <v>72</v>
      </c>
      <c r="BQ39" s="85">
        <f t="shared" si="27"/>
        <v>72</v>
      </c>
      <c r="BR39" s="85">
        <f t="shared" si="27"/>
        <v>72</v>
      </c>
      <c r="BS39" s="85">
        <f t="shared" si="27"/>
        <v>72</v>
      </c>
      <c r="BT39" s="85">
        <f t="shared" si="27"/>
        <v>72</v>
      </c>
      <c r="BU39" s="85">
        <f t="shared" si="27"/>
        <v>72</v>
      </c>
      <c r="BV39" s="85">
        <f t="shared" si="27"/>
        <v>72</v>
      </c>
      <c r="BW39" s="85">
        <f t="shared" si="27"/>
        <v>72</v>
      </c>
      <c r="BX39" s="85">
        <f t="shared" si="27"/>
        <v>72</v>
      </c>
      <c r="BY39" s="85">
        <f t="shared" si="27"/>
        <v>72</v>
      </c>
      <c r="BZ39" s="85">
        <f t="shared" si="27"/>
        <v>72</v>
      </c>
      <c r="CA39" s="85">
        <f t="shared" si="27"/>
        <v>72</v>
      </c>
    </row>
    <row r="40" outlineLevel="1">
      <c r="A40" s="47"/>
      <c r="B40" s="59" t="s">
        <v>36</v>
      </c>
      <c r="C40" s="60"/>
      <c r="D40" s="62"/>
      <c r="E40" s="62"/>
      <c r="F40" s="62"/>
      <c r="G40" s="62"/>
      <c r="H40" s="62"/>
      <c r="I40" s="62"/>
      <c r="J40" s="62"/>
      <c r="K40" s="62"/>
      <c r="L40" s="62"/>
      <c r="M40" s="62"/>
      <c r="N40" s="62"/>
      <c r="O40" s="62"/>
      <c r="P40" s="62"/>
      <c r="Q40" s="62"/>
      <c r="R40" s="62"/>
      <c r="S40" s="62"/>
      <c r="T40" s="86">
        <f t="shared" ref="T40:CA40" si="28">T38*T39</f>
        <v>0</v>
      </c>
      <c r="U40" s="86">
        <f t="shared" si="28"/>
        <v>5400</v>
      </c>
      <c r="V40" s="86">
        <f t="shared" si="28"/>
        <v>5508</v>
      </c>
      <c r="W40" s="86">
        <f t="shared" si="28"/>
        <v>5618.16</v>
      </c>
      <c r="X40" s="86">
        <f t="shared" si="28"/>
        <v>5730.5232</v>
      </c>
      <c r="Y40" s="86">
        <f t="shared" si="28"/>
        <v>5845.133664</v>
      </c>
      <c r="Z40" s="86">
        <f t="shared" si="28"/>
        <v>5962.036337</v>
      </c>
      <c r="AA40" s="86">
        <f t="shared" si="28"/>
        <v>6081.277064</v>
      </c>
      <c r="AB40" s="86">
        <f t="shared" si="28"/>
        <v>6202.902605</v>
      </c>
      <c r="AC40" s="86">
        <f t="shared" si="28"/>
        <v>6326.960657</v>
      </c>
      <c r="AD40" s="86">
        <f t="shared" si="28"/>
        <v>6453.499871</v>
      </c>
      <c r="AE40" s="86">
        <f t="shared" si="28"/>
        <v>6582.569868</v>
      </c>
      <c r="AF40" s="86">
        <f t="shared" si="28"/>
        <v>6714.221265</v>
      </c>
      <c r="AG40" s="86">
        <f t="shared" si="28"/>
        <v>11168.50569</v>
      </c>
      <c r="AH40" s="86">
        <f t="shared" si="28"/>
        <v>11391.8758</v>
      </c>
      <c r="AI40" s="86">
        <f t="shared" si="28"/>
        <v>11619.71332</v>
      </c>
      <c r="AJ40" s="86">
        <f t="shared" si="28"/>
        <v>11852.10759</v>
      </c>
      <c r="AK40" s="86">
        <f t="shared" si="28"/>
        <v>12089.14974</v>
      </c>
      <c r="AL40" s="86">
        <f t="shared" si="28"/>
        <v>12330.93273</v>
      </c>
      <c r="AM40" s="86">
        <f t="shared" si="28"/>
        <v>12577.55139</v>
      </c>
      <c r="AN40" s="86">
        <f t="shared" si="28"/>
        <v>12829.10242</v>
      </c>
      <c r="AO40" s="86">
        <f t="shared" si="28"/>
        <v>13085.68446</v>
      </c>
      <c r="AP40" s="86">
        <f t="shared" si="28"/>
        <v>13347.39815</v>
      </c>
      <c r="AQ40" s="86">
        <f t="shared" si="28"/>
        <v>13614.34612</v>
      </c>
      <c r="AR40" s="86">
        <f t="shared" si="28"/>
        <v>13886.63304</v>
      </c>
      <c r="AS40" s="86">
        <f t="shared" si="28"/>
        <v>17620.3657</v>
      </c>
      <c r="AT40" s="86">
        <f t="shared" si="28"/>
        <v>17972.77301</v>
      </c>
      <c r="AU40" s="86">
        <f t="shared" si="28"/>
        <v>18332.22847</v>
      </c>
      <c r="AV40" s="86">
        <f t="shared" si="28"/>
        <v>18698.87304</v>
      </c>
      <c r="AW40" s="86">
        <f t="shared" si="28"/>
        <v>19072.8505</v>
      </c>
      <c r="AX40" s="86">
        <f t="shared" si="28"/>
        <v>19454.30751</v>
      </c>
      <c r="AY40" s="86">
        <f t="shared" si="28"/>
        <v>19843.39366</v>
      </c>
      <c r="AZ40" s="86">
        <f t="shared" si="28"/>
        <v>20240.26154</v>
      </c>
      <c r="BA40" s="86">
        <f t="shared" si="28"/>
        <v>20645.06677</v>
      </c>
      <c r="BB40" s="86">
        <f t="shared" si="28"/>
        <v>21057.9681</v>
      </c>
      <c r="BC40" s="86">
        <f t="shared" si="28"/>
        <v>21479.12747</v>
      </c>
      <c r="BD40" s="86">
        <f t="shared" si="28"/>
        <v>21908.71002</v>
      </c>
      <c r="BE40" s="86">
        <f t="shared" si="28"/>
        <v>25111.68422</v>
      </c>
      <c r="BF40" s="86">
        <f t="shared" si="28"/>
        <v>25613.9179</v>
      </c>
      <c r="BG40" s="86">
        <f t="shared" si="28"/>
        <v>26126.19626</v>
      </c>
      <c r="BH40" s="86">
        <f t="shared" si="28"/>
        <v>26648.72018</v>
      </c>
      <c r="BI40" s="86">
        <f t="shared" si="28"/>
        <v>27181.69459</v>
      </c>
      <c r="BJ40" s="86">
        <f t="shared" si="28"/>
        <v>27725.32848</v>
      </c>
      <c r="BK40" s="86">
        <f t="shared" si="28"/>
        <v>28279.83505</v>
      </c>
      <c r="BL40" s="86">
        <f t="shared" si="28"/>
        <v>28845.43175</v>
      </c>
      <c r="BM40" s="86">
        <f t="shared" si="28"/>
        <v>29422.34038</v>
      </c>
      <c r="BN40" s="86">
        <f t="shared" si="28"/>
        <v>30010.78719</v>
      </c>
      <c r="BO40" s="86">
        <f t="shared" si="28"/>
        <v>30611.00294</v>
      </c>
      <c r="BP40" s="86">
        <f t="shared" si="28"/>
        <v>31223.22299</v>
      </c>
      <c r="BQ40" s="86">
        <f t="shared" si="28"/>
        <v>34059.52745</v>
      </c>
      <c r="BR40" s="86">
        <f t="shared" si="28"/>
        <v>34740.718</v>
      </c>
      <c r="BS40" s="86">
        <f t="shared" si="28"/>
        <v>35435.53236</v>
      </c>
      <c r="BT40" s="86">
        <f t="shared" si="28"/>
        <v>36144.24301</v>
      </c>
      <c r="BU40" s="86">
        <f t="shared" si="28"/>
        <v>36867.12787</v>
      </c>
      <c r="BV40" s="86">
        <f t="shared" si="28"/>
        <v>37604.47043</v>
      </c>
      <c r="BW40" s="86">
        <f t="shared" si="28"/>
        <v>38356.55984</v>
      </c>
      <c r="BX40" s="86">
        <f t="shared" si="28"/>
        <v>39123.69103</v>
      </c>
      <c r="BY40" s="86">
        <f t="shared" si="28"/>
        <v>39906.16485</v>
      </c>
      <c r="BZ40" s="86">
        <f t="shared" si="28"/>
        <v>40704.28815</v>
      </c>
      <c r="CA40" s="86">
        <f t="shared" si="28"/>
        <v>41518.37391</v>
      </c>
    </row>
    <row r="41" outlineLevel="1">
      <c r="A41" s="47"/>
      <c r="B41" s="64" t="s">
        <v>37</v>
      </c>
      <c r="C41" s="47"/>
      <c r="D41" s="87"/>
      <c r="E41" s="87"/>
      <c r="F41" s="87"/>
      <c r="G41" s="87"/>
      <c r="H41" s="88"/>
      <c r="I41" s="88"/>
      <c r="J41" s="88"/>
      <c r="K41" s="88"/>
      <c r="L41" s="88"/>
      <c r="M41" s="88"/>
      <c r="N41" s="88"/>
      <c r="O41" s="88"/>
      <c r="P41" s="88"/>
      <c r="Q41" s="88"/>
      <c r="R41" s="88"/>
      <c r="S41" s="88"/>
      <c r="T41" s="89">
        <f t="shared" ref="T41:CA41" si="29">(T39/12)*T35*T37</f>
        <v>0</v>
      </c>
      <c r="U41" s="89">
        <f t="shared" si="29"/>
        <v>450</v>
      </c>
      <c r="V41" s="89">
        <f t="shared" si="29"/>
        <v>909</v>
      </c>
      <c r="W41" s="89">
        <f t="shared" si="29"/>
        <v>1377.18</v>
      </c>
      <c r="X41" s="89">
        <f t="shared" si="29"/>
        <v>1854.7236</v>
      </c>
      <c r="Y41" s="89">
        <f t="shared" si="29"/>
        <v>2341.818072</v>
      </c>
      <c r="Z41" s="89">
        <f t="shared" si="29"/>
        <v>2838.654433</v>
      </c>
      <c r="AA41" s="89">
        <f t="shared" si="29"/>
        <v>3345.427522</v>
      </c>
      <c r="AB41" s="89">
        <f t="shared" si="29"/>
        <v>3862.336073</v>
      </c>
      <c r="AC41" s="89">
        <f t="shared" si="29"/>
        <v>4389.582794</v>
      </c>
      <c r="AD41" s="89">
        <f t="shared" si="29"/>
        <v>4927.37445</v>
      </c>
      <c r="AE41" s="89">
        <f t="shared" si="29"/>
        <v>5475.921939</v>
      </c>
      <c r="AF41" s="89">
        <f t="shared" si="29"/>
        <v>6035.440378</v>
      </c>
      <c r="AG41" s="89">
        <f t="shared" si="29"/>
        <v>6516.149185</v>
      </c>
      <c r="AH41" s="89">
        <f t="shared" si="29"/>
        <v>7006.472169</v>
      </c>
      <c r="AI41" s="89">
        <f t="shared" si="29"/>
        <v>7506.601612</v>
      </c>
      <c r="AJ41" s="89">
        <f t="shared" si="29"/>
        <v>8016.733645</v>
      </c>
      <c r="AK41" s="89">
        <f t="shared" si="29"/>
        <v>8537.068317</v>
      </c>
      <c r="AL41" s="89">
        <f t="shared" si="29"/>
        <v>9067.809684</v>
      </c>
      <c r="AM41" s="89">
        <f t="shared" si="29"/>
        <v>9609.165877</v>
      </c>
      <c r="AN41" s="89">
        <f t="shared" si="29"/>
        <v>10161.3492</v>
      </c>
      <c r="AO41" s="89">
        <f t="shared" si="29"/>
        <v>10724.57618</v>
      </c>
      <c r="AP41" s="89">
        <f t="shared" si="29"/>
        <v>11299.0677</v>
      </c>
      <c r="AQ41" s="89">
        <f t="shared" si="29"/>
        <v>11885.04906</v>
      </c>
      <c r="AR41" s="89">
        <f t="shared" si="29"/>
        <v>12482.75004</v>
      </c>
      <c r="AS41" s="89">
        <f t="shared" si="29"/>
        <v>13020.40504</v>
      </c>
      <c r="AT41" s="89">
        <f t="shared" si="29"/>
        <v>13568.81314</v>
      </c>
      <c r="AU41" s="89">
        <f t="shared" si="29"/>
        <v>14128.1894</v>
      </c>
      <c r="AV41" s="89">
        <f t="shared" si="29"/>
        <v>14698.75319</v>
      </c>
      <c r="AW41" s="89">
        <f t="shared" si="29"/>
        <v>15280.72825</v>
      </c>
      <c r="AX41" s="89">
        <f t="shared" si="29"/>
        <v>15874.34282</v>
      </c>
      <c r="AY41" s="89">
        <f t="shared" si="29"/>
        <v>16479.82968</v>
      </c>
      <c r="AZ41" s="89">
        <f t="shared" si="29"/>
        <v>17097.42627</v>
      </c>
      <c r="BA41" s="89">
        <f t="shared" si="29"/>
        <v>17727.37479</v>
      </c>
      <c r="BB41" s="89">
        <f t="shared" si="29"/>
        <v>18369.92229</v>
      </c>
      <c r="BC41" s="89">
        <f t="shared" si="29"/>
        <v>19025.32074</v>
      </c>
      <c r="BD41" s="89">
        <f t="shared" si="29"/>
        <v>19693.82715</v>
      </c>
      <c r="BE41" s="89">
        <f t="shared" si="29"/>
        <v>20318.10369</v>
      </c>
      <c r="BF41" s="89">
        <f t="shared" si="29"/>
        <v>20954.86577</v>
      </c>
      <c r="BG41" s="89">
        <f t="shared" si="29"/>
        <v>21604.36308</v>
      </c>
      <c r="BH41" s="89">
        <f t="shared" si="29"/>
        <v>22266.85034</v>
      </c>
      <c r="BI41" s="89">
        <f t="shared" si="29"/>
        <v>22942.58735</v>
      </c>
      <c r="BJ41" s="89">
        <f t="shared" si="29"/>
        <v>23631.8391</v>
      </c>
      <c r="BK41" s="89">
        <f t="shared" si="29"/>
        <v>24334.87588</v>
      </c>
      <c r="BL41" s="89">
        <f t="shared" si="29"/>
        <v>25051.9734</v>
      </c>
      <c r="BM41" s="89">
        <f t="shared" si="29"/>
        <v>25783.41287</v>
      </c>
      <c r="BN41" s="89">
        <f t="shared" si="29"/>
        <v>26529.48112</v>
      </c>
      <c r="BO41" s="89">
        <f t="shared" si="29"/>
        <v>27290.47075</v>
      </c>
      <c r="BP41" s="89">
        <f t="shared" si="29"/>
        <v>28066.68016</v>
      </c>
      <c r="BQ41" s="89">
        <f t="shared" si="29"/>
        <v>28812.33376</v>
      </c>
      <c r="BR41" s="89">
        <f t="shared" si="29"/>
        <v>29572.90044</v>
      </c>
      <c r="BS41" s="89">
        <f t="shared" si="29"/>
        <v>30348.67845</v>
      </c>
      <c r="BT41" s="89">
        <f t="shared" si="29"/>
        <v>31139.97202</v>
      </c>
      <c r="BU41" s="89">
        <f t="shared" si="29"/>
        <v>31947.09146</v>
      </c>
      <c r="BV41" s="89">
        <f t="shared" si="29"/>
        <v>32770.35329</v>
      </c>
      <c r="BW41" s="89">
        <f t="shared" si="29"/>
        <v>33610.08035</v>
      </c>
      <c r="BX41" s="89">
        <f t="shared" si="29"/>
        <v>34466.60196</v>
      </c>
      <c r="BY41" s="89">
        <f t="shared" si="29"/>
        <v>35340.254</v>
      </c>
      <c r="BZ41" s="89">
        <f t="shared" si="29"/>
        <v>36231.37908</v>
      </c>
      <c r="CA41" s="89">
        <f t="shared" si="29"/>
        <v>37140.32666</v>
      </c>
    </row>
    <row r="42" outlineLevel="1">
      <c r="A42" s="47"/>
      <c r="B42" s="64"/>
      <c r="C42" s="47"/>
      <c r="D42" s="87"/>
      <c r="E42" s="87"/>
      <c r="F42" s="87"/>
      <c r="G42" s="87"/>
      <c r="H42" s="88"/>
      <c r="I42" s="88"/>
      <c r="J42" s="88"/>
      <c r="K42" s="88"/>
      <c r="L42" s="88"/>
      <c r="M42" s="88"/>
      <c r="N42" s="88"/>
      <c r="O42" s="88"/>
      <c r="P42" s="88"/>
      <c r="Q42" s="88"/>
      <c r="R42" s="88"/>
      <c r="S42" s="88"/>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row>
    <row r="43" outlineLevel="1">
      <c r="A43" s="47"/>
      <c r="B43" s="52" t="s">
        <v>38</v>
      </c>
      <c r="C43" s="76"/>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row>
    <row r="44" outlineLevel="1">
      <c r="A44" s="47"/>
      <c r="B44" s="39" t="s">
        <v>21</v>
      </c>
      <c r="C44" s="76"/>
      <c r="D44" s="77"/>
      <c r="E44" s="47"/>
      <c r="F44" s="47"/>
      <c r="G44" s="47"/>
      <c r="H44" s="77"/>
      <c r="I44" s="77"/>
      <c r="J44" s="77"/>
      <c r="K44" s="77"/>
      <c r="L44" s="77"/>
      <c r="M44" s="77"/>
      <c r="N44" s="77"/>
      <c r="O44" s="77"/>
      <c r="P44" s="77"/>
      <c r="Q44" s="77"/>
      <c r="R44" s="77"/>
      <c r="S44" s="77"/>
      <c r="T44" s="77">
        <f t="shared" ref="T44:CA44" si="30">T20</f>
        <v>0</v>
      </c>
      <c r="U44" s="77">
        <f t="shared" si="30"/>
        <v>0</v>
      </c>
      <c r="V44" s="77">
        <f t="shared" si="30"/>
        <v>0</v>
      </c>
      <c r="W44" s="77">
        <f t="shared" si="30"/>
        <v>0</v>
      </c>
      <c r="X44" s="77">
        <f t="shared" si="30"/>
        <v>0</v>
      </c>
      <c r="Y44" s="77">
        <f t="shared" si="30"/>
        <v>1</v>
      </c>
      <c r="Z44" s="77">
        <f t="shared" si="30"/>
        <v>1.02</v>
      </c>
      <c r="AA44" s="77">
        <f t="shared" si="30"/>
        <v>1.0404</v>
      </c>
      <c r="AB44" s="77">
        <f t="shared" si="30"/>
        <v>1.061208</v>
      </c>
      <c r="AC44" s="77">
        <f t="shared" si="30"/>
        <v>1.08243216</v>
      </c>
      <c r="AD44" s="77">
        <f t="shared" si="30"/>
        <v>1.104080803</v>
      </c>
      <c r="AE44" s="77">
        <f t="shared" si="30"/>
        <v>1.126162419</v>
      </c>
      <c r="AF44" s="77">
        <f t="shared" si="30"/>
        <v>1.148685668</v>
      </c>
      <c r="AG44" s="77">
        <f t="shared" si="30"/>
        <v>1.171659381</v>
      </c>
      <c r="AH44" s="77">
        <f t="shared" si="30"/>
        <v>1.195092569</v>
      </c>
      <c r="AI44" s="77">
        <f t="shared" si="30"/>
        <v>1.21899442</v>
      </c>
      <c r="AJ44" s="77">
        <f t="shared" si="30"/>
        <v>1.243374308</v>
      </c>
      <c r="AK44" s="77">
        <f t="shared" si="30"/>
        <v>1.268241795</v>
      </c>
      <c r="AL44" s="77">
        <f t="shared" si="30"/>
        <v>1.29360663</v>
      </c>
      <c r="AM44" s="77">
        <f t="shared" si="30"/>
        <v>1.319478763</v>
      </c>
      <c r="AN44" s="77">
        <f t="shared" si="30"/>
        <v>1.345868338</v>
      </c>
      <c r="AO44" s="77">
        <f t="shared" si="30"/>
        <v>1.372785705</v>
      </c>
      <c r="AP44" s="77">
        <f t="shared" si="30"/>
        <v>1.400241419</v>
      </c>
      <c r="AQ44" s="77">
        <f t="shared" si="30"/>
        <v>1.428246248</v>
      </c>
      <c r="AR44" s="77">
        <f t="shared" si="30"/>
        <v>1.456811173</v>
      </c>
      <c r="AS44" s="77">
        <f t="shared" si="30"/>
        <v>1.485947396</v>
      </c>
      <c r="AT44" s="77">
        <f t="shared" si="30"/>
        <v>1.515666344</v>
      </c>
      <c r="AU44" s="77">
        <f t="shared" si="30"/>
        <v>1.545979671</v>
      </c>
      <c r="AV44" s="77">
        <f t="shared" si="30"/>
        <v>1.576899264</v>
      </c>
      <c r="AW44" s="77">
        <f t="shared" si="30"/>
        <v>1.608437249</v>
      </c>
      <c r="AX44" s="77">
        <f t="shared" si="30"/>
        <v>1.640605994</v>
      </c>
      <c r="AY44" s="77">
        <f t="shared" si="30"/>
        <v>1.673418114</v>
      </c>
      <c r="AZ44" s="77">
        <f t="shared" si="30"/>
        <v>1.706886477</v>
      </c>
      <c r="BA44" s="77">
        <f t="shared" si="30"/>
        <v>1.741024206</v>
      </c>
      <c r="BB44" s="77">
        <f t="shared" si="30"/>
        <v>1.77584469</v>
      </c>
      <c r="BC44" s="77">
        <f t="shared" si="30"/>
        <v>1.811361584</v>
      </c>
      <c r="BD44" s="77">
        <f t="shared" si="30"/>
        <v>1.847588816</v>
      </c>
      <c r="BE44" s="77">
        <f t="shared" si="30"/>
        <v>1.884540592</v>
      </c>
      <c r="BF44" s="77">
        <f t="shared" si="30"/>
        <v>1.922231404</v>
      </c>
      <c r="BG44" s="77">
        <f t="shared" si="30"/>
        <v>1.960676032</v>
      </c>
      <c r="BH44" s="77">
        <f t="shared" si="30"/>
        <v>1.999889553</v>
      </c>
      <c r="BI44" s="77">
        <f t="shared" si="30"/>
        <v>2.039887344</v>
      </c>
      <c r="BJ44" s="77">
        <f t="shared" si="30"/>
        <v>2.080685091</v>
      </c>
      <c r="BK44" s="77">
        <f t="shared" si="30"/>
        <v>2.122298792</v>
      </c>
      <c r="BL44" s="77">
        <f t="shared" si="30"/>
        <v>2.164744768</v>
      </c>
      <c r="BM44" s="77">
        <f t="shared" si="30"/>
        <v>2.208039664</v>
      </c>
      <c r="BN44" s="77">
        <f t="shared" si="30"/>
        <v>2.252200457</v>
      </c>
      <c r="BO44" s="77">
        <f t="shared" si="30"/>
        <v>2.297244466</v>
      </c>
      <c r="BP44" s="77">
        <f t="shared" si="30"/>
        <v>2.343189355</v>
      </c>
      <c r="BQ44" s="77">
        <f t="shared" si="30"/>
        <v>2.390053142</v>
      </c>
      <c r="BR44" s="77">
        <f t="shared" si="30"/>
        <v>2.437854205</v>
      </c>
      <c r="BS44" s="77">
        <f t="shared" si="30"/>
        <v>2.486611289</v>
      </c>
      <c r="BT44" s="77">
        <f t="shared" si="30"/>
        <v>2.536343515</v>
      </c>
      <c r="BU44" s="77">
        <f t="shared" si="30"/>
        <v>2.587070385</v>
      </c>
      <c r="BV44" s="77">
        <f t="shared" si="30"/>
        <v>2.638811793</v>
      </c>
      <c r="BW44" s="77">
        <f t="shared" si="30"/>
        <v>2.691588029</v>
      </c>
      <c r="BX44" s="77">
        <f t="shared" si="30"/>
        <v>2.74541979</v>
      </c>
      <c r="BY44" s="77">
        <f t="shared" si="30"/>
        <v>2.800328185</v>
      </c>
      <c r="BZ44" s="77">
        <f t="shared" si="30"/>
        <v>2.856334749</v>
      </c>
      <c r="CA44" s="77">
        <f t="shared" si="30"/>
        <v>2.913461444</v>
      </c>
    </row>
    <row r="45" outlineLevel="1">
      <c r="A45" s="47"/>
      <c r="B45" s="39" t="s">
        <v>25</v>
      </c>
      <c r="C45" s="76"/>
      <c r="D45" s="47"/>
      <c r="E45" s="47"/>
      <c r="F45" s="47"/>
      <c r="G45" s="47"/>
      <c r="H45" s="39">
        <v>0.0</v>
      </c>
      <c r="I45" s="39">
        <v>0.0</v>
      </c>
      <c r="J45" s="39">
        <v>0.0</v>
      </c>
      <c r="K45" s="39">
        <v>0.0</v>
      </c>
      <c r="L45" s="39">
        <v>0.0</v>
      </c>
      <c r="M45" s="39">
        <v>0.0</v>
      </c>
      <c r="N45" s="39">
        <v>0.0</v>
      </c>
      <c r="O45" s="39">
        <v>0.0</v>
      </c>
      <c r="P45" s="39">
        <v>0.0</v>
      </c>
      <c r="Q45" s="39">
        <v>0.0</v>
      </c>
      <c r="R45" s="39">
        <v>0.0</v>
      </c>
      <c r="S45" s="39">
        <v>0.0</v>
      </c>
      <c r="T45" s="77">
        <f t="shared" ref="T45:CA45" si="31">T44+T50</f>
        <v>0</v>
      </c>
      <c r="U45" s="77">
        <f t="shared" si="31"/>
        <v>0</v>
      </c>
      <c r="V45" s="77">
        <f t="shared" si="31"/>
        <v>0</v>
      </c>
      <c r="W45" s="77">
        <f t="shared" si="31"/>
        <v>0</v>
      </c>
      <c r="X45" s="77">
        <f t="shared" si="31"/>
        <v>0</v>
      </c>
      <c r="Y45" s="77">
        <f t="shared" si="31"/>
        <v>1</v>
      </c>
      <c r="Z45" s="77">
        <f t="shared" si="31"/>
        <v>1.02</v>
      </c>
      <c r="AA45" s="77">
        <f t="shared" si="31"/>
        <v>1.0404</v>
      </c>
      <c r="AB45" s="77">
        <f t="shared" si="31"/>
        <v>1.061208</v>
      </c>
      <c r="AC45" s="77">
        <f t="shared" si="31"/>
        <v>1.08243216</v>
      </c>
      <c r="AD45" s="77">
        <f t="shared" si="31"/>
        <v>1.104080803</v>
      </c>
      <c r="AE45" s="77">
        <f t="shared" si="31"/>
        <v>1.126162419</v>
      </c>
      <c r="AF45" s="77">
        <f t="shared" si="31"/>
        <v>1.148685668</v>
      </c>
      <c r="AG45" s="77">
        <f t="shared" si="31"/>
        <v>1.171659381</v>
      </c>
      <c r="AH45" s="77">
        <f t="shared" si="31"/>
        <v>1.195092569</v>
      </c>
      <c r="AI45" s="77">
        <f t="shared" si="31"/>
        <v>1.21899442</v>
      </c>
      <c r="AJ45" s="77">
        <f t="shared" si="31"/>
        <v>1.243374308</v>
      </c>
      <c r="AK45" s="77">
        <f t="shared" si="31"/>
        <v>2.068241795</v>
      </c>
      <c r="AL45" s="77">
        <f t="shared" si="31"/>
        <v>2.10960663</v>
      </c>
      <c r="AM45" s="77">
        <f t="shared" si="31"/>
        <v>2.151798763</v>
      </c>
      <c r="AN45" s="77">
        <f t="shared" si="31"/>
        <v>2.194834738</v>
      </c>
      <c r="AO45" s="77">
        <f t="shared" si="31"/>
        <v>2.238731433</v>
      </c>
      <c r="AP45" s="77">
        <f t="shared" si="31"/>
        <v>2.283506062</v>
      </c>
      <c r="AQ45" s="77">
        <f t="shared" si="31"/>
        <v>2.329176183</v>
      </c>
      <c r="AR45" s="77">
        <f t="shared" si="31"/>
        <v>2.375759707</v>
      </c>
      <c r="AS45" s="77">
        <f t="shared" si="31"/>
        <v>2.423274901</v>
      </c>
      <c r="AT45" s="77">
        <f t="shared" si="31"/>
        <v>2.471740399</v>
      </c>
      <c r="AU45" s="77">
        <f t="shared" si="31"/>
        <v>2.521175207</v>
      </c>
      <c r="AV45" s="77">
        <f t="shared" si="31"/>
        <v>2.571598711</v>
      </c>
      <c r="AW45" s="77">
        <f t="shared" si="31"/>
        <v>3.263030685</v>
      </c>
      <c r="AX45" s="77">
        <f t="shared" si="31"/>
        <v>3.328291299</v>
      </c>
      <c r="AY45" s="77">
        <f t="shared" si="31"/>
        <v>3.394857125</v>
      </c>
      <c r="AZ45" s="77">
        <f t="shared" si="31"/>
        <v>3.462754267</v>
      </c>
      <c r="BA45" s="77">
        <f t="shared" si="31"/>
        <v>3.532009353</v>
      </c>
      <c r="BB45" s="77">
        <f t="shared" si="31"/>
        <v>3.60264954</v>
      </c>
      <c r="BC45" s="77">
        <f t="shared" si="31"/>
        <v>3.67470253</v>
      </c>
      <c r="BD45" s="77">
        <f t="shared" si="31"/>
        <v>3.748196581</v>
      </c>
      <c r="BE45" s="77">
        <f t="shared" si="31"/>
        <v>3.823160513</v>
      </c>
      <c r="BF45" s="77">
        <f t="shared" si="31"/>
        <v>3.899623723</v>
      </c>
      <c r="BG45" s="77">
        <f t="shared" si="31"/>
        <v>3.977616197</v>
      </c>
      <c r="BH45" s="77">
        <f t="shared" si="31"/>
        <v>4.057168521</v>
      </c>
      <c r="BI45" s="77">
        <f t="shared" si="31"/>
        <v>4.650311892</v>
      </c>
      <c r="BJ45" s="77">
        <f t="shared" si="31"/>
        <v>4.74331813</v>
      </c>
      <c r="BK45" s="77">
        <f t="shared" si="31"/>
        <v>4.838184492</v>
      </c>
      <c r="BL45" s="77">
        <f t="shared" si="31"/>
        <v>4.934948182</v>
      </c>
      <c r="BM45" s="77">
        <f t="shared" si="31"/>
        <v>5.033647146</v>
      </c>
      <c r="BN45" s="77">
        <f t="shared" si="31"/>
        <v>5.134320089</v>
      </c>
      <c r="BO45" s="77">
        <f t="shared" si="31"/>
        <v>5.23700649</v>
      </c>
      <c r="BP45" s="77">
        <f t="shared" si="31"/>
        <v>5.34174662</v>
      </c>
      <c r="BQ45" s="77">
        <f t="shared" si="31"/>
        <v>5.448581553</v>
      </c>
      <c r="BR45" s="77">
        <f t="shared" si="31"/>
        <v>5.557553184</v>
      </c>
      <c r="BS45" s="77">
        <f t="shared" si="31"/>
        <v>5.668704247</v>
      </c>
      <c r="BT45" s="77">
        <f t="shared" si="31"/>
        <v>5.782078332</v>
      </c>
      <c r="BU45" s="77">
        <f t="shared" si="31"/>
        <v>6.307319899</v>
      </c>
      <c r="BV45" s="77">
        <f t="shared" si="31"/>
        <v>6.433466297</v>
      </c>
      <c r="BW45" s="77">
        <f t="shared" si="31"/>
        <v>6.562135623</v>
      </c>
      <c r="BX45" s="77">
        <f t="shared" si="31"/>
        <v>6.693378335</v>
      </c>
      <c r="BY45" s="77">
        <f t="shared" si="31"/>
        <v>6.827245902</v>
      </c>
      <c r="BZ45" s="77">
        <f t="shared" si="31"/>
        <v>6.96379082</v>
      </c>
      <c r="CA45" s="77">
        <f t="shared" si="31"/>
        <v>7.103066636</v>
      </c>
    </row>
    <row r="46" outlineLevel="1">
      <c r="A46" s="47"/>
      <c r="B46" s="39" t="s">
        <v>26</v>
      </c>
      <c r="C46" s="76"/>
      <c r="D46" s="47"/>
      <c r="E46" s="47"/>
      <c r="F46" s="47"/>
      <c r="G46" s="47"/>
      <c r="H46" s="39"/>
      <c r="I46" s="39"/>
      <c r="J46" s="39"/>
      <c r="K46" s="39"/>
      <c r="L46" s="39"/>
      <c r="M46" s="39"/>
      <c r="N46" s="39"/>
      <c r="O46" s="39"/>
      <c r="P46" s="39"/>
      <c r="Q46" s="39"/>
      <c r="R46" s="39"/>
      <c r="S46" s="39"/>
      <c r="T46" s="47">
        <f t="shared" ref="T46:CA46" si="32">H45</f>
        <v>0</v>
      </c>
      <c r="U46" s="47">
        <f t="shared" si="32"/>
        <v>0</v>
      </c>
      <c r="V46" s="47">
        <f t="shared" si="32"/>
        <v>0</v>
      </c>
      <c r="W46" s="47">
        <f t="shared" si="32"/>
        <v>0</v>
      </c>
      <c r="X46" s="47">
        <f t="shared" si="32"/>
        <v>0</v>
      </c>
      <c r="Y46" s="47">
        <f t="shared" si="32"/>
        <v>0</v>
      </c>
      <c r="Z46" s="47">
        <f t="shared" si="32"/>
        <v>0</v>
      </c>
      <c r="AA46" s="47">
        <f t="shared" si="32"/>
        <v>0</v>
      </c>
      <c r="AB46" s="47">
        <f t="shared" si="32"/>
        <v>0</v>
      </c>
      <c r="AC46" s="47">
        <f t="shared" si="32"/>
        <v>0</v>
      </c>
      <c r="AD46" s="47">
        <f t="shared" si="32"/>
        <v>0</v>
      </c>
      <c r="AE46" s="47">
        <f t="shared" si="32"/>
        <v>0</v>
      </c>
      <c r="AF46" s="77">
        <f t="shared" si="32"/>
        <v>0</v>
      </c>
      <c r="AG46" s="77">
        <f t="shared" si="32"/>
        <v>0</v>
      </c>
      <c r="AH46" s="77">
        <f t="shared" si="32"/>
        <v>0</v>
      </c>
      <c r="AI46" s="77">
        <f t="shared" si="32"/>
        <v>0</v>
      </c>
      <c r="AJ46" s="77">
        <f t="shared" si="32"/>
        <v>0</v>
      </c>
      <c r="AK46" s="77">
        <f t="shared" si="32"/>
        <v>1</v>
      </c>
      <c r="AL46" s="77">
        <f t="shared" si="32"/>
        <v>1.02</v>
      </c>
      <c r="AM46" s="77">
        <f t="shared" si="32"/>
        <v>1.0404</v>
      </c>
      <c r="AN46" s="77">
        <f t="shared" si="32"/>
        <v>1.061208</v>
      </c>
      <c r="AO46" s="77">
        <f t="shared" si="32"/>
        <v>1.08243216</v>
      </c>
      <c r="AP46" s="77">
        <f t="shared" si="32"/>
        <v>1.104080803</v>
      </c>
      <c r="AQ46" s="77">
        <f t="shared" si="32"/>
        <v>1.126162419</v>
      </c>
      <c r="AR46" s="77">
        <f t="shared" si="32"/>
        <v>1.148685668</v>
      </c>
      <c r="AS46" s="77">
        <f t="shared" si="32"/>
        <v>1.171659381</v>
      </c>
      <c r="AT46" s="77">
        <f t="shared" si="32"/>
        <v>1.195092569</v>
      </c>
      <c r="AU46" s="77">
        <f t="shared" si="32"/>
        <v>1.21899442</v>
      </c>
      <c r="AV46" s="77">
        <f t="shared" si="32"/>
        <v>1.243374308</v>
      </c>
      <c r="AW46" s="77">
        <f t="shared" si="32"/>
        <v>2.068241795</v>
      </c>
      <c r="AX46" s="77">
        <f t="shared" si="32"/>
        <v>2.10960663</v>
      </c>
      <c r="AY46" s="77">
        <f t="shared" si="32"/>
        <v>2.151798763</v>
      </c>
      <c r="AZ46" s="77">
        <f t="shared" si="32"/>
        <v>2.194834738</v>
      </c>
      <c r="BA46" s="77">
        <f t="shared" si="32"/>
        <v>2.238731433</v>
      </c>
      <c r="BB46" s="77">
        <f t="shared" si="32"/>
        <v>2.283506062</v>
      </c>
      <c r="BC46" s="77">
        <f t="shared" si="32"/>
        <v>2.329176183</v>
      </c>
      <c r="BD46" s="77">
        <f t="shared" si="32"/>
        <v>2.375759707</v>
      </c>
      <c r="BE46" s="77">
        <f t="shared" si="32"/>
        <v>2.423274901</v>
      </c>
      <c r="BF46" s="77">
        <f t="shared" si="32"/>
        <v>2.471740399</v>
      </c>
      <c r="BG46" s="77">
        <f t="shared" si="32"/>
        <v>2.521175207</v>
      </c>
      <c r="BH46" s="77">
        <f t="shared" si="32"/>
        <v>2.571598711</v>
      </c>
      <c r="BI46" s="77">
        <f t="shared" si="32"/>
        <v>3.263030685</v>
      </c>
      <c r="BJ46" s="77">
        <f t="shared" si="32"/>
        <v>3.328291299</v>
      </c>
      <c r="BK46" s="77">
        <f t="shared" si="32"/>
        <v>3.394857125</v>
      </c>
      <c r="BL46" s="77">
        <f t="shared" si="32"/>
        <v>3.462754267</v>
      </c>
      <c r="BM46" s="77">
        <f t="shared" si="32"/>
        <v>3.532009353</v>
      </c>
      <c r="BN46" s="77">
        <f t="shared" si="32"/>
        <v>3.60264954</v>
      </c>
      <c r="BO46" s="77">
        <f t="shared" si="32"/>
        <v>3.67470253</v>
      </c>
      <c r="BP46" s="77">
        <f t="shared" si="32"/>
        <v>3.748196581</v>
      </c>
      <c r="BQ46" s="77">
        <f t="shared" si="32"/>
        <v>3.823160513</v>
      </c>
      <c r="BR46" s="77">
        <f t="shared" si="32"/>
        <v>3.899623723</v>
      </c>
      <c r="BS46" s="77">
        <f t="shared" si="32"/>
        <v>3.977616197</v>
      </c>
      <c r="BT46" s="77">
        <f t="shared" si="32"/>
        <v>4.057168521</v>
      </c>
      <c r="BU46" s="77">
        <f t="shared" si="32"/>
        <v>4.650311892</v>
      </c>
      <c r="BV46" s="77">
        <f t="shared" si="32"/>
        <v>4.74331813</v>
      </c>
      <c r="BW46" s="77">
        <f t="shared" si="32"/>
        <v>4.838184492</v>
      </c>
      <c r="BX46" s="77">
        <f t="shared" si="32"/>
        <v>4.934948182</v>
      </c>
      <c r="BY46" s="77">
        <f t="shared" si="32"/>
        <v>5.033647146</v>
      </c>
      <c r="BZ46" s="77">
        <f t="shared" si="32"/>
        <v>5.134320089</v>
      </c>
      <c r="CA46" s="77">
        <f t="shared" si="32"/>
        <v>5.23700649</v>
      </c>
    </row>
    <row r="47" outlineLevel="1">
      <c r="A47" s="47"/>
      <c r="B47" s="39" t="s">
        <v>27</v>
      </c>
      <c r="C47" s="76"/>
      <c r="D47" s="47"/>
      <c r="E47" s="47"/>
      <c r="F47" s="47"/>
      <c r="G47" s="47"/>
      <c r="H47" s="47"/>
      <c r="I47" s="47"/>
      <c r="J47" s="47"/>
      <c r="K47" s="47"/>
      <c r="L47" s="47"/>
      <c r="M47" s="47"/>
      <c r="N47" s="47"/>
      <c r="O47" s="47"/>
      <c r="P47" s="47"/>
      <c r="Q47" s="47"/>
      <c r="R47" s="47"/>
      <c r="S47" s="47"/>
      <c r="T47" s="77">
        <f t="shared" ref="T47:CA47" si="33">T52-T46</f>
        <v>0</v>
      </c>
      <c r="U47" s="77">
        <f t="shared" si="33"/>
        <v>0</v>
      </c>
      <c r="V47" s="77">
        <f t="shared" si="33"/>
        <v>0</v>
      </c>
      <c r="W47" s="77">
        <f t="shared" si="33"/>
        <v>0</v>
      </c>
      <c r="X47" s="77">
        <f t="shared" si="33"/>
        <v>0</v>
      </c>
      <c r="Y47" s="77">
        <f t="shared" si="33"/>
        <v>0</v>
      </c>
      <c r="Z47" s="77">
        <f t="shared" si="33"/>
        <v>1</v>
      </c>
      <c r="AA47" s="77">
        <f t="shared" si="33"/>
        <v>2.02</v>
      </c>
      <c r="AB47" s="77">
        <f t="shared" si="33"/>
        <v>3.0604</v>
      </c>
      <c r="AC47" s="77">
        <f t="shared" si="33"/>
        <v>4.121608</v>
      </c>
      <c r="AD47" s="77">
        <f t="shared" si="33"/>
        <v>5.20404016</v>
      </c>
      <c r="AE47" s="77">
        <f t="shared" si="33"/>
        <v>6.308120963</v>
      </c>
      <c r="AF47" s="77">
        <f t="shared" si="33"/>
        <v>7.434283382</v>
      </c>
      <c r="AG47" s="77">
        <f t="shared" si="33"/>
        <v>8.58296905</v>
      </c>
      <c r="AH47" s="77">
        <f t="shared" si="33"/>
        <v>9.754628431</v>
      </c>
      <c r="AI47" s="77">
        <f t="shared" si="33"/>
        <v>10.949721</v>
      </c>
      <c r="AJ47" s="77">
        <f t="shared" si="33"/>
        <v>12.16871542</v>
      </c>
      <c r="AK47" s="77">
        <f t="shared" si="33"/>
        <v>12.41208973</v>
      </c>
      <c r="AL47" s="77">
        <f t="shared" si="33"/>
        <v>13.46033152</v>
      </c>
      <c r="AM47" s="77">
        <f t="shared" si="33"/>
        <v>14.52953815</v>
      </c>
      <c r="AN47" s="77">
        <f t="shared" si="33"/>
        <v>15.62012892</v>
      </c>
      <c r="AO47" s="77">
        <f t="shared" si="33"/>
        <v>16.73253149</v>
      </c>
      <c r="AP47" s="77">
        <f t="shared" si="33"/>
        <v>17.86718212</v>
      </c>
      <c r="AQ47" s="77">
        <f t="shared" si="33"/>
        <v>19.02452577</v>
      </c>
      <c r="AR47" s="77">
        <f t="shared" si="33"/>
        <v>20.20501628</v>
      </c>
      <c r="AS47" s="77">
        <f t="shared" si="33"/>
        <v>21.40911661</v>
      </c>
      <c r="AT47" s="77">
        <f t="shared" si="33"/>
        <v>22.63729894</v>
      </c>
      <c r="AU47" s="77">
        <f t="shared" si="33"/>
        <v>23.89004492</v>
      </c>
      <c r="AV47" s="77">
        <f t="shared" si="33"/>
        <v>25.16784582</v>
      </c>
      <c r="AW47" s="77">
        <f t="shared" si="33"/>
        <v>25.67120273</v>
      </c>
      <c r="AX47" s="77">
        <f t="shared" si="33"/>
        <v>26.82462679</v>
      </c>
      <c r="AY47" s="77">
        <f t="shared" si="33"/>
        <v>28.00111932</v>
      </c>
      <c r="AZ47" s="77">
        <f t="shared" si="33"/>
        <v>29.20114171</v>
      </c>
      <c r="BA47" s="77">
        <f t="shared" si="33"/>
        <v>30.42516454</v>
      </c>
      <c r="BB47" s="77">
        <f t="shared" si="33"/>
        <v>31.67366784</v>
      </c>
      <c r="BC47" s="77">
        <f t="shared" si="33"/>
        <v>32.94714119</v>
      </c>
      <c r="BD47" s="77">
        <f t="shared" si="33"/>
        <v>34.24608402</v>
      </c>
      <c r="BE47" s="77">
        <f t="shared" si="33"/>
        <v>35.5710057</v>
      </c>
      <c r="BF47" s="77">
        <f t="shared" si="33"/>
        <v>36.92242581</v>
      </c>
      <c r="BG47" s="77">
        <f t="shared" si="33"/>
        <v>38.30087433</v>
      </c>
      <c r="BH47" s="77">
        <f t="shared" si="33"/>
        <v>39.70689181</v>
      </c>
      <c r="BI47" s="77">
        <f t="shared" si="33"/>
        <v>40.50102965</v>
      </c>
      <c r="BJ47" s="77">
        <f t="shared" si="33"/>
        <v>41.82305024</v>
      </c>
      <c r="BK47" s="77">
        <f t="shared" si="33"/>
        <v>43.17151125</v>
      </c>
      <c r="BL47" s="77">
        <f t="shared" si="33"/>
        <v>44.54694147</v>
      </c>
      <c r="BM47" s="77">
        <f t="shared" si="33"/>
        <v>45.9498803</v>
      </c>
      <c r="BN47" s="77">
        <f t="shared" si="33"/>
        <v>47.38087791</v>
      </c>
      <c r="BO47" s="77">
        <f t="shared" si="33"/>
        <v>48.84049547</v>
      </c>
      <c r="BP47" s="77">
        <f t="shared" si="33"/>
        <v>50.32930538</v>
      </c>
      <c r="BQ47" s="77">
        <f t="shared" si="33"/>
        <v>51.84789148</v>
      </c>
      <c r="BR47" s="77">
        <f t="shared" si="33"/>
        <v>53.39684931</v>
      </c>
      <c r="BS47" s="77">
        <f t="shared" si="33"/>
        <v>54.9767863</v>
      </c>
      <c r="BT47" s="77">
        <f t="shared" si="33"/>
        <v>56.58832202</v>
      </c>
      <c r="BU47" s="77">
        <f t="shared" si="33"/>
        <v>57.72008846</v>
      </c>
      <c r="BV47" s="77">
        <f t="shared" si="33"/>
        <v>59.28409023</v>
      </c>
      <c r="BW47" s="77">
        <f t="shared" si="33"/>
        <v>60.87937204</v>
      </c>
      <c r="BX47" s="77">
        <f t="shared" si="33"/>
        <v>62.50655948</v>
      </c>
      <c r="BY47" s="77">
        <f t="shared" si="33"/>
        <v>64.16629067</v>
      </c>
      <c r="BZ47" s="77">
        <f t="shared" si="33"/>
        <v>65.85921648</v>
      </c>
      <c r="CA47" s="77">
        <f t="shared" si="33"/>
        <v>67.58600081</v>
      </c>
    </row>
    <row r="48" outlineLevel="1">
      <c r="A48" s="47"/>
      <c r="B48" s="39" t="s">
        <v>28</v>
      </c>
      <c r="C48" s="76"/>
      <c r="D48" s="78">
        <v>0.2</v>
      </c>
      <c r="E48" s="47"/>
      <c r="F48" s="47"/>
      <c r="G48" s="47"/>
      <c r="H48" s="79"/>
      <c r="I48" s="79"/>
      <c r="J48" s="79"/>
      <c r="K48" s="79"/>
      <c r="L48" s="79"/>
      <c r="M48" s="79"/>
      <c r="N48" s="79"/>
      <c r="O48" s="79"/>
      <c r="P48" s="79"/>
      <c r="Q48" s="79"/>
      <c r="R48" s="79"/>
      <c r="S48" s="79"/>
      <c r="T48" s="80">
        <f>D48</f>
        <v>0.2</v>
      </c>
      <c r="U48" s="80">
        <f t="shared" ref="U48:CA48" si="34">T48</f>
        <v>0.2</v>
      </c>
      <c r="V48" s="80">
        <f t="shared" si="34"/>
        <v>0.2</v>
      </c>
      <c r="W48" s="80">
        <f t="shared" si="34"/>
        <v>0.2</v>
      </c>
      <c r="X48" s="80">
        <f t="shared" si="34"/>
        <v>0.2</v>
      </c>
      <c r="Y48" s="80">
        <f t="shared" si="34"/>
        <v>0.2</v>
      </c>
      <c r="Z48" s="80">
        <f t="shared" si="34"/>
        <v>0.2</v>
      </c>
      <c r="AA48" s="80">
        <f t="shared" si="34"/>
        <v>0.2</v>
      </c>
      <c r="AB48" s="80">
        <f t="shared" si="34"/>
        <v>0.2</v>
      </c>
      <c r="AC48" s="80">
        <f t="shared" si="34"/>
        <v>0.2</v>
      </c>
      <c r="AD48" s="80">
        <f t="shared" si="34"/>
        <v>0.2</v>
      </c>
      <c r="AE48" s="80">
        <f t="shared" si="34"/>
        <v>0.2</v>
      </c>
      <c r="AF48" s="80">
        <f t="shared" si="34"/>
        <v>0.2</v>
      </c>
      <c r="AG48" s="80">
        <f t="shared" si="34"/>
        <v>0.2</v>
      </c>
      <c r="AH48" s="80">
        <f t="shared" si="34"/>
        <v>0.2</v>
      </c>
      <c r="AI48" s="80">
        <f t="shared" si="34"/>
        <v>0.2</v>
      </c>
      <c r="AJ48" s="80">
        <f t="shared" si="34"/>
        <v>0.2</v>
      </c>
      <c r="AK48" s="80">
        <f t="shared" si="34"/>
        <v>0.2</v>
      </c>
      <c r="AL48" s="80">
        <f t="shared" si="34"/>
        <v>0.2</v>
      </c>
      <c r="AM48" s="80">
        <f t="shared" si="34"/>
        <v>0.2</v>
      </c>
      <c r="AN48" s="80">
        <f t="shared" si="34"/>
        <v>0.2</v>
      </c>
      <c r="AO48" s="80">
        <f t="shared" si="34"/>
        <v>0.2</v>
      </c>
      <c r="AP48" s="80">
        <f t="shared" si="34"/>
        <v>0.2</v>
      </c>
      <c r="AQ48" s="80">
        <f t="shared" si="34"/>
        <v>0.2</v>
      </c>
      <c r="AR48" s="80">
        <f t="shared" si="34"/>
        <v>0.2</v>
      </c>
      <c r="AS48" s="80">
        <f t="shared" si="34"/>
        <v>0.2</v>
      </c>
      <c r="AT48" s="80">
        <f t="shared" si="34"/>
        <v>0.2</v>
      </c>
      <c r="AU48" s="80">
        <f t="shared" si="34"/>
        <v>0.2</v>
      </c>
      <c r="AV48" s="80">
        <f t="shared" si="34"/>
        <v>0.2</v>
      </c>
      <c r="AW48" s="80">
        <f t="shared" si="34"/>
        <v>0.2</v>
      </c>
      <c r="AX48" s="80">
        <f t="shared" si="34"/>
        <v>0.2</v>
      </c>
      <c r="AY48" s="80">
        <f t="shared" si="34"/>
        <v>0.2</v>
      </c>
      <c r="AZ48" s="80">
        <f t="shared" si="34"/>
        <v>0.2</v>
      </c>
      <c r="BA48" s="80">
        <f t="shared" si="34"/>
        <v>0.2</v>
      </c>
      <c r="BB48" s="80">
        <f t="shared" si="34"/>
        <v>0.2</v>
      </c>
      <c r="BC48" s="80">
        <f t="shared" si="34"/>
        <v>0.2</v>
      </c>
      <c r="BD48" s="80">
        <f t="shared" si="34"/>
        <v>0.2</v>
      </c>
      <c r="BE48" s="80">
        <f t="shared" si="34"/>
        <v>0.2</v>
      </c>
      <c r="BF48" s="80">
        <f t="shared" si="34"/>
        <v>0.2</v>
      </c>
      <c r="BG48" s="80">
        <f t="shared" si="34"/>
        <v>0.2</v>
      </c>
      <c r="BH48" s="80">
        <f t="shared" si="34"/>
        <v>0.2</v>
      </c>
      <c r="BI48" s="80">
        <f t="shared" si="34"/>
        <v>0.2</v>
      </c>
      <c r="BJ48" s="80">
        <f t="shared" si="34"/>
        <v>0.2</v>
      </c>
      <c r="BK48" s="80">
        <f t="shared" si="34"/>
        <v>0.2</v>
      </c>
      <c r="BL48" s="80">
        <f t="shared" si="34"/>
        <v>0.2</v>
      </c>
      <c r="BM48" s="80">
        <f t="shared" si="34"/>
        <v>0.2</v>
      </c>
      <c r="BN48" s="80">
        <f t="shared" si="34"/>
        <v>0.2</v>
      </c>
      <c r="BO48" s="80">
        <f t="shared" si="34"/>
        <v>0.2</v>
      </c>
      <c r="BP48" s="80">
        <f t="shared" si="34"/>
        <v>0.2</v>
      </c>
      <c r="BQ48" s="80">
        <f t="shared" si="34"/>
        <v>0.2</v>
      </c>
      <c r="BR48" s="80">
        <f t="shared" si="34"/>
        <v>0.2</v>
      </c>
      <c r="BS48" s="80">
        <f t="shared" si="34"/>
        <v>0.2</v>
      </c>
      <c r="BT48" s="80">
        <f t="shared" si="34"/>
        <v>0.2</v>
      </c>
      <c r="BU48" s="80">
        <f t="shared" si="34"/>
        <v>0.2</v>
      </c>
      <c r="BV48" s="80">
        <f t="shared" si="34"/>
        <v>0.2</v>
      </c>
      <c r="BW48" s="80">
        <f t="shared" si="34"/>
        <v>0.2</v>
      </c>
      <c r="BX48" s="80">
        <f t="shared" si="34"/>
        <v>0.2</v>
      </c>
      <c r="BY48" s="80">
        <f t="shared" si="34"/>
        <v>0.2</v>
      </c>
      <c r="BZ48" s="80">
        <f t="shared" si="34"/>
        <v>0.2</v>
      </c>
      <c r="CA48" s="80">
        <f t="shared" si="34"/>
        <v>0.2</v>
      </c>
    </row>
    <row r="49" outlineLevel="1">
      <c r="A49" s="47"/>
      <c r="B49" s="39" t="s">
        <v>29</v>
      </c>
      <c r="C49" s="76"/>
      <c r="D49" s="77"/>
      <c r="E49" s="47"/>
      <c r="F49" s="47"/>
      <c r="G49" s="47"/>
      <c r="H49" s="77"/>
      <c r="I49" s="77"/>
      <c r="J49" s="77"/>
      <c r="K49" s="77"/>
      <c r="L49" s="77"/>
      <c r="M49" s="77"/>
      <c r="N49" s="77"/>
      <c r="O49" s="77"/>
      <c r="P49" s="77"/>
      <c r="Q49" s="77"/>
      <c r="R49" s="77"/>
      <c r="S49" s="77"/>
      <c r="T49" s="77">
        <f t="shared" ref="T49:CA49" si="35">T46*T48</f>
        <v>0</v>
      </c>
      <c r="U49" s="77">
        <f t="shared" si="35"/>
        <v>0</v>
      </c>
      <c r="V49" s="77">
        <f t="shared" si="35"/>
        <v>0</v>
      </c>
      <c r="W49" s="77">
        <f t="shared" si="35"/>
        <v>0</v>
      </c>
      <c r="X49" s="77">
        <f t="shared" si="35"/>
        <v>0</v>
      </c>
      <c r="Y49" s="77">
        <f t="shared" si="35"/>
        <v>0</v>
      </c>
      <c r="Z49" s="77">
        <f t="shared" si="35"/>
        <v>0</v>
      </c>
      <c r="AA49" s="77">
        <f t="shared" si="35"/>
        <v>0</v>
      </c>
      <c r="AB49" s="77">
        <f t="shared" si="35"/>
        <v>0</v>
      </c>
      <c r="AC49" s="77">
        <f t="shared" si="35"/>
        <v>0</v>
      </c>
      <c r="AD49" s="77">
        <f t="shared" si="35"/>
        <v>0</v>
      </c>
      <c r="AE49" s="77">
        <f t="shared" si="35"/>
        <v>0</v>
      </c>
      <c r="AF49" s="77">
        <f t="shared" si="35"/>
        <v>0</v>
      </c>
      <c r="AG49" s="77">
        <f t="shared" si="35"/>
        <v>0</v>
      </c>
      <c r="AH49" s="77">
        <f t="shared" si="35"/>
        <v>0</v>
      </c>
      <c r="AI49" s="77">
        <f t="shared" si="35"/>
        <v>0</v>
      </c>
      <c r="AJ49" s="77">
        <f t="shared" si="35"/>
        <v>0</v>
      </c>
      <c r="AK49" s="77">
        <f t="shared" si="35"/>
        <v>0.2</v>
      </c>
      <c r="AL49" s="77">
        <f t="shared" si="35"/>
        <v>0.204</v>
      </c>
      <c r="AM49" s="77">
        <f t="shared" si="35"/>
        <v>0.20808</v>
      </c>
      <c r="AN49" s="77">
        <f t="shared" si="35"/>
        <v>0.2122416</v>
      </c>
      <c r="AO49" s="77">
        <f t="shared" si="35"/>
        <v>0.216486432</v>
      </c>
      <c r="AP49" s="77">
        <f t="shared" si="35"/>
        <v>0.2208161606</v>
      </c>
      <c r="AQ49" s="77">
        <f t="shared" si="35"/>
        <v>0.2252324839</v>
      </c>
      <c r="AR49" s="77">
        <f t="shared" si="35"/>
        <v>0.2297371335</v>
      </c>
      <c r="AS49" s="77">
        <f t="shared" si="35"/>
        <v>0.2343318762</v>
      </c>
      <c r="AT49" s="77">
        <f t="shared" si="35"/>
        <v>0.2390185137</v>
      </c>
      <c r="AU49" s="77">
        <f t="shared" si="35"/>
        <v>0.243798884</v>
      </c>
      <c r="AV49" s="77">
        <f t="shared" si="35"/>
        <v>0.2486748617</v>
      </c>
      <c r="AW49" s="77">
        <f t="shared" si="35"/>
        <v>0.4136483589</v>
      </c>
      <c r="AX49" s="77">
        <f t="shared" si="35"/>
        <v>0.4219213261</v>
      </c>
      <c r="AY49" s="77">
        <f t="shared" si="35"/>
        <v>0.4303597526</v>
      </c>
      <c r="AZ49" s="77">
        <f t="shared" si="35"/>
        <v>0.4389669477</v>
      </c>
      <c r="BA49" s="77">
        <f t="shared" si="35"/>
        <v>0.4477462866</v>
      </c>
      <c r="BB49" s="77">
        <f t="shared" si="35"/>
        <v>0.4567012124</v>
      </c>
      <c r="BC49" s="77">
        <f t="shared" si="35"/>
        <v>0.4658352366</v>
      </c>
      <c r="BD49" s="77">
        <f t="shared" si="35"/>
        <v>0.4751519413</v>
      </c>
      <c r="BE49" s="77">
        <f t="shared" si="35"/>
        <v>0.4846549802</v>
      </c>
      <c r="BF49" s="77">
        <f t="shared" si="35"/>
        <v>0.4943480798</v>
      </c>
      <c r="BG49" s="77">
        <f t="shared" si="35"/>
        <v>0.5042350414</v>
      </c>
      <c r="BH49" s="77">
        <f t="shared" si="35"/>
        <v>0.5143197422</v>
      </c>
      <c r="BI49" s="77">
        <f t="shared" si="35"/>
        <v>0.652606137</v>
      </c>
      <c r="BJ49" s="77">
        <f t="shared" si="35"/>
        <v>0.6656582598</v>
      </c>
      <c r="BK49" s="77">
        <f t="shared" si="35"/>
        <v>0.678971425</v>
      </c>
      <c r="BL49" s="77">
        <f t="shared" si="35"/>
        <v>0.6925508535</v>
      </c>
      <c r="BM49" s="77">
        <f t="shared" si="35"/>
        <v>0.7064018705</v>
      </c>
      <c r="BN49" s="77">
        <f t="shared" si="35"/>
        <v>0.7205299079</v>
      </c>
      <c r="BO49" s="77">
        <f t="shared" si="35"/>
        <v>0.7349405061</v>
      </c>
      <c r="BP49" s="77">
        <f t="shared" si="35"/>
        <v>0.7496393162</v>
      </c>
      <c r="BQ49" s="77">
        <f t="shared" si="35"/>
        <v>0.7646321025</v>
      </c>
      <c r="BR49" s="77">
        <f t="shared" si="35"/>
        <v>0.7799247446</v>
      </c>
      <c r="BS49" s="77">
        <f t="shared" si="35"/>
        <v>0.7955232395</v>
      </c>
      <c r="BT49" s="77">
        <f t="shared" si="35"/>
        <v>0.8114337043</v>
      </c>
      <c r="BU49" s="77">
        <f t="shared" si="35"/>
        <v>0.9300623784</v>
      </c>
      <c r="BV49" s="77">
        <f t="shared" si="35"/>
        <v>0.9486636259</v>
      </c>
      <c r="BW49" s="77">
        <f t="shared" si="35"/>
        <v>0.9676368984</v>
      </c>
      <c r="BX49" s="77">
        <f t="shared" si="35"/>
        <v>0.9869896364</v>
      </c>
      <c r="BY49" s="77">
        <f t="shared" si="35"/>
        <v>1.006729429</v>
      </c>
      <c r="BZ49" s="77">
        <f t="shared" si="35"/>
        <v>1.026864018</v>
      </c>
      <c r="CA49" s="77">
        <f t="shared" si="35"/>
        <v>1.047401298</v>
      </c>
    </row>
    <row r="50" outlineLevel="1">
      <c r="A50" s="47"/>
      <c r="B50" s="39" t="s">
        <v>30</v>
      </c>
      <c r="C50" s="76"/>
      <c r="D50" s="47"/>
      <c r="E50" s="47"/>
      <c r="F50" s="47"/>
      <c r="G50" s="47"/>
      <c r="H50" s="47"/>
      <c r="I50" s="47"/>
      <c r="J50" s="47"/>
      <c r="K50" s="47"/>
      <c r="L50" s="47"/>
      <c r="M50" s="47"/>
      <c r="N50" s="47"/>
      <c r="O50" s="47"/>
      <c r="P50" s="47"/>
      <c r="Q50" s="47"/>
      <c r="R50" s="47"/>
      <c r="S50" s="47"/>
      <c r="T50" s="77">
        <f t="shared" ref="T50:CA50" si="36">T46-T49</f>
        <v>0</v>
      </c>
      <c r="U50" s="77">
        <f t="shared" si="36"/>
        <v>0</v>
      </c>
      <c r="V50" s="77">
        <f t="shared" si="36"/>
        <v>0</v>
      </c>
      <c r="W50" s="77">
        <f t="shared" si="36"/>
        <v>0</v>
      </c>
      <c r="X50" s="77">
        <f t="shared" si="36"/>
        <v>0</v>
      </c>
      <c r="Y50" s="77">
        <f t="shared" si="36"/>
        <v>0</v>
      </c>
      <c r="Z50" s="77">
        <f t="shared" si="36"/>
        <v>0</v>
      </c>
      <c r="AA50" s="77">
        <f t="shared" si="36"/>
        <v>0</v>
      </c>
      <c r="AB50" s="77">
        <f t="shared" si="36"/>
        <v>0</v>
      </c>
      <c r="AC50" s="77">
        <f t="shared" si="36"/>
        <v>0</v>
      </c>
      <c r="AD50" s="77">
        <f t="shared" si="36"/>
        <v>0</v>
      </c>
      <c r="AE50" s="77">
        <f t="shared" si="36"/>
        <v>0</v>
      </c>
      <c r="AF50" s="77">
        <f t="shared" si="36"/>
        <v>0</v>
      </c>
      <c r="AG50" s="77">
        <f t="shared" si="36"/>
        <v>0</v>
      </c>
      <c r="AH50" s="77">
        <f t="shared" si="36"/>
        <v>0</v>
      </c>
      <c r="AI50" s="77">
        <f t="shared" si="36"/>
        <v>0</v>
      </c>
      <c r="AJ50" s="77">
        <f t="shared" si="36"/>
        <v>0</v>
      </c>
      <c r="AK50" s="77">
        <f t="shared" si="36"/>
        <v>0.8</v>
      </c>
      <c r="AL50" s="77">
        <f t="shared" si="36"/>
        <v>0.816</v>
      </c>
      <c r="AM50" s="77">
        <f t="shared" si="36"/>
        <v>0.83232</v>
      </c>
      <c r="AN50" s="77">
        <f t="shared" si="36"/>
        <v>0.8489664</v>
      </c>
      <c r="AO50" s="77">
        <f t="shared" si="36"/>
        <v>0.865945728</v>
      </c>
      <c r="AP50" s="77">
        <f t="shared" si="36"/>
        <v>0.8832646426</v>
      </c>
      <c r="AQ50" s="77">
        <f t="shared" si="36"/>
        <v>0.9009299354</v>
      </c>
      <c r="AR50" s="77">
        <f t="shared" si="36"/>
        <v>0.9189485341</v>
      </c>
      <c r="AS50" s="77">
        <f t="shared" si="36"/>
        <v>0.9373275048</v>
      </c>
      <c r="AT50" s="77">
        <f t="shared" si="36"/>
        <v>0.9560740549</v>
      </c>
      <c r="AU50" s="77">
        <f t="shared" si="36"/>
        <v>0.975195536</v>
      </c>
      <c r="AV50" s="77">
        <f t="shared" si="36"/>
        <v>0.9946994467</v>
      </c>
      <c r="AW50" s="77">
        <f t="shared" si="36"/>
        <v>1.654593436</v>
      </c>
      <c r="AX50" s="77">
        <f t="shared" si="36"/>
        <v>1.687685304</v>
      </c>
      <c r="AY50" s="77">
        <f t="shared" si="36"/>
        <v>1.72143901</v>
      </c>
      <c r="AZ50" s="77">
        <f t="shared" si="36"/>
        <v>1.755867791</v>
      </c>
      <c r="BA50" s="77">
        <f t="shared" si="36"/>
        <v>1.790985146</v>
      </c>
      <c r="BB50" s="77">
        <f t="shared" si="36"/>
        <v>1.826804849</v>
      </c>
      <c r="BC50" s="77">
        <f t="shared" si="36"/>
        <v>1.863340946</v>
      </c>
      <c r="BD50" s="77">
        <f t="shared" si="36"/>
        <v>1.900607765</v>
      </c>
      <c r="BE50" s="77">
        <f t="shared" si="36"/>
        <v>1.938619921</v>
      </c>
      <c r="BF50" s="77">
        <f t="shared" si="36"/>
        <v>1.977392319</v>
      </c>
      <c r="BG50" s="77">
        <f t="shared" si="36"/>
        <v>2.016940165</v>
      </c>
      <c r="BH50" s="77">
        <f t="shared" si="36"/>
        <v>2.057278969</v>
      </c>
      <c r="BI50" s="77">
        <f t="shared" si="36"/>
        <v>2.610424548</v>
      </c>
      <c r="BJ50" s="77">
        <f t="shared" si="36"/>
        <v>2.662633039</v>
      </c>
      <c r="BK50" s="77">
        <f t="shared" si="36"/>
        <v>2.7158857</v>
      </c>
      <c r="BL50" s="77">
        <f t="shared" si="36"/>
        <v>2.770203414</v>
      </c>
      <c r="BM50" s="77">
        <f t="shared" si="36"/>
        <v>2.825607482</v>
      </c>
      <c r="BN50" s="77">
        <f t="shared" si="36"/>
        <v>2.882119632</v>
      </c>
      <c r="BO50" s="77">
        <f t="shared" si="36"/>
        <v>2.939762024</v>
      </c>
      <c r="BP50" s="77">
        <f t="shared" si="36"/>
        <v>2.998557265</v>
      </c>
      <c r="BQ50" s="77">
        <f t="shared" si="36"/>
        <v>3.05852841</v>
      </c>
      <c r="BR50" s="77">
        <f t="shared" si="36"/>
        <v>3.119698978</v>
      </c>
      <c r="BS50" s="77">
        <f t="shared" si="36"/>
        <v>3.182092958</v>
      </c>
      <c r="BT50" s="77">
        <f t="shared" si="36"/>
        <v>3.245734817</v>
      </c>
      <c r="BU50" s="77">
        <f t="shared" si="36"/>
        <v>3.720249513</v>
      </c>
      <c r="BV50" s="77">
        <f t="shared" si="36"/>
        <v>3.794654504</v>
      </c>
      <c r="BW50" s="77">
        <f t="shared" si="36"/>
        <v>3.870547594</v>
      </c>
      <c r="BX50" s="77">
        <f t="shared" si="36"/>
        <v>3.947958546</v>
      </c>
      <c r="BY50" s="77">
        <f t="shared" si="36"/>
        <v>4.026917717</v>
      </c>
      <c r="BZ50" s="77">
        <f t="shared" si="36"/>
        <v>4.107456071</v>
      </c>
      <c r="CA50" s="77">
        <f t="shared" si="36"/>
        <v>4.189605192</v>
      </c>
    </row>
    <row r="51" outlineLevel="1">
      <c r="A51" s="47"/>
      <c r="B51" s="39" t="s">
        <v>31</v>
      </c>
      <c r="C51" s="76"/>
      <c r="D51" s="47"/>
      <c r="E51" s="47"/>
      <c r="F51" s="47"/>
      <c r="G51" s="47"/>
      <c r="H51" s="47"/>
      <c r="I51" s="47"/>
      <c r="J51" s="47"/>
      <c r="K51" s="47"/>
      <c r="L51" s="47"/>
      <c r="M51" s="47"/>
      <c r="N51" s="47"/>
      <c r="O51" s="47"/>
      <c r="P51" s="47"/>
      <c r="Q51" s="47"/>
      <c r="R51" s="47"/>
      <c r="S51" s="47"/>
      <c r="T51" s="77">
        <f t="shared" ref="T51:CA51" si="37">T45+T47</f>
        <v>0</v>
      </c>
      <c r="U51" s="77">
        <f t="shared" si="37"/>
        <v>0</v>
      </c>
      <c r="V51" s="77">
        <f t="shared" si="37"/>
        <v>0</v>
      </c>
      <c r="W51" s="77">
        <f t="shared" si="37"/>
        <v>0</v>
      </c>
      <c r="X51" s="77">
        <f t="shared" si="37"/>
        <v>0</v>
      </c>
      <c r="Y51" s="77">
        <f t="shared" si="37"/>
        <v>1</v>
      </c>
      <c r="Z51" s="77">
        <f t="shared" si="37"/>
        <v>2.02</v>
      </c>
      <c r="AA51" s="77">
        <f t="shared" si="37"/>
        <v>3.0604</v>
      </c>
      <c r="AB51" s="77">
        <f t="shared" si="37"/>
        <v>4.121608</v>
      </c>
      <c r="AC51" s="77">
        <f t="shared" si="37"/>
        <v>5.20404016</v>
      </c>
      <c r="AD51" s="77">
        <f t="shared" si="37"/>
        <v>6.308120963</v>
      </c>
      <c r="AE51" s="77">
        <f t="shared" si="37"/>
        <v>7.434283382</v>
      </c>
      <c r="AF51" s="77">
        <f t="shared" si="37"/>
        <v>8.58296905</v>
      </c>
      <c r="AG51" s="77">
        <f t="shared" si="37"/>
        <v>9.754628431</v>
      </c>
      <c r="AH51" s="77">
        <f t="shared" si="37"/>
        <v>10.949721</v>
      </c>
      <c r="AI51" s="77">
        <f t="shared" si="37"/>
        <v>12.16871542</v>
      </c>
      <c r="AJ51" s="77">
        <f t="shared" si="37"/>
        <v>13.41208973</v>
      </c>
      <c r="AK51" s="77">
        <f t="shared" si="37"/>
        <v>14.48033152</v>
      </c>
      <c r="AL51" s="77">
        <f t="shared" si="37"/>
        <v>15.56993815</v>
      </c>
      <c r="AM51" s="77">
        <f t="shared" si="37"/>
        <v>16.68133692</v>
      </c>
      <c r="AN51" s="77">
        <f t="shared" si="37"/>
        <v>17.81496365</v>
      </c>
      <c r="AO51" s="77">
        <f t="shared" si="37"/>
        <v>18.97126293</v>
      </c>
      <c r="AP51" s="77">
        <f t="shared" si="37"/>
        <v>20.15068819</v>
      </c>
      <c r="AQ51" s="77">
        <f t="shared" si="37"/>
        <v>21.35370195</v>
      </c>
      <c r="AR51" s="77">
        <f t="shared" si="37"/>
        <v>22.58077599</v>
      </c>
      <c r="AS51" s="77">
        <f t="shared" si="37"/>
        <v>23.83239151</v>
      </c>
      <c r="AT51" s="77">
        <f t="shared" si="37"/>
        <v>25.10903934</v>
      </c>
      <c r="AU51" s="77">
        <f t="shared" si="37"/>
        <v>26.41122013</v>
      </c>
      <c r="AV51" s="77">
        <f t="shared" si="37"/>
        <v>27.73944453</v>
      </c>
      <c r="AW51" s="77">
        <f t="shared" si="37"/>
        <v>28.93423342</v>
      </c>
      <c r="AX51" s="77">
        <f t="shared" si="37"/>
        <v>30.15291809</v>
      </c>
      <c r="AY51" s="77">
        <f t="shared" si="37"/>
        <v>31.39597645</v>
      </c>
      <c r="AZ51" s="77">
        <f t="shared" si="37"/>
        <v>32.66389598</v>
      </c>
      <c r="BA51" s="77">
        <f t="shared" si="37"/>
        <v>33.9571739</v>
      </c>
      <c r="BB51" s="77">
        <f t="shared" si="37"/>
        <v>35.27631738</v>
      </c>
      <c r="BC51" s="77">
        <f t="shared" si="37"/>
        <v>36.62184372</v>
      </c>
      <c r="BD51" s="77">
        <f t="shared" si="37"/>
        <v>37.9942806</v>
      </c>
      <c r="BE51" s="77">
        <f t="shared" si="37"/>
        <v>39.39416621</v>
      </c>
      <c r="BF51" s="77">
        <f t="shared" si="37"/>
        <v>40.82204953</v>
      </c>
      <c r="BG51" s="77">
        <f t="shared" si="37"/>
        <v>42.27849052</v>
      </c>
      <c r="BH51" s="77">
        <f t="shared" si="37"/>
        <v>43.76406033</v>
      </c>
      <c r="BI51" s="77">
        <f t="shared" si="37"/>
        <v>45.15134154</v>
      </c>
      <c r="BJ51" s="77">
        <f t="shared" si="37"/>
        <v>46.56636837</v>
      </c>
      <c r="BK51" s="77">
        <f t="shared" si="37"/>
        <v>48.00969574</v>
      </c>
      <c r="BL51" s="77">
        <f t="shared" si="37"/>
        <v>49.48188965</v>
      </c>
      <c r="BM51" s="77">
        <f t="shared" si="37"/>
        <v>50.98352745</v>
      </c>
      <c r="BN51" s="77">
        <f t="shared" si="37"/>
        <v>52.515198</v>
      </c>
      <c r="BO51" s="77">
        <f t="shared" si="37"/>
        <v>54.07750196</v>
      </c>
      <c r="BP51" s="77">
        <f t="shared" si="37"/>
        <v>55.671052</v>
      </c>
      <c r="BQ51" s="77">
        <f t="shared" si="37"/>
        <v>57.29647304</v>
      </c>
      <c r="BR51" s="77">
        <f t="shared" si="37"/>
        <v>58.9544025</v>
      </c>
      <c r="BS51" s="77">
        <f t="shared" si="37"/>
        <v>60.64549055</v>
      </c>
      <c r="BT51" s="77">
        <f t="shared" si="37"/>
        <v>62.37040036</v>
      </c>
      <c r="BU51" s="77">
        <f t="shared" si="37"/>
        <v>64.02740836</v>
      </c>
      <c r="BV51" s="77">
        <f t="shared" si="37"/>
        <v>65.71755653</v>
      </c>
      <c r="BW51" s="77">
        <f t="shared" si="37"/>
        <v>67.44150766</v>
      </c>
      <c r="BX51" s="77">
        <f t="shared" si="37"/>
        <v>69.19993782</v>
      </c>
      <c r="BY51" s="77">
        <f t="shared" si="37"/>
        <v>70.99353657</v>
      </c>
      <c r="BZ51" s="77">
        <f t="shared" si="37"/>
        <v>72.8230073</v>
      </c>
      <c r="CA51" s="77">
        <f t="shared" si="37"/>
        <v>74.68906745</v>
      </c>
    </row>
    <row r="52" outlineLevel="1">
      <c r="A52" s="47"/>
      <c r="B52" s="39" t="s">
        <v>32</v>
      </c>
      <c r="C52" s="47"/>
      <c r="D52" s="68"/>
      <c r="E52" s="47"/>
      <c r="F52" s="47"/>
      <c r="G52" s="47"/>
      <c r="H52" s="68"/>
      <c r="I52" s="68"/>
      <c r="J52" s="68"/>
      <c r="K52" s="68"/>
      <c r="L52" s="68"/>
      <c r="M52" s="68"/>
      <c r="N52" s="68"/>
      <c r="O52" s="68"/>
      <c r="P52" s="68"/>
      <c r="Q52" s="68"/>
      <c r="R52" s="68"/>
      <c r="S52" s="68"/>
      <c r="T52" s="68" t="str">
        <f>G51</f>
        <v/>
      </c>
      <c r="U52" s="68">
        <f t="shared" ref="U52:CA52" si="38">T51</f>
        <v>0</v>
      </c>
      <c r="V52" s="68">
        <f t="shared" si="38"/>
        <v>0</v>
      </c>
      <c r="W52" s="68">
        <f t="shared" si="38"/>
        <v>0</v>
      </c>
      <c r="X52" s="68">
        <f t="shared" si="38"/>
        <v>0</v>
      </c>
      <c r="Y52" s="68">
        <f t="shared" si="38"/>
        <v>0</v>
      </c>
      <c r="Z52" s="68">
        <f t="shared" si="38"/>
        <v>1</v>
      </c>
      <c r="AA52" s="68">
        <f t="shared" si="38"/>
        <v>2.02</v>
      </c>
      <c r="AB52" s="68">
        <f t="shared" si="38"/>
        <v>3.0604</v>
      </c>
      <c r="AC52" s="68">
        <f t="shared" si="38"/>
        <v>4.121608</v>
      </c>
      <c r="AD52" s="68">
        <f t="shared" si="38"/>
        <v>5.20404016</v>
      </c>
      <c r="AE52" s="68">
        <f t="shared" si="38"/>
        <v>6.308120963</v>
      </c>
      <c r="AF52" s="68">
        <f t="shared" si="38"/>
        <v>7.434283382</v>
      </c>
      <c r="AG52" s="68">
        <f t="shared" si="38"/>
        <v>8.58296905</v>
      </c>
      <c r="AH52" s="68">
        <f t="shared" si="38"/>
        <v>9.754628431</v>
      </c>
      <c r="AI52" s="68">
        <f t="shared" si="38"/>
        <v>10.949721</v>
      </c>
      <c r="AJ52" s="68">
        <f t="shared" si="38"/>
        <v>12.16871542</v>
      </c>
      <c r="AK52" s="68">
        <f t="shared" si="38"/>
        <v>13.41208973</v>
      </c>
      <c r="AL52" s="68">
        <f t="shared" si="38"/>
        <v>14.48033152</v>
      </c>
      <c r="AM52" s="68">
        <f t="shared" si="38"/>
        <v>15.56993815</v>
      </c>
      <c r="AN52" s="68">
        <f t="shared" si="38"/>
        <v>16.68133692</v>
      </c>
      <c r="AO52" s="68">
        <f t="shared" si="38"/>
        <v>17.81496365</v>
      </c>
      <c r="AP52" s="68">
        <f t="shared" si="38"/>
        <v>18.97126293</v>
      </c>
      <c r="AQ52" s="68">
        <f t="shared" si="38"/>
        <v>20.15068819</v>
      </c>
      <c r="AR52" s="68">
        <f t="shared" si="38"/>
        <v>21.35370195</v>
      </c>
      <c r="AS52" s="68">
        <f t="shared" si="38"/>
        <v>22.58077599</v>
      </c>
      <c r="AT52" s="68">
        <f t="shared" si="38"/>
        <v>23.83239151</v>
      </c>
      <c r="AU52" s="68">
        <f t="shared" si="38"/>
        <v>25.10903934</v>
      </c>
      <c r="AV52" s="68">
        <f t="shared" si="38"/>
        <v>26.41122013</v>
      </c>
      <c r="AW52" s="68">
        <f t="shared" si="38"/>
        <v>27.73944453</v>
      </c>
      <c r="AX52" s="68">
        <f t="shared" si="38"/>
        <v>28.93423342</v>
      </c>
      <c r="AY52" s="68">
        <f t="shared" si="38"/>
        <v>30.15291809</v>
      </c>
      <c r="AZ52" s="68">
        <f t="shared" si="38"/>
        <v>31.39597645</v>
      </c>
      <c r="BA52" s="68">
        <f t="shared" si="38"/>
        <v>32.66389598</v>
      </c>
      <c r="BB52" s="68">
        <f t="shared" si="38"/>
        <v>33.9571739</v>
      </c>
      <c r="BC52" s="68">
        <f t="shared" si="38"/>
        <v>35.27631738</v>
      </c>
      <c r="BD52" s="68">
        <f t="shared" si="38"/>
        <v>36.62184372</v>
      </c>
      <c r="BE52" s="68">
        <f t="shared" si="38"/>
        <v>37.9942806</v>
      </c>
      <c r="BF52" s="68">
        <f t="shared" si="38"/>
        <v>39.39416621</v>
      </c>
      <c r="BG52" s="68">
        <f t="shared" si="38"/>
        <v>40.82204953</v>
      </c>
      <c r="BH52" s="68">
        <f t="shared" si="38"/>
        <v>42.27849052</v>
      </c>
      <c r="BI52" s="68">
        <f t="shared" si="38"/>
        <v>43.76406033</v>
      </c>
      <c r="BJ52" s="68">
        <f t="shared" si="38"/>
        <v>45.15134154</v>
      </c>
      <c r="BK52" s="68">
        <f t="shared" si="38"/>
        <v>46.56636837</v>
      </c>
      <c r="BL52" s="68">
        <f t="shared" si="38"/>
        <v>48.00969574</v>
      </c>
      <c r="BM52" s="68">
        <f t="shared" si="38"/>
        <v>49.48188965</v>
      </c>
      <c r="BN52" s="68">
        <f t="shared" si="38"/>
        <v>50.98352745</v>
      </c>
      <c r="BO52" s="68">
        <f t="shared" si="38"/>
        <v>52.515198</v>
      </c>
      <c r="BP52" s="68">
        <f t="shared" si="38"/>
        <v>54.07750196</v>
      </c>
      <c r="BQ52" s="68">
        <f t="shared" si="38"/>
        <v>55.671052</v>
      </c>
      <c r="BR52" s="68">
        <f t="shared" si="38"/>
        <v>57.29647304</v>
      </c>
      <c r="BS52" s="68">
        <f t="shared" si="38"/>
        <v>58.9544025</v>
      </c>
      <c r="BT52" s="68">
        <f t="shared" si="38"/>
        <v>60.64549055</v>
      </c>
      <c r="BU52" s="68">
        <f t="shared" si="38"/>
        <v>62.37040036</v>
      </c>
      <c r="BV52" s="68">
        <f t="shared" si="38"/>
        <v>64.02740836</v>
      </c>
      <c r="BW52" s="68">
        <f t="shared" si="38"/>
        <v>65.71755653</v>
      </c>
      <c r="BX52" s="68">
        <f t="shared" si="38"/>
        <v>67.44150766</v>
      </c>
      <c r="BY52" s="68">
        <f t="shared" si="38"/>
        <v>69.19993782</v>
      </c>
      <c r="BZ52" s="68">
        <f t="shared" si="38"/>
        <v>70.99353657</v>
      </c>
      <c r="CA52" s="68">
        <f t="shared" si="38"/>
        <v>72.8230073</v>
      </c>
    </row>
    <row r="53" outlineLevel="1">
      <c r="A53" s="47"/>
      <c r="B53" s="39" t="s">
        <v>33</v>
      </c>
      <c r="C53" s="47"/>
      <c r="D53" s="81">
        <v>60.0</v>
      </c>
      <c r="E53" s="47"/>
      <c r="F53" s="47"/>
      <c r="G53" s="47"/>
      <c r="H53" s="82"/>
      <c r="I53" s="82"/>
      <c r="J53" s="82"/>
      <c r="K53" s="82"/>
      <c r="L53" s="82"/>
      <c r="M53" s="82"/>
      <c r="N53" s="82"/>
      <c r="O53" s="82"/>
      <c r="P53" s="82"/>
      <c r="Q53" s="82"/>
      <c r="R53" s="82"/>
      <c r="S53" s="82"/>
      <c r="T53" s="83">
        <f>D53</f>
        <v>60</v>
      </c>
      <c r="U53" s="83">
        <f t="shared" ref="U53:CA53" si="39">T53</f>
        <v>60</v>
      </c>
      <c r="V53" s="83">
        <f t="shared" si="39"/>
        <v>60</v>
      </c>
      <c r="W53" s="83">
        <f t="shared" si="39"/>
        <v>60</v>
      </c>
      <c r="X53" s="83">
        <f t="shared" si="39"/>
        <v>60</v>
      </c>
      <c r="Y53" s="83">
        <f t="shared" si="39"/>
        <v>60</v>
      </c>
      <c r="Z53" s="83">
        <f t="shared" si="39"/>
        <v>60</v>
      </c>
      <c r="AA53" s="83">
        <f t="shared" si="39"/>
        <v>60</v>
      </c>
      <c r="AB53" s="83">
        <f t="shared" si="39"/>
        <v>60</v>
      </c>
      <c r="AC53" s="83">
        <f t="shared" si="39"/>
        <v>60</v>
      </c>
      <c r="AD53" s="83">
        <f t="shared" si="39"/>
        <v>60</v>
      </c>
      <c r="AE53" s="83">
        <f t="shared" si="39"/>
        <v>60</v>
      </c>
      <c r="AF53" s="83">
        <f t="shared" si="39"/>
        <v>60</v>
      </c>
      <c r="AG53" s="83">
        <f t="shared" si="39"/>
        <v>60</v>
      </c>
      <c r="AH53" s="83">
        <f t="shared" si="39"/>
        <v>60</v>
      </c>
      <c r="AI53" s="83">
        <f t="shared" si="39"/>
        <v>60</v>
      </c>
      <c r="AJ53" s="83">
        <f t="shared" si="39"/>
        <v>60</v>
      </c>
      <c r="AK53" s="83">
        <f t="shared" si="39"/>
        <v>60</v>
      </c>
      <c r="AL53" s="83">
        <f t="shared" si="39"/>
        <v>60</v>
      </c>
      <c r="AM53" s="83">
        <f t="shared" si="39"/>
        <v>60</v>
      </c>
      <c r="AN53" s="83">
        <f t="shared" si="39"/>
        <v>60</v>
      </c>
      <c r="AO53" s="83">
        <f t="shared" si="39"/>
        <v>60</v>
      </c>
      <c r="AP53" s="83">
        <f t="shared" si="39"/>
        <v>60</v>
      </c>
      <c r="AQ53" s="83">
        <f t="shared" si="39"/>
        <v>60</v>
      </c>
      <c r="AR53" s="83">
        <f t="shared" si="39"/>
        <v>60</v>
      </c>
      <c r="AS53" s="83">
        <f t="shared" si="39"/>
        <v>60</v>
      </c>
      <c r="AT53" s="83">
        <f t="shared" si="39"/>
        <v>60</v>
      </c>
      <c r="AU53" s="83">
        <f t="shared" si="39"/>
        <v>60</v>
      </c>
      <c r="AV53" s="83">
        <f t="shared" si="39"/>
        <v>60</v>
      </c>
      <c r="AW53" s="83">
        <f t="shared" si="39"/>
        <v>60</v>
      </c>
      <c r="AX53" s="83">
        <f t="shared" si="39"/>
        <v>60</v>
      </c>
      <c r="AY53" s="83">
        <f t="shared" si="39"/>
        <v>60</v>
      </c>
      <c r="AZ53" s="83">
        <f t="shared" si="39"/>
        <v>60</v>
      </c>
      <c r="BA53" s="83">
        <f t="shared" si="39"/>
        <v>60</v>
      </c>
      <c r="BB53" s="83">
        <f t="shared" si="39"/>
        <v>60</v>
      </c>
      <c r="BC53" s="83">
        <f t="shared" si="39"/>
        <v>60</v>
      </c>
      <c r="BD53" s="83">
        <f t="shared" si="39"/>
        <v>60</v>
      </c>
      <c r="BE53" s="83">
        <f t="shared" si="39"/>
        <v>60</v>
      </c>
      <c r="BF53" s="83">
        <f t="shared" si="39"/>
        <v>60</v>
      </c>
      <c r="BG53" s="83">
        <f t="shared" si="39"/>
        <v>60</v>
      </c>
      <c r="BH53" s="83">
        <f t="shared" si="39"/>
        <v>60</v>
      </c>
      <c r="BI53" s="83">
        <f t="shared" si="39"/>
        <v>60</v>
      </c>
      <c r="BJ53" s="83">
        <f t="shared" si="39"/>
        <v>60</v>
      </c>
      <c r="BK53" s="83">
        <f t="shared" si="39"/>
        <v>60</v>
      </c>
      <c r="BL53" s="83">
        <f t="shared" si="39"/>
        <v>60</v>
      </c>
      <c r="BM53" s="83">
        <f t="shared" si="39"/>
        <v>60</v>
      </c>
      <c r="BN53" s="83">
        <f t="shared" si="39"/>
        <v>60</v>
      </c>
      <c r="BO53" s="83">
        <f t="shared" si="39"/>
        <v>60</v>
      </c>
      <c r="BP53" s="83">
        <f t="shared" si="39"/>
        <v>60</v>
      </c>
      <c r="BQ53" s="83">
        <f t="shared" si="39"/>
        <v>60</v>
      </c>
      <c r="BR53" s="83">
        <f t="shared" si="39"/>
        <v>60</v>
      </c>
      <c r="BS53" s="83">
        <f t="shared" si="39"/>
        <v>60</v>
      </c>
      <c r="BT53" s="83">
        <f t="shared" si="39"/>
        <v>60</v>
      </c>
      <c r="BU53" s="83">
        <f t="shared" si="39"/>
        <v>60</v>
      </c>
      <c r="BV53" s="83">
        <f t="shared" si="39"/>
        <v>60</v>
      </c>
      <c r="BW53" s="83">
        <f t="shared" si="39"/>
        <v>60</v>
      </c>
      <c r="BX53" s="83">
        <f t="shared" si="39"/>
        <v>60</v>
      </c>
      <c r="BY53" s="83">
        <f t="shared" si="39"/>
        <v>60</v>
      </c>
      <c r="BZ53" s="83">
        <f t="shared" si="39"/>
        <v>60</v>
      </c>
      <c r="CA53" s="83">
        <f t="shared" si="39"/>
        <v>60</v>
      </c>
    </row>
    <row r="54" outlineLevel="1">
      <c r="A54" s="47"/>
      <c r="B54" s="39" t="s">
        <v>34</v>
      </c>
      <c r="C54" s="47"/>
      <c r="D54" s="83"/>
      <c r="E54" s="47"/>
      <c r="F54" s="47"/>
      <c r="G54" s="47"/>
      <c r="H54" s="82"/>
      <c r="I54" s="82"/>
      <c r="J54" s="82"/>
      <c r="K54" s="82"/>
      <c r="L54" s="82"/>
      <c r="M54" s="82"/>
      <c r="N54" s="82"/>
      <c r="O54" s="82"/>
      <c r="P54" s="82"/>
      <c r="Q54" s="82"/>
      <c r="R54" s="82"/>
      <c r="S54" s="82"/>
      <c r="T54" s="83">
        <f t="shared" ref="T54:CA54" si="40">T53*T45</f>
        <v>0</v>
      </c>
      <c r="U54" s="83">
        <f t="shared" si="40"/>
        <v>0</v>
      </c>
      <c r="V54" s="83">
        <f t="shared" si="40"/>
        <v>0</v>
      </c>
      <c r="W54" s="83">
        <f t="shared" si="40"/>
        <v>0</v>
      </c>
      <c r="X54" s="83">
        <f t="shared" si="40"/>
        <v>0</v>
      </c>
      <c r="Y54" s="83">
        <f t="shared" si="40"/>
        <v>60</v>
      </c>
      <c r="Z54" s="83">
        <f t="shared" si="40"/>
        <v>61.2</v>
      </c>
      <c r="AA54" s="83">
        <f t="shared" si="40"/>
        <v>62.424</v>
      </c>
      <c r="AB54" s="83">
        <f t="shared" si="40"/>
        <v>63.67248</v>
      </c>
      <c r="AC54" s="83">
        <f t="shared" si="40"/>
        <v>64.9459296</v>
      </c>
      <c r="AD54" s="83">
        <f t="shared" si="40"/>
        <v>66.24484819</v>
      </c>
      <c r="AE54" s="83">
        <f t="shared" si="40"/>
        <v>67.56974516</v>
      </c>
      <c r="AF54" s="83">
        <f t="shared" si="40"/>
        <v>68.92114006</v>
      </c>
      <c r="AG54" s="83">
        <f t="shared" si="40"/>
        <v>70.29956286</v>
      </c>
      <c r="AH54" s="83">
        <f t="shared" si="40"/>
        <v>71.70555412</v>
      </c>
      <c r="AI54" s="83">
        <f t="shared" si="40"/>
        <v>73.1396652</v>
      </c>
      <c r="AJ54" s="83">
        <f t="shared" si="40"/>
        <v>74.6024585</v>
      </c>
      <c r="AK54" s="83">
        <f t="shared" si="40"/>
        <v>124.0945077</v>
      </c>
      <c r="AL54" s="83">
        <f t="shared" si="40"/>
        <v>126.5763978</v>
      </c>
      <c r="AM54" s="83">
        <f t="shared" si="40"/>
        <v>129.1079258</v>
      </c>
      <c r="AN54" s="83">
        <f t="shared" si="40"/>
        <v>131.6900843</v>
      </c>
      <c r="AO54" s="83">
        <f t="shared" si="40"/>
        <v>134.323886</v>
      </c>
      <c r="AP54" s="83">
        <f t="shared" si="40"/>
        <v>137.0103637</v>
      </c>
      <c r="AQ54" s="83">
        <f t="shared" si="40"/>
        <v>139.750571</v>
      </c>
      <c r="AR54" s="83">
        <f t="shared" si="40"/>
        <v>142.5455824</v>
      </c>
      <c r="AS54" s="83">
        <f t="shared" si="40"/>
        <v>145.396494</v>
      </c>
      <c r="AT54" s="83">
        <f t="shared" si="40"/>
        <v>148.3044239</v>
      </c>
      <c r="AU54" s="83">
        <f t="shared" si="40"/>
        <v>151.2705124</v>
      </c>
      <c r="AV54" s="83">
        <f t="shared" si="40"/>
        <v>154.2959227</v>
      </c>
      <c r="AW54" s="83">
        <f t="shared" si="40"/>
        <v>195.7818411</v>
      </c>
      <c r="AX54" s="83">
        <f t="shared" si="40"/>
        <v>199.6974779</v>
      </c>
      <c r="AY54" s="83">
        <f t="shared" si="40"/>
        <v>203.6914275</v>
      </c>
      <c r="AZ54" s="83">
        <f t="shared" si="40"/>
        <v>207.765256</v>
      </c>
      <c r="BA54" s="83">
        <f t="shared" si="40"/>
        <v>211.9205612</v>
      </c>
      <c r="BB54" s="83">
        <f t="shared" si="40"/>
        <v>216.1589724</v>
      </c>
      <c r="BC54" s="83">
        <f t="shared" si="40"/>
        <v>220.4821518</v>
      </c>
      <c r="BD54" s="83">
        <f t="shared" si="40"/>
        <v>224.8917949</v>
      </c>
      <c r="BE54" s="83">
        <f t="shared" si="40"/>
        <v>229.3896308</v>
      </c>
      <c r="BF54" s="83">
        <f t="shared" si="40"/>
        <v>233.9774234</v>
      </c>
      <c r="BG54" s="83">
        <f t="shared" si="40"/>
        <v>238.6569718</v>
      </c>
      <c r="BH54" s="83">
        <f t="shared" si="40"/>
        <v>243.4301113</v>
      </c>
      <c r="BI54" s="83">
        <f t="shared" si="40"/>
        <v>279.0187135</v>
      </c>
      <c r="BJ54" s="83">
        <f t="shared" si="40"/>
        <v>284.5990878</v>
      </c>
      <c r="BK54" s="83">
        <f t="shared" si="40"/>
        <v>290.2910695</v>
      </c>
      <c r="BL54" s="83">
        <f t="shared" si="40"/>
        <v>296.0968909</v>
      </c>
      <c r="BM54" s="83">
        <f t="shared" si="40"/>
        <v>302.0188287</v>
      </c>
      <c r="BN54" s="83">
        <f t="shared" si="40"/>
        <v>308.0592053</v>
      </c>
      <c r="BO54" s="83">
        <f t="shared" si="40"/>
        <v>314.2203894</v>
      </c>
      <c r="BP54" s="83">
        <f t="shared" si="40"/>
        <v>320.5047972</v>
      </c>
      <c r="BQ54" s="83">
        <f t="shared" si="40"/>
        <v>326.9148932</v>
      </c>
      <c r="BR54" s="83">
        <f t="shared" si="40"/>
        <v>333.453191</v>
      </c>
      <c r="BS54" s="83">
        <f t="shared" si="40"/>
        <v>340.1222548</v>
      </c>
      <c r="BT54" s="83">
        <f t="shared" si="40"/>
        <v>346.9246999</v>
      </c>
      <c r="BU54" s="83">
        <f t="shared" si="40"/>
        <v>378.4391939</v>
      </c>
      <c r="BV54" s="83">
        <f t="shared" si="40"/>
        <v>386.0079778</v>
      </c>
      <c r="BW54" s="83">
        <f t="shared" si="40"/>
        <v>393.7281374</v>
      </c>
      <c r="BX54" s="83">
        <f t="shared" si="40"/>
        <v>401.6027001</v>
      </c>
      <c r="BY54" s="83">
        <f t="shared" si="40"/>
        <v>409.6347541</v>
      </c>
      <c r="BZ54" s="83">
        <f t="shared" si="40"/>
        <v>417.8274492</v>
      </c>
      <c r="CA54" s="83">
        <f t="shared" si="40"/>
        <v>426.1839982</v>
      </c>
    </row>
    <row r="55" outlineLevel="1">
      <c r="A55" s="47"/>
      <c r="B55" s="39" t="s">
        <v>35</v>
      </c>
      <c r="C55" s="47"/>
      <c r="D55" s="84">
        <v>72.0</v>
      </c>
      <c r="E55" s="47"/>
      <c r="F55" s="47"/>
      <c r="G55" s="47"/>
      <c r="H55" s="82"/>
      <c r="I55" s="82"/>
      <c r="J55" s="82"/>
      <c r="K55" s="82"/>
      <c r="L55" s="82"/>
      <c r="M55" s="82"/>
      <c r="N55" s="82"/>
      <c r="O55" s="82"/>
      <c r="P55" s="82"/>
      <c r="Q55" s="82"/>
      <c r="R55" s="82"/>
      <c r="S55" s="82"/>
      <c r="T55" s="85">
        <f>D55</f>
        <v>72</v>
      </c>
      <c r="U55" s="85">
        <f t="shared" ref="U55:CA55" si="41">T55</f>
        <v>72</v>
      </c>
      <c r="V55" s="85">
        <f t="shared" si="41"/>
        <v>72</v>
      </c>
      <c r="W55" s="85">
        <f t="shared" si="41"/>
        <v>72</v>
      </c>
      <c r="X55" s="85">
        <f t="shared" si="41"/>
        <v>72</v>
      </c>
      <c r="Y55" s="85">
        <f t="shared" si="41"/>
        <v>72</v>
      </c>
      <c r="Z55" s="85">
        <f t="shared" si="41"/>
        <v>72</v>
      </c>
      <c r="AA55" s="85">
        <f t="shared" si="41"/>
        <v>72</v>
      </c>
      <c r="AB55" s="85">
        <f t="shared" si="41"/>
        <v>72</v>
      </c>
      <c r="AC55" s="85">
        <f t="shared" si="41"/>
        <v>72</v>
      </c>
      <c r="AD55" s="85">
        <f t="shared" si="41"/>
        <v>72</v>
      </c>
      <c r="AE55" s="85">
        <f t="shared" si="41"/>
        <v>72</v>
      </c>
      <c r="AF55" s="85">
        <f t="shared" si="41"/>
        <v>72</v>
      </c>
      <c r="AG55" s="85">
        <f t="shared" si="41"/>
        <v>72</v>
      </c>
      <c r="AH55" s="85">
        <f t="shared" si="41"/>
        <v>72</v>
      </c>
      <c r="AI55" s="85">
        <f t="shared" si="41"/>
        <v>72</v>
      </c>
      <c r="AJ55" s="85">
        <f t="shared" si="41"/>
        <v>72</v>
      </c>
      <c r="AK55" s="85">
        <f t="shared" si="41"/>
        <v>72</v>
      </c>
      <c r="AL55" s="85">
        <f t="shared" si="41"/>
        <v>72</v>
      </c>
      <c r="AM55" s="85">
        <f t="shared" si="41"/>
        <v>72</v>
      </c>
      <c r="AN55" s="85">
        <f t="shared" si="41"/>
        <v>72</v>
      </c>
      <c r="AO55" s="85">
        <f t="shared" si="41"/>
        <v>72</v>
      </c>
      <c r="AP55" s="85">
        <f t="shared" si="41"/>
        <v>72</v>
      </c>
      <c r="AQ55" s="85">
        <f t="shared" si="41"/>
        <v>72</v>
      </c>
      <c r="AR55" s="85">
        <f t="shared" si="41"/>
        <v>72</v>
      </c>
      <c r="AS55" s="85">
        <f t="shared" si="41"/>
        <v>72</v>
      </c>
      <c r="AT55" s="85">
        <f t="shared" si="41"/>
        <v>72</v>
      </c>
      <c r="AU55" s="85">
        <f t="shared" si="41"/>
        <v>72</v>
      </c>
      <c r="AV55" s="85">
        <f t="shared" si="41"/>
        <v>72</v>
      </c>
      <c r="AW55" s="85">
        <f t="shared" si="41"/>
        <v>72</v>
      </c>
      <c r="AX55" s="85">
        <f t="shared" si="41"/>
        <v>72</v>
      </c>
      <c r="AY55" s="85">
        <f t="shared" si="41"/>
        <v>72</v>
      </c>
      <c r="AZ55" s="85">
        <f t="shared" si="41"/>
        <v>72</v>
      </c>
      <c r="BA55" s="85">
        <f t="shared" si="41"/>
        <v>72</v>
      </c>
      <c r="BB55" s="85">
        <f t="shared" si="41"/>
        <v>72</v>
      </c>
      <c r="BC55" s="85">
        <f t="shared" si="41"/>
        <v>72</v>
      </c>
      <c r="BD55" s="85">
        <f t="shared" si="41"/>
        <v>72</v>
      </c>
      <c r="BE55" s="85">
        <f t="shared" si="41"/>
        <v>72</v>
      </c>
      <c r="BF55" s="85">
        <f t="shared" si="41"/>
        <v>72</v>
      </c>
      <c r="BG55" s="85">
        <f t="shared" si="41"/>
        <v>72</v>
      </c>
      <c r="BH55" s="85">
        <f t="shared" si="41"/>
        <v>72</v>
      </c>
      <c r="BI55" s="85">
        <f t="shared" si="41"/>
        <v>72</v>
      </c>
      <c r="BJ55" s="85">
        <f t="shared" si="41"/>
        <v>72</v>
      </c>
      <c r="BK55" s="85">
        <f t="shared" si="41"/>
        <v>72</v>
      </c>
      <c r="BL55" s="85">
        <f t="shared" si="41"/>
        <v>72</v>
      </c>
      <c r="BM55" s="85">
        <f t="shared" si="41"/>
        <v>72</v>
      </c>
      <c r="BN55" s="85">
        <f t="shared" si="41"/>
        <v>72</v>
      </c>
      <c r="BO55" s="85">
        <f t="shared" si="41"/>
        <v>72</v>
      </c>
      <c r="BP55" s="85">
        <f t="shared" si="41"/>
        <v>72</v>
      </c>
      <c r="BQ55" s="85">
        <f t="shared" si="41"/>
        <v>72</v>
      </c>
      <c r="BR55" s="85">
        <f t="shared" si="41"/>
        <v>72</v>
      </c>
      <c r="BS55" s="85">
        <f t="shared" si="41"/>
        <v>72</v>
      </c>
      <c r="BT55" s="85">
        <f t="shared" si="41"/>
        <v>72</v>
      </c>
      <c r="BU55" s="85">
        <f t="shared" si="41"/>
        <v>72</v>
      </c>
      <c r="BV55" s="85">
        <f t="shared" si="41"/>
        <v>72</v>
      </c>
      <c r="BW55" s="85">
        <f t="shared" si="41"/>
        <v>72</v>
      </c>
      <c r="BX55" s="85">
        <f t="shared" si="41"/>
        <v>72</v>
      </c>
      <c r="BY55" s="85">
        <f t="shared" si="41"/>
        <v>72</v>
      </c>
      <c r="BZ55" s="85">
        <f t="shared" si="41"/>
        <v>72</v>
      </c>
      <c r="CA55" s="85">
        <f t="shared" si="41"/>
        <v>72</v>
      </c>
    </row>
    <row r="56" outlineLevel="1">
      <c r="A56" s="47"/>
      <c r="B56" s="59" t="s">
        <v>36</v>
      </c>
      <c r="C56" s="60"/>
      <c r="D56" s="62"/>
      <c r="E56" s="62"/>
      <c r="F56" s="62"/>
      <c r="G56" s="62"/>
      <c r="H56" s="62"/>
      <c r="I56" s="62"/>
      <c r="J56" s="62"/>
      <c r="K56" s="62"/>
      <c r="L56" s="62"/>
      <c r="M56" s="62"/>
      <c r="N56" s="62"/>
      <c r="O56" s="62"/>
      <c r="P56" s="62"/>
      <c r="Q56" s="62"/>
      <c r="R56" s="62"/>
      <c r="S56" s="62"/>
      <c r="T56" s="86">
        <f t="shared" ref="T56:CA56" si="42">T54*T55</f>
        <v>0</v>
      </c>
      <c r="U56" s="86">
        <f t="shared" si="42"/>
        <v>0</v>
      </c>
      <c r="V56" s="86">
        <f t="shared" si="42"/>
        <v>0</v>
      </c>
      <c r="W56" s="86">
        <f t="shared" si="42"/>
        <v>0</v>
      </c>
      <c r="X56" s="86">
        <f t="shared" si="42"/>
        <v>0</v>
      </c>
      <c r="Y56" s="86">
        <f t="shared" si="42"/>
        <v>4320</v>
      </c>
      <c r="Z56" s="86">
        <f t="shared" si="42"/>
        <v>4406.4</v>
      </c>
      <c r="AA56" s="86">
        <f t="shared" si="42"/>
        <v>4494.528</v>
      </c>
      <c r="AB56" s="86">
        <f t="shared" si="42"/>
        <v>4584.41856</v>
      </c>
      <c r="AC56" s="86">
        <f t="shared" si="42"/>
        <v>4676.106931</v>
      </c>
      <c r="AD56" s="86">
        <f t="shared" si="42"/>
        <v>4769.62907</v>
      </c>
      <c r="AE56" s="86">
        <f t="shared" si="42"/>
        <v>4865.021651</v>
      </c>
      <c r="AF56" s="86">
        <f t="shared" si="42"/>
        <v>4962.322084</v>
      </c>
      <c r="AG56" s="86">
        <f t="shared" si="42"/>
        <v>5061.568526</v>
      </c>
      <c r="AH56" s="86">
        <f t="shared" si="42"/>
        <v>5162.799896</v>
      </c>
      <c r="AI56" s="86">
        <f t="shared" si="42"/>
        <v>5266.055894</v>
      </c>
      <c r="AJ56" s="86">
        <f t="shared" si="42"/>
        <v>5371.377012</v>
      </c>
      <c r="AK56" s="86">
        <f t="shared" si="42"/>
        <v>8934.804553</v>
      </c>
      <c r="AL56" s="86">
        <f t="shared" si="42"/>
        <v>9113.500644</v>
      </c>
      <c r="AM56" s="86">
        <f t="shared" si="42"/>
        <v>9295.770656</v>
      </c>
      <c r="AN56" s="86">
        <f t="shared" si="42"/>
        <v>9481.68607</v>
      </c>
      <c r="AO56" s="86">
        <f t="shared" si="42"/>
        <v>9671.319791</v>
      </c>
      <c r="AP56" s="86">
        <f t="shared" si="42"/>
        <v>9864.746187</v>
      </c>
      <c r="AQ56" s="86">
        <f t="shared" si="42"/>
        <v>10062.04111</v>
      </c>
      <c r="AR56" s="86">
        <f t="shared" si="42"/>
        <v>10263.28193</v>
      </c>
      <c r="AS56" s="86">
        <f t="shared" si="42"/>
        <v>10468.54757</v>
      </c>
      <c r="AT56" s="86">
        <f t="shared" si="42"/>
        <v>10677.91852</v>
      </c>
      <c r="AU56" s="86">
        <f t="shared" si="42"/>
        <v>10891.47689</v>
      </c>
      <c r="AV56" s="86">
        <f t="shared" si="42"/>
        <v>11109.30643</v>
      </c>
      <c r="AW56" s="86">
        <f t="shared" si="42"/>
        <v>14096.29256</v>
      </c>
      <c r="AX56" s="86">
        <f t="shared" si="42"/>
        <v>14378.21841</v>
      </c>
      <c r="AY56" s="86">
        <f t="shared" si="42"/>
        <v>14665.78278</v>
      </c>
      <c r="AZ56" s="86">
        <f t="shared" si="42"/>
        <v>14959.09843</v>
      </c>
      <c r="BA56" s="86">
        <f t="shared" si="42"/>
        <v>15258.2804</v>
      </c>
      <c r="BB56" s="86">
        <f t="shared" si="42"/>
        <v>15563.44601</v>
      </c>
      <c r="BC56" s="86">
        <f t="shared" si="42"/>
        <v>15874.71493</v>
      </c>
      <c r="BD56" s="86">
        <f t="shared" si="42"/>
        <v>16192.20923</v>
      </c>
      <c r="BE56" s="86">
        <f t="shared" si="42"/>
        <v>16516.05341</v>
      </c>
      <c r="BF56" s="86">
        <f t="shared" si="42"/>
        <v>16846.37448</v>
      </c>
      <c r="BG56" s="86">
        <f t="shared" si="42"/>
        <v>17183.30197</v>
      </c>
      <c r="BH56" s="86">
        <f t="shared" si="42"/>
        <v>17526.96801</v>
      </c>
      <c r="BI56" s="86">
        <f t="shared" si="42"/>
        <v>20089.34737</v>
      </c>
      <c r="BJ56" s="86">
        <f t="shared" si="42"/>
        <v>20491.13432</v>
      </c>
      <c r="BK56" s="86">
        <f t="shared" si="42"/>
        <v>20900.95701</v>
      </c>
      <c r="BL56" s="86">
        <f t="shared" si="42"/>
        <v>21318.97615</v>
      </c>
      <c r="BM56" s="86">
        <f t="shared" si="42"/>
        <v>21745.35567</v>
      </c>
      <c r="BN56" s="86">
        <f t="shared" si="42"/>
        <v>22180.26278</v>
      </c>
      <c r="BO56" s="86">
        <f t="shared" si="42"/>
        <v>22623.86804</v>
      </c>
      <c r="BP56" s="86">
        <f t="shared" si="42"/>
        <v>23076.3454</v>
      </c>
      <c r="BQ56" s="86">
        <f t="shared" si="42"/>
        <v>23537.87231</v>
      </c>
      <c r="BR56" s="86">
        <f t="shared" si="42"/>
        <v>24008.62975</v>
      </c>
      <c r="BS56" s="86">
        <f t="shared" si="42"/>
        <v>24488.80235</v>
      </c>
      <c r="BT56" s="86">
        <f t="shared" si="42"/>
        <v>24978.5784</v>
      </c>
      <c r="BU56" s="86">
        <f t="shared" si="42"/>
        <v>27247.62196</v>
      </c>
      <c r="BV56" s="86">
        <f t="shared" si="42"/>
        <v>27792.5744</v>
      </c>
      <c r="BW56" s="86">
        <f t="shared" si="42"/>
        <v>28348.42589</v>
      </c>
      <c r="BX56" s="86">
        <f t="shared" si="42"/>
        <v>28915.39441</v>
      </c>
      <c r="BY56" s="86">
        <f t="shared" si="42"/>
        <v>29493.7023</v>
      </c>
      <c r="BZ56" s="86">
        <f t="shared" si="42"/>
        <v>30083.57634</v>
      </c>
      <c r="CA56" s="86">
        <f t="shared" si="42"/>
        <v>30685.24787</v>
      </c>
    </row>
    <row r="57" outlineLevel="1">
      <c r="A57" s="47"/>
      <c r="B57" s="64" t="s">
        <v>37</v>
      </c>
      <c r="C57" s="47"/>
      <c r="D57" s="87"/>
      <c r="E57" s="87"/>
      <c r="F57" s="87"/>
      <c r="G57" s="87"/>
      <c r="H57" s="88"/>
      <c r="I57" s="88"/>
      <c r="J57" s="88"/>
      <c r="K57" s="88"/>
      <c r="L57" s="88"/>
      <c r="M57" s="88"/>
      <c r="N57" s="88"/>
      <c r="O57" s="88"/>
      <c r="P57" s="88"/>
      <c r="Q57" s="88"/>
      <c r="R57" s="88"/>
      <c r="S57" s="88"/>
      <c r="T57" s="89">
        <f t="shared" ref="T57:CA57" si="43">(T55/12)*T51*T53</f>
        <v>0</v>
      </c>
      <c r="U57" s="89">
        <f t="shared" si="43"/>
        <v>0</v>
      </c>
      <c r="V57" s="89">
        <f t="shared" si="43"/>
        <v>0</v>
      </c>
      <c r="W57" s="89">
        <f t="shared" si="43"/>
        <v>0</v>
      </c>
      <c r="X57" s="89">
        <f t="shared" si="43"/>
        <v>0</v>
      </c>
      <c r="Y57" s="89">
        <f t="shared" si="43"/>
        <v>360</v>
      </c>
      <c r="Z57" s="89">
        <f t="shared" si="43"/>
        <v>727.2</v>
      </c>
      <c r="AA57" s="89">
        <f t="shared" si="43"/>
        <v>1101.744</v>
      </c>
      <c r="AB57" s="89">
        <f t="shared" si="43"/>
        <v>1483.77888</v>
      </c>
      <c r="AC57" s="89">
        <f t="shared" si="43"/>
        <v>1873.454458</v>
      </c>
      <c r="AD57" s="89">
        <f t="shared" si="43"/>
        <v>2270.923547</v>
      </c>
      <c r="AE57" s="89">
        <f t="shared" si="43"/>
        <v>2676.342018</v>
      </c>
      <c r="AF57" s="89">
        <f t="shared" si="43"/>
        <v>3089.868858</v>
      </c>
      <c r="AG57" s="89">
        <f t="shared" si="43"/>
        <v>3511.666235</v>
      </c>
      <c r="AH57" s="89">
        <f t="shared" si="43"/>
        <v>3941.89956</v>
      </c>
      <c r="AI57" s="89">
        <f t="shared" si="43"/>
        <v>4380.737551</v>
      </c>
      <c r="AJ57" s="89">
        <f t="shared" si="43"/>
        <v>4828.352302</v>
      </c>
      <c r="AK57" s="89">
        <f t="shared" si="43"/>
        <v>5212.919348</v>
      </c>
      <c r="AL57" s="89">
        <f t="shared" si="43"/>
        <v>5605.177735</v>
      </c>
      <c r="AM57" s="89">
        <f t="shared" si="43"/>
        <v>6005.28129</v>
      </c>
      <c r="AN57" s="89">
        <f t="shared" si="43"/>
        <v>6413.386916</v>
      </c>
      <c r="AO57" s="89">
        <f t="shared" si="43"/>
        <v>6829.654654</v>
      </c>
      <c r="AP57" s="89">
        <f t="shared" si="43"/>
        <v>7254.247747</v>
      </c>
      <c r="AQ57" s="89">
        <f t="shared" si="43"/>
        <v>7687.332702</v>
      </c>
      <c r="AR57" s="89">
        <f t="shared" si="43"/>
        <v>8129.079356</v>
      </c>
      <c r="AS57" s="89">
        <f t="shared" si="43"/>
        <v>8579.660943</v>
      </c>
      <c r="AT57" s="89">
        <f t="shared" si="43"/>
        <v>9039.254162</v>
      </c>
      <c r="AU57" s="89">
        <f t="shared" si="43"/>
        <v>9508.039245</v>
      </c>
      <c r="AV57" s="89">
        <f t="shared" si="43"/>
        <v>9986.20003</v>
      </c>
      <c r="AW57" s="89">
        <f t="shared" si="43"/>
        <v>10416.32403</v>
      </c>
      <c r="AX57" s="89">
        <f t="shared" si="43"/>
        <v>10855.05051</v>
      </c>
      <c r="AY57" s="89">
        <f t="shared" si="43"/>
        <v>11302.55152</v>
      </c>
      <c r="AZ57" s="89">
        <f t="shared" si="43"/>
        <v>11759.00255</v>
      </c>
      <c r="BA57" s="89">
        <f t="shared" si="43"/>
        <v>12224.5826</v>
      </c>
      <c r="BB57" s="89">
        <f t="shared" si="43"/>
        <v>12699.47426</v>
      </c>
      <c r="BC57" s="89">
        <f t="shared" si="43"/>
        <v>13183.86374</v>
      </c>
      <c r="BD57" s="89">
        <f t="shared" si="43"/>
        <v>13677.94102</v>
      </c>
      <c r="BE57" s="89">
        <f t="shared" si="43"/>
        <v>14181.89984</v>
      </c>
      <c r="BF57" s="89">
        <f t="shared" si="43"/>
        <v>14695.93783</v>
      </c>
      <c r="BG57" s="89">
        <f t="shared" si="43"/>
        <v>15220.25659</v>
      </c>
      <c r="BH57" s="89">
        <f t="shared" si="43"/>
        <v>15755.06172</v>
      </c>
      <c r="BI57" s="89">
        <f t="shared" si="43"/>
        <v>16254.48295</v>
      </c>
      <c r="BJ57" s="89">
        <f t="shared" si="43"/>
        <v>16763.89261</v>
      </c>
      <c r="BK57" s="89">
        <f t="shared" si="43"/>
        <v>17283.49047</v>
      </c>
      <c r="BL57" s="89">
        <f t="shared" si="43"/>
        <v>17813.48028</v>
      </c>
      <c r="BM57" s="89">
        <f t="shared" si="43"/>
        <v>18354.06988</v>
      </c>
      <c r="BN57" s="89">
        <f t="shared" si="43"/>
        <v>18905.47128</v>
      </c>
      <c r="BO57" s="89">
        <f t="shared" si="43"/>
        <v>19467.9007</v>
      </c>
      <c r="BP57" s="89">
        <f t="shared" si="43"/>
        <v>20041.57872</v>
      </c>
      <c r="BQ57" s="89">
        <f t="shared" si="43"/>
        <v>20626.73029</v>
      </c>
      <c r="BR57" s="89">
        <f t="shared" si="43"/>
        <v>21223.5849</v>
      </c>
      <c r="BS57" s="89">
        <f t="shared" si="43"/>
        <v>21832.3766</v>
      </c>
      <c r="BT57" s="89">
        <f t="shared" si="43"/>
        <v>22453.34413</v>
      </c>
      <c r="BU57" s="89">
        <f t="shared" si="43"/>
        <v>23049.86701</v>
      </c>
      <c r="BV57" s="89">
        <f t="shared" si="43"/>
        <v>23658.32035</v>
      </c>
      <c r="BW57" s="89">
        <f t="shared" si="43"/>
        <v>24278.94276</v>
      </c>
      <c r="BX57" s="89">
        <f t="shared" si="43"/>
        <v>24911.97761</v>
      </c>
      <c r="BY57" s="89">
        <f t="shared" si="43"/>
        <v>25557.67317</v>
      </c>
      <c r="BZ57" s="89">
        <f t="shared" si="43"/>
        <v>26216.28263</v>
      </c>
      <c r="CA57" s="89">
        <f t="shared" si="43"/>
        <v>26888.06428</v>
      </c>
    </row>
    <row r="58" outlineLevel="1">
      <c r="A58" s="47"/>
      <c r="B58" s="64"/>
      <c r="C58" s="47"/>
      <c r="D58" s="87"/>
      <c r="E58" s="87"/>
      <c r="F58" s="87"/>
      <c r="G58" s="87"/>
      <c r="H58" s="88"/>
      <c r="I58" s="88"/>
      <c r="J58" s="88"/>
      <c r="K58" s="88"/>
      <c r="L58" s="88"/>
      <c r="M58" s="88"/>
      <c r="N58" s="88"/>
      <c r="O58" s="88"/>
      <c r="P58" s="88"/>
      <c r="Q58" s="88"/>
      <c r="R58" s="88"/>
      <c r="S58" s="88"/>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row>
    <row r="59" outlineLevel="1">
      <c r="A59" s="47"/>
      <c r="B59" s="52" t="s">
        <v>39</v>
      </c>
      <c r="C59" s="76"/>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row>
    <row r="60" outlineLevel="1">
      <c r="A60" s="47"/>
      <c r="B60" s="39" t="s">
        <v>40</v>
      </c>
      <c r="C60" s="76"/>
      <c r="D60" s="78">
        <v>0.2</v>
      </c>
      <c r="E60" s="47"/>
      <c r="F60" s="47"/>
      <c r="G60" s="47"/>
      <c r="H60" s="79"/>
      <c r="I60" s="79"/>
      <c r="J60" s="79"/>
      <c r="K60" s="79"/>
      <c r="L60" s="79"/>
      <c r="M60" s="79"/>
      <c r="N60" s="79"/>
      <c r="O60" s="79"/>
      <c r="P60" s="79"/>
      <c r="Q60" s="79"/>
      <c r="R60" s="79"/>
      <c r="S60" s="79"/>
      <c r="T60" s="80">
        <f>D60</f>
        <v>0.2</v>
      </c>
      <c r="U60" s="80">
        <f t="shared" ref="U60:CA60" si="44">T60</f>
        <v>0.2</v>
      </c>
      <c r="V60" s="80">
        <f t="shared" si="44"/>
        <v>0.2</v>
      </c>
      <c r="W60" s="80">
        <f t="shared" si="44"/>
        <v>0.2</v>
      </c>
      <c r="X60" s="80">
        <f t="shared" si="44"/>
        <v>0.2</v>
      </c>
      <c r="Y60" s="80">
        <f t="shared" si="44"/>
        <v>0.2</v>
      </c>
      <c r="Z60" s="80">
        <f t="shared" si="44"/>
        <v>0.2</v>
      </c>
      <c r="AA60" s="80">
        <f t="shared" si="44"/>
        <v>0.2</v>
      </c>
      <c r="AB60" s="80">
        <f t="shared" si="44"/>
        <v>0.2</v>
      </c>
      <c r="AC60" s="80">
        <f t="shared" si="44"/>
        <v>0.2</v>
      </c>
      <c r="AD60" s="80">
        <f t="shared" si="44"/>
        <v>0.2</v>
      </c>
      <c r="AE60" s="80">
        <f t="shared" si="44"/>
        <v>0.2</v>
      </c>
      <c r="AF60" s="80">
        <f t="shared" si="44"/>
        <v>0.2</v>
      </c>
      <c r="AG60" s="80">
        <f t="shared" si="44"/>
        <v>0.2</v>
      </c>
      <c r="AH60" s="80">
        <f t="shared" si="44"/>
        <v>0.2</v>
      </c>
      <c r="AI60" s="80">
        <f t="shared" si="44"/>
        <v>0.2</v>
      </c>
      <c r="AJ60" s="80">
        <f t="shared" si="44"/>
        <v>0.2</v>
      </c>
      <c r="AK60" s="80">
        <f t="shared" si="44"/>
        <v>0.2</v>
      </c>
      <c r="AL60" s="80">
        <f t="shared" si="44"/>
        <v>0.2</v>
      </c>
      <c r="AM60" s="80">
        <f t="shared" si="44"/>
        <v>0.2</v>
      </c>
      <c r="AN60" s="80">
        <f t="shared" si="44"/>
        <v>0.2</v>
      </c>
      <c r="AO60" s="80">
        <f t="shared" si="44"/>
        <v>0.2</v>
      </c>
      <c r="AP60" s="80">
        <f t="shared" si="44"/>
        <v>0.2</v>
      </c>
      <c r="AQ60" s="80">
        <f t="shared" si="44"/>
        <v>0.2</v>
      </c>
      <c r="AR60" s="80">
        <f t="shared" si="44"/>
        <v>0.2</v>
      </c>
      <c r="AS60" s="80">
        <f t="shared" si="44"/>
        <v>0.2</v>
      </c>
      <c r="AT60" s="80">
        <f t="shared" si="44"/>
        <v>0.2</v>
      </c>
      <c r="AU60" s="80">
        <f t="shared" si="44"/>
        <v>0.2</v>
      </c>
      <c r="AV60" s="80">
        <f t="shared" si="44"/>
        <v>0.2</v>
      </c>
      <c r="AW60" s="80">
        <f t="shared" si="44"/>
        <v>0.2</v>
      </c>
      <c r="AX60" s="80">
        <f t="shared" si="44"/>
        <v>0.2</v>
      </c>
      <c r="AY60" s="80">
        <f t="shared" si="44"/>
        <v>0.2</v>
      </c>
      <c r="AZ60" s="80">
        <f t="shared" si="44"/>
        <v>0.2</v>
      </c>
      <c r="BA60" s="80">
        <f t="shared" si="44"/>
        <v>0.2</v>
      </c>
      <c r="BB60" s="80">
        <f t="shared" si="44"/>
        <v>0.2</v>
      </c>
      <c r="BC60" s="80">
        <f t="shared" si="44"/>
        <v>0.2</v>
      </c>
      <c r="BD60" s="80">
        <f t="shared" si="44"/>
        <v>0.2</v>
      </c>
      <c r="BE60" s="80">
        <f t="shared" si="44"/>
        <v>0.2</v>
      </c>
      <c r="BF60" s="80">
        <f t="shared" si="44"/>
        <v>0.2</v>
      </c>
      <c r="BG60" s="80">
        <f t="shared" si="44"/>
        <v>0.2</v>
      </c>
      <c r="BH60" s="80">
        <f t="shared" si="44"/>
        <v>0.2</v>
      </c>
      <c r="BI60" s="80">
        <f t="shared" si="44"/>
        <v>0.2</v>
      </c>
      <c r="BJ60" s="80">
        <f t="shared" si="44"/>
        <v>0.2</v>
      </c>
      <c r="BK60" s="80">
        <f t="shared" si="44"/>
        <v>0.2</v>
      </c>
      <c r="BL60" s="80">
        <f t="shared" si="44"/>
        <v>0.2</v>
      </c>
      <c r="BM60" s="80">
        <f t="shared" si="44"/>
        <v>0.2</v>
      </c>
      <c r="BN60" s="80">
        <f t="shared" si="44"/>
        <v>0.2</v>
      </c>
      <c r="BO60" s="80">
        <f t="shared" si="44"/>
        <v>0.2</v>
      </c>
      <c r="BP60" s="80">
        <f t="shared" si="44"/>
        <v>0.2</v>
      </c>
      <c r="BQ60" s="80">
        <f t="shared" si="44"/>
        <v>0.2</v>
      </c>
      <c r="BR60" s="80">
        <f t="shared" si="44"/>
        <v>0.2</v>
      </c>
      <c r="BS60" s="80">
        <f t="shared" si="44"/>
        <v>0.2</v>
      </c>
      <c r="BT60" s="80">
        <f t="shared" si="44"/>
        <v>0.2</v>
      </c>
      <c r="BU60" s="80">
        <f t="shared" si="44"/>
        <v>0.2</v>
      </c>
      <c r="BV60" s="80">
        <f t="shared" si="44"/>
        <v>0.2</v>
      </c>
      <c r="BW60" s="80">
        <f t="shared" si="44"/>
        <v>0.2</v>
      </c>
      <c r="BX60" s="80">
        <f t="shared" si="44"/>
        <v>0.2</v>
      </c>
      <c r="BY60" s="80">
        <f t="shared" si="44"/>
        <v>0.2</v>
      </c>
      <c r="BZ60" s="80">
        <f t="shared" si="44"/>
        <v>0.2</v>
      </c>
      <c r="CA60" s="80">
        <f t="shared" si="44"/>
        <v>0.2</v>
      </c>
    </row>
    <row r="61" outlineLevel="1">
      <c r="A61" s="47"/>
      <c r="B61" s="39" t="s">
        <v>41</v>
      </c>
      <c r="C61" s="76"/>
      <c r="D61" s="77"/>
      <c r="E61" s="47"/>
      <c r="F61" s="47"/>
      <c r="G61" s="47"/>
      <c r="H61" s="77"/>
      <c r="I61" s="77"/>
      <c r="J61" s="77"/>
      <c r="K61" s="77"/>
      <c r="L61" s="77"/>
      <c r="M61" s="77"/>
      <c r="N61" s="77"/>
      <c r="O61" s="77"/>
      <c r="P61" s="77"/>
      <c r="Q61" s="77"/>
      <c r="R61" s="77"/>
      <c r="S61" s="77"/>
      <c r="T61" s="77">
        <f t="shared" ref="T61:CA61" si="45">T60*T$23</f>
        <v>0</v>
      </c>
      <c r="U61" s="77">
        <f t="shared" si="45"/>
        <v>0.5</v>
      </c>
      <c r="V61" s="77">
        <f t="shared" si="45"/>
        <v>0.51</v>
      </c>
      <c r="W61" s="77">
        <f t="shared" si="45"/>
        <v>0.5202</v>
      </c>
      <c r="X61" s="77">
        <f t="shared" si="45"/>
        <v>0.530604</v>
      </c>
      <c r="Y61" s="77">
        <f t="shared" si="45"/>
        <v>0.74121608</v>
      </c>
      <c r="Z61" s="77">
        <f t="shared" si="45"/>
        <v>0.7560404016</v>
      </c>
      <c r="AA61" s="77">
        <f t="shared" si="45"/>
        <v>0.7711612096</v>
      </c>
      <c r="AB61" s="77">
        <f t="shared" si="45"/>
        <v>0.7865844338</v>
      </c>
      <c r="AC61" s="77">
        <f t="shared" si="45"/>
        <v>0.8023161225</v>
      </c>
      <c r="AD61" s="77">
        <f t="shared" si="45"/>
        <v>0.818362445</v>
      </c>
      <c r="AE61" s="77">
        <f t="shared" si="45"/>
        <v>0.8347296939</v>
      </c>
      <c r="AF61" s="77">
        <f t="shared" si="45"/>
        <v>0.8514242877</v>
      </c>
      <c r="AG61" s="77">
        <f t="shared" si="45"/>
        <v>0.8684527735</v>
      </c>
      <c r="AH61" s="77">
        <f t="shared" si="45"/>
        <v>0.885821829</v>
      </c>
      <c r="AI61" s="77">
        <f t="shared" si="45"/>
        <v>0.9035382655</v>
      </c>
      <c r="AJ61" s="77">
        <f t="shared" si="45"/>
        <v>0.9216090308</v>
      </c>
      <c r="AK61" s="77">
        <f t="shared" si="45"/>
        <v>0.9400412115</v>
      </c>
      <c r="AL61" s="77">
        <f t="shared" si="45"/>
        <v>0.9588420357</v>
      </c>
      <c r="AM61" s="77">
        <f t="shared" si="45"/>
        <v>0.9780188764</v>
      </c>
      <c r="AN61" s="77">
        <f t="shared" si="45"/>
        <v>0.9975792539</v>
      </c>
      <c r="AO61" s="77">
        <f t="shared" si="45"/>
        <v>1.017530839</v>
      </c>
      <c r="AP61" s="77">
        <f t="shared" si="45"/>
        <v>1.037881456</v>
      </c>
      <c r="AQ61" s="77">
        <f t="shared" si="45"/>
        <v>1.058639085</v>
      </c>
      <c r="AR61" s="77">
        <f t="shared" si="45"/>
        <v>1.079811867</v>
      </c>
      <c r="AS61" s="77">
        <f t="shared" si="45"/>
        <v>1.101408104</v>
      </c>
      <c r="AT61" s="77">
        <f t="shared" si="45"/>
        <v>1.123436266</v>
      </c>
      <c r="AU61" s="77">
        <f t="shared" si="45"/>
        <v>1.145904991</v>
      </c>
      <c r="AV61" s="77">
        <f t="shared" si="45"/>
        <v>1.168823091</v>
      </c>
      <c r="AW61" s="77">
        <f t="shared" si="45"/>
        <v>1.192199553</v>
      </c>
      <c r="AX61" s="77">
        <f t="shared" si="45"/>
        <v>1.216043544</v>
      </c>
      <c r="AY61" s="77">
        <f t="shared" si="45"/>
        <v>1.240364415</v>
      </c>
      <c r="AZ61" s="77">
        <f t="shared" si="45"/>
        <v>1.265171703</v>
      </c>
      <c r="BA61" s="77">
        <f t="shared" si="45"/>
        <v>1.290475137</v>
      </c>
      <c r="BB61" s="77">
        <f t="shared" si="45"/>
        <v>1.31628464</v>
      </c>
      <c r="BC61" s="77">
        <f t="shared" si="45"/>
        <v>1.342610333</v>
      </c>
      <c r="BD61" s="77">
        <f t="shared" si="45"/>
        <v>1.369462539</v>
      </c>
      <c r="BE61" s="77">
        <f t="shared" si="45"/>
        <v>1.39685179</v>
      </c>
      <c r="BF61" s="77">
        <f t="shared" si="45"/>
        <v>1.424788826</v>
      </c>
      <c r="BG61" s="77">
        <f t="shared" si="45"/>
        <v>1.453284603</v>
      </c>
      <c r="BH61" s="77">
        <f t="shared" si="45"/>
        <v>1.482350295</v>
      </c>
      <c r="BI61" s="77">
        <f t="shared" si="45"/>
        <v>1.511997301</v>
      </c>
      <c r="BJ61" s="77">
        <f t="shared" si="45"/>
        <v>1.542237247</v>
      </c>
      <c r="BK61" s="77">
        <f t="shared" si="45"/>
        <v>1.573081991</v>
      </c>
      <c r="BL61" s="77">
        <f t="shared" si="45"/>
        <v>1.604543631</v>
      </c>
      <c r="BM61" s="77">
        <f t="shared" si="45"/>
        <v>1.636634504</v>
      </c>
      <c r="BN61" s="77">
        <f t="shared" si="45"/>
        <v>1.669367194</v>
      </c>
      <c r="BO61" s="77">
        <f t="shared" si="45"/>
        <v>1.702754538</v>
      </c>
      <c r="BP61" s="77">
        <f t="shared" si="45"/>
        <v>1.736809629</v>
      </c>
      <c r="BQ61" s="77">
        <f t="shared" si="45"/>
        <v>1.771545821</v>
      </c>
      <c r="BR61" s="77">
        <f t="shared" si="45"/>
        <v>1.806976738</v>
      </c>
      <c r="BS61" s="77">
        <f t="shared" si="45"/>
        <v>1.843116272</v>
      </c>
      <c r="BT61" s="77">
        <f t="shared" si="45"/>
        <v>1.879978598</v>
      </c>
      <c r="BU61" s="77">
        <f t="shared" si="45"/>
        <v>1.91757817</v>
      </c>
      <c r="BV61" s="77">
        <f t="shared" si="45"/>
        <v>1.955929733</v>
      </c>
      <c r="BW61" s="77">
        <f t="shared" si="45"/>
        <v>1.995048328</v>
      </c>
      <c r="BX61" s="77">
        <f t="shared" si="45"/>
        <v>2.034949294</v>
      </c>
      <c r="BY61" s="77">
        <f t="shared" si="45"/>
        <v>2.07564828</v>
      </c>
      <c r="BZ61" s="77">
        <f t="shared" si="45"/>
        <v>2.117161246</v>
      </c>
      <c r="CA61" s="77">
        <f t="shared" si="45"/>
        <v>2.159504471</v>
      </c>
    </row>
    <row r="62" outlineLevel="1">
      <c r="A62" s="47"/>
      <c r="B62" s="39" t="s">
        <v>25</v>
      </c>
      <c r="C62" s="76"/>
      <c r="D62" s="47"/>
      <c r="E62" s="47"/>
      <c r="F62" s="47"/>
      <c r="G62" s="47"/>
      <c r="H62" s="39">
        <v>0.0</v>
      </c>
      <c r="I62" s="39">
        <v>0.0</v>
      </c>
      <c r="J62" s="39">
        <v>0.0</v>
      </c>
      <c r="K62" s="39">
        <v>0.0</v>
      </c>
      <c r="L62" s="39">
        <v>0.0</v>
      </c>
      <c r="M62" s="39">
        <v>0.0</v>
      </c>
      <c r="N62" s="39">
        <v>0.0</v>
      </c>
      <c r="O62" s="39">
        <v>0.0</v>
      </c>
      <c r="P62" s="39">
        <v>0.0</v>
      </c>
      <c r="Q62" s="39">
        <v>0.0</v>
      </c>
      <c r="R62" s="39">
        <v>0.0</v>
      </c>
      <c r="S62" s="39">
        <v>0.0</v>
      </c>
      <c r="T62" s="77">
        <f t="shared" ref="T62:CA62" si="46">T61+T67</f>
        <v>0</v>
      </c>
      <c r="U62" s="77">
        <f t="shared" si="46"/>
        <v>0.5</v>
      </c>
      <c r="V62" s="77">
        <f t="shared" si="46"/>
        <v>0.51</v>
      </c>
      <c r="W62" s="77">
        <f t="shared" si="46"/>
        <v>0.5202</v>
      </c>
      <c r="X62" s="77">
        <f t="shared" si="46"/>
        <v>0.530604</v>
      </c>
      <c r="Y62" s="77">
        <f t="shared" si="46"/>
        <v>0.74121608</v>
      </c>
      <c r="Z62" s="77">
        <f t="shared" si="46"/>
        <v>0.7560404016</v>
      </c>
      <c r="AA62" s="77">
        <f t="shared" si="46"/>
        <v>0.7711612096</v>
      </c>
      <c r="AB62" s="77">
        <f t="shared" si="46"/>
        <v>0.7865844338</v>
      </c>
      <c r="AC62" s="77">
        <f t="shared" si="46"/>
        <v>0.8023161225</v>
      </c>
      <c r="AD62" s="77">
        <f t="shared" si="46"/>
        <v>0.818362445</v>
      </c>
      <c r="AE62" s="77">
        <f t="shared" si="46"/>
        <v>0.8347296939</v>
      </c>
      <c r="AF62" s="77">
        <f t="shared" si="46"/>
        <v>0.8514242877</v>
      </c>
      <c r="AG62" s="77">
        <f t="shared" si="46"/>
        <v>1.268452773</v>
      </c>
      <c r="AH62" s="77">
        <f t="shared" si="46"/>
        <v>1.293821829</v>
      </c>
      <c r="AI62" s="77">
        <f t="shared" si="46"/>
        <v>1.319698266</v>
      </c>
      <c r="AJ62" s="77">
        <f t="shared" si="46"/>
        <v>1.346092231</v>
      </c>
      <c r="AK62" s="77">
        <f t="shared" si="46"/>
        <v>1.533014075</v>
      </c>
      <c r="AL62" s="77">
        <f t="shared" si="46"/>
        <v>1.563674357</v>
      </c>
      <c r="AM62" s="77">
        <f t="shared" si="46"/>
        <v>1.594947844</v>
      </c>
      <c r="AN62" s="77">
        <f t="shared" si="46"/>
        <v>1.626846801</v>
      </c>
      <c r="AO62" s="77">
        <f t="shared" si="46"/>
        <v>1.659383737</v>
      </c>
      <c r="AP62" s="77">
        <f t="shared" si="46"/>
        <v>1.692571412</v>
      </c>
      <c r="AQ62" s="77">
        <f t="shared" si="46"/>
        <v>1.72642284</v>
      </c>
      <c r="AR62" s="77">
        <f t="shared" si="46"/>
        <v>1.760951297</v>
      </c>
      <c r="AS62" s="77">
        <f t="shared" si="46"/>
        <v>2.116170323</v>
      </c>
      <c r="AT62" s="77">
        <f t="shared" si="46"/>
        <v>2.158493729</v>
      </c>
      <c r="AU62" s="77">
        <f t="shared" si="46"/>
        <v>2.201663604</v>
      </c>
      <c r="AV62" s="77">
        <f t="shared" si="46"/>
        <v>2.245696876</v>
      </c>
      <c r="AW62" s="77">
        <f t="shared" si="46"/>
        <v>2.418610813</v>
      </c>
      <c r="AX62" s="77">
        <f t="shared" si="46"/>
        <v>2.46698303</v>
      </c>
      <c r="AY62" s="77">
        <f t="shared" si="46"/>
        <v>2.51632269</v>
      </c>
      <c r="AZ62" s="77">
        <f t="shared" si="46"/>
        <v>2.566649144</v>
      </c>
      <c r="BA62" s="77">
        <f t="shared" si="46"/>
        <v>2.617982127</v>
      </c>
      <c r="BB62" s="77">
        <f t="shared" si="46"/>
        <v>2.670341769</v>
      </c>
      <c r="BC62" s="77">
        <f t="shared" si="46"/>
        <v>2.723748605</v>
      </c>
      <c r="BD62" s="77">
        <f t="shared" si="46"/>
        <v>2.778223577</v>
      </c>
      <c r="BE62" s="77">
        <f t="shared" si="46"/>
        <v>3.089788048</v>
      </c>
      <c r="BF62" s="77">
        <f t="shared" si="46"/>
        <v>3.151583809</v>
      </c>
      <c r="BG62" s="77">
        <f t="shared" si="46"/>
        <v>3.214615486</v>
      </c>
      <c r="BH62" s="77">
        <f t="shared" si="46"/>
        <v>3.278907795</v>
      </c>
      <c r="BI62" s="77">
        <f t="shared" si="46"/>
        <v>3.446885951</v>
      </c>
      <c r="BJ62" s="77">
        <f t="shared" si="46"/>
        <v>3.51582367</v>
      </c>
      <c r="BK62" s="77">
        <f t="shared" si="46"/>
        <v>3.586140144</v>
      </c>
      <c r="BL62" s="77">
        <f t="shared" si="46"/>
        <v>3.657862947</v>
      </c>
      <c r="BM62" s="77">
        <f t="shared" si="46"/>
        <v>3.731020205</v>
      </c>
      <c r="BN62" s="77">
        <f t="shared" si="46"/>
        <v>3.80564061</v>
      </c>
      <c r="BO62" s="77">
        <f t="shared" si="46"/>
        <v>3.881753422</v>
      </c>
      <c r="BP62" s="77">
        <f t="shared" si="46"/>
        <v>3.95938849</v>
      </c>
      <c r="BQ62" s="77">
        <f t="shared" si="46"/>
        <v>4.24337626</v>
      </c>
      <c r="BR62" s="77">
        <f t="shared" si="46"/>
        <v>4.328243785</v>
      </c>
      <c r="BS62" s="77">
        <f t="shared" si="46"/>
        <v>4.414808661</v>
      </c>
      <c r="BT62" s="77">
        <f t="shared" si="46"/>
        <v>4.503104834</v>
      </c>
      <c r="BU62" s="77">
        <f t="shared" si="46"/>
        <v>4.675086931</v>
      </c>
      <c r="BV62" s="77">
        <f t="shared" si="46"/>
        <v>4.768588669</v>
      </c>
      <c r="BW62" s="77">
        <f t="shared" si="46"/>
        <v>4.863960443</v>
      </c>
      <c r="BX62" s="77">
        <f t="shared" si="46"/>
        <v>4.961239652</v>
      </c>
      <c r="BY62" s="77">
        <f t="shared" si="46"/>
        <v>5.060464445</v>
      </c>
      <c r="BZ62" s="77">
        <f t="shared" si="46"/>
        <v>5.161673734</v>
      </c>
      <c r="CA62" s="77">
        <f t="shared" si="46"/>
        <v>5.264907208</v>
      </c>
    </row>
    <row r="63" outlineLevel="1">
      <c r="A63" s="47"/>
      <c r="B63" s="39" t="s">
        <v>26</v>
      </c>
      <c r="C63" s="76"/>
      <c r="D63" s="47"/>
      <c r="E63" s="47"/>
      <c r="F63" s="47"/>
      <c r="G63" s="47"/>
      <c r="H63" s="39"/>
      <c r="I63" s="39"/>
      <c r="J63" s="39"/>
      <c r="K63" s="39"/>
      <c r="L63" s="39"/>
      <c r="M63" s="39"/>
      <c r="N63" s="39"/>
      <c r="O63" s="39"/>
      <c r="P63" s="39"/>
      <c r="Q63" s="39"/>
      <c r="R63" s="39"/>
      <c r="S63" s="39"/>
      <c r="T63" s="47">
        <f t="shared" ref="T63:CA63" si="47">H62</f>
        <v>0</v>
      </c>
      <c r="U63" s="47">
        <f t="shared" si="47"/>
        <v>0</v>
      </c>
      <c r="V63" s="47">
        <f t="shared" si="47"/>
        <v>0</v>
      </c>
      <c r="W63" s="47">
        <f t="shared" si="47"/>
        <v>0</v>
      </c>
      <c r="X63" s="47">
        <f t="shared" si="47"/>
        <v>0</v>
      </c>
      <c r="Y63" s="47">
        <f t="shared" si="47"/>
        <v>0</v>
      </c>
      <c r="Z63" s="47">
        <f t="shared" si="47"/>
        <v>0</v>
      </c>
      <c r="AA63" s="47">
        <f t="shared" si="47"/>
        <v>0</v>
      </c>
      <c r="AB63" s="47">
        <f t="shared" si="47"/>
        <v>0</v>
      </c>
      <c r="AC63" s="47">
        <f t="shared" si="47"/>
        <v>0</v>
      </c>
      <c r="AD63" s="47">
        <f t="shared" si="47"/>
        <v>0</v>
      </c>
      <c r="AE63" s="47">
        <f t="shared" si="47"/>
        <v>0</v>
      </c>
      <c r="AF63" s="77">
        <f t="shared" si="47"/>
        <v>0</v>
      </c>
      <c r="AG63" s="77">
        <f t="shared" si="47"/>
        <v>0.5</v>
      </c>
      <c r="AH63" s="77">
        <f t="shared" si="47"/>
        <v>0.51</v>
      </c>
      <c r="AI63" s="77">
        <f t="shared" si="47"/>
        <v>0.5202</v>
      </c>
      <c r="AJ63" s="77">
        <f t="shared" si="47"/>
        <v>0.530604</v>
      </c>
      <c r="AK63" s="77">
        <f t="shared" si="47"/>
        <v>0.74121608</v>
      </c>
      <c r="AL63" s="77">
        <f t="shared" si="47"/>
        <v>0.7560404016</v>
      </c>
      <c r="AM63" s="77">
        <f t="shared" si="47"/>
        <v>0.7711612096</v>
      </c>
      <c r="AN63" s="77">
        <f t="shared" si="47"/>
        <v>0.7865844338</v>
      </c>
      <c r="AO63" s="77">
        <f t="shared" si="47"/>
        <v>0.8023161225</v>
      </c>
      <c r="AP63" s="77">
        <f t="shared" si="47"/>
        <v>0.818362445</v>
      </c>
      <c r="AQ63" s="77">
        <f t="shared" si="47"/>
        <v>0.8347296939</v>
      </c>
      <c r="AR63" s="77">
        <f t="shared" si="47"/>
        <v>0.8514242877</v>
      </c>
      <c r="AS63" s="77">
        <f t="shared" si="47"/>
        <v>1.268452773</v>
      </c>
      <c r="AT63" s="77">
        <f t="shared" si="47"/>
        <v>1.293821829</v>
      </c>
      <c r="AU63" s="77">
        <f t="shared" si="47"/>
        <v>1.319698266</v>
      </c>
      <c r="AV63" s="77">
        <f t="shared" si="47"/>
        <v>1.346092231</v>
      </c>
      <c r="AW63" s="77">
        <f t="shared" si="47"/>
        <v>1.533014075</v>
      </c>
      <c r="AX63" s="77">
        <f t="shared" si="47"/>
        <v>1.563674357</v>
      </c>
      <c r="AY63" s="77">
        <f t="shared" si="47"/>
        <v>1.594947844</v>
      </c>
      <c r="AZ63" s="77">
        <f t="shared" si="47"/>
        <v>1.626846801</v>
      </c>
      <c r="BA63" s="77">
        <f t="shared" si="47"/>
        <v>1.659383737</v>
      </c>
      <c r="BB63" s="77">
        <f t="shared" si="47"/>
        <v>1.692571412</v>
      </c>
      <c r="BC63" s="77">
        <f t="shared" si="47"/>
        <v>1.72642284</v>
      </c>
      <c r="BD63" s="77">
        <f t="shared" si="47"/>
        <v>1.760951297</v>
      </c>
      <c r="BE63" s="77">
        <f t="shared" si="47"/>
        <v>2.116170323</v>
      </c>
      <c r="BF63" s="77">
        <f t="shared" si="47"/>
        <v>2.158493729</v>
      </c>
      <c r="BG63" s="77">
        <f t="shared" si="47"/>
        <v>2.201663604</v>
      </c>
      <c r="BH63" s="77">
        <f t="shared" si="47"/>
        <v>2.245696876</v>
      </c>
      <c r="BI63" s="77">
        <f t="shared" si="47"/>
        <v>2.418610813</v>
      </c>
      <c r="BJ63" s="77">
        <f t="shared" si="47"/>
        <v>2.46698303</v>
      </c>
      <c r="BK63" s="77">
        <f t="shared" si="47"/>
        <v>2.51632269</v>
      </c>
      <c r="BL63" s="77">
        <f t="shared" si="47"/>
        <v>2.566649144</v>
      </c>
      <c r="BM63" s="77">
        <f t="shared" si="47"/>
        <v>2.617982127</v>
      </c>
      <c r="BN63" s="77">
        <f t="shared" si="47"/>
        <v>2.670341769</v>
      </c>
      <c r="BO63" s="77">
        <f t="shared" si="47"/>
        <v>2.723748605</v>
      </c>
      <c r="BP63" s="77">
        <f t="shared" si="47"/>
        <v>2.778223577</v>
      </c>
      <c r="BQ63" s="77">
        <f t="shared" si="47"/>
        <v>3.089788048</v>
      </c>
      <c r="BR63" s="77">
        <f t="shared" si="47"/>
        <v>3.151583809</v>
      </c>
      <c r="BS63" s="77">
        <f t="shared" si="47"/>
        <v>3.214615486</v>
      </c>
      <c r="BT63" s="77">
        <f t="shared" si="47"/>
        <v>3.278907795</v>
      </c>
      <c r="BU63" s="77">
        <f t="shared" si="47"/>
        <v>3.446885951</v>
      </c>
      <c r="BV63" s="77">
        <f t="shared" si="47"/>
        <v>3.51582367</v>
      </c>
      <c r="BW63" s="77">
        <f t="shared" si="47"/>
        <v>3.586140144</v>
      </c>
      <c r="BX63" s="77">
        <f t="shared" si="47"/>
        <v>3.657862947</v>
      </c>
      <c r="BY63" s="77">
        <f t="shared" si="47"/>
        <v>3.731020205</v>
      </c>
      <c r="BZ63" s="77">
        <f t="shared" si="47"/>
        <v>3.80564061</v>
      </c>
      <c r="CA63" s="77">
        <f t="shared" si="47"/>
        <v>3.881753422</v>
      </c>
    </row>
    <row r="64" outlineLevel="1">
      <c r="A64" s="47"/>
      <c r="B64" s="39" t="s">
        <v>27</v>
      </c>
      <c r="C64" s="76"/>
      <c r="D64" s="47"/>
      <c r="E64" s="47"/>
      <c r="F64" s="47"/>
      <c r="G64" s="47"/>
      <c r="H64" s="47"/>
      <c r="I64" s="47"/>
      <c r="J64" s="47"/>
      <c r="K64" s="47"/>
      <c r="L64" s="47"/>
      <c r="M64" s="47"/>
      <c r="N64" s="47"/>
      <c r="O64" s="47"/>
      <c r="P64" s="47"/>
      <c r="Q64" s="47"/>
      <c r="R64" s="47"/>
      <c r="S64" s="47"/>
      <c r="T64" s="77">
        <f t="shared" ref="T64:CA64" si="48">T69-T63</f>
        <v>0</v>
      </c>
      <c r="U64" s="77">
        <f t="shared" si="48"/>
        <v>0</v>
      </c>
      <c r="V64" s="77">
        <f t="shared" si="48"/>
        <v>0.5</v>
      </c>
      <c r="W64" s="77">
        <f t="shared" si="48"/>
        <v>1.01</v>
      </c>
      <c r="X64" s="77">
        <f t="shared" si="48"/>
        <v>1.5302</v>
      </c>
      <c r="Y64" s="77">
        <f t="shared" si="48"/>
        <v>2.060804</v>
      </c>
      <c r="Z64" s="77">
        <f t="shared" si="48"/>
        <v>2.80202008</v>
      </c>
      <c r="AA64" s="77">
        <f t="shared" si="48"/>
        <v>3.558060482</v>
      </c>
      <c r="AB64" s="77">
        <f t="shared" si="48"/>
        <v>4.329221691</v>
      </c>
      <c r="AC64" s="77">
        <f t="shared" si="48"/>
        <v>5.115806125</v>
      </c>
      <c r="AD64" s="77">
        <f t="shared" si="48"/>
        <v>5.918122248</v>
      </c>
      <c r="AE64" s="77">
        <f t="shared" si="48"/>
        <v>6.736484693</v>
      </c>
      <c r="AF64" s="77">
        <f t="shared" si="48"/>
        <v>7.571214386</v>
      </c>
      <c r="AG64" s="77">
        <f t="shared" si="48"/>
        <v>7.922638674</v>
      </c>
      <c r="AH64" s="77">
        <f t="shared" si="48"/>
        <v>8.681091448</v>
      </c>
      <c r="AI64" s="77">
        <f t="shared" si="48"/>
        <v>9.454713277</v>
      </c>
      <c r="AJ64" s="77">
        <f t="shared" si="48"/>
        <v>10.24380754</v>
      </c>
      <c r="AK64" s="77">
        <f t="shared" si="48"/>
        <v>10.84868369</v>
      </c>
      <c r="AL64" s="77">
        <f t="shared" si="48"/>
        <v>11.62565737</v>
      </c>
      <c r="AM64" s="77">
        <f t="shared" si="48"/>
        <v>12.41817051</v>
      </c>
      <c r="AN64" s="77">
        <f t="shared" si="48"/>
        <v>13.22653392</v>
      </c>
      <c r="AO64" s="77">
        <f t="shared" si="48"/>
        <v>14.0510646</v>
      </c>
      <c r="AP64" s="77">
        <f t="shared" si="48"/>
        <v>14.89208589</v>
      </c>
      <c r="AQ64" s="77">
        <f t="shared" si="48"/>
        <v>15.74992761</v>
      </c>
      <c r="AR64" s="77">
        <f t="shared" si="48"/>
        <v>16.62492617</v>
      </c>
      <c r="AS64" s="77">
        <f t="shared" si="48"/>
        <v>17.11742469</v>
      </c>
      <c r="AT64" s="77">
        <f t="shared" si="48"/>
        <v>17.93977318</v>
      </c>
      <c r="AU64" s="77">
        <f t="shared" si="48"/>
        <v>18.77856865</v>
      </c>
      <c r="AV64" s="77">
        <f t="shared" si="48"/>
        <v>19.63414002</v>
      </c>
      <c r="AW64" s="77">
        <f t="shared" si="48"/>
        <v>20.34682282</v>
      </c>
      <c r="AX64" s="77">
        <f t="shared" si="48"/>
        <v>21.20175928</v>
      </c>
      <c r="AY64" s="77">
        <f t="shared" si="48"/>
        <v>22.07379446</v>
      </c>
      <c r="AZ64" s="77">
        <f t="shared" si="48"/>
        <v>22.96327035</v>
      </c>
      <c r="BA64" s="77">
        <f t="shared" si="48"/>
        <v>23.87053576</v>
      </c>
      <c r="BB64" s="77">
        <f t="shared" si="48"/>
        <v>24.79594647</v>
      </c>
      <c r="BC64" s="77">
        <f t="shared" si="48"/>
        <v>25.7398654</v>
      </c>
      <c r="BD64" s="77">
        <f t="shared" si="48"/>
        <v>26.70266271</v>
      </c>
      <c r="BE64" s="77">
        <f t="shared" si="48"/>
        <v>27.36471596</v>
      </c>
      <c r="BF64" s="77">
        <f t="shared" si="48"/>
        <v>28.29601028</v>
      </c>
      <c r="BG64" s="77">
        <f t="shared" si="48"/>
        <v>29.24593049</v>
      </c>
      <c r="BH64" s="77">
        <f t="shared" si="48"/>
        <v>30.2148491</v>
      </c>
      <c r="BI64" s="77">
        <f t="shared" si="48"/>
        <v>31.07514608</v>
      </c>
      <c r="BJ64" s="77">
        <f t="shared" si="48"/>
        <v>32.055049</v>
      </c>
      <c r="BK64" s="77">
        <f t="shared" si="48"/>
        <v>33.05454998</v>
      </c>
      <c r="BL64" s="77">
        <f t="shared" si="48"/>
        <v>34.07404098</v>
      </c>
      <c r="BM64" s="77">
        <f t="shared" si="48"/>
        <v>35.1139218</v>
      </c>
      <c r="BN64" s="77">
        <f t="shared" si="48"/>
        <v>36.17460024</v>
      </c>
      <c r="BO64" s="77">
        <f t="shared" si="48"/>
        <v>37.25649224</v>
      </c>
      <c r="BP64" s="77">
        <f t="shared" si="48"/>
        <v>38.36002209</v>
      </c>
      <c r="BQ64" s="77">
        <f t="shared" si="48"/>
        <v>39.22962253</v>
      </c>
      <c r="BR64" s="77">
        <f t="shared" si="48"/>
        <v>40.32141498</v>
      </c>
      <c r="BS64" s="77">
        <f t="shared" si="48"/>
        <v>41.43504328</v>
      </c>
      <c r="BT64" s="77">
        <f t="shared" si="48"/>
        <v>42.57094414</v>
      </c>
      <c r="BU64" s="77">
        <f t="shared" si="48"/>
        <v>43.62716303</v>
      </c>
      <c r="BV64" s="77">
        <f t="shared" si="48"/>
        <v>44.78642629</v>
      </c>
      <c r="BW64" s="77">
        <f t="shared" si="48"/>
        <v>45.96887481</v>
      </c>
      <c r="BX64" s="77">
        <f t="shared" si="48"/>
        <v>47.17497231</v>
      </c>
      <c r="BY64" s="77">
        <f t="shared" si="48"/>
        <v>48.40519176</v>
      </c>
      <c r="BZ64" s="77">
        <f t="shared" si="48"/>
        <v>49.66001559</v>
      </c>
      <c r="CA64" s="77">
        <f t="shared" si="48"/>
        <v>50.9399359</v>
      </c>
    </row>
    <row r="65" outlineLevel="1">
      <c r="A65" s="47"/>
      <c r="B65" s="39" t="s">
        <v>28</v>
      </c>
      <c r="C65" s="76"/>
      <c r="D65" s="78">
        <v>0.2</v>
      </c>
      <c r="E65" s="47"/>
      <c r="F65" s="47"/>
      <c r="G65" s="47"/>
      <c r="H65" s="79"/>
      <c r="I65" s="79"/>
      <c r="J65" s="79"/>
      <c r="K65" s="79"/>
      <c r="L65" s="79"/>
      <c r="M65" s="79"/>
      <c r="N65" s="79"/>
      <c r="O65" s="79"/>
      <c r="P65" s="79"/>
      <c r="Q65" s="79"/>
      <c r="R65" s="79"/>
      <c r="S65" s="79"/>
      <c r="T65" s="80">
        <f>D65</f>
        <v>0.2</v>
      </c>
      <c r="U65" s="80">
        <f t="shared" ref="U65:CA65" si="49">T65</f>
        <v>0.2</v>
      </c>
      <c r="V65" s="80">
        <f t="shared" si="49"/>
        <v>0.2</v>
      </c>
      <c r="W65" s="80">
        <f t="shared" si="49"/>
        <v>0.2</v>
      </c>
      <c r="X65" s="80">
        <f t="shared" si="49"/>
        <v>0.2</v>
      </c>
      <c r="Y65" s="80">
        <f t="shared" si="49"/>
        <v>0.2</v>
      </c>
      <c r="Z65" s="80">
        <f t="shared" si="49"/>
        <v>0.2</v>
      </c>
      <c r="AA65" s="80">
        <f t="shared" si="49"/>
        <v>0.2</v>
      </c>
      <c r="AB65" s="80">
        <f t="shared" si="49"/>
        <v>0.2</v>
      </c>
      <c r="AC65" s="80">
        <f t="shared" si="49"/>
        <v>0.2</v>
      </c>
      <c r="AD65" s="80">
        <f t="shared" si="49"/>
        <v>0.2</v>
      </c>
      <c r="AE65" s="80">
        <f t="shared" si="49"/>
        <v>0.2</v>
      </c>
      <c r="AF65" s="80">
        <f t="shared" si="49"/>
        <v>0.2</v>
      </c>
      <c r="AG65" s="80">
        <f t="shared" si="49"/>
        <v>0.2</v>
      </c>
      <c r="AH65" s="80">
        <f t="shared" si="49"/>
        <v>0.2</v>
      </c>
      <c r="AI65" s="80">
        <f t="shared" si="49"/>
        <v>0.2</v>
      </c>
      <c r="AJ65" s="80">
        <f t="shared" si="49"/>
        <v>0.2</v>
      </c>
      <c r="AK65" s="80">
        <f t="shared" si="49"/>
        <v>0.2</v>
      </c>
      <c r="AL65" s="80">
        <f t="shared" si="49"/>
        <v>0.2</v>
      </c>
      <c r="AM65" s="80">
        <f t="shared" si="49"/>
        <v>0.2</v>
      </c>
      <c r="AN65" s="80">
        <f t="shared" si="49"/>
        <v>0.2</v>
      </c>
      <c r="AO65" s="80">
        <f t="shared" si="49"/>
        <v>0.2</v>
      </c>
      <c r="AP65" s="80">
        <f t="shared" si="49"/>
        <v>0.2</v>
      </c>
      <c r="AQ65" s="80">
        <f t="shared" si="49"/>
        <v>0.2</v>
      </c>
      <c r="AR65" s="80">
        <f t="shared" si="49"/>
        <v>0.2</v>
      </c>
      <c r="AS65" s="80">
        <f t="shared" si="49"/>
        <v>0.2</v>
      </c>
      <c r="AT65" s="80">
        <f t="shared" si="49"/>
        <v>0.2</v>
      </c>
      <c r="AU65" s="80">
        <f t="shared" si="49"/>
        <v>0.2</v>
      </c>
      <c r="AV65" s="80">
        <f t="shared" si="49"/>
        <v>0.2</v>
      </c>
      <c r="AW65" s="80">
        <f t="shared" si="49"/>
        <v>0.2</v>
      </c>
      <c r="AX65" s="80">
        <f t="shared" si="49"/>
        <v>0.2</v>
      </c>
      <c r="AY65" s="80">
        <f t="shared" si="49"/>
        <v>0.2</v>
      </c>
      <c r="AZ65" s="80">
        <f t="shared" si="49"/>
        <v>0.2</v>
      </c>
      <c r="BA65" s="80">
        <f t="shared" si="49"/>
        <v>0.2</v>
      </c>
      <c r="BB65" s="80">
        <f t="shared" si="49"/>
        <v>0.2</v>
      </c>
      <c r="BC65" s="80">
        <f t="shared" si="49"/>
        <v>0.2</v>
      </c>
      <c r="BD65" s="80">
        <f t="shared" si="49"/>
        <v>0.2</v>
      </c>
      <c r="BE65" s="80">
        <f t="shared" si="49"/>
        <v>0.2</v>
      </c>
      <c r="BF65" s="80">
        <f t="shared" si="49"/>
        <v>0.2</v>
      </c>
      <c r="BG65" s="80">
        <f t="shared" si="49"/>
        <v>0.2</v>
      </c>
      <c r="BH65" s="80">
        <f t="shared" si="49"/>
        <v>0.2</v>
      </c>
      <c r="BI65" s="80">
        <f t="shared" si="49"/>
        <v>0.2</v>
      </c>
      <c r="BJ65" s="80">
        <f t="shared" si="49"/>
        <v>0.2</v>
      </c>
      <c r="BK65" s="80">
        <f t="shared" si="49"/>
        <v>0.2</v>
      </c>
      <c r="BL65" s="80">
        <f t="shared" si="49"/>
        <v>0.2</v>
      </c>
      <c r="BM65" s="80">
        <f t="shared" si="49"/>
        <v>0.2</v>
      </c>
      <c r="BN65" s="80">
        <f t="shared" si="49"/>
        <v>0.2</v>
      </c>
      <c r="BO65" s="80">
        <f t="shared" si="49"/>
        <v>0.2</v>
      </c>
      <c r="BP65" s="80">
        <f t="shared" si="49"/>
        <v>0.2</v>
      </c>
      <c r="BQ65" s="80">
        <f t="shared" si="49"/>
        <v>0.2</v>
      </c>
      <c r="BR65" s="80">
        <f t="shared" si="49"/>
        <v>0.2</v>
      </c>
      <c r="BS65" s="80">
        <f t="shared" si="49"/>
        <v>0.2</v>
      </c>
      <c r="BT65" s="80">
        <f t="shared" si="49"/>
        <v>0.2</v>
      </c>
      <c r="BU65" s="80">
        <f t="shared" si="49"/>
        <v>0.2</v>
      </c>
      <c r="BV65" s="80">
        <f t="shared" si="49"/>
        <v>0.2</v>
      </c>
      <c r="BW65" s="80">
        <f t="shared" si="49"/>
        <v>0.2</v>
      </c>
      <c r="BX65" s="80">
        <f t="shared" si="49"/>
        <v>0.2</v>
      </c>
      <c r="BY65" s="80">
        <f t="shared" si="49"/>
        <v>0.2</v>
      </c>
      <c r="BZ65" s="80">
        <f t="shared" si="49"/>
        <v>0.2</v>
      </c>
      <c r="CA65" s="80">
        <f t="shared" si="49"/>
        <v>0.2</v>
      </c>
    </row>
    <row r="66" outlineLevel="1">
      <c r="A66" s="47"/>
      <c r="B66" s="39" t="s">
        <v>42</v>
      </c>
      <c r="C66" s="76"/>
      <c r="D66" s="77"/>
      <c r="E66" s="47"/>
      <c r="F66" s="47"/>
      <c r="G66" s="47"/>
      <c r="H66" s="77"/>
      <c r="I66" s="77"/>
      <c r="J66" s="77"/>
      <c r="K66" s="77"/>
      <c r="L66" s="77"/>
      <c r="M66" s="77"/>
      <c r="N66" s="77"/>
      <c r="O66" s="77"/>
      <c r="P66" s="77"/>
      <c r="Q66" s="77"/>
      <c r="R66" s="77"/>
      <c r="S66" s="77"/>
      <c r="T66" s="77">
        <f t="shared" ref="T66:CA66" si="50">T63*T65</f>
        <v>0</v>
      </c>
      <c r="U66" s="77">
        <f t="shared" si="50"/>
        <v>0</v>
      </c>
      <c r="V66" s="77">
        <f t="shared" si="50"/>
        <v>0</v>
      </c>
      <c r="W66" s="77">
        <f t="shared" si="50"/>
        <v>0</v>
      </c>
      <c r="X66" s="77">
        <f t="shared" si="50"/>
        <v>0</v>
      </c>
      <c r="Y66" s="77">
        <f t="shared" si="50"/>
        <v>0</v>
      </c>
      <c r="Z66" s="77">
        <f t="shared" si="50"/>
        <v>0</v>
      </c>
      <c r="AA66" s="77">
        <f t="shared" si="50"/>
        <v>0</v>
      </c>
      <c r="AB66" s="77">
        <f t="shared" si="50"/>
        <v>0</v>
      </c>
      <c r="AC66" s="77">
        <f t="shared" si="50"/>
        <v>0</v>
      </c>
      <c r="AD66" s="77">
        <f t="shared" si="50"/>
        <v>0</v>
      </c>
      <c r="AE66" s="77">
        <f t="shared" si="50"/>
        <v>0</v>
      </c>
      <c r="AF66" s="77">
        <f t="shared" si="50"/>
        <v>0</v>
      </c>
      <c r="AG66" s="77">
        <f t="shared" si="50"/>
        <v>0.1</v>
      </c>
      <c r="AH66" s="77">
        <f t="shared" si="50"/>
        <v>0.102</v>
      </c>
      <c r="AI66" s="77">
        <f t="shared" si="50"/>
        <v>0.10404</v>
      </c>
      <c r="AJ66" s="77">
        <f t="shared" si="50"/>
        <v>0.1061208</v>
      </c>
      <c r="AK66" s="77">
        <f t="shared" si="50"/>
        <v>0.148243216</v>
      </c>
      <c r="AL66" s="77">
        <f t="shared" si="50"/>
        <v>0.1512080803</v>
      </c>
      <c r="AM66" s="77">
        <f t="shared" si="50"/>
        <v>0.1542322419</v>
      </c>
      <c r="AN66" s="77">
        <f t="shared" si="50"/>
        <v>0.1573168868</v>
      </c>
      <c r="AO66" s="77">
        <f t="shared" si="50"/>
        <v>0.1604632245</v>
      </c>
      <c r="AP66" s="77">
        <f t="shared" si="50"/>
        <v>0.163672489</v>
      </c>
      <c r="AQ66" s="77">
        <f t="shared" si="50"/>
        <v>0.1669459388</v>
      </c>
      <c r="AR66" s="77">
        <f t="shared" si="50"/>
        <v>0.1702848575</v>
      </c>
      <c r="AS66" s="77">
        <f t="shared" si="50"/>
        <v>0.2536905547</v>
      </c>
      <c r="AT66" s="77">
        <f t="shared" si="50"/>
        <v>0.2587643658</v>
      </c>
      <c r="AU66" s="77">
        <f t="shared" si="50"/>
        <v>0.2639396531</v>
      </c>
      <c r="AV66" s="77">
        <f t="shared" si="50"/>
        <v>0.2692184462</v>
      </c>
      <c r="AW66" s="77">
        <f t="shared" si="50"/>
        <v>0.3066028151</v>
      </c>
      <c r="AX66" s="77">
        <f t="shared" si="50"/>
        <v>0.3127348714</v>
      </c>
      <c r="AY66" s="77">
        <f t="shared" si="50"/>
        <v>0.3189895688</v>
      </c>
      <c r="AZ66" s="77">
        <f t="shared" si="50"/>
        <v>0.3253693602</v>
      </c>
      <c r="BA66" s="77">
        <f t="shared" si="50"/>
        <v>0.3318767474</v>
      </c>
      <c r="BB66" s="77">
        <f t="shared" si="50"/>
        <v>0.3385142823</v>
      </c>
      <c r="BC66" s="77">
        <f t="shared" si="50"/>
        <v>0.345284568</v>
      </c>
      <c r="BD66" s="77">
        <f t="shared" si="50"/>
        <v>0.3521902594</v>
      </c>
      <c r="BE66" s="77">
        <f t="shared" si="50"/>
        <v>0.4232340645</v>
      </c>
      <c r="BF66" s="77">
        <f t="shared" si="50"/>
        <v>0.4316987458</v>
      </c>
      <c r="BG66" s="77">
        <f t="shared" si="50"/>
        <v>0.4403327208</v>
      </c>
      <c r="BH66" s="77">
        <f t="shared" si="50"/>
        <v>0.4491393752</v>
      </c>
      <c r="BI66" s="77">
        <f t="shared" si="50"/>
        <v>0.4837221627</v>
      </c>
      <c r="BJ66" s="77">
        <f t="shared" si="50"/>
        <v>0.4933966059</v>
      </c>
      <c r="BK66" s="77">
        <f t="shared" si="50"/>
        <v>0.503264538</v>
      </c>
      <c r="BL66" s="77">
        <f t="shared" si="50"/>
        <v>0.5133298288</v>
      </c>
      <c r="BM66" s="77">
        <f t="shared" si="50"/>
        <v>0.5235964254</v>
      </c>
      <c r="BN66" s="77">
        <f t="shared" si="50"/>
        <v>0.5340683539</v>
      </c>
      <c r="BO66" s="77">
        <f t="shared" si="50"/>
        <v>0.544749721</v>
      </c>
      <c r="BP66" s="77">
        <f t="shared" si="50"/>
        <v>0.5556447154</v>
      </c>
      <c r="BQ66" s="77">
        <f t="shared" si="50"/>
        <v>0.6179576097</v>
      </c>
      <c r="BR66" s="77">
        <f t="shared" si="50"/>
        <v>0.6303167619</v>
      </c>
      <c r="BS66" s="77">
        <f t="shared" si="50"/>
        <v>0.6429230971</v>
      </c>
      <c r="BT66" s="77">
        <f t="shared" si="50"/>
        <v>0.6557815591</v>
      </c>
      <c r="BU66" s="77">
        <f t="shared" si="50"/>
        <v>0.6893771902</v>
      </c>
      <c r="BV66" s="77">
        <f t="shared" si="50"/>
        <v>0.7031647341</v>
      </c>
      <c r="BW66" s="77">
        <f t="shared" si="50"/>
        <v>0.7172280287</v>
      </c>
      <c r="BX66" s="77">
        <f t="shared" si="50"/>
        <v>0.7315725893</v>
      </c>
      <c r="BY66" s="77">
        <f t="shared" si="50"/>
        <v>0.7462040411</v>
      </c>
      <c r="BZ66" s="77">
        <f t="shared" si="50"/>
        <v>0.7611281219</v>
      </c>
      <c r="CA66" s="77">
        <f t="shared" si="50"/>
        <v>0.7763506844</v>
      </c>
    </row>
    <row r="67" outlineLevel="1">
      <c r="A67" s="47"/>
      <c r="B67" s="39" t="s">
        <v>43</v>
      </c>
      <c r="C67" s="76"/>
      <c r="D67" s="47"/>
      <c r="E67" s="47"/>
      <c r="F67" s="47"/>
      <c r="G67" s="47"/>
      <c r="H67" s="47"/>
      <c r="I67" s="47"/>
      <c r="J67" s="47"/>
      <c r="K67" s="47"/>
      <c r="L67" s="47"/>
      <c r="M67" s="47"/>
      <c r="N67" s="47"/>
      <c r="O67" s="47"/>
      <c r="P67" s="47"/>
      <c r="Q67" s="47"/>
      <c r="R67" s="47"/>
      <c r="S67" s="47"/>
      <c r="T67" s="77">
        <f t="shared" ref="T67:CA67" si="51">T63-T66</f>
        <v>0</v>
      </c>
      <c r="U67" s="77">
        <f t="shared" si="51"/>
        <v>0</v>
      </c>
      <c r="V67" s="77">
        <f t="shared" si="51"/>
        <v>0</v>
      </c>
      <c r="W67" s="77">
        <f t="shared" si="51"/>
        <v>0</v>
      </c>
      <c r="X67" s="77">
        <f t="shared" si="51"/>
        <v>0</v>
      </c>
      <c r="Y67" s="77">
        <f t="shared" si="51"/>
        <v>0</v>
      </c>
      <c r="Z67" s="77">
        <f t="shared" si="51"/>
        <v>0</v>
      </c>
      <c r="AA67" s="77">
        <f t="shared" si="51"/>
        <v>0</v>
      </c>
      <c r="AB67" s="77">
        <f t="shared" si="51"/>
        <v>0</v>
      </c>
      <c r="AC67" s="77">
        <f t="shared" si="51"/>
        <v>0</v>
      </c>
      <c r="AD67" s="77">
        <f t="shared" si="51"/>
        <v>0</v>
      </c>
      <c r="AE67" s="77">
        <f t="shared" si="51"/>
        <v>0</v>
      </c>
      <c r="AF67" s="77">
        <f t="shared" si="51"/>
        <v>0</v>
      </c>
      <c r="AG67" s="77">
        <f t="shared" si="51"/>
        <v>0.4</v>
      </c>
      <c r="AH67" s="77">
        <f t="shared" si="51"/>
        <v>0.408</v>
      </c>
      <c r="AI67" s="77">
        <f t="shared" si="51"/>
        <v>0.41616</v>
      </c>
      <c r="AJ67" s="77">
        <f t="shared" si="51"/>
        <v>0.4244832</v>
      </c>
      <c r="AK67" s="77">
        <f t="shared" si="51"/>
        <v>0.592972864</v>
      </c>
      <c r="AL67" s="77">
        <f t="shared" si="51"/>
        <v>0.6048323213</v>
      </c>
      <c r="AM67" s="77">
        <f t="shared" si="51"/>
        <v>0.6169289677</v>
      </c>
      <c r="AN67" s="77">
        <f t="shared" si="51"/>
        <v>0.6292675471</v>
      </c>
      <c r="AO67" s="77">
        <f t="shared" si="51"/>
        <v>0.641852898</v>
      </c>
      <c r="AP67" s="77">
        <f t="shared" si="51"/>
        <v>0.654689956</v>
      </c>
      <c r="AQ67" s="77">
        <f t="shared" si="51"/>
        <v>0.6677837551</v>
      </c>
      <c r="AR67" s="77">
        <f t="shared" si="51"/>
        <v>0.6811394302</v>
      </c>
      <c r="AS67" s="77">
        <f t="shared" si="51"/>
        <v>1.014762219</v>
      </c>
      <c r="AT67" s="77">
        <f t="shared" si="51"/>
        <v>1.035057463</v>
      </c>
      <c r="AU67" s="77">
        <f t="shared" si="51"/>
        <v>1.055758612</v>
      </c>
      <c r="AV67" s="77">
        <f t="shared" si="51"/>
        <v>1.076873785</v>
      </c>
      <c r="AW67" s="77">
        <f t="shared" si="51"/>
        <v>1.22641126</v>
      </c>
      <c r="AX67" s="77">
        <f t="shared" si="51"/>
        <v>1.250939486</v>
      </c>
      <c r="AY67" s="77">
        <f t="shared" si="51"/>
        <v>1.275958275</v>
      </c>
      <c r="AZ67" s="77">
        <f t="shared" si="51"/>
        <v>1.301477441</v>
      </c>
      <c r="BA67" s="77">
        <f t="shared" si="51"/>
        <v>1.32750699</v>
      </c>
      <c r="BB67" s="77">
        <f t="shared" si="51"/>
        <v>1.354057129</v>
      </c>
      <c r="BC67" s="77">
        <f t="shared" si="51"/>
        <v>1.381138272</v>
      </c>
      <c r="BD67" s="77">
        <f t="shared" si="51"/>
        <v>1.408761037</v>
      </c>
      <c r="BE67" s="77">
        <f t="shared" si="51"/>
        <v>1.692936258</v>
      </c>
      <c r="BF67" s="77">
        <f t="shared" si="51"/>
        <v>1.726794983</v>
      </c>
      <c r="BG67" s="77">
        <f t="shared" si="51"/>
        <v>1.761330883</v>
      </c>
      <c r="BH67" s="77">
        <f t="shared" si="51"/>
        <v>1.796557501</v>
      </c>
      <c r="BI67" s="77">
        <f t="shared" si="51"/>
        <v>1.934888651</v>
      </c>
      <c r="BJ67" s="77">
        <f t="shared" si="51"/>
        <v>1.973586424</v>
      </c>
      <c r="BK67" s="77">
        <f t="shared" si="51"/>
        <v>2.013058152</v>
      </c>
      <c r="BL67" s="77">
        <f t="shared" si="51"/>
        <v>2.053319315</v>
      </c>
      <c r="BM67" s="77">
        <f t="shared" si="51"/>
        <v>2.094385702</v>
      </c>
      <c r="BN67" s="77">
        <f t="shared" si="51"/>
        <v>2.136273416</v>
      </c>
      <c r="BO67" s="77">
        <f t="shared" si="51"/>
        <v>2.178998884</v>
      </c>
      <c r="BP67" s="77">
        <f t="shared" si="51"/>
        <v>2.222578862</v>
      </c>
      <c r="BQ67" s="77">
        <f t="shared" si="51"/>
        <v>2.471830439</v>
      </c>
      <c r="BR67" s="77">
        <f t="shared" si="51"/>
        <v>2.521267048</v>
      </c>
      <c r="BS67" s="77">
        <f t="shared" si="51"/>
        <v>2.571692388</v>
      </c>
      <c r="BT67" s="77">
        <f t="shared" si="51"/>
        <v>2.623126236</v>
      </c>
      <c r="BU67" s="77">
        <f t="shared" si="51"/>
        <v>2.757508761</v>
      </c>
      <c r="BV67" s="77">
        <f t="shared" si="51"/>
        <v>2.812658936</v>
      </c>
      <c r="BW67" s="77">
        <f t="shared" si="51"/>
        <v>2.868912115</v>
      </c>
      <c r="BX67" s="77">
        <f t="shared" si="51"/>
        <v>2.926290357</v>
      </c>
      <c r="BY67" s="77">
        <f t="shared" si="51"/>
        <v>2.984816164</v>
      </c>
      <c r="BZ67" s="77">
        <f t="shared" si="51"/>
        <v>3.044512488</v>
      </c>
      <c r="CA67" s="77">
        <f t="shared" si="51"/>
        <v>3.105402737</v>
      </c>
    </row>
    <row r="68" outlineLevel="1">
      <c r="A68" s="47"/>
      <c r="B68" s="39" t="s">
        <v>44</v>
      </c>
      <c r="C68" s="76"/>
      <c r="D68" s="47"/>
      <c r="E68" s="47"/>
      <c r="F68" s="47"/>
      <c r="G68" s="47"/>
      <c r="H68" s="47"/>
      <c r="I68" s="47"/>
      <c r="J68" s="47"/>
      <c r="K68" s="47"/>
      <c r="L68" s="47"/>
      <c r="M68" s="47"/>
      <c r="N68" s="47"/>
      <c r="O68" s="47"/>
      <c r="P68" s="47"/>
      <c r="Q68" s="47"/>
      <c r="R68" s="47"/>
      <c r="S68" s="47"/>
      <c r="T68" s="77">
        <f t="shared" ref="T68:CA68" si="52">T62+T64</f>
        <v>0</v>
      </c>
      <c r="U68" s="77">
        <f t="shared" si="52"/>
        <v>0.5</v>
      </c>
      <c r="V68" s="77">
        <f t="shared" si="52"/>
        <v>1.01</v>
      </c>
      <c r="W68" s="77">
        <f t="shared" si="52"/>
        <v>1.5302</v>
      </c>
      <c r="X68" s="77">
        <f t="shared" si="52"/>
        <v>2.060804</v>
      </c>
      <c r="Y68" s="77">
        <f t="shared" si="52"/>
        <v>2.80202008</v>
      </c>
      <c r="Z68" s="77">
        <f t="shared" si="52"/>
        <v>3.558060482</v>
      </c>
      <c r="AA68" s="77">
        <f t="shared" si="52"/>
        <v>4.329221691</v>
      </c>
      <c r="AB68" s="77">
        <f t="shared" si="52"/>
        <v>5.115806125</v>
      </c>
      <c r="AC68" s="77">
        <f t="shared" si="52"/>
        <v>5.918122248</v>
      </c>
      <c r="AD68" s="77">
        <f t="shared" si="52"/>
        <v>6.736484693</v>
      </c>
      <c r="AE68" s="77">
        <f t="shared" si="52"/>
        <v>7.571214386</v>
      </c>
      <c r="AF68" s="77">
        <f t="shared" si="52"/>
        <v>8.422638674</v>
      </c>
      <c r="AG68" s="77">
        <f t="shared" si="52"/>
        <v>9.191091448</v>
      </c>
      <c r="AH68" s="77">
        <f t="shared" si="52"/>
        <v>9.974913277</v>
      </c>
      <c r="AI68" s="77">
        <f t="shared" si="52"/>
        <v>10.77441154</v>
      </c>
      <c r="AJ68" s="77">
        <f t="shared" si="52"/>
        <v>11.58989977</v>
      </c>
      <c r="AK68" s="77">
        <f t="shared" si="52"/>
        <v>12.38169777</v>
      </c>
      <c r="AL68" s="77">
        <f t="shared" si="52"/>
        <v>13.18933172</v>
      </c>
      <c r="AM68" s="77">
        <f t="shared" si="52"/>
        <v>14.01311836</v>
      </c>
      <c r="AN68" s="77">
        <f t="shared" si="52"/>
        <v>14.85338073</v>
      </c>
      <c r="AO68" s="77">
        <f t="shared" si="52"/>
        <v>15.71044834</v>
      </c>
      <c r="AP68" s="77">
        <f t="shared" si="52"/>
        <v>16.58465731</v>
      </c>
      <c r="AQ68" s="77">
        <f t="shared" si="52"/>
        <v>17.47635045</v>
      </c>
      <c r="AR68" s="77">
        <f t="shared" si="52"/>
        <v>18.38587746</v>
      </c>
      <c r="AS68" s="77">
        <f t="shared" si="52"/>
        <v>19.23359501</v>
      </c>
      <c r="AT68" s="77">
        <f t="shared" si="52"/>
        <v>20.09826691</v>
      </c>
      <c r="AU68" s="77">
        <f t="shared" si="52"/>
        <v>20.98023225</v>
      </c>
      <c r="AV68" s="77">
        <f t="shared" si="52"/>
        <v>21.87983689</v>
      </c>
      <c r="AW68" s="77">
        <f t="shared" si="52"/>
        <v>22.76543363</v>
      </c>
      <c r="AX68" s="77">
        <f t="shared" si="52"/>
        <v>23.66874231</v>
      </c>
      <c r="AY68" s="77">
        <f t="shared" si="52"/>
        <v>24.59011715</v>
      </c>
      <c r="AZ68" s="77">
        <f t="shared" si="52"/>
        <v>25.52991949</v>
      </c>
      <c r="BA68" s="77">
        <f t="shared" si="52"/>
        <v>26.48851788</v>
      </c>
      <c r="BB68" s="77">
        <f t="shared" si="52"/>
        <v>27.46628824</v>
      </c>
      <c r="BC68" s="77">
        <f t="shared" si="52"/>
        <v>28.46361401</v>
      </c>
      <c r="BD68" s="77">
        <f t="shared" si="52"/>
        <v>29.48088629</v>
      </c>
      <c r="BE68" s="77">
        <f t="shared" si="52"/>
        <v>30.45450401</v>
      </c>
      <c r="BF68" s="77">
        <f t="shared" si="52"/>
        <v>31.44759409</v>
      </c>
      <c r="BG68" s="77">
        <f t="shared" si="52"/>
        <v>32.46054597</v>
      </c>
      <c r="BH68" s="77">
        <f t="shared" si="52"/>
        <v>33.49375689</v>
      </c>
      <c r="BI68" s="77">
        <f t="shared" si="52"/>
        <v>34.52203203</v>
      </c>
      <c r="BJ68" s="77">
        <f t="shared" si="52"/>
        <v>35.57087267</v>
      </c>
      <c r="BK68" s="77">
        <f t="shared" si="52"/>
        <v>36.64069013</v>
      </c>
      <c r="BL68" s="77">
        <f t="shared" si="52"/>
        <v>37.73190393</v>
      </c>
      <c r="BM68" s="77">
        <f t="shared" si="52"/>
        <v>38.84494201</v>
      </c>
      <c r="BN68" s="77">
        <f t="shared" si="52"/>
        <v>39.98024085</v>
      </c>
      <c r="BO68" s="77">
        <f t="shared" si="52"/>
        <v>41.13824566</v>
      </c>
      <c r="BP68" s="77">
        <f t="shared" si="52"/>
        <v>42.31941058</v>
      </c>
      <c r="BQ68" s="77">
        <f t="shared" si="52"/>
        <v>43.47299879</v>
      </c>
      <c r="BR68" s="77">
        <f t="shared" si="52"/>
        <v>44.64965876</v>
      </c>
      <c r="BS68" s="77">
        <f t="shared" si="52"/>
        <v>45.84985194</v>
      </c>
      <c r="BT68" s="77">
        <f t="shared" si="52"/>
        <v>47.07404898</v>
      </c>
      <c r="BU68" s="77">
        <f t="shared" si="52"/>
        <v>48.30224996</v>
      </c>
      <c r="BV68" s="77">
        <f t="shared" si="52"/>
        <v>49.55501496</v>
      </c>
      <c r="BW68" s="77">
        <f t="shared" si="52"/>
        <v>50.83283526</v>
      </c>
      <c r="BX68" s="77">
        <f t="shared" si="52"/>
        <v>52.13621196</v>
      </c>
      <c r="BY68" s="77">
        <f t="shared" si="52"/>
        <v>53.4656562</v>
      </c>
      <c r="BZ68" s="77">
        <f t="shared" si="52"/>
        <v>54.82168933</v>
      </c>
      <c r="CA68" s="77">
        <f t="shared" si="52"/>
        <v>56.20484311</v>
      </c>
    </row>
    <row r="69" outlineLevel="1">
      <c r="A69" s="47"/>
      <c r="B69" s="39" t="s">
        <v>32</v>
      </c>
      <c r="C69" s="47"/>
      <c r="D69" s="68"/>
      <c r="E69" s="47"/>
      <c r="F69" s="47"/>
      <c r="G69" s="47"/>
      <c r="H69" s="68"/>
      <c r="I69" s="68"/>
      <c r="J69" s="68"/>
      <c r="K69" s="68"/>
      <c r="L69" s="68"/>
      <c r="M69" s="68"/>
      <c r="N69" s="68"/>
      <c r="O69" s="68"/>
      <c r="P69" s="68"/>
      <c r="Q69" s="68"/>
      <c r="R69" s="68"/>
      <c r="S69" s="68"/>
      <c r="T69" s="68" t="str">
        <f>G68</f>
        <v/>
      </c>
      <c r="U69" s="68">
        <f t="shared" ref="U69:CA69" si="53">T68</f>
        <v>0</v>
      </c>
      <c r="V69" s="68">
        <f t="shared" si="53"/>
        <v>0.5</v>
      </c>
      <c r="W69" s="68">
        <f t="shared" si="53"/>
        <v>1.01</v>
      </c>
      <c r="X69" s="68">
        <f t="shared" si="53"/>
        <v>1.5302</v>
      </c>
      <c r="Y69" s="68">
        <f t="shared" si="53"/>
        <v>2.060804</v>
      </c>
      <c r="Z69" s="68">
        <f t="shared" si="53"/>
        <v>2.80202008</v>
      </c>
      <c r="AA69" s="68">
        <f t="shared" si="53"/>
        <v>3.558060482</v>
      </c>
      <c r="AB69" s="68">
        <f t="shared" si="53"/>
        <v>4.329221691</v>
      </c>
      <c r="AC69" s="68">
        <f t="shared" si="53"/>
        <v>5.115806125</v>
      </c>
      <c r="AD69" s="68">
        <f t="shared" si="53"/>
        <v>5.918122248</v>
      </c>
      <c r="AE69" s="68">
        <f t="shared" si="53"/>
        <v>6.736484693</v>
      </c>
      <c r="AF69" s="68">
        <f t="shared" si="53"/>
        <v>7.571214386</v>
      </c>
      <c r="AG69" s="68">
        <f t="shared" si="53"/>
        <v>8.422638674</v>
      </c>
      <c r="AH69" s="68">
        <f t="shared" si="53"/>
        <v>9.191091448</v>
      </c>
      <c r="AI69" s="68">
        <f t="shared" si="53"/>
        <v>9.974913277</v>
      </c>
      <c r="AJ69" s="68">
        <f t="shared" si="53"/>
        <v>10.77441154</v>
      </c>
      <c r="AK69" s="68">
        <f t="shared" si="53"/>
        <v>11.58989977</v>
      </c>
      <c r="AL69" s="68">
        <f t="shared" si="53"/>
        <v>12.38169777</v>
      </c>
      <c r="AM69" s="68">
        <f t="shared" si="53"/>
        <v>13.18933172</v>
      </c>
      <c r="AN69" s="68">
        <f t="shared" si="53"/>
        <v>14.01311836</v>
      </c>
      <c r="AO69" s="68">
        <f t="shared" si="53"/>
        <v>14.85338073</v>
      </c>
      <c r="AP69" s="68">
        <f t="shared" si="53"/>
        <v>15.71044834</v>
      </c>
      <c r="AQ69" s="68">
        <f t="shared" si="53"/>
        <v>16.58465731</v>
      </c>
      <c r="AR69" s="68">
        <f t="shared" si="53"/>
        <v>17.47635045</v>
      </c>
      <c r="AS69" s="68">
        <f t="shared" si="53"/>
        <v>18.38587746</v>
      </c>
      <c r="AT69" s="68">
        <f t="shared" si="53"/>
        <v>19.23359501</v>
      </c>
      <c r="AU69" s="68">
        <f t="shared" si="53"/>
        <v>20.09826691</v>
      </c>
      <c r="AV69" s="68">
        <f t="shared" si="53"/>
        <v>20.98023225</v>
      </c>
      <c r="AW69" s="68">
        <f t="shared" si="53"/>
        <v>21.87983689</v>
      </c>
      <c r="AX69" s="68">
        <f t="shared" si="53"/>
        <v>22.76543363</v>
      </c>
      <c r="AY69" s="68">
        <f t="shared" si="53"/>
        <v>23.66874231</v>
      </c>
      <c r="AZ69" s="68">
        <f t="shared" si="53"/>
        <v>24.59011715</v>
      </c>
      <c r="BA69" s="68">
        <f t="shared" si="53"/>
        <v>25.52991949</v>
      </c>
      <c r="BB69" s="68">
        <f t="shared" si="53"/>
        <v>26.48851788</v>
      </c>
      <c r="BC69" s="68">
        <f t="shared" si="53"/>
        <v>27.46628824</v>
      </c>
      <c r="BD69" s="68">
        <f t="shared" si="53"/>
        <v>28.46361401</v>
      </c>
      <c r="BE69" s="68">
        <f t="shared" si="53"/>
        <v>29.48088629</v>
      </c>
      <c r="BF69" s="68">
        <f t="shared" si="53"/>
        <v>30.45450401</v>
      </c>
      <c r="BG69" s="68">
        <f t="shared" si="53"/>
        <v>31.44759409</v>
      </c>
      <c r="BH69" s="68">
        <f t="shared" si="53"/>
        <v>32.46054597</v>
      </c>
      <c r="BI69" s="68">
        <f t="shared" si="53"/>
        <v>33.49375689</v>
      </c>
      <c r="BJ69" s="68">
        <f t="shared" si="53"/>
        <v>34.52203203</v>
      </c>
      <c r="BK69" s="68">
        <f t="shared" si="53"/>
        <v>35.57087267</v>
      </c>
      <c r="BL69" s="68">
        <f t="shared" si="53"/>
        <v>36.64069013</v>
      </c>
      <c r="BM69" s="68">
        <f t="shared" si="53"/>
        <v>37.73190393</v>
      </c>
      <c r="BN69" s="68">
        <f t="shared" si="53"/>
        <v>38.84494201</v>
      </c>
      <c r="BO69" s="68">
        <f t="shared" si="53"/>
        <v>39.98024085</v>
      </c>
      <c r="BP69" s="68">
        <f t="shared" si="53"/>
        <v>41.13824566</v>
      </c>
      <c r="BQ69" s="68">
        <f t="shared" si="53"/>
        <v>42.31941058</v>
      </c>
      <c r="BR69" s="68">
        <f t="shared" si="53"/>
        <v>43.47299879</v>
      </c>
      <c r="BS69" s="68">
        <f t="shared" si="53"/>
        <v>44.64965876</v>
      </c>
      <c r="BT69" s="68">
        <f t="shared" si="53"/>
        <v>45.84985194</v>
      </c>
      <c r="BU69" s="68">
        <f t="shared" si="53"/>
        <v>47.07404898</v>
      </c>
      <c r="BV69" s="68">
        <f t="shared" si="53"/>
        <v>48.30224996</v>
      </c>
      <c r="BW69" s="68">
        <f t="shared" si="53"/>
        <v>49.55501496</v>
      </c>
      <c r="BX69" s="68">
        <f t="shared" si="53"/>
        <v>50.83283526</v>
      </c>
      <c r="BY69" s="68">
        <f t="shared" si="53"/>
        <v>52.13621196</v>
      </c>
      <c r="BZ69" s="68">
        <f t="shared" si="53"/>
        <v>53.4656562</v>
      </c>
      <c r="CA69" s="68">
        <f t="shared" si="53"/>
        <v>54.82168933</v>
      </c>
    </row>
    <row r="70" outlineLevel="1">
      <c r="A70" s="47"/>
      <c r="B70" s="39" t="s">
        <v>45</v>
      </c>
      <c r="C70" s="47"/>
      <c r="D70" s="81">
        <v>2.0</v>
      </c>
      <c r="E70" s="47"/>
      <c r="F70" s="47"/>
      <c r="G70" s="47"/>
      <c r="H70" s="82"/>
      <c r="I70" s="82"/>
      <c r="J70" s="82"/>
      <c r="K70" s="82"/>
      <c r="L70" s="82"/>
      <c r="M70" s="82"/>
      <c r="N70" s="82"/>
      <c r="O70" s="82"/>
      <c r="P70" s="82"/>
      <c r="Q70" s="82"/>
      <c r="R70" s="82"/>
      <c r="S70" s="82"/>
      <c r="T70" s="83">
        <f>D70</f>
        <v>2</v>
      </c>
      <c r="U70" s="83">
        <f t="shared" ref="U70:CA70" si="54">T70</f>
        <v>2</v>
      </c>
      <c r="V70" s="83">
        <f t="shared" si="54"/>
        <v>2</v>
      </c>
      <c r="W70" s="83">
        <f t="shared" si="54"/>
        <v>2</v>
      </c>
      <c r="X70" s="83">
        <f t="shared" si="54"/>
        <v>2</v>
      </c>
      <c r="Y70" s="83">
        <f t="shared" si="54"/>
        <v>2</v>
      </c>
      <c r="Z70" s="83">
        <f t="shared" si="54"/>
        <v>2</v>
      </c>
      <c r="AA70" s="83">
        <f t="shared" si="54"/>
        <v>2</v>
      </c>
      <c r="AB70" s="83">
        <f t="shared" si="54"/>
        <v>2</v>
      </c>
      <c r="AC70" s="83">
        <f t="shared" si="54"/>
        <v>2</v>
      </c>
      <c r="AD70" s="83">
        <f t="shared" si="54"/>
        <v>2</v>
      </c>
      <c r="AE70" s="83">
        <f t="shared" si="54"/>
        <v>2</v>
      </c>
      <c r="AF70" s="83">
        <f t="shared" si="54"/>
        <v>2</v>
      </c>
      <c r="AG70" s="83">
        <f t="shared" si="54"/>
        <v>2</v>
      </c>
      <c r="AH70" s="83">
        <f t="shared" si="54"/>
        <v>2</v>
      </c>
      <c r="AI70" s="83">
        <f t="shared" si="54"/>
        <v>2</v>
      </c>
      <c r="AJ70" s="83">
        <f t="shared" si="54"/>
        <v>2</v>
      </c>
      <c r="AK70" s="83">
        <f t="shared" si="54"/>
        <v>2</v>
      </c>
      <c r="AL70" s="83">
        <f t="shared" si="54"/>
        <v>2</v>
      </c>
      <c r="AM70" s="83">
        <f t="shared" si="54"/>
        <v>2</v>
      </c>
      <c r="AN70" s="83">
        <f t="shared" si="54"/>
        <v>2</v>
      </c>
      <c r="AO70" s="83">
        <f t="shared" si="54"/>
        <v>2</v>
      </c>
      <c r="AP70" s="83">
        <f t="shared" si="54"/>
        <v>2</v>
      </c>
      <c r="AQ70" s="83">
        <f t="shared" si="54"/>
        <v>2</v>
      </c>
      <c r="AR70" s="83">
        <f t="shared" si="54"/>
        <v>2</v>
      </c>
      <c r="AS70" s="83">
        <f t="shared" si="54"/>
        <v>2</v>
      </c>
      <c r="AT70" s="83">
        <f t="shared" si="54"/>
        <v>2</v>
      </c>
      <c r="AU70" s="83">
        <f t="shared" si="54"/>
        <v>2</v>
      </c>
      <c r="AV70" s="83">
        <f t="shared" si="54"/>
        <v>2</v>
      </c>
      <c r="AW70" s="83">
        <f t="shared" si="54"/>
        <v>2</v>
      </c>
      <c r="AX70" s="83">
        <f t="shared" si="54"/>
        <v>2</v>
      </c>
      <c r="AY70" s="83">
        <f t="shared" si="54"/>
        <v>2</v>
      </c>
      <c r="AZ70" s="83">
        <f t="shared" si="54"/>
        <v>2</v>
      </c>
      <c r="BA70" s="83">
        <f t="shared" si="54"/>
        <v>2</v>
      </c>
      <c r="BB70" s="83">
        <f t="shared" si="54"/>
        <v>2</v>
      </c>
      <c r="BC70" s="83">
        <f t="shared" si="54"/>
        <v>2</v>
      </c>
      <c r="BD70" s="83">
        <f t="shared" si="54"/>
        <v>2</v>
      </c>
      <c r="BE70" s="83">
        <f t="shared" si="54"/>
        <v>2</v>
      </c>
      <c r="BF70" s="83">
        <f t="shared" si="54"/>
        <v>2</v>
      </c>
      <c r="BG70" s="83">
        <f t="shared" si="54"/>
        <v>2</v>
      </c>
      <c r="BH70" s="83">
        <f t="shared" si="54"/>
        <v>2</v>
      </c>
      <c r="BI70" s="83">
        <f t="shared" si="54"/>
        <v>2</v>
      </c>
      <c r="BJ70" s="83">
        <f t="shared" si="54"/>
        <v>2</v>
      </c>
      <c r="BK70" s="83">
        <f t="shared" si="54"/>
        <v>2</v>
      </c>
      <c r="BL70" s="83">
        <f t="shared" si="54"/>
        <v>2</v>
      </c>
      <c r="BM70" s="83">
        <f t="shared" si="54"/>
        <v>2</v>
      </c>
      <c r="BN70" s="83">
        <f t="shared" si="54"/>
        <v>2</v>
      </c>
      <c r="BO70" s="83">
        <f t="shared" si="54"/>
        <v>2</v>
      </c>
      <c r="BP70" s="83">
        <f t="shared" si="54"/>
        <v>2</v>
      </c>
      <c r="BQ70" s="83">
        <f t="shared" si="54"/>
        <v>2</v>
      </c>
      <c r="BR70" s="83">
        <f t="shared" si="54"/>
        <v>2</v>
      </c>
      <c r="BS70" s="83">
        <f t="shared" si="54"/>
        <v>2</v>
      </c>
      <c r="BT70" s="83">
        <f t="shared" si="54"/>
        <v>2</v>
      </c>
      <c r="BU70" s="83">
        <f t="shared" si="54"/>
        <v>2</v>
      </c>
      <c r="BV70" s="83">
        <f t="shared" si="54"/>
        <v>2</v>
      </c>
      <c r="BW70" s="83">
        <f t="shared" si="54"/>
        <v>2</v>
      </c>
      <c r="BX70" s="83">
        <f t="shared" si="54"/>
        <v>2</v>
      </c>
      <c r="BY70" s="83">
        <f t="shared" si="54"/>
        <v>2</v>
      </c>
      <c r="BZ70" s="83">
        <f t="shared" si="54"/>
        <v>2</v>
      </c>
      <c r="CA70" s="83">
        <f t="shared" si="54"/>
        <v>2</v>
      </c>
    </row>
    <row r="71" outlineLevel="1">
      <c r="A71" s="47"/>
      <c r="B71" s="39" t="s">
        <v>46</v>
      </c>
      <c r="C71" s="47"/>
      <c r="D71" s="83"/>
      <c r="E71" s="47"/>
      <c r="F71" s="47"/>
      <c r="G71" s="47"/>
      <c r="H71" s="82"/>
      <c r="I71" s="82"/>
      <c r="J71" s="82"/>
      <c r="K71" s="82"/>
      <c r="L71" s="82"/>
      <c r="M71" s="82"/>
      <c r="N71" s="82"/>
      <c r="O71" s="82"/>
      <c r="P71" s="82"/>
      <c r="Q71" s="82"/>
      <c r="R71" s="82"/>
      <c r="S71" s="82"/>
      <c r="T71" s="83">
        <f t="shared" ref="T71:CA71" si="55">T70*T62</f>
        <v>0</v>
      </c>
      <c r="U71" s="83">
        <f t="shared" si="55"/>
        <v>1</v>
      </c>
      <c r="V71" s="83">
        <f t="shared" si="55"/>
        <v>1.02</v>
      </c>
      <c r="W71" s="83">
        <f t="shared" si="55"/>
        <v>1.0404</v>
      </c>
      <c r="X71" s="83">
        <f t="shared" si="55"/>
        <v>1.061208</v>
      </c>
      <c r="Y71" s="83">
        <f t="shared" si="55"/>
        <v>1.48243216</v>
      </c>
      <c r="Z71" s="83">
        <f t="shared" si="55"/>
        <v>1.512080803</v>
      </c>
      <c r="AA71" s="83">
        <f t="shared" si="55"/>
        <v>1.542322419</v>
      </c>
      <c r="AB71" s="83">
        <f t="shared" si="55"/>
        <v>1.573168868</v>
      </c>
      <c r="AC71" s="83">
        <f t="shared" si="55"/>
        <v>1.604632245</v>
      </c>
      <c r="AD71" s="83">
        <f t="shared" si="55"/>
        <v>1.63672489</v>
      </c>
      <c r="AE71" s="83">
        <f t="shared" si="55"/>
        <v>1.669459388</v>
      </c>
      <c r="AF71" s="83">
        <f t="shared" si="55"/>
        <v>1.702848575</v>
      </c>
      <c r="AG71" s="83">
        <f t="shared" si="55"/>
        <v>2.536905547</v>
      </c>
      <c r="AH71" s="83">
        <f t="shared" si="55"/>
        <v>2.587643658</v>
      </c>
      <c r="AI71" s="83">
        <f t="shared" si="55"/>
        <v>2.639396531</v>
      </c>
      <c r="AJ71" s="83">
        <f t="shared" si="55"/>
        <v>2.692184462</v>
      </c>
      <c r="AK71" s="83">
        <f t="shared" si="55"/>
        <v>3.066028151</v>
      </c>
      <c r="AL71" s="83">
        <f t="shared" si="55"/>
        <v>3.127348714</v>
      </c>
      <c r="AM71" s="83">
        <f t="shared" si="55"/>
        <v>3.189895688</v>
      </c>
      <c r="AN71" s="83">
        <f t="shared" si="55"/>
        <v>3.253693602</v>
      </c>
      <c r="AO71" s="83">
        <f t="shared" si="55"/>
        <v>3.318767474</v>
      </c>
      <c r="AP71" s="83">
        <f t="shared" si="55"/>
        <v>3.385142823</v>
      </c>
      <c r="AQ71" s="83">
        <f t="shared" si="55"/>
        <v>3.45284568</v>
      </c>
      <c r="AR71" s="83">
        <f t="shared" si="55"/>
        <v>3.521902594</v>
      </c>
      <c r="AS71" s="83">
        <f t="shared" si="55"/>
        <v>4.232340645</v>
      </c>
      <c r="AT71" s="83">
        <f t="shared" si="55"/>
        <v>4.316987458</v>
      </c>
      <c r="AU71" s="83">
        <f t="shared" si="55"/>
        <v>4.403327208</v>
      </c>
      <c r="AV71" s="83">
        <f t="shared" si="55"/>
        <v>4.491393752</v>
      </c>
      <c r="AW71" s="83">
        <f t="shared" si="55"/>
        <v>4.837221627</v>
      </c>
      <c r="AX71" s="83">
        <f t="shared" si="55"/>
        <v>4.933966059</v>
      </c>
      <c r="AY71" s="83">
        <f t="shared" si="55"/>
        <v>5.03264538</v>
      </c>
      <c r="AZ71" s="83">
        <f t="shared" si="55"/>
        <v>5.133298288</v>
      </c>
      <c r="BA71" s="83">
        <f t="shared" si="55"/>
        <v>5.235964254</v>
      </c>
      <c r="BB71" s="83">
        <f t="shared" si="55"/>
        <v>5.340683539</v>
      </c>
      <c r="BC71" s="83">
        <f t="shared" si="55"/>
        <v>5.44749721</v>
      </c>
      <c r="BD71" s="83">
        <f t="shared" si="55"/>
        <v>5.556447154</v>
      </c>
      <c r="BE71" s="83">
        <f t="shared" si="55"/>
        <v>6.179576097</v>
      </c>
      <c r="BF71" s="83">
        <f t="shared" si="55"/>
        <v>6.303167619</v>
      </c>
      <c r="BG71" s="83">
        <f t="shared" si="55"/>
        <v>6.429230971</v>
      </c>
      <c r="BH71" s="83">
        <f t="shared" si="55"/>
        <v>6.557815591</v>
      </c>
      <c r="BI71" s="83">
        <f t="shared" si="55"/>
        <v>6.893771902</v>
      </c>
      <c r="BJ71" s="83">
        <f t="shared" si="55"/>
        <v>7.031647341</v>
      </c>
      <c r="BK71" s="83">
        <f t="shared" si="55"/>
        <v>7.172280287</v>
      </c>
      <c r="BL71" s="83">
        <f t="shared" si="55"/>
        <v>7.315725893</v>
      </c>
      <c r="BM71" s="83">
        <f t="shared" si="55"/>
        <v>7.462040411</v>
      </c>
      <c r="BN71" s="83">
        <f t="shared" si="55"/>
        <v>7.611281219</v>
      </c>
      <c r="BO71" s="83">
        <f t="shared" si="55"/>
        <v>7.763506844</v>
      </c>
      <c r="BP71" s="83">
        <f t="shared" si="55"/>
        <v>7.91877698</v>
      </c>
      <c r="BQ71" s="83">
        <f t="shared" si="55"/>
        <v>8.48675252</v>
      </c>
      <c r="BR71" s="83">
        <f t="shared" si="55"/>
        <v>8.65648757</v>
      </c>
      <c r="BS71" s="83">
        <f t="shared" si="55"/>
        <v>8.829617322</v>
      </c>
      <c r="BT71" s="83">
        <f t="shared" si="55"/>
        <v>9.006209668</v>
      </c>
      <c r="BU71" s="83">
        <f t="shared" si="55"/>
        <v>9.350173862</v>
      </c>
      <c r="BV71" s="83">
        <f t="shared" si="55"/>
        <v>9.537177339</v>
      </c>
      <c r="BW71" s="83">
        <f t="shared" si="55"/>
        <v>9.727920886</v>
      </c>
      <c r="BX71" s="83">
        <f t="shared" si="55"/>
        <v>9.922479303</v>
      </c>
      <c r="BY71" s="83">
        <f t="shared" si="55"/>
        <v>10.12092889</v>
      </c>
      <c r="BZ71" s="83">
        <f t="shared" si="55"/>
        <v>10.32334747</v>
      </c>
      <c r="CA71" s="83">
        <f t="shared" si="55"/>
        <v>10.52981442</v>
      </c>
    </row>
    <row r="72" outlineLevel="1">
      <c r="A72" s="47"/>
      <c r="B72" s="39" t="s">
        <v>47</v>
      </c>
      <c r="C72" s="47"/>
      <c r="D72" s="84">
        <v>300.0</v>
      </c>
      <c r="E72" s="47"/>
      <c r="F72" s="47"/>
      <c r="G72" s="47"/>
      <c r="H72" s="82"/>
      <c r="I72" s="82"/>
      <c r="J72" s="82"/>
      <c r="K72" s="82"/>
      <c r="L72" s="82"/>
      <c r="M72" s="82"/>
      <c r="N72" s="82"/>
      <c r="O72" s="82"/>
      <c r="P72" s="82"/>
      <c r="Q72" s="82"/>
      <c r="R72" s="82"/>
      <c r="S72" s="82"/>
      <c r="T72" s="85">
        <f>D72</f>
        <v>300</v>
      </c>
      <c r="U72" s="85">
        <f t="shared" ref="U72:CA72" si="56">T72</f>
        <v>300</v>
      </c>
      <c r="V72" s="85">
        <f t="shared" si="56"/>
        <v>300</v>
      </c>
      <c r="W72" s="85">
        <f t="shared" si="56"/>
        <v>300</v>
      </c>
      <c r="X72" s="85">
        <f t="shared" si="56"/>
        <v>300</v>
      </c>
      <c r="Y72" s="85">
        <f t="shared" si="56"/>
        <v>300</v>
      </c>
      <c r="Z72" s="85">
        <f t="shared" si="56"/>
        <v>300</v>
      </c>
      <c r="AA72" s="85">
        <f t="shared" si="56"/>
        <v>300</v>
      </c>
      <c r="AB72" s="85">
        <f t="shared" si="56"/>
        <v>300</v>
      </c>
      <c r="AC72" s="85">
        <f t="shared" si="56"/>
        <v>300</v>
      </c>
      <c r="AD72" s="85">
        <f t="shared" si="56"/>
        <v>300</v>
      </c>
      <c r="AE72" s="85">
        <f t="shared" si="56"/>
        <v>300</v>
      </c>
      <c r="AF72" s="85">
        <f t="shared" si="56"/>
        <v>300</v>
      </c>
      <c r="AG72" s="85">
        <f t="shared" si="56"/>
        <v>300</v>
      </c>
      <c r="AH72" s="85">
        <f t="shared" si="56"/>
        <v>300</v>
      </c>
      <c r="AI72" s="85">
        <f t="shared" si="56"/>
        <v>300</v>
      </c>
      <c r="AJ72" s="85">
        <f t="shared" si="56"/>
        <v>300</v>
      </c>
      <c r="AK72" s="85">
        <f t="shared" si="56"/>
        <v>300</v>
      </c>
      <c r="AL72" s="85">
        <f t="shared" si="56"/>
        <v>300</v>
      </c>
      <c r="AM72" s="85">
        <f t="shared" si="56"/>
        <v>300</v>
      </c>
      <c r="AN72" s="85">
        <f t="shared" si="56"/>
        <v>300</v>
      </c>
      <c r="AO72" s="85">
        <f t="shared" si="56"/>
        <v>300</v>
      </c>
      <c r="AP72" s="85">
        <f t="shared" si="56"/>
        <v>300</v>
      </c>
      <c r="AQ72" s="85">
        <f t="shared" si="56"/>
        <v>300</v>
      </c>
      <c r="AR72" s="85">
        <f t="shared" si="56"/>
        <v>300</v>
      </c>
      <c r="AS72" s="85">
        <f t="shared" si="56"/>
        <v>300</v>
      </c>
      <c r="AT72" s="85">
        <f t="shared" si="56"/>
        <v>300</v>
      </c>
      <c r="AU72" s="85">
        <f t="shared" si="56"/>
        <v>300</v>
      </c>
      <c r="AV72" s="85">
        <f t="shared" si="56"/>
        <v>300</v>
      </c>
      <c r="AW72" s="85">
        <f t="shared" si="56"/>
        <v>300</v>
      </c>
      <c r="AX72" s="85">
        <f t="shared" si="56"/>
        <v>300</v>
      </c>
      <c r="AY72" s="85">
        <f t="shared" si="56"/>
        <v>300</v>
      </c>
      <c r="AZ72" s="85">
        <f t="shared" si="56"/>
        <v>300</v>
      </c>
      <c r="BA72" s="85">
        <f t="shared" si="56"/>
        <v>300</v>
      </c>
      <c r="BB72" s="85">
        <f t="shared" si="56"/>
        <v>300</v>
      </c>
      <c r="BC72" s="85">
        <f t="shared" si="56"/>
        <v>300</v>
      </c>
      <c r="BD72" s="85">
        <f t="shared" si="56"/>
        <v>300</v>
      </c>
      <c r="BE72" s="85">
        <f t="shared" si="56"/>
        <v>300</v>
      </c>
      <c r="BF72" s="85">
        <f t="shared" si="56"/>
        <v>300</v>
      </c>
      <c r="BG72" s="85">
        <f t="shared" si="56"/>
        <v>300</v>
      </c>
      <c r="BH72" s="85">
        <f t="shared" si="56"/>
        <v>300</v>
      </c>
      <c r="BI72" s="85">
        <f t="shared" si="56"/>
        <v>300</v>
      </c>
      <c r="BJ72" s="85">
        <f t="shared" si="56"/>
        <v>300</v>
      </c>
      <c r="BK72" s="85">
        <f t="shared" si="56"/>
        <v>300</v>
      </c>
      <c r="BL72" s="85">
        <f t="shared" si="56"/>
        <v>300</v>
      </c>
      <c r="BM72" s="85">
        <f t="shared" si="56"/>
        <v>300</v>
      </c>
      <c r="BN72" s="85">
        <f t="shared" si="56"/>
        <v>300</v>
      </c>
      <c r="BO72" s="85">
        <f t="shared" si="56"/>
        <v>300</v>
      </c>
      <c r="BP72" s="85">
        <f t="shared" si="56"/>
        <v>300</v>
      </c>
      <c r="BQ72" s="85">
        <f t="shared" si="56"/>
        <v>300</v>
      </c>
      <c r="BR72" s="85">
        <f t="shared" si="56"/>
        <v>300</v>
      </c>
      <c r="BS72" s="85">
        <f t="shared" si="56"/>
        <v>300</v>
      </c>
      <c r="BT72" s="85">
        <f t="shared" si="56"/>
        <v>300</v>
      </c>
      <c r="BU72" s="85">
        <f t="shared" si="56"/>
        <v>300</v>
      </c>
      <c r="BV72" s="85">
        <f t="shared" si="56"/>
        <v>300</v>
      </c>
      <c r="BW72" s="85">
        <f t="shared" si="56"/>
        <v>300</v>
      </c>
      <c r="BX72" s="85">
        <f t="shared" si="56"/>
        <v>300</v>
      </c>
      <c r="BY72" s="85">
        <f t="shared" si="56"/>
        <v>300</v>
      </c>
      <c r="BZ72" s="85">
        <f t="shared" si="56"/>
        <v>300</v>
      </c>
      <c r="CA72" s="85">
        <f t="shared" si="56"/>
        <v>300</v>
      </c>
    </row>
    <row r="73" outlineLevel="1">
      <c r="A73" s="47"/>
      <c r="B73" s="59" t="s">
        <v>48</v>
      </c>
      <c r="C73" s="60"/>
      <c r="D73" s="62"/>
      <c r="E73" s="62"/>
      <c r="F73" s="62"/>
      <c r="G73" s="62"/>
      <c r="H73" s="62"/>
      <c r="I73" s="62"/>
      <c r="J73" s="62"/>
      <c r="K73" s="62"/>
      <c r="L73" s="62"/>
      <c r="M73" s="62"/>
      <c r="N73" s="62"/>
      <c r="O73" s="62"/>
      <c r="P73" s="62"/>
      <c r="Q73" s="62"/>
      <c r="R73" s="62"/>
      <c r="S73" s="62"/>
      <c r="T73" s="86">
        <f t="shared" ref="T73:CA73" si="57">T71*T72</f>
        <v>0</v>
      </c>
      <c r="U73" s="86">
        <f t="shared" si="57"/>
        <v>300</v>
      </c>
      <c r="V73" s="86">
        <f t="shared" si="57"/>
        <v>306</v>
      </c>
      <c r="W73" s="86">
        <f t="shared" si="57"/>
        <v>312.12</v>
      </c>
      <c r="X73" s="86">
        <f t="shared" si="57"/>
        <v>318.3624</v>
      </c>
      <c r="Y73" s="86">
        <f t="shared" si="57"/>
        <v>444.729648</v>
      </c>
      <c r="Z73" s="86">
        <f t="shared" si="57"/>
        <v>453.624241</v>
      </c>
      <c r="AA73" s="86">
        <f t="shared" si="57"/>
        <v>462.6967258</v>
      </c>
      <c r="AB73" s="86">
        <f t="shared" si="57"/>
        <v>471.9506603</v>
      </c>
      <c r="AC73" s="86">
        <f t="shared" si="57"/>
        <v>481.3896735</v>
      </c>
      <c r="AD73" s="86">
        <f t="shared" si="57"/>
        <v>491.017467</v>
      </c>
      <c r="AE73" s="86">
        <f t="shared" si="57"/>
        <v>500.8378163</v>
      </c>
      <c r="AF73" s="86">
        <f t="shared" si="57"/>
        <v>510.8545726</v>
      </c>
      <c r="AG73" s="86">
        <f t="shared" si="57"/>
        <v>761.0716641</v>
      </c>
      <c r="AH73" s="86">
        <f t="shared" si="57"/>
        <v>776.2930974</v>
      </c>
      <c r="AI73" s="86">
        <f t="shared" si="57"/>
        <v>791.8189593</v>
      </c>
      <c r="AJ73" s="86">
        <f t="shared" si="57"/>
        <v>807.6553385</v>
      </c>
      <c r="AK73" s="86">
        <f t="shared" si="57"/>
        <v>919.8084453</v>
      </c>
      <c r="AL73" s="86">
        <f t="shared" si="57"/>
        <v>938.2046142</v>
      </c>
      <c r="AM73" s="86">
        <f t="shared" si="57"/>
        <v>956.9687065</v>
      </c>
      <c r="AN73" s="86">
        <f t="shared" si="57"/>
        <v>976.1080806</v>
      </c>
      <c r="AO73" s="86">
        <f t="shared" si="57"/>
        <v>995.6302422</v>
      </c>
      <c r="AP73" s="86">
        <f t="shared" si="57"/>
        <v>1015.542847</v>
      </c>
      <c r="AQ73" s="86">
        <f t="shared" si="57"/>
        <v>1035.853704</v>
      </c>
      <c r="AR73" s="86">
        <f t="shared" si="57"/>
        <v>1056.570778</v>
      </c>
      <c r="AS73" s="86">
        <f t="shared" si="57"/>
        <v>1269.702194</v>
      </c>
      <c r="AT73" s="86">
        <f t="shared" si="57"/>
        <v>1295.096238</v>
      </c>
      <c r="AU73" s="86">
        <f t="shared" si="57"/>
        <v>1320.998162</v>
      </c>
      <c r="AV73" s="86">
        <f t="shared" si="57"/>
        <v>1347.418125</v>
      </c>
      <c r="AW73" s="86">
        <f t="shared" si="57"/>
        <v>1451.166488</v>
      </c>
      <c r="AX73" s="86">
        <f t="shared" si="57"/>
        <v>1480.189818</v>
      </c>
      <c r="AY73" s="86">
        <f t="shared" si="57"/>
        <v>1509.793614</v>
      </c>
      <c r="AZ73" s="86">
        <f t="shared" si="57"/>
        <v>1539.989486</v>
      </c>
      <c r="BA73" s="86">
        <f t="shared" si="57"/>
        <v>1570.789276</v>
      </c>
      <c r="BB73" s="86">
        <f t="shared" si="57"/>
        <v>1602.205062</v>
      </c>
      <c r="BC73" s="86">
        <f t="shared" si="57"/>
        <v>1634.249163</v>
      </c>
      <c r="BD73" s="86">
        <f t="shared" si="57"/>
        <v>1666.934146</v>
      </c>
      <c r="BE73" s="86">
        <f t="shared" si="57"/>
        <v>1853.872829</v>
      </c>
      <c r="BF73" s="86">
        <f t="shared" si="57"/>
        <v>1890.950286</v>
      </c>
      <c r="BG73" s="86">
        <f t="shared" si="57"/>
        <v>1928.769291</v>
      </c>
      <c r="BH73" s="86">
        <f t="shared" si="57"/>
        <v>1967.344677</v>
      </c>
      <c r="BI73" s="86">
        <f t="shared" si="57"/>
        <v>2068.131571</v>
      </c>
      <c r="BJ73" s="86">
        <f t="shared" si="57"/>
        <v>2109.494202</v>
      </c>
      <c r="BK73" s="86">
        <f t="shared" si="57"/>
        <v>2151.684086</v>
      </c>
      <c r="BL73" s="86">
        <f t="shared" si="57"/>
        <v>2194.717768</v>
      </c>
      <c r="BM73" s="86">
        <f t="shared" si="57"/>
        <v>2238.612123</v>
      </c>
      <c r="BN73" s="86">
        <f t="shared" si="57"/>
        <v>2283.384366</v>
      </c>
      <c r="BO73" s="86">
        <f t="shared" si="57"/>
        <v>2329.052053</v>
      </c>
      <c r="BP73" s="86">
        <f t="shared" si="57"/>
        <v>2375.633094</v>
      </c>
      <c r="BQ73" s="86">
        <f t="shared" si="57"/>
        <v>2546.025756</v>
      </c>
      <c r="BR73" s="86">
        <f t="shared" si="57"/>
        <v>2596.946271</v>
      </c>
      <c r="BS73" s="86">
        <f t="shared" si="57"/>
        <v>2648.885197</v>
      </c>
      <c r="BT73" s="86">
        <f t="shared" si="57"/>
        <v>2701.8629</v>
      </c>
      <c r="BU73" s="86">
        <f t="shared" si="57"/>
        <v>2805.052158</v>
      </c>
      <c r="BV73" s="86">
        <f t="shared" si="57"/>
        <v>2861.153202</v>
      </c>
      <c r="BW73" s="86">
        <f t="shared" si="57"/>
        <v>2918.376266</v>
      </c>
      <c r="BX73" s="86">
        <f t="shared" si="57"/>
        <v>2976.743791</v>
      </c>
      <c r="BY73" s="86">
        <f t="shared" si="57"/>
        <v>3036.278667</v>
      </c>
      <c r="BZ73" s="86">
        <f t="shared" si="57"/>
        <v>3097.00424</v>
      </c>
      <c r="CA73" s="86">
        <f t="shared" si="57"/>
        <v>3158.944325</v>
      </c>
    </row>
    <row r="74" outlineLevel="1">
      <c r="A74" s="47"/>
      <c r="B74" s="64" t="s">
        <v>37</v>
      </c>
      <c r="C74" s="47"/>
      <c r="D74" s="87"/>
      <c r="E74" s="87"/>
      <c r="F74" s="87"/>
      <c r="G74" s="87"/>
      <c r="H74" s="88"/>
      <c r="I74" s="88"/>
      <c r="J74" s="88"/>
      <c r="K74" s="88"/>
      <c r="L74" s="88"/>
      <c r="M74" s="88"/>
      <c r="N74" s="88"/>
      <c r="O74" s="88"/>
      <c r="P74" s="88"/>
      <c r="Q74" s="88"/>
      <c r="R74" s="88"/>
      <c r="S74" s="88"/>
      <c r="T74" s="89">
        <f t="shared" ref="T74:CA74" si="58">(T72/12)*T68*T70</f>
        <v>0</v>
      </c>
      <c r="U74" s="89">
        <f t="shared" si="58"/>
        <v>25</v>
      </c>
      <c r="V74" s="89">
        <f t="shared" si="58"/>
        <v>50.5</v>
      </c>
      <c r="W74" s="89">
        <f t="shared" si="58"/>
        <v>76.51</v>
      </c>
      <c r="X74" s="89">
        <f t="shared" si="58"/>
        <v>103.0402</v>
      </c>
      <c r="Y74" s="89">
        <f t="shared" si="58"/>
        <v>140.101004</v>
      </c>
      <c r="Z74" s="89">
        <f t="shared" si="58"/>
        <v>177.9030241</v>
      </c>
      <c r="AA74" s="89">
        <f t="shared" si="58"/>
        <v>216.4610846</v>
      </c>
      <c r="AB74" s="89">
        <f t="shared" si="58"/>
        <v>255.7903063</v>
      </c>
      <c r="AC74" s="89">
        <f t="shared" si="58"/>
        <v>295.9061124</v>
      </c>
      <c r="AD74" s="89">
        <f t="shared" si="58"/>
        <v>336.8242346</v>
      </c>
      <c r="AE74" s="89">
        <f t="shared" si="58"/>
        <v>378.5607193</v>
      </c>
      <c r="AF74" s="89">
        <f t="shared" si="58"/>
        <v>421.1319337</v>
      </c>
      <c r="AG74" s="89">
        <f t="shared" si="58"/>
        <v>459.5545724</v>
      </c>
      <c r="AH74" s="89">
        <f t="shared" si="58"/>
        <v>498.7456638</v>
      </c>
      <c r="AI74" s="89">
        <f t="shared" si="58"/>
        <v>538.7205771</v>
      </c>
      <c r="AJ74" s="89">
        <f t="shared" si="58"/>
        <v>579.4949886</v>
      </c>
      <c r="AK74" s="89">
        <f t="shared" si="58"/>
        <v>619.0848884</v>
      </c>
      <c r="AL74" s="89">
        <f t="shared" si="58"/>
        <v>659.4665862</v>
      </c>
      <c r="AM74" s="89">
        <f t="shared" si="58"/>
        <v>700.6559179</v>
      </c>
      <c r="AN74" s="89">
        <f t="shared" si="58"/>
        <v>742.6690363</v>
      </c>
      <c r="AO74" s="89">
        <f t="shared" si="58"/>
        <v>785.522417</v>
      </c>
      <c r="AP74" s="89">
        <f t="shared" si="58"/>
        <v>829.2328653</v>
      </c>
      <c r="AQ74" s="89">
        <f t="shared" si="58"/>
        <v>873.8175226</v>
      </c>
      <c r="AR74" s="89">
        <f t="shared" si="58"/>
        <v>919.2938731</v>
      </c>
      <c r="AS74" s="89">
        <f t="shared" si="58"/>
        <v>961.6797506</v>
      </c>
      <c r="AT74" s="89">
        <f t="shared" si="58"/>
        <v>1004.913346</v>
      </c>
      <c r="AU74" s="89">
        <f t="shared" si="58"/>
        <v>1049.011612</v>
      </c>
      <c r="AV74" s="89">
        <f t="shared" si="58"/>
        <v>1093.991845</v>
      </c>
      <c r="AW74" s="89">
        <f t="shared" si="58"/>
        <v>1138.271682</v>
      </c>
      <c r="AX74" s="89">
        <f t="shared" si="58"/>
        <v>1183.437115</v>
      </c>
      <c r="AY74" s="89">
        <f t="shared" si="58"/>
        <v>1229.505858</v>
      </c>
      <c r="AZ74" s="89">
        <f t="shared" si="58"/>
        <v>1276.495975</v>
      </c>
      <c r="BA74" s="89">
        <f t="shared" si="58"/>
        <v>1324.425894</v>
      </c>
      <c r="BB74" s="89">
        <f t="shared" si="58"/>
        <v>1373.314412</v>
      </c>
      <c r="BC74" s="89">
        <f t="shared" si="58"/>
        <v>1423.1807</v>
      </c>
      <c r="BD74" s="89">
        <f t="shared" si="58"/>
        <v>1474.044314</v>
      </c>
      <c r="BE74" s="89">
        <f t="shared" si="58"/>
        <v>1522.725201</v>
      </c>
      <c r="BF74" s="89">
        <f t="shared" si="58"/>
        <v>1572.379705</v>
      </c>
      <c r="BG74" s="89">
        <f t="shared" si="58"/>
        <v>1623.027299</v>
      </c>
      <c r="BH74" s="89">
        <f t="shared" si="58"/>
        <v>1674.687845</v>
      </c>
      <c r="BI74" s="89">
        <f t="shared" si="58"/>
        <v>1726.101602</v>
      </c>
      <c r="BJ74" s="89">
        <f t="shared" si="58"/>
        <v>1778.543634</v>
      </c>
      <c r="BK74" s="89">
        <f t="shared" si="58"/>
        <v>1832.034506</v>
      </c>
      <c r="BL74" s="89">
        <f t="shared" si="58"/>
        <v>1886.595196</v>
      </c>
      <c r="BM74" s="89">
        <f t="shared" si="58"/>
        <v>1942.2471</v>
      </c>
      <c r="BN74" s="89">
        <f t="shared" si="58"/>
        <v>1999.012042</v>
      </c>
      <c r="BO74" s="89">
        <f t="shared" si="58"/>
        <v>2056.912283</v>
      </c>
      <c r="BP74" s="89">
        <f t="shared" si="58"/>
        <v>2115.970529</v>
      </c>
      <c r="BQ74" s="89">
        <f t="shared" si="58"/>
        <v>2173.649939</v>
      </c>
      <c r="BR74" s="89">
        <f t="shared" si="58"/>
        <v>2232.482938</v>
      </c>
      <c r="BS74" s="89">
        <f t="shared" si="58"/>
        <v>2292.492597</v>
      </c>
      <c r="BT74" s="89">
        <f t="shared" si="58"/>
        <v>2353.702449</v>
      </c>
      <c r="BU74" s="89">
        <f t="shared" si="58"/>
        <v>2415.112498</v>
      </c>
      <c r="BV74" s="89">
        <f t="shared" si="58"/>
        <v>2477.750748</v>
      </c>
      <c r="BW74" s="89">
        <f t="shared" si="58"/>
        <v>2541.641763</v>
      </c>
      <c r="BX74" s="89">
        <f t="shared" si="58"/>
        <v>2606.810598</v>
      </c>
      <c r="BY74" s="89">
        <f t="shared" si="58"/>
        <v>2673.28281</v>
      </c>
      <c r="BZ74" s="89">
        <f t="shared" si="58"/>
        <v>2741.084466</v>
      </c>
      <c r="CA74" s="89">
        <f t="shared" si="58"/>
        <v>2810.242156</v>
      </c>
    </row>
    <row r="75" outlineLevel="1">
      <c r="A75" s="47"/>
      <c r="B75" s="64"/>
      <c r="C75" s="47"/>
      <c r="D75" s="87"/>
      <c r="E75" s="87"/>
      <c r="F75" s="87"/>
      <c r="G75" s="87"/>
      <c r="H75" s="88"/>
      <c r="I75" s="88"/>
      <c r="J75" s="88"/>
      <c r="K75" s="88"/>
      <c r="L75" s="88"/>
      <c r="M75" s="88"/>
      <c r="N75" s="88"/>
      <c r="O75" s="88"/>
      <c r="P75" s="88"/>
      <c r="Q75" s="88"/>
      <c r="R75" s="88"/>
      <c r="S75" s="88"/>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c r="BU75" s="89"/>
      <c r="BV75" s="89"/>
      <c r="BW75" s="89"/>
      <c r="BX75" s="89"/>
      <c r="BY75" s="89"/>
      <c r="BZ75" s="89"/>
      <c r="CA75" s="89"/>
    </row>
    <row r="76" outlineLevel="1">
      <c r="A76" s="47"/>
      <c r="B76" s="90" t="s">
        <v>49</v>
      </c>
      <c r="C76" s="47"/>
      <c r="D76" s="87"/>
      <c r="E76" s="87"/>
      <c r="F76" s="87"/>
      <c r="G76" s="87"/>
      <c r="H76" s="88"/>
      <c r="I76" s="88"/>
      <c r="J76" s="88"/>
      <c r="K76" s="88"/>
      <c r="L76" s="88"/>
      <c r="M76" s="88"/>
      <c r="N76" s="88"/>
      <c r="O76" s="88"/>
      <c r="P76" s="88"/>
      <c r="Q76" s="88"/>
      <c r="R76" s="88"/>
      <c r="S76" s="88"/>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89"/>
      <c r="AY76" s="89"/>
      <c r="AZ76" s="89"/>
      <c r="BA76" s="89"/>
      <c r="BB76" s="89"/>
      <c r="BC76" s="89"/>
      <c r="BD76" s="89"/>
      <c r="BE76" s="89"/>
      <c r="BF76" s="89"/>
      <c r="BG76" s="89"/>
      <c r="BH76" s="89"/>
      <c r="BI76" s="89"/>
      <c r="BJ76" s="89"/>
      <c r="BK76" s="89"/>
      <c r="BL76" s="89"/>
      <c r="BM76" s="89"/>
      <c r="BN76" s="89"/>
      <c r="BO76" s="89"/>
      <c r="BP76" s="89"/>
      <c r="BQ76" s="89"/>
      <c r="BR76" s="89"/>
      <c r="BS76" s="89"/>
      <c r="BT76" s="89"/>
      <c r="BU76" s="89"/>
      <c r="BV76" s="89"/>
      <c r="BW76" s="89"/>
      <c r="BX76" s="89"/>
      <c r="BY76" s="89"/>
      <c r="BZ76" s="89"/>
      <c r="CA76" s="89"/>
    </row>
    <row r="77">
      <c r="A77" s="47"/>
      <c r="B77" s="47"/>
      <c r="C77" s="47"/>
      <c r="D77" s="47"/>
      <c r="E77" s="47"/>
      <c r="F77" s="47"/>
      <c r="G77" s="47"/>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row>
    <row r="78" collapsed="1">
      <c r="A78" s="47"/>
      <c r="B78" s="48" t="s">
        <v>50</v>
      </c>
      <c r="C78" s="49"/>
      <c r="D78" s="49"/>
      <c r="E78" s="49"/>
      <c r="F78" s="49"/>
      <c r="G78" s="49"/>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c r="BS78" s="50"/>
      <c r="BT78" s="50"/>
      <c r="BU78" s="50"/>
      <c r="BV78" s="50"/>
      <c r="BW78" s="50"/>
      <c r="BX78" s="50"/>
      <c r="BY78" s="50"/>
      <c r="BZ78" s="50"/>
      <c r="CA78" s="50"/>
    </row>
    <row r="79" hidden="1" outlineLevel="1">
      <c r="A79" s="47"/>
      <c r="B79" s="47"/>
      <c r="C79" s="47"/>
      <c r="D79" s="47"/>
      <c r="E79" s="47"/>
      <c r="F79" s="47"/>
      <c r="G79" s="47"/>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row>
    <row r="80" hidden="1" outlineLevel="1">
      <c r="A80" s="47"/>
      <c r="B80" s="91" t="s">
        <v>51</v>
      </c>
      <c r="C80" s="92" t="s">
        <v>52</v>
      </c>
      <c r="D80" s="92" t="s">
        <v>53</v>
      </c>
      <c r="E80" s="92" t="s">
        <v>54</v>
      </c>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row>
    <row r="81" hidden="1" outlineLevel="1">
      <c r="A81" s="47"/>
      <c r="B81" s="94" t="s">
        <v>55</v>
      </c>
      <c r="C81" s="95">
        <v>80000.0</v>
      </c>
      <c r="D81" s="96">
        <v>0.2</v>
      </c>
      <c r="E81" s="97">
        <v>45444.0</v>
      </c>
      <c r="H81" s="93"/>
      <c r="I81" s="93"/>
      <c r="J81" s="93"/>
      <c r="K81" s="93"/>
      <c r="L81" s="93"/>
      <c r="M81" s="93"/>
      <c r="N81" s="93"/>
      <c r="O81" s="93"/>
      <c r="P81" s="93"/>
      <c r="Q81" s="93"/>
      <c r="R81" s="93"/>
      <c r="S81" s="93"/>
      <c r="T81" s="93">
        <f t="shared" ref="T81:CA81" si="59">IF(T$4&gt;=$E81,($C81/12)*(1+$D81),0)</f>
        <v>0</v>
      </c>
      <c r="U81" s="93">
        <f t="shared" si="59"/>
        <v>0</v>
      </c>
      <c r="V81" s="93">
        <f t="shared" si="59"/>
        <v>0</v>
      </c>
      <c r="W81" s="93">
        <f t="shared" si="59"/>
        <v>0</v>
      </c>
      <c r="X81" s="93">
        <f t="shared" si="59"/>
        <v>0</v>
      </c>
      <c r="Y81" s="93">
        <f t="shared" si="59"/>
        <v>8000</v>
      </c>
      <c r="Z81" s="93">
        <f t="shared" si="59"/>
        <v>8000</v>
      </c>
      <c r="AA81" s="93">
        <f t="shared" si="59"/>
        <v>8000</v>
      </c>
      <c r="AB81" s="93">
        <f t="shared" si="59"/>
        <v>8000</v>
      </c>
      <c r="AC81" s="93">
        <f t="shared" si="59"/>
        <v>8000</v>
      </c>
      <c r="AD81" s="93">
        <f t="shared" si="59"/>
        <v>8000</v>
      </c>
      <c r="AE81" s="93">
        <f t="shared" si="59"/>
        <v>8000</v>
      </c>
      <c r="AF81" s="93">
        <f t="shared" si="59"/>
        <v>8000</v>
      </c>
      <c r="AG81" s="93">
        <f t="shared" si="59"/>
        <v>8000</v>
      </c>
      <c r="AH81" s="93">
        <f t="shared" si="59"/>
        <v>8000</v>
      </c>
      <c r="AI81" s="93">
        <f t="shared" si="59"/>
        <v>8000</v>
      </c>
      <c r="AJ81" s="93">
        <f t="shared" si="59"/>
        <v>8000</v>
      </c>
      <c r="AK81" s="93">
        <f t="shared" si="59"/>
        <v>8000</v>
      </c>
      <c r="AL81" s="93">
        <f t="shared" si="59"/>
        <v>8000</v>
      </c>
      <c r="AM81" s="93">
        <f t="shared" si="59"/>
        <v>8000</v>
      </c>
      <c r="AN81" s="93">
        <f t="shared" si="59"/>
        <v>8000</v>
      </c>
      <c r="AO81" s="93">
        <f t="shared" si="59"/>
        <v>8000</v>
      </c>
      <c r="AP81" s="93">
        <f t="shared" si="59"/>
        <v>8000</v>
      </c>
      <c r="AQ81" s="93">
        <f t="shared" si="59"/>
        <v>8000</v>
      </c>
      <c r="AR81" s="93">
        <f t="shared" si="59"/>
        <v>8000</v>
      </c>
      <c r="AS81" s="93">
        <f t="shared" si="59"/>
        <v>8000</v>
      </c>
      <c r="AT81" s="93">
        <f t="shared" si="59"/>
        <v>8000</v>
      </c>
      <c r="AU81" s="93">
        <f t="shared" si="59"/>
        <v>8000</v>
      </c>
      <c r="AV81" s="93">
        <f t="shared" si="59"/>
        <v>8000</v>
      </c>
      <c r="AW81" s="93">
        <f t="shared" si="59"/>
        <v>8000</v>
      </c>
      <c r="AX81" s="93">
        <f t="shared" si="59"/>
        <v>8000</v>
      </c>
      <c r="AY81" s="93">
        <f t="shared" si="59"/>
        <v>8000</v>
      </c>
      <c r="AZ81" s="93">
        <f t="shared" si="59"/>
        <v>8000</v>
      </c>
      <c r="BA81" s="93">
        <f t="shared" si="59"/>
        <v>8000</v>
      </c>
      <c r="BB81" s="93">
        <f t="shared" si="59"/>
        <v>8000</v>
      </c>
      <c r="BC81" s="93">
        <f t="shared" si="59"/>
        <v>8000</v>
      </c>
      <c r="BD81" s="93">
        <f t="shared" si="59"/>
        <v>8000</v>
      </c>
      <c r="BE81" s="93">
        <f t="shared" si="59"/>
        <v>8000</v>
      </c>
      <c r="BF81" s="93">
        <f t="shared" si="59"/>
        <v>8000</v>
      </c>
      <c r="BG81" s="93">
        <f t="shared" si="59"/>
        <v>8000</v>
      </c>
      <c r="BH81" s="93">
        <f t="shared" si="59"/>
        <v>8000</v>
      </c>
      <c r="BI81" s="93">
        <f t="shared" si="59"/>
        <v>8000</v>
      </c>
      <c r="BJ81" s="93">
        <f t="shared" si="59"/>
        <v>8000</v>
      </c>
      <c r="BK81" s="93">
        <f t="shared" si="59"/>
        <v>8000</v>
      </c>
      <c r="BL81" s="93">
        <f t="shared" si="59"/>
        <v>8000</v>
      </c>
      <c r="BM81" s="93">
        <f t="shared" si="59"/>
        <v>8000</v>
      </c>
      <c r="BN81" s="93">
        <f t="shared" si="59"/>
        <v>8000</v>
      </c>
      <c r="BO81" s="93">
        <f t="shared" si="59"/>
        <v>8000</v>
      </c>
      <c r="BP81" s="93">
        <f t="shared" si="59"/>
        <v>8000</v>
      </c>
      <c r="BQ81" s="93">
        <f t="shared" si="59"/>
        <v>8000</v>
      </c>
      <c r="BR81" s="93">
        <f t="shared" si="59"/>
        <v>8000</v>
      </c>
      <c r="BS81" s="93">
        <f t="shared" si="59"/>
        <v>8000</v>
      </c>
      <c r="BT81" s="93">
        <f t="shared" si="59"/>
        <v>8000</v>
      </c>
      <c r="BU81" s="93">
        <f t="shared" si="59"/>
        <v>8000</v>
      </c>
      <c r="BV81" s="93">
        <f t="shared" si="59"/>
        <v>8000</v>
      </c>
      <c r="BW81" s="93">
        <f t="shared" si="59"/>
        <v>8000</v>
      </c>
      <c r="BX81" s="93">
        <f t="shared" si="59"/>
        <v>8000</v>
      </c>
      <c r="BY81" s="93">
        <f t="shared" si="59"/>
        <v>8000</v>
      </c>
      <c r="BZ81" s="93">
        <f t="shared" si="59"/>
        <v>8000</v>
      </c>
      <c r="CA81" s="93">
        <f t="shared" si="59"/>
        <v>8000</v>
      </c>
    </row>
    <row r="82" hidden="1" outlineLevel="1">
      <c r="A82" s="47"/>
      <c r="B82" s="98" t="s">
        <v>56</v>
      </c>
      <c r="C82" s="95">
        <v>0.0</v>
      </c>
      <c r="D82" s="96">
        <v>0.2</v>
      </c>
      <c r="E82" s="97">
        <v>43831.0</v>
      </c>
      <c r="H82" s="93"/>
      <c r="I82" s="93"/>
      <c r="J82" s="93"/>
      <c r="K82" s="93"/>
      <c r="L82" s="93"/>
      <c r="M82" s="93"/>
      <c r="N82" s="93"/>
      <c r="O82" s="93"/>
      <c r="P82" s="93"/>
      <c r="Q82" s="93"/>
      <c r="R82" s="93"/>
      <c r="S82" s="93"/>
      <c r="T82" s="93">
        <f t="shared" ref="T82:CA82" si="60">IF(T$4&gt;=$E82,($C82/12)*(1+$D82),0)</f>
        <v>0</v>
      </c>
      <c r="U82" s="93">
        <f t="shared" si="60"/>
        <v>0</v>
      </c>
      <c r="V82" s="93">
        <f t="shared" si="60"/>
        <v>0</v>
      </c>
      <c r="W82" s="93">
        <f t="shared" si="60"/>
        <v>0</v>
      </c>
      <c r="X82" s="93">
        <f t="shared" si="60"/>
        <v>0</v>
      </c>
      <c r="Y82" s="93">
        <f t="shared" si="60"/>
        <v>0</v>
      </c>
      <c r="Z82" s="93">
        <f t="shared" si="60"/>
        <v>0</v>
      </c>
      <c r="AA82" s="93">
        <f t="shared" si="60"/>
        <v>0</v>
      </c>
      <c r="AB82" s="93">
        <f t="shared" si="60"/>
        <v>0</v>
      </c>
      <c r="AC82" s="93">
        <f t="shared" si="60"/>
        <v>0</v>
      </c>
      <c r="AD82" s="93">
        <f t="shared" si="60"/>
        <v>0</v>
      </c>
      <c r="AE82" s="93">
        <f t="shared" si="60"/>
        <v>0</v>
      </c>
      <c r="AF82" s="93">
        <f t="shared" si="60"/>
        <v>0</v>
      </c>
      <c r="AG82" s="93">
        <f t="shared" si="60"/>
        <v>0</v>
      </c>
      <c r="AH82" s="93">
        <f t="shared" si="60"/>
        <v>0</v>
      </c>
      <c r="AI82" s="93">
        <f t="shared" si="60"/>
        <v>0</v>
      </c>
      <c r="AJ82" s="93">
        <f t="shared" si="60"/>
        <v>0</v>
      </c>
      <c r="AK82" s="93">
        <f t="shared" si="60"/>
        <v>0</v>
      </c>
      <c r="AL82" s="93">
        <f t="shared" si="60"/>
        <v>0</v>
      </c>
      <c r="AM82" s="93">
        <f t="shared" si="60"/>
        <v>0</v>
      </c>
      <c r="AN82" s="93">
        <f t="shared" si="60"/>
        <v>0</v>
      </c>
      <c r="AO82" s="93">
        <f t="shared" si="60"/>
        <v>0</v>
      </c>
      <c r="AP82" s="93">
        <f t="shared" si="60"/>
        <v>0</v>
      </c>
      <c r="AQ82" s="93">
        <f t="shared" si="60"/>
        <v>0</v>
      </c>
      <c r="AR82" s="93">
        <f t="shared" si="60"/>
        <v>0</v>
      </c>
      <c r="AS82" s="93">
        <f t="shared" si="60"/>
        <v>0</v>
      </c>
      <c r="AT82" s="93">
        <f t="shared" si="60"/>
        <v>0</v>
      </c>
      <c r="AU82" s="93">
        <f t="shared" si="60"/>
        <v>0</v>
      </c>
      <c r="AV82" s="93">
        <f t="shared" si="60"/>
        <v>0</v>
      </c>
      <c r="AW82" s="93">
        <f t="shared" si="60"/>
        <v>0</v>
      </c>
      <c r="AX82" s="93">
        <f t="shared" si="60"/>
        <v>0</v>
      </c>
      <c r="AY82" s="93">
        <f t="shared" si="60"/>
        <v>0</v>
      </c>
      <c r="AZ82" s="93">
        <f t="shared" si="60"/>
        <v>0</v>
      </c>
      <c r="BA82" s="93">
        <f t="shared" si="60"/>
        <v>0</v>
      </c>
      <c r="BB82" s="93">
        <f t="shared" si="60"/>
        <v>0</v>
      </c>
      <c r="BC82" s="93">
        <f t="shared" si="60"/>
        <v>0</v>
      </c>
      <c r="BD82" s="93">
        <f t="shared" si="60"/>
        <v>0</v>
      </c>
      <c r="BE82" s="93">
        <f t="shared" si="60"/>
        <v>0</v>
      </c>
      <c r="BF82" s="93">
        <f t="shared" si="60"/>
        <v>0</v>
      </c>
      <c r="BG82" s="93">
        <f t="shared" si="60"/>
        <v>0</v>
      </c>
      <c r="BH82" s="93">
        <f t="shared" si="60"/>
        <v>0</v>
      </c>
      <c r="BI82" s="93">
        <f t="shared" si="60"/>
        <v>0</v>
      </c>
      <c r="BJ82" s="93">
        <f t="shared" si="60"/>
        <v>0</v>
      </c>
      <c r="BK82" s="93">
        <f t="shared" si="60"/>
        <v>0</v>
      </c>
      <c r="BL82" s="93">
        <f t="shared" si="60"/>
        <v>0</v>
      </c>
      <c r="BM82" s="93">
        <f t="shared" si="60"/>
        <v>0</v>
      </c>
      <c r="BN82" s="93">
        <f t="shared" si="60"/>
        <v>0</v>
      </c>
      <c r="BO82" s="93">
        <f t="shared" si="60"/>
        <v>0</v>
      </c>
      <c r="BP82" s="93">
        <f t="shared" si="60"/>
        <v>0</v>
      </c>
      <c r="BQ82" s="93">
        <f t="shared" si="60"/>
        <v>0</v>
      </c>
      <c r="BR82" s="93">
        <f t="shared" si="60"/>
        <v>0</v>
      </c>
      <c r="BS82" s="93">
        <f t="shared" si="60"/>
        <v>0</v>
      </c>
      <c r="BT82" s="93">
        <f t="shared" si="60"/>
        <v>0</v>
      </c>
      <c r="BU82" s="93">
        <f t="shared" si="60"/>
        <v>0</v>
      </c>
      <c r="BV82" s="93">
        <f t="shared" si="60"/>
        <v>0</v>
      </c>
      <c r="BW82" s="93">
        <f t="shared" si="60"/>
        <v>0</v>
      </c>
      <c r="BX82" s="93">
        <f t="shared" si="60"/>
        <v>0</v>
      </c>
      <c r="BY82" s="93">
        <f t="shared" si="60"/>
        <v>0</v>
      </c>
      <c r="BZ82" s="93">
        <f t="shared" si="60"/>
        <v>0</v>
      </c>
      <c r="CA82" s="93">
        <f t="shared" si="60"/>
        <v>0</v>
      </c>
    </row>
    <row r="83" hidden="1" outlineLevel="1">
      <c r="A83" s="47"/>
      <c r="B83" s="98" t="s">
        <v>57</v>
      </c>
      <c r="C83" s="95">
        <v>0.0</v>
      </c>
      <c r="D83" s="96">
        <v>0.2</v>
      </c>
      <c r="E83" s="97">
        <v>44075.0</v>
      </c>
      <c r="H83" s="93"/>
      <c r="I83" s="93"/>
      <c r="J83" s="93"/>
      <c r="K83" s="93"/>
      <c r="L83" s="93"/>
      <c r="M83" s="93"/>
      <c r="N83" s="93"/>
      <c r="O83" s="93"/>
      <c r="P83" s="93"/>
      <c r="Q83" s="93"/>
      <c r="R83" s="93"/>
      <c r="S83" s="93"/>
      <c r="T83" s="93">
        <f t="shared" ref="T83:CA83" si="61">IF(T$4&gt;=$E83,($C83/12)*(1+$D83),0)</f>
        <v>0</v>
      </c>
      <c r="U83" s="93">
        <f t="shared" si="61"/>
        <v>0</v>
      </c>
      <c r="V83" s="93">
        <f t="shared" si="61"/>
        <v>0</v>
      </c>
      <c r="W83" s="93">
        <f t="shared" si="61"/>
        <v>0</v>
      </c>
      <c r="X83" s="93">
        <f t="shared" si="61"/>
        <v>0</v>
      </c>
      <c r="Y83" s="93">
        <f t="shared" si="61"/>
        <v>0</v>
      </c>
      <c r="Z83" s="93">
        <f t="shared" si="61"/>
        <v>0</v>
      </c>
      <c r="AA83" s="93">
        <f t="shared" si="61"/>
        <v>0</v>
      </c>
      <c r="AB83" s="93">
        <f t="shared" si="61"/>
        <v>0</v>
      </c>
      <c r="AC83" s="93">
        <f t="shared" si="61"/>
        <v>0</v>
      </c>
      <c r="AD83" s="93">
        <f t="shared" si="61"/>
        <v>0</v>
      </c>
      <c r="AE83" s="93">
        <f t="shared" si="61"/>
        <v>0</v>
      </c>
      <c r="AF83" s="93">
        <f t="shared" si="61"/>
        <v>0</v>
      </c>
      <c r="AG83" s="93">
        <f t="shared" si="61"/>
        <v>0</v>
      </c>
      <c r="AH83" s="93">
        <f t="shared" si="61"/>
        <v>0</v>
      </c>
      <c r="AI83" s="93">
        <f t="shared" si="61"/>
        <v>0</v>
      </c>
      <c r="AJ83" s="93">
        <f t="shared" si="61"/>
        <v>0</v>
      </c>
      <c r="AK83" s="93">
        <f t="shared" si="61"/>
        <v>0</v>
      </c>
      <c r="AL83" s="93">
        <f t="shared" si="61"/>
        <v>0</v>
      </c>
      <c r="AM83" s="93">
        <f t="shared" si="61"/>
        <v>0</v>
      </c>
      <c r="AN83" s="93">
        <f t="shared" si="61"/>
        <v>0</v>
      </c>
      <c r="AO83" s="93">
        <f t="shared" si="61"/>
        <v>0</v>
      </c>
      <c r="AP83" s="93">
        <f t="shared" si="61"/>
        <v>0</v>
      </c>
      <c r="AQ83" s="93">
        <f t="shared" si="61"/>
        <v>0</v>
      </c>
      <c r="AR83" s="93">
        <f t="shared" si="61"/>
        <v>0</v>
      </c>
      <c r="AS83" s="93">
        <f t="shared" si="61"/>
        <v>0</v>
      </c>
      <c r="AT83" s="93">
        <f t="shared" si="61"/>
        <v>0</v>
      </c>
      <c r="AU83" s="93">
        <f t="shared" si="61"/>
        <v>0</v>
      </c>
      <c r="AV83" s="93">
        <f t="shared" si="61"/>
        <v>0</v>
      </c>
      <c r="AW83" s="93">
        <f t="shared" si="61"/>
        <v>0</v>
      </c>
      <c r="AX83" s="93">
        <f t="shared" si="61"/>
        <v>0</v>
      </c>
      <c r="AY83" s="93">
        <f t="shared" si="61"/>
        <v>0</v>
      </c>
      <c r="AZ83" s="93">
        <f t="shared" si="61"/>
        <v>0</v>
      </c>
      <c r="BA83" s="93">
        <f t="shared" si="61"/>
        <v>0</v>
      </c>
      <c r="BB83" s="93">
        <f t="shared" si="61"/>
        <v>0</v>
      </c>
      <c r="BC83" s="93">
        <f t="shared" si="61"/>
        <v>0</v>
      </c>
      <c r="BD83" s="93">
        <f t="shared" si="61"/>
        <v>0</v>
      </c>
      <c r="BE83" s="93">
        <f t="shared" si="61"/>
        <v>0</v>
      </c>
      <c r="BF83" s="93">
        <f t="shared" si="61"/>
        <v>0</v>
      </c>
      <c r="BG83" s="93">
        <f t="shared" si="61"/>
        <v>0</v>
      </c>
      <c r="BH83" s="93">
        <f t="shared" si="61"/>
        <v>0</v>
      </c>
      <c r="BI83" s="93">
        <f t="shared" si="61"/>
        <v>0</v>
      </c>
      <c r="BJ83" s="93">
        <f t="shared" si="61"/>
        <v>0</v>
      </c>
      <c r="BK83" s="93">
        <f t="shared" si="61"/>
        <v>0</v>
      </c>
      <c r="BL83" s="93">
        <f t="shared" si="61"/>
        <v>0</v>
      </c>
      <c r="BM83" s="93">
        <f t="shared" si="61"/>
        <v>0</v>
      </c>
      <c r="BN83" s="93">
        <f t="shared" si="61"/>
        <v>0</v>
      </c>
      <c r="BO83" s="93">
        <f t="shared" si="61"/>
        <v>0</v>
      </c>
      <c r="BP83" s="93">
        <f t="shared" si="61"/>
        <v>0</v>
      </c>
      <c r="BQ83" s="93">
        <f t="shared" si="61"/>
        <v>0</v>
      </c>
      <c r="BR83" s="93">
        <f t="shared" si="61"/>
        <v>0</v>
      </c>
      <c r="BS83" s="93">
        <f t="shared" si="61"/>
        <v>0</v>
      </c>
      <c r="BT83" s="93">
        <f t="shared" si="61"/>
        <v>0</v>
      </c>
      <c r="BU83" s="93">
        <f t="shared" si="61"/>
        <v>0</v>
      </c>
      <c r="BV83" s="93">
        <f t="shared" si="61"/>
        <v>0</v>
      </c>
      <c r="BW83" s="93">
        <f t="shared" si="61"/>
        <v>0</v>
      </c>
      <c r="BX83" s="93">
        <f t="shared" si="61"/>
        <v>0</v>
      </c>
      <c r="BY83" s="93">
        <f t="shared" si="61"/>
        <v>0</v>
      </c>
      <c r="BZ83" s="93">
        <f t="shared" si="61"/>
        <v>0</v>
      </c>
      <c r="CA83" s="93">
        <f t="shared" si="61"/>
        <v>0</v>
      </c>
    </row>
    <row r="84" hidden="1" outlineLevel="1">
      <c r="A84" s="47"/>
      <c r="B84" s="98" t="s">
        <v>58</v>
      </c>
      <c r="C84" s="95">
        <v>0.0</v>
      </c>
      <c r="D84" s="96">
        <v>0.2</v>
      </c>
      <c r="E84" s="97">
        <v>43831.0</v>
      </c>
      <c r="H84" s="93"/>
      <c r="I84" s="93"/>
      <c r="J84" s="93"/>
      <c r="K84" s="93"/>
      <c r="L84" s="93"/>
      <c r="M84" s="93"/>
      <c r="N84" s="93"/>
      <c r="O84" s="93"/>
      <c r="P84" s="93"/>
      <c r="Q84" s="93"/>
      <c r="R84" s="93"/>
      <c r="S84" s="93"/>
      <c r="T84" s="93">
        <f t="shared" ref="T84:CA84" si="62">IF(T$4&gt;=$E84,($C84/12)*(1+$D84),0)</f>
        <v>0</v>
      </c>
      <c r="U84" s="93">
        <f t="shared" si="62"/>
        <v>0</v>
      </c>
      <c r="V84" s="93">
        <f t="shared" si="62"/>
        <v>0</v>
      </c>
      <c r="W84" s="93">
        <f t="shared" si="62"/>
        <v>0</v>
      </c>
      <c r="X84" s="93">
        <f t="shared" si="62"/>
        <v>0</v>
      </c>
      <c r="Y84" s="93">
        <f t="shared" si="62"/>
        <v>0</v>
      </c>
      <c r="Z84" s="93">
        <f t="shared" si="62"/>
        <v>0</v>
      </c>
      <c r="AA84" s="93">
        <f t="shared" si="62"/>
        <v>0</v>
      </c>
      <c r="AB84" s="93">
        <f t="shared" si="62"/>
        <v>0</v>
      </c>
      <c r="AC84" s="93">
        <f t="shared" si="62"/>
        <v>0</v>
      </c>
      <c r="AD84" s="93">
        <f t="shared" si="62"/>
        <v>0</v>
      </c>
      <c r="AE84" s="93">
        <f t="shared" si="62"/>
        <v>0</v>
      </c>
      <c r="AF84" s="93">
        <f t="shared" si="62"/>
        <v>0</v>
      </c>
      <c r="AG84" s="93">
        <f t="shared" si="62"/>
        <v>0</v>
      </c>
      <c r="AH84" s="93">
        <f t="shared" si="62"/>
        <v>0</v>
      </c>
      <c r="AI84" s="93">
        <f t="shared" si="62"/>
        <v>0</v>
      </c>
      <c r="AJ84" s="93">
        <f t="shared" si="62"/>
        <v>0</v>
      </c>
      <c r="AK84" s="93">
        <f t="shared" si="62"/>
        <v>0</v>
      </c>
      <c r="AL84" s="93">
        <f t="shared" si="62"/>
        <v>0</v>
      </c>
      <c r="AM84" s="93">
        <f t="shared" si="62"/>
        <v>0</v>
      </c>
      <c r="AN84" s="93">
        <f t="shared" si="62"/>
        <v>0</v>
      </c>
      <c r="AO84" s="93">
        <f t="shared" si="62"/>
        <v>0</v>
      </c>
      <c r="AP84" s="93">
        <f t="shared" si="62"/>
        <v>0</v>
      </c>
      <c r="AQ84" s="93">
        <f t="shared" si="62"/>
        <v>0</v>
      </c>
      <c r="AR84" s="93">
        <f t="shared" si="62"/>
        <v>0</v>
      </c>
      <c r="AS84" s="93">
        <f t="shared" si="62"/>
        <v>0</v>
      </c>
      <c r="AT84" s="93">
        <f t="shared" si="62"/>
        <v>0</v>
      </c>
      <c r="AU84" s="93">
        <f t="shared" si="62"/>
        <v>0</v>
      </c>
      <c r="AV84" s="93">
        <f t="shared" si="62"/>
        <v>0</v>
      </c>
      <c r="AW84" s="93">
        <f t="shared" si="62"/>
        <v>0</v>
      </c>
      <c r="AX84" s="93">
        <f t="shared" si="62"/>
        <v>0</v>
      </c>
      <c r="AY84" s="93">
        <f t="shared" si="62"/>
        <v>0</v>
      </c>
      <c r="AZ84" s="93">
        <f t="shared" si="62"/>
        <v>0</v>
      </c>
      <c r="BA84" s="93">
        <f t="shared" si="62"/>
        <v>0</v>
      </c>
      <c r="BB84" s="93">
        <f t="shared" si="62"/>
        <v>0</v>
      </c>
      <c r="BC84" s="93">
        <f t="shared" si="62"/>
        <v>0</v>
      </c>
      <c r="BD84" s="93">
        <f t="shared" si="62"/>
        <v>0</v>
      </c>
      <c r="BE84" s="93">
        <f t="shared" si="62"/>
        <v>0</v>
      </c>
      <c r="BF84" s="93">
        <f t="shared" si="62"/>
        <v>0</v>
      </c>
      <c r="BG84" s="93">
        <f t="shared" si="62"/>
        <v>0</v>
      </c>
      <c r="BH84" s="93">
        <f t="shared" si="62"/>
        <v>0</v>
      </c>
      <c r="BI84" s="93">
        <f t="shared" si="62"/>
        <v>0</v>
      </c>
      <c r="BJ84" s="93">
        <f t="shared" si="62"/>
        <v>0</v>
      </c>
      <c r="BK84" s="93">
        <f t="shared" si="62"/>
        <v>0</v>
      </c>
      <c r="BL84" s="93">
        <f t="shared" si="62"/>
        <v>0</v>
      </c>
      <c r="BM84" s="93">
        <f t="shared" si="62"/>
        <v>0</v>
      </c>
      <c r="BN84" s="93">
        <f t="shared" si="62"/>
        <v>0</v>
      </c>
      <c r="BO84" s="93">
        <f t="shared" si="62"/>
        <v>0</v>
      </c>
      <c r="BP84" s="93">
        <f t="shared" si="62"/>
        <v>0</v>
      </c>
      <c r="BQ84" s="93">
        <f t="shared" si="62"/>
        <v>0</v>
      </c>
      <c r="BR84" s="93">
        <f t="shared" si="62"/>
        <v>0</v>
      </c>
      <c r="BS84" s="93">
        <f t="shared" si="62"/>
        <v>0</v>
      </c>
      <c r="BT84" s="93">
        <f t="shared" si="62"/>
        <v>0</v>
      </c>
      <c r="BU84" s="93">
        <f t="shared" si="62"/>
        <v>0</v>
      </c>
      <c r="BV84" s="93">
        <f t="shared" si="62"/>
        <v>0</v>
      </c>
      <c r="BW84" s="93">
        <f t="shared" si="62"/>
        <v>0</v>
      </c>
      <c r="BX84" s="93">
        <f t="shared" si="62"/>
        <v>0</v>
      </c>
      <c r="BY84" s="93">
        <f t="shared" si="62"/>
        <v>0</v>
      </c>
      <c r="BZ84" s="93">
        <f t="shared" si="62"/>
        <v>0</v>
      </c>
      <c r="CA84" s="93">
        <f t="shared" si="62"/>
        <v>0</v>
      </c>
    </row>
    <row r="85" hidden="1" outlineLevel="1">
      <c r="A85" s="47"/>
      <c r="B85" s="98" t="s">
        <v>59</v>
      </c>
      <c r="C85" s="95">
        <v>0.0</v>
      </c>
      <c r="D85" s="96">
        <v>0.2</v>
      </c>
      <c r="E85" s="97">
        <v>43891.0</v>
      </c>
      <c r="H85" s="93"/>
      <c r="I85" s="93"/>
      <c r="J85" s="93"/>
      <c r="K85" s="93"/>
      <c r="L85" s="93"/>
      <c r="M85" s="93"/>
      <c r="N85" s="93"/>
      <c r="O85" s="93"/>
      <c r="P85" s="93"/>
      <c r="Q85" s="93"/>
      <c r="R85" s="93"/>
      <c r="S85" s="93"/>
      <c r="T85" s="93">
        <f t="shared" ref="T85:CA85" si="63">IF(T$4&gt;=$E85,($C85/12)*(1+$D85),0)</f>
        <v>0</v>
      </c>
      <c r="U85" s="93">
        <f t="shared" si="63"/>
        <v>0</v>
      </c>
      <c r="V85" s="93">
        <f t="shared" si="63"/>
        <v>0</v>
      </c>
      <c r="W85" s="93">
        <f t="shared" si="63"/>
        <v>0</v>
      </c>
      <c r="X85" s="93">
        <f t="shared" si="63"/>
        <v>0</v>
      </c>
      <c r="Y85" s="93">
        <f t="shared" si="63"/>
        <v>0</v>
      </c>
      <c r="Z85" s="93">
        <f t="shared" si="63"/>
        <v>0</v>
      </c>
      <c r="AA85" s="93">
        <f t="shared" si="63"/>
        <v>0</v>
      </c>
      <c r="AB85" s="93">
        <f t="shared" si="63"/>
        <v>0</v>
      </c>
      <c r="AC85" s="93">
        <f t="shared" si="63"/>
        <v>0</v>
      </c>
      <c r="AD85" s="93">
        <f t="shared" si="63"/>
        <v>0</v>
      </c>
      <c r="AE85" s="93">
        <f t="shared" si="63"/>
        <v>0</v>
      </c>
      <c r="AF85" s="93">
        <f t="shared" si="63"/>
        <v>0</v>
      </c>
      <c r="AG85" s="93">
        <f t="shared" si="63"/>
        <v>0</v>
      </c>
      <c r="AH85" s="93">
        <f t="shared" si="63"/>
        <v>0</v>
      </c>
      <c r="AI85" s="93">
        <f t="shared" si="63"/>
        <v>0</v>
      </c>
      <c r="AJ85" s="93">
        <f t="shared" si="63"/>
        <v>0</v>
      </c>
      <c r="AK85" s="93">
        <f t="shared" si="63"/>
        <v>0</v>
      </c>
      <c r="AL85" s="93">
        <f t="shared" si="63"/>
        <v>0</v>
      </c>
      <c r="AM85" s="93">
        <f t="shared" si="63"/>
        <v>0</v>
      </c>
      <c r="AN85" s="93">
        <f t="shared" si="63"/>
        <v>0</v>
      </c>
      <c r="AO85" s="93">
        <f t="shared" si="63"/>
        <v>0</v>
      </c>
      <c r="AP85" s="93">
        <f t="shared" si="63"/>
        <v>0</v>
      </c>
      <c r="AQ85" s="93">
        <f t="shared" si="63"/>
        <v>0</v>
      </c>
      <c r="AR85" s="93">
        <f t="shared" si="63"/>
        <v>0</v>
      </c>
      <c r="AS85" s="93">
        <f t="shared" si="63"/>
        <v>0</v>
      </c>
      <c r="AT85" s="93">
        <f t="shared" si="63"/>
        <v>0</v>
      </c>
      <c r="AU85" s="93">
        <f t="shared" si="63"/>
        <v>0</v>
      </c>
      <c r="AV85" s="93">
        <f t="shared" si="63"/>
        <v>0</v>
      </c>
      <c r="AW85" s="93">
        <f t="shared" si="63"/>
        <v>0</v>
      </c>
      <c r="AX85" s="93">
        <f t="shared" si="63"/>
        <v>0</v>
      </c>
      <c r="AY85" s="93">
        <f t="shared" si="63"/>
        <v>0</v>
      </c>
      <c r="AZ85" s="93">
        <f t="shared" si="63"/>
        <v>0</v>
      </c>
      <c r="BA85" s="93">
        <f t="shared" si="63"/>
        <v>0</v>
      </c>
      <c r="BB85" s="93">
        <f t="shared" si="63"/>
        <v>0</v>
      </c>
      <c r="BC85" s="93">
        <f t="shared" si="63"/>
        <v>0</v>
      </c>
      <c r="BD85" s="93">
        <f t="shared" si="63"/>
        <v>0</v>
      </c>
      <c r="BE85" s="93">
        <f t="shared" si="63"/>
        <v>0</v>
      </c>
      <c r="BF85" s="93">
        <f t="shared" si="63"/>
        <v>0</v>
      </c>
      <c r="BG85" s="93">
        <f t="shared" si="63"/>
        <v>0</v>
      </c>
      <c r="BH85" s="93">
        <f t="shared" si="63"/>
        <v>0</v>
      </c>
      <c r="BI85" s="93">
        <f t="shared" si="63"/>
        <v>0</v>
      </c>
      <c r="BJ85" s="93">
        <f t="shared" si="63"/>
        <v>0</v>
      </c>
      <c r="BK85" s="93">
        <f t="shared" si="63"/>
        <v>0</v>
      </c>
      <c r="BL85" s="93">
        <f t="shared" si="63"/>
        <v>0</v>
      </c>
      <c r="BM85" s="93">
        <f t="shared" si="63"/>
        <v>0</v>
      </c>
      <c r="BN85" s="93">
        <f t="shared" si="63"/>
        <v>0</v>
      </c>
      <c r="BO85" s="93">
        <f t="shared" si="63"/>
        <v>0</v>
      </c>
      <c r="BP85" s="93">
        <f t="shared" si="63"/>
        <v>0</v>
      </c>
      <c r="BQ85" s="93">
        <f t="shared" si="63"/>
        <v>0</v>
      </c>
      <c r="BR85" s="93">
        <f t="shared" si="63"/>
        <v>0</v>
      </c>
      <c r="BS85" s="93">
        <f t="shared" si="63"/>
        <v>0</v>
      </c>
      <c r="BT85" s="93">
        <f t="shared" si="63"/>
        <v>0</v>
      </c>
      <c r="BU85" s="93">
        <f t="shared" si="63"/>
        <v>0</v>
      </c>
      <c r="BV85" s="93">
        <f t="shared" si="63"/>
        <v>0</v>
      </c>
      <c r="BW85" s="93">
        <f t="shared" si="63"/>
        <v>0</v>
      </c>
      <c r="BX85" s="93">
        <f t="shared" si="63"/>
        <v>0</v>
      </c>
      <c r="BY85" s="93">
        <f t="shared" si="63"/>
        <v>0</v>
      </c>
      <c r="BZ85" s="93">
        <f t="shared" si="63"/>
        <v>0</v>
      </c>
      <c r="CA85" s="93">
        <f t="shared" si="63"/>
        <v>0</v>
      </c>
    </row>
    <row r="86" hidden="1" outlineLevel="1">
      <c r="A86" s="47"/>
      <c r="B86" s="98" t="s">
        <v>60</v>
      </c>
      <c r="C86" s="95">
        <v>0.0</v>
      </c>
      <c r="D86" s="96">
        <v>0.2</v>
      </c>
      <c r="E86" s="97">
        <v>43983.0</v>
      </c>
      <c r="H86" s="93"/>
      <c r="I86" s="93"/>
      <c r="J86" s="93"/>
      <c r="K86" s="93"/>
      <c r="L86" s="93"/>
      <c r="M86" s="93"/>
      <c r="N86" s="93"/>
      <c r="O86" s="93"/>
      <c r="P86" s="93"/>
      <c r="Q86" s="93"/>
      <c r="R86" s="93"/>
      <c r="S86" s="93"/>
      <c r="T86" s="93">
        <f t="shared" ref="T86:CA86" si="64">IF(T$4&gt;=$E86,($C86/12)*(1+$D86),0)</f>
        <v>0</v>
      </c>
      <c r="U86" s="93">
        <f t="shared" si="64"/>
        <v>0</v>
      </c>
      <c r="V86" s="93">
        <f t="shared" si="64"/>
        <v>0</v>
      </c>
      <c r="W86" s="93">
        <f t="shared" si="64"/>
        <v>0</v>
      </c>
      <c r="X86" s="93">
        <f t="shared" si="64"/>
        <v>0</v>
      </c>
      <c r="Y86" s="93">
        <f t="shared" si="64"/>
        <v>0</v>
      </c>
      <c r="Z86" s="93">
        <f t="shared" si="64"/>
        <v>0</v>
      </c>
      <c r="AA86" s="93">
        <f t="shared" si="64"/>
        <v>0</v>
      </c>
      <c r="AB86" s="93">
        <f t="shared" si="64"/>
        <v>0</v>
      </c>
      <c r="AC86" s="93">
        <f t="shared" si="64"/>
        <v>0</v>
      </c>
      <c r="AD86" s="93">
        <f t="shared" si="64"/>
        <v>0</v>
      </c>
      <c r="AE86" s="93">
        <f t="shared" si="64"/>
        <v>0</v>
      </c>
      <c r="AF86" s="93">
        <f t="shared" si="64"/>
        <v>0</v>
      </c>
      <c r="AG86" s="93">
        <f t="shared" si="64"/>
        <v>0</v>
      </c>
      <c r="AH86" s="93">
        <f t="shared" si="64"/>
        <v>0</v>
      </c>
      <c r="AI86" s="93">
        <f t="shared" si="64"/>
        <v>0</v>
      </c>
      <c r="AJ86" s="93">
        <f t="shared" si="64"/>
        <v>0</v>
      </c>
      <c r="AK86" s="93">
        <f t="shared" si="64"/>
        <v>0</v>
      </c>
      <c r="AL86" s="93">
        <f t="shared" si="64"/>
        <v>0</v>
      </c>
      <c r="AM86" s="93">
        <f t="shared" si="64"/>
        <v>0</v>
      </c>
      <c r="AN86" s="93">
        <f t="shared" si="64"/>
        <v>0</v>
      </c>
      <c r="AO86" s="93">
        <f t="shared" si="64"/>
        <v>0</v>
      </c>
      <c r="AP86" s="93">
        <f t="shared" si="64"/>
        <v>0</v>
      </c>
      <c r="AQ86" s="93">
        <f t="shared" si="64"/>
        <v>0</v>
      </c>
      <c r="AR86" s="93">
        <f t="shared" si="64"/>
        <v>0</v>
      </c>
      <c r="AS86" s="93">
        <f t="shared" si="64"/>
        <v>0</v>
      </c>
      <c r="AT86" s="93">
        <f t="shared" si="64"/>
        <v>0</v>
      </c>
      <c r="AU86" s="93">
        <f t="shared" si="64"/>
        <v>0</v>
      </c>
      <c r="AV86" s="93">
        <f t="shared" si="64"/>
        <v>0</v>
      </c>
      <c r="AW86" s="93">
        <f t="shared" si="64"/>
        <v>0</v>
      </c>
      <c r="AX86" s="93">
        <f t="shared" si="64"/>
        <v>0</v>
      </c>
      <c r="AY86" s="93">
        <f t="shared" si="64"/>
        <v>0</v>
      </c>
      <c r="AZ86" s="93">
        <f t="shared" si="64"/>
        <v>0</v>
      </c>
      <c r="BA86" s="93">
        <f t="shared" si="64"/>
        <v>0</v>
      </c>
      <c r="BB86" s="93">
        <f t="shared" si="64"/>
        <v>0</v>
      </c>
      <c r="BC86" s="93">
        <f t="shared" si="64"/>
        <v>0</v>
      </c>
      <c r="BD86" s="93">
        <f t="shared" si="64"/>
        <v>0</v>
      </c>
      <c r="BE86" s="93">
        <f t="shared" si="64"/>
        <v>0</v>
      </c>
      <c r="BF86" s="93">
        <f t="shared" si="64"/>
        <v>0</v>
      </c>
      <c r="BG86" s="93">
        <f t="shared" si="64"/>
        <v>0</v>
      </c>
      <c r="BH86" s="93">
        <f t="shared" si="64"/>
        <v>0</v>
      </c>
      <c r="BI86" s="93">
        <f t="shared" si="64"/>
        <v>0</v>
      </c>
      <c r="BJ86" s="93">
        <f t="shared" si="64"/>
        <v>0</v>
      </c>
      <c r="BK86" s="93">
        <f t="shared" si="64"/>
        <v>0</v>
      </c>
      <c r="BL86" s="93">
        <f t="shared" si="64"/>
        <v>0</v>
      </c>
      <c r="BM86" s="93">
        <f t="shared" si="64"/>
        <v>0</v>
      </c>
      <c r="BN86" s="93">
        <f t="shared" si="64"/>
        <v>0</v>
      </c>
      <c r="BO86" s="93">
        <f t="shared" si="64"/>
        <v>0</v>
      </c>
      <c r="BP86" s="93">
        <f t="shared" si="64"/>
        <v>0</v>
      </c>
      <c r="BQ86" s="93">
        <f t="shared" si="64"/>
        <v>0</v>
      </c>
      <c r="BR86" s="93">
        <f t="shared" si="64"/>
        <v>0</v>
      </c>
      <c r="BS86" s="93">
        <f t="shared" si="64"/>
        <v>0</v>
      </c>
      <c r="BT86" s="93">
        <f t="shared" si="64"/>
        <v>0</v>
      </c>
      <c r="BU86" s="93">
        <f t="shared" si="64"/>
        <v>0</v>
      </c>
      <c r="BV86" s="93">
        <f t="shared" si="64"/>
        <v>0</v>
      </c>
      <c r="BW86" s="93">
        <f t="shared" si="64"/>
        <v>0</v>
      </c>
      <c r="BX86" s="93">
        <f t="shared" si="64"/>
        <v>0</v>
      </c>
      <c r="BY86" s="93">
        <f t="shared" si="64"/>
        <v>0</v>
      </c>
      <c r="BZ86" s="93">
        <f t="shared" si="64"/>
        <v>0</v>
      </c>
      <c r="CA86" s="93">
        <f t="shared" si="64"/>
        <v>0</v>
      </c>
    </row>
    <row r="87" hidden="1" outlineLevel="1">
      <c r="A87" s="47"/>
      <c r="B87" s="98" t="s">
        <v>61</v>
      </c>
      <c r="C87" s="95">
        <v>0.0</v>
      </c>
      <c r="D87" s="96">
        <v>0.2</v>
      </c>
      <c r="E87" s="97">
        <v>44075.0</v>
      </c>
      <c r="H87" s="93"/>
      <c r="I87" s="93"/>
      <c r="J87" s="93"/>
      <c r="K87" s="93"/>
      <c r="L87" s="93"/>
      <c r="M87" s="93"/>
      <c r="N87" s="93"/>
      <c r="O87" s="93"/>
      <c r="P87" s="93"/>
      <c r="Q87" s="93"/>
      <c r="R87" s="93"/>
      <c r="S87" s="93"/>
      <c r="T87" s="93">
        <f t="shared" ref="T87:CA87" si="65">IF(T$4&gt;=$E87,($C87/12)*(1+$D87),0)</f>
        <v>0</v>
      </c>
      <c r="U87" s="93">
        <f t="shared" si="65"/>
        <v>0</v>
      </c>
      <c r="V87" s="93">
        <f t="shared" si="65"/>
        <v>0</v>
      </c>
      <c r="W87" s="93">
        <f t="shared" si="65"/>
        <v>0</v>
      </c>
      <c r="X87" s="93">
        <f t="shared" si="65"/>
        <v>0</v>
      </c>
      <c r="Y87" s="93">
        <f t="shared" si="65"/>
        <v>0</v>
      </c>
      <c r="Z87" s="93">
        <f t="shared" si="65"/>
        <v>0</v>
      </c>
      <c r="AA87" s="93">
        <f t="shared" si="65"/>
        <v>0</v>
      </c>
      <c r="AB87" s="93">
        <f t="shared" si="65"/>
        <v>0</v>
      </c>
      <c r="AC87" s="93">
        <f t="shared" si="65"/>
        <v>0</v>
      </c>
      <c r="AD87" s="93">
        <f t="shared" si="65"/>
        <v>0</v>
      </c>
      <c r="AE87" s="93">
        <f t="shared" si="65"/>
        <v>0</v>
      </c>
      <c r="AF87" s="93">
        <f t="shared" si="65"/>
        <v>0</v>
      </c>
      <c r="AG87" s="93">
        <f t="shared" si="65"/>
        <v>0</v>
      </c>
      <c r="AH87" s="93">
        <f t="shared" si="65"/>
        <v>0</v>
      </c>
      <c r="AI87" s="93">
        <f t="shared" si="65"/>
        <v>0</v>
      </c>
      <c r="AJ87" s="93">
        <f t="shared" si="65"/>
        <v>0</v>
      </c>
      <c r="AK87" s="93">
        <f t="shared" si="65"/>
        <v>0</v>
      </c>
      <c r="AL87" s="93">
        <f t="shared" si="65"/>
        <v>0</v>
      </c>
      <c r="AM87" s="93">
        <f t="shared" si="65"/>
        <v>0</v>
      </c>
      <c r="AN87" s="93">
        <f t="shared" si="65"/>
        <v>0</v>
      </c>
      <c r="AO87" s="93">
        <f t="shared" si="65"/>
        <v>0</v>
      </c>
      <c r="AP87" s="93">
        <f t="shared" si="65"/>
        <v>0</v>
      </c>
      <c r="AQ87" s="93">
        <f t="shared" si="65"/>
        <v>0</v>
      </c>
      <c r="AR87" s="93">
        <f t="shared" si="65"/>
        <v>0</v>
      </c>
      <c r="AS87" s="93">
        <f t="shared" si="65"/>
        <v>0</v>
      </c>
      <c r="AT87" s="93">
        <f t="shared" si="65"/>
        <v>0</v>
      </c>
      <c r="AU87" s="93">
        <f t="shared" si="65"/>
        <v>0</v>
      </c>
      <c r="AV87" s="93">
        <f t="shared" si="65"/>
        <v>0</v>
      </c>
      <c r="AW87" s="93">
        <f t="shared" si="65"/>
        <v>0</v>
      </c>
      <c r="AX87" s="93">
        <f t="shared" si="65"/>
        <v>0</v>
      </c>
      <c r="AY87" s="93">
        <f t="shared" si="65"/>
        <v>0</v>
      </c>
      <c r="AZ87" s="93">
        <f t="shared" si="65"/>
        <v>0</v>
      </c>
      <c r="BA87" s="93">
        <f t="shared" si="65"/>
        <v>0</v>
      </c>
      <c r="BB87" s="93">
        <f t="shared" si="65"/>
        <v>0</v>
      </c>
      <c r="BC87" s="93">
        <f t="shared" si="65"/>
        <v>0</v>
      </c>
      <c r="BD87" s="93">
        <f t="shared" si="65"/>
        <v>0</v>
      </c>
      <c r="BE87" s="93">
        <f t="shared" si="65"/>
        <v>0</v>
      </c>
      <c r="BF87" s="93">
        <f t="shared" si="65"/>
        <v>0</v>
      </c>
      <c r="BG87" s="93">
        <f t="shared" si="65"/>
        <v>0</v>
      </c>
      <c r="BH87" s="93">
        <f t="shared" si="65"/>
        <v>0</v>
      </c>
      <c r="BI87" s="93">
        <f t="shared" si="65"/>
        <v>0</v>
      </c>
      <c r="BJ87" s="93">
        <f t="shared" si="65"/>
        <v>0</v>
      </c>
      <c r="BK87" s="93">
        <f t="shared" si="65"/>
        <v>0</v>
      </c>
      <c r="BL87" s="93">
        <f t="shared" si="65"/>
        <v>0</v>
      </c>
      <c r="BM87" s="93">
        <f t="shared" si="65"/>
        <v>0</v>
      </c>
      <c r="BN87" s="93">
        <f t="shared" si="65"/>
        <v>0</v>
      </c>
      <c r="BO87" s="93">
        <f t="shared" si="65"/>
        <v>0</v>
      </c>
      <c r="BP87" s="93">
        <f t="shared" si="65"/>
        <v>0</v>
      </c>
      <c r="BQ87" s="93">
        <f t="shared" si="65"/>
        <v>0</v>
      </c>
      <c r="BR87" s="93">
        <f t="shared" si="65"/>
        <v>0</v>
      </c>
      <c r="BS87" s="93">
        <f t="shared" si="65"/>
        <v>0</v>
      </c>
      <c r="BT87" s="93">
        <f t="shared" si="65"/>
        <v>0</v>
      </c>
      <c r="BU87" s="93">
        <f t="shared" si="65"/>
        <v>0</v>
      </c>
      <c r="BV87" s="93">
        <f t="shared" si="65"/>
        <v>0</v>
      </c>
      <c r="BW87" s="93">
        <f t="shared" si="65"/>
        <v>0</v>
      </c>
      <c r="BX87" s="93">
        <f t="shared" si="65"/>
        <v>0</v>
      </c>
      <c r="BY87" s="93">
        <f t="shared" si="65"/>
        <v>0</v>
      </c>
      <c r="BZ87" s="93">
        <f t="shared" si="65"/>
        <v>0</v>
      </c>
      <c r="CA87" s="93">
        <f t="shared" si="65"/>
        <v>0</v>
      </c>
    </row>
    <row r="88" hidden="1" outlineLevel="1">
      <c r="A88" s="47"/>
      <c r="B88" s="98" t="s">
        <v>62</v>
      </c>
      <c r="C88" s="95">
        <v>0.0</v>
      </c>
      <c r="D88" s="96">
        <v>0.2</v>
      </c>
      <c r="E88" s="97">
        <v>44166.0</v>
      </c>
      <c r="H88" s="93"/>
      <c r="I88" s="93"/>
      <c r="J88" s="93"/>
      <c r="K88" s="93"/>
      <c r="L88" s="93"/>
      <c r="M88" s="93"/>
      <c r="N88" s="93"/>
      <c r="O88" s="93"/>
      <c r="P88" s="93"/>
      <c r="Q88" s="93"/>
      <c r="R88" s="93"/>
      <c r="S88" s="93"/>
      <c r="T88" s="93">
        <f t="shared" ref="T88:CA88" si="66">IF(T$4&gt;=$E88,($C88/12)*(1+$D88),0)</f>
        <v>0</v>
      </c>
      <c r="U88" s="93">
        <f t="shared" si="66"/>
        <v>0</v>
      </c>
      <c r="V88" s="93">
        <f t="shared" si="66"/>
        <v>0</v>
      </c>
      <c r="W88" s="93">
        <f t="shared" si="66"/>
        <v>0</v>
      </c>
      <c r="X88" s="93">
        <f t="shared" si="66"/>
        <v>0</v>
      </c>
      <c r="Y88" s="93">
        <f t="shared" si="66"/>
        <v>0</v>
      </c>
      <c r="Z88" s="93">
        <f t="shared" si="66"/>
        <v>0</v>
      </c>
      <c r="AA88" s="93">
        <f t="shared" si="66"/>
        <v>0</v>
      </c>
      <c r="AB88" s="93">
        <f t="shared" si="66"/>
        <v>0</v>
      </c>
      <c r="AC88" s="93">
        <f t="shared" si="66"/>
        <v>0</v>
      </c>
      <c r="AD88" s="93">
        <f t="shared" si="66"/>
        <v>0</v>
      </c>
      <c r="AE88" s="93">
        <f t="shared" si="66"/>
        <v>0</v>
      </c>
      <c r="AF88" s="93">
        <f t="shared" si="66"/>
        <v>0</v>
      </c>
      <c r="AG88" s="93">
        <f t="shared" si="66"/>
        <v>0</v>
      </c>
      <c r="AH88" s="93">
        <f t="shared" si="66"/>
        <v>0</v>
      </c>
      <c r="AI88" s="93">
        <f t="shared" si="66"/>
        <v>0</v>
      </c>
      <c r="AJ88" s="93">
        <f t="shared" si="66"/>
        <v>0</v>
      </c>
      <c r="AK88" s="93">
        <f t="shared" si="66"/>
        <v>0</v>
      </c>
      <c r="AL88" s="93">
        <f t="shared" si="66"/>
        <v>0</v>
      </c>
      <c r="AM88" s="93">
        <f t="shared" si="66"/>
        <v>0</v>
      </c>
      <c r="AN88" s="93">
        <f t="shared" si="66"/>
        <v>0</v>
      </c>
      <c r="AO88" s="93">
        <f t="shared" si="66"/>
        <v>0</v>
      </c>
      <c r="AP88" s="93">
        <f t="shared" si="66"/>
        <v>0</v>
      </c>
      <c r="AQ88" s="93">
        <f t="shared" si="66"/>
        <v>0</v>
      </c>
      <c r="AR88" s="93">
        <f t="shared" si="66"/>
        <v>0</v>
      </c>
      <c r="AS88" s="93">
        <f t="shared" si="66"/>
        <v>0</v>
      </c>
      <c r="AT88" s="93">
        <f t="shared" si="66"/>
        <v>0</v>
      </c>
      <c r="AU88" s="93">
        <f t="shared" si="66"/>
        <v>0</v>
      </c>
      <c r="AV88" s="93">
        <f t="shared" si="66"/>
        <v>0</v>
      </c>
      <c r="AW88" s="93">
        <f t="shared" si="66"/>
        <v>0</v>
      </c>
      <c r="AX88" s="93">
        <f t="shared" si="66"/>
        <v>0</v>
      </c>
      <c r="AY88" s="93">
        <f t="shared" si="66"/>
        <v>0</v>
      </c>
      <c r="AZ88" s="93">
        <f t="shared" si="66"/>
        <v>0</v>
      </c>
      <c r="BA88" s="93">
        <f t="shared" si="66"/>
        <v>0</v>
      </c>
      <c r="BB88" s="93">
        <f t="shared" si="66"/>
        <v>0</v>
      </c>
      <c r="BC88" s="93">
        <f t="shared" si="66"/>
        <v>0</v>
      </c>
      <c r="BD88" s="93">
        <f t="shared" si="66"/>
        <v>0</v>
      </c>
      <c r="BE88" s="93">
        <f t="shared" si="66"/>
        <v>0</v>
      </c>
      <c r="BF88" s="93">
        <f t="shared" si="66"/>
        <v>0</v>
      </c>
      <c r="BG88" s="93">
        <f t="shared" si="66"/>
        <v>0</v>
      </c>
      <c r="BH88" s="93">
        <f t="shared" si="66"/>
        <v>0</v>
      </c>
      <c r="BI88" s="93">
        <f t="shared" si="66"/>
        <v>0</v>
      </c>
      <c r="BJ88" s="93">
        <f t="shared" si="66"/>
        <v>0</v>
      </c>
      <c r="BK88" s="93">
        <f t="shared" si="66"/>
        <v>0</v>
      </c>
      <c r="BL88" s="93">
        <f t="shared" si="66"/>
        <v>0</v>
      </c>
      <c r="BM88" s="93">
        <f t="shared" si="66"/>
        <v>0</v>
      </c>
      <c r="BN88" s="93">
        <f t="shared" si="66"/>
        <v>0</v>
      </c>
      <c r="BO88" s="93">
        <f t="shared" si="66"/>
        <v>0</v>
      </c>
      <c r="BP88" s="93">
        <f t="shared" si="66"/>
        <v>0</v>
      </c>
      <c r="BQ88" s="93">
        <f t="shared" si="66"/>
        <v>0</v>
      </c>
      <c r="BR88" s="93">
        <f t="shared" si="66"/>
        <v>0</v>
      </c>
      <c r="BS88" s="93">
        <f t="shared" si="66"/>
        <v>0</v>
      </c>
      <c r="BT88" s="93">
        <f t="shared" si="66"/>
        <v>0</v>
      </c>
      <c r="BU88" s="93">
        <f t="shared" si="66"/>
        <v>0</v>
      </c>
      <c r="BV88" s="93">
        <f t="shared" si="66"/>
        <v>0</v>
      </c>
      <c r="BW88" s="93">
        <f t="shared" si="66"/>
        <v>0</v>
      </c>
      <c r="BX88" s="93">
        <f t="shared" si="66"/>
        <v>0</v>
      </c>
      <c r="BY88" s="93">
        <f t="shared" si="66"/>
        <v>0</v>
      </c>
      <c r="BZ88" s="93">
        <f t="shared" si="66"/>
        <v>0</v>
      </c>
      <c r="CA88" s="93">
        <f t="shared" si="66"/>
        <v>0</v>
      </c>
    </row>
    <row r="89" hidden="1" outlineLevel="1">
      <c r="A89" s="47"/>
      <c r="B89" s="98" t="s">
        <v>63</v>
      </c>
      <c r="C89" s="95">
        <v>0.0</v>
      </c>
      <c r="D89" s="96">
        <v>0.2</v>
      </c>
      <c r="E89" s="97">
        <v>44256.0</v>
      </c>
      <c r="H89" s="93"/>
      <c r="I89" s="93"/>
      <c r="J89" s="93"/>
      <c r="K89" s="93"/>
      <c r="L89" s="93"/>
      <c r="M89" s="93"/>
      <c r="N89" s="93"/>
      <c r="O89" s="93"/>
      <c r="P89" s="93"/>
      <c r="Q89" s="93"/>
      <c r="R89" s="93"/>
      <c r="S89" s="93"/>
      <c r="T89" s="93">
        <f t="shared" ref="T89:CA89" si="67">IF(T$4&gt;=$E89,($C89/12)*(1+$D89),0)</f>
        <v>0</v>
      </c>
      <c r="U89" s="93">
        <f t="shared" si="67"/>
        <v>0</v>
      </c>
      <c r="V89" s="93">
        <f t="shared" si="67"/>
        <v>0</v>
      </c>
      <c r="W89" s="93">
        <f t="shared" si="67"/>
        <v>0</v>
      </c>
      <c r="X89" s="93">
        <f t="shared" si="67"/>
        <v>0</v>
      </c>
      <c r="Y89" s="93">
        <f t="shared" si="67"/>
        <v>0</v>
      </c>
      <c r="Z89" s="93">
        <f t="shared" si="67"/>
        <v>0</v>
      </c>
      <c r="AA89" s="93">
        <f t="shared" si="67"/>
        <v>0</v>
      </c>
      <c r="AB89" s="93">
        <f t="shared" si="67"/>
        <v>0</v>
      </c>
      <c r="AC89" s="93">
        <f t="shared" si="67"/>
        <v>0</v>
      </c>
      <c r="AD89" s="93">
        <f t="shared" si="67"/>
        <v>0</v>
      </c>
      <c r="AE89" s="93">
        <f t="shared" si="67"/>
        <v>0</v>
      </c>
      <c r="AF89" s="93">
        <f t="shared" si="67"/>
        <v>0</v>
      </c>
      <c r="AG89" s="93">
        <f t="shared" si="67"/>
        <v>0</v>
      </c>
      <c r="AH89" s="93">
        <f t="shared" si="67"/>
        <v>0</v>
      </c>
      <c r="AI89" s="93">
        <f t="shared" si="67"/>
        <v>0</v>
      </c>
      <c r="AJ89" s="93">
        <f t="shared" si="67"/>
        <v>0</v>
      </c>
      <c r="AK89" s="93">
        <f t="shared" si="67"/>
        <v>0</v>
      </c>
      <c r="AL89" s="93">
        <f t="shared" si="67"/>
        <v>0</v>
      </c>
      <c r="AM89" s="93">
        <f t="shared" si="67"/>
        <v>0</v>
      </c>
      <c r="AN89" s="93">
        <f t="shared" si="67"/>
        <v>0</v>
      </c>
      <c r="AO89" s="93">
        <f t="shared" si="67"/>
        <v>0</v>
      </c>
      <c r="AP89" s="93">
        <f t="shared" si="67"/>
        <v>0</v>
      </c>
      <c r="AQ89" s="93">
        <f t="shared" si="67"/>
        <v>0</v>
      </c>
      <c r="AR89" s="93">
        <f t="shared" si="67"/>
        <v>0</v>
      </c>
      <c r="AS89" s="93">
        <f t="shared" si="67"/>
        <v>0</v>
      </c>
      <c r="AT89" s="93">
        <f t="shared" si="67"/>
        <v>0</v>
      </c>
      <c r="AU89" s="93">
        <f t="shared" si="67"/>
        <v>0</v>
      </c>
      <c r="AV89" s="93">
        <f t="shared" si="67"/>
        <v>0</v>
      </c>
      <c r="AW89" s="93">
        <f t="shared" si="67"/>
        <v>0</v>
      </c>
      <c r="AX89" s="93">
        <f t="shared" si="67"/>
        <v>0</v>
      </c>
      <c r="AY89" s="93">
        <f t="shared" si="67"/>
        <v>0</v>
      </c>
      <c r="AZ89" s="93">
        <f t="shared" si="67"/>
        <v>0</v>
      </c>
      <c r="BA89" s="93">
        <f t="shared" si="67"/>
        <v>0</v>
      </c>
      <c r="BB89" s="93">
        <f t="shared" si="67"/>
        <v>0</v>
      </c>
      <c r="BC89" s="93">
        <f t="shared" si="67"/>
        <v>0</v>
      </c>
      <c r="BD89" s="93">
        <f t="shared" si="67"/>
        <v>0</v>
      </c>
      <c r="BE89" s="93">
        <f t="shared" si="67"/>
        <v>0</v>
      </c>
      <c r="BF89" s="93">
        <f t="shared" si="67"/>
        <v>0</v>
      </c>
      <c r="BG89" s="93">
        <f t="shared" si="67"/>
        <v>0</v>
      </c>
      <c r="BH89" s="93">
        <f t="shared" si="67"/>
        <v>0</v>
      </c>
      <c r="BI89" s="93">
        <f t="shared" si="67"/>
        <v>0</v>
      </c>
      <c r="BJ89" s="93">
        <f t="shared" si="67"/>
        <v>0</v>
      </c>
      <c r="BK89" s="93">
        <f t="shared" si="67"/>
        <v>0</v>
      </c>
      <c r="BL89" s="93">
        <f t="shared" si="67"/>
        <v>0</v>
      </c>
      <c r="BM89" s="93">
        <f t="shared" si="67"/>
        <v>0</v>
      </c>
      <c r="BN89" s="93">
        <f t="shared" si="67"/>
        <v>0</v>
      </c>
      <c r="BO89" s="93">
        <f t="shared" si="67"/>
        <v>0</v>
      </c>
      <c r="BP89" s="93">
        <f t="shared" si="67"/>
        <v>0</v>
      </c>
      <c r="BQ89" s="93">
        <f t="shared" si="67"/>
        <v>0</v>
      </c>
      <c r="BR89" s="93">
        <f t="shared" si="67"/>
        <v>0</v>
      </c>
      <c r="BS89" s="93">
        <f t="shared" si="67"/>
        <v>0</v>
      </c>
      <c r="BT89" s="93">
        <f t="shared" si="67"/>
        <v>0</v>
      </c>
      <c r="BU89" s="93">
        <f t="shared" si="67"/>
        <v>0</v>
      </c>
      <c r="BV89" s="93">
        <f t="shared" si="67"/>
        <v>0</v>
      </c>
      <c r="BW89" s="93">
        <f t="shared" si="67"/>
        <v>0</v>
      </c>
      <c r="BX89" s="93">
        <f t="shared" si="67"/>
        <v>0</v>
      </c>
      <c r="BY89" s="93">
        <f t="shared" si="67"/>
        <v>0</v>
      </c>
      <c r="BZ89" s="93">
        <f t="shared" si="67"/>
        <v>0</v>
      </c>
      <c r="CA89" s="93">
        <f t="shared" si="67"/>
        <v>0</v>
      </c>
    </row>
    <row r="90" hidden="1" outlineLevel="1">
      <c r="A90" s="47"/>
      <c r="B90" s="98" t="s">
        <v>64</v>
      </c>
      <c r="C90" s="95">
        <v>0.0</v>
      </c>
      <c r="D90" s="96">
        <v>0.2</v>
      </c>
      <c r="E90" s="97">
        <v>44348.0</v>
      </c>
      <c r="H90" s="93"/>
      <c r="I90" s="93"/>
      <c r="J90" s="93"/>
      <c r="K90" s="93"/>
      <c r="L90" s="93"/>
      <c r="M90" s="93"/>
      <c r="N90" s="93"/>
      <c r="O90" s="93"/>
      <c r="P90" s="93"/>
      <c r="Q90" s="93"/>
      <c r="R90" s="93"/>
      <c r="S90" s="93"/>
      <c r="T90" s="93">
        <f t="shared" ref="T90:CA90" si="68">IF(T$4&gt;=$E90,($C90/12)*(1+$D90),0)</f>
        <v>0</v>
      </c>
      <c r="U90" s="93">
        <f t="shared" si="68"/>
        <v>0</v>
      </c>
      <c r="V90" s="93">
        <f t="shared" si="68"/>
        <v>0</v>
      </c>
      <c r="W90" s="93">
        <f t="shared" si="68"/>
        <v>0</v>
      </c>
      <c r="X90" s="93">
        <f t="shared" si="68"/>
        <v>0</v>
      </c>
      <c r="Y90" s="93">
        <f t="shared" si="68"/>
        <v>0</v>
      </c>
      <c r="Z90" s="93">
        <f t="shared" si="68"/>
        <v>0</v>
      </c>
      <c r="AA90" s="93">
        <f t="shared" si="68"/>
        <v>0</v>
      </c>
      <c r="AB90" s="93">
        <f t="shared" si="68"/>
        <v>0</v>
      </c>
      <c r="AC90" s="93">
        <f t="shared" si="68"/>
        <v>0</v>
      </c>
      <c r="AD90" s="93">
        <f t="shared" si="68"/>
        <v>0</v>
      </c>
      <c r="AE90" s="93">
        <f t="shared" si="68"/>
        <v>0</v>
      </c>
      <c r="AF90" s="93">
        <f t="shared" si="68"/>
        <v>0</v>
      </c>
      <c r="AG90" s="93">
        <f t="shared" si="68"/>
        <v>0</v>
      </c>
      <c r="AH90" s="93">
        <f t="shared" si="68"/>
        <v>0</v>
      </c>
      <c r="AI90" s="93">
        <f t="shared" si="68"/>
        <v>0</v>
      </c>
      <c r="AJ90" s="93">
        <f t="shared" si="68"/>
        <v>0</v>
      </c>
      <c r="AK90" s="93">
        <f t="shared" si="68"/>
        <v>0</v>
      </c>
      <c r="AL90" s="93">
        <f t="shared" si="68"/>
        <v>0</v>
      </c>
      <c r="AM90" s="93">
        <f t="shared" si="68"/>
        <v>0</v>
      </c>
      <c r="AN90" s="93">
        <f t="shared" si="68"/>
        <v>0</v>
      </c>
      <c r="AO90" s="93">
        <f t="shared" si="68"/>
        <v>0</v>
      </c>
      <c r="AP90" s="93">
        <f t="shared" si="68"/>
        <v>0</v>
      </c>
      <c r="AQ90" s="93">
        <f t="shared" si="68"/>
        <v>0</v>
      </c>
      <c r="AR90" s="93">
        <f t="shared" si="68"/>
        <v>0</v>
      </c>
      <c r="AS90" s="93">
        <f t="shared" si="68"/>
        <v>0</v>
      </c>
      <c r="AT90" s="93">
        <f t="shared" si="68"/>
        <v>0</v>
      </c>
      <c r="AU90" s="93">
        <f t="shared" si="68"/>
        <v>0</v>
      </c>
      <c r="AV90" s="93">
        <f t="shared" si="68"/>
        <v>0</v>
      </c>
      <c r="AW90" s="93">
        <f t="shared" si="68"/>
        <v>0</v>
      </c>
      <c r="AX90" s="93">
        <f t="shared" si="68"/>
        <v>0</v>
      </c>
      <c r="AY90" s="93">
        <f t="shared" si="68"/>
        <v>0</v>
      </c>
      <c r="AZ90" s="93">
        <f t="shared" si="68"/>
        <v>0</v>
      </c>
      <c r="BA90" s="93">
        <f t="shared" si="68"/>
        <v>0</v>
      </c>
      <c r="BB90" s="93">
        <f t="shared" si="68"/>
        <v>0</v>
      </c>
      <c r="BC90" s="93">
        <f t="shared" si="68"/>
        <v>0</v>
      </c>
      <c r="BD90" s="93">
        <f t="shared" si="68"/>
        <v>0</v>
      </c>
      <c r="BE90" s="93">
        <f t="shared" si="68"/>
        <v>0</v>
      </c>
      <c r="BF90" s="93">
        <f t="shared" si="68"/>
        <v>0</v>
      </c>
      <c r="BG90" s="93">
        <f t="shared" si="68"/>
        <v>0</v>
      </c>
      <c r="BH90" s="93">
        <f t="shared" si="68"/>
        <v>0</v>
      </c>
      <c r="BI90" s="93">
        <f t="shared" si="68"/>
        <v>0</v>
      </c>
      <c r="BJ90" s="93">
        <f t="shared" si="68"/>
        <v>0</v>
      </c>
      <c r="BK90" s="93">
        <f t="shared" si="68"/>
        <v>0</v>
      </c>
      <c r="BL90" s="93">
        <f t="shared" si="68"/>
        <v>0</v>
      </c>
      <c r="BM90" s="93">
        <f t="shared" si="68"/>
        <v>0</v>
      </c>
      <c r="BN90" s="93">
        <f t="shared" si="68"/>
        <v>0</v>
      </c>
      <c r="BO90" s="93">
        <f t="shared" si="68"/>
        <v>0</v>
      </c>
      <c r="BP90" s="93">
        <f t="shared" si="68"/>
        <v>0</v>
      </c>
      <c r="BQ90" s="93">
        <f t="shared" si="68"/>
        <v>0</v>
      </c>
      <c r="BR90" s="93">
        <f t="shared" si="68"/>
        <v>0</v>
      </c>
      <c r="BS90" s="93">
        <f t="shared" si="68"/>
        <v>0</v>
      </c>
      <c r="BT90" s="93">
        <f t="shared" si="68"/>
        <v>0</v>
      </c>
      <c r="BU90" s="93">
        <f t="shared" si="68"/>
        <v>0</v>
      </c>
      <c r="BV90" s="93">
        <f t="shared" si="68"/>
        <v>0</v>
      </c>
      <c r="BW90" s="93">
        <f t="shared" si="68"/>
        <v>0</v>
      </c>
      <c r="BX90" s="93">
        <f t="shared" si="68"/>
        <v>0</v>
      </c>
      <c r="BY90" s="93">
        <f t="shared" si="68"/>
        <v>0</v>
      </c>
      <c r="BZ90" s="93">
        <f t="shared" si="68"/>
        <v>0</v>
      </c>
      <c r="CA90" s="93">
        <f t="shared" si="68"/>
        <v>0</v>
      </c>
    </row>
    <row r="91" hidden="1" outlineLevel="1">
      <c r="A91" s="47"/>
      <c r="B91" s="98" t="s">
        <v>65</v>
      </c>
      <c r="C91" s="95">
        <v>0.0</v>
      </c>
      <c r="D91" s="96">
        <v>0.2</v>
      </c>
      <c r="E91" s="97">
        <v>43831.0</v>
      </c>
      <c r="H91" s="93"/>
      <c r="I91" s="93"/>
      <c r="J91" s="93"/>
      <c r="K91" s="93"/>
      <c r="L91" s="93"/>
      <c r="M91" s="93"/>
      <c r="N91" s="93"/>
      <c r="O91" s="93"/>
      <c r="P91" s="93"/>
      <c r="Q91" s="93"/>
      <c r="R91" s="93"/>
      <c r="S91" s="93"/>
      <c r="T91" s="93">
        <f t="shared" ref="T91:CA91" si="69">IF(T$4&gt;=$E91,($C91/12)*(1+$D91),0)</f>
        <v>0</v>
      </c>
      <c r="U91" s="93">
        <f t="shared" si="69"/>
        <v>0</v>
      </c>
      <c r="V91" s="93">
        <f t="shared" si="69"/>
        <v>0</v>
      </c>
      <c r="W91" s="93">
        <f t="shared" si="69"/>
        <v>0</v>
      </c>
      <c r="X91" s="93">
        <f t="shared" si="69"/>
        <v>0</v>
      </c>
      <c r="Y91" s="93">
        <f t="shared" si="69"/>
        <v>0</v>
      </c>
      <c r="Z91" s="93">
        <f t="shared" si="69"/>
        <v>0</v>
      </c>
      <c r="AA91" s="93">
        <f t="shared" si="69"/>
        <v>0</v>
      </c>
      <c r="AB91" s="93">
        <f t="shared" si="69"/>
        <v>0</v>
      </c>
      <c r="AC91" s="93">
        <f t="shared" si="69"/>
        <v>0</v>
      </c>
      <c r="AD91" s="93">
        <f t="shared" si="69"/>
        <v>0</v>
      </c>
      <c r="AE91" s="93">
        <f t="shared" si="69"/>
        <v>0</v>
      </c>
      <c r="AF91" s="93">
        <f t="shared" si="69"/>
        <v>0</v>
      </c>
      <c r="AG91" s="93">
        <f t="shared" si="69"/>
        <v>0</v>
      </c>
      <c r="AH91" s="93">
        <f t="shared" si="69"/>
        <v>0</v>
      </c>
      <c r="AI91" s="93">
        <f t="shared" si="69"/>
        <v>0</v>
      </c>
      <c r="AJ91" s="93">
        <f t="shared" si="69"/>
        <v>0</v>
      </c>
      <c r="AK91" s="93">
        <f t="shared" si="69"/>
        <v>0</v>
      </c>
      <c r="AL91" s="93">
        <f t="shared" si="69"/>
        <v>0</v>
      </c>
      <c r="AM91" s="93">
        <f t="shared" si="69"/>
        <v>0</v>
      </c>
      <c r="AN91" s="93">
        <f t="shared" si="69"/>
        <v>0</v>
      </c>
      <c r="AO91" s="93">
        <f t="shared" si="69"/>
        <v>0</v>
      </c>
      <c r="AP91" s="93">
        <f t="shared" si="69"/>
        <v>0</v>
      </c>
      <c r="AQ91" s="93">
        <f t="shared" si="69"/>
        <v>0</v>
      </c>
      <c r="AR91" s="93">
        <f t="shared" si="69"/>
        <v>0</v>
      </c>
      <c r="AS91" s="93">
        <f t="shared" si="69"/>
        <v>0</v>
      </c>
      <c r="AT91" s="93">
        <f t="shared" si="69"/>
        <v>0</v>
      </c>
      <c r="AU91" s="93">
        <f t="shared" si="69"/>
        <v>0</v>
      </c>
      <c r="AV91" s="93">
        <f t="shared" si="69"/>
        <v>0</v>
      </c>
      <c r="AW91" s="93">
        <f t="shared" si="69"/>
        <v>0</v>
      </c>
      <c r="AX91" s="93">
        <f t="shared" si="69"/>
        <v>0</v>
      </c>
      <c r="AY91" s="93">
        <f t="shared" si="69"/>
        <v>0</v>
      </c>
      <c r="AZ91" s="93">
        <f t="shared" si="69"/>
        <v>0</v>
      </c>
      <c r="BA91" s="93">
        <f t="shared" si="69"/>
        <v>0</v>
      </c>
      <c r="BB91" s="93">
        <f t="shared" si="69"/>
        <v>0</v>
      </c>
      <c r="BC91" s="93">
        <f t="shared" si="69"/>
        <v>0</v>
      </c>
      <c r="BD91" s="93">
        <f t="shared" si="69"/>
        <v>0</v>
      </c>
      <c r="BE91" s="93">
        <f t="shared" si="69"/>
        <v>0</v>
      </c>
      <c r="BF91" s="93">
        <f t="shared" si="69"/>
        <v>0</v>
      </c>
      <c r="BG91" s="93">
        <f t="shared" si="69"/>
        <v>0</v>
      </c>
      <c r="BH91" s="93">
        <f t="shared" si="69"/>
        <v>0</v>
      </c>
      <c r="BI91" s="93">
        <f t="shared" si="69"/>
        <v>0</v>
      </c>
      <c r="BJ91" s="93">
        <f t="shared" si="69"/>
        <v>0</v>
      </c>
      <c r="BK91" s="93">
        <f t="shared" si="69"/>
        <v>0</v>
      </c>
      <c r="BL91" s="93">
        <f t="shared" si="69"/>
        <v>0</v>
      </c>
      <c r="BM91" s="93">
        <f t="shared" si="69"/>
        <v>0</v>
      </c>
      <c r="BN91" s="93">
        <f t="shared" si="69"/>
        <v>0</v>
      </c>
      <c r="BO91" s="93">
        <f t="shared" si="69"/>
        <v>0</v>
      </c>
      <c r="BP91" s="93">
        <f t="shared" si="69"/>
        <v>0</v>
      </c>
      <c r="BQ91" s="93">
        <f t="shared" si="69"/>
        <v>0</v>
      </c>
      <c r="BR91" s="93">
        <f t="shared" si="69"/>
        <v>0</v>
      </c>
      <c r="BS91" s="93">
        <f t="shared" si="69"/>
        <v>0</v>
      </c>
      <c r="BT91" s="93">
        <f t="shared" si="69"/>
        <v>0</v>
      </c>
      <c r="BU91" s="93">
        <f t="shared" si="69"/>
        <v>0</v>
      </c>
      <c r="BV91" s="93">
        <f t="shared" si="69"/>
        <v>0</v>
      </c>
      <c r="BW91" s="93">
        <f t="shared" si="69"/>
        <v>0</v>
      </c>
      <c r="BX91" s="93">
        <f t="shared" si="69"/>
        <v>0</v>
      </c>
      <c r="BY91" s="93">
        <f t="shared" si="69"/>
        <v>0</v>
      </c>
      <c r="BZ91" s="93">
        <f t="shared" si="69"/>
        <v>0</v>
      </c>
      <c r="CA91" s="93">
        <f t="shared" si="69"/>
        <v>0</v>
      </c>
    </row>
    <row r="92" hidden="1" outlineLevel="1">
      <c r="A92" s="47"/>
      <c r="B92" s="98" t="s">
        <v>66</v>
      </c>
      <c r="C92" s="95">
        <v>0.0</v>
      </c>
      <c r="D92" s="96">
        <v>0.2</v>
      </c>
      <c r="E92" s="97">
        <v>43831.0</v>
      </c>
      <c r="H92" s="93"/>
      <c r="I92" s="93"/>
      <c r="J92" s="93"/>
      <c r="K92" s="93"/>
      <c r="L92" s="93"/>
      <c r="M92" s="93"/>
      <c r="N92" s="93"/>
      <c r="O92" s="93"/>
      <c r="P92" s="93"/>
      <c r="Q92" s="93"/>
      <c r="R92" s="93"/>
      <c r="S92" s="93"/>
      <c r="T92" s="93">
        <f t="shared" ref="T92:CA92" si="70">IF(T$4&gt;=$E92,($C92/12)*(1+$D92),0)</f>
        <v>0</v>
      </c>
      <c r="U92" s="93">
        <f t="shared" si="70"/>
        <v>0</v>
      </c>
      <c r="V92" s="93">
        <f t="shared" si="70"/>
        <v>0</v>
      </c>
      <c r="W92" s="93">
        <f t="shared" si="70"/>
        <v>0</v>
      </c>
      <c r="X92" s="93">
        <f t="shared" si="70"/>
        <v>0</v>
      </c>
      <c r="Y92" s="93">
        <f t="shared" si="70"/>
        <v>0</v>
      </c>
      <c r="Z92" s="93">
        <f t="shared" si="70"/>
        <v>0</v>
      </c>
      <c r="AA92" s="93">
        <f t="shared" si="70"/>
        <v>0</v>
      </c>
      <c r="AB92" s="93">
        <f t="shared" si="70"/>
        <v>0</v>
      </c>
      <c r="AC92" s="93">
        <f t="shared" si="70"/>
        <v>0</v>
      </c>
      <c r="AD92" s="93">
        <f t="shared" si="70"/>
        <v>0</v>
      </c>
      <c r="AE92" s="93">
        <f t="shared" si="70"/>
        <v>0</v>
      </c>
      <c r="AF92" s="93">
        <f t="shared" si="70"/>
        <v>0</v>
      </c>
      <c r="AG92" s="93">
        <f t="shared" si="70"/>
        <v>0</v>
      </c>
      <c r="AH92" s="93">
        <f t="shared" si="70"/>
        <v>0</v>
      </c>
      <c r="AI92" s="93">
        <f t="shared" si="70"/>
        <v>0</v>
      </c>
      <c r="AJ92" s="93">
        <f t="shared" si="70"/>
        <v>0</v>
      </c>
      <c r="AK92" s="93">
        <f t="shared" si="70"/>
        <v>0</v>
      </c>
      <c r="AL92" s="93">
        <f t="shared" si="70"/>
        <v>0</v>
      </c>
      <c r="AM92" s="93">
        <f t="shared" si="70"/>
        <v>0</v>
      </c>
      <c r="AN92" s="93">
        <f t="shared" si="70"/>
        <v>0</v>
      </c>
      <c r="AO92" s="93">
        <f t="shared" si="70"/>
        <v>0</v>
      </c>
      <c r="AP92" s="93">
        <f t="shared" si="70"/>
        <v>0</v>
      </c>
      <c r="AQ92" s="93">
        <f t="shared" si="70"/>
        <v>0</v>
      </c>
      <c r="AR92" s="93">
        <f t="shared" si="70"/>
        <v>0</v>
      </c>
      <c r="AS92" s="93">
        <f t="shared" si="70"/>
        <v>0</v>
      </c>
      <c r="AT92" s="93">
        <f t="shared" si="70"/>
        <v>0</v>
      </c>
      <c r="AU92" s="93">
        <f t="shared" si="70"/>
        <v>0</v>
      </c>
      <c r="AV92" s="93">
        <f t="shared" si="70"/>
        <v>0</v>
      </c>
      <c r="AW92" s="93">
        <f t="shared" si="70"/>
        <v>0</v>
      </c>
      <c r="AX92" s="93">
        <f t="shared" si="70"/>
        <v>0</v>
      </c>
      <c r="AY92" s="93">
        <f t="shared" si="70"/>
        <v>0</v>
      </c>
      <c r="AZ92" s="93">
        <f t="shared" si="70"/>
        <v>0</v>
      </c>
      <c r="BA92" s="93">
        <f t="shared" si="70"/>
        <v>0</v>
      </c>
      <c r="BB92" s="93">
        <f t="shared" si="70"/>
        <v>0</v>
      </c>
      <c r="BC92" s="93">
        <f t="shared" si="70"/>
        <v>0</v>
      </c>
      <c r="BD92" s="93">
        <f t="shared" si="70"/>
        <v>0</v>
      </c>
      <c r="BE92" s="93">
        <f t="shared" si="70"/>
        <v>0</v>
      </c>
      <c r="BF92" s="93">
        <f t="shared" si="70"/>
        <v>0</v>
      </c>
      <c r="BG92" s="93">
        <f t="shared" si="70"/>
        <v>0</v>
      </c>
      <c r="BH92" s="93">
        <f t="shared" si="70"/>
        <v>0</v>
      </c>
      <c r="BI92" s="93">
        <f t="shared" si="70"/>
        <v>0</v>
      </c>
      <c r="BJ92" s="93">
        <f t="shared" si="70"/>
        <v>0</v>
      </c>
      <c r="BK92" s="93">
        <f t="shared" si="70"/>
        <v>0</v>
      </c>
      <c r="BL92" s="93">
        <f t="shared" si="70"/>
        <v>0</v>
      </c>
      <c r="BM92" s="93">
        <f t="shared" si="70"/>
        <v>0</v>
      </c>
      <c r="BN92" s="93">
        <f t="shared" si="70"/>
        <v>0</v>
      </c>
      <c r="BO92" s="93">
        <f t="shared" si="70"/>
        <v>0</v>
      </c>
      <c r="BP92" s="93">
        <f t="shared" si="70"/>
        <v>0</v>
      </c>
      <c r="BQ92" s="93">
        <f t="shared" si="70"/>
        <v>0</v>
      </c>
      <c r="BR92" s="93">
        <f t="shared" si="70"/>
        <v>0</v>
      </c>
      <c r="BS92" s="93">
        <f t="shared" si="70"/>
        <v>0</v>
      </c>
      <c r="BT92" s="93">
        <f t="shared" si="70"/>
        <v>0</v>
      </c>
      <c r="BU92" s="93">
        <f t="shared" si="70"/>
        <v>0</v>
      </c>
      <c r="BV92" s="93">
        <f t="shared" si="70"/>
        <v>0</v>
      </c>
      <c r="BW92" s="93">
        <f t="shared" si="70"/>
        <v>0</v>
      </c>
      <c r="BX92" s="93">
        <f t="shared" si="70"/>
        <v>0</v>
      </c>
      <c r="BY92" s="93">
        <f t="shared" si="70"/>
        <v>0</v>
      </c>
      <c r="BZ92" s="93">
        <f t="shared" si="70"/>
        <v>0</v>
      </c>
      <c r="CA92" s="93">
        <f t="shared" si="70"/>
        <v>0</v>
      </c>
    </row>
    <row r="93" hidden="1" outlineLevel="1">
      <c r="A93" s="47"/>
      <c r="B93" s="98" t="s">
        <v>67</v>
      </c>
      <c r="C93" s="95">
        <v>0.0</v>
      </c>
      <c r="D93" s="96">
        <v>0.2</v>
      </c>
      <c r="E93" s="97">
        <v>44075.0</v>
      </c>
      <c r="H93" s="93"/>
      <c r="I93" s="93"/>
      <c r="J93" s="93"/>
      <c r="K93" s="93"/>
      <c r="L93" s="93"/>
      <c r="M93" s="93"/>
      <c r="N93" s="93"/>
      <c r="O93" s="93"/>
      <c r="P93" s="93"/>
      <c r="Q93" s="93"/>
      <c r="R93" s="93"/>
      <c r="S93" s="93"/>
      <c r="T93" s="93">
        <f t="shared" ref="T93:CA93" si="71">IF(T$4&gt;=$E93,($C93/12)*(1+$D93),0)</f>
        <v>0</v>
      </c>
      <c r="U93" s="93">
        <f t="shared" si="71"/>
        <v>0</v>
      </c>
      <c r="V93" s="93">
        <f t="shared" si="71"/>
        <v>0</v>
      </c>
      <c r="W93" s="93">
        <f t="shared" si="71"/>
        <v>0</v>
      </c>
      <c r="X93" s="93">
        <f t="shared" si="71"/>
        <v>0</v>
      </c>
      <c r="Y93" s="93">
        <f t="shared" si="71"/>
        <v>0</v>
      </c>
      <c r="Z93" s="93">
        <f t="shared" si="71"/>
        <v>0</v>
      </c>
      <c r="AA93" s="93">
        <f t="shared" si="71"/>
        <v>0</v>
      </c>
      <c r="AB93" s="93">
        <f t="shared" si="71"/>
        <v>0</v>
      </c>
      <c r="AC93" s="93">
        <f t="shared" si="71"/>
        <v>0</v>
      </c>
      <c r="AD93" s="93">
        <f t="shared" si="71"/>
        <v>0</v>
      </c>
      <c r="AE93" s="93">
        <f t="shared" si="71"/>
        <v>0</v>
      </c>
      <c r="AF93" s="93">
        <f t="shared" si="71"/>
        <v>0</v>
      </c>
      <c r="AG93" s="93">
        <f t="shared" si="71"/>
        <v>0</v>
      </c>
      <c r="AH93" s="93">
        <f t="shared" si="71"/>
        <v>0</v>
      </c>
      <c r="AI93" s="93">
        <f t="shared" si="71"/>
        <v>0</v>
      </c>
      <c r="AJ93" s="93">
        <f t="shared" si="71"/>
        <v>0</v>
      </c>
      <c r="AK93" s="93">
        <f t="shared" si="71"/>
        <v>0</v>
      </c>
      <c r="AL93" s="93">
        <f t="shared" si="71"/>
        <v>0</v>
      </c>
      <c r="AM93" s="93">
        <f t="shared" si="71"/>
        <v>0</v>
      </c>
      <c r="AN93" s="93">
        <f t="shared" si="71"/>
        <v>0</v>
      </c>
      <c r="AO93" s="93">
        <f t="shared" si="71"/>
        <v>0</v>
      </c>
      <c r="AP93" s="93">
        <f t="shared" si="71"/>
        <v>0</v>
      </c>
      <c r="AQ93" s="93">
        <f t="shared" si="71"/>
        <v>0</v>
      </c>
      <c r="AR93" s="93">
        <f t="shared" si="71"/>
        <v>0</v>
      </c>
      <c r="AS93" s="93">
        <f t="shared" si="71"/>
        <v>0</v>
      </c>
      <c r="AT93" s="93">
        <f t="shared" si="71"/>
        <v>0</v>
      </c>
      <c r="AU93" s="93">
        <f t="shared" si="71"/>
        <v>0</v>
      </c>
      <c r="AV93" s="93">
        <f t="shared" si="71"/>
        <v>0</v>
      </c>
      <c r="AW93" s="93">
        <f t="shared" si="71"/>
        <v>0</v>
      </c>
      <c r="AX93" s="93">
        <f t="shared" si="71"/>
        <v>0</v>
      </c>
      <c r="AY93" s="93">
        <f t="shared" si="71"/>
        <v>0</v>
      </c>
      <c r="AZ93" s="93">
        <f t="shared" si="71"/>
        <v>0</v>
      </c>
      <c r="BA93" s="93">
        <f t="shared" si="71"/>
        <v>0</v>
      </c>
      <c r="BB93" s="93">
        <f t="shared" si="71"/>
        <v>0</v>
      </c>
      <c r="BC93" s="93">
        <f t="shared" si="71"/>
        <v>0</v>
      </c>
      <c r="BD93" s="93">
        <f t="shared" si="71"/>
        <v>0</v>
      </c>
      <c r="BE93" s="93">
        <f t="shared" si="71"/>
        <v>0</v>
      </c>
      <c r="BF93" s="93">
        <f t="shared" si="71"/>
        <v>0</v>
      </c>
      <c r="BG93" s="93">
        <f t="shared" si="71"/>
        <v>0</v>
      </c>
      <c r="BH93" s="93">
        <f t="shared" si="71"/>
        <v>0</v>
      </c>
      <c r="BI93" s="93">
        <f t="shared" si="71"/>
        <v>0</v>
      </c>
      <c r="BJ93" s="93">
        <f t="shared" si="71"/>
        <v>0</v>
      </c>
      <c r="BK93" s="93">
        <f t="shared" si="71"/>
        <v>0</v>
      </c>
      <c r="BL93" s="93">
        <f t="shared" si="71"/>
        <v>0</v>
      </c>
      <c r="BM93" s="93">
        <f t="shared" si="71"/>
        <v>0</v>
      </c>
      <c r="BN93" s="93">
        <f t="shared" si="71"/>
        <v>0</v>
      </c>
      <c r="BO93" s="93">
        <f t="shared" si="71"/>
        <v>0</v>
      </c>
      <c r="BP93" s="93">
        <f t="shared" si="71"/>
        <v>0</v>
      </c>
      <c r="BQ93" s="93">
        <f t="shared" si="71"/>
        <v>0</v>
      </c>
      <c r="BR93" s="93">
        <f t="shared" si="71"/>
        <v>0</v>
      </c>
      <c r="BS93" s="93">
        <f t="shared" si="71"/>
        <v>0</v>
      </c>
      <c r="BT93" s="93">
        <f t="shared" si="71"/>
        <v>0</v>
      </c>
      <c r="BU93" s="93">
        <f t="shared" si="71"/>
        <v>0</v>
      </c>
      <c r="BV93" s="93">
        <f t="shared" si="71"/>
        <v>0</v>
      </c>
      <c r="BW93" s="93">
        <f t="shared" si="71"/>
        <v>0</v>
      </c>
      <c r="BX93" s="93">
        <f t="shared" si="71"/>
        <v>0</v>
      </c>
      <c r="BY93" s="93">
        <f t="shared" si="71"/>
        <v>0</v>
      </c>
      <c r="BZ93" s="93">
        <f t="shared" si="71"/>
        <v>0</v>
      </c>
      <c r="CA93" s="93">
        <f t="shared" si="71"/>
        <v>0</v>
      </c>
    </row>
    <row r="94" hidden="1" outlineLevel="1">
      <c r="A94" s="47"/>
      <c r="B94" s="98" t="s">
        <v>68</v>
      </c>
      <c r="C94" s="95">
        <v>0.0</v>
      </c>
      <c r="D94" s="96">
        <v>0.2</v>
      </c>
      <c r="E94" s="97">
        <v>43831.0</v>
      </c>
      <c r="H94" s="93"/>
      <c r="I94" s="93"/>
      <c r="J94" s="93"/>
      <c r="K94" s="93"/>
      <c r="L94" s="93"/>
      <c r="M94" s="93"/>
      <c r="N94" s="93"/>
      <c r="O94" s="93"/>
      <c r="P94" s="93"/>
      <c r="Q94" s="93"/>
      <c r="R94" s="93"/>
      <c r="S94" s="93"/>
      <c r="T94" s="93">
        <f t="shared" ref="T94:CA94" si="72">IF(T$4&gt;=$E94,($C94/12)*(1+$D94),0)</f>
        <v>0</v>
      </c>
      <c r="U94" s="93">
        <f t="shared" si="72"/>
        <v>0</v>
      </c>
      <c r="V94" s="93">
        <f t="shared" si="72"/>
        <v>0</v>
      </c>
      <c r="W94" s="93">
        <f t="shared" si="72"/>
        <v>0</v>
      </c>
      <c r="X94" s="93">
        <f t="shared" si="72"/>
        <v>0</v>
      </c>
      <c r="Y94" s="93">
        <f t="shared" si="72"/>
        <v>0</v>
      </c>
      <c r="Z94" s="93">
        <f t="shared" si="72"/>
        <v>0</v>
      </c>
      <c r="AA94" s="93">
        <f t="shared" si="72"/>
        <v>0</v>
      </c>
      <c r="AB94" s="93">
        <f t="shared" si="72"/>
        <v>0</v>
      </c>
      <c r="AC94" s="93">
        <f t="shared" si="72"/>
        <v>0</v>
      </c>
      <c r="AD94" s="93">
        <f t="shared" si="72"/>
        <v>0</v>
      </c>
      <c r="AE94" s="93">
        <f t="shared" si="72"/>
        <v>0</v>
      </c>
      <c r="AF94" s="93">
        <f t="shared" si="72"/>
        <v>0</v>
      </c>
      <c r="AG94" s="93">
        <f t="shared" si="72"/>
        <v>0</v>
      </c>
      <c r="AH94" s="93">
        <f t="shared" si="72"/>
        <v>0</v>
      </c>
      <c r="AI94" s="93">
        <f t="shared" si="72"/>
        <v>0</v>
      </c>
      <c r="AJ94" s="93">
        <f t="shared" si="72"/>
        <v>0</v>
      </c>
      <c r="AK94" s="93">
        <f t="shared" si="72"/>
        <v>0</v>
      </c>
      <c r="AL94" s="93">
        <f t="shared" si="72"/>
        <v>0</v>
      </c>
      <c r="AM94" s="93">
        <f t="shared" si="72"/>
        <v>0</v>
      </c>
      <c r="AN94" s="93">
        <f t="shared" si="72"/>
        <v>0</v>
      </c>
      <c r="AO94" s="93">
        <f t="shared" si="72"/>
        <v>0</v>
      </c>
      <c r="AP94" s="93">
        <f t="shared" si="72"/>
        <v>0</v>
      </c>
      <c r="AQ94" s="93">
        <f t="shared" si="72"/>
        <v>0</v>
      </c>
      <c r="AR94" s="93">
        <f t="shared" si="72"/>
        <v>0</v>
      </c>
      <c r="AS94" s="93">
        <f t="shared" si="72"/>
        <v>0</v>
      </c>
      <c r="AT94" s="93">
        <f t="shared" si="72"/>
        <v>0</v>
      </c>
      <c r="AU94" s="93">
        <f t="shared" si="72"/>
        <v>0</v>
      </c>
      <c r="AV94" s="93">
        <f t="shared" si="72"/>
        <v>0</v>
      </c>
      <c r="AW94" s="93">
        <f t="shared" si="72"/>
        <v>0</v>
      </c>
      <c r="AX94" s="93">
        <f t="shared" si="72"/>
        <v>0</v>
      </c>
      <c r="AY94" s="93">
        <f t="shared" si="72"/>
        <v>0</v>
      </c>
      <c r="AZ94" s="93">
        <f t="shared" si="72"/>
        <v>0</v>
      </c>
      <c r="BA94" s="93">
        <f t="shared" si="72"/>
        <v>0</v>
      </c>
      <c r="BB94" s="93">
        <f t="shared" si="72"/>
        <v>0</v>
      </c>
      <c r="BC94" s="93">
        <f t="shared" si="72"/>
        <v>0</v>
      </c>
      <c r="BD94" s="93">
        <f t="shared" si="72"/>
        <v>0</v>
      </c>
      <c r="BE94" s="93">
        <f t="shared" si="72"/>
        <v>0</v>
      </c>
      <c r="BF94" s="93">
        <f t="shared" si="72"/>
        <v>0</v>
      </c>
      <c r="BG94" s="93">
        <f t="shared" si="72"/>
        <v>0</v>
      </c>
      <c r="BH94" s="93">
        <f t="shared" si="72"/>
        <v>0</v>
      </c>
      <c r="BI94" s="93">
        <f t="shared" si="72"/>
        <v>0</v>
      </c>
      <c r="BJ94" s="93">
        <f t="shared" si="72"/>
        <v>0</v>
      </c>
      <c r="BK94" s="93">
        <f t="shared" si="72"/>
        <v>0</v>
      </c>
      <c r="BL94" s="93">
        <f t="shared" si="72"/>
        <v>0</v>
      </c>
      <c r="BM94" s="93">
        <f t="shared" si="72"/>
        <v>0</v>
      </c>
      <c r="BN94" s="93">
        <f t="shared" si="72"/>
        <v>0</v>
      </c>
      <c r="BO94" s="93">
        <f t="shared" si="72"/>
        <v>0</v>
      </c>
      <c r="BP94" s="93">
        <f t="shared" si="72"/>
        <v>0</v>
      </c>
      <c r="BQ94" s="93">
        <f t="shared" si="72"/>
        <v>0</v>
      </c>
      <c r="BR94" s="93">
        <f t="shared" si="72"/>
        <v>0</v>
      </c>
      <c r="BS94" s="93">
        <f t="shared" si="72"/>
        <v>0</v>
      </c>
      <c r="BT94" s="93">
        <f t="shared" si="72"/>
        <v>0</v>
      </c>
      <c r="BU94" s="93">
        <f t="shared" si="72"/>
        <v>0</v>
      </c>
      <c r="BV94" s="93">
        <f t="shared" si="72"/>
        <v>0</v>
      </c>
      <c r="BW94" s="93">
        <f t="shared" si="72"/>
        <v>0</v>
      </c>
      <c r="BX94" s="93">
        <f t="shared" si="72"/>
        <v>0</v>
      </c>
      <c r="BY94" s="93">
        <f t="shared" si="72"/>
        <v>0</v>
      </c>
      <c r="BZ94" s="93">
        <f t="shared" si="72"/>
        <v>0</v>
      </c>
      <c r="CA94" s="93">
        <f t="shared" si="72"/>
        <v>0</v>
      </c>
    </row>
    <row r="95" hidden="1" outlineLevel="1">
      <c r="A95" s="47"/>
      <c r="B95" s="98" t="s">
        <v>69</v>
      </c>
      <c r="C95" s="95">
        <v>0.0</v>
      </c>
      <c r="D95" s="96">
        <v>0.2</v>
      </c>
      <c r="E95" s="97">
        <v>43891.0</v>
      </c>
      <c r="H95" s="93"/>
      <c r="I95" s="93"/>
      <c r="J95" s="93"/>
      <c r="K95" s="93"/>
      <c r="L95" s="93"/>
      <c r="M95" s="93"/>
      <c r="N95" s="93"/>
      <c r="O95" s="93"/>
      <c r="P95" s="93"/>
      <c r="Q95" s="93"/>
      <c r="R95" s="93"/>
      <c r="S95" s="93"/>
      <c r="T95" s="93">
        <f t="shared" ref="T95:CA95" si="73">IF(T$4&gt;=$E95,($C95/12)*(1+$D95),0)</f>
        <v>0</v>
      </c>
      <c r="U95" s="93">
        <f t="shared" si="73"/>
        <v>0</v>
      </c>
      <c r="V95" s="93">
        <f t="shared" si="73"/>
        <v>0</v>
      </c>
      <c r="W95" s="93">
        <f t="shared" si="73"/>
        <v>0</v>
      </c>
      <c r="X95" s="93">
        <f t="shared" si="73"/>
        <v>0</v>
      </c>
      <c r="Y95" s="93">
        <f t="shared" si="73"/>
        <v>0</v>
      </c>
      <c r="Z95" s="93">
        <f t="shared" si="73"/>
        <v>0</v>
      </c>
      <c r="AA95" s="93">
        <f t="shared" si="73"/>
        <v>0</v>
      </c>
      <c r="AB95" s="93">
        <f t="shared" si="73"/>
        <v>0</v>
      </c>
      <c r="AC95" s="93">
        <f t="shared" si="73"/>
        <v>0</v>
      </c>
      <c r="AD95" s="93">
        <f t="shared" si="73"/>
        <v>0</v>
      </c>
      <c r="AE95" s="93">
        <f t="shared" si="73"/>
        <v>0</v>
      </c>
      <c r="AF95" s="93">
        <f t="shared" si="73"/>
        <v>0</v>
      </c>
      <c r="AG95" s="93">
        <f t="shared" si="73"/>
        <v>0</v>
      </c>
      <c r="AH95" s="93">
        <f t="shared" si="73"/>
        <v>0</v>
      </c>
      <c r="AI95" s="93">
        <f t="shared" si="73"/>
        <v>0</v>
      </c>
      <c r="AJ95" s="93">
        <f t="shared" si="73"/>
        <v>0</v>
      </c>
      <c r="AK95" s="93">
        <f t="shared" si="73"/>
        <v>0</v>
      </c>
      <c r="AL95" s="93">
        <f t="shared" si="73"/>
        <v>0</v>
      </c>
      <c r="AM95" s="93">
        <f t="shared" si="73"/>
        <v>0</v>
      </c>
      <c r="AN95" s="93">
        <f t="shared" si="73"/>
        <v>0</v>
      </c>
      <c r="AO95" s="93">
        <f t="shared" si="73"/>
        <v>0</v>
      </c>
      <c r="AP95" s="93">
        <f t="shared" si="73"/>
        <v>0</v>
      </c>
      <c r="AQ95" s="93">
        <f t="shared" si="73"/>
        <v>0</v>
      </c>
      <c r="AR95" s="93">
        <f t="shared" si="73"/>
        <v>0</v>
      </c>
      <c r="AS95" s="93">
        <f t="shared" si="73"/>
        <v>0</v>
      </c>
      <c r="AT95" s="93">
        <f t="shared" si="73"/>
        <v>0</v>
      </c>
      <c r="AU95" s="93">
        <f t="shared" si="73"/>
        <v>0</v>
      </c>
      <c r="AV95" s="93">
        <f t="shared" si="73"/>
        <v>0</v>
      </c>
      <c r="AW95" s="93">
        <f t="shared" si="73"/>
        <v>0</v>
      </c>
      <c r="AX95" s="93">
        <f t="shared" si="73"/>
        <v>0</v>
      </c>
      <c r="AY95" s="93">
        <f t="shared" si="73"/>
        <v>0</v>
      </c>
      <c r="AZ95" s="93">
        <f t="shared" si="73"/>
        <v>0</v>
      </c>
      <c r="BA95" s="93">
        <f t="shared" si="73"/>
        <v>0</v>
      </c>
      <c r="BB95" s="93">
        <f t="shared" si="73"/>
        <v>0</v>
      </c>
      <c r="BC95" s="93">
        <f t="shared" si="73"/>
        <v>0</v>
      </c>
      <c r="BD95" s="93">
        <f t="shared" si="73"/>
        <v>0</v>
      </c>
      <c r="BE95" s="93">
        <f t="shared" si="73"/>
        <v>0</v>
      </c>
      <c r="BF95" s="93">
        <f t="shared" si="73"/>
        <v>0</v>
      </c>
      <c r="BG95" s="93">
        <f t="shared" si="73"/>
        <v>0</v>
      </c>
      <c r="BH95" s="93">
        <f t="shared" si="73"/>
        <v>0</v>
      </c>
      <c r="BI95" s="93">
        <f t="shared" si="73"/>
        <v>0</v>
      </c>
      <c r="BJ95" s="93">
        <f t="shared" si="73"/>
        <v>0</v>
      </c>
      <c r="BK95" s="93">
        <f t="shared" si="73"/>
        <v>0</v>
      </c>
      <c r="BL95" s="93">
        <f t="shared" si="73"/>
        <v>0</v>
      </c>
      <c r="BM95" s="93">
        <f t="shared" si="73"/>
        <v>0</v>
      </c>
      <c r="BN95" s="93">
        <f t="shared" si="73"/>
        <v>0</v>
      </c>
      <c r="BO95" s="93">
        <f t="shared" si="73"/>
        <v>0</v>
      </c>
      <c r="BP95" s="93">
        <f t="shared" si="73"/>
        <v>0</v>
      </c>
      <c r="BQ95" s="93">
        <f t="shared" si="73"/>
        <v>0</v>
      </c>
      <c r="BR95" s="93">
        <f t="shared" si="73"/>
        <v>0</v>
      </c>
      <c r="BS95" s="93">
        <f t="shared" si="73"/>
        <v>0</v>
      </c>
      <c r="BT95" s="93">
        <f t="shared" si="73"/>
        <v>0</v>
      </c>
      <c r="BU95" s="93">
        <f t="shared" si="73"/>
        <v>0</v>
      </c>
      <c r="BV95" s="93">
        <f t="shared" si="73"/>
        <v>0</v>
      </c>
      <c r="BW95" s="93">
        <f t="shared" si="73"/>
        <v>0</v>
      </c>
      <c r="BX95" s="93">
        <f t="shared" si="73"/>
        <v>0</v>
      </c>
      <c r="BY95" s="93">
        <f t="shared" si="73"/>
        <v>0</v>
      </c>
      <c r="BZ95" s="93">
        <f t="shared" si="73"/>
        <v>0</v>
      </c>
      <c r="CA95" s="93">
        <f t="shared" si="73"/>
        <v>0</v>
      </c>
    </row>
    <row r="96" hidden="1" outlineLevel="1">
      <c r="A96" s="47"/>
      <c r="B96" s="98" t="s">
        <v>70</v>
      </c>
      <c r="C96" s="95">
        <v>0.0</v>
      </c>
      <c r="D96" s="96">
        <v>0.2</v>
      </c>
      <c r="E96" s="97">
        <v>43983.0</v>
      </c>
      <c r="H96" s="93"/>
      <c r="I96" s="93"/>
      <c r="J96" s="93"/>
      <c r="K96" s="93"/>
      <c r="L96" s="93"/>
      <c r="M96" s="93"/>
      <c r="N96" s="93"/>
      <c r="O96" s="93"/>
      <c r="P96" s="93"/>
      <c r="Q96" s="93"/>
      <c r="R96" s="93"/>
      <c r="S96" s="93"/>
      <c r="T96" s="93">
        <f t="shared" ref="T96:CA96" si="74">IF(T$4&gt;=$E96,($C96/12)*(1+$D96),0)</f>
        <v>0</v>
      </c>
      <c r="U96" s="93">
        <f t="shared" si="74"/>
        <v>0</v>
      </c>
      <c r="V96" s="93">
        <f t="shared" si="74"/>
        <v>0</v>
      </c>
      <c r="W96" s="93">
        <f t="shared" si="74"/>
        <v>0</v>
      </c>
      <c r="X96" s="93">
        <f t="shared" si="74"/>
        <v>0</v>
      </c>
      <c r="Y96" s="93">
        <f t="shared" si="74"/>
        <v>0</v>
      </c>
      <c r="Z96" s="93">
        <f t="shared" si="74"/>
        <v>0</v>
      </c>
      <c r="AA96" s="93">
        <f t="shared" si="74"/>
        <v>0</v>
      </c>
      <c r="AB96" s="93">
        <f t="shared" si="74"/>
        <v>0</v>
      </c>
      <c r="AC96" s="93">
        <f t="shared" si="74"/>
        <v>0</v>
      </c>
      <c r="AD96" s="93">
        <f t="shared" si="74"/>
        <v>0</v>
      </c>
      <c r="AE96" s="93">
        <f t="shared" si="74"/>
        <v>0</v>
      </c>
      <c r="AF96" s="93">
        <f t="shared" si="74"/>
        <v>0</v>
      </c>
      <c r="AG96" s="93">
        <f t="shared" si="74"/>
        <v>0</v>
      </c>
      <c r="AH96" s="93">
        <f t="shared" si="74"/>
        <v>0</v>
      </c>
      <c r="AI96" s="93">
        <f t="shared" si="74"/>
        <v>0</v>
      </c>
      <c r="AJ96" s="93">
        <f t="shared" si="74"/>
        <v>0</v>
      </c>
      <c r="AK96" s="93">
        <f t="shared" si="74"/>
        <v>0</v>
      </c>
      <c r="AL96" s="93">
        <f t="shared" si="74"/>
        <v>0</v>
      </c>
      <c r="AM96" s="93">
        <f t="shared" si="74"/>
        <v>0</v>
      </c>
      <c r="AN96" s="93">
        <f t="shared" si="74"/>
        <v>0</v>
      </c>
      <c r="AO96" s="93">
        <f t="shared" si="74"/>
        <v>0</v>
      </c>
      <c r="AP96" s="93">
        <f t="shared" si="74"/>
        <v>0</v>
      </c>
      <c r="AQ96" s="93">
        <f t="shared" si="74"/>
        <v>0</v>
      </c>
      <c r="AR96" s="93">
        <f t="shared" si="74"/>
        <v>0</v>
      </c>
      <c r="AS96" s="93">
        <f t="shared" si="74"/>
        <v>0</v>
      </c>
      <c r="AT96" s="93">
        <f t="shared" si="74"/>
        <v>0</v>
      </c>
      <c r="AU96" s="93">
        <f t="shared" si="74"/>
        <v>0</v>
      </c>
      <c r="AV96" s="93">
        <f t="shared" si="74"/>
        <v>0</v>
      </c>
      <c r="AW96" s="93">
        <f t="shared" si="74"/>
        <v>0</v>
      </c>
      <c r="AX96" s="93">
        <f t="shared" si="74"/>
        <v>0</v>
      </c>
      <c r="AY96" s="93">
        <f t="shared" si="74"/>
        <v>0</v>
      </c>
      <c r="AZ96" s="93">
        <f t="shared" si="74"/>
        <v>0</v>
      </c>
      <c r="BA96" s="93">
        <f t="shared" si="74"/>
        <v>0</v>
      </c>
      <c r="BB96" s="93">
        <f t="shared" si="74"/>
        <v>0</v>
      </c>
      <c r="BC96" s="93">
        <f t="shared" si="74"/>
        <v>0</v>
      </c>
      <c r="BD96" s="93">
        <f t="shared" si="74"/>
        <v>0</v>
      </c>
      <c r="BE96" s="93">
        <f t="shared" si="74"/>
        <v>0</v>
      </c>
      <c r="BF96" s="93">
        <f t="shared" si="74"/>
        <v>0</v>
      </c>
      <c r="BG96" s="93">
        <f t="shared" si="74"/>
        <v>0</v>
      </c>
      <c r="BH96" s="93">
        <f t="shared" si="74"/>
        <v>0</v>
      </c>
      <c r="BI96" s="93">
        <f t="shared" si="74"/>
        <v>0</v>
      </c>
      <c r="BJ96" s="93">
        <f t="shared" si="74"/>
        <v>0</v>
      </c>
      <c r="BK96" s="93">
        <f t="shared" si="74"/>
        <v>0</v>
      </c>
      <c r="BL96" s="93">
        <f t="shared" si="74"/>
        <v>0</v>
      </c>
      <c r="BM96" s="93">
        <f t="shared" si="74"/>
        <v>0</v>
      </c>
      <c r="BN96" s="93">
        <f t="shared" si="74"/>
        <v>0</v>
      </c>
      <c r="BO96" s="93">
        <f t="shared" si="74"/>
        <v>0</v>
      </c>
      <c r="BP96" s="93">
        <f t="shared" si="74"/>
        <v>0</v>
      </c>
      <c r="BQ96" s="93">
        <f t="shared" si="74"/>
        <v>0</v>
      </c>
      <c r="BR96" s="93">
        <f t="shared" si="74"/>
        <v>0</v>
      </c>
      <c r="BS96" s="93">
        <f t="shared" si="74"/>
        <v>0</v>
      </c>
      <c r="BT96" s="93">
        <f t="shared" si="74"/>
        <v>0</v>
      </c>
      <c r="BU96" s="93">
        <f t="shared" si="74"/>
        <v>0</v>
      </c>
      <c r="BV96" s="93">
        <f t="shared" si="74"/>
        <v>0</v>
      </c>
      <c r="BW96" s="93">
        <f t="shared" si="74"/>
        <v>0</v>
      </c>
      <c r="BX96" s="93">
        <f t="shared" si="74"/>
        <v>0</v>
      </c>
      <c r="BY96" s="93">
        <f t="shared" si="74"/>
        <v>0</v>
      </c>
      <c r="BZ96" s="93">
        <f t="shared" si="74"/>
        <v>0</v>
      </c>
      <c r="CA96" s="93">
        <f t="shared" si="74"/>
        <v>0</v>
      </c>
    </row>
    <row r="97" hidden="1" outlineLevel="1">
      <c r="A97" s="47"/>
      <c r="B97" s="98" t="s">
        <v>71</v>
      </c>
      <c r="C97" s="95">
        <v>0.0</v>
      </c>
      <c r="D97" s="96">
        <v>0.2</v>
      </c>
      <c r="E97" s="97">
        <v>44075.0</v>
      </c>
      <c r="H97" s="93"/>
      <c r="I97" s="93"/>
      <c r="J97" s="93"/>
      <c r="K97" s="93"/>
      <c r="L97" s="93"/>
      <c r="M97" s="93"/>
      <c r="N97" s="93"/>
      <c r="O97" s="93"/>
      <c r="P97" s="93"/>
      <c r="Q97" s="93"/>
      <c r="R97" s="93"/>
      <c r="S97" s="93"/>
      <c r="T97" s="93">
        <f t="shared" ref="T97:CA97" si="75">IF(T$4&gt;=$E97,($C97/12)*(1+$D97),0)</f>
        <v>0</v>
      </c>
      <c r="U97" s="93">
        <f t="shared" si="75"/>
        <v>0</v>
      </c>
      <c r="V97" s="93">
        <f t="shared" si="75"/>
        <v>0</v>
      </c>
      <c r="W97" s="93">
        <f t="shared" si="75"/>
        <v>0</v>
      </c>
      <c r="X97" s="93">
        <f t="shared" si="75"/>
        <v>0</v>
      </c>
      <c r="Y97" s="93">
        <f t="shared" si="75"/>
        <v>0</v>
      </c>
      <c r="Z97" s="93">
        <f t="shared" si="75"/>
        <v>0</v>
      </c>
      <c r="AA97" s="93">
        <f t="shared" si="75"/>
        <v>0</v>
      </c>
      <c r="AB97" s="93">
        <f t="shared" si="75"/>
        <v>0</v>
      </c>
      <c r="AC97" s="93">
        <f t="shared" si="75"/>
        <v>0</v>
      </c>
      <c r="AD97" s="93">
        <f t="shared" si="75"/>
        <v>0</v>
      </c>
      <c r="AE97" s="93">
        <f t="shared" si="75"/>
        <v>0</v>
      </c>
      <c r="AF97" s="93">
        <f t="shared" si="75"/>
        <v>0</v>
      </c>
      <c r="AG97" s="93">
        <f t="shared" si="75"/>
        <v>0</v>
      </c>
      <c r="AH97" s="93">
        <f t="shared" si="75"/>
        <v>0</v>
      </c>
      <c r="AI97" s="93">
        <f t="shared" si="75"/>
        <v>0</v>
      </c>
      <c r="AJ97" s="93">
        <f t="shared" si="75"/>
        <v>0</v>
      </c>
      <c r="AK97" s="93">
        <f t="shared" si="75"/>
        <v>0</v>
      </c>
      <c r="AL97" s="93">
        <f t="shared" si="75"/>
        <v>0</v>
      </c>
      <c r="AM97" s="93">
        <f t="shared" si="75"/>
        <v>0</v>
      </c>
      <c r="AN97" s="93">
        <f t="shared" si="75"/>
        <v>0</v>
      </c>
      <c r="AO97" s="93">
        <f t="shared" si="75"/>
        <v>0</v>
      </c>
      <c r="AP97" s="93">
        <f t="shared" si="75"/>
        <v>0</v>
      </c>
      <c r="AQ97" s="93">
        <f t="shared" si="75"/>
        <v>0</v>
      </c>
      <c r="AR97" s="93">
        <f t="shared" si="75"/>
        <v>0</v>
      </c>
      <c r="AS97" s="93">
        <f t="shared" si="75"/>
        <v>0</v>
      </c>
      <c r="AT97" s="93">
        <f t="shared" si="75"/>
        <v>0</v>
      </c>
      <c r="AU97" s="93">
        <f t="shared" si="75"/>
        <v>0</v>
      </c>
      <c r="AV97" s="93">
        <f t="shared" si="75"/>
        <v>0</v>
      </c>
      <c r="AW97" s="93">
        <f t="shared" si="75"/>
        <v>0</v>
      </c>
      <c r="AX97" s="93">
        <f t="shared" si="75"/>
        <v>0</v>
      </c>
      <c r="AY97" s="93">
        <f t="shared" si="75"/>
        <v>0</v>
      </c>
      <c r="AZ97" s="93">
        <f t="shared" si="75"/>
        <v>0</v>
      </c>
      <c r="BA97" s="93">
        <f t="shared" si="75"/>
        <v>0</v>
      </c>
      <c r="BB97" s="93">
        <f t="shared" si="75"/>
        <v>0</v>
      </c>
      <c r="BC97" s="93">
        <f t="shared" si="75"/>
        <v>0</v>
      </c>
      <c r="BD97" s="93">
        <f t="shared" si="75"/>
        <v>0</v>
      </c>
      <c r="BE97" s="93">
        <f t="shared" si="75"/>
        <v>0</v>
      </c>
      <c r="BF97" s="93">
        <f t="shared" si="75"/>
        <v>0</v>
      </c>
      <c r="BG97" s="93">
        <f t="shared" si="75"/>
        <v>0</v>
      </c>
      <c r="BH97" s="93">
        <f t="shared" si="75"/>
        <v>0</v>
      </c>
      <c r="BI97" s="93">
        <f t="shared" si="75"/>
        <v>0</v>
      </c>
      <c r="BJ97" s="93">
        <f t="shared" si="75"/>
        <v>0</v>
      </c>
      <c r="BK97" s="93">
        <f t="shared" si="75"/>
        <v>0</v>
      </c>
      <c r="BL97" s="93">
        <f t="shared" si="75"/>
        <v>0</v>
      </c>
      <c r="BM97" s="93">
        <f t="shared" si="75"/>
        <v>0</v>
      </c>
      <c r="BN97" s="93">
        <f t="shared" si="75"/>
        <v>0</v>
      </c>
      <c r="BO97" s="93">
        <f t="shared" si="75"/>
        <v>0</v>
      </c>
      <c r="BP97" s="93">
        <f t="shared" si="75"/>
        <v>0</v>
      </c>
      <c r="BQ97" s="93">
        <f t="shared" si="75"/>
        <v>0</v>
      </c>
      <c r="BR97" s="93">
        <f t="shared" si="75"/>
        <v>0</v>
      </c>
      <c r="BS97" s="93">
        <f t="shared" si="75"/>
        <v>0</v>
      </c>
      <c r="BT97" s="93">
        <f t="shared" si="75"/>
        <v>0</v>
      </c>
      <c r="BU97" s="93">
        <f t="shared" si="75"/>
        <v>0</v>
      </c>
      <c r="BV97" s="93">
        <f t="shared" si="75"/>
        <v>0</v>
      </c>
      <c r="BW97" s="93">
        <f t="shared" si="75"/>
        <v>0</v>
      </c>
      <c r="BX97" s="93">
        <f t="shared" si="75"/>
        <v>0</v>
      </c>
      <c r="BY97" s="93">
        <f t="shared" si="75"/>
        <v>0</v>
      </c>
      <c r="BZ97" s="93">
        <f t="shared" si="75"/>
        <v>0</v>
      </c>
      <c r="CA97" s="93">
        <f t="shared" si="75"/>
        <v>0</v>
      </c>
    </row>
    <row r="98" hidden="1" outlineLevel="1">
      <c r="A98" s="47"/>
      <c r="B98" s="98" t="s">
        <v>72</v>
      </c>
      <c r="C98" s="95">
        <v>0.0</v>
      </c>
      <c r="D98" s="96">
        <v>0.2</v>
      </c>
      <c r="E98" s="97">
        <v>44166.0</v>
      </c>
      <c r="H98" s="93"/>
      <c r="I98" s="93"/>
      <c r="J98" s="93"/>
      <c r="K98" s="93"/>
      <c r="L98" s="93"/>
      <c r="M98" s="93"/>
      <c r="N98" s="93"/>
      <c r="O98" s="93"/>
      <c r="P98" s="93"/>
      <c r="Q98" s="93"/>
      <c r="R98" s="93"/>
      <c r="S98" s="93"/>
      <c r="T98" s="93">
        <f t="shared" ref="T98:CA98" si="76">IF(T$4&gt;=$E98,($C98/12)*(1+$D98),0)</f>
        <v>0</v>
      </c>
      <c r="U98" s="93">
        <f t="shared" si="76"/>
        <v>0</v>
      </c>
      <c r="V98" s="93">
        <f t="shared" si="76"/>
        <v>0</v>
      </c>
      <c r="W98" s="93">
        <f t="shared" si="76"/>
        <v>0</v>
      </c>
      <c r="X98" s="93">
        <f t="shared" si="76"/>
        <v>0</v>
      </c>
      <c r="Y98" s="93">
        <f t="shared" si="76"/>
        <v>0</v>
      </c>
      <c r="Z98" s="93">
        <f t="shared" si="76"/>
        <v>0</v>
      </c>
      <c r="AA98" s="93">
        <f t="shared" si="76"/>
        <v>0</v>
      </c>
      <c r="AB98" s="93">
        <f t="shared" si="76"/>
        <v>0</v>
      </c>
      <c r="AC98" s="93">
        <f t="shared" si="76"/>
        <v>0</v>
      </c>
      <c r="AD98" s="93">
        <f t="shared" si="76"/>
        <v>0</v>
      </c>
      <c r="AE98" s="93">
        <f t="shared" si="76"/>
        <v>0</v>
      </c>
      <c r="AF98" s="93">
        <f t="shared" si="76"/>
        <v>0</v>
      </c>
      <c r="AG98" s="93">
        <f t="shared" si="76"/>
        <v>0</v>
      </c>
      <c r="AH98" s="93">
        <f t="shared" si="76"/>
        <v>0</v>
      </c>
      <c r="AI98" s="93">
        <f t="shared" si="76"/>
        <v>0</v>
      </c>
      <c r="AJ98" s="93">
        <f t="shared" si="76"/>
        <v>0</v>
      </c>
      <c r="AK98" s="93">
        <f t="shared" si="76"/>
        <v>0</v>
      </c>
      <c r="AL98" s="93">
        <f t="shared" si="76"/>
        <v>0</v>
      </c>
      <c r="AM98" s="93">
        <f t="shared" si="76"/>
        <v>0</v>
      </c>
      <c r="AN98" s="93">
        <f t="shared" si="76"/>
        <v>0</v>
      </c>
      <c r="AO98" s="93">
        <f t="shared" si="76"/>
        <v>0</v>
      </c>
      <c r="AP98" s="93">
        <f t="shared" si="76"/>
        <v>0</v>
      </c>
      <c r="AQ98" s="93">
        <f t="shared" si="76"/>
        <v>0</v>
      </c>
      <c r="AR98" s="93">
        <f t="shared" si="76"/>
        <v>0</v>
      </c>
      <c r="AS98" s="93">
        <f t="shared" si="76"/>
        <v>0</v>
      </c>
      <c r="AT98" s="93">
        <f t="shared" si="76"/>
        <v>0</v>
      </c>
      <c r="AU98" s="93">
        <f t="shared" si="76"/>
        <v>0</v>
      </c>
      <c r="AV98" s="93">
        <f t="shared" si="76"/>
        <v>0</v>
      </c>
      <c r="AW98" s="93">
        <f t="shared" si="76"/>
        <v>0</v>
      </c>
      <c r="AX98" s="93">
        <f t="shared" si="76"/>
        <v>0</v>
      </c>
      <c r="AY98" s="93">
        <f t="shared" si="76"/>
        <v>0</v>
      </c>
      <c r="AZ98" s="93">
        <f t="shared" si="76"/>
        <v>0</v>
      </c>
      <c r="BA98" s="93">
        <f t="shared" si="76"/>
        <v>0</v>
      </c>
      <c r="BB98" s="93">
        <f t="shared" si="76"/>
        <v>0</v>
      </c>
      <c r="BC98" s="93">
        <f t="shared" si="76"/>
        <v>0</v>
      </c>
      <c r="BD98" s="93">
        <f t="shared" si="76"/>
        <v>0</v>
      </c>
      <c r="BE98" s="93">
        <f t="shared" si="76"/>
        <v>0</v>
      </c>
      <c r="BF98" s="93">
        <f t="shared" si="76"/>
        <v>0</v>
      </c>
      <c r="BG98" s="93">
        <f t="shared" si="76"/>
        <v>0</v>
      </c>
      <c r="BH98" s="93">
        <f t="shared" si="76"/>
        <v>0</v>
      </c>
      <c r="BI98" s="93">
        <f t="shared" si="76"/>
        <v>0</v>
      </c>
      <c r="BJ98" s="93">
        <f t="shared" si="76"/>
        <v>0</v>
      </c>
      <c r="BK98" s="93">
        <f t="shared" si="76"/>
        <v>0</v>
      </c>
      <c r="BL98" s="93">
        <f t="shared" si="76"/>
        <v>0</v>
      </c>
      <c r="BM98" s="93">
        <f t="shared" si="76"/>
        <v>0</v>
      </c>
      <c r="BN98" s="93">
        <f t="shared" si="76"/>
        <v>0</v>
      </c>
      <c r="BO98" s="93">
        <f t="shared" si="76"/>
        <v>0</v>
      </c>
      <c r="BP98" s="93">
        <f t="shared" si="76"/>
        <v>0</v>
      </c>
      <c r="BQ98" s="93">
        <f t="shared" si="76"/>
        <v>0</v>
      </c>
      <c r="BR98" s="93">
        <f t="shared" si="76"/>
        <v>0</v>
      </c>
      <c r="BS98" s="93">
        <f t="shared" si="76"/>
        <v>0</v>
      </c>
      <c r="BT98" s="93">
        <f t="shared" si="76"/>
        <v>0</v>
      </c>
      <c r="BU98" s="93">
        <f t="shared" si="76"/>
        <v>0</v>
      </c>
      <c r="BV98" s="93">
        <f t="shared" si="76"/>
        <v>0</v>
      </c>
      <c r="BW98" s="93">
        <f t="shared" si="76"/>
        <v>0</v>
      </c>
      <c r="BX98" s="93">
        <f t="shared" si="76"/>
        <v>0</v>
      </c>
      <c r="BY98" s="93">
        <f t="shared" si="76"/>
        <v>0</v>
      </c>
      <c r="BZ98" s="93">
        <f t="shared" si="76"/>
        <v>0</v>
      </c>
      <c r="CA98" s="93">
        <f t="shared" si="76"/>
        <v>0</v>
      </c>
    </row>
    <row r="99" hidden="1" outlineLevel="1">
      <c r="A99" s="47"/>
      <c r="B99" s="98" t="s">
        <v>73</v>
      </c>
      <c r="C99" s="95">
        <v>0.0</v>
      </c>
      <c r="D99" s="96">
        <v>0.2</v>
      </c>
      <c r="E99" s="97">
        <v>44256.0</v>
      </c>
      <c r="H99" s="93"/>
      <c r="I99" s="93"/>
      <c r="J99" s="93"/>
      <c r="K99" s="93"/>
      <c r="L99" s="93"/>
      <c r="M99" s="93"/>
      <c r="N99" s="93"/>
      <c r="O99" s="93"/>
      <c r="P99" s="93"/>
      <c r="Q99" s="93"/>
      <c r="R99" s="93"/>
      <c r="S99" s="93"/>
      <c r="T99" s="93">
        <f t="shared" ref="T99:CA99" si="77">IF(T$4&gt;=$E99,($C99/12)*(1+$D99),0)</f>
        <v>0</v>
      </c>
      <c r="U99" s="93">
        <f t="shared" si="77"/>
        <v>0</v>
      </c>
      <c r="V99" s="93">
        <f t="shared" si="77"/>
        <v>0</v>
      </c>
      <c r="W99" s="93">
        <f t="shared" si="77"/>
        <v>0</v>
      </c>
      <c r="X99" s="93">
        <f t="shared" si="77"/>
        <v>0</v>
      </c>
      <c r="Y99" s="93">
        <f t="shared" si="77"/>
        <v>0</v>
      </c>
      <c r="Z99" s="93">
        <f t="shared" si="77"/>
        <v>0</v>
      </c>
      <c r="AA99" s="93">
        <f t="shared" si="77"/>
        <v>0</v>
      </c>
      <c r="AB99" s="93">
        <f t="shared" si="77"/>
        <v>0</v>
      </c>
      <c r="AC99" s="93">
        <f t="shared" si="77"/>
        <v>0</v>
      </c>
      <c r="AD99" s="93">
        <f t="shared" si="77"/>
        <v>0</v>
      </c>
      <c r="AE99" s="93">
        <f t="shared" si="77"/>
        <v>0</v>
      </c>
      <c r="AF99" s="93">
        <f t="shared" si="77"/>
        <v>0</v>
      </c>
      <c r="AG99" s="93">
        <f t="shared" si="77"/>
        <v>0</v>
      </c>
      <c r="AH99" s="93">
        <f t="shared" si="77"/>
        <v>0</v>
      </c>
      <c r="AI99" s="93">
        <f t="shared" si="77"/>
        <v>0</v>
      </c>
      <c r="AJ99" s="93">
        <f t="shared" si="77"/>
        <v>0</v>
      </c>
      <c r="AK99" s="93">
        <f t="shared" si="77"/>
        <v>0</v>
      </c>
      <c r="AL99" s="93">
        <f t="shared" si="77"/>
        <v>0</v>
      </c>
      <c r="AM99" s="93">
        <f t="shared" si="77"/>
        <v>0</v>
      </c>
      <c r="AN99" s="93">
        <f t="shared" si="77"/>
        <v>0</v>
      </c>
      <c r="AO99" s="93">
        <f t="shared" si="77"/>
        <v>0</v>
      </c>
      <c r="AP99" s="93">
        <f t="shared" si="77"/>
        <v>0</v>
      </c>
      <c r="AQ99" s="93">
        <f t="shared" si="77"/>
        <v>0</v>
      </c>
      <c r="AR99" s="93">
        <f t="shared" si="77"/>
        <v>0</v>
      </c>
      <c r="AS99" s="93">
        <f t="shared" si="77"/>
        <v>0</v>
      </c>
      <c r="AT99" s="93">
        <f t="shared" si="77"/>
        <v>0</v>
      </c>
      <c r="AU99" s="93">
        <f t="shared" si="77"/>
        <v>0</v>
      </c>
      <c r="AV99" s="93">
        <f t="shared" si="77"/>
        <v>0</v>
      </c>
      <c r="AW99" s="93">
        <f t="shared" si="77"/>
        <v>0</v>
      </c>
      <c r="AX99" s="93">
        <f t="shared" si="77"/>
        <v>0</v>
      </c>
      <c r="AY99" s="93">
        <f t="shared" si="77"/>
        <v>0</v>
      </c>
      <c r="AZ99" s="93">
        <f t="shared" si="77"/>
        <v>0</v>
      </c>
      <c r="BA99" s="93">
        <f t="shared" si="77"/>
        <v>0</v>
      </c>
      <c r="BB99" s="93">
        <f t="shared" si="77"/>
        <v>0</v>
      </c>
      <c r="BC99" s="93">
        <f t="shared" si="77"/>
        <v>0</v>
      </c>
      <c r="BD99" s="93">
        <f t="shared" si="77"/>
        <v>0</v>
      </c>
      <c r="BE99" s="93">
        <f t="shared" si="77"/>
        <v>0</v>
      </c>
      <c r="BF99" s="93">
        <f t="shared" si="77"/>
        <v>0</v>
      </c>
      <c r="BG99" s="93">
        <f t="shared" si="77"/>
        <v>0</v>
      </c>
      <c r="BH99" s="93">
        <f t="shared" si="77"/>
        <v>0</v>
      </c>
      <c r="BI99" s="93">
        <f t="shared" si="77"/>
        <v>0</v>
      </c>
      <c r="BJ99" s="93">
        <f t="shared" si="77"/>
        <v>0</v>
      </c>
      <c r="BK99" s="93">
        <f t="shared" si="77"/>
        <v>0</v>
      </c>
      <c r="BL99" s="93">
        <f t="shared" si="77"/>
        <v>0</v>
      </c>
      <c r="BM99" s="93">
        <f t="shared" si="77"/>
        <v>0</v>
      </c>
      <c r="BN99" s="93">
        <f t="shared" si="77"/>
        <v>0</v>
      </c>
      <c r="BO99" s="93">
        <f t="shared" si="77"/>
        <v>0</v>
      </c>
      <c r="BP99" s="93">
        <f t="shared" si="77"/>
        <v>0</v>
      </c>
      <c r="BQ99" s="93">
        <f t="shared" si="77"/>
        <v>0</v>
      </c>
      <c r="BR99" s="93">
        <f t="shared" si="77"/>
        <v>0</v>
      </c>
      <c r="BS99" s="93">
        <f t="shared" si="77"/>
        <v>0</v>
      </c>
      <c r="BT99" s="93">
        <f t="shared" si="77"/>
        <v>0</v>
      </c>
      <c r="BU99" s="93">
        <f t="shared" si="77"/>
        <v>0</v>
      </c>
      <c r="BV99" s="93">
        <f t="shared" si="77"/>
        <v>0</v>
      </c>
      <c r="BW99" s="93">
        <f t="shared" si="77"/>
        <v>0</v>
      </c>
      <c r="BX99" s="93">
        <f t="shared" si="77"/>
        <v>0</v>
      </c>
      <c r="BY99" s="93">
        <f t="shared" si="77"/>
        <v>0</v>
      </c>
      <c r="BZ99" s="93">
        <f t="shared" si="77"/>
        <v>0</v>
      </c>
      <c r="CA99" s="93">
        <f t="shared" si="77"/>
        <v>0</v>
      </c>
    </row>
    <row r="100" hidden="1" outlineLevel="1">
      <c r="A100" s="47"/>
      <c r="B100" s="98" t="s">
        <v>74</v>
      </c>
      <c r="C100" s="95">
        <v>0.0</v>
      </c>
      <c r="D100" s="96">
        <v>0.2</v>
      </c>
      <c r="E100" s="97">
        <v>44348.0</v>
      </c>
      <c r="H100" s="93"/>
      <c r="I100" s="93"/>
      <c r="J100" s="93"/>
      <c r="K100" s="93"/>
      <c r="L100" s="93"/>
      <c r="M100" s="93"/>
      <c r="N100" s="93"/>
      <c r="O100" s="93"/>
      <c r="P100" s="93"/>
      <c r="Q100" s="93"/>
      <c r="R100" s="93"/>
      <c r="S100" s="93"/>
      <c r="T100" s="93">
        <f t="shared" ref="T100:CA100" si="78">IF(T$4&gt;=$E100,($C100/12)*(1+$D100),0)</f>
        <v>0</v>
      </c>
      <c r="U100" s="93">
        <f t="shared" si="78"/>
        <v>0</v>
      </c>
      <c r="V100" s="93">
        <f t="shared" si="78"/>
        <v>0</v>
      </c>
      <c r="W100" s="93">
        <f t="shared" si="78"/>
        <v>0</v>
      </c>
      <c r="X100" s="93">
        <f t="shared" si="78"/>
        <v>0</v>
      </c>
      <c r="Y100" s="93">
        <f t="shared" si="78"/>
        <v>0</v>
      </c>
      <c r="Z100" s="93">
        <f t="shared" si="78"/>
        <v>0</v>
      </c>
      <c r="AA100" s="93">
        <f t="shared" si="78"/>
        <v>0</v>
      </c>
      <c r="AB100" s="93">
        <f t="shared" si="78"/>
        <v>0</v>
      </c>
      <c r="AC100" s="93">
        <f t="shared" si="78"/>
        <v>0</v>
      </c>
      <c r="AD100" s="93">
        <f t="shared" si="78"/>
        <v>0</v>
      </c>
      <c r="AE100" s="93">
        <f t="shared" si="78"/>
        <v>0</v>
      </c>
      <c r="AF100" s="93">
        <f t="shared" si="78"/>
        <v>0</v>
      </c>
      <c r="AG100" s="93">
        <f t="shared" si="78"/>
        <v>0</v>
      </c>
      <c r="AH100" s="93">
        <f t="shared" si="78"/>
        <v>0</v>
      </c>
      <c r="AI100" s="93">
        <f t="shared" si="78"/>
        <v>0</v>
      </c>
      <c r="AJ100" s="93">
        <f t="shared" si="78"/>
        <v>0</v>
      </c>
      <c r="AK100" s="93">
        <f t="shared" si="78"/>
        <v>0</v>
      </c>
      <c r="AL100" s="93">
        <f t="shared" si="78"/>
        <v>0</v>
      </c>
      <c r="AM100" s="93">
        <f t="shared" si="78"/>
        <v>0</v>
      </c>
      <c r="AN100" s="93">
        <f t="shared" si="78"/>
        <v>0</v>
      </c>
      <c r="AO100" s="93">
        <f t="shared" si="78"/>
        <v>0</v>
      </c>
      <c r="AP100" s="93">
        <f t="shared" si="78"/>
        <v>0</v>
      </c>
      <c r="AQ100" s="93">
        <f t="shared" si="78"/>
        <v>0</v>
      </c>
      <c r="AR100" s="93">
        <f t="shared" si="78"/>
        <v>0</v>
      </c>
      <c r="AS100" s="93">
        <f t="shared" si="78"/>
        <v>0</v>
      </c>
      <c r="AT100" s="93">
        <f t="shared" si="78"/>
        <v>0</v>
      </c>
      <c r="AU100" s="93">
        <f t="shared" si="78"/>
        <v>0</v>
      </c>
      <c r="AV100" s="93">
        <f t="shared" si="78"/>
        <v>0</v>
      </c>
      <c r="AW100" s="93">
        <f t="shared" si="78"/>
        <v>0</v>
      </c>
      <c r="AX100" s="93">
        <f t="shared" si="78"/>
        <v>0</v>
      </c>
      <c r="AY100" s="93">
        <f t="shared" si="78"/>
        <v>0</v>
      </c>
      <c r="AZ100" s="93">
        <f t="shared" si="78"/>
        <v>0</v>
      </c>
      <c r="BA100" s="93">
        <f t="shared" si="78"/>
        <v>0</v>
      </c>
      <c r="BB100" s="93">
        <f t="shared" si="78"/>
        <v>0</v>
      </c>
      <c r="BC100" s="93">
        <f t="shared" si="78"/>
        <v>0</v>
      </c>
      <c r="BD100" s="93">
        <f t="shared" si="78"/>
        <v>0</v>
      </c>
      <c r="BE100" s="93">
        <f t="shared" si="78"/>
        <v>0</v>
      </c>
      <c r="BF100" s="93">
        <f t="shared" si="78"/>
        <v>0</v>
      </c>
      <c r="BG100" s="93">
        <f t="shared" si="78"/>
        <v>0</v>
      </c>
      <c r="BH100" s="93">
        <f t="shared" si="78"/>
        <v>0</v>
      </c>
      <c r="BI100" s="93">
        <f t="shared" si="78"/>
        <v>0</v>
      </c>
      <c r="BJ100" s="93">
        <f t="shared" si="78"/>
        <v>0</v>
      </c>
      <c r="BK100" s="93">
        <f t="shared" si="78"/>
        <v>0</v>
      </c>
      <c r="BL100" s="93">
        <f t="shared" si="78"/>
        <v>0</v>
      </c>
      <c r="BM100" s="93">
        <f t="shared" si="78"/>
        <v>0</v>
      </c>
      <c r="BN100" s="93">
        <f t="shared" si="78"/>
        <v>0</v>
      </c>
      <c r="BO100" s="93">
        <f t="shared" si="78"/>
        <v>0</v>
      </c>
      <c r="BP100" s="93">
        <f t="shared" si="78"/>
        <v>0</v>
      </c>
      <c r="BQ100" s="93">
        <f t="shared" si="78"/>
        <v>0</v>
      </c>
      <c r="BR100" s="93">
        <f t="shared" si="78"/>
        <v>0</v>
      </c>
      <c r="BS100" s="93">
        <f t="shared" si="78"/>
        <v>0</v>
      </c>
      <c r="BT100" s="93">
        <f t="shared" si="78"/>
        <v>0</v>
      </c>
      <c r="BU100" s="93">
        <f t="shared" si="78"/>
        <v>0</v>
      </c>
      <c r="BV100" s="93">
        <f t="shared" si="78"/>
        <v>0</v>
      </c>
      <c r="BW100" s="93">
        <f t="shared" si="78"/>
        <v>0</v>
      </c>
      <c r="BX100" s="93">
        <f t="shared" si="78"/>
        <v>0</v>
      </c>
      <c r="BY100" s="93">
        <f t="shared" si="78"/>
        <v>0</v>
      </c>
      <c r="BZ100" s="93">
        <f t="shared" si="78"/>
        <v>0</v>
      </c>
      <c r="CA100" s="93">
        <f t="shared" si="78"/>
        <v>0</v>
      </c>
    </row>
    <row r="101" hidden="1" outlineLevel="1">
      <c r="A101" s="47"/>
      <c r="B101" s="98" t="s">
        <v>75</v>
      </c>
      <c r="C101" s="95">
        <v>0.0</v>
      </c>
      <c r="D101" s="96">
        <v>0.2</v>
      </c>
      <c r="E101" s="97">
        <v>43983.0</v>
      </c>
      <c r="H101" s="93"/>
      <c r="I101" s="93"/>
      <c r="J101" s="93"/>
      <c r="K101" s="93"/>
      <c r="L101" s="93"/>
      <c r="M101" s="93"/>
      <c r="N101" s="93"/>
      <c r="O101" s="93"/>
      <c r="P101" s="93"/>
      <c r="Q101" s="93"/>
      <c r="R101" s="93"/>
      <c r="S101" s="93"/>
      <c r="T101" s="93">
        <f t="shared" ref="T101:CA101" si="79">IF(T$4&gt;=$E101,($C101/12)*(1+$D101),0)</f>
        <v>0</v>
      </c>
      <c r="U101" s="93">
        <f t="shared" si="79"/>
        <v>0</v>
      </c>
      <c r="V101" s="93">
        <f t="shared" si="79"/>
        <v>0</v>
      </c>
      <c r="W101" s="93">
        <f t="shared" si="79"/>
        <v>0</v>
      </c>
      <c r="X101" s="93">
        <f t="shared" si="79"/>
        <v>0</v>
      </c>
      <c r="Y101" s="93">
        <f t="shared" si="79"/>
        <v>0</v>
      </c>
      <c r="Z101" s="93">
        <f t="shared" si="79"/>
        <v>0</v>
      </c>
      <c r="AA101" s="93">
        <f t="shared" si="79"/>
        <v>0</v>
      </c>
      <c r="AB101" s="93">
        <f t="shared" si="79"/>
        <v>0</v>
      </c>
      <c r="AC101" s="93">
        <f t="shared" si="79"/>
        <v>0</v>
      </c>
      <c r="AD101" s="93">
        <f t="shared" si="79"/>
        <v>0</v>
      </c>
      <c r="AE101" s="93">
        <f t="shared" si="79"/>
        <v>0</v>
      </c>
      <c r="AF101" s="93">
        <f t="shared" si="79"/>
        <v>0</v>
      </c>
      <c r="AG101" s="93">
        <f t="shared" si="79"/>
        <v>0</v>
      </c>
      <c r="AH101" s="93">
        <f t="shared" si="79"/>
        <v>0</v>
      </c>
      <c r="AI101" s="93">
        <f t="shared" si="79"/>
        <v>0</v>
      </c>
      <c r="AJ101" s="93">
        <f t="shared" si="79"/>
        <v>0</v>
      </c>
      <c r="AK101" s="93">
        <f t="shared" si="79"/>
        <v>0</v>
      </c>
      <c r="AL101" s="93">
        <f t="shared" si="79"/>
        <v>0</v>
      </c>
      <c r="AM101" s="93">
        <f t="shared" si="79"/>
        <v>0</v>
      </c>
      <c r="AN101" s="93">
        <f t="shared" si="79"/>
        <v>0</v>
      </c>
      <c r="AO101" s="93">
        <f t="shared" si="79"/>
        <v>0</v>
      </c>
      <c r="AP101" s="93">
        <f t="shared" si="79"/>
        <v>0</v>
      </c>
      <c r="AQ101" s="93">
        <f t="shared" si="79"/>
        <v>0</v>
      </c>
      <c r="AR101" s="93">
        <f t="shared" si="79"/>
        <v>0</v>
      </c>
      <c r="AS101" s="93">
        <f t="shared" si="79"/>
        <v>0</v>
      </c>
      <c r="AT101" s="93">
        <f t="shared" si="79"/>
        <v>0</v>
      </c>
      <c r="AU101" s="93">
        <f t="shared" si="79"/>
        <v>0</v>
      </c>
      <c r="AV101" s="93">
        <f t="shared" si="79"/>
        <v>0</v>
      </c>
      <c r="AW101" s="93">
        <f t="shared" si="79"/>
        <v>0</v>
      </c>
      <c r="AX101" s="93">
        <f t="shared" si="79"/>
        <v>0</v>
      </c>
      <c r="AY101" s="93">
        <f t="shared" si="79"/>
        <v>0</v>
      </c>
      <c r="AZ101" s="93">
        <f t="shared" si="79"/>
        <v>0</v>
      </c>
      <c r="BA101" s="93">
        <f t="shared" si="79"/>
        <v>0</v>
      </c>
      <c r="BB101" s="93">
        <f t="shared" si="79"/>
        <v>0</v>
      </c>
      <c r="BC101" s="93">
        <f t="shared" si="79"/>
        <v>0</v>
      </c>
      <c r="BD101" s="93">
        <f t="shared" si="79"/>
        <v>0</v>
      </c>
      <c r="BE101" s="93">
        <f t="shared" si="79"/>
        <v>0</v>
      </c>
      <c r="BF101" s="93">
        <f t="shared" si="79"/>
        <v>0</v>
      </c>
      <c r="BG101" s="93">
        <f t="shared" si="79"/>
        <v>0</v>
      </c>
      <c r="BH101" s="93">
        <f t="shared" si="79"/>
        <v>0</v>
      </c>
      <c r="BI101" s="93">
        <f t="shared" si="79"/>
        <v>0</v>
      </c>
      <c r="BJ101" s="93">
        <f t="shared" si="79"/>
        <v>0</v>
      </c>
      <c r="BK101" s="93">
        <f t="shared" si="79"/>
        <v>0</v>
      </c>
      <c r="BL101" s="93">
        <f t="shared" si="79"/>
        <v>0</v>
      </c>
      <c r="BM101" s="93">
        <f t="shared" si="79"/>
        <v>0</v>
      </c>
      <c r="BN101" s="93">
        <f t="shared" si="79"/>
        <v>0</v>
      </c>
      <c r="BO101" s="93">
        <f t="shared" si="79"/>
        <v>0</v>
      </c>
      <c r="BP101" s="93">
        <f t="shared" si="79"/>
        <v>0</v>
      </c>
      <c r="BQ101" s="93">
        <f t="shared" si="79"/>
        <v>0</v>
      </c>
      <c r="BR101" s="93">
        <f t="shared" si="79"/>
        <v>0</v>
      </c>
      <c r="BS101" s="93">
        <f t="shared" si="79"/>
        <v>0</v>
      </c>
      <c r="BT101" s="93">
        <f t="shared" si="79"/>
        <v>0</v>
      </c>
      <c r="BU101" s="93">
        <f t="shared" si="79"/>
        <v>0</v>
      </c>
      <c r="BV101" s="93">
        <f t="shared" si="79"/>
        <v>0</v>
      </c>
      <c r="BW101" s="93">
        <f t="shared" si="79"/>
        <v>0</v>
      </c>
      <c r="BX101" s="93">
        <f t="shared" si="79"/>
        <v>0</v>
      </c>
      <c r="BY101" s="93">
        <f t="shared" si="79"/>
        <v>0</v>
      </c>
      <c r="BZ101" s="93">
        <f t="shared" si="79"/>
        <v>0</v>
      </c>
      <c r="CA101" s="93">
        <f t="shared" si="79"/>
        <v>0</v>
      </c>
    </row>
    <row r="102" hidden="1" outlineLevel="1">
      <c r="A102" s="47"/>
      <c r="B102" s="98" t="s">
        <v>76</v>
      </c>
      <c r="C102" s="95">
        <v>0.0</v>
      </c>
      <c r="D102" s="96">
        <v>0.2</v>
      </c>
      <c r="E102" s="97">
        <v>44075.0</v>
      </c>
      <c r="H102" s="93"/>
      <c r="I102" s="93"/>
      <c r="J102" s="93"/>
      <c r="K102" s="93"/>
      <c r="L102" s="93"/>
      <c r="M102" s="93"/>
      <c r="N102" s="93"/>
      <c r="O102" s="93"/>
      <c r="P102" s="93"/>
      <c r="Q102" s="93"/>
      <c r="R102" s="93"/>
      <c r="S102" s="93"/>
      <c r="T102" s="93">
        <f t="shared" ref="T102:CA102" si="80">IF(T$4&gt;=$E102,($C102/12)*(1+$D102),0)</f>
        <v>0</v>
      </c>
      <c r="U102" s="93">
        <f t="shared" si="80"/>
        <v>0</v>
      </c>
      <c r="V102" s="93">
        <f t="shared" si="80"/>
        <v>0</v>
      </c>
      <c r="W102" s="93">
        <f t="shared" si="80"/>
        <v>0</v>
      </c>
      <c r="X102" s="93">
        <f t="shared" si="80"/>
        <v>0</v>
      </c>
      <c r="Y102" s="93">
        <f t="shared" si="80"/>
        <v>0</v>
      </c>
      <c r="Z102" s="93">
        <f t="shared" si="80"/>
        <v>0</v>
      </c>
      <c r="AA102" s="93">
        <f t="shared" si="80"/>
        <v>0</v>
      </c>
      <c r="AB102" s="93">
        <f t="shared" si="80"/>
        <v>0</v>
      </c>
      <c r="AC102" s="93">
        <f t="shared" si="80"/>
        <v>0</v>
      </c>
      <c r="AD102" s="93">
        <f t="shared" si="80"/>
        <v>0</v>
      </c>
      <c r="AE102" s="93">
        <f t="shared" si="80"/>
        <v>0</v>
      </c>
      <c r="AF102" s="93">
        <f t="shared" si="80"/>
        <v>0</v>
      </c>
      <c r="AG102" s="93">
        <f t="shared" si="80"/>
        <v>0</v>
      </c>
      <c r="AH102" s="93">
        <f t="shared" si="80"/>
        <v>0</v>
      </c>
      <c r="AI102" s="93">
        <f t="shared" si="80"/>
        <v>0</v>
      </c>
      <c r="AJ102" s="93">
        <f t="shared" si="80"/>
        <v>0</v>
      </c>
      <c r="AK102" s="93">
        <f t="shared" si="80"/>
        <v>0</v>
      </c>
      <c r="AL102" s="93">
        <f t="shared" si="80"/>
        <v>0</v>
      </c>
      <c r="AM102" s="93">
        <f t="shared" si="80"/>
        <v>0</v>
      </c>
      <c r="AN102" s="93">
        <f t="shared" si="80"/>
        <v>0</v>
      </c>
      <c r="AO102" s="93">
        <f t="shared" si="80"/>
        <v>0</v>
      </c>
      <c r="AP102" s="93">
        <f t="shared" si="80"/>
        <v>0</v>
      </c>
      <c r="AQ102" s="93">
        <f t="shared" si="80"/>
        <v>0</v>
      </c>
      <c r="AR102" s="93">
        <f t="shared" si="80"/>
        <v>0</v>
      </c>
      <c r="AS102" s="93">
        <f t="shared" si="80"/>
        <v>0</v>
      </c>
      <c r="AT102" s="93">
        <f t="shared" si="80"/>
        <v>0</v>
      </c>
      <c r="AU102" s="93">
        <f t="shared" si="80"/>
        <v>0</v>
      </c>
      <c r="AV102" s="93">
        <f t="shared" si="80"/>
        <v>0</v>
      </c>
      <c r="AW102" s="93">
        <f t="shared" si="80"/>
        <v>0</v>
      </c>
      <c r="AX102" s="93">
        <f t="shared" si="80"/>
        <v>0</v>
      </c>
      <c r="AY102" s="93">
        <f t="shared" si="80"/>
        <v>0</v>
      </c>
      <c r="AZ102" s="93">
        <f t="shared" si="80"/>
        <v>0</v>
      </c>
      <c r="BA102" s="93">
        <f t="shared" si="80"/>
        <v>0</v>
      </c>
      <c r="BB102" s="93">
        <f t="shared" si="80"/>
        <v>0</v>
      </c>
      <c r="BC102" s="93">
        <f t="shared" si="80"/>
        <v>0</v>
      </c>
      <c r="BD102" s="93">
        <f t="shared" si="80"/>
        <v>0</v>
      </c>
      <c r="BE102" s="93">
        <f t="shared" si="80"/>
        <v>0</v>
      </c>
      <c r="BF102" s="93">
        <f t="shared" si="80"/>
        <v>0</v>
      </c>
      <c r="BG102" s="93">
        <f t="shared" si="80"/>
        <v>0</v>
      </c>
      <c r="BH102" s="93">
        <f t="shared" si="80"/>
        <v>0</v>
      </c>
      <c r="BI102" s="93">
        <f t="shared" si="80"/>
        <v>0</v>
      </c>
      <c r="BJ102" s="93">
        <f t="shared" si="80"/>
        <v>0</v>
      </c>
      <c r="BK102" s="93">
        <f t="shared" si="80"/>
        <v>0</v>
      </c>
      <c r="BL102" s="93">
        <f t="shared" si="80"/>
        <v>0</v>
      </c>
      <c r="BM102" s="93">
        <f t="shared" si="80"/>
        <v>0</v>
      </c>
      <c r="BN102" s="93">
        <f t="shared" si="80"/>
        <v>0</v>
      </c>
      <c r="BO102" s="93">
        <f t="shared" si="80"/>
        <v>0</v>
      </c>
      <c r="BP102" s="93">
        <f t="shared" si="80"/>
        <v>0</v>
      </c>
      <c r="BQ102" s="93">
        <f t="shared" si="80"/>
        <v>0</v>
      </c>
      <c r="BR102" s="93">
        <f t="shared" si="80"/>
        <v>0</v>
      </c>
      <c r="BS102" s="93">
        <f t="shared" si="80"/>
        <v>0</v>
      </c>
      <c r="BT102" s="93">
        <f t="shared" si="80"/>
        <v>0</v>
      </c>
      <c r="BU102" s="93">
        <f t="shared" si="80"/>
        <v>0</v>
      </c>
      <c r="BV102" s="93">
        <f t="shared" si="80"/>
        <v>0</v>
      </c>
      <c r="BW102" s="93">
        <f t="shared" si="80"/>
        <v>0</v>
      </c>
      <c r="BX102" s="93">
        <f t="shared" si="80"/>
        <v>0</v>
      </c>
      <c r="BY102" s="93">
        <f t="shared" si="80"/>
        <v>0</v>
      </c>
      <c r="BZ102" s="93">
        <f t="shared" si="80"/>
        <v>0</v>
      </c>
      <c r="CA102" s="93">
        <f t="shared" si="80"/>
        <v>0</v>
      </c>
    </row>
    <row r="103" hidden="1" outlineLevel="1">
      <c r="A103" s="47"/>
      <c r="B103" s="98" t="s">
        <v>77</v>
      </c>
      <c r="C103" s="95">
        <v>0.0</v>
      </c>
      <c r="D103" s="96">
        <v>0.2</v>
      </c>
      <c r="E103" s="97">
        <v>44166.0</v>
      </c>
      <c r="H103" s="93"/>
      <c r="I103" s="93"/>
      <c r="J103" s="93"/>
      <c r="K103" s="93"/>
      <c r="L103" s="93"/>
      <c r="M103" s="93"/>
      <c r="N103" s="93"/>
      <c r="O103" s="93"/>
      <c r="P103" s="93"/>
      <c r="Q103" s="93"/>
      <c r="R103" s="93"/>
      <c r="S103" s="93"/>
      <c r="T103" s="93">
        <f t="shared" ref="T103:CA103" si="81">IF(T$4&gt;=$E103,($C103/12)*(1+$D103),0)</f>
        <v>0</v>
      </c>
      <c r="U103" s="93">
        <f t="shared" si="81"/>
        <v>0</v>
      </c>
      <c r="V103" s="93">
        <f t="shared" si="81"/>
        <v>0</v>
      </c>
      <c r="W103" s="93">
        <f t="shared" si="81"/>
        <v>0</v>
      </c>
      <c r="X103" s="93">
        <f t="shared" si="81"/>
        <v>0</v>
      </c>
      <c r="Y103" s="93">
        <f t="shared" si="81"/>
        <v>0</v>
      </c>
      <c r="Z103" s="93">
        <f t="shared" si="81"/>
        <v>0</v>
      </c>
      <c r="AA103" s="93">
        <f t="shared" si="81"/>
        <v>0</v>
      </c>
      <c r="AB103" s="93">
        <f t="shared" si="81"/>
        <v>0</v>
      </c>
      <c r="AC103" s="93">
        <f t="shared" si="81"/>
        <v>0</v>
      </c>
      <c r="AD103" s="93">
        <f t="shared" si="81"/>
        <v>0</v>
      </c>
      <c r="AE103" s="93">
        <f t="shared" si="81"/>
        <v>0</v>
      </c>
      <c r="AF103" s="93">
        <f t="shared" si="81"/>
        <v>0</v>
      </c>
      <c r="AG103" s="93">
        <f t="shared" si="81"/>
        <v>0</v>
      </c>
      <c r="AH103" s="93">
        <f t="shared" si="81"/>
        <v>0</v>
      </c>
      <c r="AI103" s="93">
        <f t="shared" si="81"/>
        <v>0</v>
      </c>
      <c r="AJ103" s="93">
        <f t="shared" si="81"/>
        <v>0</v>
      </c>
      <c r="AK103" s="93">
        <f t="shared" si="81"/>
        <v>0</v>
      </c>
      <c r="AL103" s="93">
        <f t="shared" si="81"/>
        <v>0</v>
      </c>
      <c r="AM103" s="93">
        <f t="shared" si="81"/>
        <v>0</v>
      </c>
      <c r="AN103" s="93">
        <f t="shared" si="81"/>
        <v>0</v>
      </c>
      <c r="AO103" s="93">
        <f t="shared" si="81"/>
        <v>0</v>
      </c>
      <c r="AP103" s="93">
        <f t="shared" si="81"/>
        <v>0</v>
      </c>
      <c r="AQ103" s="93">
        <f t="shared" si="81"/>
        <v>0</v>
      </c>
      <c r="AR103" s="93">
        <f t="shared" si="81"/>
        <v>0</v>
      </c>
      <c r="AS103" s="93">
        <f t="shared" si="81"/>
        <v>0</v>
      </c>
      <c r="AT103" s="93">
        <f t="shared" si="81"/>
        <v>0</v>
      </c>
      <c r="AU103" s="93">
        <f t="shared" si="81"/>
        <v>0</v>
      </c>
      <c r="AV103" s="93">
        <f t="shared" si="81"/>
        <v>0</v>
      </c>
      <c r="AW103" s="93">
        <f t="shared" si="81"/>
        <v>0</v>
      </c>
      <c r="AX103" s="93">
        <f t="shared" si="81"/>
        <v>0</v>
      </c>
      <c r="AY103" s="93">
        <f t="shared" si="81"/>
        <v>0</v>
      </c>
      <c r="AZ103" s="93">
        <f t="shared" si="81"/>
        <v>0</v>
      </c>
      <c r="BA103" s="93">
        <f t="shared" si="81"/>
        <v>0</v>
      </c>
      <c r="BB103" s="93">
        <f t="shared" si="81"/>
        <v>0</v>
      </c>
      <c r="BC103" s="93">
        <f t="shared" si="81"/>
        <v>0</v>
      </c>
      <c r="BD103" s="93">
        <f t="shared" si="81"/>
        <v>0</v>
      </c>
      <c r="BE103" s="93">
        <f t="shared" si="81"/>
        <v>0</v>
      </c>
      <c r="BF103" s="93">
        <f t="shared" si="81"/>
        <v>0</v>
      </c>
      <c r="BG103" s="93">
        <f t="shared" si="81"/>
        <v>0</v>
      </c>
      <c r="BH103" s="93">
        <f t="shared" si="81"/>
        <v>0</v>
      </c>
      <c r="BI103" s="93">
        <f t="shared" si="81"/>
        <v>0</v>
      </c>
      <c r="BJ103" s="93">
        <f t="shared" si="81"/>
        <v>0</v>
      </c>
      <c r="BK103" s="93">
        <f t="shared" si="81"/>
        <v>0</v>
      </c>
      <c r="BL103" s="93">
        <f t="shared" si="81"/>
        <v>0</v>
      </c>
      <c r="BM103" s="93">
        <f t="shared" si="81"/>
        <v>0</v>
      </c>
      <c r="BN103" s="93">
        <f t="shared" si="81"/>
        <v>0</v>
      </c>
      <c r="BO103" s="93">
        <f t="shared" si="81"/>
        <v>0</v>
      </c>
      <c r="BP103" s="93">
        <f t="shared" si="81"/>
        <v>0</v>
      </c>
      <c r="BQ103" s="93">
        <f t="shared" si="81"/>
        <v>0</v>
      </c>
      <c r="BR103" s="93">
        <f t="shared" si="81"/>
        <v>0</v>
      </c>
      <c r="BS103" s="93">
        <f t="shared" si="81"/>
        <v>0</v>
      </c>
      <c r="BT103" s="93">
        <f t="shared" si="81"/>
        <v>0</v>
      </c>
      <c r="BU103" s="93">
        <f t="shared" si="81"/>
        <v>0</v>
      </c>
      <c r="BV103" s="93">
        <f t="shared" si="81"/>
        <v>0</v>
      </c>
      <c r="BW103" s="93">
        <f t="shared" si="81"/>
        <v>0</v>
      </c>
      <c r="BX103" s="93">
        <f t="shared" si="81"/>
        <v>0</v>
      </c>
      <c r="BY103" s="93">
        <f t="shared" si="81"/>
        <v>0</v>
      </c>
      <c r="BZ103" s="93">
        <f t="shared" si="81"/>
        <v>0</v>
      </c>
      <c r="CA103" s="93">
        <f t="shared" si="81"/>
        <v>0</v>
      </c>
    </row>
    <row r="104" hidden="1" outlineLevel="1">
      <c r="A104" s="47"/>
      <c r="B104" s="98" t="s">
        <v>78</v>
      </c>
      <c r="C104" s="95">
        <v>0.0</v>
      </c>
      <c r="D104" s="96">
        <v>0.2</v>
      </c>
      <c r="E104" s="97">
        <v>44256.0</v>
      </c>
      <c r="H104" s="93"/>
      <c r="I104" s="93"/>
      <c r="J104" s="93"/>
      <c r="K104" s="93"/>
      <c r="L104" s="93"/>
      <c r="M104" s="93"/>
      <c r="N104" s="93"/>
      <c r="O104" s="93"/>
      <c r="P104" s="93"/>
      <c r="Q104" s="93"/>
      <c r="R104" s="93"/>
      <c r="S104" s="93"/>
      <c r="T104" s="93">
        <f t="shared" ref="T104:CA104" si="82">IF(T$4&gt;=$E104,($C104/12)*(1+$D104),0)</f>
        <v>0</v>
      </c>
      <c r="U104" s="93">
        <f t="shared" si="82"/>
        <v>0</v>
      </c>
      <c r="V104" s="93">
        <f t="shared" si="82"/>
        <v>0</v>
      </c>
      <c r="W104" s="93">
        <f t="shared" si="82"/>
        <v>0</v>
      </c>
      <c r="X104" s="93">
        <f t="shared" si="82"/>
        <v>0</v>
      </c>
      <c r="Y104" s="93">
        <f t="shared" si="82"/>
        <v>0</v>
      </c>
      <c r="Z104" s="93">
        <f t="shared" si="82"/>
        <v>0</v>
      </c>
      <c r="AA104" s="93">
        <f t="shared" si="82"/>
        <v>0</v>
      </c>
      <c r="AB104" s="93">
        <f t="shared" si="82"/>
        <v>0</v>
      </c>
      <c r="AC104" s="93">
        <f t="shared" si="82"/>
        <v>0</v>
      </c>
      <c r="AD104" s="93">
        <f t="shared" si="82"/>
        <v>0</v>
      </c>
      <c r="AE104" s="93">
        <f t="shared" si="82"/>
        <v>0</v>
      </c>
      <c r="AF104" s="93">
        <f t="shared" si="82"/>
        <v>0</v>
      </c>
      <c r="AG104" s="93">
        <f t="shared" si="82"/>
        <v>0</v>
      </c>
      <c r="AH104" s="93">
        <f t="shared" si="82"/>
        <v>0</v>
      </c>
      <c r="AI104" s="93">
        <f t="shared" si="82"/>
        <v>0</v>
      </c>
      <c r="AJ104" s="93">
        <f t="shared" si="82"/>
        <v>0</v>
      </c>
      <c r="AK104" s="93">
        <f t="shared" si="82"/>
        <v>0</v>
      </c>
      <c r="AL104" s="93">
        <f t="shared" si="82"/>
        <v>0</v>
      </c>
      <c r="AM104" s="93">
        <f t="shared" si="82"/>
        <v>0</v>
      </c>
      <c r="AN104" s="93">
        <f t="shared" si="82"/>
        <v>0</v>
      </c>
      <c r="AO104" s="93">
        <f t="shared" si="82"/>
        <v>0</v>
      </c>
      <c r="AP104" s="93">
        <f t="shared" si="82"/>
        <v>0</v>
      </c>
      <c r="AQ104" s="93">
        <f t="shared" si="82"/>
        <v>0</v>
      </c>
      <c r="AR104" s="93">
        <f t="shared" si="82"/>
        <v>0</v>
      </c>
      <c r="AS104" s="93">
        <f t="shared" si="82"/>
        <v>0</v>
      </c>
      <c r="AT104" s="93">
        <f t="shared" si="82"/>
        <v>0</v>
      </c>
      <c r="AU104" s="93">
        <f t="shared" si="82"/>
        <v>0</v>
      </c>
      <c r="AV104" s="93">
        <f t="shared" si="82"/>
        <v>0</v>
      </c>
      <c r="AW104" s="93">
        <f t="shared" si="82"/>
        <v>0</v>
      </c>
      <c r="AX104" s="93">
        <f t="shared" si="82"/>
        <v>0</v>
      </c>
      <c r="AY104" s="93">
        <f t="shared" si="82"/>
        <v>0</v>
      </c>
      <c r="AZ104" s="93">
        <f t="shared" si="82"/>
        <v>0</v>
      </c>
      <c r="BA104" s="93">
        <f t="shared" si="82"/>
        <v>0</v>
      </c>
      <c r="BB104" s="93">
        <f t="shared" si="82"/>
        <v>0</v>
      </c>
      <c r="BC104" s="93">
        <f t="shared" si="82"/>
        <v>0</v>
      </c>
      <c r="BD104" s="93">
        <f t="shared" si="82"/>
        <v>0</v>
      </c>
      <c r="BE104" s="93">
        <f t="shared" si="82"/>
        <v>0</v>
      </c>
      <c r="BF104" s="93">
        <f t="shared" si="82"/>
        <v>0</v>
      </c>
      <c r="BG104" s="93">
        <f t="shared" si="82"/>
        <v>0</v>
      </c>
      <c r="BH104" s="93">
        <f t="shared" si="82"/>
        <v>0</v>
      </c>
      <c r="BI104" s="93">
        <f t="shared" si="82"/>
        <v>0</v>
      </c>
      <c r="BJ104" s="93">
        <f t="shared" si="82"/>
        <v>0</v>
      </c>
      <c r="BK104" s="93">
        <f t="shared" si="82"/>
        <v>0</v>
      </c>
      <c r="BL104" s="93">
        <f t="shared" si="82"/>
        <v>0</v>
      </c>
      <c r="BM104" s="93">
        <f t="shared" si="82"/>
        <v>0</v>
      </c>
      <c r="BN104" s="93">
        <f t="shared" si="82"/>
        <v>0</v>
      </c>
      <c r="BO104" s="93">
        <f t="shared" si="82"/>
        <v>0</v>
      </c>
      <c r="BP104" s="93">
        <f t="shared" si="82"/>
        <v>0</v>
      </c>
      <c r="BQ104" s="93">
        <f t="shared" si="82"/>
        <v>0</v>
      </c>
      <c r="BR104" s="93">
        <f t="shared" si="82"/>
        <v>0</v>
      </c>
      <c r="BS104" s="93">
        <f t="shared" si="82"/>
        <v>0</v>
      </c>
      <c r="BT104" s="93">
        <f t="shared" si="82"/>
        <v>0</v>
      </c>
      <c r="BU104" s="93">
        <f t="shared" si="82"/>
        <v>0</v>
      </c>
      <c r="BV104" s="93">
        <f t="shared" si="82"/>
        <v>0</v>
      </c>
      <c r="BW104" s="93">
        <f t="shared" si="82"/>
        <v>0</v>
      </c>
      <c r="BX104" s="93">
        <f t="shared" si="82"/>
        <v>0</v>
      </c>
      <c r="BY104" s="93">
        <f t="shared" si="82"/>
        <v>0</v>
      </c>
      <c r="BZ104" s="93">
        <f t="shared" si="82"/>
        <v>0</v>
      </c>
      <c r="CA104" s="93">
        <f t="shared" si="82"/>
        <v>0</v>
      </c>
    </row>
    <row r="105" hidden="1" outlineLevel="1">
      <c r="A105" s="47"/>
      <c r="B105" s="98" t="s">
        <v>79</v>
      </c>
      <c r="C105" s="95">
        <v>0.0</v>
      </c>
      <c r="D105" s="96">
        <v>0.2</v>
      </c>
      <c r="E105" s="97"/>
      <c r="H105" s="93"/>
      <c r="I105" s="93"/>
      <c r="J105" s="93"/>
      <c r="K105" s="93"/>
      <c r="L105" s="93"/>
      <c r="M105" s="93"/>
      <c r="N105" s="93"/>
      <c r="O105" s="93"/>
      <c r="P105" s="93"/>
      <c r="Q105" s="93"/>
      <c r="R105" s="93"/>
      <c r="S105" s="93"/>
      <c r="T105" s="93">
        <f t="shared" ref="T105:CA105" si="83">IF(T$4&gt;=$G105,($C105/12)*(1+$D105),0)</f>
        <v>0</v>
      </c>
      <c r="U105" s="93">
        <f t="shared" si="83"/>
        <v>0</v>
      </c>
      <c r="V105" s="93">
        <f t="shared" si="83"/>
        <v>0</v>
      </c>
      <c r="W105" s="93">
        <f t="shared" si="83"/>
        <v>0</v>
      </c>
      <c r="X105" s="93">
        <f t="shared" si="83"/>
        <v>0</v>
      </c>
      <c r="Y105" s="93">
        <f t="shared" si="83"/>
        <v>0</v>
      </c>
      <c r="Z105" s="93">
        <f t="shared" si="83"/>
        <v>0</v>
      </c>
      <c r="AA105" s="93">
        <f t="shared" si="83"/>
        <v>0</v>
      </c>
      <c r="AB105" s="93">
        <f t="shared" si="83"/>
        <v>0</v>
      </c>
      <c r="AC105" s="93">
        <f t="shared" si="83"/>
        <v>0</v>
      </c>
      <c r="AD105" s="93">
        <f t="shared" si="83"/>
        <v>0</v>
      </c>
      <c r="AE105" s="93">
        <f t="shared" si="83"/>
        <v>0</v>
      </c>
      <c r="AF105" s="93">
        <f t="shared" si="83"/>
        <v>0</v>
      </c>
      <c r="AG105" s="93">
        <f t="shared" si="83"/>
        <v>0</v>
      </c>
      <c r="AH105" s="93">
        <f t="shared" si="83"/>
        <v>0</v>
      </c>
      <c r="AI105" s="93">
        <f t="shared" si="83"/>
        <v>0</v>
      </c>
      <c r="AJ105" s="93">
        <f t="shared" si="83"/>
        <v>0</v>
      </c>
      <c r="AK105" s="93">
        <f t="shared" si="83"/>
        <v>0</v>
      </c>
      <c r="AL105" s="93">
        <f t="shared" si="83"/>
        <v>0</v>
      </c>
      <c r="AM105" s="93">
        <f t="shared" si="83"/>
        <v>0</v>
      </c>
      <c r="AN105" s="93">
        <f t="shared" si="83"/>
        <v>0</v>
      </c>
      <c r="AO105" s="93">
        <f t="shared" si="83"/>
        <v>0</v>
      </c>
      <c r="AP105" s="93">
        <f t="shared" si="83"/>
        <v>0</v>
      </c>
      <c r="AQ105" s="93">
        <f t="shared" si="83"/>
        <v>0</v>
      </c>
      <c r="AR105" s="93">
        <f t="shared" si="83"/>
        <v>0</v>
      </c>
      <c r="AS105" s="93">
        <f t="shared" si="83"/>
        <v>0</v>
      </c>
      <c r="AT105" s="93">
        <f t="shared" si="83"/>
        <v>0</v>
      </c>
      <c r="AU105" s="93">
        <f t="shared" si="83"/>
        <v>0</v>
      </c>
      <c r="AV105" s="93">
        <f t="shared" si="83"/>
        <v>0</v>
      </c>
      <c r="AW105" s="93">
        <f t="shared" si="83"/>
        <v>0</v>
      </c>
      <c r="AX105" s="93">
        <f t="shared" si="83"/>
        <v>0</v>
      </c>
      <c r="AY105" s="93">
        <f t="shared" si="83"/>
        <v>0</v>
      </c>
      <c r="AZ105" s="93">
        <f t="shared" si="83"/>
        <v>0</v>
      </c>
      <c r="BA105" s="93">
        <f t="shared" si="83"/>
        <v>0</v>
      </c>
      <c r="BB105" s="93">
        <f t="shared" si="83"/>
        <v>0</v>
      </c>
      <c r="BC105" s="93">
        <f t="shared" si="83"/>
        <v>0</v>
      </c>
      <c r="BD105" s="93">
        <f t="shared" si="83"/>
        <v>0</v>
      </c>
      <c r="BE105" s="93">
        <f t="shared" si="83"/>
        <v>0</v>
      </c>
      <c r="BF105" s="93">
        <f t="shared" si="83"/>
        <v>0</v>
      </c>
      <c r="BG105" s="93">
        <f t="shared" si="83"/>
        <v>0</v>
      </c>
      <c r="BH105" s="93">
        <f t="shared" si="83"/>
        <v>0</v>
      </c>
      <c r="BI105" s="93">
        <f t="shared" si="83"/>
        <v>0</v>
      </c>
      <c r="BJ105" s="93">
        <f t="shared" si="83"/>
        <v>0</v>
      </c>
      <c r="BK105" s="93">
        <f t="shared" si="83"/>
        <v>0</v>
      </c>
      <c r="BL105" s="93">
        <f t="shared" si="83"/>
        <v>0</v>
      </c>
      <c r="BM105" s="93">
        <f t="shared" si="83"/>
        <v>0</v>
      </c>
      <c r="BN105" s="93">
        <f t="shared" si="83"/>
        <v>0</v>
      </c>
      <c r="BO105" s="93">
        <f t="shared" si="83"/>
        <v>0</v>
      </c>
      <c r="BP105" s="93">
        <f t="shared" si="83"/>
        <v>0</v>
      </c>
      <c r="BQ105" s="93">
        <f t="shared" si="83"/>
        <v>0</v>
      </c>
      <c r="BR105" s="93">
        <f t="shared" si="83"/>
        <v>0</v>
      </c>
      <c r="BS105" s="93">
        <f t="shared" si="83"/>
        <v>0</v>
      </c>
      <c r="BT105" s="93">
        <f t="shared" si="83"/>
        <v>0</v>
      </c>
      <c r="BU105" s="93">
        <f t="shared" si="83"/>
        <v>0</v>
      </c>
      <c r="BV105" s="93">
        <f t="shared" si="83"/>
        <v>0</v>
      </c>
      <c r="BW105" s="93">
        <f t="shared" si="83"/>
        <v>0</v>
      </c>
      <c r="BX105" s="93">
        <f t="shared" si="83"/>
        <v>0</v>
      </c>
      <c r="BY105" s="93">
        <f t="shared" si="83"/>
        <v>0</v>
      </c>
      <c r="BZ105" s="93">
        <f t="shared" si="83"/>
        <v>0</v>
      </c>
      <c r="CA105" s="93">
        <f t="shared" si="83"/>
        <v>0</v>
      </c>
    </row>
    <row r="106">
      <c r="A106" s="47"/>
      <c r="B106" s="47"/>
      <c r="C106" s="47"/>
      <c r="D106" s="47"/>
      <c r="E106" s="47"/>
      <c r="F106" s="47"/>
      <c r="G106" s="47"/>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row>
    <row r="107" collapsed="1">
      <c r="A107" s="47"/>
      <c r="B107" s="48" t="s">
        <v>80</v>
      </c>
      <c r="C107" s="49"/>
      <c r="D107" s="49"/>
      <c r="E107" s="49"/>
      <c r="F107" s="49"/>
      <c r="G107" s="49"/>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row>
    <row r="108" hidden="1" outlineLevel="1">
      <c r="A108" s="47"/>
      <c r="B108" s="47"/>
      <c r="C108" s="47"/>
      <c r="D108" s="47"/>
      <c r="E108" s="47"/>
      <c r="F108" s="47"/>
      <c r="G108" s="47"/>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row>
    <row r="109" hidden="1" outlineLevel="1">
      <c r="A109" s="47"/>
      <c r="B109" s="52" t="s">
        <v>81</v>
      </c>
      <c r="C109" s="92" t="s">
        <v>82</v>
      </c>
      <c r="D109" s="47"/>
      <c r="E109" s="47"/>
      <c r="F109" s="47"/>
      <c r="G109" s="47"/>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row>
    <row r="110" hidden="1" outlineLevel="1">
      <c r="A110" s="47"/>
      <c r="B110" s="99" t="s">
        <v>83</v>
      </c>
      <c r="C110" s="100">
        <v>0.02</v>
      </c>
      <c r="D110" s="47"/>
      <c r="E110" s="47"/>
      <c r="F110" s="47"/>
      <c r="G110" s="47"/>
      <c r="H110" s="93"/>
      <c r="I110" s="93"/>
      <c r="J110" s="93"/>
      <c r="K110" s="93"/>
      <c r="L110" s="93"/>
      <c r="M110" s="93"/>
      <c r="N110" s="93"/>
      <c r="O110" s="93"/>
      <c r="P110" s="93"/>
      <c r="Q110" s="93"/>
      <c r="R110" s="93"/>
      <c r="S110" s="93"/>
      <c r="T110" s="93">
        <f>Financials!F$8*$C110</f>
        <v>0</v>
      </c>
      <c r="U110" s="93">
        <f>Financials!G$8*$C110</f>
        <v>9.5</v>
      </c>
      <c r="V110" s="93">
        <f>Financials!H$8*$C110</f>
        <v>19.19</v>
      </c>
      <c r="W110" s="93">
        <f>Financials!I$8*$C110</f>
        <v>29.0738</v>
      </c>
      <c r="X110" s="93">
        <f>Financials!J$8*$C110</f>
        <v>39.155276</v>
      </c>
      <c r="Y110" s="93">
        <f>Financials!K$8*$C110</f>
        <v>56.83838152</v>
      </c>
      <c r="Z110" s="93">
        <f>Financials!L$8*$C110</f>
        <v>74.87514915</v>
      </c>
      <c r="AA110" s="93">
        <f>Financials!M$8*$C110</f>
        <v>93.27265213</v>
      </c>
      <c r="AB110" s="93">
        <f>Financials!N$8*$C110</f>
        <v>112.0381052</v>
      </c>
      <c r="AC110" s="93">
        <f>Financials!O$8*$C110</f>
        <v>131.1788673</v>
      </c>
      <c r="AD110" s="93">
        <f>Financials!P$8*$C110</f>
        <v>150.7024446</v>
      </c>
      <c r="AE110" s="93">
        <f>Financials!Q$8*$C110</f>
        <v>170.6164935</v>
      </c>
      <c r="AF110" s="93">
        <f>Financials!R$8*$C110</f>
        <v>190.9288234</v>
      </c>
      <c r="AG110" s="93">
        <f>Financials!S$8*$C110</f>
        <v>209.7473999</v>
      </c>
      <c r="AH110" s="93">
        <f>Financials!T$8*$C110</f>
        <v>228.9423479</v>
      </c>
      <c r="AI110" s="93">
        <f>Financials!U$8*$C110</f>
        <v>248.5211948</v>
      </c>
      <c r="AJ110" s="93">
        <f>Financials!V$8*$C110</f>
        <v>268.4916187</v>
      </c>
      <c r="AK110" s="93">
        <f>Financials!W$8*$C110</f>
        <v>287.3814511</v>
      </c>
      <c r="AL110" s="93">
        <f>Financials!X$8*$C110</f>
        <v>306.6490801</v>
      </c>
      <c r="AM110" s="93">
        <f>Financials!Y$8*$C110</f>
        <v>326.3020617</v>
      </c>
      <c r="AN110" s="93">
        <f>Financials!Z$8*$C110</f>
        <v>346.3481029</v>
      </c>
      <c r="AO110" s="93">
        <f>Financials!AA$8*$C110</f>
        <v>366.795065</v>
      </c>
      <c r="AP110" s="93">
        <f>Financials!AB$8*$C110</f>
        <v>387.6509663</v>
      </c>
      <c r="AQ110" s="93">
        <f>Financials!AC$8*$C110</f>
        <v>408.9239856</v>
      </c>
      <c r="AR110" s="93">
        <f>Financials!AD$8*$C110</f>
        <v>430.6224653</v>
      </c>
      <c r="AS110" s="93">
        <f>Financials!AE$8*$C110</f>
        <v>451.2349146</v>
      </c>
      <c r="AT110" s="93">
        <f>Financials!AF$8*$C110</f>
        <v>472.2596129</v>
      </c>
      <c r="AU110" s="93">
        <f>Financials!AG$8*$C110</f>
        <v>493.7048052</v>
      </c>
      <c r="AV110" s="93">
        <f>Financials!AH$8*$C110</f>
        <v>515.5789013</v>
      </c>
      <c r="AW110" s="93">
        <f>Financials!AI$8*$C110</f>
        <v>536.7064793</v>
      </c>
      <c r="AX110" s="93">
        <f>Financials!AJ$8*$C110</f>
        <v>558.2566089</v>
      </c>
      <c r="AY110" s="93">
        <f>Financials!AK$8*$C110</f>
        <v>580.2377411</v>
      </c>
      <c r="AZ110" s="93">
        <f>Financials!AL$8*$C110</f>
        <v>602.6584959</v>
      </c>
      <c r="BA110" s="93">
        <f>Financials!AM$8*$C110</f>
        <v>625.5276658</v>
      </c>
      <c r="BB110" s="93">
        <f>Financials!AN$8*$C110</f>
        <v>648.8542191</v>
      </c>
      <c r="BC110" s="93">
        <f>Financials!AO$8*$C110</f>
        <v>672.6473035</v>
      </c>
      <c r="BD110" s="93">
        <f>Financials!AP$8*$C110</f>
        <v>696.9162496</v>
      </c>
      <c r="BE110" s="93">
        <f>Financials!AQ$8*$C110</f>
        <v>720.4545746</v>
      </c>
      <c r="BF110" s="93">
        <f>Financials!AR$8*$C110</f>
        <v>744.4636661</v>
      </c>
      <c r="BG110" s="93">
        <f>Financials!AS$8*$C110</f>
        <v>768.9529394</v>
      </c>
      <c r="BH110" s="93">
        <f>Financials!AT$8*$C110</f>
        <v>793.9319982</v>
      </c>
      <c r="BI110" s="93">
        <f>Financials!AU$8*$C110</f>
        <v>818.4634382</v>
      </c>
      <c r="BJ110" s="93">
        <f>Financials!AV$8*$C110</f>
        <v>843.4855069</v>
      </c>
      <c r="BK110" s="93">
        <f>Financials!AW$8*$C110</f>
        <v>869.0080171</v>
      </c>
      <c r="BL110" s="93">
        <f>Financials!AX$8*$C110</f>
        <v>895.0409774</v>
      </c>
      <c r="BM110" s="93">
        <f>Financials!AY$8*$C110</f>
        <v>921.5945969</v>
      </c>
      <c r="BN110" s="93">
        <f>Financials!AZ$8*$C110</f>
        <v>948.6792889</v>
      </c>
      <c r="BO110" s="93">
        <f>Financials!BA$8*$C110</f>
        <v>976.3056747</v>
      </c>
      <c r="BP110" s="93">
        <f>Financials!BB$8*$C110</f>
        <v>1004.484588</v>
      </c>
      <c r="BQ110" s="93">
        <f>Financials!BC$8*$C110</f>
        <v>1032.25428</v>
      </c>
      <c r="BR110" s="93">
        <f>Financials!BD$8*$C110</f>
        <v>1060.579366</v>
      </c>
      <c r="BS110" s="93">
        <f>Financials!BE$8*$C110</f>
        <v>1089.470953</v>
      </c>
      <c r="BT110" s="93">
        <f>Financials!BF$8*$C110</f>
        <v>1118.940372</v>
      </c>
      <c r="BU110" s="93">
        <f>Financials!BG$8*$C110</f>
        <v>1148.241419</v>
      </c>
      <c r="BV110" s="93">
        <f>Financials!BH$8*$C110</f>
        <v>1178.128488</v>
      </c>
      <c r="BW110" s="93">
        <f>Financials!BI$8*$C110</f>
        <v>1208.613297</v>
      </c>
      <c r="BX110" s="93">
        <f>Financials!BJ$8*$C110</f>
        <v>1239.707803</v>
      </c>
      <c r="BY110" s="93">
        <f>Financials!BK$8*$C110</f>
        <v>1271.424199</v>
      </c>
      <c r="BZ110" s="93">
        <f>Financials!BL$8*$C110</f>
        <v>1303.774923</v>
      </c>
      <c r="CA110" s="93">
        <f>Financials!BM$8*$C110</f>
        <v>1336.772662</v>
      </c>
    </row>
    <row r="111" hidden="1" outlineLevel="1">
      <c r="A111" s="47"/>
      <c r="B111" s="99" t="s">
        <v>84</v>
      </c>
      <c r="C111" s="100">
        <v>0.03</v>
      </c>
      <c r="D111" s="47"/>
      <c r="E111" s="47"/>
      <c r="F111" s="47"/>
      <c r="G111" s="47"/>
      <c r="H111" s="93"/>
      <c r="I111" s="93"/>
      <c r="J111" s="93"/>
      <c r="K111" s="93"/>
      <c r="L111" s="93"/>
      <c r="M111" s="93"/>
      <c r="N111" s="93"/>
      <c r="O111" s="93"/>
      <c r="P111" s="93"/>
      <c r="Q111" s="93"/>
      <c r="R111" s="93"/>
      <c r="S111" s="93"/>
      <c r="T111" s="93">
        <f>Financials!F$8*$C111</f>
        <v>0</v>
      </c>
      <c r="U111" s="93">
        <f>Financials!G$8*$C111</f>
        <v>14.25</v>
      </c>
      <c r="V111" s="93">
        <f>Financials!H$8*$C111</f>
        <v>28.785</v>
      </c>
      <c r="W111" s="93">
        <f>Financials!I$8*$C111</f>
        <v>43.6107</v>
      </c>
      <c r="X111" s="93">
        <f>Financials!J$8*$C111</f>
        <v>58.732914</v>
      </c>
      <c r="Y111" s="93">
        <f>Financials!K$8*$C111</f>
        <v>85.25757228</v>
      </c>
      <c r="Z111" s="93">
        <f>Financials!L$8*$C111</f>
        <v>112.3127237</v>
      </c>
      <c r="AA111" s="93">
        <f>Financials!M$8*$C111</f>
        <v>139.9089782</v>
      </c>
      <c r="AB111" s="93">
        <f>Financials!N$8*$C111</f>
        <v>168.0571578</v>
      </c>
      <c r="AC111" s="93">
        <f>Financials!O$8*$C111</f>
        <v>196.7683009</v>
      </c>
      <c r="AD111" s="93">
        <f>Financials!P$8*$C111</f>
        <v>226.0536669</v>
      </c>
      <c r="AE111" s="93">
        <f>Financials!Q$8*$C111</f>
        <v>255.9247403</v>
      </c>
      <c r="AF111" s="93">
        <f>Financials!R$8*$C111</f>
        <v>286.3932351</v>
      </c>
      <c r="AG111" s="93">
        <f>Financials!S$8*$C111</f>
        <v>314.6210998</v>
      </c>
      <c r="AH111" s="93">
        <f>Financials!T$8*$C111</f>
        <v>343.4135218</v>
      </c>
      <c r="AI111" s="93">
        <f>Financials!U$8*$C111</f>
        <v>372.7817922</v>
      </c>
      <c r="AJ111" s="93">
        <f>Financials!V$8*$C111</f>
        <v>402.7374281</v>
      </c>
      <c r="AK111" s="93">
        <f>Financials!W$8*$C111</f>
        <v>431.0721766</v>
      </c>
      <c r="AL111" s="93">
        <f>Financials!X$8*$C111</f>
        <v>459.9736202</v>
      </c>
      <c r="AM111" s="93">
        <f>Financials!Y$8*$C111</f>
        <v>489.4530926</v>
      </c>
      <c r="AN111" s="93">
        <f>Financials!Z$8*$C111</f>
        <v>519.5221544</v>
      </c>
      <c r="AO111" s="93">
        <f>Financials!AA$8*$C111</f>
        <v>550.1925975</v>
      </c>
      <c r="AP111" s="93">
        <f>Financials!AB$8*$C111</f>
        <v>581.4764494</v>
      </c>
      <c r="AQ111" s="93">
        <f>Financials!AC$8*$C111</f>
        <v>613.3859784</v>
      </c>
      <c r="AR111" s="93">
        <f>Financials!AD$8*$C111</f>
        <v>645.933698</v>
      </c>
      <c r="AS111" s="93">
        <f>Financials!AE$8*$C111</f>
        <v>676.852372</v>
      </c>
      <c r="AT111" s="93">
        <f>Financials!AF$8*$C111</f>
        <v>708.3894194</v>
      </c>
      <c r="AU111" s="93">
        <f>Financials!AG$8*$C111</f>
        <v>740.5572078</v>
      </c>
      <c r="AV111" s="93">
        <f>Financials!AH$8*$C111</f>
        <v>773.3683519</v>
      </c>
      <c r="AW111" s="93">
        <f>Financials!AI$8*$C111</f>
        <v>805.059719</v>
      </c>
      <c r="AX111" s="93">
        <f>Financials!AJ$8*$C111</f>
        <v>837.3849134</v>
      </c>
      <c r="AY111" s="93">
        <f>Financials!AK$8*$C111</f>
        <v>870.3566116</v>
      </c>
      <c r="AZ111" s="93">
        <f>Financials!AL$8*$C111</f>
        <v>903.9877439</v>
      </c>
      <c r="BA111" s="93">
        <f>Financials!AM$8*$C111</f>
        <v>938.2914987</v>
      </c>
      <c r="BB111" s="93">
        <f>Financials!AN$8*$C111</f>
        <v>973.2813287</v>
      </c>
      <c r="BC111" s="93">
        <f>Financials!AO$8*$C111</f>
        <v>1008.970955</v>
      </c>
      <c r="BD111" s="93">
        <f>Financials!AP$8*$C111</f>
        <v>1045.374374</v>
      </c>
      <c r="BE111" s="93">
        <f>Financials!AQ$8*$C111</f>
        <v>1080.681862</v>
      </c>
      <c r="BF111" s="93">
        <f>Financials!AR$8*$C111</f>
        <v>1116.695499</v>
      </c>
      <c r="BG111" s="93">
        <f>Financials!AS$8*$C111</f>
        <v>1153.429409</v>
      </c>
      <c r="BH111" s="93">
        <f>Financials!AT$8*$C111</f>
        <v>1190.897997</v>
      </c>
      <c r="BI111" s="93">
        <f>Financials!AU$8*$C111</f>
        <v>1227.695157</v>
      </c>
      <c r="BJ111" s="93">
        <f>Financials!AV$8*$C111</f>
        <v>1265.22826</v>
      </c>
      <c r="BK111" s="93">
        <f>Financials!AW$8*$C111</f>
        <v>1303.512026</v>
      </c>
      <c r="BL111" s="93">
        <f>Financials!AX$8*$C111</f>
        <v>1342.561466</v>
      </c>
      <c r="BM111" s="93">
        <f>Financials!AY$8*$C111</f>
        <v>1382.391895</v>
      </c>
      <c r="BN111" s="93">
        <f>Financials!AZ$8*$C111</f>
        <v>1423.018933</v>
      </c>
      <c r="BO111" s="93">
        <f>Financials!BA$8*$C111</f>
        <v>1464.458512</v>
      </c>
      <c r="BP111" s="93">
        <f>Financials!BB$8*$C111</f>
        <v>1506.726882</v>
      </c>
      <c r="BQ111" s="93">
        <f>Financials!BC$8*$C111</f>
        <v>1548.38142</v>
      </c>
      <c r="BR111" s="93">
        <f>Financials!BD$8*$C111</f>
        <v>1590.869048</v>
      </c>
      <c r="BS111" s="93">
        <f>Financials!BE$8*$C111</f>
        <v>1634.206429</v>
      </c>
      <c r="BT111" s="93">
        <f>Financials!BF$8*$C111</f>
        <v>1678.410558</v>
      </c>
      <c r="BU111" s="93">
        <f>Financials!BG$8*$C111</f>
        <v>1722.362129</v>
      </c>
      <c r="BV111" s="93">
        <f>Financials!BH$8*$C111</f>
        <v>1767.192732</v>
      </c>
      <c r="BW111" s="93">
        <f>Financials!BI$8*$C111</f>
        <v>1812.919946</v>
      </c>
      <c r="BX111" s="93">
        <f>Financials!BJ$8*$C111</f>
        <v>1859.561705</v>
      </c>
      <c r="BY111" s="93">
        <f>Financials!BK$8*$C111</f>
        <v>1907.136299</v>
      </c>
      <c r="BZ111" s="93">
        <f>Financials!BL$8*$C111</f>
        <v>1955.662385</v>
      </c>
      <c r="CA111" s="93">
        <f>Financials!BM$8*$C111</f>
        <v>2005.158993</v>
      </c>
    </row>
    <row r="112" hidden="1" outlineLevel="1">
      <c r="A112" s="47"/>
      <c r="B112" s="99" t="s">
        <v>85</v>
      </c>
      <c r="C112" s="100">
        <v>0.05</v>
      </c>
      <c r="D112" s="47"/>
      <c r="E112" s="47"/>
      <c r="F112" s="47"/>
      <c r="G112" s="47"/>
      <c r="H112" s="93"/>
      <c r="I112" s="93"/>
      <c r="J112" s="93"/>
      <c r="K112" s="93"/>
      <c r="L112" s="93"/>
      <c r="M112" s="93"/>
      <c r="N112" s="93"/>
      <c r="O112" s="93"/>
      <c r="P112" s="93"/>
      <c r="Q112" s="93"/>
      <c r="R112" s="93"/>
      <c r="S112" s="93"/>
      <c r="T112" s="93">
        <f>Financials!F$8*$C112</f>
        <v>0</v>
      </c>
      <c r="U112" s="93">
        <f>Financials!G$8*$C112</f>
        <v>23.75</v>
      </c>
      <c r="V112" s="93">
        <f>Financials!H$8*$C112</f>
        <v>47.975</v>
      </c>
      <c r="W112" s="93">
        <f>Financials!I$8*$C112</f>
        <v>72.6845</v>
      </c>
      <c r="X112" s="93">
        <f>Financials!J$8*$C112</f>
        <v>97.88819</v>
      </c>
      <c r="Y112" s="93">
        <f>Financials!K$8*$C112</f>
        <v>142.0959538</v>
      </c>
      <c r="Z112" s="93">
        <f>Financials!L$8*$C112</f>
        <v>187.1878729</v>
      </c>
      <c r="AA112" s="93">
        <f>Financials!M$8*$C112</f>
        <v>233.1816303</v>
      </c>
      <c r="AB112" s="93">
        <f>Financials!N$8*$C112</f>
        <v>280.0952629</v>
      </c>
      <c r="AC112" s="93">
        <f>Financials!O$8*$C112</f>
        <v>327.9471682</v>
      </c>
      <c r="AD112" s="93">
        <f>Financials!P$8*$C112</f>
        <v>376.7561116</v>
      </c>
      <c r="AE112" s="93">
        <f>Financials!Q$8*$C112</f>
        <v>426.5412338</v>
      </c>
      <c r="AF112" s="93">
        <f>Financials!R$8*$C112</f>
        <v>477.3220585</v>
      </c>
      <c r="AG112" s="93">
        <f>Financials!S$8*$C112</f>
        <v>524.3684996</v>
      </c>
      <c r="AH112" s="93">
        <f>Financials!T$8*$C112</f>
        <v>572.3558696</v>
      </c>
      <c r="AI112" s="93">
        <f>Financials!U$8*$C112</f>
        <v>621.302987</v>
      </c>
      <c r="AJ112" s="93">
        <f>Financials!V$8*$C112</f>
        <v>671.2290468</v>
      </c>
      <c r="AK112" s="93">
        <f>Financials!W$8*$C112</f>
        <v>718.4536277</v>
      </c>
      <c r="AL112" s="93">
        <f>Financials!X$8*$C112</f>
        <v>766.6227003</v>
      </c>
      <c r="AM112" s="93">
        <f>Financials!Y$8*$C112</f>
        <v>815.7551543</v>
      </c>
      <c r="AN112" s="93">
        <f>Financials!Z$8*$C112</f>
        <v>865.8702573</v>
      </c>
      <c r="AO112" s="93">
        <f>Financials!AA$8*$C112</f>
        <v>916.9876625</v>
      </c>
      <c r="AP112" s="93">
        <f>Financials!AB$8*$C112</f>
        <v>969.1274157</v>
      </c>
      <c r="AQ112" s="93">
        <f>Financials!AC$8*$C112</f>
        <v>1022.309964</v>
      </c>
      <c r="AR112" s="93">
        <f>Financials!AD$8*$C112</f>
        <v>1076.556163</v>
      </c>
      <c r="AS112" s="93">
        <f>Financials!AE$8*$C112</f>
        <v>1128.087287</v>
      </c>
      <c r="AT112" s="93">
        <f>Financials!AF$8*$C112</f>
        <v>1180.649032</v>
      </c>
      <c r="AU112" s="93">
        <f>Financials!AG$8*$C112</f>
        <v>1234.262013</v>
      </c>
      <c r="AV112" s="93">
        <f>Financials!AH$8*$C112</f>
        <v>1288.947253</v>
      </c>
      <c r="AW112" s="93">
        <f>Financials!AI$8*$C112</f>
        <v>1341.766198</v>
      </c>
      <c r="AX112" s="93">
        <f>Financials!AJ$8*$C112</f>
        <v>1395.641522</v>
      </c>
      <c r="AY112" s="93">
        <f>Financials!AK$8*$C112</f>
        <v>1450.594353</v>
      </c>
      <c r="AZ112" s="93">
        <f>Financials!AL$8*$C112</f>
        <v>1506.64624</v>
      </c>
      <c r="BA112" s="93">
        <f>Financials!AM$8*$C112</f>
        <v>1563.819165</v>
      </c>
      <c r="BB112" s="93">
        <f>Financials!AN$8*$C112</f>
        <v>1622.135548</v>
      </c>
      <c r="BC112" s="93">
        <f>Financials!AO$8*$C112</f>
        <v>1681.618259</v>
      </c>
      <c r="BD112" s="93">
        <f>Financials!AP$8*$C112</f>
        <v>1742.290624</v>
      </c>
      <c r="BE112" s="93">
        <f>Financials!AQ$8*$C112</f>
        <v>1801.136436</v>
      </c>
      <c r="BF112" s="93">
        <f>Financials!AR$8*$C112</f>
        <v>1861.159165</v>
      </c>
      <c r="BG112" s="93">
        <f>Financials!AS$8*$C112</f>
        <v>1922.382349</v>
      </c>
      <c r="BH112" s="93">
        <f>Financials!AT$8*$C112</f>
        <v>1984.829995</v>
      </c>
      <c r="BI112" s="93">
        <f>Financials!AU$8*$C112</f>
        <v>2046.158595</v>
      </c>
      <c r="BJ112" s="93">
        <f>Financials!AV$8*$C112</f>
        <v>2108.713767</v>
      </c>
      <c r="BK112" s="93">
        <f>Financials!AW$8*$C112</f>
        <v>2172.520043</v>
      </c>
      <c r="BL112" s="93">
        <f>Financials!AX$8*$C112</f>
        <v>2237.602443</v>
      </c>
      <c r="BM112" s="93">
        <f>Financials!AY$8*$C112</f>
        <v>2303.986492</v>
      </c>
      <c r="BN112" s="93">
        <f>Financials!AZ$8*$C112</f>
        <v>2371.698222</v>
      </c>
      <c r="BO112" s="93">
        <f>Financials!BA$8*$C112</f>
        <v>2440.764187</v>
      </c>
      <c r="BP112" s="93">
        <f>Financials!BB$8*$C112</f>
        <v>2511.21147</v>
      </c>
      <c r="BQ112" s="93">
        <f>Financials!BC$8*$C112</f>
        <v>2580.6357</v>
      </c>
      <c r="BR112" s="93">
        <f>Financials!BD$8*$C112</f>
        <v>2651.448414</v>
      </c>
      <c r="BS112" s="93">
        <f>Financials!BE$8*$C112</f>
        <v>2723.677382</v>
      </c>
      <c r="BT112" s="93">
        <f>Financials!BF$8*$C112</f>
        <v>2797.35093</v>
      </c>
      <c r="BU112" s="93">
        <f>Financials!BG$8*$C112</f>
        <v>2870.603548</v>
      </c>
      <c r="BV112" s="93">
        <f>Financials!BH$8*$C112</f>
        <v>2945.321219</v>
      </c>
      <c r="BW112" s="93">
        <f>Financials!BI$8*$C112</f>
        <v>3021.533244</v>
      </c>
      <c r="BX112" s="93">
        <f>Financials!BJ$8*$C112</f>
        <v>3099.269509</v>
      </c>
      <c r="BY112" s="93">
        <f>Financials!BK$8*$C112</f>
        <v>3178.560499</v>
      </c>
      <c r="BZ112" s="93">
        <f>Financials!BL$8*$C112</f>
        <v>3259.437309</v>
      </c>
      <c r="CA112" s="93">
        <f>Financials!BM$8*$C112</f>
        <v>3341.931655</v>
      </c>
    </row>
    <row r="113" hidden="1" outlineLevel="1">
      <c r="A113" s="47"/>
      <c r="B113" s="101" t="s">
        <v>86</v>
      </c>
      <c r="C113" s="100">
        <v>0.05</v>
      </c>
      <c r="D113" s="47"/>
      <c r="E113" s="47"/>
      <c r="F113" s="47"/>
      <c r="G113" s="47"/>
      <c r="H113" s="93"/>
      <c r="I113" s="93"/>
      <c r="J113" s="93"/>
      <c r="K113" s="93"/>
      <c r="L113" s="93"/>
      <c r="M113" s="93"/>
      <c r="N113" s="93"/>
      <c r="O113" s="93"/>
      <c r="P113" s="93"/>
      <c r="Q113" s="93"/>
      <c r="R113" s="93"/>
      <c r="S113" s="93"/>
      <c r="T113" s="93">
        <f>Financials!F$8*$C113</f>
        <v>0</v>
      </c>
      <c r="U113" s="93">
        <f>Financials!G$8*$C113</f>
        <v>23.75</v>
      </c>
      <c r="V113" s="93">
        <f>Financials!H$8*$C113</f>
        <v>47.975</v>
      </c>
      <c r="W113" s="93">
        <f>Financials!I$8*$C113</f>
        <v>72.6845</v>
      </c>
      <c r="X113" s="93">
        <f>Financials!J$8*$C113</f>
        <v>97.88819</v>
      </c>
      <c r="Y113" s="93">
        <f>Financials!K$8*$C113</f>
        <v>142.0959538</v>
      </c>
      <c r="Z113" s="93">
        <f>Financials!L$8*$C113</f>
        <v>187.1878729</v>
      </c>
      <c r="AA113" s="93">
        <f>Financials!M$8*$C113</f>
        <v>233.1816303</v>
      </c>
      <c r="AB113" s="93">
        <f>Financials!N$8*$C113</f>
        <v>280.0952629</v>
      </c>
      <c r="AC113" s="93">
        <f>Financials!O$8*$C113</f>
        <v>327.9471682</v>
      </c>
      <c r="AD113" s="93">
        <f>Financials!P$8*$C113</f>
        <v>376.7561116</v>
      </c>
      <c r="AE113" s="93">
        <f>Financials!Q$8*$C113</f>
        <v>426.5412338</v>
      </c>
      <c r="AF113" s="93">
        <f>Financials!R$8*$C113</f>
        <v>477.3220585</v>
      </c>
      <c r="AG113" s="93">
        <f>Financials!S$8*$C113</f>
        <v>524.3684996</v>
      </c>
      <c r="AH113" s="93">
        <f>Financials!T$8*$C113</f>
        <v>572.3558696</v>
      </c>
      <c r="AI113" s="93">
        <f>Financials!U$8*$C113</f>
        <v>621.302987</v>
      </c>
      <c r="AJ113" s="93">
        <f>Financials!V$8*$C113</f>
        <v>671.2290468</v>
      </c>
      <c r="AK113" s="93">
        <f>Financials!W$8*$C113</f>
        <v>718.4536277</v>
      </c>
      <c r="AL113" s="93">
        <f>Financials!X$8*$C113</f>
        <v>766.6227003</v>
      </c>
      <c r="AM113" s="93">
        <f>Financials!Y$8*$C113</f>
        <v>815.7551543</v>
      </c>
      <c r="AN113" s="93">
        <f>Financials!Z$8*$C113</f>
        <v>865.8702573</v>
      </c>
      <c r="AO113" s="93">
        <f>Financials!AA$8*$C113</f>
        <v>916.9876625</v>
      </c>
      <c r="AP113" s="93">
        <f>Financials!AB$8*$C113</f>
        <v>969.1274157</v>
      </c>
      <c r="AQ113" s="93">
        <f>Financials!AC$8*$C113</f>
        <v>1022.309964</v>
      </c>
      <c r="AR113" s="93">
        <f>Financials!AD$8*$C113</f>
        <v>1076.556163</v>
      </c>
      <c r="AS113" s="93">
        <f>Financials!AE$8*$C113</f>
        <v>1128.087287</v>
      </c>
      <c r="AT113" s="93">
        <f>Financials!AF$8*$C113</f>
        <v>1180.649032</v>
      </c>
      <c r="AU113" s="93">
        <f>Financials!AG$8*$C113</f>
        <v>1234.262013</v>
      </c>
      <c r="AV113" s="93">
        <f>Financials!AH$8*$C113</f>
        <v>1288.947253</v>
      </c>
      <c r="AW113" s="93">
        <f>Financials!AI$8*$C113</f>
        <v>1341.766198</v>
      </c>
      <c r="AX113" s="93">
        <f>Financials!AJ$8*$C113</f>
        <v>1395.641522</v>
      </c>
      <c r="AY113" s="93">
        <f>Financials!AK$8*$C113</f>
        <v>1450.594353</v>
      </c>
      <c r="AZ113" s="93">
        <f>Financials!AL$8*$C113</f>
        <v>1506.64624</v>
      </c>
      <c r="BA113" s="93">
        <f>Financials!AM$8*$C113</f>
        <v>1563.819165</v>
      </c>
      <c r="BB113" s="93">
        <f>Financials!AN$8*$C113</f>
        <v>1622.135548</v>
      </c>
      <c r="BC113" s="93">
        <f>Financials!AO$8*$C113</f>
        <v>1681.618259</v>
      </c>
      <c r="BD113" s="93">
        <f>Financials!AP$8*$C113</f>
        <v>1742.290624</v>
      </c>
      <c r="BE113" s="93">
        <f>Financials!AQ$8*$C113</f>
        <v>1801.136436</v>
      </c>
      <c r="BF113" s="93">
        <f>Financials!AR$8*$C113</f>
        <v>1861.159165</v>
      </c>
      <c r="BG113" s="93">
        <f>Financials!AS$8*$C113</f>
        <v>1922.382349</v>
      </c>
      <c r="BH113" s="93">
        <f>Financials!AT$8*$C113</f>
        <v>1984.829995</v>
      </c>
      <c r="BI113" s="93">
        <f>Financials!AU$8*$C113</f>
        <v>2046.158595</v>
      </c>
      <c r="BJ113" s="93">
        <f>Financials!AV$8*$C113</f>
        <v>2108.713767</v>
      </c>
      <c r="BK113" s="93">
        <f>Financials!AW$8*$C113</f>
        <v>2172.520043</v>
      </c>
      <c r="BL113" s="93">
        <f>Financials!AX$8*$C113</f>
        <v>2237.602443</v>
      </c>
      <c r="BM113" s="93">
        <f>Financials!AY$8*$C113</f>
        <v>2303.986492</v>
      </c>
      <c r="BN113" s="93">
        <f>Financials!AZ$8*$C113</f>
        <v>2371.698222</v>
      </c>
      <c r="BO113" s="93">
        <f>Financials!BA$8*$C113</f>
        <v>2440.764187</v>
      </c>
      <c r="BP113" s="93">
        <f>Financials!BB$8*$C113</f>
        <v>2511.21147</v>
      </c>
      <c r="BQ113" s="93">
        <f>Financials!BC$8*$C113</f>
        <v>2580.6357</v>
      </c>
      <c r="BR113" s="93">
        <f>Financials!BD$8*$C113</f>
        <v>2651.448414</v>
      </c>
      <c r="BS113" s="93">
        <f>Financials!BE$8*$C113</f>
        <v>2723.677382</v>
      </c>
      <c r="BT113" s="93">
        <f>Financials!BF$8*$C113</f>
        <v>2797.35093</v>
      </c>
      <c r="BU113" s="93">
        <f>Financials!BG$8*$C113</f>
        <v>2870.603548</v>
      </c>
      <c r="BV113" s="93">
        <f>Financials!BH$8*$C113</f>
        <v>2945.321219</v>
      </c>
      <c r="BW113" s="93">
        <f>Financials!BI$8*$C113</f>
        <v>3021.533244</v>
      </c>
      <c r="BX113" s="93">
        <f>Financials!BJ$8*$C113</f>
        <v>3099.269509</v>
      </c>
      <c r="BY113" s="93">
        <f>Financials!BK$8*$C113</f>
        <v>3178.560499</v>
      </c>
      <c r="BZ113" s="93">
        <f>Financials!BL$8*$C113</f>
        <v>3259.437309</v>
      </c>
      <c r="CA113" s="93">
        <f>Financials!BM$8*$C113</f>
        <v>3341.931655</v>
      </c>
    </row>
    <row r="114" hidden="1" outlineLevel="1">
      <c r="A114" s="47"/>
      <c r="B114" s="101" t="s">
        <v>87</v>
      </c>
      <c r="C114" s="100">
        <v>0.05</v>
      </c>
      <c r="D114" s="47"/>
      <c r="E114" s="47"/>
      <c r="F114" s="47"/>
      <c r="G114" s="47"/>
      <c r="H114" s="93"/>
      <c r="I114" s="93"/>
      <c r="J114" s="93"/>
      <c r="K114" s="93"/>
      <c r="L114" s="93"/>
      <c r="M114" s="93"/>
      <c r="N114" s="93"/>
      <c r="O114" s="93"/>
      <c r="P114" s="93"/>
      <c r="Q114" s="93"/>
      <c r="R114" s="93"/>
      <c r="S114" s="93"/>
      <c r="T114" s="93">
        <f>Financials!F$8*$C114</f>
        <v>0</v>
      </c>
      <c r="U114" s="93">
        <f>Financials!G$8*$C114</f>
        <v>23.75</v>
      </c>
      <c r="V114" s="93">
        <f>Financials!H$8*$C114</f>
        <v>47.975</v>
      </c>
      <c r="W114" s="93">
        <f>Financials!I$8*$C114</f>
        <v>72.6845</v>
      </c>
      <c r="X114" s="93">
        <f>Financials!J$8*$C114</f>
        <v>97.88819</v>
      </c>
      <c r="Y114" s="93">
        <f>Financials!K$8*$C114</f>
        <v>142.0959538</v>
      </c>
      <c r="Z114" s="93">
        <f>Financials!L$8*$C114</f>
        <v>187.1878729</v>
      </c>
      <c r="AA114" s="93">
        <f>Financials!M$8*$C114</f>
        <v>233.1816303</v>
      </c>
      <c r="AB114" s="93">
        <f>Financials!N$8*$C114</f>
        <v>280.0952629</v>
      </c>
      <c r="AC114" s="93">
        <f>Financials!O$8*$C114</f>
        <v>327.9471682</v>
      </c>
      <c r="AD114" s="93">
        <f>Financials!P$8*$C114</f>
        <v>376.7561116</v>
      </c>
      <c r="AE114" s="93">
        <f>Financials!Q$8*$C114</f>
        <v>426.5412338</v>
      </c>
      <c r="AF114" s="93">
        <f>Financials!R$8*$C114</f>
        <v>477.3220585</v>
      </c>
      <c r="AG114" s="93">
        <f>Financials!S$8*$C114</f>
        <v>524.3684996</v>
      </c>
      <c r="AH114" s="93">
        <f>Financials!T$8*$C114</f>
        <v>572.3558696</v>
      </c>
      <c r="AI114" s="93">
        <f>Financials!U$8*$C114</f>
        <v>621.302987</v>
      </c>
      <c r="AJ114" s="93">
        <f>Financials!V$8*$C114</f>
        <v>671.2290468</v>
      </c>
      <c r="AK114" s="93">
        <f>Financials!W$8*$C114</f>
        <v>718.4536277</v>
      </c>
      <c r="AL114" s="93">
        <f>Financials!X$8*$C114</f>
        <v>766.6227003</v>
      </c>
      <c r="AM114" s="93">
        <f>Financials!Y$8*$C114</f>
        <v>815.7551543</v>
      </c>
      <c r="AN114" s="93">
        <f>Financials!Z$8*$C114</f>
        <v>865.8702573</v>
      </c>
      <c r="AO114" s="93">
        <f>Financials!AA$8*$C114</f>
        <v>916.9876625</v>
      </c>
      <c r="AP114" s="93">
        <f>Financials!AB$8*$C114</f>
        <v>969.1274157</v>
      </c>
      <c r="AQ114" s="93">
        <f>Financials!AC$8*$C114</f>
        <v>1022.309964</v>
      </c>
      <c r="AR114" s="93">
        <f>Financials!AD$8*$C114</f>
        <v>1076.556163</v>
      </c>
      <c r="AS114" s="93">
        <f>Financials!AE$8*$C114</f>
        <v>1128.087287</v>
      </c>
      <c r="AT114" s="93">
        <f>Financials!AF$8*$C114</f>
        <v>1180.649032</v>
      </c>
      <c r="AU114" s="93">
        <f>Financials!AG$8*$C114</f>
        <v>1234.262013</v>
      </c>
      <c r="AV114" s="93">
        <f>Financials!AH$8*$C114</f>
        <v>1288.947253</v>
      </c>
      <c r="AW114" s="93">
        <f>Financials!AI$8*$C114</f>
        <v>1341.766198</v>
      </c>
      <c r="AX114" s="93">
        <f>Financials!AJ$8*$C114</f>
        <v>1395.641522</v>
      </c>
      <c r="AY114" s="93">
        <f>Financials!AK$8*$C114</f>
        <v>1450.594353</v>
      </c>
      <c r="AZ114" s="93">
        <f>Financials!AL$8*$C114</f>
        <v>1506.64624</v>
      </c>
      <c r="BA114" s="93">
        <f>Financials!AM$8*$C114</f>
        <v>1563.819165</v>
      </c>
      <c r="BB114" s="93">
        <f>Financials!AN$8*$C114</f>
        <v>1622.135548</v>
      </c>
      <c r="BC114" s="93">
        <f>Financials!AO$8*$C114</f>
        <v>1681.618259</v>
      </c>
      <c r="BD114" s="93">
        <f>Financials!AP$8*$C114</f>
        <v>1742.290624</v>
      </c>
      <c r="BE114" s="93">
        <f>Financials!AQ$8*$C114</f>
        <v>1801.136436</v>
      </c>
      <c r="BF114" s="93">
        <f>Financials!AR$8*$C114</f>
        <v>1861.159165</v>
      </c>
      <c r="BG114" s="93">
        <f>Financials!AS$8*$C114</f>
        <v>1922.382349</v>
      </c>
      <c r="BH114" s="93">
        <f>Financials!AT$8*$C114</f>
        <v>1984.829995</v>
      </c>
      <c r="BI114" s="93">
        <f>Financials!AU$8*$C114</f>
        <v>2046.158595</v>
      </c>
      <c r="BJ114" s="93">
        <f>Financials!AV$8*$C114</f>
        <v>2108.713767</v>
      </c>
      <c r="BK114" s="93">
        <f>Financials!AW$8*$C114</f>
        <v>2172.520043</v>
      </c>
      <c r="BL114" s="93">
        <f>Financials!AX$8*$C114</f>
        <v>2237.602443</v>
      </c>
      <c r="BM114" s="93">
        <f>Financials!AY$8*$C114</f>
        <v>2303.986492</v>
      </c>
      <c r="BN114" s="93">
        <f>Financials!AZ$8*$C114</f>
        <v>2371.698222</v>
      </c>
      <c r="BO114" s="93">
        <f>Financials!BA$8*$C114</f>
        <v>2440.764187</v>
      </c>
      <c r="BP114" s="93">
        <f>Financials!BB$8*$C114</f>
        <v>2511.21147</v>
      </c>
      <c r="BQ114" s="93">
        <f>Financials!BC$8*$C114</f>
        <v>2580.6357</v>
      </c>
      <c r="BR114" s="93">
        <f>Financials!BD$8*$C114</f>
        <v>2651.448414</v>
      </c>
      <c r="BS114" s="93">
        <f>Financials!BE$8*$C114</f>
        <v>2723.677382</v>
      </c>
      <c r="BT114" s="93">
        <f>Financials!BF$8*$C114</f>
        <v>2797.35093</v>
      </c>
      <c r="BU114" s="93">
        <f>Financials!BG$8*$C114</f>
        <v>2870.603548</v>
      </c>
      <c r="BV114" s="93">
        <f>Financials!BH$8*$C114</f>
        <v>2945.321219</v>
      </c>
      <c r="BW114" s="93">
        <f>Financials!BI$8*$C114</f>
        <v>3021.533244</v>
      </c>
      <c r="BX114" s="93">
        <f>Financials!BJ$8*$C114</f>
        <v>3099.269509</v>
      </c>
      <c r="BY114" s="93">
        <f>Financials!BK$8*$C114</f>
        <v>3178.560499</v>
      </c>
      <c r="BZ114" s="93">
        <f>Financials!BL$8*$C114</f>
        <v>3259.437309</v>
      </c>
      <c r="CA114" s="93">
        <f>Financials!BM$8*$C114</f>
        <v>3341.931655</v>
      </c>
    </row>
    <row r="115" hidden="1" outlineLevel="1">
      <c r="A115" s="47"/>
      <c r="B115" s="101" t="s">
        <v>88</v>
      </c>
      <c r="C115" s="100">
        <v>0.05</v>
      </c>
      <c r="D115" s="47"/>
      <c r="E115" s="47"/>
      <c r="F115" s="47"/>
      <c r="G115" s="47"/>
      <c r="H115" s="93"/>
      <c r="I115" s="93"/>
      <c r="J115" s="93"/>
      <c r="K115" s="93"/>
      <c r="L115" s="93"/>
      <c r="M115" s="93"/>
      <c r="N115" s="93"/>
      <c r="O115" s="93"/>
      <c r="P115" s="93"/>
      <c r="Q115" s="93"/>
      <c r="R115" s="93"/>
      <c r="S115" s="93"/>
      <c r="T115" s="93">
        <f>Financials!F$8*$C115</f>
        <v>0</v>
      </c>
      <c r="U115" s="93">
        <f>Financials!G$8*$C115</f>
        <v>23.75</v>
      </c>
      <c r="V115" s="93">
        <f>Financials!H$8*$C115</f>
        <v>47.975</v>
      </c>
      <c r="W115" s="93">
        <f>Financials!I$8*$C115</f>
        <v>72.6845</v>
      </c>
      <c r="X115" s="93">
        <f>Financials!J$8*$C115</f>
        <v>97.88819</v>
      </c>
      <c r="Y115" s="93">
        <f>Financials!K$8*$C115</f>
        <v>142.0959538</v>
      </c>
      <c r="Z115" s="93">
        <f>Financials!L$8*$C115</f>
        <v>187.1878729</v>
      </c>
      <c r="AA115" s="93">
        <f>Financials!M$8*$C115</f>
        <v>233.1816303</v>
      </c>
      <c r="AB115" s="93">
        <f>Financials!N$8*$C115</f>
        <v>280.0952629</v>
      </c>
      <c r="AC115" s="93">
        <f>Financials!O$8*$C115</f>
        <v>327.9471682</v>
      </c>
      <c r="AD115" s="93">
        <f>Financials!P$8*$C115</f>
        <v>376.7561116</v>
      </c>
      <c r="AE115" s="93">
        <f>Financials!Q$8*$C115</f>
        <v>426.5412338</v>
      </c>
      <c r="AF115" s="93">
        <f>Financials!R$8*$C115</f>
        <v>477.3220585</v>
      </c>
      <c r="AG115" s="93">
        <f>Financials!S$8*$C115</f>
        <v>524.3684996</v>
      </c>
      <c r="AH115" s="93">
        <f>Financials!T$8*$C115</f>
        <v>572.3558696</v>
      </c>
      <c r="AI115" s="93">
        <f>Financials!U$8*$C115</f>
        <v>621.302987</v>
      </c>
      <c r="AJ115" s="93">
        <f>Financials!V$8*$C115</f>
        <v>671.2290468</v>
      </c>
      <c r="AK115" s="93">
        <f>Financials!W$8*$C115</f>
        <v>718.4536277</v>
      </c>
      <c r="AL115" s="93">
        <f>Financials!X$8*$C115</f>
        <v>766.6227003</v>
      </c>
      <c r="AM115" s="93">
        <f>Financials!Y$8*$C115</f>
        <v>815.7551543</v>
      </c>
      <c r="AN115" s="93">
        <f>Financials!Z$8*$C115</f>
        <v>865.8702573</v>
      </c>
      <c r="AO115" s="93">
        <f>Financials!AA$8*$C115</f>
        <v>916.9876625</v>
      </c>
      <c r="AP115" s="93">
        <f>Financials!AB$8*$C115</f>
        <v>969.1274157</v>
      </c>
      <c r="AQ115" s="93">
        <f>Financials!AC$8*$C115</f>
        <v>1022.309964</v>
      </c>
      <c r="AR115" s="93">
        <f>Financials!AD$8*$C115</f>
        <v>1076.556163</v>
      </c>
      <c r="AS115" s="93">
        <f>Financials!AE$8*$C115</f>
        <v>1128.087287</v>
      </c>
      <c r="AT115" s="93">
        <f>Financials!AF$8*$C115</f>
        <v>1180.649032</v>
      </c>
      <c r="AU115" s="93">
        <f>Financials!AG$8*$C115</f>
        <v>1234.262013</v>
      </c>
      <c r="AV115" s="93">
        <f>Financials!AH$8*$C115</f>
        <v>1288.947253</v>
      </c>
      <c r="AW115" s="93">
        <f>Financials!AI$8*$C115</f>
        <v>1341.766198</v>
      </c>
      <c r="AX115" s="93">
        <f>Financials!AJ$8*$C115</f>
        <v>1395.641522</v>
      </c>
      <c r="AY115" s="93">
        <f>Financials!AK$8*$C115</f>
        <v>1450.594353</v>
      </c>
      <c r="AZ115" s="93">
        <f>Financials!AL$8*$C115</f>
        <v>1506.64624</v>
      </c>
      <c r="BA115" s="93">
        <f>Financials!AM$8*$C115</f>
        <v>1563.819165</v>
      </c>
      <c r="BB115" s="93">
        <f>Financials!AN$8*$C115</f>
        <v>1622.135548</v>
      </c>
      <c r="BC115" s="93">
        <f>Financials!AO$8*$C115</f>
        <v>1681.618259</v>
      </c>
      <c r="BD115" s="93">
        <f>Financials!AP$8*$C115</f>
        <v>1742.290624</v>
      </c>
      <c r="BE115" s="93">
        <f>Financials!AQ$8*$C115</f>
        <v>1801.136436</v>
      </c>
      <c r="BF115" s="93">
        <f>Financials!AR$8*$C115</f>
        <v>1861.159165</v>
      </c>
      <c r="BG115" s="93">
        <f>Financials!AS$8*$C115</f>
        <v>1922.382349</v>
      </c>
      <c r="BH115" s="93">
        <f>Financials!AT$8*$C115</f>
        <v>1984.829995</v>
      </c>
      <c r="BI115" s="93">
        <f>Financials!AU$8*$C115</f>
        <v>2046.158595</v>
      </c>
      <c r="BJ115" s="93">
        <f>Financials!AV$8*$C115</f>
        <v>2108.713767</v>
      </c>
      <c r="BK115" s="93">
        <f>Financials!AW$8*$C115</f>
        <v>2172.520043</v>
      </c>
      <c r="BL115" s="93">
        <f>Financials!AX$8*$C115</f>
        <v>2237.602443</v>
      </c>
      <c r="BM115" s="93">
        <f>Financials!AY$8*$C115</f>
        <v>2303.986492</v>
      </c>
      <c r="BN115" s="93">
        <f>Financials!AZ$8*$C115</f>
        <v>2371.698222</v>
      </c>
      <c r="BO115" s="93">
        <f>Financials!BA$8*$C115</f>
        <v>2440.764187</v>
      </c>
      <c r="BP115" s="93">
        <f>Financials!BB$8*$C115</f>
        <v>2511.21147</v>
      </c>
      <c r="BQ115" s="93">
        <f>Financials!BC$8*$C115</f>
        <v>2580.6357</v>
      </c>
      <c r="BR115" s="93">
        <f>Financials!BD$8*$C115</f>
        <v>2651.448414</v>
      </c>
      <c r="BS115" s="93">
        <f>Financials!BE$8*$C115</f>
        <v>2723.677382</v>
      </c>
      <c r="BT115" s="93">
        <f>Financials!BF$8*$C115</f>
        <v>2797.35093</v>
      </c>
      <c r="BU115" s="93">
        <f>Financials!BG$8*$C115</f>
        <v>2870.603548</v>
      </c>
      <c r="BV115" s="93">
        <f>Financials!BH$8*$C115</f>
        <v>2945.321219</v>
      </c>
      <c r="BW115" s="93">
        <f>Financials!BI$8*$C115</f>
        <v>3021.533244</v>
      </c>
      <c r="BX115" s="93">
        <f>Financials!BJ$8*$C115</f>
        <v>3099.269509</v>
      </c>
      <c r="BY115" s="93">
        <f>Financials!BK$8*$C115</f>
        <v>3178.560499</v>
      </c>
      <c r="BZ115" s="93">
        <f>Financials!BL$8*$C115</f>
        <v>3259.437309</v>
      </c>
      <c r="CA115" s="93">
        <f>Financials!BM$8*$C115</f>
        <v>3341.931655</v>
      </c>
    </row>
    <row r="116" hidden="1" outlineLevel="1">
      <c r="A116" s="47"/>
      <c r="B116" s="101" t="s">
        <v>89</v>
      </c>
      <c r="C116" s="100">
        <v>0.05</v>
      </c>
      <c r="D116" s="47"/>
      <c r="E116" s="47"/>
      <c r="F116" s="47"/>
      <c r="G116" s="47"/>
      <c r="H116" s="93"/>
      <c r="I116" s="93"/>
      <c r="J116" s="93"/>
      <c r="K116" s="93"/>
      <c r="L116" s="93"/>
      <c r="M116" s="93"/>
      <c r="N116" s="93"/>
      <c r="O116" s="93"/>
      <c r="P116" s="93"/>
      <c r="Q116" s="93"/>
      <c r="R116" s="93"/>
      <c r="S116" s="93"/>
      <c r="T116" s="93">
        <f>Financials!F$8*$C116</f>
        <v>0</v>
      </c>
      <c r="U116" s="93">
        <f>Financials!G$8*$C116</f>
        <v>23.75</v>
      </c>
      <c r="V116" s="93">
        <f>Financials!H$8*$C116</f>
        <v>47.975</v>
      </c>
      <c r="W116" s="93">
        <f>Financials!I$8*$C116</f>
        <v>72.6845</v>
      </c>
      <c r="X116" s="93">
        <f>Financials!J$8*$C116</f>
        <v>97.88819</v>
      </c>
      <c r="Y116" s="93">
        <f>Financials!K$8*$C116</f>
        <v>142.0959538</v>
      </c>
      <c r="Z116" s="93">
        <f>Financials!L$8*$C116</f>
        <v>187.1878729</v>
      </c>
      <c r="AA116" s="93">
        <f>Financials!M$8*$C116</f>
        <v>233.1816303</v>
      </c>
      <c r="AB116" s="93">
        <f>Financials!N$8*$C116</f>
        <v>280.0952629</v>
      </c>
      <c r="AC116" s="93">
        <f>Financials!O$8*$C116</f>
        <v>327.9471682</v>
      </c>
      <c r="AD116" s="93">
        <f>Financials!P$8*$C116</f>
        <v>376.7561116</v>
      </c>
      <c r="AE116" s="93">
        <f>Financials!Q$8*$C116</f>
        <v>426.5412338</v>
      </c>
      <c r="AF116" s="93">
        <f>Financials!R$8*$C116</f>
        <v>477.3220585</v>
      </c>
      <c r="AG116" s="93">
        <f>Financials!S$8*$C116</f>
        <v>524.3684996</v>
      </c>
      <c r="AH116" s="93">
        <f>Financials!T$8*$C116</f>
        <v>572.3558696</v>
      </c>
      <c r="AI116" s="93">
        <f>Financials!U$8*$C116</f>
        <v>621.302987</v>
      </c>
      <c r="AJ116" s="93">
        <f>Financials!V$8*$C116</f>
        <v>671.2290468</v>
      </c>
      <c r="AK116" s="93">
        <f>Financials!W$8*$C116</f>
        <v>718.4536277</v>
      </c>
      <c r="AL116" s="93">
        <f>Financials!X$8*$C116</f>
        <v>766.6227003</v>
      </c>
      <c r="AM116" s="93">
        <f>Financials!Y$8*$C116</f>
        <v>815.7551543</v>
      </c>
      <c r="AN116" s="93">
        <f>Financials!Z$8*$C116</f>
        <v>865.8702573</v>
      </c>
      <c r="AO116" s="93">
        <f>Financials!AA$8*$C116</f>
        <v>916.9876625</v>
      </c>
      <c r="AP116" s="93">
        <f>Financials!AB$8*$C116</f>
        <v>969.1274157</v>
      </c>
      <c r="AQ116" s="93">
        <f>Financials!AC$8*$C116</f>
        <v>1022.309964</v>
      </c>
      <c r="AR116" s="93">
        <f>Financials!AD$8*$C116</f>
        <v>1076.556163</v>
      </c>
      <c r="AS116" s="93">
        <f>Financials!AE$8*$C116</f>
        <v>1128.087287</v>
      </c>
      <c r="AT116" s="93">
        <f>Financials!AF$8*$C116</f>
        <v>1180.649032</v>
      </c>
      <c r="AU116" s="93">
        <f>Financials!AG$8*$C116</f>
        <v>1234.262013</v>
      </c>
      <c r="AV116" s="93">
        <f>Financials!AH$8*$C116</f>
        <v>1288.947253</v>
      </c>
      <c r="AW116" s="93">
        <f>Financials!AI$8*$C116</f>
        <v>1341.766198</v>
      </c>
      <c r="AX116" s="93">
        <f>Financials!AJ$8*$C116</f>
        <v>1395.641522</v>
      </c>
      <c r="AY116" s="93">
        <f>Financials!AK$8*$C116</f>
        <v>1450.594353</v>
      </c>
      <c r="AZ116" s="93">
        <f>Financials!AL$8*$C116</f>
        <v>1506.64624</v>
      </c>
      <c r="BA116" s="93">
        <f>Financials!AM$8*$C116</f>
        <v>1563.819165</v>
      </c>
      <c r="BB116" s="93">
        <f>Financials!AN$8*$C116</f>
        <v>1622.135548</v>
      </c>
      <c r="BC116" s="93">
        <f>Financials!AO$8*$C116</f>
        <v>1681.618259</v>
      </c>
      <c r="BD116" s="93">
        <f>Financials!AP$8*$C116</f>
        <v>1742.290624</v>
      </c>
      <c r="BE116" s="93">
        <f>Financials!AQ$8*$C116</f>
        <v>1801.136436</v>
      </c>
      <c r="BF116" s="93">
        <f>Financials!AR$8*$C116</f>
        <v>1861.159165</v>
      </c>
      <c r="BG116" s="93">
        <f>Financials!AS$8*$C116</f>
        <v>1922.382349</v>
      </c>
      <c r="BH116" s="93">
        <f>Financials!AT$8*$C116</f>
        <v>1984.829995</v>
      </c>
      <c r="BI116" s="93">
        <f>Financials!AU$8*$C116</f>
        <v>2046.158595</v>
      </c>
      <c r="BJ116" s="93">
        <f>Financials!AV$8*$C116</f>
        <v>2108.713767</v>
      </c>
      <c r="BK116" s="93">
        <f>Financials!AW$8*$C116</f>
        <v>2172.520043</v>
      </c>
      <c r="BL116" s="93">
        <f>Financials!AX$8*$C116</f>
        <v>2237.602443</v>
      </c>
      <c r="BM116" s="93">
        <f>Financials!AY$8*$C116</f>
        <v>2303.986492</v>
      </c>
      <c r="BN116" s="93">
        <f>Financials!AZ$8*$C116</f>
        <v>2371.698222</v>
      </c>
      <c r="BO116" s="93">
        <f>Financials!BA$8*$C116</f>
        <v>2440.764187</v>
      </c>
      <c r="BP116" s="93">
        <f>Financials!BB$8*$C116</f>
        <v>2511.21147</v>
      </c>
      <c r="BQ116" s="93">
        <f>Financials!BC$8*$C116</f>
        <v>2580.6357</v>
      </c>
      <c r="BR116" s="93">
        <f>Financials!BD$8*$C116</f>
        <v>2651.448414</v>
      </c>
      <c r="BS116" s="93">
        <f>Financials!BE$8*$C116</f>
        <v>2723.677382</v>
      </c>
      <c r="BT116" s="93">
        <f>Financials!BF$8*$C116</f>
        <v>2797.35093</v>
      </c>
      <c r="BU116" s="93">
        <f>Financials!BG$8*$C116</f>
        <v>2870.603548</v>
      </c>
      <c r="BV116" s="93">
        <f>Financials!BH$8*$C116</f>
        <v>2945.321219</v>
      </c>
      <c r="BW116" s="93">
        <f>Financials!BI$8*$C116</f>
        <v>3021.533244</v>
      </c>
      <c r="BX116" s="93">
        <f>Financials!BJ$8*$C116</f>
        <v>3099.269509</v>
      </c>
      <c r="BY116" s="93">
        <f>Financials!BK$8*$C116</f>
        <v>3178.560499</v>
      </c>
      <c r="BZ116" s="93">
        <f>Financials!BL$8*$C116</f>
        <v>3259.437309</v>
      </c>
      <c r="CA116" s="93">
        <f>Financials!BM$8*$C116</f>
        <v>3341.931655</v>
      </c>
    </row>
    <row r="117" hidden="1" outlineLevel="1">
      <c r="A117" s="47"/>
      <c r="B117" s="102" t="s">
        <v>90</v>
      </c>
      <c r="C117" s="103">
        <v>0.05</v>
      </c>
      <c r="D117" s="62"/>
      <c r="E117" s="62"/>
      <c r="F117" s="62"/>
      <c r="G117" s="62"/>
      <c r="H117" s="104"/>
      <c r="I117" s="104"/>
      <c r="J117" s="104"/>
      <c r="K117" s="104"/>
      <c r="L117" s="104"/>
      <c r="M117" s="104"/>
      <c r="N117" s="104"/>
      <c r="O117" s="104"/>
      <c r="P117" s="104"/>
      <c r="Q117" s="104"/>
      <c r="R117" s="104"/>
      <c r="S117" s="104"/>
      <c r="T117" s="104">
        <f>Financials!F$8*$C117</f>
        <v>0</v>
      </c>
      <c r="U117" s="104">
        <f>Financials!G$8*$C117</f>
        <v>23.75</v>
      </c>
      <c r="V117" s="104">
        <f>Financials!H$8*$C117</f>
        <v>47.975</v>
      </c>
      <c r="W117" s="104">
        <f>Financials!I$8*$C117</f>
        <v>72.6845</v>
      </c>
      <c r="X117" s="104">
        <f>Financials!J$8*$C117</f>
        <v>97.88819</v>
      </c>
      <c r="Y117" s="104">
        <f>Financials!K$8*$C117</f>
        <v>142.0959538</v>
      </c>
      <c r="Z117" s="104">
        <f>Financials!L$8*$C117</f>
        <v>187.1878729</v>
      </c>
      <c r="AA117" s="104">
        <f>Financials!M$8*$C117</f>
        <v>233.1816303</v>
      </c>
      <c r="AB117" s="104">
        <f>Financials!N$8*$C117</f>
        <v>280.0952629</v>
      </c>
      <c r="AC117" s="104">
        <f>Financials!O$8*$C117</f>
        <v>327.9471682</v>
      </c>
      <c r="AD117" s="104">
        <f>Financials!P$8*$C117</f>
        <v>376.7561116</v>
      </c>
      <c r="AE117" s="104">
        <f>Financials!Q$8*$C117</f>
        <v>426.5412338</v>
      </c>
      <c r="AF117" s="104">
        <f>Financials!R$8*$C117</f>
        <v>477.3220585</v>
      </c>
      <c r="AG117" s="104">
        <f>Financials!S$8*$C117</f>
        <v>524.3684996</v>
      </c>
      <c r="AH117" s="104">
        <f>Financials!T$8*$C117</f>
        <v>572.3558696</v>
      </c>
      <c r="AI117" s="104">
        <f>Financials!U$8*$C117</f>
        <v>621.302987</v>
      </c>
      <c r="AJ117" s="104">
        <f>Financials!V$8*$C117</f>
        <v>671.2290468</v>
      </c>
      <c r="AK117" s="104">
        <f>Financials!W$8*$C117</f>
        <v>718.4536277</v>
      </c>
      <c r="AL117" s="104">
        <f>Financials!X$8*$C117</f>
        <v>766.6227003</v>
      </c>
      <c r="AM117" s="104">
        <f>Financials!Y$8*$C117</f>
        <v>815.7551543</v>
      </c>
      <c r="AN117" s="104">
        <f>Financials!Z$8*$C117</f>
        <v>865.8702573</v>
      </c>
      <c r="AO117" s="104">
        <f>Financials!AA$8*$C117</f>
        <v>916.9876625</v>
      </c>
      <c r="AP117" s="104">
        <f>Financials!AB$8*$C117</f>
        <v>969.1274157</v>
      </c>
      <c r="AQ117" s="104">
        <f>Financials!AC$8*$C117</f>
        <v>1022.309964</v>
      </c>
      <c r="AR117" s="104">
        <f>Financials!AD$8*$C117</f>
        <v>1076.556163</v>
      </c>
      <c r="AS117" s="104">
        <f>Financials!AE$8*$C117</f>
        <v>1128.087287</v>
      </c>
      <c r="AT117" s="104">
        <f>Financials!AF$8*$C117</f>
        <v>1180.649032</v>
      </c>
      <c r="AU117" s="104">
        <f>Financials!AG$8*$C117</f>
        <v>1234.262013</v>
      </c>
      <c r="AV117" s="104">
        <f>Financials!AH$8*$C117</f>
        <v>1288.947253</v>
      </c>
      <c r="AW117" s="104">
        <f>Financials!AI$8*$C117</f>
        <v>1341.766198</v>
      </c>
      <c r="AX117" s="104">
        <f>Financials!AJ$8*$C117</f>
        <v>1395.641522</v>
      </c>
      <c r="AY117" s="104">
        <f>Financials!AK$8*$C117</f>
        <v>1450.594353</v>
      </c>
      <c r="AZ117" s="104">
        <f>Financials!AL$8*$C117</f>
        <v>1506.64624</v>
      </c>
      <c r="BA117" s="104">
        <f>Financials!AM$8*$C117</f>
        <v>1563.819165</v>
      </c>
      <c r="BB117" s="104">
        <f>Financials!AN$8*$C117</f>
        <v>1622.135548</v>
      </c>
      <c r="BC117" s="104">
        <f>Financials!AO$8*$C117</f>
        <v>1681.618259</v>
      </c>
      <c r="BD117" s="104">
        <f>Financials!AP$8*$C117</f>
        <v>1742.290624</v>
      </c>
      <c r="BE117" s="104">
        <f>Financials!AQ$8*$C117</f>
        <v>1801.136436</v>
      </c>
      <c r="BF117" s="104">
        <f>Financials!AR$8*$C117</f>
        <v>1861.159165</v>
      </c>
      <c r="BG117" s="104">
        <f>Financials!AS$8*$C117</f>
        <v>1922.382349</v>
      </c>
      <c r="BH117" s="104">
        <f>Financials!AT$8*$C117</f>
        <v>1984.829995</v>
      </c>
      <c r="BI117" s="104">
        <f>Financials!AU$8*$C117</f>
        <v>2046.158595</v>
      </c>
      <c r="BJ117" s="104">
        <f>Financials!AV$8*$C117</f>
        <v>2108.713767</v>
      </c>
      <c r="BK117" s="104">
        <f>Financials!AW$8*$C117</f>
        <v>2172.520043</v>
      </c>
      <c r="BL117" s="104">
        <f>Financials!AX$8*$C117</f>
        <v>2237.602443</v>
      </c>
      <c r="BM117" s="104">
        <f>Financials!AY$8*$C117</f>
        <v>2303.986492</v>
      </c>
      <c r="BN117" s="104">
        <f>Financials!AZ$8*$C117</f>
        <v>2371.698222</v>
      </c>
      <c r="BO117" s="104">
        <f>Financials!BA$8*$C117</f>
        <v>2440.764187</v>
      </c>
      <c r="BP117" s="104">
        <f>Financials!BB$8*$C117</f>
        <v>2511.21147</v>
      </c>
      <c r="BQ117" s="104">
        <f>Financials!BC$8*$C117</f>
        <v>2580.6357</v>
      </c>
      <c r="BR117" s="104">
        <f>Financials!BD$8*$C117</f>
        <v>2651.448414</v>
      </c>
      <c r="BS117" s="104">
        <f>Financials!BE$8*$C117</f>
        <v>2723.677382</v>
      </c>
      <c r="BT117" s="104">
        <f>Financials!BF$8*$C117</f>
        <v>2797.35093</v>
      </c>
      <c r="BU117" s="104">
        <f>Financials!BG$8*$C117</f>
        <v>2870.603548</v>
      </c>
      <c r="BV117" s="104">
        <f>Financials!BH$8*$C117</f>
        <v>2945.321219</v>
      </c>
      <c r="BW117" s="104">
        <f>Financials!BI$8*$C117</f>
        <v>3021.533244</v>
      </c>
      <c r="BX117" s="104">
        <f>Financials!BJ$8*$C117</f>
        <v>3099.269509</v>
      </c>
      <c r="BY117" s="104">
        <f>Financials!BK$8*$C117</f>
        <v>3178.560499</v>
      </c>
      <c r="BZ117" s="104">
        <f>Financials!BL$8*$C117</f>
        <v>3259.437309</v>
      </c>
      <c r="CA117" s="104">
        <f>Financials!BM$8*$C117</f>
        <v>3341.931655</v>
      </c>
    </row>
    <row r="118" hidden="1" outlineLevel="1">
      <c r="A118" s="105"/>
      <c r="B118" s="106" t="s">
        <v>91</v>
      </c>
      <c r="C118" s="105"/>
      <c r="D118" s="105"/>
      <c r="E118" s="105"/>
      <c r="F118" s="105"/>
      <c r="G118" s="105"/>
      <c r="H118" s="105"/>
      <c r="I118" s="107"/>
      <c r="J118" s="107"/>
      <c r="K118" s="107"/>
      <c r="L118" s="107"/>
      <c r="M118" s="107"/>
      <c r="N118" s="107"/>
      <c r="O118" s="107"/>
      <c r="P118" s="107"/>
      <c r="Q118" s="107"/>
      <c r="R118" s="107"/>
      <c r="S118" s="107"/>
      <c r="T118" s="107">
        <f t="shared" ref="T118:CA118" si="84">sum(T110:T117)</f>
        <v>0</v>
      </c>
      <c r="U118" s="107">
        <f t="shared" si="84"/>
        <v>166.25</v>
      </c>
      <c r="V118" s="107">
        <f t="shared" si="84"/>
        <v>335.825</v>
      </c>
      <c r="W118" s="107">
        <f t="shared" si="84"/>
        <v>508.7915</v>
      </c>
      <c r="X118" s="107">
        <f t="shared" si="84"/>
        <v>685.21733</v>
      </c>
      <c r="Y118" s="107">
        <f t="shared" si="84"/>
        <v>994.6716766</v>
      </c>
      <c r="Z118" s="107">
        <f t="shared" si="84"/>
        <v>1310.31511</v>
      </c>
      <c r="AA118" s="107">
        <f t="shared" si="84"/>
        <v>1632.271412</v>
      </c>
      <c r="AB118" s="107">
        <f t="shared" si="84"/>
        <v>1960.666841</v>
      </c>
      <c r="AC118" s="107">
        <f t="shared" si="84"/>
        <v>2295.630177</v>
      </c>
      <c r="AD118" s="107">
        <f t="shared" si="84"/>
        <v>2637.292781</v>
      </c>
      <c r="AE118" s="107">
        <f t="shared" si="84"/>
        <v>2985.788637</v>
      </c>
      <c r="AF118" s="107">
        <f t="shared" si="84"/>
        <v>3341.254409</v>
      </c>
      <c r="AG118" s="107">
        <f t="shared" si="84"/>
        <v>3670.579497</v>
      </c>
      <c r="AH118" s="107">
        <f t="shared" si="84"/>
        <v>4006.491087</v>
      </c>
      <c r="AI118" s="107">
        <f t="shared" si="84"/>
        <v>4349.120909</v>
      </c>
      <c r="AJ118" s="107">
        <f t="shared" si="84"/>
        <v>4698.603327</v>
      </c>
      <c r="AK118" s="107">
        <f t="shared" si="84"/>
        <v>5029.175394</v>
      </c>
      <c r="AL118" s="107">
        <f t="shared" si="84"/>
        <v>5366.358902</v>
      </c>
      <c r="AM118" s="107">
        <f t="shared" si="84"/>
        <v>5710.28608</v>
      </c>
      <c r="AN118" s="107">
        <f t="shared" si="84"/>
        <v>6061.091801</v>
      </c>
      <c r="AO118" s="107">
        <f t="shared" si="84"/>
        <v>6418.913637</v>
      </c>
      <c r="AP118" s="107">
        <f t="shared" si="84"/>
        <v>6783.89191</v>
      </c>
      <c r="AQ118" s="107">
        <f t="shared" si="84"/>
        <v>7156.169748</v>
      </c>
      <c r="AR118" s="107">
        <f t="shared" si="84"/>
        <v>7535.893143</v>
      </c>
      <c r="AS118" s="107">
        <f t="shared" si="84"/>
        <v>7896.611006</v>
      </c>
      <c r="AT118" s="107">
        <f t="shared" si="84"/>
        <v>8264.543226</v>
      </c>
      <c r="AU118" s="107">
        <f t="shared" si="84"/>
        <v>8639.834091</v>
      </c>
      <c r="AV118" s="107">
        <f t="shared" si="84"/>
        <v>9022.630773</v>
      </c>
      <c r="AW118" s="107">
        <f t="shared" si="84"/>
        <v>9392.363388</v>
      </c>
      <c r="AX118" s="107">
        <f t="shared" si="84"/>
        <v>9769.490656</v>
      </c>
      <c r="AY118" s="107">
        <f t="shared" si="84"/>
        <v>10154.16047</v>
      </c>
      <c r="AZ118" s="107">
        <f t="shared" si="84"/>
        <v>10546.52368</v>
      </c>
      <c r="BA118" s="107">
        <f t="shared" si="84"/>
        <v>10946.73415</v>
      </c>
      <c r="BB118" s="107">
        <f t="shared" si="84"/>
        <v>11354.94884</v>
      </c>
      <c r="BC118" s="107">
        <f t="shared" si="84"/>
        <v>11771.32781</v>
      </c>
      <c r="BD118" s="107">
        <f t="shared" si="84"/>
        <v>12196.03437</v>
      </c>
      <c r="BE118" s="107">
        <f t="shared" si="84"/>
        <v>12607.95506</v>
      </c>
      <c r="BF118" s="107">
        <f t="shared" si="84"/>
        <v>13028.11416</v>
      </c>
      <c r="BG118" s="107">
        <f t="shared" si="84"/>
        <v>13456.67644</v>
      </c>
      <c r="BH118" s="107">
        <f t="shared" si="84"/>
        <v>13893.80997</v>
      </c>
      <c r="BI118" s="107">
        <f t="shared" si="84"/>
        <v>14323.11017</v>
      </c>
      <c r="BJ118" s="107">
        <f t="shared" si="84"/>
        <v>14760.99637</v>
      </c>
      <c r="BK118" s="107">
        <f t="shared" si="84"/>
        <v>15207.6403</v>
      </c>
      <c r="BL118" s="107">
        <f t="shared" si="84"/>
        <v>15663.2171</v>
      </c>
      <c r="BM118" s="107">
        <f t="shared" si="84"/>
        <v>16127.90545</v>
      </c>
      <c r="BN118" s="107">
        <f t="shared" si="84"/>
        <v>16601.88756</v>
      </c>
      <c r="BO118" s="107">
        <f t="shared" si="84"/>
        <v>17085.34931</v>
      </c>
      <c r="BP118" s="107">
        <f t="shared" si="84"/>
        <v>17578.48029</v>
      </c>
      <c r="BQ118" s="107">
        <f t="shared" si="84"/>
        <v>18064.4499</v>
      </c>
      <c r="BR118" s="107">
        <f t="shared" si="84"/>
        <v>18560.1389</v>
      </c>
      <c r="BS118" s="107">
        <f t="shared" si="84"/>
        <v>19065.74167</v>
      </c>
      <c r="BT118" s="107">
        <f t="shared" si="84"/>
        <v>19581.45651</v>
      </c>
      <c r="BU118" s="107">
        <f t="shared" si="84"/>
        <v>20094.22484</v>
      </c>
      <c r="BV118" s="107">
        <f t="shared" si="84"/>
        <v>20617.24853</v>
      </c>
      <c r="BW118" s="107">
        <f t="shared" si="84"/>
        <v>21150.73271</v>
      </c>
      <c r="BX118" s="107">
        <f t="shared" si="84"/>
        <v>21694.88656</v>
      </c>
      <c r="BY118" s="107">
        <f t="shared" si="84"/>
        <v>22249.92349</v>
      </c>
      <c r="BZ118" s="107">
        <f t="shared" si="84"/>
        <v>22816.06116</v>
      </c>
      <c r="CA118" s="107">
        <f t="shared" si="84"/>
        <v>23393.52158</v>
      </c>
    </row>
    <row r="119" hidden="1" outlineLevel="1">
      <c r="A119" s="47"/>
      <c r="B119" s="52"/>
      <c r="C119" s="47"/>
      <c r="D119" s="47"/>
      <c r="E119" s="47"/>
      <c r="F119" s="47"/>
      <c r="G119" s="47"/>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c r="BE119" s="93"/>
      <c r="BF119" s="93"/>
      <c r="BG119" s="93"/>
      <c r="BH119" s="93"/>
      <c r="BI119" s="93"/>
      <c r="BJ119" s="93"/>
      <c r="BK119" s="93"/>
      <c r="BL119" s="93"/>
      <c r="BM119" s="93"/>
      <c r="BN119" s="93"/>
      <c r="BO119" s="93"/>
      <c r="BP119" s="93"/>
      <c r="BQ119" s="93"/>
      <c r="BR119" s="93"/>
      <c r="BS119" s="93"/>
      <c r="BT119" s="93"/>
      <c r="BU119" s="93"/>
      <c r="BV119" s="93"/>
      <c r="BW119" s="93"/>
      <c r="BX119" s="93"/>
      <c r="BY119" s="93"/>
      <c r="BZ119" s="93"/>
      <c r="CA119" s="93"/>
    </row>
    <row r="120" hidden="1" outlineLevel="1">
      <c r="A120" s="47"/>
      <c r="B120" s="52" t="s">
        <v>92</v>
      </c>
      <c r="C120" s="52"/>
      <c r="D120" s="92"/>
      <c r="E120" s="47"/>
      <c r="F120" s="47"/>
      <c r="G120" s="47"/>
      <c r="H120" s="93"/>
      <c r="I120" s="93"/>
      <c r="J120" s="93"/>
      <c r="K120" s="93"/>
      <c r="L120" s="93"/>
      <c r="M120" s="93"/>
      <c r="N120" s="93"/>
      <c r="O120" s="93"/>
      <c r="P120" s="93"/>
      <c r="Q120" s="93"/>
      <c r="R120" s="93"/>
      <c r="S120" s="93"/>
      <c r="T120" s="93"/>
      <c r="U120" s="93"/>
      <c r="V120" s="93"/>
      <c r="W120" s="93"/>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c r="BR120" s="93"/>
      <c r="BS120" s="93"/>
      <c r="BT120" s="93"/>
      <c r="BU120" s="93"/>
      <c r="BV120" s="93"/>
      <c r="BW120" s="93"/>
      <c r="BX120" s="93"/>
      <c r="BY120" s="93"/>
      <c r="BZ120" s="93"/>
      <c r="CA120" s="93"/>
    </row>
    <row r="121" hidden="1" outlineLevel="1">
      <c r="A121" s="108"/>
      <c r="B121" s="98" t="s">
        <v>93</v>
      </c>
      <c r="C121" s="109">
        <v>2500.0</v>
      </c>
      <c r="D121" s="110"/>
      <c r="E121" s="108"/>
      <c r="F121" s="108"/>
      <c r="G121" s="108"/>
      <c r="H121" s="93"/>
      <c r="I121" s="111"/>
      <c r="J121" s="93"/>
      <c r="K121" s="93"/>
      <c r="L121" s="93"/>
      <c r="M121" s="93"/>
      <c r="N121" s="93"/>
      <c r="O121" s="93"/>
      <c r="P121" s="93"/>
      <c r="Q121" s="93"/>
      <c r="R121" s="93"/>
      <c r="S121" s="93"/>
      <c r="T121" s="93">
        <f t="shared" ref="T121:T128" si="86">C121</f>
        <v>2500</v>
      </c>
      <c r="U121" s="93">
        <f t="shared" ref="U121:CA121" si="85">T121</f>
        <v>2500</v>
      </c>
      <c r="V121" s="93">
        <f t="shared" si="85"/>
        <v>2500</v>
      </c>
      <c r="W121" s="93">
        <f t="shared" si="85"/>
        <v>2500</v>
      </c>
      <c r="X121" s="93">
        <f t="shared" si="85"/>
        <v>2500</v>
      </c>
      <c r="Y121" s="93">
        <f t="shared" si="85"/>
        <v>2500</v>
      </c>
      <c r="Z121" s="93">
        <f t="shared" si="85"/>
        <v>2500</v>
      </c>
      <c r="AA121" s="93">
        <f t="shared" si="85"/>
        <v>2500</v>
      </c>
      <c r="AB121" s="93">
        <f t="shared" si="85"/>
        <v>2500</v>
      </c>
      <c r="AC121" s="93">
        <f t="shared" si="85"/>
        <v>2500</v>
      </c>
      <c r="AD121" s="93">
        <f t="shared" si="85"/>
        <v>2500</v>
      </c>
      <c r="AE121" s="93">
        <f t="shared" si="85"/>
        <v>2500</v>
      </c>
      <c r="AF121" s="93">
        <f t="shared" si="85"/>
        <v>2500</v>
      </c>
      <c r="AG121" s="93">
        <f t="shared" si="85"/>
        <v>2500</v>
      </c>
      <c r="AH121" s="93">
        <f t="shared" si="85"/>
        <v>2500</v>
      </c>
      <c r="AI121" s="93">
        <f t="shared" si="85"/>
        <v>2500</v>
      </c>
      <c r="AJ121" s="93">
        <f t="shared" si="85"/>
        <v>2500</v>
      </c>
      <c r="AK121" s="93">
        <f t="shared" si="85"/>
        <v>2500</v>
      </c>
      <c r="AL121" s="93">
        <f t="shared" si="85"/>
        <v>2500</v>
      </c>
      <c r="AM121" s="93">
        <f t="shared" si="85"/>
        <v>2500</v>
      </c>
      <c r="AN121" s="93">
        <f t="shared" si="85"/>
        <v>2500</v>
      </c>
      <c r="AO121" s="93">
        <f t="shared" si="85"/>
        <v>2500</v>
      </c>
      <c r="AP121" s="93">
        <f t="shared" si="85"/>
        <v>2500</v>
      </c>
      <c r="AQ121" s="93">
        <f t="shared" si="85"/>
        <v>2500</v>
      </c>
      <c r="AR121" s="93">
        <f t="shared" si="85"/>
        <v>2500</v>
      </c>
      <c r="AS121" s="93">
        <f t="shared" si="85"/>
        <v>2500</v>
      </c>
      <c r="AT121" s="93">
        <f t="shared" si="85"/>
        <v>2500</v>
      </c>
      <c r="AU121" s="93">
        <f t="shared" si="85"/>
        <v>2500</v>
      </c>
      <c r="AV121" s="93">
        <f t="shared" si="85"/>
        <v>2500</v>
      </c>
      <c r="AW121" s="93">
        <f t="shared" si="85"/>
        <v>2500</v>
      </c>
      <c r="AX121" s="93">
        <f t="shared" si="85"/>
        <v>2500</v>
      </c>
      <c r="AY121" s="93">
        <f t="shared" si="85"/>
        <v>2500</v>
      </c>
      <c r="AZ121" s="93">
        <f t="shared" si="85"/>
        <v>2500</v>
      </c>
      <c r="BA121" s="93">
        <f t="shared" si="85"/>
        <v>2500</v>
      </c>
      <c r="BB121" s="93">
        <f t="shared" si="85"/>
        <v>2500</v>
      </c>
      <c r="BC121" s="93">
        <f t="shared" si="85"/>
        <v>2500</v>
      </c>
      <c r="BD121" s="93">
        <f t="shared" si="85"/>
        <v>2500</v>
      </c>
      <c r="BE121" s="93">
        <f t="shared" si="85"/>
        <v>2500</v>
      </c>
      <c r="BF121" s="93">
        <f t="shared" si="85"/>
        <v>2500</v>
      </c>
      <c r="BG121" s="93">
        <f t="shared" si="85"/>
        <v>2500</v>
      </c>
      <c r="BH121" s="93">
        <f t="shared" si="85"/>
        <v>2500</v>
      </c>
      <c r="BI121" s="93">
        <f t="shared" si="85"/>
        <v>2500</v>
      </c>
      <c r="BJ121" s="93">
        <f t="shared" si="85"/>
        <v>2500</v>
      </c>
      <c r="BK121" s="93">
        <f t="shared" si="85"/>
        <v>2500</v>
      </c>
      <c r="BL121" s="93">
        <f t="shared" si="85"/>
        <v>2500</v>
      </c>
      <c r="BM121" s="93">
        <f t="shared" si="85"/>
        <v>2500</v>
      </c>
      <c r="BN121" s="93">
        <f t="shared" si="85"/>
        <v>2500</v>
      </c>
      <c r="BO121" s="93">
        <f t="shared" si="85"/>
        <v>2500</v>
      </c>
      <c r="BP121" s="93">
        <f t="shared" si="85"/>
        <v>2500</v>
      </c>
      <c r="BQ121" s="93">
        <f t="shared" si="85"/>
        <v>2500</v>
      </c>
      <c r="BR121" s="93">
        <f t="shared" si="85"/>
        <v>2500</v>
      </c>
      <c r="BS121" s="93">
        <f t="shared" si="85"/>
        <v>2500</v>
      </c>
      <c r="BT121" s="93">
        <f t="shared" si="85"/>
        <v>2500</v>
      </c>
      <c r="BU121" s="93">
        <f t="shared" si="85"/>
        <v>2500</v>
      </c>
      <c r="BV121" s="93">
        <f t="shared" si="85"/>
        <v>2500</v>
      </c>
      <c r="BW121" s="93">
        <f t="shared" si="85"/>
        <v>2500</v>
      </c>
      <c r="BX121" s="93">
        <f t="shared" si="85"/>
        <v>2500</v>
      </c>
      <c r="BY121" s="93">
        <f t="shared" si="85"/>
        <v>2500</v>
      </c>
      <c r="BZ121" s="93">
        <f t="shared" si="85"/>
        <v>2500</v>
      </c>
      <c r="CA121" s="93">
        <f t="shared" si="85"/>
        <v>2500</v>
      </c>
    </row>
    <row r="122" hidden="1" outlineLevel="1">
      <c r="A122" s="108"/>
      <c r="B122" s="98" t="s">
        <v>94</v>
      </c>
      <c r="C122" s="109">
        <v>2500.0</v>
      </c>
      <c r="D122" s="110"/>
      <c r="E122" s="108"/>
      <c r="F122" s="108"/>
      <c r="G122" s="108"/>
      <c r="H122" s="93"/>
      <c r="I122" s="111"/>
      <c r="J122" s="93"/>
      <c r="K122" s="93"/>
      <c r="L122" s="93"/>
      <c r="M122" s="93"/>
      <c r="N122" s="93"/>
      <c r="O122" s="93"/>
      <c r="P122" s="93"/>
      <c r="Q122" s="93"/>
      <c r="R122" s="93"/>
      <c r="S122" s="93"/>
      <c r="T122" s="93">
        <f t="shared" si="86"/>
        <v>2500</v>
      </c>
      <c r="U122" s="93">
        <f t="shared" ref="U122:CA122" si="87">T122</f>
        <v>2500</v>
      </c>
      <c r="V122" s="93">
        <f t="shared" si="87"/>
        <v>2500</v>
      </c>
      <c r="W122" s="93">
        <f t="shared" si="87"/>
        <v>2500</v>
      </c>
      <c r="X122" s="93">
        <f t="shared" si="87"/>
        <v>2500</v>
      </c>
      <c r="Y122" s="93">
        <f t="shared" si="87"/>
        <v>2500</v>
      </c>
      <c r="Z122" s="93">
        <f t="shared" si="87"/>
        <v>2500</v>
      </c>
      <c r="AA122" s="93">
        <f t="shared" si="87"/>
        <v>2500</v>
      </c>
      <c r="AB122" s="93">
        <f t="shared" si="87"/>
        <v>2500</v>
      </c>
      <c r="AC122" s="93">
        <f t="shared" si="87"/>
        <v>2500</v>
      </c>
      <c r="AD122" s="93">
        <f t="shared" si="87"/>
        <v>2500</v>
      </c>
      <c r="AE122" s="93">
        <f t="shared" si="87"/>
        <v>2500</v>
      </c>
      <c r="AF122" s="93">
        <f t="shared" si="87"/>
        <v>2500</v>
      </c>
      <c r="AG122" s="93">
        <f t="shared" si="87"/>
        <v>2500</v>
      </c>
      <c r="AH122" s="93">
        <f t="shared" si="87"/>
        <v>2500</v>
      </c>
      <c r="AI122" s="93">
        <f t="shared" si="87"/>
        <v>2500</v>
      </c>
      <c r="AJ122" s="93">
        <f t="shared" si="87"/>
        <v>2500</v>
      </c>
      <c r="AK122" s="93">
        <f t="shared" si="87"/>
        <v>2500</v>
      </c>
      <c r="AL122" s="93">
        <f t="shared" si="87"/>
        <v>2500</v>
      </c>
      <c r="AM122" s="93">
        <f t="shared" si="87"/>
        <v>2500</v>
      </c>
      <c r="AN122" s="93">
        <f t="shared" si="87"/>
        <v>2500</v>
      </c>
      <c r="AO122" s="93">
        <f t="shared" si="87"/>
        <v>2500</v>
      </c>
      <c r="AP122" s="93">
        <f t="shared" si="87"/>
        <v>2500</v>
      </c>
      <c r="AQ122" s="93">
        <f t="shared" si="87"/>
        <v>2500</v>
      </c>
      <c r="AR122" s="93">
        <f t="shared" si="87"/>
        <v>2500</v>
      </c>
      <c r="AS122" s="93">
        <f t="shared" si="87"/>
        <v>2500</v>
      </c>
      <c r="AT122" s="93">
        <f t="shared" si="87"/>
        <v>2500</v>
      </c>
      <c r="AU122" s="93">
        <f t="shared" si="87"/>
        <v>2500</v>
      </c>
      <c r="AV122" s="93">
        <f t="shared" si="87"/>
        <v>2500</v>
      </c>
      <c r="AW122" s="93">
        <f t="shared" si="87"/>
        <v>2500</v>
      </c>
      <c r="AX122" s="93">
        <f t="shared" si="87"/>
        <v>2500</v>
      </c>
      <c r="AY122" s="93">
        <f t="shared" si="87"/>
        <v>2500</v>
      </c>
      <c r="AZ122" s="93">
        <f t="shared" si="87"/>
        <v>2500</v>
      </c>
      <c r="BA122" s="93">
        <f t="shared" si="87"/>
        <v>2500</v>
      </c>
      <c r="BB122" s="93">
        <f t="shared" si="87"/>
        <v>2500</v>
      </c>
      <c r="BC122" s="93">
        <f t="shared" si="87"/>
        <v>2500</v>
      </c>
      <c r="BD122" s="93">
        <f t="shared" si="87"/>
        <v>2500</v>
      </c>
      <c r="BE122" s="93">
        <f t="shared" si="87"/>
        <v>2500</v>
      </c>
      <c r="BF122" s="93">
        <f t="shared" si="87"/>
        <v>2500</v>
      </c>
      <c r="BG122" s="93">
        <f t="shared" si="87"/>
        <v>2500</v>
      </c>
      <c r="BH122" s="93">
        <f t="shared" si="87"/>
        <v>2500</v>
      </c>
      <c r="BI122" s="93">
        <f t="shared" si="87"/>
        <v>2500</v>
      </c>
      <c r="BJ122" s="93">
        <f t="shared" si="87"/>
        <v>2500</v>
      </c>
      <c r="BK122" s="93">
        <f t="shared" si="87"/>
        <v>2500</v>
      </c>
      <c r="BL122" s="93">
        <f t="shared" si="87"/>
        <v>2500</v>
      </c>
      <c r="BM122" s="93">
        <f t="shared" si="87"/>
        <v>2500</v>
      </c>
      <c r="BN122" s="93">
        <f t="shared" si="87"/>
        <v>2500</v>
      </c>
      <c r="BO122" s="93">
        <f t="shared" si="87"/>
        <v>2500</v>
      </c>
      <c r="BP122" s="93">
        <f t="shared" si="87"/>
        <v>2500</v>
      </c>
      <c r="BQ122" s="93">
        <f t="shared" si="87"/>
        <v>2500</v>
      </c>
      <c r="BR122" s="93">
        <f t="shared" si="87"/>
        <v>2500</v>
      </c>
      <c r="BS122" s="93">
        <f t="shared" si="87"/>
        <v>2500</v>
      </c>
      <c r="BT122" s="93">
        <f t="shared" si="87"/>
        <v>2500</v>
      </c>
      <c r="BU122" s="93">
        <f t="shared" si="87"/>
        <v>2500</v>
      </c>
      <c r="BV122" s="93">
        <f t="shared" si="87"/>
        <v>2500</v>
      </c>
      <c r="BW122" s="93">
        <f t="shared" si="87"/>
        <v>2500</v>
      </c>
      <c r="BX122" s="93">
        <f t="shared" si="87"/>
        <v>2500</v>
      </c>
      <c r="BY122" s="93">
        <f t="shared" si="87"/>
        <v>2500</v>
      </c>
      <c r="BZ122" s="93">
        <f t="shared" si="87"/>
        <v>2500</v>
      </c>
      <c r="CA122" s="93">
        <f t="shared" si="87"/>
        <v>2500</v>
      </c>
    </row>
    <row r="123" hidden="1" outlineLevel="1">
      <c r="A123" s="108"/>
      <c r="B123" s="98" t="s">
        <v>95</v>
      </c>
      <c r="C123" s="109">
        <v>2500.0</v>
      </c>
      <c r="D123" s="108"/>
      <c r="E123" s="108"/>
      <c r="F123" s="108"/>
      <c r="G123" s="108"/>
      <c r="H123" s="93"/>
      <c r="I123" s="111"/>
      <c r="J123" s="93"/>
      <c r="K123" s="93"/>
      <c r="L123" s="93"/>
      <c r="M123" s="93"/>
      <c r="N123" s="93"/>
      <c r="O123" s="93"/>
      <c r="P123" s="93"/>
      <c r="Q123" s="93"/>
      <c r="R123" s="93"/>
      <c r="S123" s="93"/>
      <c r="T123" s="93">
        <f t="shared" si="86"/>
        <v>2500</v>
      </c>
      <c r="U123" s="93">
        <f t="shared" ref="U123:CA123" si="88">T123</f>
        <v>2500</v>
      </c>
      <c r="V123" s="93">
        <f t="shared" si="88"/>
        <v>2500</v>
      </c>
      <c r="W123" s="93">
        <f t="shared" si="88"/>
        <v>2500</v>
      </c>
      <c r="X123" s="93">
        <f t="shared" si="88"/>
        <v>2500</v>
      </c>
      <c r="Y123" s="93">
        <f t="shared" si="88"/>
        <v>2500</v>
      </c>
      <c r="Z123" s="93">
        <f t="shared" si="88"/>
        <v>2500</v>
      </c>
      <c r="AA123" s="93">
        <f t="shared" si="88"/>
        <v>2500</v>
      </c>
      <c r="AB123" s="93">
        <f t="shared" si="88"/>
        <v>2500</v>
      </c>
      <c r="AC123" s="93">
        <f t="shared" si="88"/>
        <v>2500</v>
      </c>
      <c r="AD123" s="93">
        <f t="shared" si="88"/>
        <v>2500</v>
      </c>
      <c r="AE123" s="93">
        <f t="shared" si="88"/>
        <v>2500</v>
      </c>
      <c r="AF123" s="93">
        <f t="shared" si="88"/>
        <v>2500</v>
      </c>
      <c r="AG123" s="93">
        <f t="shared" si="88"/>
        <v>2500</v>
      </c>
      <c r="AH123" s="93">
        <f t="shared" si="88"/>
        <v>2500</v>
      </c>
      <c r="AI123" s="93">
        <f t="shared" si="88"/>
        <v>2500</v>
      </c>
      <c r="AJ123" s="93">
        <f t="shared" si="88"/>
        <v>2500</v>
      </c>
      <c r="AK123" s="93">
        <f t="shared" si="88"/>
        <v>2500</v>
      </c>
      <c r="AL123" s="93">
        <f t="shared" si="88"/>
        <v>2500</v>
      </c>
      <c r="AM123" s="93">
        <f t="shared" si="88"/>
        <v>2500</v>
      </c>
      <c r="AN123" s="93">
        <f t="shared" si="88"/>
        <v>2500</v>
      </c>
      <c r="AO123" s="93">
        <f t="shared" si="88"/>
        <v>2500</v>
      </c>
      <c r="AP123" s="93">
        <f t="shared" si="88"/>
        <v>2500</v>
      </c>
      <c r="AQ123" s="93">
        <f t="shared" si="88"/>
        <v>2500</v>
      </c>
      <c r="AR123" s="93">
        <f t="shared" si="88"/>
        <v>2500</v>
      </c>
      <c r="AS123" s="93">
        <f t="shared" si="88"/>
        <v>2500</v>
      </c>
      <c r="AT123" s="93">
        <f t="shared" si="88"/>
        <v>2500</v>
      </c>
      <c r="AU123" s="93">
        <f t="shared" si="88"/>
        <v>2500</v>
      </c>
      <c r="AV123" s="93">
        <f t="shared" si="88"/>
        <v>2500</v>
      </c>
      <c r="AW123" s="93">
        <f t="shared" si="88"/>
        <v>2500</v>
      </c>
      <c r="AX123" s="93">
        <f t="shared" si="88"/>
        <v>2500</v>
      </c>
      <c r="AY123" s="93">
        <f t="shared" si="88"/>
        <v>2500</v>
      </c>
      <c r="AZ123" s="93">
        <f t="shared" si="88"/>
        <v>2500</v>
      </c>
      <c r="BA123" s="93">
        <f t="shared" si="88"/>
        <v>2500</v>
      </c>
      <c r="BB123" s="93">
        <f t="shared" si="88"/>
        <v>2500</v>
      </c>
      <c r="BC123" s="93">
        <f t="shared" si="88"/>
        <v>2500</v>
      </c>
      <c r="BD123" s="93">
        <f t="shared" si="88"/>
        <v>2500</v>
      </c>
      <c r="BE123" s="93">
        <f t="shared" si="88"/>
        <v>2500</v>
      </c>
      <c r="BF123" s="93">
        <f t="shared" si="88"/>
        <v>2500</v>
      </c>
      <c r="BG123" s="93">
        <f t="shared" si="88"/>
        <v>2500</v>
      </c>
      <c r="BH123" s="93">
        <f t="shared" si="88"/>
        <v>2500</v>
      </c>
      <c r="BI123" s="93">
        <f t="shared" si="88"/>
        <v>2500</v>
      </c>
      <c r="BJ123" s="93">
        <f t="shared" si="88"/>
        <v>2500</v>
      </c>
      <c r="BK123" s="93">
        <f t="shared" si="88"/>
        <v>2500</v>
      </c>
      <c r="BL123" s="93">
        <f t="shared" si="88"/>
        <v>2500</v>
      </c>
      <c r="BM123" s="93">
        <f t="shared" si="88"/>
        <v>2500</v>
      </c>
      <c r="BN123" s="93">
        <f t="shared" si="88"/>
        <v>2500</v>
      </c>
      <c r="BO123" s="93">
        <f t="shared" si="88"/>
        <v>2500</v>
      </c>
      <c r="BP123" s="93">
        <f t="shared" si="88"/>
        <v>2500</v>
      </c>
      <c r="BQ123" s="93">
        <f t="shared" si="88"/>
        <v>2500</v>
      </c>
      <c r="BR123" s="93">
        <f t="shared" si="88"/>
        <v>2500</v>
      </c>
      <c r="BS123" s="93">
        <f t="shared" si="88"/>
        <v>2500</v>
      </c>
      <c r="BT123" s="93">
        <f t="shared" si="88"/>
        <v>2500</v>
      </c>
      <c r="BU123" s="93">
        <f t="shared" si="88"/>
        <v>2500</v>
      </c>
      <c r="BV123" s="93">
        <f t="shared" si="88"/>
        <v>2500</v>
      </c>
      <c r="BW123" s="93">
        <f t="shared" si="88"/>
        <v>2500</v>
      </c>
      <c r="BX123" s="93">
        <f t="shared" si="88"/>
        <v>2500</v>
      </c>
      <c r="BY123" s="93">
        <f t="shared" si="88"/>
        <v>2500</v>
      </c>
      <c r="BZ123" s="93">
        <f t="shared" si="88"/>
        <v>2500</v>
      </c>
      <c r="CA123" s="93">
        <f t="shared" si="88"/>
        <v>2500</v>
      </c>
    </row>
    <row r="124" hidden="1" outlineLevel="1">
      <c r="A124" s="108"/>
      <c r="B124" s="98" t="s">
        <v>96</v>
      </c>
      <c r="C124" s="109">
        <v>2500.0</v>
      </c>
      <c r="D124" s="108"/>
      <c r="E124" s="108"/>
      <c r="F124" s="108"/>
      <c r="G124" s="108"/>
      <c r="H124" s="93"/>
      <c r="I124" s="111"/>
      <c r="J124" s="93"/>
      <c r="K124" s="93"/>
      <c r="L124" s="93"/>
      <c r="M124" s="93"/>
      <c r="N124" s="93"/>
      <c r="O124" s="93"/>
      <c r="P124" s="93"/>
      <c r="Q124" s="93"/>
      <c r="R124" s="93"/>
      <c r="S124" s="93"/>
      <c r="T124" s="93">
        <f t="shared" si="86"/>
        <v>2500</v>
      </c>
      <c r="U124" s="93">
        <f t="shared" ref="U124:CA124" si="89">T124</f>
        <v>2500</v>
      </c>
      <c r="V124" s="93">
        <f t="shared" si="89"/>
        <v>2500</v>
      </c>
      <c r="W124" s="93">
        <f t="shared" si="89"/>
        <v>2500</v>
      </c>
      <c r="X124" s="93">
        <f t="shared" si="89"/>
        <v>2500</v>
      </c>
      <c r="Y124" s="93">
        <f t="shared" si="89"/>
        <v>2500</v>
      </c>
      <c r="Z124" s="93">
        <f t="shared" si="89"/>
        <v>2500</v>
      </c>
      <c r="AA124" s="93">
        <f t="shared" si="89"/>
        <v>2500</v>
      </c>
      <c r="AB124" s="93">
        <f t="shared" si="89"/>
        <v>2500</v>
      </c>
      <c r="AC124" s="93">
        <f t="shared" si="89"/>
        <v>2500</v>
      </c>
      <c r="AD124" s="93">
        <f t="shared" si="89"/>
        <v>2500</v>
      </c>
      <c r="AE124" s="93">
        <f t="shared" si="89"/>
        <v>2500</v>
      </c>
      <c r="AF124" s="93">
        <f t="shared" si="89"/>
        <v>2500</v>
      </c>
      <c r="AG124" s="93">
        <f t="shared" si="89"/>
        <v>2500</v>
      </c>
      <c r="AH124" s="93">
        <f t="shared" si="89"/>
        <v>2500</v>
      </c>
      <c r="AI124" s="93">
        <f t="shared" si="89"/>
        <v>2500</v>
      </c>
      <c r="AJ124" s="93">
        <f t="shared" si="89"/>
        <v>2500</v>
      </c>
      <c r="AK124" s="93">
        <f t="shared" si="89"/>
        <v>2500</v>
      </c>
      <c r="AL124" s="93">
        <f t="shared" si="89"/>
        <v>2500</v>
      </c>
      <c r="AM124" s="93">
        <f t="shared" si="89"/>
        <v>2500</v>
      </c>
      <c r="AN124" s="93">
        <f t="shared" si="89"/>
        <v>2500</v>
      </c>
      <c r="AO124" s="93">
        <f t="shared" si="89"/>
        <v>2500</v>
      </c>
      <c r="AP124" s="93">
        <f t="shared" si="89"/>
        <v>2500</v>
      </c>
      <c r="AQ124" s="93">
        <f t="shared" si="89"/>
        <v>2500</v>
      </c>
      <c r="AR124" s="93">
        <f t="shared" si="89"/>
        <v>2500</v>
      </c>
      <c r="AS124" s="93">
        <f t="shared" si="89"/>
        <v>2500</v>
      </c>
      <c r="AT124" s="93">
        <f t="shared" si="89"/>
        <v>2500</v>
      </c>
      <c r="AU124" s="93">
        <f t="shared" si="89"/>
        <v>2500</v>
      </c>
      <c r="AV124" s="93">
        <f t="shared" si="89"/>
        <v>2500</v>
      </c>
      <c r="AW124" s="93">
        <f t="shared" si="89"/>
        <v>2500</v>
      </c>
      <c r="AX124" s="93">
        <f t="shared" si="89"/>
        <v>2500</v>
      </c>
      <c r="AY124" s="93">
        <f t="shared" si="89"/>
        <v>2500</v>
      </c>
      <c r="AZ124" s="93">
        <f t="shared" si="89"/>
        <v>2500</v>
      </c>
      <c r="BA124" s="93">
        <f t="shared" si="89"/>
        <v>2500</v>
      </c>
      <c r="BB124" s="93">
        <f t="shared" si="89"/>
        <v>2500</v>
      </c>
      <c r="BC124" s="93">
        <f t="shared" si="89"/>
        <v>2500</v>
      </c>
      <c r="BD124" s="93">
        <f t="shared" si="89"/>
        <v>2500</v>
      </c>
      <c r="BE124" s="93">
        <f t="shared" si="89"/>
        <v>2500</v>
      </c>
      <c r="BF124" s="93">
        <f t="shared" si="89"/>
        <v>2500</v>
      </c>
      <c r="BG124" s="93">
        <f t="shared" si="89"/>
        <v>2500</v>
      </c>
      <c r="BH124" s="93">
        <f t="shared" si="89"/>
        <v>2500</v>
      </c>
      <c r="BI124" s="93">
        <f t="shared" si="89"/>
        <v>2500</v>
      </c>
      <c r="BJ124" s="93">
        <f t="shared" si="89"/>
        <v>2500</v>
      </c>
      <c r="BK124" s="93">
        <f t="shared" si="89"/>
        <v>2500</v>
      </c>
      <c r="BL124" s="93">
        <f t="shared" si="89"/>
        <v>2500</v>
      </c>
      <c r="BM124" s="93">
        <f t="shared" si="89"/>
        <v>2500</v>
      </c>
      <c r="BN124" s="93">
        <f t="shared" si="89"/>
        <v>2500</v>
      </c>
      <c r="BO124" s="93">
        <f t="shared" si="89"/>
        <v>2500</v>
      </c>
      <c r="BP124" s="93">
        <f t="shared" si="89"/>
        <v>2500</v>
      </c>
      <c r="BQ124" s="93">
        <f t="shared" si="89"/>
        <v>2500</v>
      </c>
      <c r="BR124" s="93">
        <f t="shared" si="89"/>
        <v>2500</v>
      </c>
      <c r="BS124" s="93">
        <f t="shared" si="89"/>
        <v>2500</v>
      </c>
      <c r="BT124" s="93">
        <f t="shared" si="89"/>
        <v>2500</v>
      </c>
      <c r="BU124" s="93">
        <f t="shared" si="89"/>
        <v>2500</v>
      </c>
      <c r="BV124" s="93">
        <f t="shared" si="89"/>
        <v>2500</v>
      </c>
      <c r="BW124" s="93">
        <f t="shared" si="89"/>
        <v>2500</v>
      </c>
      <c r="BX124" s="93">
        <f t="shared" si="89"/>
        <v>2500</v>
      </c>
      <c r="BY124" s="93">
        <f t="shared" si="89"/>
        <v>2500</v>
      </c>
      <c r="BZ124" s="93">
        <f t="shared" si="89"/>
        <v>2500</v>
      </c>
      <c r="CA124" s="93">
        <f t="shared" si="89"/>
        <v>2500</v>
      </c>
    </row>
    <row r="125" hidden="1" outlineLevel="1">
      <c r="A125" s="108"/>
      <c r="B125" s="98" t="s">
        <v>97</v>
      </c>
      <c r="C125" s="109">
        <v>2500.0</v>
      </c>
      <c r="D125" s="108"/>
      <c r="E125" s="108"/>
      <c r="F125" s="108"/>
      <c r="G125" s="108"/>
      <c r="H125" s="93"/>
      <c r="I125" s="111"/>
      <c r="J125" s="93"/>
      <c r="K125" s="93"/>
      <c r="L125" s="93"/>
      <c r="M125" s="93"/>
      <c r="N125" s="93"/>
      <c r="O125" s="93"/>
      <c r="P125" s="93"/>
      <c r="Q125" s="93"/>
      <c r="R125" s="93"/>
      <c r="S125" s="93"/>
      <c r="T125" s="93">
        <f t="shared" si="86"/>
        <v>2500</v>
      </c>
      <c r="U125" s="93">
        <f t="shared" ref="U125:CA125" si="90">T125</f>
        <v>2500</v>
      </c>
      <c r="V125" s="93">
        <f t="shared" si="90"/>
        <v>2500</v>
      </c>
      <c r="W125" s="93">
        <f t="shared" si="90"/>
        <v>2500</v>
      </c>
      <c r="X125" s="93">
        <f t="shared" si="90"/>
        <v>2500</v>
      </c>
      <c r="Y125" s="93">
        <f t="shared" si="90"/>
        <v>2500</v>
      </c>
      <c r="Z125" s="93">
        <f t="shared" si="90"/>
        <v>2500</v>
      </c>
      <c r="AA125" s="93">
        <f t="shared" si="90"/>
        <v>2500</v>
      </c>
      <c r="AB125" s="93">
        <f t="shared" si="90"/>
        <v>2500</v>
      </c>
      <c r="AC125" s="93">
        <f t="shared" si="90"/>
        <v>2500</v>
      </c>
      <c r="AD125" s="93">
        <f t="shared" si="90"/>
        <v>2500</v>
      </c>
      <c r="AE125" s="93">
        <f t="shared" si="90"/>
        <v>2500</v>
      </c>
      <c r="AF125" s="93">
        <f t="shared" si="90"/>
        <v>2500</v>
      </c>
      <c r="AG125" s="93">
        <f t="shared" si="90"/>
        <v>2500</v>
      </c>
      <c r="AH125" s="93">
        <f t="shared" si="90"/>
        <v>2500</v>
      </c>
      <c r="AI125" s="93">
        <f t="shared" si="90"/>
        <v>2500</v>
      </c>
      <c r="AJ125" s="93">
        <f t="shared" si="90"/>
        <v>2500</v>
      </c>
      <c r="AK125" s="93">
        <f t="shared" si="90"/>
        <v>2500</v>
      </c>
      <c r="AL125" s="93">
        <f t="shared" si="90"/>
        <v>2500</v>
      </c>
      <c r="AM125" s="93">
        <f t="shared" si="90"/>
        <v>2500</v>
      </c>
      <c r="AN125" s="93">
        <f t="shared" si="90"/>
        <v>2500</v>
      </c>
      <c r="AO125" s="93">
        <f t="shared" si="90"/>
        <v>2500</v>
      </c>
      <c r="AP125" s="93">
        <f t="shared" si="90"/>
        <v>2500</v>
      </c>
      <c r="AQ125" s="93">
        <f t="shared" si="90"/>
        <v>2500</v>
      </c>
      <c r="AR125" s="93">
        <f t="shared" si="90"/>
        <v>2500</v>
      </c>
      <c r="AS125" s="93">
        <f t="shared" si="90"/>
        <v>2500</v>
      </c>
      <c r="AT125" s="93">
        <f t="shared" si="90"/>
        <v>2500</v>
      </c>
      <c r="AU125" s="93">
        <f t="shared" si="90"/>
        <v>2500</v>
      </c>
      <c r="AV125" s="93">
        <f t="shared" si="90"/>
        <v>2500</v>
      </c>
      <c r="AW125" s="93">
        <f t="shared" si="90"/>
        <v>2500</v>
      </c>
      <c r="AX125" s="93">
        <f t="shared" si="90"/>
        <v>2500</v>
      </c>
      <c r="AY125" s="93">
        <f t="shared" si="90"/>
        <v>2500</v>
      </c>
      <c r="AZ125" s="93">
        <f t="shared" si="90"/>
        <v>2500</v>
      </c>
      <c r="BA125" s="93">
        <f t="shared" si="90"/>
        <v>2500</v>
      </c>
      <c r="BB125" s="93">
        <f t="shared" si="90"/>
        <v>2500</v>
      </c>
      <c r="BC125" s="93">
        <f t="shared" si="90"/>
        <v>2500</v>
      </c>
      <c r="BD125" s="93">
        <f t="shared" si="90"/>
        <v>2500</v>
      </c>
      <c r="BE125" s="93">
        <f t="shared" si="90"/>
        <v>2500</v>
      </c>
      <c r="BF125" s="93">
        <f t="shared" si="90"/>
        <v>2500</v>
      </c>
      <c r="BG125" s="93">
        <f t="shared" si="90"/>
        <v>2500</v>
      </c>
      <c r="BH125" s="93">
        <f t="shared" si="90"/>
        <v>2500</v>
      </c>
      <c r="BI125" s="93">
        <f t="shared" si="90"/>
        <v>2500</v>
      </c>
      <c r="BJ125" s="93">
        <f t="shared" si="90"/>
        <v>2500</v>
      </c>
      <c r="BK125" s="93">
        <f t="shared" si="90"/>
        <v>2500</v>
      </c>
      <c r="BL125" s="93">
        <f t="shared" si="90"/>
        <v>2500</v>
      </c>
      <c r="BM125" s="93">
        <f t="shared" si="90"/>
        <v>2500</v>
      </c>
      <c r="BN125" s="93">
        <f t="shared" si="90"/>
        <v>2500</v>
      </c>
      <c r="BO125" s="93">
        <f t="shared" si="90"/>
        <v>2500</v>
      </c>
      <c r="BP125" s="93">
        <f t="shared" si="90"/>
        <v>2500</v>
      </c>
      <c r="BQ125" s="93">
        <f t="shared" si="90"/>
        <v>2500</v>
      </c>
      <c r="BR125" s="93">
        <f t="shared" si="90"/>
        <v>2500</v>
      </c>
      <c r="BS125" s="93">
        <f t="shared" si="90"/>
        <v>2500</v>
      </c>
      <c r="BT125" s="93">
        <f t="shared" si="90"/>
        <v>2500</v>
      </c>
      <c r="BU125" s="93">
        <f t="shared" si="90"/>
        <v>2500</v>
      </c>
      <c r="BV125" s="93">
        <f t="shared" si="90"/>
        <v>2500</v>
      </c>
      <c r="BW125" s="93">
        <f t="shared" si="90"/>
        <v>2500</v>
      </c>
      <c r="BX125" s="93">
        <f t="shared" si="90"/>
        <v>2500</v>
      </c>
      <c r="BY125" s="93">
        <f t="shared" si="90"/>
        <v>2500</v>
      </c>
      <c r="BZ125" s="93">
        <f t="shared" si="90"/>
        <v>2500</v>
      </c>
      <c r="CA125" s="93">
        <f t="shared" si="90"/>
        <v>2500</v>
      </c>
    </row>
    <row r="126" hidden="1" outlineLevel="1">
      <c r="A126" s="108"/>
      <c r="B126" s="98" t="s">
        <v>98</v>
      </c>
      <c r="C126" s="109">
        <v>2500.0</v>
      </c>
      <c r="D126" s="108"/>
      <c r="E126" s="108"/>
      <c r="F126" s="108"/>
      <c r="G126" s="108"/>
      <c r="H126" s="93"/>
      <c r="I126" s="111"/>
      <c r="J126" s="93"/>
      <c r="K126" s="93"/>
      <c r="L126" s="93"/>
      <c r="M126" s="93"/>
      <c r="N126" s="93"/>
      <c r="O126" s="93"/>
      <c r="P126" s="93"/>
      <c r="Q126" s="93"/>
      <c r="R126" s="93"/>
      <c r="S126" s="93"/>
      <c r="T126" s="93">
        <f t="shared" si="86"/>
        <v>2500</v>
      </c>
      <c r="U126" s="93">
        <f t="shared" ref="U126:CA126" si="91">T126</f>
        <v>2500</v>
      </c>
      <c r="V126" s="93">
        <f t="shared" si="91"/>
        <v>2500</v>
      </c>
      <c r="W126" s="93">
        <f t="shared" si="91"/>
        <v>2500</v>
      </c>
      <c r="X126" s="93">
        <f t="shared" si="91"/>
        <v>2500</v>
      </c>
      <c r="Y126" s="93">
        <f t="shared" si="91"/>
        <v>2500</v>
      </c>
      <c r="Z126" s="93">
        <f t="shared" si="91"/>
        <v>2500</v>
      </c>
      <c r="AA126" s="93">
        <f t="shared" si="91"/>
        <v>2500</v>
      </c>
      <c r="AB126" s="93">
        <f t="shared" si="91"/>
        <v>2500</v>
      </c>
      <c r="AC126" s="93">
        <f t="shared" si="91"/>
        <v>2500</v>
      </c>
      <c r="AD126" s="93">
        <f t="shared" si="91"/>
        <v>2500</v>
      </c>
      <c r="AE126" s="93">
        <f t="shared" si="91"/>
        <v>2500</v>
      </c>
      <c r="AF126" s="93">
        <f t="shared" si="91"/>
        <v>2500</v>
      </c>
      <c r="AG126" s="93">
        <f t="shared" si="91"/>
        <v>2500</v>
      </c>
      <c r="AH126" s="93">
        <f t="shared" si="91"/>
        <v>2500</v>
      </c>
      <c r="AI126" s="93">
        <f t="shared" si="91"/>
        <v>2500</v>
      </c>
      <c r="AJ126" s="93">
        <f t="shared" si="91"/>
        <v>2500</v>
      </c>
      <c r="AK126" s="93">
        <f t="shared" si="91"/>
        <v>2500</v>
      </c>
      <c r="AL126" s="93">
        <f t="shared" si="91"/>
        <v>2500</v>
      </c>
      <c r="AM126" s="93">
        <f t="shared" si="91"/>
        <v>2500</v>
      </c>
      <c r="AN126" s="93">
        <f t="shared" si="91"/>
        <v>2500</v>
      </c>
      <c r="AO126" s="93">
        <f t="shared" si="91"/>
        <v>2500</v>
      </c>
      <c r="AP126" s="93">
        <f t="shared" si="91"/>
        <v>2500</v>
      </c>
      <c r="AQ126" s="93">
        <f t="shared" si="91"/>
        <v>2500</v>
      </c>
      <c r="AR126" s="93">
        <f t="shared" si="91"/>
        <v>2500</v>
      </c>
      <c r="AS126" s="93">
        <f t="shared" si="91"/>
        <v>2500</v>
      </c>
      <c r="AT126" s="93">
        <f t="shared" si="91"/>
        <v>2500</v>
      </c>
      <c r="AU126" s="93">
        <f t="shared" si="91"/>
        <v>2500</v>
      </c>
      <c r="AV126" s="93">
        <f t="shared" si="91"/>
        <v>2500</v>
      </c>
      <c r="AW126" s="93">
        <f t="shared" si="91"/>
        <v>2500</v>
      </c>
      <c r="AX126" s="93">
        <f t="shared" si="91"/>
        <v>2500</v>
      </c>
      <c r="AY126" s="93">
        <f t="shared" si="91"/>
        <v>2500</v>
      </c>
      <c r="AZ126" s="93">
        <f t="shared" si="91"/>
        <v>2500</v>
      </c>
      <c r="BA126" s="93">
        <f t="shared" si="91"/>
        <v>2500</v>
      </c>
      <c r="BB126" s="93">
        <f t="shared" si="91"/>
        <v>2500</v>
      </c>
      <c r="BC126" s="93">
        <f t="shared" si="91"/>
        <v>2500</v>
      </c>
      <c r="BD126" s="93">
        <f t="shared" si="91"/>
        <v>2500</v>
      </c>
      <c r="BE126" s="93">
        <f t="shared" si="91"/>
        <v>2500</v>
      </c>
      <c r="BF126" s="93">
        <f t="shared" si="91"/>
        <v>2500</v>
      </c>
      <c r="BG126" s="93">
        <f t="shared" si="91"/>
        <v>2500</v>
      </c>
      <c r="BH126" s="93">
        <f t="shared" si="91"/>
        <v>2500</v>
      </c>
      <c r="BI126" s="93">
        <f t="shared" si="91"/>
        <v>2500</v>
      </c>
      <c r="BJ126" s="93">
        <f t="shared" si="91"/>
        <v>2500</v>
      </c>
      <c r="BK126" s="93">
        <f t="shared" si="91"/>
        <v>2500</v>
      </c>
      <c r="BL126" s="93">
        <f t="shared" si="91"/>
        <v>2500</v>
      </c>
      <c r="BM126" s="93">
        <f t="shared" si="91"/>
        <v>2500</v>
      </c>
      <c r="BN126" s="93">
        <f t="shared" si="91"/>
        <v>2500</v>
      </c>
      <c r="BO126" s="93">
        <f t="shared" si="91"/>
        <v>2500</v>
      </c>
      <c r="BP126" s="93">
        <f t="shared" si="91"/>
        <v>2500</v>
      </c>
      <c r="BQ126" s="93">
        <f t="shared" si="91"/>
        <v>2500</v>
      </c>
      <c r="BR126" s="93">
        <f t="shared" si="91"/>
        <v>2500</v>
      </c>
      <c r="BS126" s="93">
        <f t="shared" si="91"/>
        <v>2500</v>
      </c>
      <c r="BT126" s="93">
        <f t="shared" si="91"/>
        <v>2500</v>
      </c>
      <c r="BU126" s="93">
        <f t="shared" si="91"/>
        <v>2500</v>
      </c>
      <c r="BV126" s="93">
        <f t="shared" si="91"/>
        <v>2500</v>
      </c>
      <c r="BW126" s="93">
        <f t="shared" si="91"/>
        <v>2500</v>
      </c>
      <c r="BX126" s="93">
        <f t="shared" si="91"/>
        <v>2500</v>
      </c>
      <c r="BY126" s="93">
        <f t="shared" si="91"/>
        <v>2500</v>
      </c>
      <c r="BZ126" s="93">
        <f t="shared" si="91"/>
        <v>2500</v>
      </c>
      <c r="CA126" s="93">
        <f t="shared" si="91"/>
        <v>2500</v>
      </c>
    </row>
    <row r="127" hidden="1" outlineLevel="1">
      <c r="A127" s="108"/>
      <c r="B127" s="98" t="s">
        <v>99</v>
      </c>
      <c r="C127" s="109">
        <v>2500.0</v>
      </c>
      <c r="D127" s="108"/>
      <c r="E127" s="108"/>
      <c r="F127" s="108"/>
      <c r="G127" s="108"/>
      <c r="H127" s="93"/>
      <c r="I127" s="111"/>
      <c r="J127" s="93"/>
      <c r="K127" s="93"/>
      <c r="L127" s="93"/>
      <c r="M127" s="93"/>
      <c r="N127" s="93"/>
      <c r="O127" s="93"/>
      <c r="P127" s="93"/>
      <c r="Q127" s="93"/>
      <c r="R127" s="93"/>
      <c r="S127" s="93"/>
      <c r="T127" s="93">
        <f t="shared" si="86"/>
        <v>2500</v>
      </c>
      <c r="U127" s="93">
        <f t="shared" ref="U127:CA127" si="92">T127</f>
        <v>2500</v>
      </c>
      <c r="V127" s="93">
        <f t="shared" si="92"/>
        <v>2500</v>
      </c>
      <c r="W127" s="93">
        <f t="shared" si="92"/>
        <v>2500</v>
      </c>
      <c r="X127" s="93">
        <f t="shared" si="92"/>
        <v>2500</v>
      </c>
      <c r="Y127" s="93">
        <f t="shared" si="92"/>
        <v>2500</v>
      </c>
      <c r="Z127" s="93">
        <f t="shared" si="92"/>
        <v>2500</v>
      </c>
      <c r="AA127" s="93">
        <f t="shared" si="92"/>
        <v>2500</v>
      </c>
      <c r="AB127" s="93">
        <f t="shared" si="92"/>
        <v>2500</v>
      </c>
      <c r="AC127" s="93">
        <f t="shared" si="92"/>
        <v>2500</v>
      </c>
      <c r="AD127" s="93">
        <f t="shared" si="92"/>
        <v>2500</v>
      </c>
      <c r="AE127" s="93">
        <f t="shared" si="92"/>
        <v>2500</v>
      </c>
      <c r="AF127" s="93">
        <f t="shared" si="92"/>
        <v>2500</v>
      </c>
      <c r="AG127" s="93">
        <f t="shared" si="92"/>
        <v>2500</v>
      </c>
      <c r="AH127" s="93">
        <f t="shared" si="92"/>
        <v>2500</v>
      </c>
      <c r="AI127" s="93">
        <f t="shared" si="92"/>
        <v>2500</v>
      </c>
      <c r="AJ127" s="93">
        <f t="shared" si="92"/>
        <v>2500</v>
      </c>
      <c r="AK127" s="93">
        <f t="shared" si="92"/>
        <v>2500</v>
      </c>
      <c r="AL127" s="93">
        <f t="shared" si="92"/>
        <v>2500</v>
      </c>
      <c r="AM127" s="93">
        <f t="shared" si="92"/>
        <v>2500</v>
      </c>
      <c r="AN127" s="93">
        <f t="shared" si="92"/>
        <v>2500</v>
      </c>
      <c r="AO127" s="93">
        <f t="shared" si="92"/>
        <v>2500</v>
      </c>
      <c r="AP127" s="93">
        <f t="shared" si="92"/>
        <v>2500</v>
      </c>
      <c r="AQ127" s="93">
        <f t="shared" si="92"/>
        <v>2500</v>
      </c>
      <c r="AR127" s="93">
        <f t="shared" si="92"/>
        <v>2500</v>
      </c>
      <c r="AS127" s="93">
        <f t="shared" si="92"/>
        <v>2500</v>
      </c>
      <c r="AT127" s="93">
        <f t="shared" si="92"/>
        <v>2500</v>
      </c>
      <c r="AU127" s="93">
        <f t="shared" si="92"/>
        <v>2500</v>
      </c>
      <c r="AV127" s="93">
        <f t="shared" si="92"/>
        <v>2500</v>
      </c>
      <c r="AW127" s="93">
        <f t="shared" si="92"/>
        <v>2500</v>
      </c>
      <c r="AX127" s="93">
        <f t="shared" si="92"/>
        <v>2500</v>
      </c>
      <c r="AY127" s="93">
        <f t="shared" si="92"/>
        <v>2500</v>
      </c>
      <c r="AZ127" s="93">
        <f t="shared" si="92"/>
        <v>2500</v>
      </c>
      <c r="BA127" s="93">
        <f t="shared" si="92"/>
        <v>2500</v>
      </c>
      <c r="BB127" s="93">
        <f t="shared" si="92"/>
        <v>2500</v>
      </c>
      <c r="BC127" s="93">
        <f t="shared" si="92"/>
        <v>2500</v>
      </c>
      <c r="BD127" s="93">
        <f t="shared" si="92"/>
        <v>2500</v>
      </c>
      <c r="BE127" s="93">
        <f t="shared" si="92"/>
        <v>2500</v>
      </c>
      <c r="BF127" s="93">
        <f t="shared" si="92"/>
        <v>2500</v>
      </c>
      <c r="BG127" s="93">
        <f t="shared" si="92"/>
        <v>2500</v>
      </c>
      <c r="BH127" s="93">
        <f t="shared" si="92"/>
        <v>2500</v>
      </c>
      <c r="BI127" s="93">
        <f t="shared" si="92"/>
        <v>2500</v>
      </c>
      <c r="BJ127" s="93">
        <f t="shared" si="92"/>
        <v>2500</v>
      </c>
      <c r="BK127" s="93">
        <f t="shared" si="92"/>
        <v>2500</v>
      </c>
      <c r="BL127" s="93">
        <f t="shared" si="92"/>
        <v>2500</v>
      </c>
      <c r="BM127" s="93">
        <f t="shared" si="92"/>
        <v>2500</v>
      </c>
      <c r="BN127" s="93">
        <f t="shared" si="92"/>
        <v>2500</v>
      </c>
      <c r="BO127" s="93">
        <f t="shared" si="92"/>
        <v>2500</v>
      </c>
      <c r="BP127" s="93">
        <f t="shared" si="92"/>
        <v>2500</v>
      </c>
      <c r="BQ127" s="93">
        <f t="shared" si="92"/>
        <v>2500</v>
      </c>
      <c r="BR127" s="93">
        <f t="shared" si="92"/>
        <v>2500</v>
      </c>
      <c r="BS127" s="93">
        <f t="shared" si="92"/>
        <v>2500</v>
      </c>
      <c r="BT127" s="93">
        <f t="shared" si="92"/>
        <v>2500</v>
      </c>
      <c r="BU127" s="93">
        <f t="shared" si="92"/>
        <v>2500</v>
      </c>
      <c r="BV127" s="93">
        <f t="shared" si="92"/>
        <v>2500</v>
      </c>
      <c r="BW127" s="93">
        <f t="shared" si="92"/>
        <v>2500</v>
      </c>
      <c r="BX127" s="93">
        <f t="shared" si="92"/>
        <v>2500</v>
      </c>
      <c r="BY127" s="93">
        <f t="shared" si="92"/>
        <v>2500</v>
      </c>
      <c r="BZ127" s="93">
        <f t="shared" si="92"/>
        <v>2500</v>
      </c>
      <c r="CA127" s="93">
        <f t="shared" si="92"/>
        <v>2500</v>
      </c>
    </row>
    <row r="128" hidden="1" outlineLevel="1">
      <c r="A128" s="108"/>
      <c r="B128" s="112" t="s">
        <v>100</v>
      </c>
      <c r="C128" s="113">
        <v>2500.0</v>
      </c>
      <c r="D128" s="114"/>
      <c r="E128" s="114"/>
      <c r="F128" s="114"/>
      <c r="G128" s="114"/>
      <c r="H128" s="104"/>
      <c r="I128" s="115"/>
      <c r="J128" s="104"/>
      <c r="K128" s="104"/>
      <c r="L128" s="104"/>
      <c r="M128" s="104"/>
      <c r="N128" s="104"/>
      <c r="O128" s="104"/>
      <c r="P128" s="104"/>
      <c r="Q128" s="104"/>
      <c r="R128" s="104"/>
      <c r="S128" s="104"/>
      <c r="T128" s="104">
        <f t="shared" si="86"/>
        <v>2500</v>
      </c>
      <c r="U128" s="104">
        <f t="shared" ref="U128:CA128" si="93">T128</f>
        <v>2500</v>
      </c>
      <c r="V128" s="104">
        <f t="shared" si="93"/>
        <v>2500</v>
      </c>
      <c r="W128" s="104">
        <f t="shared" si="93"/>
        <v>2500</v>
      </c>
      <c r="X128" s="104">
        <f t="shared" si="93"/>
        <v>2500</v>
      </c>
      <c r="Y128" s="104">
        <f t="shared" si="93"/>
        <v>2500</v>
      </c>
      <c r="Z128" s="104">
        <f t="shared" si="93"/>
        <v>2500</v>
      </c>
      <c r="AA128" s="104">
        <f t="shared" si="93"/>
        <v>2500</v>
      </c>
      <c r="AB128" s="104">
        <f t="shared" si="93"/>
        <v>2500</v>
      </c>
      <c r="AC128" s="104">
        <f t="shared" si="93"/>
        <v>2500</v>
      </c>
      <c r="AD128" s="104">
        <f t="shared" si="93"/>
        <v>2500</v>
      </c>
      <c r="AE128" s="104">
        <f t="shared" si="93"/>
        <v>2500</v>
      </c>
      <c r="AF128" s="104">
        <f t="shared" si="93"/>
        <v>2500</v>
      </c>
      <c r="AG128" s="104">
        <f t="shared" si="93"/>
        <v>2500</v>
      </c>
      <c r="AH128" s="104">
        <f t="shared" si="93"/>
        <v>2500</v>
      </c>
      <c r="AI128" s="104">
        <f t="shared" si="93"/>
        <v>2500</v>
      </c>
      <c r="AJ128" s="104">
        <f t="shared" si="93"/>
        <v>2500</v>
      </c>
      <c r="AK128" s="104">
        <f t="shared" si="93"/>
        <v>2500</v>
      </c>
      <c r="AL128" s="104">
        <f t="shared" si="93"/>
        <v>2500</v>
      </c>
      <c r="AM128" s="104">
        <f t="shared" si="93"/>
        <v>2500</v>
      </c>
      <c r="AN128" s="104">
        <f t="shared" si="93"/>
        <v>2500</v>
      </c>
      <c r="AO128" s="104">
        <f t="shared" si="93"/>
        <v>2500</v>
      </c>
      <c r="AP128" s="104">
        <f t="shared" si="93"/>
        <v>2500</v>
      </c>
      <c r="AQ128" s="104">
        <f t="shared" si="93"/>
        <v>2500</v>
      </c>
      <c r="AR128" s="104">
        <f t="shared" si="93"/>
        <v>2500</v>
      </c>
      <c r="AS128" s="104">
        <f t="shared" si="93"/>
        <v>2500</v>
      </c>
      <c r="AT128" s="104">
        <f t="shared" si="93"/>
        <v>2500</v>
      </c>
      <c r="AU128" s="104">
        <f t="shared" si="93"/>
        <v>2500</v>
      </c>
      <c r="AV128" s="104">
        <f t="shared" si="93"/>
        <v>2500</v>
      </c>
      <c r="AW128" s="104">
        <f t="shared" si="93"/>
        <v>2500</v>
      </c>
      <c r="AX128" s="104">
        <f t="shared" si="93"/>
        <v>2500</v>
      </c>
      <c r="AY128" s="104">
        <f t="shared" si="93"/>
        <v>2500</v>
      </c>
      <c r="AZ128" s="104">
        <f t="shared" si="93"/>
        <v>2500</v>
      </c>
      <c r="BA128" s="104">
        <f t="shared" si="93"/>
        <v>2500</v>
      </c>
      <c r="BB128" s="104">
        <f t="shared" si="93"/>
        <v>2500</v>
      </c>
      <c r="BC128" s="104">
        <f t="shared" si="93"/>
        <v>2500</v>
      </c>
      <c r="BD128" s="104">
        <f t="shared" si="93"/>
        <v>2500</v>
      </c>
      <c r="BE128" s="104">
        <f t="shared" si="93"/>
        <v>2500</v>
      </c>
      <c r="BF128" s="104">
        <f t="shared" si="93"/>
        <v>2500</v>
      </c>
      <c r="BG128" s="104">
        <f t="shared" si="93"/>
        <v>2500</v>
      </c>
      <c r="BH128" s="104">
        <f t="shared" si="93"/>
        <v>2500</v>
      </c>
      <c r="BI128" s="104">
        <f t="shared" si="93"/>
        <v>2500</v>
      </c>
      <c r="BJ128" s="104">
        <f t="shared" si="93"/>
        <v>2500</v>
      </c>
      <c r="BK128" s="104">
        <f t="shared" si="93"/>
        <v>2500</v>
      </c>
      <c r="BL128" s="104">
        <f t="shared" si="93"/>
        <v>2500</v>
      </c>
      <c r="BM128" s="104">
        <f t="shared" si="93"/>
        <v>2500</v>
      </c>
      <c r="BN128" s="104">
        <f t="shared" si="93"/>
        <v>2500</v>
      </c>
      <c r="BO128" s="104">
        <f t="shared" si="93"/>
        <v>2500</v>
      </c>
      <c r="BP128" s="104">
        <f t="shared" si="93"/>
        <v>2500</v>
      </c>
      <c r="BQ128" s="104">
        <f t="shared" si="93"/>
        <v>2500</v>
      </c>
      <c r="BR128" s="104">
        <f t="shared" si="93"/>
        <v>2500</v>
      </c>
      <c r="BS128" s="104">
        <f t="shared" si="93"/>
        <v>2500</v>
      </c>
      <c r="BT128" s="104">
        <f t="shared" si="93"/>
        <v>2500</v>
      </c>
      <c r="BU128" s="104">
        <f t="shared" si="93"/>
        <v>2500</v>
      </c>
      <c r="BV128" s="104">
        <f t="shared" si="93"/>
        <v>2500</v>
      </c>
      <c r="BW128" s="104">
        <f t="shared" si="93"/>
        <v>2500</v>
      </c>
      <c r="BX128" s="104">
        <f t="shared" si="93"/>
        <v>2500</v>
      </c>
      <c r="BY128" s="104">
        <f t="shared" si="93"/>
        <v>2500</v>
      </c>
      <c r="BZ128" s="104">
        <f t="shared" si="93"/>
        <v>2500</v>
      </c>
      <c r="CA128" s="104">
        <f t="shared" si="93"/>
        <v>2500</v>
      </c>
    </row>
    <row r="129" hidden="1" outlineLevel="1">
      <c r="A129" s="116"/>
      <c r="B129" s="117" t="s">
        <v>91</v>
      </c>
      <c r="C129" s="116"/>
      <c r="D129" s="116"/>
      <c r="E129" s="116"/>
      <c r="F129" s="116"/>
      <c r="G129" s="116"/>
      <c r="H129" s="116"/>
      <c r="I129" s="118"/>
      <c r="J129" s="118"/>
      <c r="K129" s="118"/>
      <c r="L129" s="118"/>
      <c r="M129" s="118"/>
      <c r="N129" s="118"/>
      <c r="O129" s="118"/>
      <c r="P129" s="118"/>
      <c r="Q129" s="118"/>
      <c r="R129" s="118"/>
      <c r="S129" s="118"/>
      <c r="T129" s="118">
        <f t="shared" ref="T129:CA129" si="94">sum(T121:T128)</f>
        <v>20000</v>
      </c>
      <c r="U129" s="118">
        <f t="shared" si="94"/>
        <v>20000</v>
      </c>
      <c r="V129" s="118">
        <f t="shared" si="94"/>
        <v>20000</v>
      </c>
      <c r="W129" s="118">
        <f t="shared" si="94"/>
        <v>20000</v>
      </c>
      <c r="X129" s="118">
        <f t="shared" si="94"/>
        <v>20000</v>
      </c>
      <c r="Y129" s="118">
        <f t="shared" si="94"/>
        <v>20000</v>
      </c>
      <c r="Z129" s="118">
        <f t="shared" si="94"/>
        <v>20000</v>
      </c>
      <c r="AA129" s="118">
        <f t="shared" si="94"/>
        <v>20000</v>
      </c>
      <c r="AB129" s="118">
        <f t="shared" si="94"/>
        <v>20000</v>
      </c>
      <c r="AC129" s="118">
        <f t="shared" si="94"/>
        <v>20000</v>
      </c>
      <c r="AD129" s="118">
        <f t="shared" si="94"/>
        <v>20000</v>
      </c>
      <c r="AE129" s="118">
        <f t="shared" si="94"/>
        <v>20000</v>
      </c>
      <c r="AF129" s="118">
        <f t="shared" si="94"/>
        <v>20000</v>
      </c>
      <c r="AG129" s="118">
        <f t="shared" si="94"/>
        <v>20000</v>
      </c>
      <c r="AH129" s="118">
        <f t="shared" si="94"/>
        <v>20000</v>
      </c>
      <c r="AI129" s="118">
        <f t="shared" si="94"/>
        <v>20000</v>
      </c>
      <c r="AJ129" s="118">
        <f t="shared" si="94"/>
        <v>20000</v>
      </c>
      <c r="AK129" s="118">
        <f t="shared" si="94"/>
        <v>20000</v>
      </c>
      <c r="AL129" s="118">
        <f t="shared" si="94"/>
        <v>20000</v>
      </c>
      <c r="AM129" s="118">
        <f t="shared" si="94"/>
        <v>20000</v>
      </c>
      <c r="AN129" s="118">
        <f t="shared" si="94"/>
        <v>20000</v>
      </c>
      <c r="AO129" s="118">
        <f t="shared" si="94"/>
        <v>20000</v>
      </c>
      <c r="AP129" s="118">
        <f t="shared" si="94"/>
        <v>20000</v>
      </c>
      <c r="AQ129" s="118">
        <f t="shared" si="94"/>
        <v>20000</v>
      </c>
      <c r="AR129" s="118">
        <f t="shared" si="94"/>
        <v>20000</v>
      </c>
      <c r="AS129" s="118">
        <f t="shared" si="94"/>
        <v>20000</v>
      </c>
      <c r="AT129" s="118">
        <f t="shared" si="94"/>
        <v>20000</v>
      </c>
      <c r="AU129" s="118">
        <f t="shared" si="94"/>
        <v>20000</v>
      </c>
      <c r="AV129" s="118">
        <f t="shared" si="94"/>
        <v>20000</v>
      </c>
      <c r="AW129" s="118">
        <f t="shared" si="94"/>
        <v>20000</v>
      </c>
      <c r="AX129" s="118">
        <f t="shared" si="94"/>
        <v>20000</v>
      </c>
      <c r="AY129" s="118">
        <f t="shared" si="94"/>
        <v>20000</v>
      </c>
      <c r="AZ129" s="118">
        <f t="shared" si="94"/>
        <v>20000</v>
      </c>
      <c r="BA129" s="118">
        <f t="shared" si="94"/>
        <v>20000</v>
      </c>
      <c r="BB129" s="118">
        <f t="shared" si="94"/>
        <v>20000</v>
      </c>
      <c r="BC129" s="118">
        <f t="shared" si="94"/>
        <v>20000</v>
      </c>
      <c r="BD129" s="118">
        <f t="shared" si="94"/>
        <v>20000</v>
      </c>
      <c r="BE129" s="118">
        <f t="shared" si="94"/>
        <v>20000</v>
      </c>
      <c r="BF129" s="118">
        <f t="shared" si="94"/>
        <v>20000</v>
      </c>
      <c r="BG129" s="118">
        <f t="shared" si="94"/>
        <v>20000</v>
      </c>
      <c r="BH129" s="118">
        <f t="shared" si="94"/>
        <v>20000</v>
      </c>
      <c r="BI129" s="118">
        <f t="shared" si="94"/>
        <v>20000</v>
      </c>
      <c r="BJ129" s="118">
        <f t="shared" si="94"/>
        <v>20000</v>
      </c>
      <c r="BK129" s="118">
        <f t="shared" si="94"/>
        <v>20000</v>
      </c>
      <c r="BL129" s="118">
        <f t="shared" si="94"/>
        <v>20000</v>
      </c>
      <c r="BM129" s="118">
        <f t="shared" si="94"/>
        <v>20000</v>
      </c>
      <c r="BN129" s="118">
        <f t="shared" si="94"/>
        <v>20000</v>
      </c>
      <c r="BO129" s="118">
        <f t="shared" si="94"/>
        <v>20000</v>
      </c>
      <c r="BP129" s="118">
        <f t="shared" si="94"/>
        <v>20000</v>
      </c>
      <c r="BQ129" s="118">
        <f t="shared" si="94"/>
        <v>20000</v>
      </c>
      <c r="BR129" s="118">
        <f t="shared" si="94"/>
        <v>20000</v>
      </c>
      <c r="BS129" s="118">
        <f t="shared" si="94"/>
        <v>20000</v>
      </c>
      <c r="BT129" s="118">
        <f t="shared" si="94"/>
        <v>20000</v>
      </c>
      <c r="BU129" s="118">
        <f t="shared" si="94"/>
        <v>20000</v>
      </c>
      <c r="BV129" s="118">
        <f t="shared" si="94"/>
        <v>20000</v>
      </c>
      <c r="BW129" s="118">
        <f t="shared" si="94"/>
        <v>20000</v>
      </c>
      <c r="BX129" s="118">
        <f t="shared" si="94"/>
        <v>20000</v>
      </c>
      <c r="BY129" s="118">
        <f t="shared" si="94"/>
        <v>20000</v>
      </c>
      <c r="BZ129" s="118">
        <f t="shared" si="94"/>
        <v>20000</v>
      </c>
      <c r="CA129" s="118">
        <f t="shared" si="94"/>
        <v>20000</v>
      </c>
    </row>
    <row r="130" hidden="1" outlineLevel="1">
      <c r="A130" s="47"/>
      <c r="B130" s="47"/>
      <c r="C130" s="47"/>
      <c r="D130" s="108"/>
      <c r="E130" s="108"/>
      <c r="F130" s="108"/>
      <c r="G130" s="108"/>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c r="BK130" s="93"/>
      <c r="BL130" s="93"/>
      <c r="BM130" s="93"/>
      <c r="BN130" s="93"/>
      <c r="BO130" s="93"/>
      <c r="BP130" s="93"/>
      <c r="BQ130" s="93"/>
      <c r="BR130" s="93"/>
      <c r="BS130" s="93"/>
      <c r="BT130" s="93"/>
      <c r="BU130" s="93"/>
      <c r="BV130" s="93"/>
      <c r="BW130" s="93"/>
      <c r="BX130" s="93"/>
      <c r="BY130" s="93"/>
      <c r="BZ130" s="93"/>
      <c r="CA130" s="93"/>
    </row>
    <row r="131" hidden="1" outlineLevel="1">
      <c r="A131" s="47"/>
      <c r="B131" s="119" t="s">
        <v>101</v>
      </c>
      <c r="C131" s="92" t="s">
        <v>82</v>
      </c>
      <c r="D131" s="120"/>
      <c r="E131" s="108"/>
      <c r="F131" s="108"/>
      <c r="G131" s="108"/>
      <c r="H131" s="93"/>
      <c r="I131" s="93"/>
      <c r="J131" s="93"/>
      <c r="K131" s="93"/>
      <c r="L131" s="93"/>
      <c r="M131" s="93"/>
      <c r="N131" s="93"/>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c r="BJ131" s="93"/>
      <c r="BK131" s="93"/>
      <c r="BL131" s="93"/>
      <c r="BM131" s="93"/>
      <c r="BN131" s="93"/>
      <c r="BO131" s="93"/>
      <c r="BP131" s="93"/>
      <c r="BQ131" s="93"/>
      <c r="BR131" s="93"/>
      <c r="BS131" s="93"/>
      <c r="BT131" s="93"/>
      <c r="BU131" s="93"/>
      <c r="BV131" s="93"/>
      <c r="BW131" s="93"/>
      <c r="BX131" s="93"/>
      <c r="BY131" s="93"/>
      <c r="BZ131" s="93"/>
      <c r="CA131" s="93"/>
    </row>
    <row r="132" hidden="1" outlineLevel="1">
      <c r="A132" s="47"/>
      <c r="B132" s="99" t="s">
        <v>102</v>
      </c>
      <c r="C132" s="100">
        <v>0.08</v>
      </c>
      <c r="D132" s="108"/>
      <c r="E132" s="108"/>
      <c r="F132" s="108"/>
      <c r="G132" s="108"/>
      <c r="H132" s="93"/>
      <c r="I132" s="93"/>
      <c r="J132" s="93"/>
      <c r="K132" s="93"/>
      <c r="L132" s="93"/>
      <c r="M132" s="93"/>
      <c r="N132" s="93"/>
      <c r="O132" s="93"/>
      <c r="P132" s="93"/>
      <c r="Q132" s="93"/>
      <c r="R132" s="93"/>
      <c r="S132" s="93"/>
      <c r="T132" s="93">
        <f>Financials!F$8*$C132</f>
        <v>0</v>
      </c>
      <c r="U132" s="93">
        <f>Financials!G$8*$C132</f>
        <v>38</v>
      </c>
      <c r="V132" s="93">
        <f>Financials!H$8*$C132</f>
        <v>76.76</v>
      </c>
      <c r="W132" s="93">
        <f>Financials!I$8*$C132</f>
        <v>116.2952</v>
      </c>
      <c r="X132" s="93">
        <f>Financials!J$8*$C132</f>
        <v>156.621104</v>
      </c>
      <c r="Y132" s="93">
        <f>Financials!K$8*$C132</f>
        <v>227.3535261</v>
      </c>
      <c r="Z132" s="93">
        <f>Financials!L$8*$C132</f>
        <v>299.5005966</v>
      </c>
      <c r="AA132" s="93">
        <f>Financials!M$8*$C132</f>
        <v>373.0906085</v>
      </c>
      <c r="AB132" s="93">
        <f>Financials!N$8*$C132</f>
        <v>448.1524207</v>
      </c>
      <c r="AC132" s="93">
        <f>Financials!O$8*$C132</f>
        <v>524.7154691</v>
      </c>
      <c r="AD132" s="93">
        <f>Financials!P$8*$C132</f>
        <v>602.8097785</v>
      </c>
      <c r="AE132" s="93">
        <f>Financials!Q$8*$C132</f>
        <v>682.4659741</v>
      </c>
      <c r="AF132" s="93">
        <f>Financials!R$8*$C132</f>
        <v>763.7152936</v>
      </c>
      <c r="AG132" s="93">
        <f>Financials!S$8*$C132</f>
        <v>838.9895994</v>
      </c>
      <c r="AH132" s="93">
        <f>Financials!T$8*$C132</f>
        <v>915.7693914</v>
      </c>
      <c r="AI132" s="93">
        <f>Financials!U$8*$C132</f>
        <v>994.0847792</v>
      </c>
      <c r="AJ132" s="93">
        <f>Financials!V$8*$C132</f>
        <v>1073.966475</v>
      </c>
      <c r="AK132" s="93">
        <f>Financials!W$8*$C132</f>
        <v>1149.525804</v>
      </c>
      <c r="AL132" s="93">
        <f>Financials!X$8*$C132</f>
        <v>1226.59632</v>
      </c>
      <c r="AM132" s="93">
        <f>Financials!Y$8*$C132</f>
        <v>1305.208247</v>
      </c>
      <c r="AN132" s="93">
        <f>Financials!Z$8*$C132</f>
        <v>1385.392412</v>
      </c>
      <c r="AO132" s="93">
        <f>Financials!AA$8*$C132</f>
        <v>1467.18026</v>
      </c>
      <c r="AP132" s="93">
        <f>Financials!AB$8*$C132</f>
        <v>1550.603865</v>
      </c>
      <c r="AQ132" s="93">
        <f>Financials!AC$8*$C132</f>
        <v>1635.695942</v>
      </c>
      <c r="AR132" s="93">
        <f>Financials!AD$8*$C132</f>
        <v>1722.489861</v>
      </c>
      <c r="AS132" s="93">
        <f>Financials!AE$8*$C132</f>
        <v>1804.939659</v>
      </c>
      <c r="AT132" s="93">
        <f>Financials!AF$8*$C132</f>
        <v>1889.038452</v>
      </c>
      <c r="AU132" s="93">
        <f>Financials!AG$8*$C132</f>
        <v>1974.819221</v>
      </c>
      <c r="AV132" s="93">
        <f>Financials!AH$8*$C132</f>
        <v>2062.315605</v>
      </c>
      <c r="AW132" s="93">
        <f>Financials!AI$8*$C132</f>
        <v>2146.825917</v>
      </c>
      <c r="AX132" s="93">
        <f>Financials!AJ$8*$C132</f>
        <v>2233.026436</v>
      </c>
      <c r="AY132" s="93">
        <f>Financials!AK$8*$C132</f>
        <v>2320.950964</v>
      </c>
      <c r="AZ132" s="93">
        <f>Financials!AL$8*$C132</f>
        <v>2410.633984</v>
      </c>
      <c r="BA132" s="93">
        <f>Financials!AM$8*$C132</f>
        <v>2502.110663</v>
      </c>
      <c r="BB132" s="93">
        <f>Financials!AN$8*$C132</f>
        <v>2595.416877</v>
      </c>
      <c r="BC132" s="93">
        <f>Financials!AO$8*$C132</f>
        <v>2690.589214</v>
      </c>
      <c r="BD132" s="93">
        <f>Financials!AP$8*$C132</f>
        <v>2787.664998</v>
      </c>
      <c r="BE132" s="93">
        <f>Financials!AQ$8*$C132</f>
        <v>2881.818298</v>
      </c>
      <c r="BF132" s="93">
        <f>Financials!AR$8*$C132</f>
        <v>2977.854664</v>
      </c>
      <c r="BG132" s="93">
        <f>Financials!AS$8*$C132</f>
        <v>3075.811758</v>
      </c>
      <c r="BH132" s="93">
        <f>Financials!AT$8*$C132</f>
        <v>3175.727993</v>
      </c>
      <c r="BI132" s="93">
        <f>Financials!AU$8*$C132</f>
        <v>3273.853753</v>
      </c>
      <c r="BJ132" s="93">
        <f>Financials!AV$8*$C132</f>
        <v>3373.942028</v>
      </c>
      <c r="BK132" s="93">
        <f>Financials!AW$8*$C132</f>
        <v>3476.032068</v>
      </c>
      <c r="BL132" s="93">
        <f>Financials!AX$8*$C132</f>
        <v>3580.16391</v>
      </c>
      <c r="BM132" s="93">
        <f>Financials!AY$8*$C132</f>
        <v>3686.378388</v>
      </c>
      <c r="BN132" s="93">
        <f>Financials!AZ$8*$C132</f>
        <v>3794.717156</v>
      </c>
      <c r="BO132" s="93">
        <f>Financials!BA$8*$C132</f>
        <v>3905.222699</v>
      </c>
      <c r="BP132" s="93">
        <f>Financials!BB$8*$C132</f>
        <v>4017.938353</v>
      </c>
      <c r="BQ132" s="93">
        <f>Financials!BC$8*$C132</f>
        <v>4129.01712</v>
      </c>
      <c r="BR132" s="93">
        <f>Financials!BD$8*$C132</f>
        <v>4242.317462</v>
      </c>
      <c r="BS132" s="93">
        <f>Financials!BE$8*$C132</f>
        <v>4357.883811</v>
      </c>
      <c r="BT132" s="93">
        <f>Financials!BF$8*$C132</f>
        <v>4475.761488</v>
      </c>
      <c r="BU132" s="93">
        <f>Financials!BG$8*$C132</f>
        <v>4592.965677</v>
      </c>
      <c r="BV132" s="93">
        <f>Financials!BH$8*$C132</f>
        <v>4712.513951</v>
      </c>
      <c r="BW132" s="93">
        <f>Financials!BI$8*$C132</f>
        <v>4834.45319</v>
      </c>
      <c r="BX132" s="93">
        <f>Financials!BJ$8*$C132</f>
        <v>4958.831214</v>
      </c>
      <c r="BY132" s="93">
        <f>Financials!BK$8*$C132</f>
        <v>5085.696798</v>
      </c>
      <c r="BZ132" s="93">
        <f>Financials!BL$8*$C132</f>
        <v>5215.099694</v>
      </c>
      <c r="CA132" s="93">
        <f>Financials!BM$8*$C132</f>
        <v>5347.090648</v>
      </c>
    </row>
    <row r="133" hidden="1" outlineLevel="1">
      <c r="A133" s="47"/>
      <c r="B133" s="102" t="s">
        <v>103</v>
      </c>
      <c r="C133" s="121">
        <v>10000.0</v>
      </c>
      <c r="D133" s="114"/>
      <c r="E133" s="114"/>
      <c r="F133" s="114"/>
      <c r="G133" s="114"/>
      <c r="H133" s="104"/>
      <c r="I133" s="115"/>
      <c r="J133" s="104"/>
      <c r="K133" s="104"/>
      <c r="L133" s="104"/>
      <c r="M133" s="104"/>
      <c r="N133" s="104"/>
      <c r="O133" s="104"/>
      <c r="P133" s="104"/>
      <c r="Q133" s="104"/>
      <c r="R133" s="104"/>
      <c r="S133" s="104"/>
      <c r="T133" s="104">
        <f>C133</f>
        <v>10000</v>
      </c>
      <c r="U133" s="104">
        <f t="shared" ref="U133:CA133" si="95">T133</f>
        <v>10000</v>
      </c>
      <c r="V133" s="104">
        <f t="shared" si="95"/>
        <v>10000</v>
      </c>
      <c r="W133" s="104">
        <f t="shared" si="95"/>
        <v>10000</v>
      </c>
      <c r="X133" s="104">
        <f t="shared" si="95"/>
        <v>10000</v>
      </c>
      <c r="Y133" s="104">
        <f t="shared" si="95"/>
        <v>10000</v>
      </c>
      <c r="Z133" s="104">
        <f t="shared" si="95"/>
        <v>10000</v>
      </c>
      <c r="AA133" s="104">
        <f t="shared" si="95"/>
        <v>10000</v>
      </c>
      <c r="AB133" s="104">
        <f t="shared" si="95"/>
        <v>10000</v>
      </c>
      <c r="AC133" s="104">
        <f t="shared" si="95"/>
        <v>10000</v>
      </c>
      <c r="AD133" s="104">
        <f t="shared" si="95"/>
        <v>10000</v>
      </c>
      <c r="AE133" s="104">
        <f t="shared" si="95"/>
        <v>10000</v>
      </c>
      <c r="AF133" s="104">
        <f t="shared" si="95"/>
        <v>10000</v>
      </c>
      <c r="AG133" s="104">
        <f t="shared" si="95"/>
        <v>10000</v>
      </c>
      <c r="AH133" s="104">
        <f t="shared" si="95"/>
        <v>10000</v>
      </c>
      <c r="AI133" s="104">
        <f t="shared" si="95"/>
        <v>10000</v>
      </c>
      <c r="AJ133" s="104">
        <f t="shared" si="95"/>
        <v>10000</v>
      </c>
      <c r="AK133" s="104">
        <f t="shared" si="95"/>
        <v>10000</v>
      </c>
      <c r="AL133" s="104">
        <f t="shared" si="95"/>
        <v>10000</v>
      </c>
      <c r="AM133" s="104">
        <f t="shared" si="95"/>
        <v>10000</v>
      </c>
      <c r="AN133" s="104">
        <f t="shared" si="95"/>
        <v>10000</v>
      </c>
      <c r="AO133" s="104">
        <f t="shared" si="95"/>
        <v>10000</v>
      </c>
      <c r="AP133" s="104">
        <f t="shared" si="95"/>
        <v>10000</v>
      </c>
      <c r="AQ133" s="104">
        <f t="shared" si="95"/>
        <v>10000</v>
      </c>
      <c r="AR133" s="104">
        <f t="shared" si="95"/>
        <v>10000</v>
      </c>
      <c r="AS133" s="104">
        <f t="shared" si="95"/>
        <v>10000</v>
      </c>
      <c r="AT133" s="104">
        <f t="shared" si="95"/>
        <v>10000</v>
      </c>
      <c r="AU133" s="104">
        <f t="shared" si="95"/>
        <v>10000</v>
      </c>
      <c r="AV133" s="104">
        <f t="shared" si="95"/>
        <v>10000</v>
      </c>
      <c r="AW133" s="104">
        <f t="shared" si="95"/>
        <v>10000</v>
      </c>
      <c r="AX133" s="104">
        <f t="shared" si="95"/>
        <v>10000</v>
      </c>
      <c r="AY133" s="104">
        <f t="shared" si="95"/>
        <v>10000</v>
      </c>
      <c r="AZ133" s="104">
        <f t="shared" si="95"/>
        <v>10000</v>
      </c>
      <c r="BA133" s="104">
        <f t="shared" si="95"/>
        <v>10000</v>
      </c>
      <c r="BB133" s="104">
        <f t="shared" si="95"/>
        <v>10000</v>
      </c>
      <c r="BC133" s="104">
        <f t="shared" si="95"/>
        <v>10000</v>
      </c>
      <c r="BD133" s="104">
        <f t="shared" si="95"/>
        <v>10000</v>
      </c>
      <c r="BE133" s="104">
        <f t="shared" si="95"/>
        <v>10000</v>
      </c>
      <c r="BF133" s="104">
        <f t="shared" si="95"/>
        <v>10000</v>
      </c>
      <c r="BG133" s="104">
        <f t="shared" si="95"/>
        <v>10000</v>
      </c>
      <c r="BH133" s="104">
        <f t="shared" si="95"/>
        <v>10000</v>
      </c>
      <c r="BI133" s="104">
        <f t="shared" si="95"/>
        <v>10000</v>
      </c>
      <c r="BJ133" s="104">
        <f t="shared" si="95"/>
        <v>10000</v>
      </c>
      <c r="BK133" s="104">
        <f t="shared" si="95"/>
        <v>10000</v>
      </c>
      <c r="BL133" s="104">
        <f t="shared" si="95"/>
        <v>10000</v>
      </c>
      <c r="BM133" s="104">
        <f t="shared" si="95"/>
        <v>10000</v>
      </c>
      <c r="BN133" s="104">
        <f t="shared" si="95"/>
        <v>10000</v>
      </c>
      <c r="BO133" s="104">
        <f t="shared" si="95"/>
        <v>10000</v>
      </c>
      <c r="BP133" s="104">
        <f t="shared" si="95"/>
        <v>10000</v>
      </c>
      <c r="BQ133" s="104">
        <f t="shared" si="95"/>
        <v>10000</v>
      </c>
      <c r="BR133" s="104">
        <f t="shared" si="95"/>
        <v>10000</v>
      </c>
      <c r="BS133" s="104">
        <f t="shared" si="95"/>
        <v>10000</v>
      </c>
      <c r="BT133" s="104">
        <f t="shared" si="95"/>
        <v>10000</v>
      </c>
      <c r="BU133" s="104">
        <f t="shared" si="95"/>
        <v>10000</v>
      </c>
      <c r="BV133" s="104">
        <f t="shared" si="95"/>
        <v>10000</v>
      </c>
      <c r="BW133" s="104">
        <f t="shared" si="95"/>
        <v>10000</v>
      </c>
      <c r="BX133" s="104">
        <f t="shared" si="95"/>
        <v>10000</v>
      </c>
      <c r="BY133" s="104">
        <f t="shared" si="95"/>
        <v>10000</v>
      </c>
      <c r="BZ133" s="104">
        <f t="shared" si="95"/>
        <v>10000</v>
      </c>
      <c r="CA133" s="104">
        <f t="shared" si="95"/>
        <v>10000</v>
      </c>
    </row>
    <row r="134" hidden="1" outlineLevel="1">
      <c r="A134" s="116"/>
      <c r="B134" s="122" t="s">
        <v>91</v>
      </c>
      <c r="C134" s="116"/>
      <c r="D134" s="116"/>
      <c r="E134" s="116"/>
      <c r="F134" s="116"/>
      <c r="G134" s="116"/>
      <c r="H134" s="116"/>
      <c r="I134" s="118"/>
      <c r="J134" s="118"/>
      <c r="K134" s="118"/>
      <c r="L134" s="118"/>
      <c r="M134" s="118"/>
      <c r="N134" s="118"/>
      <c r="O134" s="118"/>
      <c r="P134" s="118"/>
      <c r="Q134" s="118"/>
      <c r="R134" s="118"/>
      <c r="S134" s="118"/>
      <c r="T134" s="118">
        <f t="shared" ref="T134:CA134" si="96">sum(T132:T133)</f>
        <v>10000</v>
      </c>
      <c r="U134" s="118">
        <f t="shared" si="96"/>
        <v>10038</v>
      </c>
      <c r="V134" s="118">
        <f t="shared" si="96"/>
        <v>10076.76</v>
      </c>
      <c r="W134" s="118">
        <f t="shared" si="96"/>
        <v>10116.2952</v>
      </c>
      <c r="X134" s="118">
        <f t="shared" si="96"/>
        <v>10156.6211</v>
      </c>
      <c r="Y134" s="118">
        <f t="shared" si="96"/>
        <v>10227.35353</v>
      </c>
      <c r="Z134" s="118">
        <f t="shared" si="96"/>
        <v>10299.5006</v>
      </c>
      <c r="AA134" s="118">
        <f t="shared" si="96"/>
        <v>10373.09061</v>
      </c>
      <c r="AB134" s="118">
        <f t="shared" si="96"/>
        <v>10448.15242</v>
      </c>
      <c r="AC134" s="118">
        <f t="shared" si="96"/>
        <v>10524.71547</v>
      </c>
      <c r="AD134" s="118">
        <f t="shared" si="96"/>
        <v>10602.80978</v>
      </c>
      <c r="AE134" s="118">
        <f t="shared" si="96"/>
        <v>10682.46597</v>
      </c>
      <c r="AF134" s="118">
        <f t="shared" si="96"/>
        <v>10763.71529</v>
      </c>
      <c r="AG134" s="118">
        <f t="shared" si="96"/>
        <v>10838.9896</v>
      </c>
      <c r="AH134" s="118">
        <f t="shared" si="96"/>
        <v>10915.76939</v>
      </c>
      <c r="AI134" s="118">
        <f t="shared" si="96"/>
        <v>10994.08478</v>
      </c>
      <c r="AJ134" s="118">
        <f t="shared" si="96"/>
        <v>11073.96647</v>
      </c>
      <c r="AK134" s="118">
        <f t="shared" si="96"/>
        <v>11149.5258</v>
      </c>
      <c r="AL134" s="118">
        <f t="shared" si="96"/>
        <v>11226.59632</v>
      </c>
      <c r="AM134" s="118">
        <f t="shared" si="96"/>
        <v>11305.20825</v>
      </c>
      <c r="AN134" s="118">
        <f t="shared" si="96"/>
        <v>11385.39241</v>
      </c>
      <c r="AO134" s="118">
        <f t="shared" si="96"/>
        <v>11467.18026</v>
      </c>
      <c r="AP134" s="118">
        <f t="shared" si="96"/>
        <v>11550.60387</v>
      </c>
      <c r="AQ134" s="118">
        <f t="shared" si="96"/>
        <v>11635.69594</v>
      </c>
      <c r="AR134" s="118">
        <f t="shared" si="96"/>
        <v>11722.48986</v>
      </c>
      <c r="AS134" s="118">
        <f t="shared" si="96"/>
        <v>11804.93966</v>
      </c>
      <c r="AT134" s="118">
        <f t="shared" si="96"/>
        <v>11889.03845</v>
      </c>
      <c r="AU134" s="118">
        <f t="shared" si="96"/>
        <v>11974.81922</v>
      </c>
      <c r="AV134" s="118">
        <f t="shared" si="96"/>
        <v>12062.31561</v>
      </c>
      <c r="AW134" s="118">
        <f t="shared" si="96"/>
        <v>12146.82592</v>
      </c>
      <c r="AX134" s="118">
        <f t="shared" si="96"/>
        <v>12233.02644</v>
      </c>
      <c r="AY134" s="118">
        <f t="shared" si="96"/>
        <v>12320.95096</v>
      </c>
      <c r="AZ134" s="118">
        <f t="shared" si="96"/>
        <v>12410.63398</v>
      </c>
      <c r="BA134" s="118">
        <f t="shared" si="96"/>
        <v>12502.11066</v>
      </c>
      <c r="BB134" s="118">
        <f t="shared" si="96"/>
        <v>12595.41688</v>
      </c>
      <c r="BC134" s="118">
        <f t="shared" si="96"/>
        <v>12690.58921</v>
      </c>
      <c r="BD134" s="118">
        <f t="shared" si="96"/>
        <v>12787.665</v>
      </c>
      <c r="BE134" s="118">
        <f t="shared" si="96"/>
        <v>12881.8183</v>
      </c>
      <c r="BF134" s="118">
        <f t="shared" si="96"/>
        <v>12977.85466</v>
      </c>
      <c r="BG134" s="118">
        <f t="shared" si="96"/>
        <v>13075.81176</v>
      </c>
      <c r="BH134" s="118">
        <f t="shared" si="96"/>
        <v>13175.72799</v>
      </c>
      <c r="BI134" s="118">
        <f t="shared" si="96"/>
        <v>13273.85375</v>
      </c>
      <c r="BJ134" s="118">
        <f t="shared" si="96"/>
        <v>13373.94203</v>
      </c>
      <c r="BK134" s="118">
        <f t="shared" si="96"/>
        <v>13476.03207</v>
      </c>
      <c r="BL134" s="118">
        <f t="shared" si="96"/>
        <v>13580.16391</v>
      </c>
      <c r="BM134" s="118">
        <f t="shared" si="96"/>
        <v>13686.37839</v>
      </c>
      <c r="BN134" s="118">
        <f t="shared" si="96"/>
        <v>13794.71716</v>
      </c>
      <c r="BO134" s="118">
        <f t="shared" si="96"/>
        <v>13905.2227</v>
      </c>
      <c r="BP134" s="118">
        <f t="shared" si="96"/>
        <v>14017.93835</v>
      </c>
      <c r="BQ134" s="118">
        <f t="shared" si="96"/>
        <v>14129.01712</v>
      </c>
      <c r="BR134" s="118">
        <f t="shared" si="96"/>
        <v>14242.31746</v>
      </c>
      <c r="BS134" s="118">
        <f t="shared" si="96"/>
        <v>14357.88381</v>
      </c>
      <c r="BT134" s="118">
        <f t="shared" si="96"/>
        <v>14475.76149</v>
      </c>
      <c r="BU134" s="118">
        <f t="shared" si="96"/>
        <v>14592.96568</v>
      </c>
      <c r="BV134" s="118">
        <f t="shared" si="96"/>
        <v>14712.51395</v>
      </c>
      <c r="BW134" s="118">
        <f t="shared" si="96"/>
        <v>14834.45319</v>
      </c>
      <c r="BX134" s="118">
        <f t="shared" si="96"/>
        <v>14958.83121</v>
      </c>
      <c r="BY134" s="118">
        <f t="shared" si="96"/>
        <v>15085.6968</v>
      </c>
      <c r="BZ134" s="118">
        <f t="shared" si="96"/>
        <v>15215.09969</v>
      </c>
      <c r="CA134" s="118">
        <f t="shared" si="96"/>
        <v>15347.09065</v>
      </c>
    </row>
    <row r="135" hidden="1" outlineLevel="1">
      <c r="A135" s="47"/>
      <c r="B135" s="123"/>
      <c r="C135" s="47"/>
      <c r="D135" s="108"/>
      <c r="E135" s="108"/>
      <c r="F135" s="108"/>
      <c r="G135" s="108"/>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3"/>
      <c r="BT135" s="93"/>
      <c r="BU135" s="93"/>
      <c r="BV135" s="93"/>
      <c r="BW135" s="93"/>
      <c r="BX135" s="93"/>
      <c r="BY135" s="93"/>
      <c r="BZ135" s="93"/>
      <c r="CA135" s="93"/>
    </row>
    <row r="136" hidden="1" outlineLevel="1">
      <c r="A136" s="47"/>
      <c r="B136" s="119" t="s">
        <v>104</v>
      </c>
      <c r="C136" s="52"/>
      <c r="D136" s="120"/>
      <c r="E136" s="108"/>
      <c r="F136" s="108"/>
      <c r="G136" s="108"/>
      <c r="H136" s="93"/>
      <c r="I136" s="93"/>
      <c r="J136" s="93"/>
      <c r="K136" s="93"/>
      <c r="L136" s="93"/>
      <c r="M136" s="93"/>
      <c r="N136" s="93"/>
      <c r="O136" s="93"/>
      <c r="P136" s="93"/>
      <c r="Q136" s="93"/>
      <c r="R136" s="93"/>
      <c r="S136" s="93"/>
      <c r="T136" s="93"/>
      <c r="U136" s="93"/>
      <c r="V136" s="93"/>
      <c r="W136" s="93"/>
      <c r="X136" s="93"/>
      <c r="Y136" s="93"/>
      <c r="Z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c r="BE136" s="93"/>
      <c r="BF136" s="93"/>
      <c r="BG136" s="93"/>
      <c r="BH136" s="93"/>
      <c r="BI136" s="93"/>
      <c r="BJ136" s="93"/>
      <c r="BK136" s="93"/>
      <c r="BL136" s="93"/>
      <c r="BM136" s="93"/>
      <c r="BN136" s="93"/>
      <c r="BO136" s="93"/>
      <c r="BP136" s="93"/>
      <c r="BQ136" s="93"/>
      <c r="BR136" s="93"/>
      <c r="BS136" s="93"/>
      <c r="BT136" s="93"/>
      <c r="BU136" s="93"/>
      <c r="BV136" s="93"/>
      <c r="BW136" s="93"/>
      <c r="BX136" s="93"/>
      <c r="BY136" s="93"/>
      <c r="BZ136" s="93"/>
      <c r="CA136" s="93"/>
    </row>
    <row r="137" hidden="1" outlineLevel="1">
      <c r="A137" s="47"/>
      <c r="B137" s="99" t="s">
        <v>105</v>
      </c>
      <c r="C137" s="109">
        <v>2500.0</v>
      </c>
      <c r="D137" s="110"/>
      <c r="E137" s="108"/>
      <c r="F137" s="108"/>
      <c r="G137" s="108"/>
      <c r="H137" s="93"/>
      <c r="I137" s="111"/>
      <c r="J137" s="93"/>
      <c r="K137" s="93"/>
      <c r="L137" s="93"/>
      <c r="M137" s="93"/>
      <c r="N137" s="93"/>
      <c r="O137" s="93"/>
      <c r="P137" s="93"/>
      <c r="Q137" s="93"/>
      <c r="R137" s="93"/>
      <c r="S137" s="93"/>
      <c r="T137" s="93">
        <f t="shared" ref="T137:T139" si="98">C137</f>
        <v>2500</v>
      </c>
      <c r="U137" s="93">
        <f t="shared" ref="U137:CA137" si="97">T137</f>
        <v>2500</v>
      </c>
      <c r="V137" s="93">
        <f t="shared" si="97"/>
        <v>2500</v>
      </c>
      <c r="W137" s="93">
        <f t="shared" si="97"/>
        <v>2500</v>
      </c>
      <c r="X137" s="93">
        <f t="shared" si="97"/>
        <v>2500</v>
      </c>
      <c r="Y137" s="93">
        <f t="shared" si="97"/>
        <v>2500</v>
      </c>
      <c r="Z137" s="93">
        <f t="shared" si="97"/>
        <v>2500</v>
      </c>
      <c r="AA137" s="93">
        <f t="shared" si="97"/>
        <v>2500</v>
      </c>
      <c r="AB137" s="93">
        <f t="shared" si="97"/>
        <v>2500</v>
      </c>
      <c r="AC137" s="93">
        <f t="shared" si="97"/>
        <v>2500</v>
      </c>
      <c r="AD137" s="93">
        <f t="shared" si="97"/>
        <v>2500</v>
      </c>
      <c r="AE137" s="93">
        <f t="shared" si="97"/>
        <v>2500</v>
      </c>
      <c r="AF137" s="93">
        <f t="shared" si="97"/>
        <v>2500</v>
      </c>
      <c r="AG137" s="93">
        <f t="shared" si="97"/>
        <v>2500</v>
      </c>
      <c r="AH137" s="93">
        <f t="shared" si="97"/>
        <v>2500</v>
      </c>
      <c r="AI137" s="93">
        <f t="shared" si="97"/>
        <v>2500</v>
      </c>
      <c r="AJ137" s="93">
        <f t="shared" si="97"/>
        <v>2500</v>
      </c>
      <c r="AK137" s="93">
        <f t="shared" si="97"/>
        <v>2500</v>
      </c>
      <c r="AL137" s="93">
        <f t="shared" si="97"/>
        <v>2500</v>
      </c>
      <c r="AM137" s="93">
        <f t="shared" si="97"/>
        <v>2500</v>
      </c>
      <c r="AN137" s="93">
        <f t="shared" si="97"/>
        <v>2500</v>
      </c>
      <c r="AO137" s="93">
        <f t="shared" si="97"/>
        <v>2500</v>
      </c>
      <c r="AP137" s="93">
        <f t="shared" si="97"/>
        <v>2500</v>
      </c>
      <c r="AQ137" s="93">
        <f t="shared" si="97"/>
        <v>2500</v>
      </c>
      <c r="AR137" s="93">
        <f t="shared" si="97"/>
        <v>2500</v>
      </c>
      <c r="AS137" s="93">
        <f t="shared" si="97"/>
        <v>2500</v>
      </c>
      <c r="AT137" s="93">
        <f t="shared" si="97"/>
        <v>2500</v>
      </c>
      <c r="AU137" s="93">
        <f t="shared" si="97"/>
        <v>2500</v>
      </c>
      <c r="AV137" s="93">
        <f t="shared" si="97"/>
        <v>2500</v>
      </c>
      <c r="AW137" s="93">
        <f t="shared" si="97"/>
        <v>2500</v>
      </c>
      <c r="AX137" s="93">
        <f t="shared" si="97"/>
        <v>2500</v>
      </c>
      <c r="AY137" s="93">
        <f t="shared" si="97"/>
        <v>2500</v>
      </c>
      <c r="AZ137" s="93">
        <f t="shared" si="97"/>
        <v>2500</v>
      </c>
      <c r="BA137" s="93">
        <f t="shared" si="97"/>
        <v>2500</v>
      </c>
      <c r="BB137" s="93">
        <f t="shared" si="97"/>
        <v>2500</v>
      </c>
      <c r="BC137" s="93">
        <f t="shared" si="97"/>
        <v>2500</v>
      </c>
      <c r="BD137" s="93">
        <f t="shared" si="97"/>
        <v>2500</v>
      </c>
      <c r="BE137" s="93">
        <f t="shared" si="97"/>
        <v>2500</v>
      </c>
      <c r="BF137" s="93">
        <f t="shared" si="97"/>
        <v>2500</v>
      </c>
      <c r="BG137" s="93">
        <f t="shared" si="97"/>
        <v>2500</v>
      </c>
      <c r="BH137" s="93">
        <f t="shared" si="97"/>
        <v>2500</v>
      </c>
      <c r="BI137" s="93">
        <f t="shared" si="97"/>
        <v>2500</v>
      </c>
      <c r="BJ137" s="93">
        <f t="shared" si="97"/>
        <v>2500</v>
      </c>
      <c r="BK137" s="93">
        <f t="shared" si="97"/>
        <v>2500</v>
      </c>
      <c r="BL137" s="93">
        <f t="shared" si="97"/>
        <v>2500</v>
      </c>
      <c r="BM137" s="93">
        <f t="shared" si="97"/>
        <v>2500</v>
      </c>
      <c r="BN137" s="93">
        <f t="shared" si="97"/>
        <v>2500</v>
      </c>
      <c r="BO137" s="93">
        <f t="shared" si="97"/>
        <v>2500</v>
      </c>
      <c r="BP137" s="93">
        <f t="shared" si="97"/>
        <v>2500</v>
      </c>
      <c r="BQ137" s="93">
        <f t="shared" si="97"/>
        <v>2500</v>
      </c>
      <c r="BR137" s="93">
        <f t="shared" si="97"/>
        <v>2500</v>
      </c>
      <c r="BS137" s="93">
        <f t="shared" si="97"/>
        <v>2500</v>
      </c>
      <c r="BT137" s="93">
        <f t="shared" si="97"/>
        <v>2500</v>
      </c>
      <c r="BU137" s="93">
        <f t="shared" si="97"/>
        <v>2500</v>
      </c>
      <c r="BV137" s="93">
        <f t="shared" si="97"/>
        <v>2500</v>
      </c>
      <c r="BW137" s="93">
        <f t="shared" si="97"/>
        <v>2500</v>
      </c>
      <c r="BX137" s="93">
        <f t="shared" si="97"/>
        <v>2500</v>
      </c>
      <c r="BY137" s="93">
        <f t="shared" si="97"/>
        <v>2500</v>
      </c>
      <c r="BZ137" s="93">
        <f t="shared" si="97"/>
        <v>2500</v>
      </c>
      <c r="CA137" s="93">
        <f t="shared" si="97"/>
        <v>2500</v>
      </c>
    </row>
    <row r="138" hidden="1" outlineLevel="1">
      <c r="A138" s="47"/>
      <c r="B138" s="99" t="s">
        <v>106</v>
      </c>
      <c r="C138" s="95">
        <v>1000.0</v>
      </c>
      <c r="D138" s="110"/>
      <c r="E138" s="108"/>
      <c r="F138" s="108"/>
      <c r="G138" s="108"/>
      <c r="H138" s="93"/>
      <c r="I138" s="111"/>
      <c r="J138" s="93"/>
      <c r="K138" s="93"/>
      <c r="L138" s="93"/>
      <c r="M138" s="93"/>
      <c r="N138" s="93"/>
      <c r="O138" s="93"/>
      <c r="P138" s="93"/>
      <c r="Q138" s="93"/>
      <c r="R138" s="93"/>
      <c r="S138" s="93"/>
      <c r="T138" s="93">
        <f t="shared" si="98"/>
        <v>1000</v>
      </c>
      <c r="U138" s="93">
        <f t="shared" ref="U138:CA138" si="99">T138</f>
        <v>1000</v>
      </c>
      <c r="V138" s="93">
        <f t="shared" si="99"/>
        <v>1000</v>
      </c>
      <c r="W138" s="93">
        <f t="shared" si="99"/>
        <v>1000</v>
      </c>
      <c r="X138" s="93">
        <f t="shared" si="99"/>
        <v>1000</v>
      </c>
      <c r="Y138" s="93">
        <f t="shared" si="99"/>
        <v>1000</v>
      </c>
      <c r="Z138" s="93">
        <f t="shared" si="99"/>
        <v>1000</v>
      </c>
      <c r="AA138" s="93">
        <f t="shared" si="99"/>
        <v>1000</v>
      </c>
      <c r="AB138" s="93">
        <f t="shared" si="99"/>
        <v>1000</v>
      </c>
      <c r="AC138" s="93">
        <f t="shared" si="99"/>
        <v>1000</v>
      </c>
      <c r="AD138" s="93">
        <f t="shared" si="99"/>
        <v>1000</v>
      </c>
      <c r="AE138" s="93">
        <f t="shared" si="99"/>
        <v>1000</v>
      </c>
      <c r="AF138" s="93">
        <f t="shared" si="99"/>
        <v>1000</v>
      </c>
      <c r="AG138" s="93">
        <f t="shared" si="99"/>
        <v>1000</v>
      </c>
      <c r="AH138" s="93">
        <f t="shared" si="99"/>
        <v>1000</v>
      </c>
      <c r="AI138" s="93">
        <f t="shared" si="99"/>
        <v>1000</v>
      </c>
      <c r="AJ138" s="93">
        <f t="shared" si="99"/>
        <v>1000</v>
      </c>
      <c r="AK138" s="93">
        <f t="shared" si="99"/>
        <v>1000</v>
      </c>
      <c r="AL138" s="93">
        <f t="shared" si="99"/>
        <v>1000</v>
      </c>
      <c r="AM138" s="93">
        <f t="shared" si="99"/>
        <v>1000</v>
      </c>
      <c r="AN138" s="93">
        <f t="shared" si="99"/>
        <v>1000</v>
      </c>
      <c r="AO138" s="93">
        <f t="shared" si="99"/>
        <v>1000</v>
      </c>
      <c r="AP138" s="93">
        <f t="shared" si="99"/>
        <v>1000</v>
      </c>
      <c r="AQ138" s="93">
        <f t="shared" si="99"/>
        <v>1000</v>
      </c>
      <c r="AR138" s="93">
        <f t="shared" si="99"/>
        <v>1000</v>
      </c>
      <c r="AS138" s="93">
        <f t="shared" si="99"/>
        <v>1000</v>
      </c>
      <c r="AT138" s="93">
        <f t="shared" si="99"/>
        <v>1000</v>
      </c>
      <c r="AU138" s="93">
        <f t="shared" si="99"/>
        <v>1000</v>
      </c>
      <c r="AV138" s="93">
        <f t="shared" si="99"/>
        <v>1000</v>
      </c>
      <c r="AW138" s="93">
        <f t="shared" si="99"/>
        <v>1000</v>
      </c>
      <c r="AX138" s="93">
        <f t="shared" si="99"/>
        <v>1000</v>
      </c>
      <c r="AY138" s="93">
        <f t="shared" si="99"/>
        <v>1000</v>
      </c>
      <c r="AZ138" s="93">
        <f t="shared" si="99"/>
        <v>1000</v>
      </c>
      <c r="BA138" s="93">
        <f t="shared" si="99"/>
        <v>1000</v>
      </c>
      <c r="BB138" s="93">
        <f t="shared" si="99"/>
        <v>1000</v>
      </c>
      <c r="BC138" s="93">
        <f t="shared" si="99"/>
        <v>1000</v>
      </c>
      <c r="BD138" s="93">
        <f t="shared" si="99"/>
        <v>1000</v>
      </c>
      <c r="BE138" s="93">
        <f t="shared" si="99"/>
        <v>1000</v>
      </c>
      <c r="BF138" s="93">
        <f t="shared" si="99"/>
        <v>1000</v>
      </c>
      <c r="BG138" s="93">
        <f t="shared" si="99"/>
        <v>1000</v>
      </c>
      <c r="BH138" s="93">
        <f t="shared" si="99"/>
        <v>1000</v>
      </c>
      <c r="BI138" s="93">
        <f t="shared" si="99"/>
        <v>1000</v>
      </c>
      <c r="BJ138" s="93">
        <f t="shared" si="99"/>
        <v>1000</v>
      </c>
      <c r="BK138" s="93">
        <f t="shared" si="99"/>
        <v>1000</v>
      </c>
      <c r="BL138" s="93">
        <f t="shared" si="99"/>
        <v>1000</v>
      </c>
      <c r="BM138" s="93">
        <f t="shared" si="99"/>
        <v>1000</v>
      </c>
      <c r="BN138" s="93">
        <f t="shared" si="99"/>
        <v>1000</v>
      </c>
      <c r="BO138" s="93">
        <f t="shared" si="99"/>
        <v>1000</v>
      </c>
      <c r="BP138" s="93">
        <f t="shared" si="99"/>
        <v>1000</v>
      </c>
      <c r="BQ138" s="93">
        <f t="shared" si="99"/>
        <v>1000</v>
      </c>
      <c r="BR138" s="93">
        <f t="shared" si="99"/>
        <v>1000</v>
      </c>
      <c r="BS138" s="93">
        <f t="shared" si="99"/>
        <v>1000</v>
      </c>
      <c r="BT138" s="93">
        <f t="shared" si="99"/>
        <v>1000</v>
      </c>
      <c r="BU138" s="93">
        <f t="shared" si="99"/>
        <v>1000</v>
      </c>
      <c r="BV138" s="93">
        <f t="shared" si="99"/>
        <v>1000</v>
      </c>
      <c r="BW138" s="93">
        <f t="shared" si="99"/>
        <v>1000</v>
      </c>
      <c r="BX138" s="93">
        <f t="shared" si="99"/>
        <v>1000</v>
      </c>
      <c r="BY138" s="93">
        <f t="shared" si="99"/>
        <v>1000</v>
      </c>
      <c r="BZ138" s="93">
        <f t="shared" si="99"/>
        <v>1000</v>
      </c>
      <c r="CA138" s="93">
        <f t="shared" si="99"/>
        <v>1000</v>
      </c>
    </row>
    <row r="139" hidden="1" outlineLevel="1">
      <c r="A139" s="47"/>
      <c r="B139" s="102" t="s">
        <v>85</v>
      </c>
      <c r="C139" s="121">
        <v>2000.0</v>
      </c>
      <c r="D139" s="114"/>
      <c r="E139" s="114"/>
      <c r="F139" s="114"/>
      <c r="G139" s="114"/>
      <c r="H139" s="104"/>
      <c r="I139" s="115"/>
      <c r="J139" s="104"/>
      <c r="K139" s="104"/>
      <c r="L139" s="104"/>
      <c r="M139" s="104"/>
      <c r="N139" s="104"/>
      <c r="O139" s="104"/>
      <c r="P139" s="104"/>
      <c r="Q139" s="104"/>
      <c r="R139" s="104"/>
      <c r="S139" s="104"/>
      <c r="T139" s="104">
        <f t="shared" si="98"/>
        <v>2000</v>
      </c>
      <c r="U139" s="104">
        <f t="shared" ref="U139:CA139" si="100">T139</f>
        <v>2000</v>
      </c>
      <c r="V139" s="104">
        <f t="shared" si="100"/>
        <v>2000</v>
      </c>
      <c r="W139" s="104">
        <f t="shared" si="100"/>
        <v>2000</v>
      </c>
      <c r="X139" s="104">
        <f t="shared" si="100"/>
        <v>2000</v>
      </c>
      <c r="Y139" s="104">
        <f t="shared" si="100"/>
        <v>2000</v>
      </c>
      <c r="Z139" s="104">
        <f t="shared" si="100"/>
        <v>2000</v>
      </c>
      <c r="AA139" s="104">
        <f t="shared" si="100"/>
        <v>2000</v>
      </c>
      <c r="AB139" s="104">
        <f t="shared" si="100"/>
        <v>2000</v>
      </c>
      <c r="AC139" s="104">
        <f t="shared" si="100"/>
        <v>2000</v>
      </c>
      <c r="AD139" s="104">
        <f t="shared" si="100"/>
        <v>2000</v>
      </c>
      <c r="AE139" s="104">
        <f t="shared" si="100"/>
        <v>2000</v>
      </c>
      <c r="AF139" s="104">
        <f t="shared" si="100"/>
        <v>2000</v>
      </c>
      <c r="AG139" s="104">
        <f t="shared" si="100"/>
        <v>2000</v>
      </c>
      <c r="AH139" s="104">
        <f t="shared" si="100"/>
        <v>2000</v>
      </c>
      <c r="AI139" s="104">
        <f t="shared" si="100"/>
        <v>2000</v>
      </c>
      <c r="AJ139" s="104">
        <f t="shared" si="100"/>
        <v>2000</v>
      </c>
      <c r="AK139" s="104">
        <f t="shared" si="100"/>
        <v>2000</v>
      </c>
      <c r="AL139" s="104">
        <f t="shared" si="100"/>
        <v>2000</v>
      </c>
      <c r="AM139" s="104">
        <f t="shared" si="100"/>
        <v>2000</v>
      </c>
      <c r="AN139" s="104">
        <f t="shared" si="100"/>
        <v>2000</v>
      </c>
      <c r="AO139" s="104">
        <f t="shared" si="100"/>
        <v>2000</v>
      </c>
      <c r="AP139" s="104">
        <f t="shared" si="100"/>
        <v>2000</v>
      </c>
      <c r="AQ139" s="104">
        <f t="shared" si="100"/>
        <v>2000</v>
      </c>
      <c r="AR139" s="104">
        <f t="shared" si="100"/>
        <v>2000</v>
      </c>
      <c r="AS139" s="104">
        <f t="shared" si="100"/>
        <v>2000</v>
      </c>
      <c r="AT139" s="104">
        <f t="shared" si="100"/>
        <v>2000</v>
      </c>
      <c r="AU139" s="104">
        <f t="shared" si="100"/>
        <v>2000</v>
      </c>
      <c r="AV139" s="104">
        <f t="shared" si="100"/>
        <v>2000</v>
      </c>
      <c r="AW139" s="104">
        <f t="shared" si="100"/>
        <v>2000</v>
      </c>
      <c r="AX139" s="104">
        <f t="shared" si="100"/>
        <v>2000</v>
      </c>
      <c r="AY139" s="104">
        <f t="shared" si="100"/>
        <v>2000</v>
      </c>
      <c r="AZ139" s="104">
        <f t="shared" si="100"/>
        <v>2000</v>
      </c>
      <c r="BA139" s="104">
        <f t="shared" si="100"/>
        <v>2000</v>
      </c>
      <c r="BB139" s="104">
        <f t="shared" si="100"/>
        <v>2000</v>
      </c>
      <c r="BC139" s="104">
        <f t="shared" si="100"/>
        <v>2000</v>
      </c>
      <c r="BD139" s="104">
        <f t="shared" si="100"/>
        <v>2000</v>
      </c>
      <c r="BE139" s="104">
        <f t="shared" si="100"/>
        <v>2000</v>
      </c>
      <c r="BF139" s="104">
        <f t="shared" si="100"/>
        <v>2000</v>
      </c>
      <c r="BG139" s="104">
        <f t="shared" si="100"/>
        <v>2000</v>
      </c>
      <c r="BH139" s="104">
        <f t="shared" si="100"/>
        <v>2000</v>
      </c>
      <c r="BI139" s="104">
        <f t="shared" si="100"/>
        <v>2000</v>
      </c>
      <c r="BJ139" s="104">
        <f t="shared" si="100"/>
        <v>2000</v>
      </c>
      <c r="BK139" s="104">
        <f t="shared" si="100"/>
        <v>2000</v>
      </c>
      <c r="BL139" s="104">
        <f t="shared" si="100"/>
        <v>2000</v>
      </c>
      <c r="BM139" s="104">
        <f t="shared" si="100"/>
        <v>2000</v>
      </c>
      <c r="BN139" s="104">
        <f t="shared" si="100"/>
        <v>2000</v>
      </c>
      <c r="BO139" s="104">
        <f t="shared" si="100"/>
        <v>2000</v>
      </c>
      <c r="BP139" s="104">
        <f t="shared" si="100"/>
        <v>2000</v>
      </c>
      <c r="BQ139" s="104">
        <f t="shared" si="100"/>
        <v>2000</v>
      </c>
      <c r="BR139" s="104">
        <f t="shared" si="100"/>
        <v>2000</v>
      </c>
      <c r="BS139" s="104">
        <f t="shared" si="100"/>
        <v>2000</v>
      </c>
      <c r="BT139" s="104">
        <f t="shared" si="100"/>
        <v>2000</v>
      </c>
      <c r="BU139" s="104">
        <f t="shared" si="100"/>
        <v>2000</v>
      </c>
      <c r="BV139" s="104">
        <f t="shared" si="100"/>
        <v>2000</v>
      </c>
      <c r="BW139" s="104">
        <f t="shared" si="100"/>
        <v>2000</v>
      </c>
      <c r="BX139" s="104">
        <f t="shared" si="100"/>
        <v>2000</v>
      </c>
      <c r="BY139" s="104">
        <f t="shared" si="100"/>
        <v>2000</v>
      </c>
      <c r="BZ139" s="104">
        <f t="shared" si="100"/>
        <v>2000</v>
      </c>
      <c r="CA139" s="104">
        <f t="shared" si="100"/>
        <v>2000</v>
      </c>
    </row>
    <row r="140" hidden="1" outlineLevel="1">
      <c r="A140" s="116"/>
      <c r="B140" s="122" t="s">
        <v>91</v>
      </c>
      <c r="C140" s="116"/>
      <c r="D140" s="116"/>
      <c r="E140" s="116"/>
      <c r="F140" s="116"/>
      <c r="G140" s="116"/>
      <c r="H140" s="116"/>
      <c r="I140" s="118"/>
      <c r="J140" s="118"/>
      <c r="K140" s="118"/>
      <c r="L140" s="118"/>
      <c r="M140" s="118"/>
      <c r="N140" s="118"/>
      <c r="O140" s="118"/>
      <c r="P140" s="118"/>
      <c r="Q140" s="118"/>
      <c r="R140" s="118"/>
      <c r="S140" s="118"/>
      <c r="T140" s="118">
        <f t="shared" ref="T140:CA140" si="101">sum(T137:T139)</f>
        <v>5500</v>
      </c>
      <c r="U140" s="118">
        <f t="shared" si="101"/>
        <v>5500</v>
      </c>
      <c r="V140" s="118">
        <f t="shared" si="101"/>
        <v>5500</v>
      </c>
      <c r="W140" s="118">
        <f t="shared" si="101"/>
        <v>5500</v>
      </c>
      <c r="X140" s="118">
        <f t="shared" si="101"/>
        <v>5500</v>
      </c>
      <c r="Y140" s="118">
        <f t="shared" si="101"/>
        <v>5500</v>
      </c>
      <c r="Z140" s="118">
        <f t="shared" si="101"/>
        <v>5500</v>
      </c>
      <c r="AA140" s="118">
        <f t="shared" si="101"/>
        <v>5500</v>
      </c>
      <c r="AB140" s="118">
        <f t="shared" si="101"/>
        <v>5500</v>
      </c>
      <c r="AC140" s="118">
        <f t="shared" si="101"/>
        <v>5500</v>
      </c>
      <c r="AD140" s="118">
        <f t="shared" si="101"/>
        <v>5500</v>
      </c>
      <c r="AE140" s="118">
        <f t="shared" si="101"/>
        <v>5500</v>
      </c>
      <c r="AF140" s="118">
        <f t="shared" si="101"/>
        <v>5500</v>
      </c>
      <c r="AG140" s="118">
        <f t="shared" si="101"/>
        <v>5500</v>
      </c>
      <c r="AH140" s="118">
        <f t="shared" si="101"/>
        <v>5500</v>
      </c>
      <c r="AI140" s="118">
        <f t="shared" si="101"/>
        <v>5500</v>
      </c>
      <c r="AJ140" s="118">
        <f t="shared" si="101"/>
        <v>5500</v>
      </c>
      <c r="AK140" s="118">
        <f t="shared" si="101"/>
        <v>5500</v>
      </c>
      <c r="AL140" s="118">
        <f t="shared" si="101"/>
        <v>5500</v>
      </c>
      <c r="AM140" s="118">
        <f t="shared" si="101"/>
        <v>5500</v>
      </c>
      <c r="AN140" s="118">
        <f t="shared" si="101"/>
        <v>5500</v>
      </c>
      <c r="AO140" s="118">
        <f t="shared" si="101"/>
        <v>5500</v>
      </c>
      <c r="AP140" s="118">
        <f t="shared" si="101"/>
        <v>5500</v>
      </c>
      <c r="AQ140" s="118">
        <f t="shared" si="101"/>
        <v>5500</v>
      </c>
      <c r="AR140" s="118">
        <f t="shared" si="101"/>
        <v>5500</v>
      </c>
      <c r="AS140" s="118">
        <f t="shared" si="101"/>
        <v>5500</v>
      </c>
      <c r="AT140" s="118">
        <f t="shared" si="101"/>
        <v>5500</v>
      </c>
      <c r="AU140" s="118">
        <f t="shared" si="101"/>
        <v>5500</v>
      </c>
      <c r="AV140" s="118">
        <f t="shared" si="101"/>
        <v>5500</v>
      </c>
      <c r="AW140" s="118">
        <f t="shared" si="101"/>
        <v>5500</v>
      </c>
      <c r="AX140" s="118">
        <f t="shared" si="101"/>
        <v>5500</v>
      </c>
      <c r="AY140" s="118">
        <f t="shared" si="101"/>
        <v>5500</v>
      </c>
      <c r="AZ140" s="118">
        <f t="shared" si="101"/>
        <v>5500</v>
      </c>
      <c r="BA140" s="118">
        <f t="shared" si="101"/>
        <v>5500</v>
      </c>
      <c r="BB140" s="118">
        <f t="shared" si="101"/>
        <v>5500</v>
      </c>
      <c r="BC140" s="118">
        <f t="shared" si="101"/>
        <v>5500</v>
      </c>
      <c r="BD140" s="118">
        <f t="shared" si="101"/>
        <v>5500</v>
      </c>
      <c r="BE140" s="118">
        <f t="shared" si="101"/>
        <v>5500</v>
      </c>
      <c r="BF140" s="118">
        <f t="shared" si="101"/>
        <v>5500</v>
      </c>
      <c r="BG140" s="118">
        <f t="shared" si="101"/>
        <v>5500</v>
      </c>
      <c r="BH140" s="118">
        <f t="shared" si="101"/>
        <v>5500</v>
      </c>
      <c r="BI140" s="118">
        <f t="shared" si="101"/>
        <v>5500</v>
      </c>
      <c r="BJ140" s="118">
        <f t="shared" si="101"/>
        <v>5500</v>
      </c>
      <c r="BK140" s="118">
        <f t="shared" si="101"/>
        <v>5500</v>
      </c>
      <c r="BL140" s="118">
        <f t="shared" si="101"/>
        <v>5500</v>
      </c>
      <c r="BM140" s="118">
        <f t="shared" si="101"/>
        <v>5500</v>
      </c>
      <c r="BN140" s="118">
        <f t="shared" si="101"/>
        <v>5500</v>
      </c>
      <c r="BO140" s="118">
        <f t="shared" si="101"/>
        <v>5500</v>
      </c>
      <c r="BP140" s="118">
        <f t="shared" si="101"/>
        <v>5500</v>
      </c>
      <c r="BQ140" s="118">
        <f t="shared" si="101"/>
        <v>5500</v>
      </c>
      <c r="BR140" s="118">
        <f t="shared" si="101"/>
        <v>5500</v>
      </c>
      <c r="BS140" s="118">
        <f t="shared" si="101"/>
        <v>5500</v>
      </c>
      <c r="BT140" s="118">
        <f t="shared" si="101"/>
        <v>5500</v>
      </c>
      <c r="BU140" s="118">
        <f t="shared" si="101"/>
        <v>5500</v>
      </c>
      <c r="BV140" s="118">
        <f t="shared" si="101"/>
        <v>5500</v>
      </c>
      <c r="BW140" s="118">
        <f t="shared" si="101"/>
        <v>5500</v>
      </c>
      <c r="BX140" s="118">
        <f t="shared" si="101"/>
        <v>5500</v>
      </c>
      <c r="BY140" s="118">
        <f t="shared" si="101"/>
        <v>5500</v>
      </c>
      <c r="BZ140" s="118">
        <f t="shared" si="101"/>
        <v>5500</v>
      </c>
      <c r="CA140" s="118">
        <f t="shared" si="101"/>
        <v>5500</v>
      </c>
    </row>
    <row r="141" hidden="1" outlineLevel="1">
      <c r="A141" s="47"/>
      <c r="B141" s="123"/>
      <c r="C141" s="47"/>
      <c r="D141" s="108"/>
      <c r="E141" s="108"/>
      <c r="F141" s="108"/>
      <c r="G141" s="108"/>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3"/>
      <c r="BG141" s="93"/>
      <c r="BH141" s="93"/>
      <c r="BI141" s="93"/>
      <c r="BJ141" s="93"/>
      <c r="BK141" s="93"/>
      <c r="BL141" s="93"/>
      <c r="BM141" s="93"/>
      <c r="BN141" s="93"/>
      <c r="BO141" s="93"/>
      <c r="BP141" s="93"/>
      <c r="BQ141" s="93"/>
      <c r="BR141" s="93"/>
      <c r="BS141" s="93"/>
      <c r="BT141" s="93"/>
      <c r="BU141" s="93"/>
      <c r="BV141" s="93"/>
      <c r="BW141" s="93"/>
      <c r="BX141" s="93"/>
      <c r="BY141" s="93"/>
      <c r="BZ141" s="93"/>
      <c r="CA141" s="93"/>
    </row>
    <row r="142" hidden="1" outlineLevel="1">
      <c r="A142" s="47"/>
      <c r="B142" s="119" t="s">
        <v>85</v>
      </c>
      <c r="C142" s="92" t="s">
        <v>82</v>
      </c>
      <c r="D142" s="108"/>
      <c r="E142" s="108"/>
      <c r="F142" s="108"/>
      <c r="G142" s="108"/>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3"/>
      <c r="BJ142" s="93"/>
      <c r="BK142" s="93"/>
      <c r="BL142" s="93"/>
      <c r="BM142" s="93"/>
      <c r="BN142" s="93"/>
      <c r="BO142" s="93"/>
      <c r="BP142" s="93"/>
      <c r="BQ142" s="93"/>
      <c r="BR142" s="93"/>
      <c r="BS142" s="93"/>
      <c r="BT142" s="93"/>
      <c r="BU142" s="93"/>
      <c r="BV142" s="93"/>
      <c r="BW142" s="93"/>
      <c r="BX142" s="93"/>
      <c r="BY142" s="93"/>
      <c r="BZ142" s="93"/>
      <c r="CA142" s="93"/>
    </row>
    <row r="143" hidden="1" outlineLevel="1">
      <c r="A143" s="47"/>
      <c r="B143" s="99" t="s">
        <v>107</v>
      </c>
      <c r="C143" s="96">
        <v>0.1</v>
      </c>
      <c r="D143" s="108"/>
      <c r="E143" s="108"/>
      <c r="F143" s="108"/>
      <c r="G143" s="108"/>
      <c r="H143" s="93"/>
      <c r="I143" s="93"/>
      <c r="J143" s="93"/>
      <c r="K143" s="93"/>
      <c r="L143" s="93"/>
      <c r="M143" s="93"/>
      <c r="N143" s="93"/>
      <c r="O143" s="93"/>
      <c r="P143" s="93"/>
      <c r="Q143" s="93"/>
      <c r="R143" s="93"/>
      <c r="S143" s="93"/>
      <c r="T143" s="93">
        <f>Financials!F$8*$C143</f>
        <v>0</v>
      </c>
      <c r="U143" s="93">
        <f>Financials!G$8*$C143</f>
        <v>47.5</v>
      </c>
      <c r="V143" s="93">
        <f>Financials!H$8*$C143</f>
        <v>95.95</v>
      </c>
      <c r="W143" s="93">
        <f>Financials!I$8*$C143</f>
        <v>145.369</v>
      </c>
      <c r="X143" s="93">
        <f>Financials!J$8*$C143</f>
        <v>195.77638</v>
      </c>
      <c r="Y143" s="93">
        <f>Financials!K$8*$C143</f>
        <v>284.1919076</v>
      </c>
      <c r="Z143" s="93">
        <f>Financials!L$8*$C143</f>
        <v>374.3757458</v>
      </c>
      <c r="AA143" s="93">
        <f>Financials!M$8*$C143</f>
        <v>466.3632607</v>
      </c>
      <c r="AB143" s="93">
        <f>Financials!N$8*$C143</f>
        <v>560.1905259</v>
      </c>
      <c r="AC143" s="93">
        <f>Financials!O$8*$C143</f>
        <v>655.8943364</v>
      </c>
      <c r="AD143" s="93">
        <f>Financials!P$8*$C143</f>
        <v>753.5122231</v>
      </c>
      <c r="AE143" s="93">
        <f>Financials!Q$8*$C143</f>
        <v>853.0824676</v>
      </c>
      <c r="AF143" s="93">
        <f>Financials!R$8*$C143</f>
        <v>954.6441169</v>
      </c>
      <c r="AG143" s="93">
        <f>Financials!S$8*$C143</f>
        <v>1048.736999</v>
      </c>
      <c r="AH143" s="93">
        <f>Financials!T$8*$C143</f>
        <v>1144.711739</v>
      </c>
      <c r="AI143" s="93">
        <f>Financials!U$8*$C143</f>
        <v>1242.605974</v>
      </c>
      <c r="AJ143" s="93">
        <f>Financials!V$8*$C143</f>
        <v>1342.458094</v>
      </c>
      <c r="AK143" s="93">
        <f>Financials!W$8*$C143</f>
        <v>1436.907255</v>
      </c>
      <c r="AL143" s="93">
        <f>Financials!X$8*$C143</f>
        <v>1533.245401</v>
      </c>
      <c r="AM143" s="93">
        <f>Financials!Y$8*$C143</f>
        <v>1631.510309</v>
      </c>
      <c r="AN143" s="93">
        <f>Financials!Z$8*$C143</f>
        <v>1731.740515</v>
      </c>
      <c r="AO143" s="93">
        <f>Financials!AA$8*$C143</f>
        <v>1833.975325</v>
      </c>
      <c r="AP143" s="93">
        <f>Financials!AB$8*$C143</f>
        <v>1938.254831</v>
      </c>
      <c r="AQ143" s="93">
        <f>Financials!AC$8*$C143</f>
        <v>2044.619928</v>
      </c>
      <c r="AR143" s="93">
        <f>Financials!AD$8*$C143</f>
        <v>2153.112327</v>
      </c>
      <c r="AS143" s="93">
        <f>Financials!AE$8*$C143</f>
        <v>2256.174573</v>
      </c>
      <c r="AT143" s="93">
        <f>Financials!AF$8*$C143</f>
        <v>2361.298065</v>
      </c>
      <c r="AU143" s="93">
        <f>Financials!AG$8*$C143</f>
        <v>2468.524026</v>
      </c>
      <c r="AV143" s="93">
        <f>Financials!AH$8*$C143</f>
        <v>2577.894506</v>
      </c>
      <c r="AW143" s="93">
        <f>Financials!AI$8*$C143</f>
        <v>2683.532397</v>
      </c>
      <c r="AX143" s="93">
        <f>Financials!AJ$8*$C143</f>
        <v>2791.283045</v>
      </c>
      <c r="AY143" s="93">
        <f>Financials!AK$8*$C143</f>
        <v>2901.188705</v>
      </c>
      <c r="AZ143" s="93">
        <f>Financials!AL$8*$C143</f>
        <v>3013.29248</v>
      </c>
      <c r="BA143" s="93">
        <f>Financials!AM$8*$C143</f>
        <v>3127.638329</v>
      </c>
      <c r="BB143" s="93">
        <f>Financials!AN$8*$C143</f>
        <v>3244.271096</v>
      </c>
      <c r="BC143" s="93">
        <f>Financials!AO$8*$C143</f>
        <v>3363.236518</v>
      </c>
      <c r="BD143" s="93">
        <f>Financials!AP$8*$C143</f>
        <v>3484.581248</v>
      </c>
      <c r="BE143" s="93">
        <f>Financials!AQ$8*$C143</f>
        <v>3602.272873</v>
      </c>
      <c r="BF143" s="93">
        <f>Financials!AR$8*$C143</f>
        <v>3722.31833</v>
      </c>
      <c r="BG143" s="93">
        <f>Financials!AS$8*$C143</f>
        <v>3844.764697</v>
      </c>
      <c r="BH143" s="93">
        <f>Financials!AT$8*$C143</f>
        <v>3969.659991</v>
      </c>
      <c r="BI143" s="93">
        <f>Financials!AU$8*$C143</f>
        <v>4092.317191</v>
      </c>
      <c r="BJ143" s="93">
        <f>Financials!AV$8*$C143</f>
        <v>4217.427535</v>
      </c>
      <c r="BK143" s="93">
        <f>Financials!AW$8*$C143</f>
        <v>4345.040085</v>
      </c>
      <c r="BL143" s="93">
        <f>Financials!AX$8*$C143</f>
        <v>4475.204887</v>
      </c>
      <c r="BM143" s="93">
        <f>Financials!AY$8*$C143</f>
        <v>4607.972985</v>
      </c>
      <c r="BN143" s="93">
        <f>Financials!AZ$8*$C143</f>
        <v>4743.396444</v>
      </c>
      <c r="BO143" s="93">
        <f>Financials!BA$8*$C143</f>
        <v>4881.528373</v>
      </c>
      <c r="BP143" s="93">
        <f>Financials!BB$8*$C143</f>
        <v>5022.422941</v>
      </c>
      <c r="BQ143" s="93">
        <f>Financials!BC$8*$C143</f>
        <v>5161.2714</v>
      </c>
      <c r="BR143" s="93">
        <f>Financials!BD$8*$C143</f>
        <v>5302.896828</v>
      </c>
      <c r="BS143" s="93">
        <f>Financials!BE$8*$C143</f>
        <v>5447.354764</v>
      </c>
      <c r="BT143" s="93">
        <f>Financials!BF$8*$C143</f>
        <v>5594.701859</v>
      </c>
      <c r="BU143" s="93">
        <f>Financials!BG$8*$C143</f>
        <v>5741.207097</v>
      </c>
      <c r="BV143" s="93">
        <f>Financials!BH$8*$C143</f>
        <v>5890.642439</v>
      </c>
      <c r="BW143" s="93">
        <f>Financials!BI$8*$C143</f>
        <v>6043.066487</v>
      </c>
      <c r="BX143" s="93">
        <f>Financials!BJ$8*$C143</f>
        <v>6198.539017</v>
      </c>
      <c r="BY143" s="93">
        <f>Financials!BK$8*$C143</f>
        <v>6357.120997</v>
      </c>
      <c r="BZ143" s="93">
        <f>Financials!BL$8*$C143</f>
        <v>6518.874617</v>
      </c>
      <c r="CA143" s="93">
        <f>Financials!BM$8*$C143</f>
        <v>6683.86331</v>
      </c>
    </row>
    <row r="144" hidden="1" outlineLevel="1">
      <c r="A144" s="47"/>
      <c r="B144" s="39"/>
      <c r="C144" s="47"/>
      <c r="D144" s="47"/>
      <c r="E144" s="47"/>
      <c r="F144" s="47"/>
      <c r="G144" s="47"/>
      <c r="H144" s="93"/>
      <c r="I144" s="93"/>
      <c r="J144" s="93"/>
      <c r="K144" s="93"/>
      <c r="L144" s="93"/>
      <c r="M144" s="93"/>
      <c r="N144" s="93"/>
      <c r="O144" s="93"/>
      <c r="P144" s="93"/>
      <c r="Q144" s="93"/>
      <c r="R144" s="93"/>
      <c r="S144" s="93"/>
      <c r="T144" s="93"/>
      <c r="U144" s="93"/>
      <c r="V144" s="93"/>
      <c r="W144" s="93"/>
      <c r="X144" s="93"/>
      <c r="Y144" s="93"/>
      <c r="Z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3"/>
      <c r="BK144" s="93"/>
      <c r="BL144" s="93"/>
      <c r="BM144" s="93"/>
      <c r="BN144" s="93"/>
      <c r="BO144" s="93"/>
      <c r="BP144" s="93"/>
      <c r="BQ144" s="93"/>
      <c r="BR144" s="93"/>
      <c r="BS144" s="93"/>
      <c r="BT144" s="93"/>
      <c r="BU144" s="93"/>
      <c r="BV144" s="93"/>
      <c r="BW144" s="93"/>
      <c r="BX144" s="93"/>
      <c r="BY144" s="93"/>
      <c r="BZ144" s="93"/>
      <c r="CA144" s="93"/>
    </row>
    <row r="145" hidden="1" outlineLevel="1">
      <c r="A145" s="47"/>
      <c r="B145" s="39" t="s">
        <v>108</v>
      </c>
      <c r="C145" s="96">
        <v>0.27</v>
      </c>
      <c r="D145" s="47"/>
      <c r="E145" s="47"/>
      <c r="F145" s="47"/>
      <c r="G145" s="47"/>
      <c r="H145" s="93"/>
      <c r="I145" s="93"/>
      <c r="J145" s="93"/>
      <c r="K145" s="93"/>
      <c r="L145" s="93"/>
      <c r="M145" s="93"/>
      <c r="N145" s="93"/>
      <c r="O145" s="93"/>
      <c r="P145" s="93"/>
      <c r="Q145" s="93"/>
      <c r="R145" s="93"/>
      <c r="S145" s="93"/>
      <c r="T145" s="93"/>
      <c r="U145" s="93"/>
      <c r="V145" s="93"/>
      <c r="W145" s="93"/>
      <c r="X145" s="93"/>
      <c r="Y145" s="93"/>
      <c r="Z145" s="93"/>
      <c r="AA145" s="93"/>
      <c r="AB145" s="93"/>
      <c r="AC145" s="93"/>
      <c r="AD145" s="93"/>
      <c r="AE145" s="93"/>
      <c r="AF145" s="93"/>
      <c r="AG145" s="93"/>
      <c r="AH145" s="93"/>
      <c r="AI145" s="93"/>
      <c r="AJ145" s="93"/>
      <c r="AK145" s="93"/>
      <c r="AL145" s="93"/>
      <c r="AM145" s="93"/>
      <c r="AN145" s="93"/>
      <c r="AO145" s="93"/>
      <c r="AP145" s="93"/>
      <c r="AQ145" s="93"/>
      <c r="AR145" s="93"/>
      <c r="AS145" s="93"/>
      <c r="AT145" s="93"/>
      <c r="AU145" s="93"/>
      <c r="AV145" s="93"/>
      <c r="AW145" s="93"/>
      <c r="AX145" s="93"/>
      <c r="AY145" s="93"/>
      <c r="AZ145" s="93"/>
      <c r="BA145" s="93"/>
      <c r="BB145" s="93"/>
      <c r="BC145" s="93"/>
      <c r="BD145" s="93"/>
      <c r="BE145" s="93"/>
      <c r="BF145" s="93"/>
      <c r="BG145" s="93"/>
      <c r="BH145" s="93"/>
      <c r="BI145" s="93"/>
      <c r="BJ145" s="93"/>
      <c r="BK145" s="93"/>
      <c r="BL145" s="93"/>
      <c r="BM145" s="93"/>
      <c r="BN145" s="93"/>
      <c r="BO145" s="93"/>
      <c r="BP145" s="93"/>
      <c r="BQ145" s="93"/>
      <c r="BR145" s="93"/>
      <c r="BS145" s="93"/>
      <c r="BT145" s="93"/>
      <c r="BU145" s="93"/>
      <c r="BV145" s="93"/>
      <c r="BW145" s="93"/>
      <c r="BX145" s="93"/>
      <c r="BY145" s="93"/>
      <c r="BZ145" s="93"/>
      <c r="CA145" s="93"/>
    </row>
    <row r="146" hidden="1" outlineLevel="1">
      <c r="A146" s="47"/>
      <c r="B146" s="47"/>
      <c r="C146" s="47"/>
      <c r="D146" s="47"/>
      <c r="E146" s="47"/>
      <c r="F146" s="47"/>
      <c r="G146" s="47"/>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row>
    <row r="147" hidden="1" outlineLevel="1">
      <c r="A147" s="47"/>
      <c r="B147" s="90" t="s">
        <v>49</v>
      </c>
      <c r="C147" s="47"/>
      <c r="D147" s="47"/>
      <c r="E147" s="47"/>
      <c r="F147" s="47"/>
      <c r="G147" s="47"/>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row>
    <row r="148">
      <c r="A148" s="47"/>
      <c r="B148" s="75"/>
      <c r="C148" s="47"/>
      <c r="D148" s="47"/>
      <c r="E148" s="47"/>
      <c r="F148" s="47"/>
      <c r="G148" s="47"/>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row>
    <row r="149" collapsed="1">
      <c r="A149" s="47"/>
      <c r="B149" s="48" t="s">
        <v>109</v>
      </c>
      <c r="C149" s="49"/>
      <c r="D149" s="49"/>
      <c r="E149" s="49"/>
      <c r="F149" s="49"/>
      <c r="G149" s="49"/>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row>
    <row r="150" hidden="1" outlineLevel="1">
      <c r="A150" s="47"/>
      <c r="B150" s="47"/>
      <c r="C150" s="47"/>
      <c r="D150" s="47"/>
      <c r="E150" s="47"/>
      <c r="F150" s="47"/>
      <c r="G150" s="47"/>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row>
    <row r="151" hidden="1" outlineLevel="1">
      <c r="A151" s="47"/>
      <c r="B151" s="124" t="s">
        <v>110</v>
      </c>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c r="BG151" s="125"/>
      <c r="BH151" s="125"/>
      <c r="BI151" s="125"/>
      <c r="BJ151" s="125"/>
      <c r="BK151" s="125"/>
      <c r="BL151" s="125"/>
      <c r="BM151" s="125"/>
      <c r="BN151" s="125"/>
      <c r="BO151" s="125"/>
      <c r="BP151" s="125"/>
      <c r="BQ151" s="125"/>
      <c r="BR151" s="125"/>
      <c r="BS151" s="125"/>
      <c r="BT151" s="125"/>
      <c r="BU151" s="125"/>
      <c r="BV151" s="125"/>
      <c r="BW151" s="125"/>
      <c r="BX151" s="125"/>
      <c r="BY151" s="125"/>
      <c r="BZ151" s="125"/>
      <c r="CA151" s="125"/>
    </row>
    <row r="152" hidden="1" outlineLevel="1">
      <c r="A152" s="47"/>
      <c r="B152" s="39"/>
      <c r="C152" s="47"/>
      <c r="D152" s="47"/>
      <c r="E152" s="47"/>
      <c r="F152" s="47"/>
      <c r="G152" s="47"/>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c r="BJ152" s="126"/>
      <c r="BK152" s="126"/>
      <c r="BL152" s="126"/>
      <c r="BM152" s="126"/>
      <c r="BN152" s="126"/>
      <c r="BO152" s="126"/>
      <c r="BP152" s="126"/>
      <c r="BQ152" s="126"/>
      <c r="BR152" s="126"/>
      <c r="BS152" s="126"/>
      <c r="BT152" s="126"/>
      <c r="BU152" s="126"/>
      <c r="BV152" s="126"/>
      <c r="BW152" s="126"/>
      <c r="BX152" s="126"/>
      <c r="BY152" s="126"/>
      <c r="BZ152" s="126"/>
      <c r="CA152" s="126"/>
    </row>
    <row r="153" hidden="1" outlineLevel="1">
      <c r="A153" s="108"/>
      <c r="B153" s="127" t="s">
        <v>111</v>
      </c>
      <c r="C153" s="128">
        <v>30000.0</v>
      </c>
      <c r="D153" s="108"/>
      <c r="E153" s="108"/>
      <c r="F153" s="108"/>
      <c r="G153" s="108"/>
      <c r="H153" s="93"/>
      <c r="I153" s="93"/>
      <c r="J153" s="93"/>
      <c r="K153" s="93"/>
      <c r="L153" s="93"/>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c r="BL153" s="93"/>
      <c r="BM153" s="93"/>
      <c r="BN153" s="93"/>
      <c r="BO153" s="93"/>
      <c r="BP153" s="93"/>
      <c r="BQ153" s="126"/>
      <c r="BR153" s="126"/>
      <c r="BS153" s="126"/>
      <c r="BT153" s="126"/>
      <c r="BU153" s="126"/>
      <c r="BV153" s="126"/>
      <c r="BW153" s="126"/>
      <c r="BX153" s="126"/>
      <c r="BY153" s="126"/>
      <c r="BZ153" s="126"/>
      <c r="CA153" s="126"/>
    </row>
    <row r="154" hidden="1" outlineLevel="1">
      <c r="A154" s="47"/>
      <c r="B154" s="39"/>
      <c r="C154" s="47"/>
      <c r="D154" s="47"/>
      <c r="E154" s="47"/>
      <c r="F154" s="47"/>
      <c r="G154" s="47"/>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c r="BL154" s="126"/>
      <c r="BM154" s="126"/>
      <c r="BN154" s="126"/>
      <c r="BO154" s="126"/>
      <c r="BP154" s="126"/>
      <c r="BQ154" s="126"/>
      <c r="BR154" s="126"/>
      <c r="BS154" s="126"/>
      <c r="BT154" s="126"/>
      <c r="BU154" s="126"/>
      <c r="BV154" s="126"/>
      <c r="BW154" s="126"/>
      <c r="BX154" s="126"/>
      <c r="BY154" s="126"/>
      <c r="BZ154" s="126"/>
      <c r="CA154" s="126"/>
    </row>
    <row r="155" hidden="1" outlineLevel="1">
      <c r="A155" s="47"/>
      <c r="B155" s="119" t="s">
        <v>112</v>
      </c>
      <c r="C155" s="129">
        <v>15.0</v>
      </c>
      <c r="D155" s="39" t="s">
        <v>113</v>
      </c>
      <c r="E155" s="47"/>
      <c r="F155" s="47"/>
      <c r="G155" s="47"/>
      <c r="H155" s="130"/>
      <c r="I155" s="130"/>
      <c r="J155" s="130"/>
      <c r="K155" s="130"/>
      <c r="L155" s="130"/>
      <c r="M155" s="130"/>
      <c r="N155" s="130"/>
      <c r="O155" s="130"/>
      <c r="P155" s="130"/>
      <c r="Q155" s="130"/>
      <c r="R155" s="130"/>
      <c r="S155" s="130"/>
      <c r="T155" s="130">
        <f>sum(Financials!F8)*($C155/30)</f>
        <v>0</v>
      </c>
      <c r="U155" s="130">
        <f>sum(Financials!G8)*($C155/30)</f>
        <v>237.5</v>
      </c>
      <c r="V155" s="130">
        <f>sum(Financials!H8)*($C155/30)</f>
        <v>479.75</v>
      </c>
      <c r="W155" s="130">
        <f>sum(Financials!I8)*($C155/30)</f>
        <v>726.845</v>
      </c>
      <c r="X155" s="130">
        <f>sum(Financials!J8)*($C155/30)</f>
        <v>978.8819</v>
      </c>
      <c r="Y155" s="130">
        <f>sum(Financials!K8)*($C155/30)</f>
        <v>1420.959538</v>
      </c>
      <c r="Z155" s="130">
        <f>sum(Financials!L8)*($C155/30)</f>
        <v>1871.878729</v>
      </c>
      <c r="AA155" s="130">
        <f>sum(Financials!M8)*($C155/30)</f>
        <v>2331.816303</v>
      </c>
      <c r="AB155" s="130">
        <f>sum(Financials!N8)*($C155/30)</f>
        <v>2800.952629</v>
      </c>
      <c r="AC155" s="130">
        <f>sum(Financials!O8)*($C155/30)</f>
        <v>3279.471682</v>
      </c>
      <c r="AD155" s="130">
        <f>sum(Financials!P8)*($C155/30)</f>
        <v>3767.561116</v>
      </c>
      <c r="AE155" s="130">
        <f>sum(Financials!Q8)*($C155/30)</f>
        <v>4265.412338</v>
      </c>
      <c r="AF155" s="130">
        <f>sum(Financials!R8)*($C155/30)</f>
        <v>4773.220585</v>
      </c>
      <c r="AG155" s="130">
        <f>sum(Financials!S8)*($C155/30)</f>
        <v>5243.684996</v>
      </c>
      <c r="AH155" s="130">
        <f>sum(Financials!T8)*($C155/30)</f>
        <v>5723.558696</v>
      </c>
      <c r="AI155" s="130">
        <f>sum(Financials!U8)*($C155/30)</f>
        <v>6213.02987</v>
      </c>
      <c r="AJ155" s="130">
        <f>sum(Financials!V8)*($C155/30)</f>
        <v>6712.290468</v>
      </c>
      <c r="AK155" s="130">
        <f>sum(Financials!W8)*($C155/30)</f>
        <v>7184.536277</v>
      </c>
      <c r="AL155" s="130">
        <f>sum(Financials!X8)*($C155/30)</f>
        <v>7666.227003</v>
      </c>
      <c r="AM155" s="130">
        <f>sum(Financials!Y8)*($C155/30)</f>
        <v>8157.551543</v>
      </c>
      <c r="AN155" s="130">
        <f>sum(Financials!Z8)*($C155/30)</f>
        <v>8658.702573</v>
      </c>
      <c r="AO155" s="130">
        <f>sum(Financials!AA8)*($C155/30)</f>
        <v>9169.876625</v>
      </c>
      <c r="AP155" s="130">
        <f>sum(Financials!AB8)*($C155/30)</f>
        <v>9691.274157</v>
      </c>
      <c r="AQ155" s="130">
        <f>sum(Financials!AC8)*($C155/30)</f>
        <v>10223.09964</v>
      </c>
      <c r="AR155" s="130">
        <f>sum(Financials!AD8)*($C155/30)</f>
        <v>10765.56163</v>
      </c>
      <c r="AS155" s="130">
        <f>sum(Financials!AE8)*($C155/30)</f>
        <v>11280.87287</v>
      </c>
      <c r="AT155" s="130">
        <f>sum(Financials!AF8)*($C155/30)</f>
        <v>11806.49032</v>
      </c>
      <c r="AU155" s="130">
        <f>sum(Financials!AG8)*($C155/30)</f>
        <v>12342.62013</v>
      </c>
      <c r="AV155" s="130">
        <f>sum(Financials!AH8)*($C155/30)</f>
        <v>12889.47253</v>
      </c>
      <c r="AW155" s="130">
        <f>sum(Financials!AI8)*($C155/30)</f>
        <v>13417.66198</v>
      </c>
      <c r="AX155" s="130">
        <f>sum(Financials!AJ8)*($C155/30)</f>
        <v>13956.41522</v>
      </c>
      <c r="AY155" s="130">
        <f>sum(Financials!AK8)*($C155/30)</f>
        <v>14505.94353</v>
      </c>
      <c r="AZ155" s="130">
        <f>sum(Financials!AL8)*($C155/30)</f>
        <v>15066.4624</v>
      </c>
      <c r="BA155" s="130">
        <f>sum(Financials!AM8)*($C155/30)</f>
        <v>15638.19165</v>
      </c>
      <c r="BB155" s="130">
        <f>sum(Financials!AN8)*($C155/30)</f>
        <v>16221.35548</v>
      </c>
      <c r="BC155" s="130">
        <f>sum(Financials!AO8)*($C155/30)</f>
        <v>16816.18259</v>
      </c>
      <c r="BD155" s="130">
        <f>sum(Financials!AP8)*($C155/30)</f>
        <v>17422.90624</v>
      </c>
      <c r="BE155" s="130">
        <f>sum(Financials!AQ8)*($C155/30)</f>
        <v>18011.36436</v>
      </c>
      <c r="BF155" s="130">
        <f>sum(Financials!AR8)*($C155/30)</f>
        <v>18611.59165</v>
      </c>
      <c r="BG155" s="130">
        <f>sum(Financials!AS8)*($C155/30)</f>
        <v>19223.82349</v>
      </c>
      <c r="BH155" s="130">
        <f>sum(Financials!AT8)*($C155/30)</f>
        <v>19848.29995</v>
      </c>
      <c r="BI155" s="130">
        <f>sum(Financials!AU8)*($C155/30)</f>
        <v>20461.58595</v>
      </c>
      <c r="BJ155" s="130">
        <f>sum(Financials!AV8)*($C155/30)</f>
        <v>21087.13767</v>
      </c>
      <c r="BK155" s="130">
        <f>sum(Financials!AW8)*($C155/30)</f>
        <v>21725.20043</v>
      </c>
      <c r="BL155" s="130">
        <f>sum(Financials!AX8)*($C155/30)</f>
        <v>22376.02443</v>
      </c>
      <c r="BM155" s="130">
        <f>sum(Financials!AY8)*($C155/30)</f>
        <v>23039.86492</v>
      </c>
      <c r="BN155" s="130">
        <f>sum(Financials!AZ8)*($C155/30)</f>
        <v>23716.98222</v>
      </c>
      <c r="BO155" s="130">
        <f>sum(Financials!BA8)*($C155/30)</f>
        <v>24407.64187</v>
      </c>
      <c r="BP155" s="130">
        <f>sum(Financials!BB8)*($C155/30)</f>
        <v>25112.1147</v>
      </c>
      <c r="BQ155" s="130">
        <f>sum(Financials!BC8)*($C155/30)</f>
        <v>25806.357</v>
      </c>
      <c r="BR155" s="130">
        <f>sum(Financials!BD8)*($C155/30)</f>
        <v>26514.48414</v>
      </c>
      <c r="BS155" s="130">
        <f>sum(Financials!BE8)*($C155/30)</f>
        <v>27236.77382</v>
      </c>
      <c r="BT155" s="130">
        <f>sum(Financials!BF8)*($C155/30)</f>
        <v>27973.5093</v>
      </c>
      <c r="BU155" s="130">
        <f>sum(Financials!BG8)*($C155/30)</f>
        <v>28706.03548</v>
      </c>
      <c r="BV155" s="130">
        <f>sum(Financials!BH8)*($C155/30)</f>
        <v>29453.21219</v>
      </c>
      <c r="BW155" s="130">
        <f>sum(Financials!BI8)*($C155/30)</f>
        <v>30215.33244</v>
      </c>
      <c r="BX155" s="130">
        <f>sum(Financials!BJ8)*($C155/30)</f>
        <v>30992.69509</v>
      </c>
      <c r="BY155" s="130">
        <f>sum(Financials!BK8)*($C155/30)</f>
        <v>31785.60499</v>
      </c>
      <c r="BZ155" s="130">
        <f>sum(Financials!BL8)*($C155/30)</f>
        <v>32594.37309</v>
      </c>
      <c r="CA155" s="130">
        <f>sum(Financials!BM8)*($C155/30)</f>
        <v>33419.31655</v>
      </c>
    </row>
    <row r="156" hidden="1" outlineLevel="1">
      <c r="A156" s="47"/>
      <c r="B156" s="47"/>
      <c r="C156" s="47"/>
      <c r="D156" s="47"/>
      <c r="E156" s="47"/>
      <c r="F156" s="47"/>
      <c r="G156" s="47"/>
      <c r="H156" s="93"/>
      <c r="I156" s="93"/>
      <c r="J156" s="93"/>
      <c r="K156" s="93"/>
      <c r="L156" s="93"/>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c r="BL156" s="93"/>
      <c r="BM156" s="93"/>
      <c r="BN156" s="93"/>
      <c r="BO156" s="93"/>
      <c r="BP156" s="93"/>
      <c r="BQ156" s="93"/>
      <c r="BR156" s="93"/>
      <c r="BS156" s="93"/>
      <c r="BT156" s="93"/>
      <c r="BU156" s="93"/>
      <c r="BV156" s="93"/>
      <c r="BW156" s="93"/>
      <c r="BX156" s="93"/>
      <c r="BY156" s="93"/>
      <c r="BZ156" s="93"/>
      <c r="CA156" s="93"/>
    </row>
    <row r="157" hidden="1" outlineLevel="1">
      <c r="A157" s="47"/>
      <c r="B157" s="131" t="s">
        <v>114</v>
      </c>
      <c r="C157" s="132" t="s">
        <v>115</v>
      </c>
      <c r="D157" s="132" t="s">
        <v>116</v>
      </c>
      <c r="E157" s="132"/>
      <c r="F157" s="132"/>
      <c r="G157" s="132" t="s">
        <v>117</v>
      </c>
      <c r="H157" s="47"/>
      <c r="I157" s="123"/>
      <c r="J157" s="126"/>
      <c r="K157" s="126"/>
      <c r="L157" s="126"/>
      <c r="M157" s="126"/>
      <c r="N157" s="126"/>
      <c r="O157" s="126"/>
      <c r="P157" s="126"/>
      <c r="Q157" s="126"/>
      <c r="R157" s="126"/>
      <c r="S157" s="126"/>
      <c r="T157" s="126" t="s">
        <v>118</v>
      </c>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93"/>
      <c r="BR157" s="93"/>
      <c r="BS157" s="93"/>
      <c r="BT157" s="93"/>
      <c r="BU157" s="93"/>
      <c r="BV157" s="93"/>
      <c r="BW157" s="93"/>
      <c r="BX157" s="93"/>
      <c r="BY157" s="93"/>
      <c r="BZ157" s="93"/>
      <c r="CA157" s="93"/>
    </row>
    <row r="158" hidden="1" outlineLevel="1">
      <c r="A158" s="47"/>
      <c r="B158" s="101" t="s">
        <v>119</v>
      </c>
      <c r="C158" s="95">
        <v>0.0</v>
      </c>
      <c r="D158" s="133">
        <v>44562.0</v>
      </c>
      <c r="E158" s="134"/>
      <c r="F158" s="134"/>
      <c r="G158" s="134">
        <v>5.0</v>
      </c>
      <c r="H158" s="93"/>
      <c r="I158" s="126"/>
      <c r="J158" s="126"/>
      <c r="K158" s="126"/>
      <c r="L158" s="126"/>
      <c r="M158" s="126"/>
      <c r="N158" s="126"/>
      <c r="O158" s="126"/>
      <c r="P158" s="126"/>
      <c r="Q158" s="126"/>
      <c r="R158" s="126"/>
      <c r="S158" s="126"/>
      <c r="T158" s="126">
        <f t="shared" ref="T158:CA158" si="102">if(T$4&gt;=$D158,$C158,0)</f>
        <v>0</v>
      </c>
      <c r="U158" s="126">
        <f t="shared" si="102"/>
        <v>0</v>
      </c>
      <c r="V158" s="126">
        <f t="shared" si="102"/>
        <v>0</v>
      </c>
      <c r="W158" s="126">
        <f t="shared" si="102"/>
        <v>0</v>
      </c>
      <c r="X158" s="126">
        <f t="shared" si="102"/>
        <v>0</v>
      </c>
      <c r="Y158" s="126">
        <f t="shared" si="102"/>
        <v>0</v>
      </c>
      <c r="Z158" s="126">
        <f t="shared" si="102"/>
        <v>0</v>
      </c>
      <c r="AA158" s="126">
        <f t="shared" si="102"/>
        <v>0</v>
      </c>
      <c r="AB158" s="126">
        <f t="shared" si="102"/>
        <v>0</v>
      </c>
      <c r="AC158" s="126">
        <f t="shared" si="102"/>
        <v>0</v>
      </c>
      <c r="AD158" s="126">
        <f t="shared" si="102"/>
        <v>0</v>
      </c>
      <c r="AE158" s="126">
        <f t="shared" si="102"/>
        <v>0</v>
      </c>
      <c r="AF158" s="126">
        <f t="shared" si="102"/>
        <v>0</v>
      </c>
      <c r="AG158" s="126">
        <f t="shared" si="102"/>
        <v>0</v>
      </c>
      <c r="AH158" s="126">
        <f t="shared" si="102"/>
        <v>0</v>
      </c>
      <c r="AI158" s="126">
        <f t="shared" si="102"/>
        <v>0</v>
      </c>
      <c r="AJ158" s="126">
        <f t="shared" si="102"/>
        <v>0</v>
      </c>
      <c r="AK158" s="126">
        <f t="shared" si="102"/>
        <v>0</v>
      </c>
      <c r="AL158" s="126">
        <f t="shared" si="102"/>
        <v>0</v>
      </c>
      <c r="AM158" s="126">
        <f t="shared" si="102"/>
        <v>0</v>
      </c>
      <c r="AN158" s="126">
        <f t="shared" si="102"/>
        <v>0</v>
      </c>
      <c r="AO158" s="126">
        <f t="shared" si="102"/>
        <v>0</v>
      </c>
      <c r="AP158" s="126">
        <f t="shared" si="102"/>
        <v>0</v>
      </c>
      <c r="AQ158" s="126">
        <f t="shared" si="102"/>
        <v>0</v>
      </c>
      <c r="AR158" s="126">
        <f t="shared" si="102"/>
        <v>0</v>
      </c>
      <c r="AS158" s="126">
        <f t="shared" si="102"/>
        <v>0</v>
      </c>
      <c r="AT158" s="126">
        <f t="shared" si="102"/>
        <v>0</v>
      </c>
      <c r="AU158" s="126">
        <f t="shared" si="102"/>
        <v>0</v>
      </c>
      <c r="AV158" s="126">
        <f t="shared" si="102"/>
        <v>0</v>
      </c>
      <c r="AW158" s="126">
        <f t="shared" si="102"/>
        <v>0</v>
      </c>
      <c r="AX158" s="126">
        <f t="shared" si="102"/>
        <v>0</v>
      </c>
      <c r="AY158" s="126">
        <f t="shared" si="102"/>
        <v>0</v>
      </c>
      <c r="AZ158" s="126">
        <f t="shared" si="102"/>
        <v>0</v>
      </c>
      <c r="BA158" s="126">
        <f t="shared" si="102"/>
        <v>0</v>
      </c>
      <c r="BB158" s="126">
        <f t="shared" si="102"/>
        <v>0</v>
      </c>
      <c r="BC158" s="126">
        <f t="shared" si="102"/>
        <v>0</v>
      </c>
      <c r="BD158" s="126">
        <f t="shared" si="102"/>
        <v>0</v>
      </c>
      <c r="BE158" s="126">
        <f t="shared" si="102"/>
        <v>0</v>
      </c>
      <c r="BF158" s="126">
        <f t="shared" si="102"/>
        <v>0</v>
      </c>
      <c r="BG158" s="126">
        <f t="shared" si="102"/>
        <v>0</v>
      </c>
      <c r="BH158" s="126">
        <f t="shared" si="102"/>
        <v>0</v>
      </c>
      <c r="BI158" s="126">
        <f t="shared" si="102"/>
        <v>0</v>
      </c>
      <c r="BJ158" s="126">
        <f t="shared" si="102"/>
        <v>0</v>
      </c>
      <c r="BK158" s="126">
        <f t="shared" si="102"/>
        <v>0</v>
      </c>
      <c r="BL158" s="126">
        <f t="shared" si="102"/>
        <v>0</v>
      </c>
      <c r="BM158" s="126">
        <f t="shared" si="102"/>
        <v>0</v>
      </c>
      <c r="BN158" s="126">
        <f t="shared" si="102"/>
        <v>0</v>
      </c>
      <c r="BO158" s="126">
        <f t="shared" si="102"/>
        <v>0</v>
      </c>
      <c r="BP158" s="126">
        <f t="shared" si="102"/>
        <v>0</v>
      </c>
      <c r="BQ158" s="93">
        <f t="shared" si="102"/>
        <v>0</v>
      </c>
      <c r="BR158" s="93">
        <f t="shared" si="102"/>
        <v>0</v>
      </c>
      <c r="BS158" s="93">
        <f t="shared" si="102"/>
        <v>0</v>
      </c>
      <c r="BT158" s="93">
        <f t="shared" si="102"/>
        <v>0</v>
      </c>
      <c r="BU158" s="93">
        <f t="shared" si="102"/>
        <v>0</v>
      </c>
      <c r="BV158" s="93">
        <f t="shared" si="102"/>
        <v>0</v>
      </c>
      <c r="BW158" s="93">
        <f t="shared" si="102"/>
        <v>0</v>
      </c>
      <c r="BX158" s="93">
        <f t="shared" si="102"/>
        <v>0</v>
      </c>
      <c r="BY158" s="93">
        <f t="shared" si="102"/>
        <v>0</v>
      </c>
      <c r="BZ158" s="93">
        <f t="shared" si="102"/>
        <v>0</v>
      </c>
      <c r="CA158" s="93">
        <f t="shared" si="102"/>
        <v>0</v>
      </c>
    </row>
    <row r="159" hidden="1" outlineLevel="1">
      <c r="A159" s="47"/>
      <c r="B159" s="101" t="s">
        <v>120</v>
      </c>
      <c r="C159" s="95">
        <v>0.0</v>
      </c>
      <c r="D159" s="133">
        <v>44562.0</v>
      </c>
      <c r="E159" s="134"/>
      <c r="F159" s="134"/>
      <c r="G159" s="134">
        <v>5.0</v>
      </c>
      <c r="H159" s="93"/>
      <c r="I159" s="126"/>
      <c r="J159" s="126"/>
      <c r="K159" s="126"/>
      <c r="L159" s="126"/>
      <c r="M159" s="126"/>
      <c r="N159" s="126"/>
      <c r="O159" s="126"/>
      <c r="P159" s="126"/>
      <c r="Q159" s="126"/>
      <c r="R159" s="126"/>
      <c r="S159" s="126"/>
      <c r="T159" s="126">
        <f t="shared" ref="T159:CA159" si="103">if(T$4&gt;=$D159,$C159,0)</f>
        <v>0</v>
      </c>
      <c r="U159" s="126">
        <f t="shared" si="103"/>
        <v>0</v>
      </c>
      <c r="V159" s="126">
        <f t="shared" si="103"/>
        <v>0</v>
      </c>
      <c r="W159" s="126">
        <f t="shared" si="103"/>
        <v>0</v>
      </c>
      <c r="X159" s="126">
        <f t="shared" si="103"/>
        <v>0</v>
      </c>
      <c r="Y159" s="126">
        <f t="shared" si="103"/>
        <v>0</v>
      </c>
      <c r="Z159" s="126">
        <f t="shared" si="103"/>
        <v>0</v>
      </c>
      <c r="AA159" s="126">
        <f t="shared" si="103"/>
        <v>0</v>
      </c>
      <c r="AB159" s="126">
        <f t="shared" si="103"/>
        <v>0</v>
      </c>
      <c r="AC159" s="126">
        <f t="shared" si="103"/>
        <v>0</v>
      </c>
      <c r="AD159" s="126">
        <f t="shared" si="103"/>
        <v>0</v>
      </c>
      <c r="AE159" s="126">
        <f t="shared" si="103"/>
        <v>0</v>
      </c>
      <c r="AF159" s="126">
        <f t="shared" si="103"/>
        <v>0</v>
      </c>
      <c r="AG159" s="126">
        <f t="shared" si="103"/>
        <v>0</v>
      </c>
      <c r="AH159" s="126">
        <f t="shared" si="103"/>
        <v>0</v>
      </c>
      <c r="AI159" s="126">
        <f t="shared" si="103"/>
        <v>0</v>
      </c>
      <c r="AJ159" s="126">
        <f t="shared" si="103"/>
        <v>0</v>
      </c>
      <c r="AK159" s="126">
        <f t="shared" si="103"/>
        <v>0</v>
      </c>
      <c r="AL159" s="126">
        <f t="shared" si="103"/>
        <v>0</v>
      </c>
      <c r="AM159" s="126">
        <f t="shared" si="103"/>
        <v>0</v>
      </c>
      <c r="AN159" s="126">
        <f t="shared" si="103"/>
        <v>0</v>
      </c>
      <c r="AO159" s="126">
        <f t="shared" si="103"/>
        <v>0</v>
      </c>
      <c r="AP159" s="126">
        <f t="shared" si="103"/>
        <v>0</v>
      </c>
      <c r="AQ159" s="126">
        <f t="shared" si="103"/>
        <v>0</v>
      </c>
      <c r="AR159" s="126">
        <f t="shared" si="103"/>
        <v>0</v>
      </c>
      <c r="AS159" s="126">
        <f t="shared" si="103"/>
        <v>0</v>
      </c>
      <c r="AT159" s="126">
        <f t="shared" si="103"/>
        <v>0</v>
      </c>
      <c r="AU159" s="126">
        <f t="shared" si="103"/>
        <v>0</v>
      </c>
      <c r="AV159" s="126">
        <f t="shared" si="103"/>
        <v>0</v>
      </c>
      <c r="AW159" s="126">
        <f t="shared" si="103"/>
        <v>0</v>
      </c>
      <c r="AX159" s="126">
        <f t="shared" si="103"/>
        <v>0</v>
      </c>
      <c r="AY159" s="126">
        <f t="shared" si="103"/>
        <v>0</v>
      </c>
      <c r="AZ159" s="126">
        <f t="shared" si="103"/>
        <v>0</v>
      </c>
      <c r="BA159" s="126">
        <f t="shared" si="103"/>
        <v>0</v>
      </c>
      <c r="BB159" s="126">
        <f t="shared" si="103"/>
        <v>0</v>
      </c>
      <c r="BC159" s="126">
        <f t="shared" si="103"/>
        <v>0</v>
      </c>
      <c r="BD159" s="126">
        <f t="shared" si="103"/>
        <v>0</v>
      </c>
      <c r="BE159" s="126">
        <f t="shared" si="103"/>
        <v>0</v>
      </c>
      <c r="BF159" s="126">
        <f t="shared" si="103"/>
        <v>0</v>
      </c>
      <c r="BG159" s="126">
        <f t="shared" si="103"/>
        <v>0</v>
      </c>
      <c r="BH159" s="126">
        <f t="shared" si="103"/>
        <v>0</v>
      </c>
      <c r="BI159" s="126">
        <f t="shared" si="103"/>
        <v>0</v>
      </c>
      <c r="BJ159" s="126">
        <f t="shared" si="103"/>
        <v>0</v>
      </c>
      <c r="BK159" s="126">
        <f t="shared" si="103"/>
        <v>0</v>
      </c>
      <c r="BL159" s="126">
        <f t="shared" si="103"/>
        <v>0</v>
      </c>
      <c r="BM159" s="126">
        <f t="shared" si="103"/>
        <v>0</v>
      </c>
      <c r="BN159" s="126">
        <f t="shared" si="103"/>
        <v>0</v>
      </c>
      <c r="BO159" s="126">
        <f t="shared" si="103"/>
        <v>0</v>
      </c>
      <c r="BP159" s="126">
        <f t="shared" si="103"/>
        <v>0</v>
      </c>
      <c r="BQ159" s="93">
        <f t="shared" si="103"/>
        <v>0</v>
      </c>
      <c r="BR159" s="93">
        <f t="shared" si="103"/>
        <v>0</v>
      </c>
      <c r="BS159" s="93">
        <f t="shared" si="103"/>
        <v>0</v>
      </c>
      <c r="BT159" s="93">
        <f t="shared" si="103"/>
        <v>0</v>
      </c>
      <c r="BU159" s="93">
        <f t="shared" si="103"/>
        <v>0</v>
      </c>
      <c r="BV159" s="93">
        <f t="shared" si="103"/>
        <v>0</v>
      </c>
      <c r="BW159" s="93">
        <f t="shared" si="103"/>
        <v>0</v>
      </c>
      <c r="BX159" s="93">
        <f t="shared" si="103"/>
        <v>0</v>
      </c>
      <c r="BY159" s="93">
        <f t="shared" si="103"/>
        <v>0</v>
      </c>
      <c r="BZ159" s="93">
        <f t="shared" si="103"/>
        <v>0</v>
      </c>
      <c r="CA159" s="93">
        <f t="shared" si="103"/>
        <v>0</v>
      </c>
    </row>
    <row r="160" hidden="1" outlineLevel="1">
      <c r="A160" s="47"/>
      <c r="B160" s="101" t="s">
        <v>121</v>
      </c>
      <c r="C160" s="95">
        <v>0.0</v>
      </c>
      <c r="D160" s="133">
        <v>44562.0</v>
      </c>
      <c r="E160" s="134"/>
      <c r="F160" s="134"/>
      <c r="G160" s="134">
        <v>5.0</v>
      </c>
      <c r="H160" s="93"/>
      <c r="I160" s="126"/>
      <c r="J160" s="126"/>
      <c r="K160" s="126"/>
      <c r="L160" s="126"/>
      <c r="M160" s="126"/>
      <c r="N160" s="126"/>
      <c r="O160" s="126"/>
      <c r="P160" s="126"/>
      <c r="Q160" s="126"/>
      <c r="R160" s="126"/>
      <c r="S160" s="126"/>
      <c r="T160" s="126">
        <f t="shared" ref="T160:CA160" si="104">if(T$4&gt;=$D160,$C160,0)</f>
        <v>0</v>
      </c>
      <c r="U160" s="126">
        <f t="shared" si="104"/>
        <v>0</v>
      </c>
      <c r="V160" s="126">
        <f t="shared" si="104"/>
        <v>0</v>
      </c>
      <c r="W160" s="126">
        <f t="shared" si="104"/>
        <v>0</v>
      </c>
      <c r="X160" s="126">
        <f t="shared" si="104"/>
        <v>0</v>
      </c>
      <c r="Y160" s="126">
        <f t="shared" si="104"/>
        <v>0</v>
      </c>
      <c r="Z160" s="126">
        <f t="shared" si="104"/>
        <v>0</v>
      </c>
      <c r="AA160" s="126">
        <f t="shared" si="104"/>
        <v>0</v>
      </c>
      <c r="AB160" s="126">
        <f t="shared" si="104"/>
        <v>0</v>
      </c>
      <c r="AC160" s="126">
        <f t="shared" si="104"/>
        <v>0</v>
      </c>
      <c r="AD160" s="126">
        <f t="shared" si="104"/>
        <v>0</v>
      </c>
      <c r="AE160" s="126">
        <f t="shared" si="104"/>
        <v>0</v>
      </c>
      <c r="AF160" s="126">
        <f t="shared" si="104"/>
        <v>0</v>
      </c>
      <c r="AG160" s="126">
        <f t="shared" si="104"/>
        <v>0</v>
      </c>
      <c r="AH160" s="126">
        <f t="shared" si="104"/>
        <v>0</v>
      </c>
      <c r="AI160" s="126">
        <f t="shared" si="104"/>
        <v>0</v>
      </c>
      <c r="AJ160" s="126">
        <f t="shared" si="104"/>
        <v>0</v>
      </c>
      <c r="AK160" s="126">
        <f t="shared" si="104"/>
        <v>0</v>
      </c>
      <c r="AL160" s="126">
        <f t="shared" si="104"/>
        <v>0</v>
      </c>
      <c r="AM160" s="126">
        <f t="shared" si="104"/>
        <v>0</v>
      </c>
      <c r="AN160" s="126">
        <f t="shared" si="104"/>
        <v>0</v>
      </c>
      <c r="AO160" s="126">
        <f t="shared" si="104"/>
        <v>0</v>
      </c>
      <c r="AP160" s="126">
        <f t="shared" si="104"/>
        <v>0</v>
      </c>
      <c r="AQ160" s="126">
        <f t="shared" si="104"/>
        <v>0</v>
      </c>
      <c r="AR160" s="126">
        <f t="shared" si="104"/>
        <v>0</v>
      </c>
      <c r="AS160" s="126">
        <f t="shared" si="104"/>
        <v>0</v>
      </c>
      <c r="AT160" s="126">
        <f t="shared" si="104"/>
        <v>0</v>
      </c>
      <c r="AU160" s="126">
        <f t="shared" si="104"/>
        <v>0</v>
      </c>
      <c r="AV160" s="126">
        <f t="shared" si="104"/>
        <v>0</v>
      </c>
      <c r="AW160" s="126">
        <f t="shared" si="104"/>
        <v>0</v>
      </c>
      <c r="AX160" s="126">
        <f t="shared" si="104"/>
        <v>0</v>
      </c>
      <c r="AY160" s="126">
        <f t="shared" si="104"/>
        <v>0</v>
      </c>
      <c r="AZ160" s="126">
        <f t="shared" si="104"/>
        <v>0</v>
      </c>
      <c r="BA160" s="126">
        <f t="shared" si="104"/>
        <v>0</v>
      </c>
      <c r="BB160" s="126">
        <f t="shared" si="104"/>
        <v>0</v>
      </c>
      <c r="BC160" s="126">
        <f t="shared" si="104"/>
        <v>0</v>
      </c>
      <c r="BD160" s="126">
        <f t="shared" si="104"/>
        <v>0</v>
      </c>
      <c r="BE160" s="126">
        <f t="shared" si="104"/>
        <v>0</v>
      </c>
      <c r="BF160" s="126">
        <f t="shared" si="104"/>
        <v>0</v>
      </c>
      <c r="BG160" s="126">
        <f t="shared" si="104"/>
        <v>0</v>
      </c>
      <c r="BH160" s="126">
        <f t="shared" si="104"/>
        <v>0</v>
      </c>
      <c r="BI160" s="126">
        <f t="shared" si="104"/>
        <v>0</v>
      </c>
      <c r="BJ160" s="126">
        <f t="shared" si="104"/>
        <v>0</v>
      </c>
      <c r="BK160" s="126">
        <f t="shared" si="104"/>
        <v>0</v>
      </c>
      <c r="BL160" s="126">
        <f t="shared" si="104"/>
        <v>0</v>
      </c>
      <c r="BM160" s="126">
        <f t="shared" si="104"/>
        <v>0</v>
      </c>
      <c r="BN160" s="126">
        <f t="shared" si="104"/>
        <v>0</v>
      </c>
      <c r="BO160" s="126">
        <f t="shared" si="104"/>
        <v>0</v>
      </c>
      <c r="BP160" s="126">
        <f t="shared" si="104"/>
        <v>0</v>
      </c>
      <c r="BQ160" s="93">
        <f t="shared" si="104"/>
        <v>0</v>
      </c>
      <c r="BR160" s="93">
        <f t="shared" si="104"/>
        <v>0</v>
      </c>
      <c r="BS160" s="93">
        <f t="shared" si="104"/>
        <v>0</v>
      </c>
      <c r="BT160" s="93">
        <f t="shared" si="104"/>
        <v>0</v>
      </c>
      <c r="BU160" s="93">
        <f t="shared" si="104"/>
        <v>0</v>
      </c>
      <c r="BV160" s="93">
        <f t="shared" si="104"/>
        <v>0</v>
      </c>
      <c r="BW160" s="93">
        <f t="shared" si="104"/>
        <v>0</v>
      </c>
      <c r="BX160" s="93">
        <f t="shared" si="104"/>
        <v>0</v>
      </c>
      <c r="BY160" s="93">
        <f t="shared" si="104"/>
        <v>0</v>
      </c>
      <c r="BZ160" s="93">
        <f t="shared" si="104"/>
        <v>0</v>
      </c>
      <c r="CA160" s="93">
        <f t="shared" si="104"/>
        <v>0</v>
      </c>
    </row>
    <row r="161" hidden="1" outlineLevel="1">
      <c r="A161" s="47"/>
      <c r="B161" s="101" t="s">
        <v>122</v>
      </c>
      <c r="C161" s="95">
        <v>0.0</v>
      </c>
      <c r="D161" s="133">
        <v>44562.0</v>
      </c>
      <c r="E161" s="134"/>
      <c r="F161" s="134"/>
      <c r="G161" s="134">
        <v>5.0</v>
      </c>
      <c r="H161" s="93"/>
      <c r="I161" s="126"/>
      <c r="J161" s="126"/>
      <c r="K161" s="126"/>
      <c r="L161" s="126"/>
      <c r="M161" s="126"/>
      <c r="N161" s="126"/>
      <c r="O161" s="126"/>
      <c r="P161" s="126"/>
      <c r="Q161" s="126"/>
      <c r="R161" s="126"/>
      <c r="S161" s="126"/>
      <c r="T161" s="126">
        <f t="shared" ref="T161:CA161" si="105">if(T$4&gt;=$D161,$C161,0)</f>
        <v>0</v>
      </c>
      <c r="U161" s="126">
        <f t="shared" si="105"/>
        <v>0</v>
      </c>
      <c r="V161" s="126">
        <f t="shared" si="105"/>
        <v>0</v>
      </c>
      <c r="W161" s="126">
        <f t="shared" si="105"/>
        <v>0</v>
      </c>
      <c r="X161" s="126">
        <f t="shared" si="105"/>
        <v>0</v>
      </c>
      <c r="Y161" s="126">
        <f t="shared" si="105"/>
        <v>0</v>
      </c>
      <c r="Z161" s="126">
        <f t="shared" si="105"/>
        <v>0</v>
      </c>
      <c r="AA161" s="126">
        <f t="shared" si="105"/>
        <v>0</v>
      </c>
      <c r="AB161" s="126">
        <f t="shared" si="105"/>
        <v>0</v>
      </c>
      <c r="AC161" s="126">
        <f t="shared" si="105"/>
        <v>0</v>
      </c>
      <c r="AD161" s="126">
        <f t="shared" si="105"/>
        <v>0</v>
      </c>
      <c r="AE161" s="126">
        <f t="shared" si="105"/>
        <v>0</v>
      </c>
      <c r="AF161" s="126">
        <f t="shared" si="105"/>
        <v>0</v>
      </c>
      <c r="AG161" s="126">
        <f t="shared" si="105"/>
        <v>0</v>
      </c>
      <c r="AH161" s="126">
        <f t="shared" si="105"/>
        <v>0</v>
      </c>
      <c r="AI161" s="126">
        <f t="shared" si="105"/>
        <v>0</v>
      </c>
      <c r="AJ161" s="126">
        <f t="shared" si="105"/>
        <v>0</v>
      </c>
      <c r="AK161" s="126">
        <f t="shared" si="105"/>
        <v>0</v>
      </c>
      <c r="AL161" s="126">
        <f t="shared" si="105"/>
        <v>0</v>
      </c>
      <c r="AM161" s="126">
        <f t="shared" si="105"/>
        <v>0</v>
      </c>
      <c r="AN161" s="126">
        <f t="shared" si="105"/>
        <v>0</v>
      </c>
      <c r="AO161" s="126">
        <f t="shared" si="105"/>
        <v>0</v>
      </c>
      <c r="AP161" s="126">
        <f t="shared" si="105"/>
        <v>0</v>
      </c>
      <c r="AQ161" s="126">
        <f t="shared" si="105"/>
        <v>0</v>
      </c>
      <c r="AR161" s="126">
        <f t="shared" si="105"/>
        <v>0</v>
      </c>
      <c r="AS161" s="126">
        <f t="shared" si="105"/>
        <v>0</v>
      </c>
      <c r="AT161" s="126">
        <f t="shared" si="105"/>
        <v>0</v>
      </c>
      <c r="AU161" s="126">
        <f t="shared" si="105"/>
        <v>0</v>
      </c>
      <c r="AV161" s="126">
        <f t="shared" si="105"/>
        <v>0</v>
      </c>
      <c r="AW161" s="126">
        <f t="shared" si="105"/>
        <v>0</v>
      </c>
      <c r="AX161" s="126">
        <f t="shared" si="105"/>
        <v>0</v>
      </c>
      <c r="AY161" s="126">
        <f t="shared" si="105"/>
        <v>0</v>
      </c>
      <c r="AZ161" s="126">
        <f t="shared" si="105"/>
        <v>0</v>
      </c>
      <c r="BA161" s="126">
        <f t="shared" si="105"/>
        <v>0</v>
      </c>
      <c r="BB161" s="126">
        <f t="shared" si="105"/>
        <v>0</v>
      </c>
      <c r="BC161" s="126">
        <f t="shared" si="105"/>
        <v>0</v>
      </c>
      <c r="BD161" s="126">
        <f t="shared" si="105"/>
        <v>0</v>
      </c>
      <c r="BE161" s="126">
        <f t="shared" si="105"/>
        <v>0</v>
      </c>
      <c r="BF161" s="126">
        <f t="shared" si="105"/>
        <v>0</v>
      </c>
      <c r="BG161" s="126">
        <f t="shared" si="105"/>
        <v>0</v>
      </c>
      <c r="BH161" s="126">
        <f t="shared" si="105"/>
        <v>0</v>
      </c>
      <c r="BI161" s="126">
        <f t="shared" si="105"/>
        <v>0</v>
      </c>
      <c r="BJ161" s="126">
        <f t="shared" si="105"/>
        <v>0</v>
      </c>
      <c r="BK161" s="126">
        <f t="shared" si="105"/>
        <v>0</v>
      </c>
      <c r="BL161" s="126">
        <f t="shared" si="105"/>
        <v>0</v>
      </c>
      <c r="BM161" s="126">
        <f t="shared" si="105"/>
        <v>0</v>
      </c>
      <c r="BN161" s="126">
        <f t="shared" si="105"/>
        <v>0</v>
      </c>
      <c r="BO161" s="126">
        <f t="shared" si="105"/>
        <v>0</v>
      </c>
      <c r="BP161" s="126">
        <f t="shared" si="105"/>
        <v>0</v>
      </c>
      <c r="BQ161" s="93">
        <f t="shared" si="105"/>
        <v>0</v>
      </c>
      <c r="BR161" s="93">
        <f t="shared" si="105"/>
        <v>0</v>
      </c>
      <c r="BS161" s="93">
        <f t="shared" si="105"/>
        <v>0</v>
      </c>
      <c r="BT161" s="93">
        <f t="shared" si="105"/>
        <v>0</v>
      </c>
      <c r="BU161" s="93">
        <f t="shared" si="105"/>
        <v>0</v>
      </c>
      <c r="BV161" s="93">
        <f t="shared" si="105"/>
        <v>0</v>
      </c>
      <c r="BW161" s="93">
        <f t="shared" si="105"/>
        <v>0</v>
      </c>
      <c r="BX161" s="93">
        <f t="shared" si="105"/>
        <v>0</v>
      </c>
      <c r="BY161" s="93">
        <f t="shared" si="105"/>
        <v>0</v>
      </c>
      <c r="BZ161" s="93">
        <f t="shared" si="105"/>
        <v>0</v>
      </c>
      <c r="CA161" s="93">
        <f t="shared" si="105"/>
        <v>0</v>
      </c>
    </row>
    <row r="162" hidden="1" outlineLevel="1">
      <c r="A162" s="47"/>
      <c r="B162" s="39"/>
      <c r="C162" s="47"/>
      <c r="D162" s="47"/>
      <c r="E162" s="47"/>
      <c r="F162" s="47"/>
      <c r="G162" s="47"/>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3"/>
      <c r="BK162" s="93"/>
      <c r="BL162" s="93"/>
      <c r="BM162" s="93"/>
      <c r="BN162" s="93"/>
      <c r="BO162" s="93"/>
      <c r="BP162" s="93"/>
      <c r="BQ162" s="93"/>
      <c r="BR162" s="93"/>
      <c r="BS162" s="93"/>
      <c r="BT162" s="93"/>
      <c r="BU162" s="93"/>
      <c r="BV162" s="93"/>
      <c r="BW162" s="93"/>
      <c r="BX162" s="93"/>
      <c r="BY162" s="93"/>
      <c r="BZ162" s="93"/>
      <c r="CA162" s="93"/>
    </row>
    <row r="163" hidden="1" outlineLevel="1">
      <c r="A163" s="47"/>
      <c r="B163" s="39"/>
      <c r="C163" s="47"/>
      <c r="D163" s="47"/>
      <c r="E163" s="47"/>
      <c r="F163" s="47"/>
      <c r="G163" s="47"/>
      <c r="H163" s="47"/>
      <c r="I163" s="47"/>
      <c r="J163" s="93"/>
      <c r="K163" s="93"/>
      <c r="L163" s="93"/>
      <c r="M163" s="93"/>
      <c r="N163" s="93"/>
      <c r="O163" s="93"/>
      <c r="P163" s="93"/>
      <c r="Q163" s="93"/>
      <c r="R163" s="93"/>
      <c r="S163" s="93"/>
      <c r="T163" s="93" t="s">
        <v>123</v>
      </c>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93"/>
      <c r="AY163" s="93"/>
      <c r="AZ163" s="93"/>
      <c r="BA163" s="93"/>
      <c r="BB163" s="93"/>
      <c r="BC163" s="93"/>
      <c r="BD163" s="93"/>
      <c r="BE163" s="93"/>
      <c r="BF163" s="93"/>
      <c r="BG163" s="93"/>
      <c r="BH163" s="93"/>
      <c r="BI163" s="93"/>
      <c r="BJ163" s="93"/>
      <c r="BK163" s="93"/>
      <c r="BL163" s="93"/>
      <c r="BM163" s="93"/>
      <c r="BN163" s="93"/>
      <c r="BO163" s="93"/>
      <c r="BP163" s="93"/>
      <c r="BQ163" s="93"/>
      <c r="BR163" s="93"/>
      <c r="BS163" s="93"/>
      <c r="BT163" s="93"/>
      <c r="BU163" s="93"/>
      <c r="BV163" s="93"/>
      <c r="BW163" s="93"/>
      <c r="BX163" s="93"/>
      <c r="BY163" s="93"/>
      <c r="BZ163" s="93"/>
      <c r="CA163" s="93"/>
    </row>
    <row r="164" hidden="1" outlineLevel="1">
      <c r="A164" s="108"/>
      <c r="B164" s="135" t="str">
        <f t="shared" ref="B164:B167" si="107">B158</f>
        <v>Asset 1</v>
      </c>
      <c r="C164" s="108"/>
      <c r="D164" s="108"/>
      <c r="E164" s="108"/>
      <c r="F164" s="108"/>
      <c r="G164" s="108"/>
      <c r="H164" s="93"/>
      <c r="I164" s="93"/>
      <c r="J164" s="93"/>
      <c r="K164" s="93"/>
      <c r="L164" s="93"/>
      <c r="M164" s="93"/>
      <c r="N164" s="93"/>
      <c r="O164" s="93"/>
      <c r="P164" s="93"/>
      <c r="Q164" s="93"/>
      <c r="R164" s="93"/>
      <c r="S164" s="93"/>
      <c r="T164" s="93">
        <f t="shared" ref="T164:T167" si="108">MIN(G164+ IF(T$4&gt;=$D158,$C158/($G158*12),0),$C158)</f>
        <v>0</v>
      </c>
      <c r="U164" s="93">
        <f t="shared" ref="U164:CA164" si="106">MIN(T164+ IF(U$4&gt;=$D158,$C158/($G158*12),0),$C158)</f>
        <v>0</v>
      </c>
      <c r="V164" s="93">
        <f t="shared" si="106"/>
        <v>0</v>
      </c>
      <c r="W164" s="93">
        <f t="shared" si="106"/>
        <v>0</v>
      </c>
      <c r="X164" s="93">
        <f t="shared" si="106"/>
        <v>0</v>
      </c>
      <c r="Y164" s="93">
        <f t="shared" si="106"/>
        <v>0</v>
      </c>
      <c r="Z164" s="93">
        <f t="shared" si="106"/>
        <v>0</v>
      </c>
      <c r="AA164" s="93">
        <f t="shared" si="106"/>
        <v>0</v>
      </c>
      <c r="AB164" s="93">
        <f t="shared" si="106"/>
        <v>0</v>
      </c>
      <c r="AC164" s="93">
        <f t="shared" si="106"/>
        <v>0</v>
      </c>
      <c r="AD164" s="93">
        <f t="shared" si="106"/>
        <v>0</v>
      </c>
      <c r="AE164" s="93">
        <f t="shared" si="106"/>
        <v>0</v>
      </c>
      <c r="AF164" s="93">
        <f t="shared" si="106"/>
        <v>0</v>
      </c>
      <c r="AG164" s="93">
        <f t="shared" si="106"/>
        <v>0</v>
      </c>
      <c r="AH164" s="93">
        <f t="shared" si="106"/>
        <v>0</v>
      </c>
      <c r="AI164" s="93">
        <f t="shared" si="106"/>
        <v>0</v>
      </c>
      <c r="AJ164" s="93">
        <f t="shared" si="106"/>
        <v>0</v>
      </c>
      <c r="AK164" s="93">
        <f t="shared" si="106"/>
        <v>0</v>
      </c>
      <c r="AL164" s="93">
        <f t="shared" si="106"/>
        <v>0</v>
      </c>
      <c r="AM164" s="93">
        <f t="shared" si="106"/>
        <v>0</v>
      </c>
      <c r="AN164" s="93">
        <f t="shared" si="106"/>
        <v>0</v>
      </c>
      <c r="AO164" s="93">
        <f t="shared" si="106"/>
        <v>0</v>
      </c>
      <c r="AP164" s="93">
        <f t="shared" si="106"/>
        <v>0</v>
      </c>
      <c r="AQ164" s="93">
        <f t="shared" si="106"/>
        <v>0</v>
      </c>
      <c r="AR164" s="93">
        <f t="shared" si="106"/>
        <v>0</v>
      </c>
      <c r="AS164" s="93">
        <f t="shared" si="106"/>
        <v>0</v>
      </c>
      <c r="AT164" s="93">
        <f t="shared" si="106"/>
        <v>0</v>
      </c>
      <c r="AU164" s="93">
        <f t="shared" si="106"/>
        <v>0</v>
      </c>
      <c r="AV164" s="93">
        <f t="shared" si="106"/>
        <v>0</v>
      </c>
      <c r="AW164" s="93">
        <f t="shared" si="106"/>
        <v>0</v>
      </c>
      <c r="AX164" s="93">
        <f t="shared" si="106"/>
        <v>0</v>
      </c>
      <c r="AY164" s="93">
        <f t="shared" si="106"/>
        <v>0</v>
      </c>
      <c r="AZ164" s="93">
        <f t="shared" si="106"/>
        <v>0</v>
      </c>
      <c r="BA164" s="93">
        <f t="shared" si="106"/>
        <v>0</v>
      </c>
      <c r="BB164" s="93">
        <f t="shared" si="106"/>
        <v>0</v>
      </c>
      <c r="BC164" s="93">
        <f t="shared" si="106"/>
        <v>0</v>
      </c>
      <c r="BD164" s="93">
        <f t="shared" si="106"/>
        <v>0</v>
      </c>
      <c r="BE164" s="93">
        <f t="shared" si="106"/>
        <v>0</v>
      </c>
      <c r="BF164" s="93">
        <f t="shared" si="106"/>
        <v>0</v>
      </c>
      <c r="BG164" s="93">
        <f t="shared" si="106"/>
        <v>0</v>
      </c>
      <c r="BH164" s="93">
        <f t="shared" si="106"/>
        <v>0</v>
      </c>
      <c r="BI164" s="93">
        <f t="shared" si="106"/>
        <v>0</v>
      </c>
      <c r="BJ164" s="93">
        <f t="shared" si="106"/>
        <v>0</v>
      </c>
      <c r="BK164" s="93">
        <f t="shared" si="106"/>
        <v>0</v>
      </c>
      <c r="BL164" s="93">
        <f t="shared" si="106"/>
        <v>0</v>
      </c>
      <c r="BM164" s="93">
        <f t="shared" si="106"/>
        <v>0</v>
      </c>
      <c r="BN164" s="93">
        <f t="shared" si="106"/>
        <v>0</v>
      </c>
      <c r="BO164" s="93">
        <f t="shared" si="106"/>
        <v>0</v>
      </c>
      <c r="BP164" s="93">
        <f t="shared" si="106"/>
        <v>0</v>
      </c>
      <c r="BQ164" s="93">
        <f t="shared" si="106"/>
        <v>0</v>
      </c>
      <c r="BR164" s="93">
        <f t="shared" si="106"/>
        <v>0</v>
      </c>
      <c r="BS164" s="93">
        <f t="shared" si="106"/>
        <v>0</v>
      </c>
      <c r="BT164" s="93">
        <f t="shared" si="106"/>
        <v>0</v>
      </c>
      <c r="BU164" s="93">
        <f t="shared" si="106"/>
        <v>0</v>
      </c>
      <c r="BV164" s="93">
        <f t="shared" si="106"/>
        <v>0</v>
      </c>
      <c r="BW164" s="93">
        <f t="shared" si="106"/>
        <v>0</v>
      </c>
      <c r="BX164" s="93">
        <f t="shared" si="106"/>
        <v>0</v>
      </c>
      <c r="BY164" s="93">
        <f t="shared" si="106"/>
        <v>0</v>
      </c>
      <c r="BZ164" s="93">
        <f t="shared" si="106"/>
        <v>0</v>
      </c>
      <c r="CA164" s="93">
        <f t="shared" si="106"/>
        <v>0</v>
      </c>
    </row>
    <row r="165" hidden="1" outlineLevel="1">
      <c r="A165" s="108"/>
      <c r="B165" s="135" t="str">
        <f t="shared" si="107"/>
        <v>Asset 2</v>
      </c>
      <c r="C165" s="108"/>
      <c r="D165" s="108"/>
      <c r="E165" s="108"/>
      <c r="F165" s="108"/>
      <c r="G165" s="108"/>
      <c r="H165" s="93"/>
      <c r="I165" s="93"/>
      <c r="J165" s="93"/>
      <c r="K165" s="93"/>
      <c r="L165" s="93"/>
      <c r="M165" s="93"/>
      <c r="N165" s="93"/>
      <c r="O165" s="93"/>
      <c r="P165" s="93"/>
      <c r="Q165" s="93"/>
      <c r="R165" s="93"/>
      <c r="S165" s="93"/>
      <c r="T165" s="93">
        <f t="shared" si="108"/>
        <v>0</v>
      </c>
      <c r="U165" s="93">
        <f t="shared" ref="U165:CA165" si="109">MIN(T165+ IF(U$4&gt;=$D159,$C159/($G159*12),0),$C159)</f>
        <v>0</v>
      </c>
      <c r="V165" s="93">
        <f t="shared" si="109"/>
        <v>0</v>
      </c>
      <c r="W165" s="93">
        <f t="shared" si="109"/>
        <v>0</v>
      </c>
      <c r="X165" s="93">
        <f t="shared" si="109"/>
        <v>0</v>
      </c>
      <c r="Y165" s="93">
        <f t="shared" si="109"/>
        <v>0</v>
      </c>
      <c r="Z165" s="93">
        <f t="shared" si="109"/>
        <v>0</v>
      </c>
      <c r="AA165" s="93">
        <f t="shared" si="109"/>
        <v>0</v>
      </c>
      <c r="AB165" s="93">
        <f t="shared" si="109"/>
        <v>0</v>
      </c>
      <c r="AC165" s="93">
        <f t="shared" si="109"/>
        <v>0</v>
      </c>
      <c r="AD165" s="93">
        <f t="shared" si="109"/>
        <v>0</v>
      </c>
      <c r="AE165" s="93">
        <f t="shared" si="109"/>
        <v>0</v>
      </c>
      <c r="AF165" s="93">
        <f t="shared" si="109"/>
        <v>0</v>
      </c>
      <c r="AG165" s="93">
        <f t="shared" si="109"/>
        <v>0</v>
      </c>
      <c r="AH165" s="93">
        <f t="shared" si="109"/>
        <v>0</v>
      </c>
      <c r="AI165" s="93">
        <f t="shared" si="109"/>
        <v>0</v>
      </c>
      <c r="AJ165" s="93">
        <f t="shared" si="109"/>
        <v>0</v>
      </c>
      <c r="AK165" s="93">
        <f t="shared" si="109"/>
        <v>0</v>
      </c>
      <c r="AL165" s="93">
        <f t="shared" si="109"/>
        <v>0</v>
      </c>
      <c r="AM165" s="93">
        <f t="shared" si="109"/>
        <v>0</v>
      </c>
      <c r="AN165" s="93">
        <f t="shared" si="109"/>
        <v>0</v>
      </c>
      <c r="AO165" s="93">
        <f t="shared" si="109"/>
        <v>0</v>
      </c>
      <c r="AP165" s="93">
        <f t="shared" si="109"/>
        <v>0</v>
      </c>
      <c r="AQ165" s="93">
        <f t="shared" si="109"/>
        <v>0</v>
      </c>
      <c r="AR165" s="93">
        <f t="shared" si="109"/>
        <v>0</v>
      </c>
      <c r="AS165" s="93">
        <f t="shared" si="109"/>
        <v>0</v>
      </c>
      <c r="AT165" s="93">
        <f t="shared" si="109"/>
        <v>0</v>
      </c>
      <c r="AU165" s="93">
        <f t="shared" si="109"/>
        <v>0</v>
      </c>
      <c r="AV165" s="93">
        <f t="shared" si="109"/>
        <v>0</v>
      </c>
      <c r="AW165" s="93">
        <f t="shared" si="109"/>
        <v>0</v>
      </c>
      <c r="AX165" s="93">
        <f t="shared" si="109"/>
        <v>0</v>
      </c>
      <c r="AY165" s="93">
        <f t="shared" si="109"/>
        <v>0</v>
      </c>
      <c r="AZ165" s="93">
        <f t="shared" si="109"/>
        <v>0</v>
      </c>
      <c r="BA165" s="93">
        <f t="shared" si="109"/>
        <v>0</v>
      </c>
      <c r="BB165" s="93">
        <f t="shared" si="109"/>
        <v>0</v>
      </c>
      <c r="BC165" s="93">
        <f t="shared" si="109"/>
        <v>0</v>
      </c>
      <c r="BD165" s="93">
        <f t="shared" si="109"/>
        <v>0</v>
      </c>
      <c r="BE165" s="93">
        <f t="shared" si="109"/>
        <v>0</v>
      </c>
      <c r="BF165" s="93">
        <f t="shared" si="109"/>
        <v>0</v>
      </c>
      <c r="BG165" s="93">
        <f t="shared" si="109"/>
        <v>0</v>
      </c>
      <c r="BH165" s="93">
        <f t="shared" si="109"/>
        <v>0</v>
      </c>
      <c r="BI165" s="93">
        <f t="shared" si="109"/>
        <v>0</v>
      </c>
      <c r="BJ165" s="93">
        <f t="shared" si="109"/>
        <v>0</v>
      </c>
      <c r="BK165" s="93">
        <f t="shared" si="109"/>
        <v>0</v>
      </c>
      <c r="BL165" s="93">
        <f t="shared" si="109"/>
        <v>0</v>
      </c>
      <c r="BM165" s="93">
        <f t="shared" si="109"/>
        <v>0</v>
      </c>
      <c r="BN165" s="93">
        <f t="shared" si="109"/>
        <v>0</v>
      </c>
      <c r="BO165" s="93">
        <f t="shared" si="109"/>
        <v>0</v>
      </c>
      <c r="BP165" s="93">
        <f t="shared" si="109"/>
        <v>0</v>
      </c>
      <c r="BQ165" s="93">
        <f t="shared" si="109"/>
        <v>0</v>
      </c>
      <c r="BR165" s="93">
        <f t="shared" si="109"/>
        <v>0</v>
      </c>
      <c r="BS165" s="93">
        <f t="shared" si="109"/>
        <v>0</v>
      </c>
      <c r="BT165" s="93">
        <f t="shared" si="109"/>
        <v>0</v>
      </c>
      <c r="BU165" s="93">
        <f t="shared" si="109"/>
        <v>0</v>
      </c>
      <c r="BV165" s="93">
        <f t="shared" si="109"/>
        <v>0</v>
      </c>
      <c r="BW165" s="93">
        <f t="shared" si="109"/>
        <v>0</v>
      </c>
      <c r="BX165" s="93">
        <f t="shared" si="109"/>
        <v>0</v>
      </c>
      <c r="BY165" s="93">
        <f t="shared" si="109"/>
        <v>0</v>
      </c>
      <c r="BZ165" s="93">
        <f t="shared" si="109"/>
        <v>0</v>
      </c>
      <c r="CA165" s="93">
        <f t="shared" si="109"/>
        <v>0</v>
      </c>
    </row>
    <row r="166" hidden="1" outlineLevel="1">
      <c r="A166" s="108"/>
      <c r="B166" s="135" t="str">
        <f t="shared" si="107"/>
        <v>Asset 3</v>
      </c>
      <c r="C166" s="108"/>
      <c r="D166" s="108"/>
      <c r="E166" s="108"/>
      <c r="F166" s="108"/>
      <c r="G166" s="108"/>
      <c r="H166" s="93"/>
      <c r="I166" s="93"/>
      <c r="J166" s="93"/>
      <c r="K166" s="93"/>
      <c r="L166" s="93"/>
      <c r="M166" s="93"/>
      <c r="N166" s="93"/>
      <c r="O166" s="93"/>
      <c r="P166" s="93"/>
      <c r="Q166" s="93"/>
      <c r="R166" s="93"/>
      <c r="S166" s="93"/>
      <c r="T166" s="93">
        <f t="shared" si="108"/>
        <v>0</v>
      </c>
      <c r="U166" s="93">
        <f t="shared" ref="U166:CA166" si="110">MIN(T166+ IF(U$4&gt;=$D160,$C160/($G160*12),0),$C160)</f>
        <v>0</v>
      </c>
      <c r="V166" s="93">
        <f t="shared" si="110"/>
        <v>0</v>
      </c>
      <c r="W166" s="93">
        <f t="shared" si="110"/>
        <v>0</v>
      </c>
      <c r="X166" s="93">
        <f t="shared" si="110"/>
        <v>0</v>
      </c>
      <c r="Y166" s="93">
        <f t="shared" si="110"/>
        <v>0</v>
      </c>
      <c r="Z166" s="93">
        <f t="shared" si="110"/>
        <v>0</v>
      </c>
      <c r="AA166" s="93">
        <f t="shared" si="110"/>
        <v>0</v>
      </c>
      <c r="AB166" s="93">
        <f t="shared" si="110"/>
        <v>0</v>
      </c>
      <c r="AC166" s="93">
        <f t="shared" si="110"/>
        <v>0</v>
      </c>
      <c r="AD166" s="93">
        <f t="shared" si="110"/>
        <v>0</v>
      </c>
      <c r="AE166" s="93">
        <f t="shared" si="110"/>
        <v>0</v>
      </c>
      <c r="AF166" s="93">
        <f t="shared" si="110"/>
        <v>0</v>
      </c>
      <c r="AG166" s="93">
        <f t="shared" si="110"/>
        <v>0</v>
      </c>
      <c r="AH166" s="93">
        <f t="shared" si="110"/>
        <v>0</v>
      </c>
      <c r="AI166" s="93">
        <f t="shared" si="110"/>
        <v>0</v>
      </c>
      <c r="AJ166" s="93">
        <f t="shared" si="110"/>
        <v>0</v>
      </c>
      <c r="AK166" s="93">
        <f t="shared" si="110"/>
        <v>0</v>
      </c>
      <c r="AL166" s="93">
        <f t="shared" si="110"/>
        <v>0</v>
      </c>
      <c r="AM166" s="93">
        <f t="shared" si="110"/>
        <v>0</v>
      </c>
      <c r="AN166" s="93">
        <f t="shared" si="110"/>
        <v>0</v>
      </c>
      <c r="AO166" s="93">
        <f t="shared" si="110"/>
        <v>0</v>
      </c>
      <c r="AP166" s="93">
        <f t="shared" si="110"/>
        <v>0</v>
      </c>
      <c r="AQ166" s="93">
        <f t="shared" si="110"/>
        <v>0</v>
      </c>
      <c r="AR166" s="93">
        <f t="shared" si="110"/>
        <v>0</v>
      </c>
      <c r="AS166" s="93">
        <f t="shared" si="110"/>
        <v>0</v>
      </c>
      <c r="AT166" s="93">
        <f t="shared" si="110"/>
        <v>0</v>
      </c>
      <c r="AU166" s="93">
        <f t="shared" si="110"/>
        <v>0</v>
      </c>
      <c r="AV166" s="93">
        <f t="shared" si="110"/>
        <v>0</v>
      </c>
      <c r="AW166" s="93">
        <f t="shared" si="110"/>
        <v>0</v>
      </c>
      <c r="AX166" s="93">
        <f t="shared" si="110"/>
        <v>0</v>
      </c>
      <c r="AY166" s="93">
        <f t="shared" si="110"/>
        <v>0</v>
      </c>
      <c r="AZ166" s="93">
        <f t="shared" si="110"/>
        <v>0</v>
      </c>
      <c r="BA166" s="93">
        <f t="shared" si="110"/>
        <v>0</v>
      </c>
      <c r="BB166" s="93">
        <f t="shared" si="110"/>
        <v>0</v>
      </c>
      <c r="BC166" s="93">
        <f t="shared" si="110"/>
        <v>0</v>
      </c>
      <c r="BD166" s="93">
        <f t="shared" si="110"/>
        <v>0</v>
      </c>
      <c r="BE166" s="93">
        <f t="shared" si="110"/>
        <v>0</v>
      </c>
      <c r="BF166" s="93">
        <f t="shared" si="110"/>
        <v>0</v>
      </c>
      <c r="BG166" s="93">
        <f t="shared" si="110"/>
        <v>0</v>
      </c>
      <c r="BH166" s="93">
        <f t="shared" si="110"/>
        <v>0</v>
      </c>
      <c r="BI166" s="93">
        <f t="shared" si="110"/>
        <v>0</v>
      </c>
      <c r="BJ166" s="93">
        <f t="shared" si="110"/>
        <v>0</v>
      </c>
      <c r="BK166" s="93">
        <f t="shared" si="110"/>
        <v>0</v>
      </c>
      <c r="BL166" s="93">
        <f t="shared" si="110"/>
        <v>0</v>
      </c>
      <c r="BM166" s="93">
        <f t="shared" si="110"/>
        <v>0</v>
      </c>
      <c r="BN166" s="93">
        <f t="shared" si="110"/>
        <v>0</v>
      </c>
      <c r="BO166" s="93">
        <f t="shared" si="110"/>
        <v>0</v>
      </c>
      <c r="BP166" s="93">
        <f t="shared" si="110"/>
        <v>0</v>
      </c>
      <c r="BQ166" s="93">
        <f t="shared" si="110"/>
        <v>0</v>
      </c>
      <c r="BR166" s="93">
        <f t="shared" si="110"/>
        <v>0</v>
      </c>
      <c r="BS166" s="93">
        <f t="shared" si="110"/>
        <v>0</v>
      </c>
      <c r="BT166" s="93">
        <f t="shared" si="110"/>
        <v>0</v>
      </c>
      <c r="BU166" s="93">
        <f t="shared" si="110"/>
        <v>0</v>
      </c>
      <c r="BV166" s="93">
        <f t="shared" si="110"/>
        <v>0</v>
      </c>
      <c r="BW166" s="93">
        <f t="shared" si="110"/>
        <v>0</v>
      </c>
      <c r="BX166" s="93">
        <f t="shared" si="110"/>
        <v>0</v>
      </c>
      <c r="BY166" s="93">
        <f t="shared" si="110"/>
        <v>0</v>
      </c>
      <c r="BZ166" s="93">
        <f t="shared" si="110"/>
        <v>0</v>
      </c>
      <c r="CA166" s="93">
        <f t="shared" si="110"/>
        <v>0</v>
      </c>
    </row>
    <row r="167" hidden="1" outlineLevel="1">
      <c r="A167" s="108"/>
      <c r="B167" s="135" t="str">
        <f t="shared" si="107"/>
        <v>Asset 4</v>
      </c>
      <c r="C167" s="108"/>
      <c r="D167" s="108"/>
      <c r="E167" s="108"/>
      <c r="F167" s="108"/>
      <c r="G167" s="108"/>
      <c r="H167" s="93"/>
      <c r="I167" s="93"/>
      <c r="J167" s="93"/>
      <c r="K167" s="93"/>
      <c r="L167" s="93"/>
      <c r="M167" s="93"/>
      <c r="N167" s="93"/>
      <c r="O167" s="93"/>
      <c r="P167" s="93"/>
      <c r="Q167" s="93"/>
      <c r="R167" s="93"/>
      <c r="S167" s="93"/>
      <c r="T167" s="93">
        <f t="shared" si="108"/>
        <v>0</v>
      </c>
      <c r="U167" s="93">
        <f t="shared" ref="U167:CA167" si="111">MIN(T167+ IF(U$4&gt;=$D161,$C161/($G161*12),0),$C161)</f>
        <v>0</v>
      </c>
      <c r="V167" s="93">
        <f t="shared" si="111"/>
        <v>0</v>
      </c>
      <c r="W167" s="93">
        <f t="shared" si="111"/>
        <v>0</v>
      </c>
      <c r="X167" s="93">
        <f t="shared" si="111"/>
        <v>0</v>
      </c>
      <c r="Y167" s="93">
        <f t="shared" si="111"/>
        <v>0</v>
      </c>
      <c r="Z167" s="93">
        <f t="shared" si="111"/>
        <v>0</v>
      </c>
      <c r="AA167" s="93">
        <f t="shared" si="111"/>
        <v>0</v>
      </c>
      <c r="AB167" s="93">
        <f t="shared" si="111"/>
        <v>0</v>
      </c>
      <c r="AC167" s="93">
        <f t="shared" si="111"/>
        <v>0</v>
      </c>
      <c r="AD167" s="93">
        <f t="shared" si="111"/>
        <v>0</v>
      </c>
      <c r="AE167" s="93">
        <f t="shared" si="111"/>
        <v>0</v>
      </c>
      <c r="AF167" s="93">
        <f t="shared" si="111"/>
        <v>0</v>
      </c>
      <c r="AG167" s="93">
        <f t="shared" si="111"/>
        <v>0</v>
      </c>
      <c r="AH167" s="93">
        <f t="shared" si="111"/>
        <v>0</v>
      </c>
      <c r="AI167" s="93">
        <f t="shared" si="111"/>
        <v>0</v>
      </c>
      <c r="AJ167" s="93">
        <f t="shared" si="111"/>
        <v>0</v>
      </c>
      <c r="AK167" s="93">
        <f t="shared" si="111"/>
        <v>0</v>
      </c>
      <c r="AL167" s="93">
        <f t="shared" si="111"/>
        <v>0</v>
      </c>
      <c r="AM167" s="93">
        <f t="shared" si="111"/>
        <v>0</v>
      </c>
      <c r="AN167" s="93">
        <f t="shared" si="111"/>
        <v>0</v>
      </c>
      <c r="AO167" s="93">
        <f t="shared" si="111"/>
        <v>0</v>
      </c>
      <c r="AP167" s="93">
        <f t="shared" si="111"/>
        <v>0</v>
      </c>
      <c r="AQ167" s="93">
        <f t="shared" si="111"/>
        <v>0</v>
      </c>
      <c r="AR167" s="93">
        <f t="shared" si="111"/>
        <v>0</v>
      </c>
      <c r="AS167" s="93">
        <f t="shared" si="111"/>
        <v>0</v>
      </c>
      <c r="AT167" s="93">
        <f t="shared" si="111"/>
        <v>0</v>
      </c>
      <c r="AU167" s="93">
        <f t="shared" si="111"/>
        <v>0</v>
      </c>
      <c r="AV167" s="93">
        <f t="shared" si="111"/>
        <v>0</v>
      </c>
      <c r="AW167" s="93">
        <f t="shared" si="111"/>
        <v>0</v>
      </c>
      <c r="AX167" s="93">
        <f t="shared" si="111"/>
        <v>0</v>
      </c>
      <c r="AY167" s="93">
        <f t="shared" si="111"/>
        <v>0</v>
      </c>
      <c r="AZ167" s="93">
        <f t="shared" si="111"/>
        <v>0</v>
      </c>
      <c r="BA167" s="93">
        <f t="shared" si="111"/>
        <v>0</v>
      </c>
      <c r="BB167" s="93">
        <f t="shared" si="111"/>
        <v>0</v>
      </c>
      <c r="BC167" s="93">
        <f t="shared" si="111"/>
        <v>0</v>
      </c>
      <c r="BD167" s="93">
        <f t="shared" si="111"/>
        <v>0</v>
      </c>
      <c r="BE167" s="93">
        <f t="shared" si="111"/>
        <v>0</v>
      </c>
      <c r="BF167" s="93">
        <f t="shared" si="111"/>
        <v>0</v>
      </c>
      <c r="BG167" s="93">
        <f t="shared" si="111"/>
        <v>0</v>
      </c>
      <c r="BH167" s="93">
        <f t="shared" si="111"/>
        <v>0</v>
      </c>
      <c r="BI167" s="93">
        <f t="shared" si="111"/>
        <v>0</v>
      </c>
      <c r="BJ167" s="93">
        <f t="shared" si="111"/>
        <v>0</v>
      </c>
      <c r="BK167" s="93">
        <f t="shared" si="111"/>
        <v>0</v>
      </c>
      <c r="BL167" s="93">
        <f t="shared" si="111"/>
        <v>0</v>
      </c>
      <c r="BM167" s="93">
        <f t="shared" si="111"/>
        <v>0</v>
      </c>
      <c r="BN167" s="93">
        <f t="shared" si="111"/>
        <v>0</v>
      </c>
      <c r="BO167" s="93">
        <f t="shared" si="111"/>
        <v>0</v>
      </c>
      <c r="BP167" s="93">
        <f t="shared" si="111"/>
        <v>0</v>
      </c>
      <c r="BQ167" s="93">
        <f t="shared" si="111"/>
        <v>0</v>
      </c>
      <c r="BR167" s="93">
        <f t="shared" si="111"/>
        <v>0</v>
      </c>
      <c r="BS167" s="93">
        <f t="shared" si="111"/>
        <v>0</v>
      </c>
      <c r="BT167" s="93">
        <f t="shared" si="111"/>
        <v>0</v>
      </c>
      <c r="BU167" s="93">
        <f t="shared" si="111"/>
        <v>0</v>
      </c>
      <c r="BV167" s="93">
        <f t="shared" si="111"/>
        <v>0</v>
      </c>
      <c r="BW167" s="93">
        <f t="shared" si="111"/>
        <v>0</v>
      </c>
      <c r="BX167" s="93">
        <f t="shared" si="111"/>
        <v>0</v>
      </c>
      <c r="BY167" s="93">
        <f t="shared" si="111"/>
        <v>0</v>
      </c>
      <c r="BZ167" s="93">
        <f t="shared" si="111"/>
        <v>0</v>
      </c>
      <c r="CA167" s="93">
        <f t="shared" si="111"/>
        <v>0</v>
      </c>
    </row>
    <row r="168" hidden="1" outlineLevel="1">
      <c r="A168" s="47"/>
      <c r="B168" s="39"/>
      <c r="C168" s="47"/>
      <c r="D168" s="47"/>
      <c r="E168" s="47"/>
      <c r="F168" s="47"/>
      <c r="G168" s="47"/>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c r="BE168" s="93"/>
      <c r="BF168" s="93"/>
      <c r="BG168" s="93"/>
      <c r="BH168" s="93"/>
      <c r="BI168" s="93"/>
      <c r="BJ168" s="93"/>
      <c r="BK168" s="93"/>
      <c r="BL168" s="93"/>
      <c r="BM168" s="93"/>
      <c r="BN168" s="93"/>
      <c r="BO168" s="93"/>
      <c r="BP168" s="93"/>
      <c r="BQ168" s="93"/>
      <c r="BR168" s="93"/>
      <c r="BS168" s="93"/>
      <c r="BT168" s="93"/>
      <c r="BU168" s="93"/>
      <c r="BV168" s="93"/>
      <c r="BW168" s="93"/>
      <c r="BX168" s="93"/>
      <c r="BY168" s="93"/>
      <c r="BZ168" s="93"/>
      <c r="CA168" s="93"/>
    </row>
    <row r="169" hidden="1" outlineLevel="1">
      <c r="A169" s="47"/>
      <c r="B169" s="124" t="s">
        <v>124</v>
      </c>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c r="AE169" s="125"/>
      <c r="AF169" s="125"/>
      <c r="AG169" s="125"/>
      <c r="AH169" s="125"/>
      <c r="AI169" s="125"/>
      <c r="AJ169" s="125"/>
      <c r="AK169" s="125"/>
      <c r="AL169" s="125"/>
      <c r="AM169" s="125"/>
      <c r="AN169" s="125"/>
      <c r="AO169" s="125"/>
      <c r="AP169" s="125"/>
      <c r="AQ169" s="125"/>
      <c r="AR169" s="125"/>
      <c r="AS169" s="125"/>
      <c r="AT169" s="125"/>
      <c r="AU169" s="125"/>
      <c r="AV169" s="125"/>
      <c r="AW169" s="125"/>
      <c r="AX169" s="125"/>
      <c r="AY169" s="125"/>
      <c r="AZ169" s="125"/>
      <c r="BA169" s="125"/>
      <c r="BB169" s="125"/>
      <c r="BC169" s="125"/>
      <c r="BD169" s="125"/>
      <c r="BE169" s="125"/>
      <c r="BF169" s="125"/>
      <c r="BG169" s="125"/>
      <c r="BH169" s="125"/>
      <c r="BI169" s="125"/>
      <c r="BJ169" s="125"/>
      <c r="BK169" s="125"/>
      <c r="BL169" s="125"/>
      <c r="BM169" s="125"/>
      <c r="BN169" s="125"/>
      <c r="BO169" s="125"/>
      <c r="BP169" s="125"/>
      <c r="BQ169" s="125"/>
      <c r="BR169" s="125"/>
      <c r="BS169" s="125"/>
      <c r="BT169" s="125"/>
      <c r="BU169" s="125"/>
      <c r="BV169" s="125"/>
      <c r="BW169" s="125"/>
      <c r="BX169" s="125"/>
      <c r="BY169" s="125"/>
      <c r="BZ169" s="125"/>
      <c r="CA169" s="125"/>
    </row>
    <row r="170" hidden="1" outlineLevel="1">
      <c r="A170" s="47"/>
      <c r="B170" s="39"/>
      <c r="C170" s="47"/>
      <c r="D170" s="47"/>
      <c r="E170" s="47"/>
      <c r="F170" s="47"/>
      <c r="G170" s="47"/>
      <c r="H170" s="93"/>
      <c r="I170" s="93"/>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3"/>
      <c r="BG170" s="93"/>
      <c r="BH170" s="93"/>
      <c r="BI170" s="93"/>
      <c r="BJ170" s="93"/>
      <c r="BK170" s="93"/>
      <c r="BL170" s="93"/>
      <c r="BM170" s="93"/>
      <c r="BN170" s="93"/>
      <c r="BO170" s="93"/>
      <c r="BP170" s="93"/>
      <c r="BQ170" s="93"/>
      <c r="BR170" s="93"/>
      <c r="BS170" s="93"/>
      <c r="BT170" s="93"/>
      <c r="BU170" s="93"/>
      <c r="BV170" s="93"/>
      <c r="BW170" s="93"/>
      <c r="BX170" s="93"/>
      <c r="BY170" s="93"/>
      <c r="BZ170" s="93"/>
      <c r="CA170" s="93"/>
    </row>
    <row r="171" hidden="1" outlineLevel="1">
      <c r="A171" s="47"/>
      <c r="B171" s="119" t="s">
        <v>125</v>
      </c>
      <c r="C171" s="136">
        <v>15.0</v>
      </c>
      <c r="D171" s="39" t="s">
        <v>126</v>
      </c>
      <c r="E171" s="47"/>
      <c r="F171" s="47"/>
      <c r="G171" s="47"/>
      <c r="H171" s="130"/>
      <c r="I171" s="130"/>
      <c r="J171" s="130"/>
      <c r="K171" s="130"/>
      <c r="L171" s="130"/>
      <c r="M171" s="130"/>
      <c r="N171" s="130"/>
      <c r="O171" s="130"/>
      <c r="P171" s="130"/>
      <c r="Q171" s="130"/>
      <c r="R171" s="130"/>
      <c r="S171" s="130"/>
      <c r="T171" s="130">
        <f t="shared" ref="T171:CA171" si="112">SUM(T118,T129,T140,T143)*$C171/30</f>
        <v>12750</v>
      </c>
      <c r="U171" s="130">
        <f t="shared" si="112"/>
        <v>12856.875</v>
      </c>
      <c r="V171" s="130">
        <f t="shared" si="112"/>
        <v>12965.8875</v>
      </c>
      <c r="W171" s="130">
        <f t="shared" si="112"/>
        <v>13077.08025</v>
      </c>
      <c r="X171" s="130">
        <f t="shared" si="112"/>
        <v>13190.49686</v>
      </c>
      <c r="Y171" s="130">
        <f t="shared" si="112"/>
        <v>13389.43179</v>
      </c>
      <c r="Z171" s="130">
        <f t="shared" si="112"/>
        <v>13592.34543</v>
      </c>
      <c r="AA171" s="130">
        <f t="shared" si="112"/>
        <v>13799.31734</v>
      </c>
      <c r="AB171" s="130">
        <f t="shared" si="112"/>
        <v>14010.42868</v>
      </c>
      <c r="AC171" s="130">
        <f t="shared" si="112"/>
        <v>14225.76226</v>
      </c>
      <c r="AD171" s="130">
        <f t="shared" si="112"/>
        <v>14445.4025</v>
      </c>
      <c r="AE171" s="130">
        <f t="shared" si="112"/>
        <v>14669.43555</v>
      </c>
      <c r="AF171" s="130">
        <f t="shared" si="112"/>
        <v>14897.94926</v>
      </c>
      <c r="AG171" s="130">
        <f t="shared" si="112"/>
        <v>15109.65825</v>
      </c>
      <c r="AH171" s="130">
        <f t="shared" si="112"/>
        <v>15325.60141</v>
      </c>
      <c r="AI171" s="130">
        <f t="shared" si="112"/>
        <v>15545.86344</v>
      </c>
      <c r="AJ171" s="130">
        <f t="shared" si="112"/>
        <v>15770.53071</v>
      </c>
      <c r="AK171" s="130">
        <f t="shared" si="112"/>
        <v>15983.04132</v>
      </c>
      <c r="AL171" s="130">
        <f t="shared" si="112"/>
        <v>16199.80215</v>
      </c>
      <c r="AM171" s="130">
        <f t="shared" si="112"/>
        <v>16420.89819</v>
      </c>
      <c r="AN171" s="130">
        <f t="shared" si="112"/>
        <v>16646.41616</v>
      </c>
      <c r="AO171" s="130">
        <f t="shared" si="112"/>
        <v>16876.44448</v>
      </c>
      <c r="AP171" s="130">
        <f t="shared" si="112"/>
        <v>17111.07337</v>
      </c>
      <c r="AQ171" s="130">
        <f t="shared" si="112"/>
        <v>17350.39484</v>
      </c>
      <c r="AR171" s="130">
        <f t="shared" si="112"/>
        <v>17594.50274</v>
      </c>
      <c r="AS171" s="130">
        <f t="shared" si="112"/>
        <v>17826.39279</v>
      </c>
      <c r="AT171" s="130">
        <f t="shared" si="112"/>
        <v>18062.92065</v>
      </c>
      <c r="AU171" s="130">
        <f t="shared" si="112"/>
        <v>18304.17906</v>
      </c>
      <c r="AV171" s="130">
        <f t="shared" si="112"/>
        <v>18550.26264</v>
      </c>
      <c r="AW171" s="130">
        <f t="shared" si="112"/>
        <v>18787.94789</v>
      </c>
      <c r="AX171" s="130">
        <f t="shared" si="112"/>
        <v>19030.38685</v>
      </c>
      <c r="AY171" s="130">
        <f t="shared" si="112"/>
        <v>19277.67459</v>
      </c>
      <c r="AZ171" s="130">
        <f t="shared" si="112"/>
        <v>19529.90808</v>
      </c>
      <c r="BA171" s="130">
        <f t="shared" si="112"/>
        <v>19787.18624</v>
      </c>
      <c r="BB171" s="130">
        <f t="shared" si="112"/>
        <v>20049.60997</v>
      </c>
      <c r="BC171" s="130">
        <f t="shared" si="112"/>
        <v>20317.28216</v>
      </c>
      <c r="BD171" s="130">
        <f t="shared" si="112"/>
        <v>20590.30781</v>
      </c>
      <c r="BE171" s="130">
        <f t="shared" si="112"/>
        <v>20855.11396</v>
      </c>
      <c r="BF171" s="130">
        <f t="shared" si="112"/>
        <v>21125.21624</v>
      </c>
      <c r="BG171" s="130">
        <f t="shared" si="112"/>
        <v>21400.72057</v>
      </c>
      <c r="BH171" s="130">
        <f t="shared" si="112"/>
        <v>21681.73498</v>
      </c>
      <c r="BI171" s="130">
        <f t="shared" si="112"/>
        <v>21957.71368</v>
      </c>
      <c r="BJ171" s="130">
        <f t="shared" si="112"/>
        <v>22239.21195</v>
      </c>
      <c r="BK171" s="130">
        <f t="shared" si="112"/>
        <v>22526.34019</v>
      </c>
      <c r="BL171" s="130">
        <f t="shared" si="112"/>
        <v>22819.211</v>
      </c>
      <c r="BM171" s="130">
        <f t="shared" si="112"/>
        <v>23117.93922</v>
      </c>
      <c r="BN171" s="130">
        <f t="shared" si="112"/>
        <v>23422.642</v>
      </c>
      <c r="BO171" s="130">
        <f t="shared" si="112"/>
        <v>23733.43884</v>
      </c>
      <c r="BP171" s="130">
        <f t="shared" si="112"/>
        <v>24050.45162</v>
      </c>
      <c r="BQ171" s="130">
        <f t="shared" si="112"/>
        <v>24362.86065</v>
      </c>
      <c r="BR171" s="130">
        <f t="shared" si="112"/>
        <v>24681.51786</v>
      </c>
      <c r="BS171" s="130">
        <f t="shared" si="112"/>
        <v>25006.54822</v>
      </c>
      <c r="BT171" s="130">
        <f t="shared" si="112"/>
        <v>25338.07918</v>
      </c>
      <c r="BU171" s="130">
        <f t="shared" si="112"/>
        <v>25667.71597</v>
      </c>
      <c r="BV171" s="130">
        <f t="shared" si="112"/>
        <v>26003.94549</v>
      </c>
      <c r="BW171" s="130">
        <f t="shared" si="112"/>
        <v>26346.8996</v>
      </c>
      <c r="BX171" s="130">
        <f t="shared" si="112"/>
        <v>26696.71279</v>
      </c>
      <c r="BY171" s="130">
        <f t="shared" si="112"/>
        <v>27053.52224</v>
      </c>
      <c r="BZ171" s="130">
        <f t="shared" si="112"/>
        <v>27417.46789</v>
      </c>
      <c r="CA171" s="130">
        <f t="shared" si="112"/>
        <v>27788.69245</v>
      </c>
    </row>
    <row r="172" hidden="1" outlineLevel="1">
      <c r="A172" s="47"/>
      <c r="B172" s="47"/>
      <c r="C172" s="47"/>
      <c r="D172" s="47"/>
      <c r="E172" s="47"/>
      <c r="F172" s="47"/>
      <c r="G172" s="47"/>
      <c r="H172" s="93"/>
      <c r="I172" s="93"/>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c r="BE172" s="93"/>
      <c r="BF172" s="93"/>
      <c r="BG172" s="93"/>
      <c r="BH172" s="93"/>
      <c r="BI172" s="93"/>
      <c r="BJ172" s="93"/>
      <c r="BK172" s="93"/>
      <c r="BL172" s="93"/>
      <c r="BM172" s="93"/>
      <c r="BN172" s="93"/>
      <c r="BO172" s="93"/>
      <c r="BP172" s="93"/>
      <c r="BQ172" s="93"/>
      <c r="BR172" s="93"/>
      <c r="BS172" s="93"/>
      <c r="BT172" s="93"/>
      <c r="BU172" s="93"/>
      <c r="BV172" s="93"/>
      <c r="BW172" s="93"/>
      <c r="BX172" s="93"/>
      <c r="BY172" s="93"/>
      <c r="BZ172" s="93"/>
      <c r="CA172" s="93"/>
    </row>
    <row r="173" hidden="1" outlineLevel="1">
      <c r="A173" s="137"/>
      <c r="B173" s="127" t="s">
        <v>127</v>
      </c>
      <c r="C173" s="137"/>
      <c r="D173" s="137"/>
      <c r="E173" s="137"/>
      <c r="F173" s="137"/>
      <c r="G173" s="137"/>
      <c r="H173" s="137"/>
      <c r="I173" s="137"/>
      <c r="J173" s="137"/>
      <c r="K173" s="137"/>
      <c r="L173" s="137"/>
      <c r="M173" s="137"/>
      <c r="N173" s="137"/>
      <c r="O173" s="137"/>
      <c r="P173" s="137"/>
      <c r="Q173" s="137"/>
      <c r="R173" s="137"/>
      <c r="S173" s="137"/>
      <c r="T173" s="137">
        <f t="shared" ref="T173:CA173" si="113">((T40-T41)+(T56-T57)+(T73-T74))+S173</f>
        <v>0</v>
      </c>
      <c r="U173" s="137">
        <f t="shared" si="113"/>
        <v>5225</v>
      </c>
      <c r="V173" s="137">
        <f t="shared" si="113"/>
        <v>10079.5</v>
      </c>
      <c r="W173" s="137">
        <f t="shared" si="113"/>
        <v>14556.09</v>
      </c>
      <c r="X173" s="137">
        <f t="shared" si="113"/>
        <v>18647.2118</v>
      </c>
      <c r="Y173" s="137">
        <f t="shared" si="113"/>
        <v>26415.15604</v>
      </c>
      <c r="Z173" s="137">
        <f t="shared" si="113"/>
        <v>33493.45916</v>
      </c>
      <c r="AA173" s="137">
        <f t="shared" si="113"/>
        <v>39868.32834</v>
      </c>
      <c r="AB173" s="137">
        <f t="shared" si="113"/>
        <v>45525.69491</v>
      </c>
      <c r="AC173" s="137">
        <f t="shared" si="113"/>
        <v>50451.2088</v>
      </c>
      <c r="AD173" s="137">
        <f t="shared" si="113"/>
        <v>54630.23298</v>
      </c>
      <c r="AE173" s="137">
        <f t="shared" si="113"/>
        <v>58047.83764</v>
      </c>
      <c r="AF173" s="137">
        <f t="shared" si="113"/>
        <v>60688.79439</v>
      </c>
      <c r="AG173" s="137">
        <f t="shared" si="113"/>
        <v>67192.57028</v>
      </c>
      <c r="AH173" s="137">
        <f t="shared" si="113"/>
        <v>73076.42169</v>
      </c>
      <c r="AI173" s="137">
        <f t="shared" si="113"/>
        <v>78327.95012</v>
      </c>
      <c r="AJ173" s="137">
        <f t="shared" si="113"/>
        <v>82934.50912</v>
      </c>
      <c r="AK173" s="137">
        <f t="shared" si="113"/>
        <v>90509.19931</v>
      </c>
      <c r="AL173" s="137">
        <f t="shared" si="113"/>
        <v>97559.38329</v>
      </c>
      <c r="AM173" s="137">
        <f t="shared" si="113"/>
        <v>104074.571</v>
      </c>
      <c r="AN173" s="137">
        <f t="shared" si="113"/>
        <v>110044.0624</v>
      </c>
      <c r="AO173" s="137">
        <f t="shared" si="113"/>
        <v>115456.9436</v>
      </c>
      <c r="AP173" s="137">
        <f t="shared" si="113"/>
        <v>120302.0825</v>
      </c>
      <c r="AQ173" s="137">
        <f t="shared" si="113"/>
        <v>124568.1241</v>
      </c>
      <c r="AR173" s="137">
        <f t="shared" si="113"/>
        <v>128243.4866</v>
      </c>
      <c r="AS173" s="137">
        <f t="shared" si="113"/>
        <v>135040.3564</v>
      </c>
      <c r="AT173" s="137">
        <f t="shared" si="113"/>
        <v>141373.1635</v>
      </c>
      <c r="AU173" s="137">
        <f t="shared" si="113"/>
        <v>147232.6268</v>
      </c>
      <c r="AV173" s="137">
        <f t="shared" si="113"/>
        <v>152609.2793</v>
      </c>
      <c r="AW173" s="137">
        <f t="shared" si="113"/>
        <v>160394.2649</v>
      </c>
      <c r="AX173" s="137">
        <f t="shared" si="113"/>
        <v>167794.1502</v>
      </c>
      <c r="AY173" s="137">
        <f t="shared" si="113"/>
        <v>174801.2332</v>
      </c>
      <c r="AZ173" s="137">
        <f t="shared" si="113"/>
        <v>181407.6578</v>
      </c>
      <c r="BA173" s="137">
        <f t="shared" si="113"/>
        <v>187605.411</v>
      </c>
      <c r="BB173" s="137">
        <f t="shared" si="113"/>
        <v>193386.3192</v>
      </c>
      <c r="BC173" s="137">
        <f t="shared" si="113"/>
        <v>198742.0456</v>
      </c>
      <c r="BD173" s="137">
        <f t="shared" si="113"/>
        <v>203664.0865</v>
      </c>
      <c r="BE173" s="137">
        <f t="shared" si="113"/>
        <v>211122.9682</v>
      </c>
      <c r="BF173" s="137">
        <f t="shared" si="113"/>
        <v>218251.0276</v>
      </c>
      <c r="BG173" s="137">
        <f t="shared" si="113"/>
        <v>225041.6482</v>
      </c>
      <c r="BH173" s="137">
        <f t="shared" si="113"/>
        <v>231488.0811</v>
      </c>
      <c r="BI173" s="137">
        <f t="shared" si="113"/>
        <v>239904.0828</v>
      </c>
      <c r="BJ173" s="137">
        <f t="shared" si="113"/>
        <v>248055.7644</v>
      </c>
      <c r="BK173" s="137">
        <f t="shared" si="113"/>
        <v>255937.8397</v>
      </c>
      <c r="BL173" s="137">
        <f t="shared" si="113"/>
        <v>263544.9165</v>
      </c>
      <c r="BM173" s="137">
        <f t="shared" si="113"/>
        <v>270871.4948</v>
      </c>
      <c r="BN173" s="137">
        <f t="shared" si="113"/>
        <v>277911.9647</v>
      </c>
      <c r="BO173" s="137">
        <f t="shared" si="113"/>
        <v>284660.604</v>
      </c>
      <c r="BP173" s="137">
        <f t="shared" si="113"/>
        <v>291111.5761</v>
      </c>
      <c r="BQ173" s="137">
        <f t="shared" si="113"/>
        <v>299642.2876</v>
      </c>
      <c r="BR173" s="137">
        <f t="shared" si="113"/>
        <v>307959.6134</v>
      </c>
      <c r="BS173" s="137">
        <f t="shared" si="113"/>
        <v>316059.2856</v>
      </c>
      <c r="BT173" s="137">
        <f t="shared" si="113"/>
        <v>323936.9513</v>
      </c>
      <c r="BU173" s="137">
        <f t="shared" si="113"/>
        <v>333444.6824</v>
      </c>
      <c r="BV173" s="137">
        <f t="shared" si="113"/>
        <v>342796.456</v>
      </c>
      <c r="BW173" s="137">
        <f t="shared" si="113"/>
        <v>351989.1531</v>
      </c>
      <c r="BX173" s="137">
        <f t="shared" si="113"/>
        <v>361019.5922</v>
      </c>
      <c r="BY173" s="137">
        <f t="shared" si="113"/>
        <v>369884.528</v>
      </c>
      <c r="BZ173" s="137">
        <f t="shared" si="113"/>
        <v>378580.6506</v>
      </c>
      <c r="CA173" s="137">
        <f t="shared" si="113"/>
        <v>387104.5836</v>
      </c>
    </row>
    <row r="174" hidden="1" outlineLevel="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93"/>
      <c r="BR174" s="93"/>
      <c r="BS174" s="93"/>
      <c r="BT174" s="93"/>
      <c r="BU174" s="93"/>
      <c r="BV174" s="93"/>
      <c r="BW174" s="93"/>
      <c r="BX174" s="93"/>
      <c r="BY174" s="93"/>
      <c r="BZ174" s="93"/>
      <c r="CA174" s="93"/>
    </row>
    <row r="175" hidden="1" outlineLevel="1">
      <c r="A175" s="47"/>
      <c r="B175" s="124" t="s">
        <v>128</v>
      </c>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c r="AC175" s="125"/>
      <c r="AD175" s="125"/>
      <c r="AE175" s="125"/>
      <c r="AF175" s="125"/>
      <c r="AG175" s="125"/>
      <c r="AH175" s="125"/>
      <c r="AI175" s="125"/>
      <c r="AJ175" s="125"/>
      <c r="AK175" s="125"/>
      <c r="AL175" s="125"/>
      <c r="AM175" s="125"/>
      <c r="AN175" s="125"/>
      <c r="AO175" s="125"/>
      <c r="AP175" s="125"/>
      <c r="AQ175" s="125"/>
      <c r="AR175" s="125"/>
      <c r="AS175" s="125"/>
      <c r="AT175" s="125"/>
      <c r="AU175" s="125"/>
      <c r="AV175" s="125"/>
      <c r="AW175" s="125"/>
      <c r="AX175" s="125"/>
      <c r="AY175" s="125"/>
      <c r="AZ175" s="125"/>
      <c r="BA175" s="125"/>
      <c r="BB175" s="125"/>
      <c r="BC175" s="125"/>
      <c r="BD175" s="125"/>
      <c r="BE175" s="125"/>
      <c r="BF175" s="125"/>
      <c r="BG175" s="125"/>
      <c r="BH175" s="125"/>
      <c r="BI175" s="125"/>
      <c r="BJ175" s="125"/>
      <c r="BK175" s="125"/>
      <c r="BL175" s="125"/>
      <c r="BM175" s="125"/>
      <c r="BN175" s="125"/>
      <c r="BO175" s="125"/>
      <c r="BP175" s="125"/>
      <c r="BQ175" s="125"/>
      <c r="BR175" s="125"/>
      <c r="BS175" s="125"/>
      <c r="BT175" s="125"/>
      <c r="BU175" s="125"/>
      <c r="BV175" s="125"/>
      <c r="BW175" s="125"/>
      <c r="BX175" s="125"/>
      <c r="BY175" s="125"/>
      <c r="BZ175" s="125"/>
      <c r="CA175" s="125"/>
    </row>
    <row r="176" hidden="1" outlineLevel="1">
      <c r="A176" s="47"/>
      <c r="B176" s="39"/>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93"/>
      <c r="BR176" s="93"/>
      <c r="BS176" s="93"/>
      <c r="BT176" s="93"/>
      <c r="BU176" s="93"/>
      <c r="BV176" s="93"/>
      <c r="BW176" s="93"/>
      <c r="BX176" s="93"/>
      <c r="BY176" s="93"/>
      <c r="BZ176" s="93"/>
      <c r="CA176" s="93"/>
    </row>
    <row r="177" hidden="1" outlineLevel="1">
      <c r="A177" s="47"/>
      <c r="B177" s="39" t="s">
        <v>129</v>
      </c>
      <c r="C177" s="95">
        <v>120000.0</v>
      </c>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93"/>
      <c r="BR177" s="93"/>
      <c r="BS177" s="93"/>
      <c r="BT177" s="93"/>
      <c r="BU177" s="93"/>
      <c r="BV177" s="93"/>
      <c r="BW177" s="93"/>
      <c r="BX177" s="93"/>
      <c r="BY177" s="93"/>
      <c r="BZ177" s="93"/>
      <c r="CA177" s="93"/>
    </row>
    <row r="178" hidden="1" outlineLevel="1">
      <c r="A178" s="47"/>
      <c r="B178" s="39" t="s">
        <v>130</v>
      </c>
      <c r="C178" s="100">
        <v>0.09</v>
      </c>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93"/>
      <c r="BR178" s="93"/>
      <c r="BS178" s="93"/>
      <c r="BT178" s="93"/>
      <c r="BU178" s="93"/>
      <c r="BV178" s="93"/>
      <c r="BW178" s="93"/>
      <c r="BX178" s="93"/>
      <c r="BY178" s="93"/>
      <c r="BZ178" s="93"/>
      <c r="CA178" s="93"/>
    </row>
    <row r="179" hidden="1" outlineLevel="1">
      <c r="A179" s="47"/>
      <c r="B179" s="138"/>
      <c r="C179" s="39"/>
      <c r="D179" s="39"/>
      <c r="E179" s="139"/>
      <c r="F179" s="139"/>
      <c r="G179" s="139"/>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row>
    <row r="180" hidden="1" outlineLevel="1">
      <c r="A180" s="47"/>
      <c r="B180" s="140" t="s">
        <v>131</v>
      </c>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1"/>
      <c r="AB180" s="141"/>
      <c r="AC180" s="141"/>
      <c r="AD180" s="141"/>
      <c r="AE180" s="141"/>
      <c r="AF180" s="141"/>
      <c r="AG180" s="141"/>
      <c r="AH180" s="141"/>
      <c r="AI180" s="141"/>
      <c r="AJ180" s="141"/>
      <c r="AK180" s="141"/>
      <c r="AL180" s="141"/>
      <c r="AM180" s="141"/>
      <c r="AN180" s="141"/>
      <c r="AO180" s="141"/>
      <c r="AP180" s="141"/>
      <c r="AQ180" s="141"/>
      <c r="AR180" s="141"/>
      <c r="AS180" s="141"/>
      <c r="AT180" s="141"/>
      <c r="AU180" s="141"/>
      <c r="AV180" s="141"/>
      <c r="AW180" s="141"/>
      <c r="AX180" s="141"/>
      <c r="AY180" s="141"/>
      <c r="AZ180" s="141"/>
      <c r="BA180" s="141"/>
      <c r="BB180" s="141"/>
      <c r="BC180" s="141"/>
      <c r="BD180" s="141"/>
      <c r="BE180" s="141"/>
      <c r="BF180" s="141"/>
      <c r="BG180" s="141"/>
      <c r="BH180" s="141"/>
      <c r="BI180" s="141"/>
      <c r="BJ180" s="141"/>
      <c r="BK180" s="141"/>
      <c r="BL180" s="141"/>
      <c r="BM180" s="141"/>
      <c r="BN180" s="141"/>
      <c r="BO180" s="141"/>
      <c r="BP180" s="141"/>
      <c r="BQ180" s="47"/>
      <c r="BR180" s="47"/>
      <c r="BS180" s="47"/>
      <c r="BT180" s="47"/>
      <c r="BU180" s="47"/>
      <c r="BV180" s="47"/>
      <c r="BW180" s="47"/>
      <c r="BX180" s="47"/>
      <c r="BY180" s="47"/>
      <c r="BZ180" s="47"/>
      <c r="CA180" s="47"/>
    </row>
    <row r="181" hidden="1" outlineLevel="1">
      <c r="A181" s="47"/>
      <c r="B181" s="39" t="s">
        <v>132</v>
      </c>
      <c r="C181" s="39" t="s">
        <v>133</v>
      </c>
      <c r="D181" s="39" t="s">
        <v>134</v>
      </c>
      <c r="E181" s="142"/>
      <c r="F181" s="142"/>
      <c r="G181" s="142"/>
      <c r="H181" s="93"/>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47"/>
      <c r="BR181" s="47"/>
      <c r="BS181" s="47"/>
      <c r="BT181" s="47"/>
      <c r="BU181" s="47"/>
      <c r="BV181" s="47"/>
      <c r="BW181" s="47"/>
      <c r="BX181" s="47"/>
      <c r="BY181" s="47"/>
      <c r="BZ181" s="47"/>
      <c r="CA181" s="47"/>
    </row>
    <row r="182" hidden="1" outlineLevel="1">
      <c r="A182" s="47"/>
      <c r="B182" s="101" t="s">
        <v>135</v>
      </c>
      <c r="C182" s="143">
        <v>1000000.0</v>
      </c>
      <c r="D182" s="144">
        <v>45323.0</v>
      </c>
      <c r="E182" s="142"/>
      <c r="F182" s="142"/>
      <c r="G182" s="142"/>
      <c r="H182" s="93"/>
      <c r="I182" s="93"/>
      <c r="J182" s="93"/>
      <c r="K182" s="93"/>
      <c r="L182" s="93"/>
      <c r="M182" s="93"/>
      <c r="N182" s="93"/>
      <c r="O182" s="93"/>
      <c r="P182" s="93"/>
      <c r="Q182" s="93"/>
      <c r="R182" s="93"/>
      <c r="S182" s="93"/>
      <c r="T182" s="93">
        <f t="shared" ref="T182:CA182" si="114">IF(AND(Month(T$4)=Month($D182),Year(T$4)=Year($D182)),$C182,0)</f>
        <v>0</v>
      </c>
      <c r="U182" s="93">
        <f t="shared" si="114"/>
        <v>1000000</v>
      </c>
      <c r="V182" s="93">
        <f t="shared" si="114"/>
        <v>0</v>
      </c>
      <c r="W182" s="93">
        <f t="shared" si="114"/>
        <v>0</v>
      </c>
      <c r="X182" s="93">
        <f t="shared" si="114"/>
        <v>0</v>
      </c>
      <c r="Y182" s="93">
        <f t="shared" si="114"/>
        <v>0</v>
      </c>
      <c r="Z182" s="93">
        <f t="shared" si="114"/>
        <v>0</v>
      </c>
      <c r="AA182" s="93">
        <f t="shared" si="114"/>
        <v>0</v>
      </c>
      <c r="AB182" s="93">
        <f t="shared" si="114"/>
        <v>0</v>
      </c>
      <c r="AC182" s="93">
        <f t="shared" si="114"/>
        <v>0</v>
      </c>
      <c r="AD182" s="93">
        <f t="shared" si="114"/>
        <v>0</v>
      </c>
      <c r="AE182" s="93">
        <f t="shared" si="114"/>
        <v>0</v>
      </c>
      <c r="AF182" s="93">
        <f t="shared" si="114"/>
        <v>0</v>
      </c>
      <c r="AG182" s="93">
        <f t="shared" si="114"/>
        <v>0</v>
      </c>
      <c r="AH182" s="93">
        <f t="shared" si="114"/>
        <v>0</v>
      </c>
      <c r="AI182" s="93">
        <f t="shared" si="114"/>
        <v>0</v>
      </c>
      <c r="AJ182" s="93">
        <f t="shared" si="114"/>
        <v>0</v>
      </c>
      <c r="AK182" s="93">
        <f t="shared" si="114"/>
        <v>0</v>
      </c>
      <c r="AL182" s="93">
        <f t="shared" si="114"/>
        <v>0</v>
      </c>
      <c r="AM182" s="93">
        <f t="shared" si="114"/>
        <v>0</v>
      </c>
      <c r="AN182" s="93">
        <f t="shared" si="114"/>
        <v>0</v>
      </c>
      <c r="AO182" s="93">
        <f t="shared" si="114"/>
        <v>0</v>
      </c>
      <c r="AP182" s="93">
        <f t="shared" si="114"/>
        <v>0</v>
      </c>
      <c r="AQ182" s="93">
        <f t="shared" si="114"/>
        <v>0</v>
      </c>
      <c r="AR182" s="93">
        <f t="shared" si="114"/>
        <v>0</v>
      </c>
      <c r="AS182" s="93">
        <f t="shared" si="114"/>
        <v>0</v>
      </c>
      <c r="AT182" s="93">
        <f t="shared" si="114"/>
        <v>0</v>
      </c>
      <c r="AU182" s="93">
        <f t="shared" si="114"/>
        <v>0</v>
      </c>
      <c r="AV182" s="93">
        <f t="shared" si="114"/>
        <v>0</v>
      </c>
      <c r="AW182" s="93">
        <f t="shared" si="114"/>
        <v>0</v>
      </c>
      <c r="AX182" s="93">
        <f t="shared" si="114"/>
        <v>0</v>
      </c>
      <c r="AY182" s="93">
        <f t="shared" si="114"/>
        <v>0</v>
      </c>
      <c r="AZ182" s="93">
        <f t="shared" si="114"/>
        <v>0</v>
      </c>
      <c r="BA182" s="93">
        <f t="shared" si="114"/>
        <v>0</v>
      </c>
      <c r="BB182" s="93">
        <f t="shared" si="114"/>
        <v>0</v>
      </c>
      <c r="BC182" s="93">
        <f t="shared" si="114"/>
        <v>0</v>
      </c>
      <c r="BD182" s="93">
        <f t="shared" si="114"/>
        <v>0</v>
      </c>
      <c r="BE182" s="93">
        <f t="shared" si="114"/>
        <v>0</v>
      </c>
      <c r="BF182" s="93">
        <f t="shared" si="114"/>
        <v>0</v>
      </c>
      <c r="BG182" s="93">
        <f t="shared" si="114"/>
        <v>0</v>
      </c>
      <c r="BH182" s="93">
        <f t="shared" si="114"/>
        <v>0</v>
      </c>
      <c r="BI182" s="93">
        <f t="shared" si="114"/>
        <v>0</v>
      </c>
      <c r="BJ182" s="93">
        <f t="shared" si="114"/>
        <v>0</v>
      </c>
      <c r="BK182" s="93">
        <f t="shared" si="114"/>
        <v>0</v>
      </c>
      <c r="BL182" s="93">
        <f t="shared" si="114"/>
        <v>0</v>
      </c>
      <c r="BM182" s="93">
        <f t="shared" si="114"/>
        <v>0</v>
      </c>
      <c r="BN182" s="93">
        <f t="shared" si="114"/>
        <v>0</v>
      </c>
      <c r="BO182" s="93">
        <f t="shared" si="114"/>
        <v>0</v>
      </c>
      <c r="BP182" s="93">
        <f t="shared" si="114"/>
        <v>0</v>
      </c>
      <c r="BQ182" s="93">
        <f t="shared" si="114"/>
        <v>0</v>
      </c>
      <c r="BR182" s="93">
        <f t="shared" si="114"/>
        <v>0</v>
      </c>
      <c r="BS182" s="93">
        <f t="shared" si="114"/>
        <v>0</v>
      </c>
      <c r="BT182" s="93">
        <f t="shared" si="114"/>
        <v>0</v>
      </c>
      <c r="BU182" s="93">
        <f t="shared" si="114"/>
        <v>0</v>
      </c>
      <c r="BV182" s="93">
        <f t="shared" si="114"/>
        <v>0</v>
      </c>
      <c r="BW182" s="93">
        <f t="shared" si="114"/>
        <v>0</v>
      </c>
      <c r="BX182" s="93">
        <f t="shared" si="114"/>
        <v>0</v>
      </c>
      <c r="BY182" s="93">
        <f t="shared" si="114"/>
        <v>0</v>
      </c>
      <c r="BZ182" s="93">
        <f t="shared" si="114"/>
        <v>0</v>
      </c>
      <c r="CA182" s="93">
        <f t="shared" si="114"/>
        <v>0</v>
      </c>
    </row>
    <row r="183" hidden="1" outlineLevel="1">
      <c r="A183" s="47"/>
      <c r="B183" s="101" t="s">
        <v>136</v>
      </c>
      <c r="C183" s="143">
        <v>0.0</v>
      </c>
      <c r="D183" s="144"/>
      <c r="E183" s="142"/>
      <c r="F183" s="142"/>
      <c r="G183" s="142"/>
      <c r="H183" s="93"/>
      <c r="I183" s="93"/>
      <c r="J183" s="93"/>
      <c r="K183" s="93"/>
      <c r="L183" s="93"/>
      <c r="M183" s="93"/>
      <c r="N183" s="93"/>
      <c r="O183" s="93"/>
      <c r="P183" s="93"/>
      <c r="Q183" s="93"/>
      <c r="R183" s="93"/>
      <c r="S183" s="93"/>
      <c r="T183" s="93">
        <f t="shared" ref="T183:CA183" si="115">IF(AND(Month(T$4)=Month($D183),Year(T$4)=Year($D183)),$C183,0)</f>
        <v>0</v>
      </c>
      <c r="U183" s="93">
        <f t="shared" si="115"/>
        <v>0</v>
      </c>
      <c r="V183" s="93">
        <f t="shared" si="115"/>
        <v>0</v>
      </c>
      <c r="W183" s="93">
        <f t="shared" si="115"/>
        <v>0</v>
      </c>
      <c r="X183" s="93">
        <f t="shared" si="115"/>
        <v>0</v>
      </c>
      <c r="Y183" s="93">
        <f t="shared" si="115"/>
        <v>0</v>
      </c>
      <c r="Z183" s="93">
        <f t="shared" si="115"/>
        <v>0</v>
      </c>
      <c r="AA183" s="93">
        <f t="shared" si="115"/>
        <v>0</v>
      </c>
      <c r="AB183" s="93">
        <f t="shared" si="115"/>
        <v>0</v>
      </c>
      <c r="AC183" s="93">
        <f t="shared" si="115"/>
        <v>0</v>
      </c>
      <c r="AD183" s="93">
        <f t="shared" si="115"/>
        <v>0</v>
      </c>
      <c r="AE183" s="93">
        <f t="shared" si="115"/>
        <v>0</v>
      </c>
      <c r="AF183" s="93">
        <f t="shared" si="115"/>
        <v>0</v>
      </c>
      <c r="AG183" s="93">
        <f t="shared" si="115"/>
        <v>0</v>
      </c>
      <c r="AH183" s="93">
        <f t="shared" si="115"/>
        <v>0</v>
      </c>
      <c r="AI183" s="93">
        <f t="shared" si="115"/>
        <v>0</v>
      </c>
      <c r="AJ183" s="93">
        <f t="shared" si="115"/>
        <v>0</v>
      </c>
      <c r="AK183" s="93">
        <f t="shared" si="115"/>
        <v>0</v>
      </c>
      <c r="AL183" s="93">
        <f t="shared" si="115"/>
        <v>0</v>
      </c>
      <c r="AM183" s="93">
        <f t="shared" si="115"/>
        <v>0</v>
      </c>
      <c r="AN183" s="93">
        <f t="shared" si="115"/>
        <v>0</v>
      </c>
      <c r="AO183" s="93">
        <f t="shared" si="115"/>
        <v>0</v>
      </c>
      <c r="AP183" s="93">
        <f t="shared" si="115"/>
        <v>0</v>
      </c>
      <c r="AQ183" s="93">
        <f t="shared" si="115"/>
        <v>0</v>
      </c>
      <c r="AR183" s="93">
        <f t="shared" si="115"/>
        <v>0</v>
      </c>
      <c r="AS183" s="93">
        <f t="shared" si="115"/>
        <v>0</v>
      </c>
      <c r="AT183" s="93">
        <f t="shared" si="115"/>
        <v>0</v>
      </c>
      <c r="AU183" s="93">
        <f t="shared" si="115"/>
        <v>0</v>
      </c>
      <c r="AV183" s="93">
        <f t="shared" si="115"/>
        <v>0</v>
      </c>
      <c r="AW183" s="93">
        <f t="shared" si="115"/>
        <v>0</v>
      </c>
      <c r="AX183" s="93">
        <f t="shared" si="115"/>
        <v>0</v>
      </c>
      <c r="AY183" s="93">
        <f t="shared" si="115"/>
        <v>0</v>
      </c>
      <c r="AZ183" s="93">
        <f t="shared" si="115"/>
        <v>0</v>
      </c>
      <c r="BA183" s="93">
        <f t="shared" si="115"/>
        <v>0</v>
      </c>
      <c r="BB183" s="93">
        <f t="shared" si="115"/>
        <v>0</v>
      </c>
      <c r="BC183" s="93">
        <f t="shared" si="115"/>
        <v>0</v>
      </c>
      <c r="BD183" s="93">
        <f t="shared" si="115"/>
        <v>0</v>
      </c>
      <c r="BE183" s="93">
        <f t="shared" si="115"/>
        <v>0</v>
      </c>
      <c r="BF183" s="93">
        <f t="shared" si="115"/>
        <v>0</v>
      </c>
      <c r="BG183" s="93">
        <f t="shared" si="115"/>
        <v>0</v>
      </c>
      <c r="BH183" s="93">
        <f t="shared" si="115"/>
        <v>0</v>
      </c>
      <c r="BI183" s="93">
        <f t="shared" si="115"/>
        <v>0</v>
      </c>
      <c r="BJ183" s="93">
        <f t="shared" si="115"/>
        <v>0</v>
      </c>
      <c r="BK183" s="93">
        <f t="shared" si="115"/>
        <v>0</v>
      </c>
      <c r="BL183" s="93">
        <f t="shared" si="115"/>
        <v>0</v>
      </c>
      <c r="BM183" s="93">
        <f t="shared" si="115"/>
        <v>0</v>
      </c>
      <c r="BN183" s="93">
        <f t="shared" si="115"/>
        <v>0</v>
      </c>
      <c r="BO183" s="93">
        <f t="shared" si="115"/>
        <v>0</v>
      </c>
      <c r="BP183" s="93">
        <f t="shared" si="115"/>
        <v>0</v>
      </c>
      <c r="BQ183" s="93">
        <f t="shared" si="115"/>
        <v>0</v>
      </c>
      <c r="BR183" s="93">
        <f t="shared" si="115"/>
        <v>0</v>
      </c>
      <c r="BS183" s="93">
        <f t="shared" si="115"/>
        <v>0</v>
      </c>
      <c r="BT183" s="93">
        <f t="shared" si="115"/>
        <v>0</v>
      </c>
      <c r="BU183" s="93">
        <f t="shared" si="115"/>
        <v>0</v>
      </c>
      <c r="BV183" s="93">
        <f t="shared" si="115"/>
        <v>0</v>
      </c>
      <c r="BW183" s="93">
        <f t="shared" si="115"/>
        <v>0</v>
      </c>
      <c r="BX183" s="93">
        <f t="shared" si="115"/>
        <v>0</v>
      </c>
      <c r="BY183" s="93">
        <f t="shared" si="115"/>
        <v>0</v>
      </c>
      <c r="BZ183" s="93">
        <f t="shared" si="115"/>
        <v>0</v>
      </c>
      <c r="CA183" s="93">
        <f t="shared" si="115"/>
        <v>0</v>
      </c>
    </row>
    <row r="184" hidden="1" outlineLevel="1">
      <c r="A184" s="47"/>
      <c r="B184" s="101" t="s">
        <v>137</v>
      </c>
      <c r="C184" s="143">
        <v>0.0</v>
      </c>
      <c r="D184" s="144"/>
      <c r="E184" s="142"/>
      <c r="F184" s="142"/>
      <c r="G184" s="142"/>
      <c r="H184" s="93"/>
      <c r="I184" s="93"/>
      <c r="J184" s="93"/>
      <c r="K184" s="93"/>
      <c r="L184" s="93"/>
      <c r="M184" s="93"/>
      <c r="N184" s="93"/>
      <c r="O184" s="93"/>
      <c r="P184" s="93"/>
      <c r="Q184" s="93"/>
      <c r="R184" s="93"/>
      <c r="S184" s="93"/>
      <c r="T184" s="93">
        <f t="shared" ref="T184:CA184" si="116">IF(AND(Month(T$4)=Month($D184),Year(T$4)=Year($D184)),$C184,0)</f>
        <v>0</v>
      </c>
      <c r="U184" s="93">
        <f t="shared" si="116"/>
        <v>0</v>
      </c>
      <c r="V184" s="93">
        <f t="shared" si="116"/>
        <v>0</v>
      </c>
      <c r="W184" s="93">
        <f t="shared" si="116"/>
        <v>0</v>
      </c>
      <c r="X184" s="93">
        <f t="shared" si="116"/>
        <v>0</v>
      </c>
      <c r="Y184" s="93">
        <f t="shared" si="116"/>
        <v>0</v>
      </c>
      <c r="Z184" s="93">
        <f t="shared" si="116"/>
        <v>0</v>
      </c>
      <c r="AA184" s="93">
        <f t="shared" si="116"/>
        <v>0</v>
      </c>
      <c r="AB184" s="93">
        <f t="shared" si="116"/>
        <v>0</v>
      </c>
      <c r="AC184" s="93">
        <f t="shared" si="116"/>
        <v>0</v>
      </c>
      <c r="AD184" s="93">
        <f t="shared" si="116"/>
        <v>0</v>
      </c>
      <c r="AE184" s="93">
        <f t="shared" si="116"/>
        <v>0</v>
      </c>
      <c r="AF184" s="93">
        <f t="shared" si="116"/>
        <v>0</v>
      </c>
      <c r="AG184" s="93">
        <f t="shared" si="116"/>
        <v>0</v>
      </c>
      <c r="AH184" s="93">
        <f t="shared" si="116"/>
        <v>0</v>
      </c>
      <c r="AI184" s="93">
        <f t="shared" si="116"/>
        <v>0</v>
      </c>
      <c r="AJ184" s="93">
        <f t="shared" si="116"/>
        <v>0</v>
      </c>
      <c r="AK184" s="93">
        <f t="shared" si="116"/>
        <v>0</v>
      </c>
      <c r="AL184" s="93">
        <f t="shared" si="116"/>
        <v>0</v>
      </c>
      <c r="AM184" s="93">
        <f t="shared" si="116"/>
        <v>0</v>
      </c>
      <c r="AN184" s="93">
        <f t="shared" si="116"/>
        <v>0</v>
      </c>
      <c r="AO184" s="93">
        <f t="shared" si="116"/>
        <v>0</v>
      </c>
      <c r="AP184" s="93">
        <f t="shared" si="116"/>
        <v>0</v>
      </c>
      <c r="AQ184" s="93">
        <f t="shared" si="116"/>
        <v>0</v>
      </c>
      <c r="AR184" s="93">
        <f t="shared" si="116"/>
        <v>0</v>
      </c>
      <c r="AS184" s="93">
        <f t="shared" si="116"/>
        <v>0</v>
      </c>
      <c r="AT184" s="93">
        <f t="shared" si="116"/>
        <v>0</v>
      </c>
      <c r="AU184" s="93">
        <f t="shared" si="116"/>
        <v>0</v>
      </c>
      <c r="AV184" s="93">
        <f t="shared" si="116"/>
        <v>0</v>
      </c>
      <c r="AW184" s="93">
        <f t="shared" si="116"/>
        <v>0</v>
      </c>
      <c r="AX184" s="93">
        <f t="shared" si="116"/>
        <v>0</v>
      </c>
      <c r="AY184" s="93">
        <f t="shared" si="116"/>
        <v>0</v>
      </c>
      <c r="AZ184" s="93">
        <f t="shared" si="116"/>
        <v>0</v>
      </c>
      <c r="BA184" s="93">
        <f t="shared" si="116"/>
        <v>0</v>
      </c>
      <c r="BB184" s="93">
        <f t="shared" si="116"/>
        <v>0</v>
      </c>
      <c r="BC184" s="93">
        <f t="shared" si="116"/>
        <v>0</v>
      </c>
      <c r="BD184" s="93">
        <f t="shared" si="116"/>
        <v>0</v>
      </c>
      <c r="BE184" s="93">
        <f t="shared" si="116"/>
        <v>0</v>
      </c>
      <c r="BF184" s="93">
        <f t="shared" si="116"/>
        <v>0</v>
      </c>
      <c r="BG184" s="93">
        <f t="shared" si="116"/>
        <v>0</v>
      </c>
      <c r="BH184" s="93">
        <f t="shared" si="116"/>
        <v>0</v>
      </c>
      <c r="BI184" s="93">
        <f t="shared" si="116"/>
        <v>0</v>
      </c>
      <c r="BJ184" s="93">
        <f t="shared" si="116"/>
        <v>0</v>
      </c>
      <c r="BK184" s="93">
        <f t="shared" si="116"/>
        <v>0</v>
      </c>
      <c r="BL184" s="93">
        <f t="shared" si="116"/>
        <v>0</v>
      </c>
      <c r="BM184" s="93">
        <f t="shared" si="116"/>
        <v>0</v>
      </c>
      <c r="BN184" s="93">
        <f t="shared" si="116"/>
        <v>0</v>
      </c>
      <c r="BO184" s="93">
        <f t="shared" si="116"/>
        <v>0</v>
      </c>
      <c r="BP184" s="93">
        <f t="shared" si="116"/>
        <v>0</v>
      </c>
      <c r="BQ184" s="93">
        <f t="shared" si="116"/>
        <v>0</v>
      </c>
      <c r="BR184" s="93">
        <f t="shared" si="116"/>
        <v>0</v>
      </c>
      <c r="BS184" s="93">
        <f t="shared" si="116"/>
        <v>0</v>
      </c>
      <c r="BT184" s="93">
        <f t="shared" si="116"/>
        <v>0</v>
      </c>
      <c r="BU184" s="93">
        <f t="shared" si="116"/>
        <v>0</v>
      </c>
      <c r="BV184" s="93">
        <f t="shared" si="116"/>
        <v>0</v>
      </c>
      <c r="BW184" s="93">
        <f t="shared" si="116"/>
        <v>0</v>
      </c>
      <c r="BX184" s="93">
        <f t="shared" si="116"/>
        <v>0</v>
      </c>
      <c r="BY184" s="93">
        <f t="shared" si="116"/>
        <v>0</v>
      </c>
      <c r="BZ184" s="93">
        <f t="shared" si="116"/>
        <v>0</v>
      </c>
      <c r="CA184" s="93">
        <f t="shared" si="116"/>
        <v>0</v>
      </c>
    </row>
    <row r="185" hidden="1" outlineLevel="1">
      <c r="A185" s="47"/>
      <c r="B185" s="101" t="s">
        <v>137</v>
      </c>
      <c r="C185" s="143">
        <v>0.0</v>
      </c>
      <c r="D185" s="144"/>
      <c r="E185" s="142"/>
      <c r="F185" s="142"/>
      <c r="G185" s="142"/>
      <c r="H185" s="93"/>
      <c r="I185" s="93"/>
      <c r="J185" s="93"/>
      <c r="K185" s="93"/>
      <c r="L185" s="93"/>
      <c r="M185" s="93"/>
      <c r="N185" s="93"/>
      <c r="O185" s="93"/>
      <c r="P185" s="93"/>
      <c r="Q185" s="93"/>
      <c r="R185" s="93"/>
      <c r="S185" s="93"/>
      <c r="T185" s="93">
        <f t="shared" ref="T185:CA185" si="117">IF(AND(Month(T$4)=Month($D185),Year(T$4)=Year($D185)),$C185,0)</f>
        <v>0</v>
      </c>
      <c r="U185" s="93">
        <f t="shared" si="117"/>
        <v>0</v>
      </c>
      <c r="V185" s="93">
        <f t="shared" si="117"/>
        <v>0</v>
      </c>
      <c r="W185" s="93">
        <f t="shared" si="117"/>
        <v>0</v>
      </c>
      <c r="X185" s="93">
        <f t="shared" si="117"/>
        <v>0</v>
      </c>
      <c r="Y185" s="93">
        <f t="shared" si="117"/>
        <v>0</v>
      </c>
      <c r="Z185" s="93">
        <f t="shared" si="117"/>
        <v>0</v>
      </c>
      <c r="AA185" s="93">
        <f t="shared" si="117"/>
        <v>0</v>
      </c>
      <c r="AB185" s="93">
        <f t="shared" si="117"/>
        <v>0</v>
      </c>
      <c r="AC185" s="93">
        <f t="shared" si="117"/>
        <v>0</v>
      </c>
      <c r="AD185" s="93">
        <f t="shared" si="117"/>
        <v>0</v>
      </c>
      <c r="AE185" s="93">
        <f t="shared" si="117"/>
        <v>0</v>
      </c>
      <c r="AF185" s="93">
        <f t="shared" si="117"/>
        <v>0</v>
      </c>
      <c r="AG185" s="93">
        <f t="shared" si="117"/>
        <v>0</v>
      </c>
      <c r="AH185" s="93">
        <f t="shared" si="117"/>
        <v>0</v>
      </c>
      <c r="AI185" s="93">
        <f t="shared" si="117"/>
        <v>0</v>
      </c>
      <c r="AJ185" s="93">
        <f t="shared" si="117"/>
        <v>0</v>
      </c>
      <c r="AK185" s="93">
        <f t="shared" si="117"/>
        <v>0</v>
      </c>
      <c r="AL185" s="93">
        <f t="shared" si="117"/>
        <v>0</v>
      </c>
      <c r="AM185" s="93">
        <f t="shared" si="117"/>
        <v>0</v>
      </c>
      <c r="AN185" s="93">
        <f t="shared" si="117"/>
        <v>0</v>
      </c>
      <c r="AO185" s="93">
        <f t="shared" si="117"/>
        <v>0</v>
      </c>
      <c r="AP185" s="93">
        <f t="shared" si="117"/>
        <v>0</v>
      </c>
      <c r="AQ185" s="93">
        <f t="shared" si="117"/>
        <v>0</v>
      </c>
      <c r="AR185" s="93">
        <f t="shared" si="117"/>
        <v>0</v>
      </c>
      <c r="AS185" s="93">
        <f t="shared" si="117"/>
        <v>0</v>
      </c>
      <c r="AT185" s="93">
        <f t="shared" si="117"/>
        <v>0</v>
      </c>
      <c r="AU185" s="93">
        <f t="shared" si="117"/>
        <v>0</v>
      </c>
      <c r="AV185" s="93">
        <f t="shared" si="117"/>
        <v>0</v>
      </c>
      <c r="AW185" s="93">
        <f t="shared" si="117"/>
        <v>0</v>
      </c>
      <c r="AX185" s="93">
        <f t="shared" si="117"/>
        <v>0</v>
      </c>
      <c r="AY185" s="93">
        <f t="shared" si="117"/>
        <v>0</v>
      </c>
      <c r="AZ185" s="93">
        <f t="shared" si="117"/>
        <v>0</v>
      </c>
      <c r="BA185" s="93">
        <f t="shared" si="117"/>
        <v>0</v>
      </c>
      <c r="BB185" s="93">
        <f t="shared" si="117"/>
        <v>0</v>
      </c>
      <c r="BC185" s="93">
        <f t="shared" si="117"/>
        <v>0</v>
      </c>
      <c r="BD185" s="93">
        <f t="shared" si="117"/>
        <v>0</v>
      </c>
      <c r="BE185" s="93">
        <f t="shared" si="117"/>
        <v>0</v>
      </c>
      <c r="BF185" s="93">
        <f t="shared" si="117"/>
        <v>0</v>
      </c>
      <c r="BG185" s="93">
        <f t="shared" si="117"/>
        <v>0</v>
      </c>
      <c r="BH185" s="93">
        <f t="shared" si="117"/>
        <v>0</v>
      </c>
      <c r="BI185" s="93">
        <f t="shared" si="117"/>
        <v>0</v>
      </c>
      <c r="BJ185" s="93">
        <f t="shared" si="117"/>
        <v>0</v>
      </c>
      <c r="BK185" s="93">
        <f t="shared" si="117"/>
        <v>0</v>
      </c>
      <c r="BL185" s="93">
        <f t="shared" si="117"/>
        <v>0</v>
      </c>
      <c r="BM185" s="93">
        <f t="shared" si="117"/>
        <v>0</v>
      </c>
      <c r="BN185" s="93">
        <f t="shared" si="117"/>
        <v>0</v>
      </c>
      <c r="BO185" s="93">
        <f t="shared" si="117"/>
        <v>0</v>
      </c>
      <c r="BP185" s="93">
        <f t="shared" si="117"/>
        <v>0</v>
      </c>
      <c r="BQ185" s="93">
        <f t="shared" si="117"/>
        <v>0</v>
      </c>
      <c r="BR185" s="93">
        <f t="shared" si="117"/>
        <v>0</v>
      </c>
      <c r="BS185" s="93">
        <f t="shared" si="117"/>
        <v>0</v>
      </c>
      <c r="BT185" s="93">
        <f t="shared" si="117"/>
        <v>0</v>
      </c>
      <c r="BU185" s="93">
        <f t="shared" si="117"/>
        <v>0</v>
      </c>
      <c r="BV185" s="93">
        <f t="shared" si="117"/>
        <v>0</v>
      </c>
      <c r="BW185" s="93">
        <f t="shared" si="117"/>
        <v>0</v>
      </c>
      <c r="BX185" s="93">
        <f t="shared" si="117"/>
        <v>0</v>
      </c>
      <c r="BY185" s="93">
        <f t="shared" si="117"/>
        <v>0</v>
      </c>
      <c r="BZ185" s="93">
        <f t="shared" si="117"/>
        <v>0</v>
      </c>
      <c r="CA185" s="93">
        <f t="shared" si="117"/>
        <v>0</v>
      </c>
    </row>
    <row r="186" hidden="1" outlineLevel="1">
      <c r="A186" s="47"/>
      <c r="B186" s="47"/>
      <c r="C186" s="47"/>
      <c r="D186" s="47"/>
      <c r="E186" s="47"/>
      <c r="F186" s="47"/>
      <c r="G186" s="47"/>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93"/>
      <c r="BT186" s="93"/>
      <c r="BU186" s="93"/>
      <c r="BV186" s="93"/>
      <c r="BW186" s="93"/>
      <c r="BX186" s="93"/>
      <c r="BY186" s="93"/>
      <c r="BZ186" s="93"/>
      <c r="CA186" s="93"/>
    </row>
    <row r="187" hidden="1" outlineLevel="1">
      <c r="A187" s="47"/>
      <c r="B187" s="52" t="s">
        <v>131</v>
      </c>
      <c r="C187" s="145"/>
      <c r="D187" s="145"/>
      <c r="E187" s="145"/>
      <c r="F187" s="145"/>
      <c r="G187" s="145"/>
      <c r="H187" s="130"/>
      <c r="I187" s="130"/>
      <c r="J187" s="130"/>
      <c r="K187" s="130"/>
      <c r="L187" s="130"/>
      <c r="M187" s="130"/>
      <c r="N187" s="130"/>
      <c r="O187" s="130"/>
      <c r="P187" s="130"/>
      <c r="Q187" s="130"/>
      <c r="R187" s="130"/>
      <c r="S187" s="130"/>
      <c r="T187" s="130">
        <f>SUM(T182:T185)</f>
        <v>0</v>
      </c>
      <c r="U187" s="130">
        <f t="shared" ref="U187:CA187" si="118">T187+sum(U182:U185)</f>
        <v>1000000</v>
      </c>
      <c r="V187" s="130">
        <f t="shared" si="118"/>
        <v>1000000</v>
      </c>
      <c r="W187" s="130">
        <f t="shared" si="118"/>
        <v>1000000</v>
      </c>
      <c r="X187" s="130">
        <f t="shared" si="118"/>
        <v>1000000</v>
      </c>
      <c r="Y187" s="130">
        <f t="shared" si="118"/>
        <v>1000000</v>
      </c>
      <c r="Z187" s="130">
        <f t="shared" si="118"/>
        <v>1000000</v>
      </c>
      <c r="AA187" s="130">
        <f t="shared" si="118"/>
        <v>1000000</v>
      </c>
      <c r="AB187" s="130">
        <f t="shared" si="118"/>
        <v>1000000</v>
      </c>
      <c r="AC187" s="130">
        <f t="shared" si="118"/>
        <v>1000000</v>
      </c>
      <c r="AD187" s="130">
        <f t="shared" si="118"/>
        <v>1000000</v>
      </c>
      <c r="AE187" s="130">
        <f t="shared" si="118"/>
        <v>1000000</v>
      </c>
      <c r="AF187" s="130">
        <f t="shared" si="118"/>
        <v>1000000</v>
      </c>
      <c r="AG187" s="130">
        <f t="shared" si="118"/>
        <v>1000000</v>
      </c>
      <c r="AH187" s="130">
        <f t="shared" si="118"/>
        <v>1000000</v>
      </c>
      <c r="AI187" s="130">
        <f t="shared" si="118"/>
        <v>1000000</v>
      </c>
      <c r="AJ187" s="130">
        <f t="shared" si="118"/>
        <v>1000000</v>
      </c>
      <c r="AK187" s="130">
        <f t="shared" si="118"/>
        <v>1000000</v>
      </c>
      <c r="AL187" s="130">
        <f t="shared" si="118"/>
        <v>1000000</v>
      </c>
      <c r="AM187" s="130">
        <f t="shared" si="118"/>
        <v>1000000</v>
      </c>
      <c r="AN187" s="130">
        <f t="shared" si="118"/>
        <v>1000000</v>
      </c>
      <c r="AO187" s="130">
        <f t="shared" si="118"/>
        <v>1000000</v>
      </c>
      <c r="AP187" s="130">
        <f t="shared" si="118"/>
        <v>1000000</v>
      </c>
      <c r="AQ187" s="130">
        <f t="shared" si="118"/>
        <v>1000000</v>
      </c>
      <c r="AR187" s="130">
        <f t="shared" si="118"/>
        <v>1000000</v>
      </c>
      <c r="AS187" s="130">
        <f t="shared" si="118"/>
        <v>1000000</v>
      </c>
      <c r="AT187" s="130">
        <f t="shared" si="118"/>
        <v>1000000</v>
      </c>
      <c r="AU187" s="130">
        <f t="shared" si="118"/>
        <v>1000000</v>
      </c>
      <c r="AV187" s="130">
        <f t="shared" si="118"/>
        <v>1000000</v>
      </c>
      <c r="AW187" s="130">
        <f t="shared" si="118"/>
        <v>1000000</v>
      </c>
      <c r="AX187" s="130">
        <f t="shared" si="118"/>
        <v>1000000</v>
      </c>
      <c r="AY187" s="130">
        <f t="shared" si="118"/>
        <v>1000000</v>
      </c>
      <c r="AZ187" s="130">
        <f t="shared" si="118"/>
        <v>1000000</v>
      </c>
      <c r="BA187" s="130">
        <f t="shared" si="118"/>
        <v>1000000</v>
      </c>
      <c r="BB187" s="130">
        <f t="shared" si="118"/>
        <v>1000000</v>
      </c>
      <c r="BC187" s="130">
        <f t="shared" si="118"/>
        <v>1000000</v>
      </c>
      <c r="BD187" s="130">
        <f t="shared" si="118"/>
        <v>1000000</v>
      </c>
      <c r="BE187" s="130">
        <f t="shared" si="118"/>
        <v>1000000</v>
      </c>
      <c r="BF187" s="130">
        <f t="shared" si="118"/>
        <v>1000000</v>
      </c>
      <c r="BG187" s="130">
        <f t="shared" si="118"/>
        <v>1000000</v>
      </c>
      <c r="BH187" s="130">
        <f t="shared" si="118"/>
        <v>1000000</v>
      </c>
      <c r="BI187" s="130">
        <f t="shared" si="118"/>
        <v>1000000</v>
      </c>
      <c r="BJ187" s="130">
        <f t="shared" si="118"/>
        <v>1000000</v>
      </c>
      <c r="BK187" s="130">
        <f t="shared" si="118"/>
        <v>1000000</v>
      </c>
      <c r="BL187" s="130">
        <f t="shared" si="118"/>
        <v>1000000</v>
      </c>
      <c r="BM187" s="130">
        <f t="shared" si="118"/>
        <v>1000000</v>
      </c>
      <c r="BN187" s="130">
        <f t="shared" si="118"/>
        <v>1000000</v>
      </c>
      <c r="BO187" s="130">
        <f t="shared" si="118"/>
        <v>1000000</v>
      </c>
      <c r="BP187" s="130">
        <f t="shared" si="118"/>
        <v>1000000</v>
      </c>
      <c r="BQ187" s="130">
        <f t="shared" si="118"/>
        <v>1000000</v>
      </c>
      <c r="BR187" s="130">
        <f t="shared" si="118"/>
        <v>1000000</v>
      </c>
      <c r="BS187" s="130">
        <f t="shared" si="118"/>
        <v>1000000</v>
      </c>
      <c r="BT187" s="130">
        <f t="shared" si="118"/>
        <v>1000000</v>
      </c>
      <c r="BU187" s="130">
        <f t="shared" si="118"/>
        <v>1000000</v>
      </c>
      <c r="BV187" s="130">
        <f t="shared" si="118"/>
        <v>1000000</v>
      </c>
      <c r="BW187" s="130">
        <f t="shared" si="118"/>
        <v>1000000</v>
      </c>
      <c r="BX187" s="130">
        <f t="shared" si="118"/>
        <v>1000000</v>
      </c>
      <c r="BY187" s="130">
        <f t="shared" si="118"/>
        <v>1000000</v>
      </c>
      <c r="BZ187" s="130">
        <f t="shared" si="118"/>
        <v>1000000</v>
      </c>
      <c r="CA187" s="130">
        <f t="shared" si="118"/>
        <v>1000000</v>
      </c>
    </row>
    <row r="188">
      <c r="A188" s="47"/>
      <c r="B188" s="47"/>
      <c r="C188" s="47"/>
      <c r="D188" s="47"/>
      <c r="E188" s="47"/>
      <c r="F188" s="47"/>
      <c r="G188" s="47"/>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row>
    <row r="189">
      <c r="A189" s="47"/>
      <c r="B189" s="47"/>
      <c r="C189" s="47"/>
      <c r="D189" s="47"/>
      <c r="E189" s="47"/>
      <c r="F189" s="47"/>
      <c r="G189" s="47"/>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row>
    <row r="190">
      <c r="A190" s="47"/>
      <c r="B190" s="47"/>
      <c r="C190" s="47"/>
      <c r="D190" s="47"/>
      <c r="E190" s="47"/>
      <c r="F190" s="47"/>
      <c r="G190" s="47"/>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row>
    <row r="191">
      <c r="A191" s="47"/>
      <c r="B191" s="47"/>
      <c r="C191" s="47"/>
      <c r="D191" s="47"/>
      <c r="E191" s="47"/>
      <c r="F191" s="47"/>
      <c r="G191" s="47"/>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row>
    <row r="192">
      <c r="A192" s="47"/>
      <c r="B192" s="47"/>
      <c r="C192" s="47"/>
      <c r="D192" s="47"/>
      <c r="E192" s="47"/>
      <c r="F192" s="47"/>
      <c r="G192" s="47"/>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row>
    <row r="193">
      <c r="A193" s="47"/>
      <c r="B193" s="47"/>
      <c r="C193" s="47"/>
      <c r="D193" s="47"/>
      <c r="E193" s="47"/>
      <c r="F193" s="47"/>
      <c r="G193" s="47"/>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row>
    <row r="194">
      <c r="A194" s="47"/>
      <c r="B194" s="47"/>
      <c r="C194" s="47"/>
      <c r="D194" s="47"/>
      <c r="E194" s="47"/>
      <c r="F194" s="47"/>
      <c r="G194" s="47"/>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row>
    <row r="195">
      <c r="A195" s="47"/>
      <c r="B195" s="47"/>
      <c r="C195" s="47"/>
      <c r="D195" s="47"/>
      <c r="E195" s="47"/>
      <c r="F195" s="47"/>
      <c r="G195" s="47"/>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row>
    <row r="196">
      <c r="A196" s="47"/>
      <c r="B196" s="47"/>
      <c r="C196" s="47"/>
      <c r="D196" s="47"/>
      <c r="E196" s="47"/>
      <c r="F196" s="47"/>
      <c r="G196" s="47"/>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row>
    <row r="197">
      <c r="A197" s="47"/>
      <c r="B197" s="47"/>
      <c r="C197" s="47"/>
      <c r="D197" s="47"/>
      <c r="E197" s="47"/>
      <c r="F197" s="47"/>
      <c r="G197" s="47"/>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row>
    <row r="198">
      <c r="A198" s="47"/>
      <c r="B198" s="47"/>
      <c r="C198" s="47"/>
      <c r="D198" s="47"/>
      <c r="E198" s="47"/>
      <c r="F198" s="47"/>
      <c r="G198" s="47"/>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row>
    <row r="199">
      <c r="A199" s="47"/>
      <c r="B199" s="47"/>
      <c r="C199" s="47"/>
      <c r="D199" s="47"/>
      <c r="E199" s="47"/>
      <c r="F199" s="47"/>
      <c r="G199" s="47"/>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row>
    <row r="200">
      <c r="A200" s="47"/>
      <c r="B200" s="47"/>
      <c r="C200" s="47"/>
      <c r="D200" s="47"/>
      <c r="E200" s="47"/>
      <c r="F200" s="47"/>
      <c r="G200" s="47"/>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row>
    <row r="201">
      <c r="A201" s="47"/>
      <c r="B201" s="47"/>
      <c r="C201" s="47"/>
      <c r="D201" s="47"/>
      <c r="E201" s="47"/>
      <c r="F201" s="47"/>
      <c r="G201" s="47"/>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row>
    <row r="202">
      <c r="A202" s="47"/>
      <c r="B202" s="47"/>
      <c r="C202" s="47"/>
      <c r="D202" s="47"/>
      <c r="E202" s="47"/>
      <c r="F202" s="47"/>
      <c r="G202" s="47"/>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row>
    <row r="203">
      <c r="A203" s="47"/>
      <c r="B203" s="47"/>
      <c r="C203" s="47"/>
      <c r="D203" s="47"/>
      <c r="E203" s="47"/>
      <c r="F203" s="47"/>
      <c r="G203" s="47"/>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row>
    <row r="204">
      <c r="A204" s="47"/>
      <c r="B204" s="47"/>
      <c r="C204" s="47"/>
      <c r="D204" s="47"/>
      <c r="E204" s="47"/>
      <c r="F204" s="47"/>
      <c r="G204" s="47"/>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row>
    <row r="205">
      <c r="A205" s="47"/>
      <c r="B205" s="47"/>
      <c r="C205" s="47"/>
      <c r="D205" s="47"/>
      <c r="E205" s="47"/>
      <c r="F205" s="47"/>
      <c r="G205" s="47"/>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row>
    <row r="206">
      <c r="A206" s="47"/>
      <c r="B206" s="47"/>
      <c r="C206" s="47"/>
      <c r="D206" s="47"/>
      <c r="E206" s="47"/>
      <c r="F206" s="47"/>
      <c r="G206" s="47"/>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row>
    <row r="207">
      <c r="A207" s="47"/>
      <c r="B207" s="47"/>
      <c r="C207" s="47"/>
      <c r="D207" s="47"/>
      <c r="E207" s="47"/>
      <c r="F207" s="47"/>
      <c r="G207" s="47"/>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row>
    <row r="208">
      <c r="A208" s="47"/>
      <c r="B208" s="47"/>
      <c r="C208" s="47"/>
      <c r="D208" s="47"/>
      <c r="E208" s="47"/>
      <c r="F208" s="47"/>
      <c r="G208" s="47"/>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row>
    <row r="209">
      <c r="A209" s="47"/>
      <c r="B209" s="47"/>
      <c r="C209" s="47"/>
      <c r="D209" s="47"/>
      <c r="E209" s="47"/>
      <c r="F209" s="47"/>
      <c r="G209" s="47"/>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row>
    <row r="210">
      <c r="A210" s="47"/>
      <c r="B210" s="47"/>
      <c r="C210" s="47"/>
      <c r="D210" s="47"/>
      <c r="E210" s="47"/>
      <c r="F210" s="47"/>
      <c r="G210" s="47"/>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row>
    <row r="211">
      <c r="A211" s="47"/>
      <c r="B211" s="47"/>
      <c r="C211" s="47"/>
      <c r="D211" s="47"/>
      <c r="E211" s="47"/>
      <c r="F211" s="47"/>
      <c r="G211" s="47"/>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row>
    <row r="212">
      <c r="A212" s="47"/>
      <c r="B212" s="47"/>
      <c r="C212" s="47"/>
      <c r="D212" s="47"/>
      <c r="E212" s="47"/>
      <c r="F212" s="47"/>
      <c r="G212" s="47"/>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row>
    <row r="213">
      <c r="A213" s="47"/>
      <c r="B213" s="47"/>
      <c r="C213" s="47"/>
      <c r="D213" s="47"/>
      <c r="E213" s="47"/>
      <c r="F213" s="47"/>
      <c r="G213" s="47"/>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row>
    <row r="214">
      <c r="A214" s="47"/>
      <c r="B214" s="47"/>
      <c r="C214" s="47"/>
      <c r="D214" s="47"/>
      <c r="E214" s="47"/>
      <c r="F214" s="47"/>
      <c r="G214" s="47"/>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row>
    <row r="215">
      <c r="A215" s="47"/>
      <c r="B215" s="47"/>
      <c r="C215" s="47"/>
      <c r="D215" s="47"/>
      <c r="E215" s="47"/>
      <c r="F215" s="47"/>
      <c r="G215" s="47"/>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row>
    <row r="216">
      <c r="A216" s="47"/>
      <c r="B216" s="47"/>
      <c r="C216" s="47"/>
      <c r="D216" s="47"/>
      <c r="E216" s="47"/>
      <c r="F216" s="47"/>
      <c r="G216" s="47"/>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row>
    <row r="217">
      <c r="A217" s="47"/>
      <c r="B217" s="47"/>
      <c r="C217" s="47"/>
      <c r="D217" s="47"/>
      <c r="E217" s="47"/>
      <c r="F217" s="47"/>
      <c r="G217" s="47"/>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row>
    <row r="218">
      <c r="A218" s="47"/>
      <c r="B218" s="47"/>
      <c r="C218" s="47"/>
      <c r="D218" s="47"/>
      <c r="E218" s="47"/>
      <c r="F218" s="47"/>
      <c r="G218" s="47"/>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row>
    <row r="219">
      <c r="A219" s="47"/>
      <c r="B219" s="47"/>
      <c r="C219" s="47"/>
      <c r="D219" s="47"/>
      <c r="E219" s="47"/>
      <c r="F219" s="47"/>
      <c r="G219" s="47"/>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row>
    <row r="220">
      <c r="A220" s="47"/>
      <c r="B220" s="47"/>
      <c r="C220" s="47"/>
      <c r="D220" s="47"/>
      <c r="E220" s="47"/>
      <c r="F220" s="47"/>
      <c r="G220" s="47"/>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row>
    <row r="221">
      <c r="A221" s="47"/>
      <c r="B221" s="47"/>
      <c r="C221" s="47"/>
      <c r="D221" s="47"/>
      <c r="E221" s="47"/>
      <c r="F221" s="47"/>
      <c r="G221" s="47"/>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row>
    <row r="222">
      <c r="A222" s="47"/>
      <c r="B222" s="47"/>
      <c r="C222" s="47"/>
      <c r="D222" s="47"/>
      <c r="E222" s="47"/>
      <c r="F222" s="47"/>
      <c r="G222" s="47"/>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row>
    <row r="223">
      <c r="A223" s="47"/>
      <c r="B223" s="47"/>
      <c r="C223" s="47"/>
      <c r="D223" s="47"/>
      <c r="E223" s="47"/>
      <c r="F223" s="47"/>
      <c r="G223" s="47"/>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row>
    <row r="224">
      <c r="A224" s="47"/>
      <c r="B224" s="47"/>
      <c r="C224" s="47"/>
      <c r="D224" s="47"/>
      <c r="E224" s="47"/>
      <c r="F224" s="47"/>
      <c r="G224" s="47"/>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row>
    <row r="225">
      <c r="A225" s="47"/>
      <c r="B225" s="47"/>
      <c r="C225" s="47"/>
      <c r="D225" s="47"/>
      <c r="E225" s="47"/>
      <c r="F225" s="47"/>
      <c r="G225" s="47"/>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row>
    <row r="226">
      <c r="A226" s="47"/>
      <c r="B226" s="47"/>
      <c r="C226" s="47"/>
      <c r="D226" s="47"/>
      <c r="E226" s="47"/>
      <c r="F226" s="47"/>
      <c r="G226" s="47"/>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row>
    <row r="227">
      <c r="A227" s="47"/>
      <c r="B227" s="47"/>
      <c r="C227" s="47"/>
      <c r="D227" s="47"/>
      <c r="E227" s="47"/>
      <c r="F227" s="47"/>
      <c r="G227" s="47"/>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row>
    <row r="228">
      <c r="A228" s="47"/>
      <c r="B228" s="47"/>
      <c r="C228" s="47"/>
      <c r="D228" s="47"/>
      <c r="E228" s="47"/>
      <c r="F228" s="47"/>
      <c r="G228" s="47"/>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row>
    <row r="229">
      <c r="A229" s="47"/>
      <c r="B229" s="47"/>
      <c r="C229" s="47"/>
      <c r="D229" s="47"/>
      <c r="E229" s="47"/>
      <c r="F229" s="47"/>
      <c r="G229" s="47"/>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row>
    <row r="230">
      <c r="A230" s="47"/>
      <c r="B230" s="47"/>
      <c r="C230" s="47"/>
      <c r="D230" s="47"/>
      <c r="E230" s="47"/>
      <c r="F230" s="47"/>
      <c r="G230" s="47"/>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row>
    <row r="231">
      <c r="A231" s="47"/>
      <c r="B231" s="47"/>
      <c r="C231" s="47"/>
      <c r="D231" s="47"/>
      <c r="E231" s="47"/>
      <c r="F231" s="47"/>
      <c r="G231" s="47"/>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row>
    <row r="232">
      <c r="A232" s="47"/>
      <c r="B232" s="47"/>
      <c r="C232" s="47"/>
      <c r="D232" s="47"/>
      <c r="E232" s="47"/>
      <c r="F232" s="47"/>
      <c r="G232" s="47"/>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row>
    <row r="233">
      <c r="A233" s="47"/>
      <c r="B233" s="47"/>
      <c r="C233" s="47"/>
      <c r="D233" s="47"/>
      <c r="E233" s="47"/>
      <c r="F233" s="47"/>
      <c r="G233" s="47"/>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row>
    <row r="234">
      <c r="A234" s="47"/>
      <c r="B234" s="47"/>
      <c r="C234" s="47"/>
      <c r="D234" s="47"/>
      <c r="E234" s="47"/>
      <c r="F234" s="47"/>
      <c r="G234" s="47"/>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row>
    <row r="235">
      <c r="A235" s="47"/>
      <c r="B235" s="47"/>
      <c r="C235" s="47"/>
      <c r="D235" s="47"/>
      <c r="E235" s="47"/>
      <c r="F235" s="47"/>
      <c r="G235" s="47"/>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row>
    <row r="236">
      <c r="A236" s="47"/>
      <c r="B236" s="47"/>
      <c r="C236" s="47"/>
      <c r="D236" s="47"/>
      <c r="E236" s="47"/>
      <c r="F236" s="47"/>
      <c r="G236" s="47"/>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row>
    <row r="237">
      <c r="A237" s="47"/>
      <c r="B237" s="47"/>
      <c r="C237" s="47"/>
      <c r="D237" s="47"/>
      <c r="E237" s="47"/>
      <c r="F237" s="47"/>
      <c r="G237" s="47"/>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row>
    <row r="238">
      <c r="A238" s="47"/>
      <c r="B238" s="47"/>
      <c r="C238" s="47"/>
      <c r="D238" s="47"/>
      <c r="E238" s="47"/>
      <c r="F238" s="47"/>
      <c r="G238" s="47"/>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row>
    <row r="239">
      <c r="A239" s="47"/>
      <c r="B239" s="47"/>
      <c r="C239" s="47"/>
      <c r="D239" s="47"/>
      <c r="E239" s="47"/>
      <c r="F239" s="47"/>
      <c r="G239" s="47"/>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row>
    <row r="240">
      <c r="A240" s="47"/>
      <c r="B240" s="47"/>
      <c r="C240" s="47"/>
      <c r="D240" s="47"/>
      <c r="E240" s="47"/>
      <c r="F240" s="47"/>
      <c r="G240" s="47"/>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row>
    <row r="241">
      <c r="A241" s="47"/>
      <c r="B241" s="47"/>
      <c r="C241" s="47"/>
      <c r="D241" s="47"/>
      <c r="E241" s="47"/>
      <c r="F241" s="47"/>
      <c r="G241" s="47"/>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row>
    <row r="242">
      <c r="A242" s="47"/>
      <c r="B242" s="47"/>
      <c r="C242" s="47"/>
      <c r="D242" s="47"/>
      <c r="E242" s="47"/>
      <c r="F242" s="47"/>
      <c r="G242" s="47"/>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row>
    <row r="243">
      <c r="A243" s="47"/>
      <c r="B243" s="47"/>
      <c r="C243" s="47"/>
      <c r="D243" s="47"/>
      <c r="E243" s="47"/>
      <c r="F243" s="47"/>
      <c r="G243" s="47"/>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row>
    <row r="244">
      <c r="A244" s="47"/>
      <c r="B244" s="47"/>
      <c r="C244" s="47"/>
      <c r="D244" s="47"/>
      <c r="E244" s="47"/>
      <c r="F244" s="47"/>
      <c r="G244" s="47"/>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row>
    <row r="245">
      <c r="A245" s="47"/>
      <c r="B245" s="47"/>
      <c r="C245" s="47"/>
      <c r="D245" s="47"/>
      <c r="E245" s="47"/>
      <c r="F245" s="47"/>
      <c r="G245" s="47"/>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row>
    <row r="246">
      <c r="A246" s="47"/>
      <c r="B246" s="47"/>
      <c r="C246" s="47"/>
      <c r="D246" s="47"/>
      <c r="E246" s="47"/>
      <c r="F246" s="47"/>
      <c r="G246" s="47"/>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row>
    <row r="247">
      <c r="A247" s="47"/>
      <c r="B247" s="47"/>
      <c r="C247" s="47"/>
      <c r="D247" s="47"/>
      <c r="E247" s="47"/>
      <c r="F247" s="47"/>
      <c r="G247" s="47"/>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row>
    <row r="248">
      <c r="A248" s="47"/>
      <c r="B248" s="47"/>
      <c r="C248" s="47"/>
      <c r="D248" s="47"/>
      <c r="E248" s="47"/>
      <c r="F248" s="47"/>
      <c r="G248" s="47"/>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row>
    <row r="249">
      <c r="A249" s="47"/>
      <c r="B249" s="47"/>
      <c r="C249" s="47"/>
      <c r="D249" s="47"/>
      <c r="E249" s="47"/>
      <c r="F249" s="47"/>
      <c r="G249" s="47"/>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row>
    <row r="250">
      <c r="A250" s="47"/>
      <c r="B250" s="47"/>
      <c r="C250" s="47"/>
      <c r="D250" s="47"/>
      <c r="E250" s="47"/>
      <c r="F250" s="47"/>
      <c r="G250" s="47"/>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row>
    <row r="251">
      <c r="A251" s="47"/>
      <c r="B251" s="47"/>
      <c r="C251" s="47"/>
      <c r="D251" s="47"/>
      <c r="E251" s="47"/>
      <c r="F251" s="47"/>
      <c r="G251" s="47"/>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row>
    <row r="252">
      <c r="A252" s="47"/>
      <c r="B252" s="47"/>
      <c r="C252" s="47"/>
      <c r="D252" s="47"/>
      <c r="E252" s="47"/>
      <c r="F252" s="47"/>
      <c r="G252" s="47"/>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row>
    <row r="253">
      <c r="A253" s="47"/>
      <c r="B253" s="47"/>
      <c r="C253" s="47"/>
      <c r="D253" s="47"/>
      <c r="E253" s="47"/>
      <c r="F253" s="47"/>
      <c r="G253" s="47"/>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row>
    <row r="254">
      <c r="A254" s="47"/>
      <c r="B254" s="47"/>
      <c r="C254" s="47"/>
      <c r="D254" s="47"/>
      <c r="E254" s="47"/>
      <c r="F254" s="47"/>
      <c r="G254" s="47"/>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row>
    <row r="255">
      <c r="A255" s="47"/>
      <c r="B255" s="47"/>
      <c r="C255" s="47"/>
      <c r="D255" s="47"/>
      <c r="E255" s="47"/>
      <c r="F255" s="47"/>
      <c r="G255" s="47"/>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row>
    <row r="256">
      <c r="A256" s="47"/>
      <c r="B256" s="47"/>
      <c r="C256" s="47"/>
      <c r="D256" s="47"/>
      <c r="E256" s="47"/>
      <c r="F256" s="47"/>
      <c r="G256" s="47"/>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row>
    <row r="257">
      <c r="A257" s="47"/>
      <c r="B257" s="47"/>
      <c r="C257" s="47"/>
      <c r="D257" s="47"/>
      <c r="E257" s="47"/>
      <c r="F257" s="47"/>
      <c r="G257" s="47"/>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row>
    <row r="258">
      <c r="A258" s="47"/>
      <c r="B258" s="47"/>
      <c r="C258" s="47"/>
      <c r="D258" s="47"/>
      <c r="E258" s="47"/>
      <c r="F258" s="47"/>
      <c r="G258" s="47"/>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row>
    <row r="259">
      <c r="A259" s="47"/>
      <c r="B259" s="47"/>
      <c r="C259" s="47"/>
      <c r="D259" s="47"/>
      <c r="E259" s="47"/>
      <c r="F259" s="47"/>
      <c r="G259" s="47"/>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row>
    <row r="260">
      <c r="A260" s="47"/>
      <c r="B260" s="47"/>
      <c r="C260" s="47"/>
      <c r="D260" s="47"/>
      <c r="E260" s="47"/>
      <c r="F260" s="47"/>
      <c r="G260" s="47"/>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row>
    <row r="261">
      <c r="A261" s="47"/>
      <c r="B261" s="47"/>
      <c r="C261" s="47"/>
      <c r="D261" s="47"/>
      <c r="E261" s="47"/>
      <c r="F261" s="47"/>
      <c r="G261" s="47"/>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row>
    <row r="262">
      <c r="A262" s="47"/>
      <c r="B262" s="47"/>
      <c r="C262" s="47"/>
      <c r="D262" s="47"/>
      <c r="E262" s="47"/>
      <c r="F262" s="47"/>
      <c r="G262" s="47"/>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row>
    <row r="263">
      <c r="A263" s="47"/>
      <c r="B263" s="47"/>
      <c r="C263" s="47"/>
      <c r="D263" s="47"/>
      <c r="E263" s="47"/>
      <c r="F263" s="47"/>
      <c r="G263" s="47"/>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row>
    <row r="264">
      <c r="A264" s="47"/>
      <c r="B264" s="47"/>
      <c r="C264" s="47"/>
      <c r="D264" s="47"/>
      <c r="E264" s="47"/>
      <c r="F264" s="47"/>
      <c r="G264" s="47"/>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row>
    <row r="265">
      <c r="A265" s="47"/>
      <c r="B265" s="47"/>
      <c r="C265" s="47"/>
      <c r="D265" s="47"/>
      <c r="E265" s="47"/>
      <c r="F265" s="47"/>
      <c r="G265" s="47"/>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row>
    <row r="266">
      <c r="A266" s="47"/>
      <c r="B266" s="47"/>
      <c r="C266" s="47"/>
      <c r="D266" s="47"/>
      <c r="E266" s="47"/>
      <c r="F266" s="47"/>
      <c r="G266" s="47"/>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row>
    <row r="267">
      <c r="A267" s="47"/>
      <c r="B267" s="47"/>
      <c r="C267" s="47"/>
      <c r="D267" s="47"/>
      <c r="E267" s="47"/>
      <c r="F267" s="47"/>
      <c r="G267" s="47"/>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row>
    <row r="268">
      <c r="A268" s="47"/>
      <c r="B268" s="47"/>
      <c r="C268" s="47"/>
      <c r="D268" s="47"/>
      <c r="E268" s="47"/>
      <c r="F268" s="47"/>
      <c r="G268" s="47"/>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row>
    <row r="269">
      <c r="A269" s="47"/>
      <c r="B269" s="47"/>
      <c r="C269" s="47"/>
      <c r="D269" s="47"/>
      <c r="E269" s="47"/>
      <c r="F269" s="47"/>
      <c r="G269" s="47"/>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row>
    <row r="270">
      <c r="A270" s="47"/>
      <c r="B270" s="47"/>
      <c r="C270" s="47"/>
      <c r="D270" s="47"/>
      <c r="E270" s="47"/>
      <c r="F270" s="47"/>
      <c r="G270" s="47"/>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row>
    <row r="271">
      <c r="A271" s="47"/>
      <c r="B271" s="47"/>
      <c r="C271" s="47"/>
      <c r="D271" s="47"/>
      <c r="E271" s="47"/>
      <c r="F271" s="47"/>
      <c r="G271" s="47"/>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row>
    <row r="272">
      <c r="A272" s="47"/>
      <c r="B272" s="47"/>
      <c r="C272" s="47"/>
      <c r="D272" s="47"/>
      <c r="E272" s="47"/>
      <c r="F272" s="47"/>
      <c r="G272" s="47"/>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row>
    <row r="273">
      <c r="A273" s="47"/>
      <c r="B273" s="47"/>
      <c r="C273" s="47"/>
      <c r="D273" s="47"/>
      <c r="E273" s="47"/>
      <c r="F273" s="47"/>
      <c r="G273" s="47"/>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row>
    <row r="274">
      <c r="A274" s="47"/>
      <c r="B274" s="47"/>
      <c r="C274" s="47"/>
      <c r="D274" s="47"/>
      <c r="E274" s="47"/>
      <c r="F274" s="47"/>
      <c r="G274" s="47"/>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row>
    <row r="275">
      <c r="A275" s="47"/>
      <c r="B275" s="47"/>
      <c r="C275" s="47"/>
      <c r="D275" s="47"/>
      <c r="E275" s="47"/>
      <c r="F275" s="47"/>
      <c r="G275" s="47"/>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row>
    <row r="276">
      <c r="A276" s="47"/>
      <c r="B276" s="47"/>
      <c r="C276" s="47"/>
      <c r="D276" s="47"/>
      <c r="E276" s="47"/>
      <c r="F276" s="47"/>
      <c r="G276" s="47"/>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row>
    <row r="277">
      <c r="A277" s="47"/>
      <c r="B277" s="47"/>
      <c r="C277" s="47"/>
      <c r="D277" s="47"/>
      <c r="E277" s="47"/>
      <c r="F277" s="47"/>
      <c r="G277" s="47"/>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row>
    <row r="278">
      <c r="A278" s="47"/>
      <c r="B278" s="47"/>
      <c r="C278" s="47"/>
      <c r="D278" s="47"/>
      <c r="E278" s="47"/>
      <c r="F278" s="47"/>
      <c r="G278" s="47"/>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row>
    <row r="279">
      <c r="A279" s="47"/>
      <c r="B279" s="47"/>
      <c r="C279" s="47"/>
      <c r="D279" s="47"/>
      <c r="E279" s="47"/>
      <c r="F279" s="47"/>
      <c r="G279" s="47"/>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row>
    <row r="280">
      <c r="A280" s="47"/>
      <c r="B280" s="47"/>
      <c r="C280" s="47"/>
      <c r="D280" s="47"/>
      <c r="E280" s="47"/>
      <c r="F280" s="47"/>
      <c r="G280" s="47"/>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43"/>
      <c r="BY280" s="43"/>
      <c r="BZ280" s="43"/>
      <c r="CA280" s="43"/>
    </row>
    <row r="281">
      <c r="A281" s="47"/>
      <c r="B281" s="47"/>
      <c r="C281" s="47"/>
      <c r="D281" s="47"/>
      <c r="E281" s="47"/>
      <c r="F281" s="47"/>
      <c r="G281" s="47"/>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43"/>
      <c r="BZ281" s="43"/>
      <c r="CA281" s="43"/>
    </row>
    <row r="282">
      <c r="A282" s="47"/>
      <c r="B282" s="47"/>
      <c r="C282" s="47"/>
      <c r="D282" s="47"/>
      <c r="E282" s="47"/>
      <c r="F282" s="47"/>
      <c r="G282" s="47"/>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43"/>
      <c r="BZ282" s="43"/>
      <c r="CA282" s="43"/>
    </row>
    <row r="283">
      <c r="A283" s="47"/>
      <c r="B283" s="47"/>
      <c r="C283" s="47"/>
      <c r="D283" s="47"/>
      <c r="E283" s="47"/>
      <c r="F283" s="47"/>
      <c r="G283" s="47"/>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3"/>
      <c r="BZ283" s="43"/>
      <c r="CA283" s="43"/>
    </row>
    <row r="284">
      <c r="A284" s="47"/>
      <c r="B284" s="47"/>
      <c r="C284" s="47"/>
      <c r="D284" s="47"/>
      <c r="E284" s="47"/>
      <c r="F284" s="47"/>
      <c r="G284" s="47"/>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43"/>
      <c r="BY284" s="43"/>
      <c r="BZ284" s="43"/>
      <c r="CA284" s="43"/>
    </row>
    <row r="285">
      <c r="A285" s="47"/>
      <c r="B285" s="47"/>
      <c r="C285" s="47"/>
      <c r="D285" s="47"/>
      <c r="E285" s="47"/>
      <c r="F285" s="47"/>
      <c r="G285" s="47"/>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43"/>
      <c r="BY285" s="43"/>
      <c r="BZ285" s="43"/>
      <c r="CA285" s="43"/>
    </row>
    <row r="286">
      <c r="A286" s="47"/>
      <c r="B286" s="47"/>
      <c r="C286" s="47"/>
      <c r="D286" s="47"/>
      <c r="E286" s="47"/>
      <c r="F286" s="47"/>
      <c r="G286" s="47"/>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43"/>
      <c r="BZ286" s="43"/>
      <c r="CA286" s="43"/>
    </row>
    <row r="287">
      <c r="A287" s="47"/>
      <c r="B287" s="47"/>
      <c r="C287" s="47"/>
      <c r="D287" s="47"/>
      <c r="E287" s="47"/>
      <c r="F287" s="47"/>
      <c r="G287" s="47"/>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c r="BO287" s="43"/>
      <c r="BP287" s="43"/>
      <c r="BQ287" s="43"/>
      <c r="BR287" s="43"/>
      <c r="BS287" s="43"/>
      <c r="BT287" s="43"/>
      <c r="BU287" s="43"/>
      <c r="BV287" s="43"/>
      <c r="BW287" s="43"/>
      <c r="BX287" s="43"/>
      <c r="BY287" s="43"/>
      <c r="BZ287" s="43"/>
      <c r="CA287" s="43"/>
    </row>
    <row r="288">
      <c r="A288" s="47"/>
      <c r="B288" s="47"/>
      <c r="C288" s="47"/>
      <c r="D288" s="47"/>
      <c r="E288" s="47"/>
      <c r="F288" s="47"/>
      <c r="G288" s="47"/>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3"/>
      <c r="BY288" s="43"/>
      <c r="BZ288" s="43"/>
      <c r="CA288" s="43"/>
    </row>
    <row r="289">
      <c r="A289" s="47"/>
      <c r="B289" s="47"/>
      <c r="C289" s="47"/>
      <c r="D289" s="47"/>
      <c r="E289" s="47"/>
      <c r="F289" s="47"/>
      <c r="G289" s="47"/>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3"/>
      <c r="BW289" s="43"/>
      <c r="BX289" s="43"/>
      <c r="BY289" s="43"/>
      <c r="BZ289" s="43"/>
      <c r="CA289" s="43"/>
    </row>
    <row r="290">
      <c r="A290" s="47"/>
      <c r="B290" s="47"/>
      <c r="C290" s="47"/>
      <c r="D290" s="47"/>
      <c r="E290" s="47"/>
      <c r="F290" s="47"/>
      <c r="G290" s="47"/>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c r="BO290" s="43"/>
      <c r="BP290" s="43"/>
      <c r="BQ290" s="43"/>
      <c r="BR290" s="43"/>
      <c r="BS290" s="43"/>
      <c r="BT290" s="43"/>
      <c r="BU290" s="43"/>
      <c r="BV290" s="43"/>
      <c r="BW290" s="43"/>
      <c r="BX290" s="43"/>
      <c r="BY290" s="43"/>
      <c r="BZ290" s="43"/>
      <c r="CA290" s="43"/>
    </row>
    <row r="291">
      <c r="A291" s="47"/>
      <c r="B291" s="47"/>
      <c r="C291" s="47"/>
      <c r="D291" s="47"/>
      <c r="E291" s="47"/>
      <c r="F291" s="47"/>
      <c r="G291" s="47"/>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c r="BO291" s="43"/>
      <c r="BP291" s="43"/>
      <c r="BQ291" s="43"/>
      <c r="BR291" s="43"/>
      <c r="BS291" s="43"/>
      <c r="BT291" s="43"/>
      <c r="BU291" s="43"/>
      <c r="BV291" s="43"/>
      <c r="BW291" s="43"/>
      <c r="BX291" s="43"/>
      <c r="BY291" s="43"/>
      <c r="BZ291" s="43"/>
      <c r="CA291" s="43"/>
    </row>
    <row r="292">
      <c r="A292" s="47"/>
      <c r="B292" s="47"/>
      <c r="C292" s="47"/>
      <c r="D292" s="47"/>
      <c r="E292" s="47"/>
      <c r="F292" s="47"/>
      <c r="G292" s="47"/>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3"/>
      <c r="BY292" s="43"/>
      <c r="BZ292" s="43"/>
      <c r="CA292" s="43"/>
    </row>
    <row r="293">
      <c r="A293" s="47"/>
      <c r="B293" s="47"/>
      <c r="C293" s="47"/>
      <c r="D293" s="47"/>
      <c r="E293" s="47"/>
      <c r="F293" s="47"/>
      <c r="G293" s="47"/>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row>
    <row r="294">
      <c r="A294" s="47"/>
      <c r="B294" s="47"/>
      <c r="C294" s="47"/>
      <c r="D294" s="47"/>
      <c r="E294" s="47"/>
      <c r="F294" s="47"/>
      <c r="G294" s="47"/>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row>
    <row r="295">
      <c r="A295" s="47"/>
      <c r="B295" s="47"/>
      <c r="C295" s="47"/>
      <c r="D295" s="47"/>
      <c r="E295" s="47"/>
      <c r="F295" s="47"/>
      <c r="G295" s="47"/>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row>
    <row r="296">
      <c r="A296" s="47"/>
      <c r="B296" s="47"/>
      <c r="C296" s="47"/>
      <c r="D296" s="47"/>
      <c r="E296" s="47"/>
      <c r="F296" s="47"/>
      <c r="G296" s="47"/>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row>
    <row r="297">
      <c r="A297" s="47"/>
      <c r="B297" s="47"/>
      <c r="C297" s="47"/>
      <c r="D297" s="47"/>
      <c r="E297" s="47"/>
      <c r="F297" s="47"/>
      <c r="G297" s="47"/>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row>
    <row r="298">
      <c r="A298" s="47"/>
      <c r="B298" s="47"/>
      <c r="C298" s="47"/>
      <c r="D298" s="47"/>
      <c r="E298" s="47"/>
      <c r="F298" s="47"/>
      <c r="G298" s="47"/>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row>
    <row r="299">
      <c r="A299" s="47"/>
      <c r="B299" s="47"/>
      <c r="C299" s="47"/>
      <c r="D299" s="47"/>
      <c r="E299" s="47"/>
      <c r="F299" s="47"/>
      <c r="G299" s="47"/>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row>
    <row r="300">
      <c r="A300" s="47"/>
      <c r="B300" s="47"/>
      <c r="C300" s="47"/>
      <c r="D300" s="47"/>
      <c r="E300" s="47"/>
      <c r="F300" s="47"/>
      <c r="G300" s="47"/>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row>
    <row r="301">
      <c r="A301" s="47"/>
      <c r="B301" s="47"/>
      <c r="C301" s="47"/>
      <c r="D301" s="47"/>
      <c r="E301" s="47"/>
      <c r="F301" s="47"/>
      <c r="G301" s="47"/>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row>
    <row r="302">
      <c r="A302" s="47"/>
      <c r="B302" s="47"/>
      <c r="C302" s="47"/>
      <c r="D302" s="47"/>
      <c r="E302" s="47"/>
      <c r="F302" s="47"/>
      <c r="G302" s="47"/>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row>
    <row r="303">
      <c r="A303" s="47"/>
      <c r="B303" s="47"/>
      <c r="C303" s="47"/>
      <c r="D303" s="47"/>
      <c r="E303" s="47"/>
      <c r="F303" s="47"/>
      <c r="G303" s="47"/>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row>
    <row r="304">
      <c r="A304" s="47"/>
      <c r="B304" s="47"/>
      <c r="C304" s="47"/>
      <c r="D304" s="47"/>
      <c r="E304" s="47"/>
      <c r="F304" s="47"/>
      <c r="G304" s="47"/>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row>
    <row r="305">
      <c r="A305" s="47"/>
      <c r="B305" s="47"/>
      <c r="C305" s="47"/>
      <c r="D305" s="47"/>
      <c r="E305" s="47"/>
      <c r="F305" s="47"/>
      <c r="G305" s="47"/>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row>
    <row r="306">
      <c r="A306" s="47"/>
      <c r="B306" s="47"/>
      <c r="C306" s="47"/>
      <c r="D306" s="47"/>
      <c r="E306" s="47"/>
      <c r="F306" s="47"/>
      <c r="G306" s="47"/>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row>
    <row r="307">
      <c r="A307" s="47"/>
      <c r="B307" s="47"/>
      <c r="C307" s="47"/>
      <c r="D307" s="47"/>
      <c r="E307" s="47"/>
      <c r="F307" s="47"/>
      <c r="G307" s="47"/>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row>
    <row r="308">
      <c r="A308" s="47"/>
      <c r="B308" s="47"/>
      <c r="C308" s="47"/>
      <c r="D308" s="47"/>
      <c r="E308" s="47"/>
      <c r="F308" s="47"/>
      <c r="G308" s="47"/>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row>
    <row r="309">
      <c r="A309" s="47"/>
      <c r="B309" s="47"/>
      <c r="C309" s="47"/>
      <c r="D309" s="47"/>
      <c r="E309" s="47"/>
      <c r="F309" s="47"/>
      <c r="G309" s="47"/>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row>
    <row r="310">
      <c r="A310" s="47"/>
      <c r="B310" s="47"/>
      <c r="C310" s="47"/>
      <c r="D310" s="47"/>
      <c r="E310" s="47"/>
      <c r="F310" s="47"/>
      <c r="G310" s="47"/>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row>
    <row r="311">
      <c r="A311" s="47"/>
      <c r="B311" s="47"/>
      <c r="C311" s="47"/>
      <c r="D311" s="47"/>
      <c r="E311" s="47"/>
      <c r="F311" s="47"/>
      <c r="G311" s="47"/>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row>
    <row r="312">
      <c r="A312" s="47"/>
      <c r="B312" s="47"/>
      <c r="C312" s="47"/>
      <c r="D312" s="47"/>
      <c r="E312" s="47"/>
      <c r="F312" s="47"/>
      <c r="G312" s="47"/>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row>
    <row r="313">
      <c r="A313" s="47"/>
      <c r="B313" s="47"/>
      <c r="C313" s="47"/>
      <c r="D313" s="47"/>
      <c r="E313" s="47"/>
      <c r="F313" s="47"/>
      <c r="G313" s="47"/>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row>
    <row r="314">
      <c r="A314" s="47"/>
      <c r="B314" s="47"/>
      <c r="C314" s="47"/>
      <c r="D314" s="47"/>
      <c r="E314" s="47"/>
      <c r="F314" s="47"/>
      <c r="G314" s="47"/>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row>
    <row r="315">
      <c r="A315" s="47"/>
      <c r="B315" s="47"/>
      <c r="C315" s="47"/>
      <c r="D315" s="47"/>
      <c r="E315" s="47"/>
      <c r="F315" s="47"/>
      <c r="G315" s="47"/>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row>
    <row r="316">
      <c r="A316" s="47"/>
      <c r="B316" s="47"/>
      <c r="C316" s="47"/>
      <c r="D316" s="47"/>
      <c r="E316" s="47"/>
      <c r="F316" s="47"/>
      <c r="G316" s="47"/>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row>
    <row r="317">
      <c r="A317" s="47"/>
      <c r="B317" s="47"/>
      <c r="C317" s="47"/>
      <c r="D317" s="47"/>
      <c r="E317" s="47"/>
      <c r="F317" s="47"/>
      <c r="G317" s="47"/>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row>
    <row r="318">
      <c r="A318" s="47"/>
      <c r="B318" s="47"/>
      <c r="C318" s="47"/>
      <c r="D318" s="47"/>
      <c r="E318" s="47"/>
      <c r="F318" s="47"/>
      <c r="G318" s="47"/>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row>
    <row r="319">
      <c r="A319" s="47"/>
      <c r="B319" s="47"/>
      <c r="C319" s="47"/>
      <c r="D319" s="47"/>
      <c r="E319" s="47"/>
      <c r="F319" s="47"/>
      <c r="G319" s="47"/>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row>
    <row r="320">
      <c r="A320" s="47"/>
      <c r="B320" s="47"/>
      <c r="C320" s="47"/>
      <c r="D320" s="47"/>
      <c r="E320" s="47"/>
      <c r="F320" s="47"/>
      <c r="G320" s="47"/>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row>
    <row r="321">
      <c r="A321" s="47"/>
      <c r="B321" s="47"/>
      <c r="C321" s="47"/>
      <c r="D321" s="47"/>
      <c r="E321" s="47"/>
      <c r="F321" s="47"/>
      <c r="G321" s="47"/>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row>
    <row r="322">
      <c r="A322" s="47"/>
      <c r="B322" s="47"/>
      <c r="C322" s="47"/>
      <c r="D322" s="47"/>
      <c r="E322" s="47"/>
      <c r="F322" s="47"/>
      <c r="G322" s="47"/>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row>
    <row r="323">
      <c r="A323" s="47"/>
      <c r="B323" s="47"/>
      <c r="C323" s="47"/>
      <c r="D323" s="47"/>
      <c r="E323" s="47"/>
      <c r="F323" s="47"/>
      <c r="G323" s="47"/>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row>
    <row r="324">
      <c r="A324" s="47"/>
      <c r="B324" s="47"/>
      <c r="C324" s="47"/>
      <c r="D324" s="47"/>
      <c r="E324" s="47"/>
      <c r="F324" s="47"/>
      <c r="G324" s="47"/>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row>
    <row r="325">
      <c r="A325" s="47"/>
      <c r="B325" s="47"/>
      <c r="C325" s="47"/>
      <c r="D325" s="47"/>
      <c r="E325" s="47"/>
      <c r="F325" s="47"/>
      <c r="G325" s="47"/>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row>
    <row r="326">
      <c r="A326" s="47"/>
      <c r="B326" s="47"/>
      <c r="C326" s="47"/>
      <c r="D326" s="47"/>
      <c r="E326" s="47"/>
      <c r="F326" s="47"/>
      <c r="G326" s="47"/>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c r="BO326" s="43"/>
      <c r="BP326" s="43"/>
      <c r="BQ326" s="43"/>
      <c r="BR326" s="43"/>
      <c r="BS326" s="43"/>
      <c r="BT326" s="43"/>
      <c r="BU326" s="43"/>
      <c r="BV326" s="43"/>
      <c r="BW326" s="43"/>
      <c r="BX326" s="43"/>
      <c r="BY326" s="43"/>
      <c r="BZ326" s="43"/>
      <c r="CA326" s="43"/>
    </row>
    <row r="327">
      <c r="A327" s="47"/>
      <c r="B327" s="47"/>
      <c r="C327" s="47"/>
      <c r="D327" s="47"/>
      <c r="E327" s="47"/>
      <c r="F327" s="47"/>
      <c r="G327" s="47"/>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c r="BO327" s="43"/>
      <c r="BP327" s="43"/>
      <c r="BQ327" s="43"/>
      <c r="BR327" s="43"/>
      <c r="BS327" s="43"/>
      <c r="BT327" s="43"/>
      <c r="BU327" s="43"/>
      <c r="BV327" s="43"/>
      <c r="BW327" s="43"/>
      <c r="BX327" s="43"/>
      <c r="BY327" s="43"/>
      <c r="BZ327" s="43"/>
      <c r="CA327" s="43"/>
    </row>
    <row r="328">
      <c r="A328" s="47"/>
      <c r="B328" s="47"/>
      <c r="C328" s="47"/>
      <c r="D328" s="47"/>
      <c r="E328" s="47"/>
      <c r="F328" s="47"/>
      <c r="G328" s="47"/>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row>
    <row r="329">
      <c r="A329" s="47"/>
      <c r="B329" s="47"/>
      <c r="C329" s="47"/>
      <c r="D329" s="47"/>
      <c r="E329" s="47"/>
      <c r="F329" s="47"/>
      <c r="G329" s="47"/>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row>
    <row r="330">
      <c r="A330" s="47"/>
      <c r="B330" s="47"/>
      <c r="C330" s="47"/>
      <c r="D330" s="47"/>
      <c r="E330" s="47"/>
      <c r="F330" s="47"/>
      <c r="G330" s="47"/>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row>
    <row r="331">
      <c r="A331" s="47"/>
      <c r="B331" s="47"/>
      <c r="C331" s="47"/>
      <c r="D331" s="47"/>
      <c r="E331" s="47"/>
      <c r="F331" s="47"/>
      <c r="G331" s="47"/>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row>
    <row r="332">
      <c r="A332" s="47"/>
      <c r="B332" s="47"/>
      <c r="C332" s="47"/>
      <c r="D332" s="47"/>
      <c r="E332" s="47"/>
      <c r="F332" s="47"/>
      <c r="G332" s="47"/>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c r="BO332" s="43"/>
      <c r="BP332" s="43"/>
      <c r="BQ332" s="43"/>
      <c r="BR332" s="43"/>
      <c r="BS332" s="43"/>
      <c r="BT332" s="43"/>
      <c r="BU332" s="43"/>
      <c r="BV332" s="43"/>
      <c r="BW332" s="43"/>
      <c r="BX332" s="43"/>
      <c r="BY332" s="43"/>
      <c r="BZ332" s="43"/>
      <c r="CA332" s="43"/>
    </row>
    <row r="333">
      <c r="A333" s="47"/>
      <c r="B333" s="47"/>
      <c r="C333" s="47"/>
      <c r="D333" s="47"/>
      <c r="E333" s="47"/>
      <c r="F333" s="47"/>
      <c r="G333" s="47"/>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c r="BO333" s="43"/>
      <c r="BP333" s="43"/>
      <c r="BQ333" s="43"/>
      <c r="BR333" s="43"/>
      <c r="BS333" s="43"/>
      <c r="BT333" s="43"/>
      <c r="BU333" s="43"/>
      <c r="BV333" s="43"/>
      <c r="BW333" s="43"/>
      <c r="BX333" s="43"/>
      <c r="BY333" s="43"/>
      <c r="BZ333" s="43"/>
      <c r="CA333" s="43"/>
    </row>
    <row r="334">
      <c r="A334" s="47"/>
      <c r="B334" s="47"/>
      <c r="C334" s="47"/>
      <c r="D334" s="47"/>
      <c r="E334" s="47"/>
      <c r="F334" s="47"/>
      <c r="G334" s="47"/>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c r="BO334" s="43"/>
      <c r="BP334" s="43"/>
      <c r="BQ334" s="43"/>
      <c r="BR334" s="43"/>
      <c r="BS334" s="43"/>
      <c r="BT334" s="43"/>
      <c r="BU334" s="43"/>
      <c r="BV334" s="43"/>
      <c r="BW334" s="43"/>
      <c r="BX334" s="43"/>
      <c r="BY334" s="43"/>
      <c r="BZ334" s="43"/>
      <c r="CA334" s="43"/>
    </row>
    <row r="335">
      <c r="A335" s="47"/>
      <c r="B335" s="47"/>
      <c r="C335" s="47"/>
      <c r="D335" s="47"/>
      <c r="E335" s="47"/>
      <c r="F335" s="47"/>
      <c r="G335" s="47"/>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c r="BO335" s="43"/>
      <c r="BP335" s="43"/>
      <c r="BQ335" s="43"/>
      <c r="BR335" s="43"/>
      <c r="BS335" s="43"/>
      <c r="BT335" s="43"/>
      <c r="BU335" s="43"/>
      <c r="BV335" s="43"/>
      <c r="BW335" s="43"/>
      <c r="BX335" s="43"/>
      <c r="BY335" s="43"/>
      <c r="BZ335" s="43"/>
      <c r="CA335" s="43"/>
    </row>
    <row r="336">
      <c r="A336" s="47"/>
      <c r="B336" s="47"/>
      <c r="C336" s="47"/>
      <c r="D336" s="47"/>
      <c r="E336" s="47"/>
      <c r="F336" s="47"/>
      <c r="G336" s="47"/>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3"/>
      <c r="BY336" s="43"/>
      <c r="BZ336" s="43"/>
      <c r="CA336" s="43"/>
    </row>
    <row r="337">
      <c r="A337" s="47"/>
      <c r="B337" s="47"/>
      <c r="C337" s="47"/>
      <c r="D337" s="47"/>
      <c r="E337" s="47"/>
      <c r="F337" s="47"/>
      <c r="G337" s="47"/>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c r="BO337" s="43"/>
      <c r="BP337" s="43"/>
      <c r="BQ337" s="43"/>
      <c r="BR337" s="43"/>
      <c r="BS337" s="43"/>
      <c r="BT337" s="43"/>
      <c r="BU337" s="43"/>
      <c r="BV337" s="43"/>
      <c r="BW337" s="43"/>
      <c r="BX337" s="43"/>
      <c r="BY337" s="43"/>
      <c r="BZ337" s="43"/>
      <c r="CA337" s="43"/>
    </row>
    <row r="338">
      <c r="A338" s="47"/>
      <c r="B338" s="47"/>
      <c r="C338" s="47"/>
      <c r="D338" s="47"/>
      <c r="E338" s="47"/>
      <c r="F338" s="47"/>
      <c r="G338" s="47"/>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c r="BO338" s="43"/>
      <c r="BP338" s="43"/>
      <c r="BQ338" s="43"/>
      <c r="BR338" s="43"/>
      <c r="BS338" s="43"/>
      <c r="BT338" s="43"/>
      <c r="BU338" s="43"/>
      <c r="BV338" s="43"/>
      <c r="BW338" s="43"/>
      <c r="BX338" s="43"/>
      <c r="BY338" s="43"/>
      <c r="BZ338" s="43"/>
      <c r="CA338" s="43"/>
    </row>
    <row r="339">
      <c r="A339" s="47"/>
      <c r="B339" s="47"/>
      <c r="C339" s="47"/>
      <c r="D339" s="47"/>
      <c r="E339" s="47"/>
      <c r="F339" s="47"/>
      <c r="G339" s="47"/>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c r="BO339" s="43"/>
      <c r="BP339" s="43"/>
      <c r="BQ339" s="43"/>
      <c r="BR339" s="43"/>
      <c r="BS339" s="43"/>
      <c r="BT339" s="43"/>
      <c r="BU339" s="43"/>
      <c r="BV339" s="43"/>
      <c r="BW339" s="43"/>
      <c r="BX339" s="43"/>
      <c r="BY339" s="43"/>
      <c r="BZ339" s="43"/>
      <c r="CA339" s="43"/>
    </row>
    <row r="340">
      <c r="A340" s="47"/>
      <c r="B340" s="47"/>
      <c r="C340" s="47"/>
      <c r="D340" s="47"/>
      <c r="E340" s="47"/>
      <c r="F340" s="47"/>
      <c r="G340" s="47"/>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c r="BO340" s="43"/>
      <c r="BP340" s="43"/>
      <c r="BQ340" s="43"/>
      <c r="BR340" s="43"/>
      <c r="BS340" s="43"/>
      <c r="BT340" s="43"/>
      <c r="BU340" s="43"/>
      <c r="BV340" s="43"/>
      <c r="BW340" s="43"/>
      <c r="BX340" s="43"/>
      <c r="BY340" s="43"/>
      <c r="BZ340" s="43"/>
      <c r="CA340" s="43"/>
    </row>
    <row r="341">
      <c r="A341" s="47"/>
      <c r="B341" s="47"/>
      <c r="C341" s="47"/>
      <c r="D341" s="47"/>
      <c r="E341" s="47"/>
      <c r="F341" s="47"/>
      <c r="G341" s="47"/>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c r="BO341" s="43"/>
      <c r="BP341" s="43"/>
      <c r="BQ341" s="43"/>
      <c r="BR341" s="43"/>
      <c r="BS341" s="43"/>
      <c r="BT341" s="43"/>
      <c r="BU341" s="43"/>
      <c r="BV341" s="43"/>
      <c r="BW341" s="43"/>
      <c r="BX341" s="43"/>
      <c r="BY341" s="43"/>
      <c r="BZ341" s="43"/>
      <c r="CA341" s="43"/>
    </row>
    <row r="342">
      <c r="A342" s="47"/>
      <c r="B342" s="47"/>
      <c r="C342" s="47"/>
      <c r="D342" s="47"/>
      <c r="E342" s="47"/>
      <c r="F342" s="47"/>
      <c r="G342" s="47"/>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c r="BO342" s="43"/>
      <c r="BP342" s="43"/>
      <c r="BQ342" s="43"/>
      <c r="BR342" s="43"/>
      <c r="BS342" s="43"/>
      <c r="BT342" s="43"/>
      <c r="BU342" s="43"/>
      <c r="BV342" s="43"/>
      <c r="BW342" s="43"/>
      <c r="BX342" s="43"/>
      <c r="BY342" s="43"/>
      <c r="BZ342" s="43"/>
      <c r="CA342" s="43"/>
    </row>
    <row r="343">
      <c r="A343" s="47"/>
      <c r="B343" s="47"/>
      <c r="C343" s="47"/>
      <c r="D343" s="47"/>
      <c r="E343" s="47"/>
      <c r="F343" s="47"/>
      <c r="G343" s="47"/>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c r="BO343" s="43"/>
      <c r="BP343" s="43"/>
      <c r="BQ343" s="43"/>
      <c r="BR343" s="43"/>
      <c r="BS343" s="43"/>
      <c r="BT343" s="43"/>
      <c r="BU343" s="43"/>
      <c r="BV343" s="43"/>
      <c r="BW343" s="43"/>
      <c r="BX343" s="43"/>
      <c r="BY343" s="43"/>
      <c r="BZ343" s="43"/>
      <c r="CA343" s="43"/>
    </row>
    <row r="344">
      <c r="A344" s="47"/>
      <c r="B344" s="47"/>
      <c r="C344" s="47"/>
      <c r="D344" s="47"/>
      <c r="E344" s="47"/>
      <c r="F344" s="47"/>
      <c r="G344" s="47"/>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3"/>
      <c r="BY344" s="43"/>
      <c r="BZ344" s="43"/>
      <c r="CA344" s="43"/>
    </row>
    <row r="345">
      <c r="A345" s="47"/>
      <c r="B345" s="47"/>
      <c r="C345" s="47"/>
      <c r="D345" s="47"/>
      <c r="E345" s="47"/>
      <c r="F345" s="47"/>
      <c r="G345" s="47"/>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c r="BO345" s="43"/>
      <c r="BP345" s="43"/>
      <c r="BQ345" s="43"/>
      <c r="BR345" s="43"/>
      <c r="BS345" s="43"/>
      <c r="BT345" s="43"/>
      <c r="BU345" s="43"/>
      <c r="BV345" s="43"/>
      <c r="BW345" s="43"/>
      <c r="BX345" s="43"/>
      <c r="BY345" s="43"/>
      <c r="BZ345" s="43"/>
      <c r="CA345" s="43"/>
    </row>
    <row r="346">
      <c r="A346" s="47"/>
      <c r="B346" s="47"/>
      <c r="C346" s="47"/>
      <c r="D346" s="47"/>
      <c r="E346" s="47"/>
      <c r="F346" s="47"/>
      <c r="G346" s="47"/>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c r="BO346" s="43"/>
      <c r="BP346" s="43"/>
      <c r="BQ346" s="43"/>
      <c r="BR346" s="43"/>
      <c r="BS346" s="43"/>
      <c r="BT346" s="43"/>
      <c r="BU346" s="43"/>
      <c r="BV346" s="43"/>
      <c r="BW346" s="43"/>
      <c r="BX346" s="43"/>
      <c r="BY346" s="43"/>
      <c r="BZ346" s="43"/>
      <c r="CA346" s="43"/>
    </row>
    <row r="347">
      <c r="A347" s="47"/>
      <c r="B347" s="47"/>
      <c r="C347" s="47"/>
      <c r="D347" s="47"/>
      <c r="E347" s="47"/>
      <c r="F347" s="47"/>
      <c r="G347" s="47"/>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c r="BO347" s="43"/>
      <c r="BP347" s="43"/>
      <c r="BQ347" s="43"/>
      <c r="BR347" s="43"/>
      <c r="BS347" s="43"/>
      <c r="BT347" s="43"/>
      <c r="BU347" s="43"/>
      <c r="BV347" s="43"/>
      <c r="BW347" s="43"/>
      <c r="BX347" s="43"/>
      <c r="BY347" s="43"/>
      <c r="BZ347" s="43"/>
      <c r="CA347" s="43"/>
    </row>
    <row r="348">
      <c r="A348" s="47"/>
      <c r="B348" s="47"/>
      <c r="C348" s="47"/>
      <c r="D348" s="47"/>
      <c r="E348" s="47"/>
      <c r="F348" s="47"/>
      <c r="G348" s="47"/>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c r="BO348" s="43"/>
      <c r="BP348" s="43"/>
      <c r="BQ348" s="43"/>
      <c r="BR348" s="43"/>
      <c r="BS348" s="43"/>
      <c r="BT348" s="43"/>
      <c r="BU348" s="43"/>
      <c r="BV348" s="43"/>
      <c r="BW348" s="43"/>
      <c r="BX348" s="43"/>
      <c r="BY348" s="43"/>
      <c r="BZ348" s="43"/>
      <c r="CA348" s="43"/>
    </row>
    <row r="349">
      <c r="A349" s="47"/>
      <c r="B349" s="47"/>
      <c r="C349" s="47"/>
      <c r="D349" s="47"/>
      <c r="E349" s="47"/>
      <c r="F349" s="47"/>
      <c r="G349" s="47"/>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c r="BO349" s="43"/>
      <c r="BP349" s="43"/>
      <c r="BQ349" s="43"/>
      <c r="BR349" s="43"/>
      <c r="BS349" s="43"/>
      <c r="BT349" s="43"/>
      <c r="BU349" s="43"/>
      <c r="BV349" s="43"/>
      <c r="BW349" s="43"/>
      <c r="BX349" s="43"/>
      <c r="BY349" s="43"/>
      <c r="BZ349" s="43"/>
      <c r="CA349" s="43"/>
    </row>
    <row r="350">
      <c r="A350" s="47"/>
      <c r="B350" s="47"/>
      <c r="C350" s="47"/>
      <c r="D350" s="47"/>
      <c r="E350" s="47"/>
      <c r="F350" s="47"/>
      <c r="G350" s="47"/>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3"/>
      <c r="BY350" s="43"/>
      <c r="BZ350" s="43"/>
      <c r="CA350" s="43"/>
    </row>
    <row r="351">
      <c r="A351" s="47"/>
      <c r="B351" s="47"/>
      <c r="C351" s="47"/>
      <c r="D351" s="47"/>
      <c r="E351" s="47"/>
      <c r="F351" s="47"/>
      <c r="G351" s="47"/>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c r="BO351" s="43"/>
      <c r="BP351" s="43"/>
      <c r="BQ351" s="43"/>
      <c r="BR351" s="43"/>
      <c r="BS351" s="43"/>
      <c r="BT351" s="43"/>
      <c r="BU351" s="43"/>
      <c r="BV351" s="43"/>
      <c r="BW351" s="43"/>
      <c r="BX351" s="43"/>
      <c r="BY351" s="43"/>
      <c r="BZ351" s="43"/>
      <c r="CA351" s="43"/>
    </row>
    <row r="352">
      <c r="A352" s="47"/>
      <c r="B352" s="47"/>
      <c r="C352" s="47"/>
      <c r="D352" s="47"/>
      <c r="E352" s="47"/>
      <c r="F352" s="47"/>
      <c r="G352" s="47"/>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c r="BO352" s="43"/>
      <c r="BP352" s="43"/>
      <c r="BQ352" s="43"/>
      <c r="BR352" s="43"/>
      <c r="BS352" s="43"/>
      <c r="BT352" s="43"/>
      <c r="BU352" s="43"/>
      <c r="BV352" s="43"/>
      <c r="BW352" s="43"/>
      <c r="BX352" s="43"/>
      <c r="BY352" s="43"/>
      <c r="BZ352" s="43"/>
      <c r="CA352" s="43"/>
    </row>
    <row r="353">
      <c r="A353" s="47"/>
      <c r="B353" s="47"/>
      <c r="C353" s="47"/>
      <c r="D353" s="47"/>
      <c r="E353" s="47"/>
      <c r="F353" s="47"/>
      <c r="G353" s="47"/>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row>
    <row r="354">
      <c r="A354" s="47"/>
      <c r="B354" s="47"/>
      <c r="C354" s="47"/>
      <c r="D354" s="47"/>
      <c r="E354" s="47"/>
      <c r="F354" s="47"/>
      <c r="G354" s="47"/>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row>
    <row r="355">
      <c r="A355" s="47"/>
      <c r="B355" s="47"/>
      <c r="C355" s="47"/>
      <c r="D355" s="47"/>
      <c r="E355" s="47"/>
      <c r="F355" s="47"/>
      <c r="G355" s="47"/>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row>
    <row r="356">
      <c r="A356" s="47"/>
      <c r="B356" s="47"/>
      <c r="C356" s="47"/>
      <c r="D356" s="47"/>
      <c r="E356" s="47"/>
      <c r="F356" s="47"/>
      <c r="G356" s="47"/>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row>
    <row r="357">
      <c r="A357" s="47"/>
      <c r="B357" s="47"/>
      <c r="C357" s="47"/>
      <c r="D357" s="47"/>
      <c r="E357" s="47"/>
      <c r="F357" s="47"/>
      <c r="G357" s="47"/>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row>
    <row r="358">
      <c r="A358" s="47"/>
      <c r="B358" s="47"/>
      <c r="C358" s="47"/>
      <c r="D358" s="47"/>
      <c r="E358" s="47"/>
      <c r="F358" s="47"/>
      <c r="G358" s="47"/>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row>
    <row r="359">
      <c r="A359" s="47"/>
      <c r="B359" s="47"/>
      <c r="C359" s="47"/>
      <c r="D359" s="47"/>
      <c r="E359" s="47"/>
      <c r="F359" s="47"/>
      <c r="G359" s="47"/>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row>
    <row r="360">
      <c r="A360" s="47"/>
      <c r="B360" s="47"/>
      <c r="C360" s="47"/>
      <c r="D360" s="47"/>
      <c r="E360" s="47"/>
      <c r="F360" s="47"/>
      <c r="G360" s="47"/>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row>
    <row r="361">
      <c r="A361" s="47"/>
      <c r="B361" s="47"/>
      <c r="C361" s="47"/>
      <c r="D361" s="47"/>
      <c r="E361" s="47"/>
      <c r="F361" s="47"/>
      <c r="G361" s="47"/>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row>
    <row r="362">
      <c r="A362" s="47"/>
      <c r="B362" s="47"/>
      <c r="C362" s="47"/>
      <c r="D362" s="47"/>
      <c r="E362" s="47"/>
      <c r="F362" s="47"/>
      <c r="G362" s="47"/>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row>
    <row r="363">
      <c r="A363" s="47"/>
      <c r="B363" s="47"/>
      <c r="C363" s="47"/>
      <c r="D363" s="47"/>
      <c r="E363" s="47"/>
      <c r="F363" s="47"/>
      <c r="G363" s="47"/>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row>
    <row r="364">
      <c r="A364" s="47"/>
      <c r="B364" s="47"/>
      <c r="C364" s="47"/>
      <c r="D364" s="47"/>
      <c r="E364" s="47"/>
      <c r="F364" s="47"/>
      <c r="G364" s="47"/>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row>
    <row r="365">
      <c r="A365" s="47"/>
      <c r="B365" s="47"/>
      <c r="C365" s="47"/>
      <c r="D365" s="47"/>
      <c r="E365" s="47"/>
      <c r="F365" s="47"/>
      <c r="G365" s="47"/>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c r="BO365" s="43"/>
      <c r="BP365" s="43"/>
      <c r="BQ365" s="43"/>
      <c r="BR365" s="43"/>
      <c r="BS365" s="43"/>
      <c r="BT365" s="43"/>
      <c r="BU365" s="43"/>
      <c r="BV365" s="43"/>
      <c r="BW365" s="43"/>
      <c r="BX365" s="43"/>
      <c r="BY365" s="43"/>
      <c r="BZ365" s="43"/>
      <c r="CA365" s="43"/>
    </row>
    <row r="366">
      <c r="A366" s="47"/>
      <c r="B366" s="47"/>
      <c r="C366" s="47"/>
      <c r="D366" s="47"/>
      <c r="E366" s="47"/>
      <c r="F366" s="47"/>
      <c r="G366" s="47"/>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c r="BO366" s="43"/>
      <c r="BP366" s="43"/>
      <c r="BQ366" s="43"/>
      <c r="BR366" s="43"/>
      <c r="BS366" s="43"/>
      <c r="BT366" s="43"/>
      <c r="BU366" s="43"/>
      <c r="BV366" s="43"/>
      <c r="BW366" s="43"/>
      <c r="BX366" s="43"/>
      <c r="BY366" s="43"/>
      <c r="BZ366" s="43"/>
      <c r="CA366" s="43"/>
    </row>
    <row r="367">
      <c r="A367" s="47"/>
      <c r="B367" s="47"/>
      <c r="C367" s="47"/>
      <c r="D367" s="47"/>
      <c r="E367" s="47"/>
      <c r="F367" s="47"/>
      <c r="G367" s="47"/>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row>
    <row r="368">
      <c r="A368" s="47"/>
      <c r="B368" s="47"/>
      <c r="C368" s="47"/>
      <c r="D368" s="47"/>
      <c r="E368" s="47"/>
      <c r="F368" s="47"/>
      <c r="G368" s="47"/>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3"/>
      <c r="BY368" s="43"/>
      <c r="BZ368" s="43"/>
      <c r="CA368" s="43"/>
    </row>
    <row r="369">
      <c r="A369" s="47"/>
      <c r="B369" s="47"/>
      <c r="C369" s="47"/>
      <c r="D369" s="47"/>
      <c r="E369" s="47"/>
      <c r="F369" s="47"/>
      <c r="G369" s="47"/>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c r="BO369" s="43"/>
      <c r="BP369" s="43"/>
      <c r="BQ369" s="43"/>
      <c r="BR369" s="43"/>
      <c r="BS369" s="43"/>
      <c r="BT369" s="43"/>
      <c r="BU369" s="43"/>
      <c r="BV369" s="43"/>
      <c r="BW369" s="43"/>
      <c r="BX369" s="43"/>
      <c r="BY369" s="43"/>
      <c r="BZ369" s="43"/>
      <c r="CA369" s="43"/>
    </row>
    <row r="370">
      <c r="A370" s="47"/>
      <c r="B370" s="47"/>
      <c r="C370" s="47"/>
      <c r="D370" s="47"/>
      <c r="E370" s="47"/>
      <c r="F370" s="47"/>
      <c r="G370" s="47"/>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c r="BO370" s="43"/>
      <c r="BP370" s="43"/>
      <c r="BQ370" s="43"/>
      <c r="BR370" s="43"/>
      <c r="BS370" s="43"/>
      <c r="BT370" s="43"/>
      <c r="BU370" s="43"/>
      <c r="BV370" s="43"/>
      <c r="BW370" s="43"/>
      <c r="BX370" s="43"/>
      <c r="BY370" s="43"/>
      <c r="BZ370" s="43"/>
      <c r="CA370" s="43"/>
    </row>
    <row r="371">
      <c r="A371" s="47"/>
      <c r="B371" s="47"/>
      <c r="C371" s="47"/>
      <c r="D371" s="47"/>
      <c r="E371" s="47"/>
      <c r="F371" s="47"/>
      <c r="G371" s="47"/>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43"/>
      <c r="BQ371" s="43"/>
      <c r="BR371" s="43"/>
      <c r="BS371" s="43"/>
      <c r="BT371" s="43"/>
      <c r="BU371" s="43"/>
      <c r="BV371" s="43"/>
      <c r="BW371" s="43"/>
      <c r="BX371" s="43"/>
      <c r="BY371" s="43"/>
      <c r="BZ371" s="43"/>
      <c r="CA371" s="43"/>
    </row>
    <row r="372">
      <c r="A372" s="47"/>
      <c r="B372" s="47"/>
      <c r="C372" s="47"/>
      <c r="D372" s="47"/>
      <c r="E372" s="47"/>
      <c r="F372" s="47"/>
      <c r="G372" s="47"/>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row>
    <row r="373">
      <c r="A373" s="47"/>
      <c r="B373" s="47"/>
      <c r="C373" s="47"/>
      <c r="D373" s="47"/>
      <c r="E373" s="47"/>
      <c r="F373" s="47"/>
      <c r="G373" s="47"/>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row>
    <row r="374">
      <c r="A374" s="47"/>
      <c r="B374" s="47"/>
      <c r="C374" s="47"/>
      <c r="D374" s="47"/>
      <c r="E374" s="47"/>
      <c r="F374" s="47"/>
      <c r="G374" s="47"/>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row>
    <row r="375">
      <c r="A375" s="47"/>
      <c r="B375" s="47"/>
      <c r="C375" s="47"/>
      <c r="D375" s="47"/>
      <c r="E375" s="47"/>
      <c r="F375" s="47"/>
      <c r="G375" s="47"/>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row>
    <row r="376">
      <c r="A376" s="47"/>
      <c r="B376" s="47"/>
      <c r="C376" s="47"/>
      <c r="D376" s="47"/>
      <c r="E376" s="47"/>
      <c r="F376" s="47"/>
      <c r="G376" s="47"/>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row>
    <row r="377">
      <c r="A377" s="47"/>
      <c r="B377" s="47"/>
      <c r="C377" s="47"/>
      <c r="D377" s="47"/>
      <c r="E377" s="47"/>
      <c r="F377" s="47"/>
      <c r="G377" s="47"/>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row>
    <row r="378">
      <c r="A378" s="47"/>
      <c r="B378" s="47"/>
      <c r="C378" s="47"/>
      <c r="D378" s="47"/>
      <c r="E378" s="47"/>
      <c r="F378" s="47"/>
      <c r="G378" s="47"/>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row>
    <row r="379">
      <c r="A379" s="47"/>
      <c r="B379" s="47"/>
      <c r="C379" s="47"/>
      <c r="D379" s="47"/>
      <c r="E379" s="47"/>
      <c r="F379" s="47"/>
      <c r="G379" s="47"/>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row>
    <row r="380">
      <c r="A380" s="47"/>
      <c r="B380" s="47"/>
      <c r="C380" s="47"/>
      <c r="D380" s="47"/>
      <c r="E380" s="47"/>
      <c r="F380" s="47"/>
      <c r="G380" s="47"/>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row>
    <row r="381">
      <c r="A381" s="47"/>
      <c r="B381" s="47"/>
      <c r="C381" s="47"/>
      <c r="D381" s="47"/>
      <c r="E381" s="47"/>
      <c r="F381" s="47"/>
      <c r="G381" s="47"/>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row>
    <row r="382">
      <c r="A382" s="47"/>
      <c r="B382" s="47"/>
      <c r="C382" s="47"/>
      <c r="D382" s="47"/>
      <c r="E382" s="47"/>
      <c r="F382" s="47"/>
      <c r="G382" s="47"/>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row>
    <row r="383">
      <c r="A383" s="47"/>
      <c r="B383" s="47"/>
      <c r="C383" s="47"/>
      <c r="D383" s="47"/>
      <c r="E383" s="47"/>
      <c r="F383" s="47"/>
      <c r="G383" s="47"/>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row>
    <row r="384">
      <c r="A384" s="47"/>
      <c r="B384" s="47"/>
      <c r="C384" s="47"/>
      <c r="D384" s="47"/>
      <c r="E384" s="47"/>
      <c r="F384" s="47"/>
      <c r="G384" s="47"/>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row>
    <row r="385">
      <c r="A385" s="47"/>
      <c r="B385" s="47"/>
      <c r="C385" s="47"/>
      <c r="D385" s="47"/>
      <c r="E385" s="47"/>
      <c r="F385" s="47"/>
      <c r="G385" s="47"/>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row>
    <row r="386">
      <c r="A386" s="47"/>
      <c r="B386" s="47"/>
      <c r="C386" s="47"/>
      <c r="D386" s="47"/>
      <c r="E386" s="47"/>
      <c r="F386" s="47"/>
      <c r="G386" s="47"/>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row>
    <row r="387">
      <c r="A387" s="47"/>
      <c r="B387" s="47"/>
      <c r="C387" s="47"/>
      <c r="D387" s="47"/>
      <c r="E387" s="47"/>
      <c r="F387" s="47"/>
      <c r="G387" s="47"/>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row>
    <row r="388">
      <c r="A388" s="47"/>
      <c r="B388" s="47"/>
      <c r="C388" s="47"/>
      <c r="D388" s="47"/>
      <c r="E388" s="47"/>
      <c r="F388" s="47"/>
      <c r="G388" s="47"/>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row>
    <row r="389">
      <c r="A389" s="47"/>
      <c r="B389" s="47"/>
      <c r="C389" s="47"/>
      <c r="D389" s="47"/>
      <c r="E389" s="47"/>
      <c r="F389" s="47"/>
      <c r="G389" s="47"/>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row>
    <row r="390">
      <c r="A390" s="47"/>
      <c r="B390" s="47"/>
      <c r="C390" s="47"/>
      <c r="D390" s="47"/>
      <c r="E390" s="47"/>
      <c r="F390" s="47"/>
      <c r="G390" s="47"/>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row>
    <row r="391">
      <c r="A391" s="47"/>
      <c r="B391" s="47"/>
      <c r="C391" s="47"/>
      <c r="D391" s="47"/>
      <c r="E391" s="47"/>
      <c r="F391" s="47"/>
      <c r="G391" s="47"/>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row>
    <row r="392">
      <c r="A392" s="47"/>
      <c r="B392" s="47"/>
      <c r="C392" s="47"/>
      <c r="D392" s="47"/>
      <c r="E392" s="47"/>
      <c r="F392" s="47"/>
      <c r="G392" s="47"/>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row>
    <row r="393">
      <c r="A393" s="47"/>
      <c r="B393" s="47"/>
      <c r="C393" s="47"/>
      <c r="D393" s="47"/>
      <c r="E393" s="47"/>
      <c r="F393" s="47"/>
      <c r="G393" s="47"/>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row>
    <row r="394">
      <c r="A394" s="47"/>
      <c r="B394" s="47"/>
      <c r="C394" s="47"/>
      <c r="D394" s="47"/>
      <c r="E394" s="47"/>
      <c r="F394" s="47"/>
      <c r="G394" s="47"/>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row>
    <row r="395">
      <c r="A395" s="47"/>
      <c r="B395" s="47"/>
      <c r="C395" s="47"/>
      <c r="D395" s="47"/>
      <c r="E395" s="47"/>
      <c r="F395" s="47"/>
      <c r="G395" s="47"/>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row>
    <row r="396">
      <c r="A396" s="47"/>
      <c r="B396" s="47"/>
      <c r="C396" s="47"/>
      <c r="D396" s="47"/>
      <c r="E396" s="47"/>
      <c r="F396" s="47"/>
      <c r="G396" s="47"/>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row>
    <row r="397">
      <c r="A397" s="47"/>
      <c r="B397" s="47"/>
      <c r="C397" s="47"/>
      <c r="D397" s="47"/>
      <c r="E397" s="47"/>
      <c r="F397" s="47"/>
      <c r="G397" s="47"/>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row>
    <row r="398">
      <c r="A398" s="47"/>
      <c r="B398" s="47"/>
      <c r="C398" s="47"/>
      <c r="D398" s="47"/>
      <c r="E398" s="47"/>
      <c r="F398" s="47"/>
      <c r="G398" s="47"/>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row>
    <row r="399">
      <c r="A399" s="47"/>
      <c r="B399" s="47"/>
      <c r="C399" s="47"/>
      <c r="D399" s="47"/>
      <c r="E399" s="47"/>
      <c r="F399" s="47"/>
      <c r="G399" s="47"/>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row>
    <row r="400">
      <c r="A400" s="47"/>
      <c r="B400" s="47"/>
      <c r="C400" s="47"/>
      <c r="D400" s="47"/>
      <c r="E400" s="47"/>
      <c r="F400" s="47"/>
      <c r="G400" s="47"/>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row>
    <row r="401">
      <c r="A401" s="47"/>
      <c r="B401" s="47"/>
      <c r="C401" s="47"/>
      <c r="D401" s="47"/>
      <c r="E401" s="47"/>
      <c r="F401" s="47"/>
      <c r="G401" s="47"/>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row>
    <row r="402">
      <c r="A402" s="47"/>
      <c r="B402" s="47"/>
      <c r="C402" s="47"/>
      <c r="D402" s="47"/>
      <c r="E402" s="47"/>
      <c r="F402" s="47"/>
      <c r="G402" s="47"/>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row>
    <row r="403">
      <c r="A403" s="47"/>
      <c r="B403" s="47"/>
      <c r="C403" s="47"/>
      <c r="D403" s="47"/>
      <c r="E403" s="47"/>
      <c r="F403" s="47"/>
      <c r="G403" s="47"/>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row>
    <row r="404">
      <c r="A404" s="47"/>
      <c r="B404" s="47"/>
      <c r="C404" s="47"/>
      <c r="D404" s="47"/>
      <c r="E404" s="47"/>
      <c r="F404" s="47"/>
      <c r="G404" s="47"/>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row>
    <row r="405">
      <c r="A405" s="47"/>
      <c r="B405" s="47"/>
      <c r="C405" s="47"/>
      <c r="D405" s="47"/>
      <c r="E405" s="47"/>
      <c r="F405" s="47"/>
      <c r="G405" s="47"/>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c r="BZ405" s="43"/>
      <c r="CA405" s="43"/>
    </row>
    <row r="406">
      <c r="A406" s="47"/>
      <c r="B406" s="47"/>
      <c r="C406" s="47"/>
      <c r="D406" s="47"/>
      <c r="E406" s="47"/>
      <c r="F406" s="47"/>
      <c r="G406" s="47"/>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row>
    <row r="407">
      <c r="A407" s="47"/>
      <c r="B407" s="47"/>
      <c r="C407" s="47"/>
      <c r="D407" s="47"/>
      <c r="E407" s="47"/>
      <c r="F407" s="47"/>
      <c r="G407" s="47"/>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c r="BZ407" s="43"/>
      <c r="CA407" s="43"/>
    </row>
    <row r="408">
      <c r="A408" s="47"/>
      <c r="B408" s="47"/>
      <c r="C408" s="47"/>
      <c r="D408" s="47"/>
      <c r="E408" s="47"/>
      <c r="F408" s="47"/>
      <c r="G408" s="47"/>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row>
    <row r="409">
      <c r="A409" s="47"/>
      <c r="B409" s="47"/>
      <c r="C409" s="47"/>
      <c r="D409" s="47"/>
      <c r="E409" s="47"/>
      <c r="F409" s="47"/>
      <c r="G409" s="47"/>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c r="BZ409" s="43"/>
      <c r="CA409" s="43"/>
    </row>
    <row r="410">
      <c r="A410" s="47"/>
      <c r="B410" s="47"/>
      <c r="C410" s="47"/>
      <c r="D410" s="47"/>
      <c r="E410" s="47"/>
      <c r="F410" s="47"/>
      <c r="G410" s="47"/>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c r="BZ410" s="43"/>
      <c r="CA410" s="43"/>
    </row>
    <row r="411">
      <c r="A411" s="47"/>
      <c r="B411" s="47"/>
      <c r="C411" s="47"/>
      <c r="D411" s="47"/>
      <c r="E411" s="47"/>
      <c r="F411" s="47"/>
      <c r="G411" s="47"/>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row>
    <row r="412">
      <c r="A412" s="47"/>
      <c r="B412" s="47"/>
      <c r="C412" s="47"/>
      <c r="D412" s="47"/>
      <c r="E412" s="47"/>
      <c r="F412" s="47"/>
      <c r="G412" s="47"/>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row>
    <row r="413">
      <c r="A413" s="47"/>
      <c r="B413" s="47"/>
      <c r="C413" s="47"/>
      <c r="D413" s="47"/>
      <c r="E413" s="47"/>
      <c r="F413" s="47"/>
      <c r="G413" s="47"/>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row>
    <row r="414">
      <c r="A414" s="47"/>
      <c r="B414" s="47"/>
      <c r="C414" s="47"/>
      <c r="D414" s="47"/>
      <c r="E414" s="47"/>
      <c r="F414" s="47"/>
      <c r="G414" s="47"/>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row>
    <row r="415">
      <c r="A415" s="47"/>
      <c r="B415" s="47"/>
      <c r="C415" s="47"/>
      <c r="D415" s="47"/>
      <c r="E415" s="47"/>
      <c r="F415" s="47"/>
      <c r="G415" s="47"/>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row>
    <row r="416">
      <c r="A416" s="47"/>
      <c r="B416" s="47"/>
      <c r="C416" s="47"/>
      <c r="D416" s="47"/>
      <c r="E416" s="47"/>
      <c r="F416" s="47"/>
      <c r="G416" s="47"/>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row>
    <row r="417">
      <c r="A417" s="47"/>
      <c r="B417" s="47"/>
      <c r="C417" s="47"/>
      <c r="D417" s="47"/>
      <c r="E417" s="47"/>
      <c r="F417" s="47"/>
      <c r="G417" s="47"/>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row>
    <row r="418">
      <c r="A418" s="47"/>
      <c r="B418" s="47"/>
      <c r="C418" s="47"/>
      <c r="D418" s="47"/>
      <c r="E418" s="47"/>
      <c r="F418" s="47"/>
      <c r="G418" s="47"/>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row>
    <row r="419">
      <c r="A419" s="47"/>
      <c r="B419" s="47"/>
      <c r="C419" s="47"/>
      <c r="D419" s="47"/>
      <c r="E419" s="47"/>
      <c r="F419" s="47"/>
      <c r="G419" s="47"/>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row>
    <row r="420">
      <c r="A420" s="47"/>
      <c r="B420" s="47"/>
      <c r="C420" s="47"/>
      <c r="D420" s="47"/>
      <c r="E420" s="47"/>
      <c r="F420" s="47"/>
      <c r="G420" s="47"/>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row>
    <row r="421">
      <c r="A421" s="47"/>
      <c r="B421" s="47"/>
      <c r="C421" s="47"/>
      <c r="D421" s="47"/>
      <c r="E421" s="47"/>
      <c r="F421" s="47"/>
      <c r="G421" s="47"/>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row>
    <row r="422">
      <c r="A422" s="47"/>
      <c r="B422" s="47"/>
      <c r="C422" s="47"/>
      <c r="D422" s="47"/>
      <c r="E422" s="47"/>
      <c r="F422" s="47"/>
      <c r="G422" s="47"/>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row>
    <row r="423">
      <c r="A423" s="47"/>
      <c r="B423" s="47"/>
      <c r="C423" s="47"/>
      <c r="D423" s="47"/>
      <c r="E423" s="47"/>
      <c r="F423" s="47"/>
      <c r="G423" s="47"/>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row>
    <row r="424">
      <c r="A424" s="47"/>
      <c r="B424" s="47"/>
      <c r="C424" s="47"/>
      <c r="D424" s="47"/>
      <c r="E424" s="47"/>
      <c r="F424" s="47"/>
      <c r="G424" s="47"/>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row>
    <row r="425">
      <c r="A425" s="47"/>
      <c r="B425" s="47"/>
      <c r="C425" s="47"/>
      <c r="D425" s="47"/>
      <c r="E425" s="47"/>
      <c r="F425" s="47"/>
      <c r="G425" s="47"/>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row>
    <row r="426">
      <c r="A426" s="47"/>
      <c r="B426" s="47"/>
      <c r="C426" s="47"/>
      <c r="D426" s="47"/>
      <c r="E426" s="47"/>
      <c r="F426" s="47"/>
      <c r="G426" s="47"/>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row>
    <row r="427">
      <c r="A427" s="47"/>
      <c r="B427" s="47"/>
      <c r="C427" s="47"/>
      <c r="D427" s="47"/>
      <c r="E427" s="47"/>
      <c r="F427" s="47"/>
      <c r="G427" s="47"/>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row>
    <row r="428">
      <c r="A428" s="47"/>
      <c r="B428" s="47"/>
      <c r="C428" s="47"/>
      <c r="D428" s="47"/>
      <c r="E428" s="47"/>
      <c r="F428" s="47"/>
      <c r="G428" s="47"/>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row>
    <row r="429">
      <c r="A429" s="47"/>
      <c r="B429" s="47"/>
      <c r="C429" s="47"/>
      <c r="D429" s="47"/>
      <c r="E429" s="47"/>
      <c r="F429" s="47"/>
      <c r="G429" s="47"/>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row>
    <row r="430">
      <c r="A430" s="47"/>
      <c r="B430" s="47"/>
      <c r="C430" s="47"/>
      <c r="D430" s="47"/>
      <c r="E430" s="47"/>
      <c r="F430" s="47"/>
      <c r="G430" s="47"/>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row>
    <row r="431">
      <c r="A431" s="47"/>
      <c r="B431" s="47"/>
      <c r="C431" s="47"/>
      <c r="D431" s="47"/>
      <c r="E431" s="47"/>
      <c r="F431" s="47"/>
      <c r="G431" s="47"/>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row>
    <row r="432">
      <c r="A432" s="47"/>
      <c r="B432" s="47"/>
      <c r="C432" s="47"/>
      <c r="D432" s="47"/>
      <c r="E432" s="47"/>
      <c r="F432" s="47"/>
      <c r="G432" s="47"/>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row>
    <row r="433">
      <c r="A433" s="47"/>
      <c r="B433" s="47"/>
      <c r="C433" s="47"/>
      <c r="D433" s="47"/>
      <c r="E433" s="47"/>
      <c r="F433" s="47"/>
      <c r="G433" s="47"/>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row>
    <row r="434">
      <c r="A434" s="47"/>
      <c r="B434" s="47"/>
      <c r="C434" s="47"/>
      <c r="D434" s="47"/>
      <c r="E434" s="47"/>
      <c r="F434" s="47"/>
      <c r="G434" s="47"/>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row>
    <row r="435">
      <c r="A435" s="47"/>
      <c r="B435" s="47"/>
      <c r="C435" s="47"/>
      <c r="D435" s="47"/>
      <c r="E435" s="47"/>
      <c r="F435" s="47"/>
      <c r="G435" s="47"/>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row>
    <row r="436">
      <c r="A436" s="47"/>
      <c r="B436" s="47"/>
      <c r="C436" s="47"/>
      <c r="D436" s="47"/>
      <c r="E436" s="47"/>
      <c r="F436" s="47"/>
      <c r="G436" s="47"/>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row>
    <row r="437">
      <c r="A437" s="47"/>
      <c r="B437" s="47"/>
      <c r="C437" s="47"/>
      <c r="D437" s="47"/>
      <c r="E437" s="47"/>
      <c r="F437" s="47"/>
      <c r="G437" s="47"/>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row>
    <row r="438">
      <c r="A438" s="47"/>
      <c r="B438" s="47"/>
      <c r="C438" s="47"/>
      <c r="D438" s="47"/>
      <c r="E438" s="47"/>
      <c r="F438" s="47"/>
      <c r="G438" s="47"/>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row>
    <row r="439">
      <c r="A439" s="47"/>
      <c r="B439" s="47"/>
      <c r="C439" s="47"/>
      <c r="D439" s="47"/>
      <c r="E439" s="47"/>
      <c r="F439" s="47"/>
      <c r="G439" s="47"/>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row>
    <row r="440">
      <c r="A440" s="47"/>
      <c r="B440" s="47"/>
      <c r="C440" s="47"/>
      <c r="D440" s="47"/>
      <c r="E440" s="47"/>
      <c r="F440" s="47"/>
      <c r="G440" s="47"/>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row>
    <row r="441">
      <c r="A441" s="47"/>
      <c r="B441" s="47"/>
      <c r="C441" s="47"/>
      <c r="D441" s="47"/>
      <c r="E441" s="47"/>
      <c r="F441" s="47"/>
      <c r="G441" s="47"/>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row>
    <row r="442">
      <c r="A442" s="47"/>
      <c r="B442" s="47"/>
      <c r="C442" s="47"/>
      <c r="D442" s="47"/>
      <c r="E442" s="47"/>
      <c r="F442" s="47"/>
      <c r="G442" s="47"/>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row>
    <row r="443">
      <c r="A443" s="47"/>
      <c r="B443" s="47"/>
      <c r="C443" s="47"/>
      <c r="D443" s="47"/>
      <c r="E443" s="47"/>
      <c r="F443" s="47"/>
      <c r="G443" s="47"/>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c r="BO443" s="43"/>
      <c r="BP443" s="43"/>
      <c r="BQ443" s="43"/>
      <c r="BR443" s="43"/>
      <c r="BS443" s="43"/>
      <c r="BT443" s="43"/>
      <c r="BU443" s="43"/>
      <c r="BV443" s="43"/>
      <c r="BW443" s="43"/>
      <c r="BX443" s="43"/>
      <c r="BY443" s="43"/>
      <c r="BZ443" s="43"/>
      <c r="CA443" s="43"/>
    </row>
    <row r="444">
      <c r="A444" s="47"/>
      <c r="B444" s="47"/>
      <c r="C444" s="47"/>
      <c r="D444" s="47"/>
      <c r="E444" s="47"/>
      <c r="F444" s="47"/>
      <c r="G444" s="47"/>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row>
    <row r="445">
      <c r="A445" s="47"/>
      <c r="B445" s="47"/>
      <c r="C445" s="47"/>
      <c r="D445" s="47"/>
      <c r="E445" s="47"/>
      <c r="F445" s="47"/>
      <c r="G445" s="47"/>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3"/>
      <c r="BY445" s="43"/>
      <c r="BZ445" s="43"/>
      <c r="CA445" s="43"/>
    </row>
    <row r="446">
      <c r="A446" s="47"/>
      <c r="B446" s="47"/>
      <c r="C446" s="47"/>
      <c r="D446" s="47"/>
      <c r="E446" s="47"/>
      <c r="F446" s="47"/>
      <c r="G446" s="47"/>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c r="BZ446" s="43"/>
      <c r="CA446" s="43"/>
    </row>
    <row r="447">
      <c r="A447" s="47"/>
      <c r="B447" s="47"/>
      <c r="C447" s="47"/>
      <c r="D447" s="47"/>
      <c r="E447" s="47"/>
      <c r="F447" s="47"/>
      <c r="G447" s="47"/>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c r="BO447" s="43"/>
      <c r="BP447" s="43"/>
      <c r="BQ447" s="43"/>
      <c r="BR447" s="43"/>
      <c r="BS447" s="43"/>
      <c r="BT447" s="43"/>
      <c r="BU447" s="43"/>
      <c r="BV447" s="43"/>
      <c r="BW447" s="43"/>
      <c r="BX447" s="43"/>
      <c r="BY447" s="43"/>
      <c r="BZ447" s="43"/>
      <c r="CA447" s="43"/>
    </row>
    <row r="448">
      <c r="A448" s="47"/>
      <c r="B448" s="47"/>
      <c r="C448" s="47"/>
      <c r="D448" s="47"/>
      <c r="E448" s="47"/>
      <c r="F448" s="47"/>
      <c r="G448" s="47"/>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row>
    <row r="449">
      <c r="A449" s="47"/>
      <c r="B449" s="47"/>
      <c r="C449" s="47"/>
      <c r="D449" s="47"/>
      <c r="E449" s="47"/>
      <c r="F449" s="47"/>
      <c r="G449" s="47"/>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c r="BO449" s="43"/>
      <c r="BP449" s="43"/>
      <c r="BQ449" s="43"/>
      <c r="BR449" s="43"/>
      <c r="BS449" s="43"/>
      <c r="BT449" s="43"/>
      <c r="BU449" s="43"/>
      <c r="BV449" s="43"/>
      <c r="BW449" s="43"/>
      <c r="BX449" s="43"/>
      <c r="BY449" s="43"/>
      <c r="BZ449" s="43"/>
      <c r="CA449" s="43"/>
    </row>
    <row r="450">
      <c r="A450" s="47"/>
      <c r="B450" s="47"/>
      <c r="C450" s="47"/>
      <c r="D450" s="47"/>
      <c r="E450" s="47"/>
      <c r="F450" s="47"/>
      <c r="G450" s="47"/>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row>
    <row r="451">
      <c r="A451" s="47"/>
      <c r="B451" s="47"/>
      <c r="C451" s="47"/>
      <c r="D451" s="47"/>
      <c r="E451" s="47"/>
      <c r="F451" s="47"/>
      <c r="G451" s="47"/>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c r="BO451" s="43"/>
      <c r="BP451" s="43"/>
      <c r="BQ451" s="43"/>
      <c r="BR451" s="43"/>
      <c r="BS451" s="43"/>
      <c r="BT451" s="43"/>
      <c r="BU451" s="43"/>
      <c r="BV451" s="43"/>
      <c r="BW451" s="43"/>
      <c r="BX451" s="43"/>
      <c r="BY451" s="43"/>
      <c r="BZ451" s="43"/>
      <c r="CA451" s="43"/>
    </row>
    <row r="452">
      <c r="A452" s="47"/>
      <c r="B452" s="47"/>
      <c r="C452" s="47"/>
      <c r="D452" s="47"/>
      <c r="E452" s="47"/>
      <c r="F452" s="47"/>
      <c r="G452" s="47"/>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row>
    <row r="453">
      <c r="A453" s="47"/>
      <c r="B453" s="47"/>
      <c r="C453" s="47"/>
      <c r="D453" s="47"/>
      <c r="E453" s="47"/>
      <c r="F453" s="47"/>
      <c r="G453" s="47"/>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c r="BO453" s="43"/>
      <c r="BP453" s="43"/>
      <c r="BQ453" s="43"/>
      <c r="BR453" s="43"/>
      <c r="BS453" s="43"/>
      <c r="BT453" s="43"/>
      <c r="BU453" s="43"/>
      <c r="BV453" s="43"/>
      <c r="BW453" s="43"/>
      <c r="BX453" s="43"/>
      <c r="BY453" s="43"/>
      <c r="BZ453" s="43"/>
      <c r="CA453" s="43"/>
    </row>
    <row r="454">
      <c r="A454" s="47"/>
      <c r="B454" s="47"/>
      <c r="C454" s="47"/>
      <c r="D454" s="47"/>
      <c r="E454" s="47"/>
      <c r="F454" s="47"/>
      <c r="G454" s="47"/>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row>
    <row r="455">
      <c r="A455" s="47"/>
      <c r="B455" s="47"/>
      <c r="C455" s="47"/>
      <c r="D455" s="47"/>
      <c r="E455" s="47"/>
      <c r="F455" s="47"/>
      <c r="G455" s="47"/>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c r="BO455" s="43"/>
      <c r="BP455" s="43"/>
      <c r="BQ455" s="43"/>
      <c r="BR455" s="43"/>
      <c r="BS455" s="43"/>
      <c r="BT455" s="43"/>
      <c r="BU455" s="43"/>
      <c r="BV455" s="43"/>
      <c r="BW455" s="43"/>
      <c r="BX455" s="43"/>
      <c r="BY455" s="43"/>
      <c r="BZ455" s="43"/>
      <c r="CA455" s="43"/>
    </row>
    <row r="456">
      <c r="A456" s="47"/>
      <c r="B456" s="47"/>
      <c r="C456" s="47"/>
      <c r="D456" s="47"/>
      <c r="E456" s="47"/>
      <c r="F456" s="47"/>
      <c r="G456" s="47"/>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c r="BZ456" s="43"/>
      <c r="CA456" s="43"/>
    </row>
    <row r="457">
      <c r="A457" s="47"/>
      <c r="B457" s="47"/>
      <c r="C457" s="47"/>
      <c r="D457" s="47"/>
      <c r="E457" s="47"/>
      <c r="F457" s="47"/>
      <c r="G457" s="47"/>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c r="BO457" s="43"/>
      <c r="BP457" s="43"/>
      <c r="BQ457" s="43"/>
      <c r="BR457" s="43"/>
      <c r="BS457" s="43"/>
      <c r="BT457" s="43"/>
      <c r="BU457" s="43"/>
      <c r="BV457" s="43"/>
      <c r="BW457" s="43"/>
      <c r="BX457" s="43"/>
      <c r="BY457" s="43"/>
      <c r="BZ457" s="43"/>
      <c r="CA457" s="43"/>
    </row>
    <row r="458">
      <c r="A458" s="47"/>
      <c r="B458" s="47"/>
      <c r="C458" s="47"/>
      <c r="D458" s="47"/>
      <c r="E458" s="47"/>
      <c r="F458" s="47"/>
      <c r="G458" s="47"/>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c r="BZ458" s="43"/>
      <c r="CA458" s="43"/>
    </row>
    <row r="459">
      <c r="A459" s="47"/>
      <c r="B459" s="47"/>
      <c r="C459" s="47"/>
      <c r="D459" s="47"/>
      <c r="E459" s="47"/>
      <c r="F459" s="47"/>
      <c r="G459" s="47"/>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row>
    <row r="460">
      <c r="A460" s="47"/>
      <c r="B460" s="47"/>
      <c r="C460" s="47"/>
      <c r="D460" s="47"/>
      <c r="E460" s="47"/>
      <c r="F460" s="47"/>
      <c r="G460" s="47"/>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c r="BO460" s="43"/>
      <c r="BP460" s="43"/>
      <c r="BQ460" s="43"/>
      <c r="BR460" s="43"/>
      <c r="BS460" s="43"/>
      <c r="BT460" s="43"/>
      <c r="BU460" s="43"/>
      <c r="BV460" s="43"/>
      <c r="BW460" s="43"/>
      <c r="BX460" s="43"/>
      <c r="BY460" s="43"/>
      <c r="BZ460" s="43"/>
      <c r="CA460" s="43"/>
    </row>
    <row r="461">
      <c r="A461" s="47"/>
      <c r="B461" s="47"/>
      <c r="C461" s="47"/>
      <c r="D461" s="47"/>
      <c r="E461" s="47"/>
      <c r="F461" s="47"/>
      <c r="G461" s="47"/>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row>
    <row r="462">
      <c r="A462" s="47"/>
      <c r="B462" s="47"/>
      <c r="C462" s="47"/>
      <c r="D462" s="47"/>
      <c r="E462" s="47"/>
      <c r="F462" s="47"/>
      <c r="G462" s="47"/>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c r="BO462" s="43"/>
      <c r="BP462" s="43"/>
      <c r="BQ462" s="43"/>
      <c r="BR462" s="43"/>
      <c r="BS462" s="43"/>
      <c r="BT462" s="43"/>
      <c r="BU462" s="43"/>
      <c r="BV462" s="43"/>
      <c r="BW462" s="43"/>
      <c r="BX462" s="43"/>
      <c r="BY462" s="43"/>
      <c r="BZ462" s="43"/>
      <c r="CA462" s="43"/>
    </row>
    <row r="463">
      <c r="A463" s="47"/>
      <c r="B463" s="47"/>
      <c r="C463" s="47"/>
      <c r="D463" s="47"/>
      <c r="E463" s="47"/>
      <c r="F463" s="47"/>
      <c r="G463" s="47"/>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row>
    <row r="464">
      <c r="A464" s="47"/>
      <c r="B464" s="47"/>
      <c r="C464" s="47"/>
      <c r="D464" s="47"/>
      <c r="E464" s="47"/>
      <c r="F464" s="47"/>
      <c r="G464" s="47"/>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c r="BO464" s="43"/>
      <c r="BP464" s="43"/>
      <c r="BQ464" s="43"/>
      <c r="BR464" s="43"/>
      <c r="BS464" s="43"/>
      <c r="BT464" s="43"/>
      <c r="BU464" s="43"/>
      <c r="BV464" s="43"/>
      <c r="BW464" s="43"/>
      <c r="BX464" s="43"/>
      <c r="BY464" s="43"/>
      <c r="BZ464" s="43"/>
      <c r="CA464" s="43"/>
    </row>
    <row r="465">
      <c r="A465" s="47"/>
      <c r="B465" s="47"/>
      <c r="C465" s="47"/>
      <c r="D465" s="47"/>
      <c r="E465" s="47"/>
      <c r="F465" s="47"/>
      <c r="G465" s="47"/>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row>
    <row r="466">
      <c r="A466" s="47"/>
      <c r="B466" s="47"/>
      <c r="C466" s="47"/>
      <c r="D466" s="47"/>
      <c r="E466" s="47"/>
      <c r="F466" s="47"/>
      <c r="G466" s="47"/>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c r="BZ466" s="43"/>
      <c r="CA466" s="43"/>
    </row>
    <row r="467">
      <c r="A467" s="47"/>
      <c r="B467" s="47"/>
      <c r="C467" s="47"/>
      <c r="D467" s="47"/>
      <c r="E467" s="47"/>
      <c r="F467" s="47"/>
      <c r="G467" s="47"/>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c r="BZ467" s="43"/>
      <c r="CA467" s="43"/>
    </row>
    <row r="468">
      <c r="A468" s="47"/>
      <c r="B468" s="47"/>
      <c r="C468" s="47"/>
      <c r="D468" s="47"/>
      <c r="E468" s="47"/>
      <c r="F468" s="47"/>
      <c r="G468" s="47"/>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c r="BO468" s="43"/>
      <c r="BP468" s="43"/>
      <c r="BQ468" s="43"/>
      <c r="BR468" s="43"/>
      <c r="BS468" s="43"/>
      <c r="BT468" s="43"/>
      <c r="BU468" s="43"/>
      <c r="BV468" s="43"/>
      <c r="BW468" s="43"/>
      <c r="BX468" s="43"/>
      <c r="BY468" s="43"/>
      <c r="BZ468" s="43"/>
      <c r="CA468" s="43"/>
    </row>
    <row r="469">
      <c r="A469" s="47"/>
      <c r="B469" s="47"/>
      <c r="C469" s="47"/>
      <c r="D469" s="47"/>
      <c r="E469" s="47"/>
      <c r="F469" s="47"/>
      <c r="G469" s="47"/>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c r="BZ469" s="43"/>
      <c r="CA469" s="43"/>
    </row>
    <row r="470">
      <c r="A470" s="47"/>
      <c r="B470" s="47"/>
      <c r="C470" s="47"/>
      <c r="D470" s="47"/>
      <c r="E470" s="47"/>
      <c r="F470" s="47"/>
      <c r="G470" s="47"/>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c r="BO470" s="43"/>
      <c r="BP470" s="43"/>
      <c r="BQ470" s="43"/>
      <c r="BR470" s="43"/>
      <c r="BS470" s="43"/>
      <c r="BT470" s="43"/>
      <c r="BU470" s="43"/>
      <c r="BV470" s="43"/>
      <c r="BW470" s="43"/>
      <c r="BX470" s="43"/>
      <c r="BY470" s="43"/>
      <c r="BZ470" s="43"/>
      <c r="CA470" s="43"/>
    </row>
    <row r="471">
      <c r="A471" s="47"/>
      <c r="B471" s="47"/>
      <c r="C471" s="47"/>
      <c r="D471" s="47"/>
      <c r="E471" s="47"/>
      <c r="F471" s="47"/>
      <c r="G471" s="47"/>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c r="BZ471" s="43"/>
      <c r="CA471" s="43"/>
    </row>
    <row r="472">
      <c r="A472" s="47"/>
      <c r="B472" s="47"/>
      <c r="C472" s="47"/>
      <c r="D472" s="47"/>
      <c r="E472" s="47"/>
      <c r="F472" s="47"/>
      <c r="G472" s="47"/>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c r="BO472" s="43"/>
      <c r="BP472" s="43"/>
      <c r="BQ472" s="43"/>
      <c r="BR472" s="43"/>
      <c r="BS472" s="43"/>
      <c r="BT472" s="43"/>
      <c r="BU472" s="43"/>
      <c r="BV472" s="43"/>
      <c r="BW472" s="43"/>
      <c r="BX472" s="43"/>
      <c r="BY472" s="43"/>
      <c r="BZ472" s="43"/>
      <c r="CA472" s="43"/>
    </row>
    <row r="473">
      <c r="A473" s="47"/>
      <c r="B473" s="47"/>
      <c r="C473" s="47"/>
      <c r="D473" s="47"/>
      <c r="E473" s="47"/>
      <c r="F473" s="47"/>
      <c r="G473" s="47"/>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c r="BZ473" s="43"/>
      <c r="CA473" s="43"/>
    </row>
    <row r="474">
      <c r="A474" s="47"/>
      <c r="B474" s="47"/>
      <c r="C474" s="47"/>
      <c r="D474" s="47"/>
      <c r="E474" s="47"/>
      <c r="F474" s="47"/>
      <c r="G474" s="47"/>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c r="BO474" s="43"/>
      <c r="BP474" s="43"/>
      <c r="BQ474" s="43"/>
      <c r="BR474" s="43"/>
      <c r="BS474" s="43"/>
      <c r="BT474" s="43"/>
      <c r="BU474" s="43"/>
      <c r="BV474" s="43"/>
      <c r="BW474" s="43"/>
      <c r="BX474" s="43"/>
      <c r="BY474" s="43"/>
      <c r="BZ474" s="43"/>
      <c r="CA474" s="43"/>
    </row>
    <row r="475">
      <c r="A475" s="47"/>
      <c r="B475" s="47"/>
      <c r="C475" s="47"/>
      <c r="D475" s="47"/>
      <c r="E475" s="47"/>
      <c r="F475" s="47"/>
      <c r="G475" s="47"/>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c r="BZ475" s="43"/>
      <c r="CA475" s="43"/>
    </row>
    <row r="476">
      <c r="A476" s="47"/>
      <c r="B476" s="47"/>
      <c r="C476" s="47"/>
      <c r="D476" s="47"/>
      <c r="E476" s="47"/>
      <c r="F476" s="47"/>
      <c r="G476" s="47"/>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c r="BO476" s="43"/>
      <c r="BP476" s="43"/>
      <c r="BQ476" s="43"/>
      <c r="BR476" s="43"/>
      <c r="BS476" s="43"/>
      <c r="BT476" s="43"/>
      <c r="BU476" s="43"/>
      <c r="BV476" s="43"/>
      <c r="BW476" s="43"/>
      <c r="BX476" s="43"/>
      <c r="BY476" s="43"/>
      <c r="BZ476" s="43"/>
      <c r="CA476" s="43"/>
    </row>
    <row r="477">
      <c r="A477" s="47"/>
      <c r="B477" s="47"/>
      <c r="C477" s="47"/>
      <c r="D477" s="47"/>
      <c r="E477" s="47"/>
      <c r="F477" s="47"/>
      <c r="G477" s="47"/>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c r="BZ477" s="43"/>
      <c r="CA477" s="43"/>
    </row>
    <row r="478">
      <c r="A478" s="47"/>
      <c r="B478" s="47"/>
      <c r="C478" s="47"/>
      <c r="D478" s="47"/>
      <c r="E478" s="47"/>
      <c r="F478" s="47"/>
      <c r="G478" s="47"/>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c r="BO478" s="43"/>
      <c r="BP478" s="43"/>
      <c r="BQ478" s="43"/>
      <c r="BR478" s="43"/>
      <c r="BS478" s="43"/>
      <c r="BT478" s="43"/>
      <c r="BU478" s="43"/>
      <c r="BV478" s="43"/>
      <c r="BW478" s="43"/>
      <c r="BX478" s="43"/>
      <c r="BY478" s="43"/>
      <c r="BZ478" s="43"/>
      <c r="CA478" s="43"/>
    </row>
    <row r="479">
      <c r="A479" s="47"/>
      <c r="B479" s="47"/>
      <c r="C479" s="47"/>
      <c r="D479" s="47"/>
      <c r="E479" s="47"/>
      <c r="F479" s="47"/>
      <c r="G479" s="47"/>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c r="BZ479" s="43"/>
      <c r="CA479" s="43"/>
    </row>
    <row r="480">
      <c r="A480" s="47"/>
      <c r="B480" s="47"/>
      <c r="C480" s="47"/>
      <c r="D480" s="47"/>
      <c r="E480" s="47"/>
      <c r="F480" s="47"/>
      <c r="G480" s="47"/>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c r="BO480" s="43"/>
      <c r="BP480" s="43"/>
      <c r="BQ480" s="43"/>
      <c r="BR480" s="43"/>
      <c r="BS480" s="43"/>
      <c r="BT480" s="43"/>
      <c r="BU480" s="43"/>
      <c r="BV480" s="43"/>
      <c r="BW480" s="43"/>
      <c r="BX480" s="43"/>
      <c r="BY480" s="43"/>
      <c r="BZ480" s="43"/>
      <c r="CA480" s="43"/>
    </row>
    <row r="481">
      <c r="A481" s="47"/>
      <c r="B481" s="47"/>
      <c r="C481" s="47"/>
      <c r="D481" s="47"/>
      <c r="E481" s="47"/>
      <c r="F481" s="47"/>
      <c r="G481" s="47"/>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c r="BZ481" s="43"/>
      <c r="CA481" s="43"/>
    </row>
    <row r="482">
      <c r="A482" s="47"/>
      <c r="B482" s="47"/>
      <c r="C482" s="47"/>
      <c r="D482" s="47"/>
      <c r="E482" s="47"/>
      <c r="F482" s="47"/>
      <c r="G482" s="47"/>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c r="BO482" s="43"/>
      <c r="BP482" s="43"/>
      <c r="BQ482" s="43"/>
      <c r="BR482" s="43"/>
      <c r="BS482" s="43"/>
      <c r="BT482" s="43"/>
      <c r="BU482" s="43"/>
      <c r="BV482" s="43"/>
      <c r="BW482" s="43"/>
      <c r="BX482" s="43"/>
      <c r="BY482" s="43"/>
      <c r="BZ482" s="43"/>
      <c r="CA482" s="43"/>
    </row>
    <row r="483">
      <c r="A483" s="47"/>
      <c r="B483" s="47"/>
      <c r="C483" s="47"/>
      <c r="D483" s="47"/>
      <c r="E483" s="47"/>
      <c r="F483" s="47"/>
      <c r="G483" s="47"/>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c r="BZ483" s="43"/>
      <c r="CA483" s="43"/>
    </row>
    <row r="484">
      <c r="A484" s="47"/>
      <c r="B484" s="47"/>
      <c r="C484" s="47"/>
      <c r="D484" s="47"/>
      <c r="E484" s="47"/>
      <c r="F484" s="47"/>
      <c r="G484" s="47"/>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c r="BO484" s="43"/>
      <c r="BP484" s="43"/>
      <c r="BQ484" s="43"/>
      <c r="BR484" s="43"/>
      <c r="BS484" s="43"/>
      <c r="BT484" s="43"/>
      <c r="BU484" s="43"/>
      <c r="BV484" s="43"/>
      <c r="BW484" s="43"/>
      <c r="BX484" s="43"/>
      <c r="BY484" s="43"/>
      <c r="BZ484" s="43"/>
      <c r="CA484" s="43"/>
    </row>
    <row r="485">
      <c r="A485" s="47"/>
      <c r="B485" s="47"/>
      <c r="C485" s="47"/>
      <c r="D485" s="47"/>
      <c r="E485" s="47"/>
      <c r="F485" s="47"/>
      <c r="G485" s="47"/>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row>
    <row r="486">
      <c r="A486" s="47"/>
      <c r="B486" s="47"/>
      <c r="C486" s="47"/>
      <c r="D486" s="47"/>
      <c r="E486" s="47"/>
      <c r="F486" s="47"/>
      <c r="G486" s="47"/>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c r="BP486" s="43"/>
      <c r="BQ486" s="43"/>
      <c r="BR486" s="43"/>
      <c r="BS486" s="43"/>
      <c r="BT486" s="43"/>
      <c r="BU486" s="43"/>
      <c r="BV486" s="43"/>
      <c r="BW486" s="43"/>
      <c r="BX486" s="43"/>
      <c r="BY486" s="43"/>
      <c r="BZ486" s="43"/>
      <c r="CA486" s="43"/>
    </row>
    <row r="487">
      <c r="A487" s="47"/>
      <c r="B487" s="47"/>
      <c r="C487" s="47"/>
      <c r="D487" s="47"/>
      <c r="E487" s="47"/>
      <c r="F487" s="47"/>
      <c r="G487" s="47"/>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row>
    <row r="488">
      <c r="A488" s="47"/>
      <c r="B488" s="47"/>
      <c r="C488" s="47"/>
      <c r="D488" s="47"/>
      <c r="E488" s="47"/>
      <c r="F488" s="47"/>
      <c r="G488" s="47"/>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3"/>
      <c r="BY488" s="43"/>
      <c r="BZ488" s="43"/>
      <c r="CA488" s="43"/>
    </row>
    <row r="489">
      <c r="A489" s="47"/>
      <c r="B489" s="47"/>
      <c r="C489" s="47"/>
      <c r="D489" s="47"/>
      <c r="E489" s="47"/>
      <c r="F489" s="47"/>
      <c r="G489" s="47"/>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row>
    <row r="490">
      <c r="A490" s="47"/>
      <c r="B490" s="47"/>
      <c r="C490" s="47"/>
      <c r="D490" s="47"/>
      <c r="E490" s="47"/>
      <c r="F490" s="47"/>
      <c r="G490" s="47"/>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c r="BP490" s="43"/>
      <c r="BQ490" s="43"/>
      <c r="BR490" s="43"/>
      <c r="BS490" s="43"/>
      <c r="BT490" s="43"/>
      <c r="BU490" s="43"/>
      <c r="BV490" s="43"/>
      <c r="BW490" s="43"/>
      <c r="BX490" s="43"/>
      <c r="BY490" s="43"/>
      <c r="BZ490" s="43"/>
      <c r="CA490" s="43"/>
    </row>
    <row r="491">
      <c r="A491" s="47"/>
      <c r="B491" s="47"/>
      <c r="C491" s="47"/>
      <c r="D491" s="47"/>
      <c r="E491" s="47"/>
      <c r="F491" s="47"/>
      <c r="G491" s="47"/>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row>
    <row r="492">
      <c r="A492" s="47"/>
      <c r="B492" s="47"/>
      <c r="C492" s="47"/>
      <c r="D492" s="47"/>
      <c r="E492" s="47"/>
      <c r="F492" s="47"/>
      <c r="G492" s="47"/>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c r="BP492" s="43"/>
      <c r="BQ492" s="43"/>
      <c r="BR492" s="43"/>
      <c r="BS492" s="43"/>
      <c r="BT492" s="43"/>
      <c r="BU492" s="43"/>
      <c r="BV492" s="43"/>
      <c r="BW492" s="43"/>
      <c r="BX492" s="43"/>
      <c r="BY492" s="43"/>
      <c r="BZ492" s="43"/>
      <c r="CA492" s="43"/>
    </row>
    <row r="493">
      <c r="A493" s="47"/>
      <c r="B493" s="47"/>
      <c r="C493" s="47"/>
      <c r="D493" s="47"/>
      <c r="E493" s="47"/>
      <c r="F493" s="47"/>
      <c r="G493" s="47"/>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row>
    <row r="494">
      <c r="A494" s="47"/>
      <c r="B494" s="47"/>
      <c r="C494" s="47"/>
      <c r="D494" s="47"/>
      <c r="E494" s="47"/>
      <c r="F494" s="47"/>
      <c r="G494" s="47"/>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c r="BO494" s="43"/>
      <c r="BP494" s="43"/>
      <c r="BQ494" s="43"/>
      <c r="BR494" s="43"/>
      <c r="BS494" s="43"/>
      <c r="BT494" s="43"/>
      <c r="BU494" s="43"/>
      <c r="BV494" s="43"/>
      <c r="BW494" s="43"/>
      <c r="BX494" s="43"/>
      <c r="BY494" s="43"/>
      <c r="BZ494" s="43"/>
      <c r="CA494" s="43"/>
    </row>
    <row r="495">
      <c r="A495" s="47"/>
      <c r="B495" s="47"/>
      <c r="C495" s="47"/>
      <c r="D495" s="47"/>
      <c r="E495" s="47"/>
      <c r="F495" s="47"/>
      <c r="G495" s="47"/>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row>
    <row r="496">
      <c r="A496" s="47"/>
      <c r="B496" s="47"/>
      <c r="C496" s="47"/>
      <c r="D496" s="47"/>
      <c r="E496" s="47"/>
      <c r="F496" s="47"/>
      <c r="G496" s="47"/>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row>
    <row r="497">
      <c r="A497" s="47"/>
      <c r="B497" s="47"/>
      <c r="C497" s="47"/>
      <c r="D497" s="47"/>
      <c r="E497" s="47"/>
      <c r="F497" s="47"/>
      <c r="G497" s="47"/>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c r="BZ497" s="43"/>
      <c r="CA497" s="43"/>
    </row>
    <row r="498">
      <c r="A498" s="47"/>
      <c r="B498" s="47"/>
      <c r="C498" s="47"/>
      <c r="D498" s="47"/>
      <c r="E498" s="47"/>
      <c r="F498" s="47"/>
      <c r="G498" s="47"/>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c r="BZ498" s="43"/>
      <c r="CA498" s="43"/>
    </row>
    <row r="499">
      <c r="A499" s="47"/>
      <c r="B499" s="47"/>
      <c r="C499" s="47"/>
      <c r="D499" s="47"/>
      <c r="E499" s="47"/>
      <c r="F499" s="47"/>
      <c r="G499" s="47"/>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row>
    <row r="500">
      <c r="A500" s="47"/>
      <c r="B500" s="47"/>
      <c r="C500" s="47"/>
      <c r="D500" s="47"/>
      <c r="E500" s="47"/>
      <c r="F500" s="47"/>
      <c r="G500" s="47"/>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c r="BZ500" s="43"/>
      <c r="CA500" s="43"/>
    </row>
    <row r="501">
      <c r="A501" s="47"/>
      <c r="B501" s="47"/>
      <c r="C501" s="47"/>
      <c r="D501" s="47"/>
      <c r="E501" s="47"/>
      <c r="F501" s="47"/>
      <c r="G501" s="47"/>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row>
    <row r="502">
      <c r="A502" s="47"/>
      <c r="B502" s="47"/>
      <c r="C502" s="47"/>
      <c r="D502" s="47"/>
      <c r="E502" s="47"/>
      <c r="F502" s="47"/>
      <c r="G502" s="47"/>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row>
    <row r="503">
      <c r="A503" s="47"/>
      <c r="B503" s="47"/>
      <c r="C503" s="47"/>
      <c r="D503" s="47"/>
      <c r="E503" s="47"/>
      <c r="F503" s="47"/>
      <c r="G503" s="47"/>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c r="BZ503" s="43"/>
      <c r="CA503" s="43"/>
    </row>
    <row r="504">
      <c r="A504" s="47"/>
      <c r="B504" s="47"/>
      <c r="C504" s="47"/>
      <c r="D504" s="47"/>
      <c r="E504" s="47"/>
      <c r="F504" s="47"/>
      <c r="G504" s="47"/>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c r="BO504" s="43"/>
      <c r="BP504" s="43"/>
      <c r="BQ504" s="43"/>
      <c r="BR504" s="43"/>
      <c r="BS504" s="43"/>
      <c r="BT504" s="43"/>
      <c r="BU504" s="43"/>
      <c r="BV504" s="43"/>
      <c r="BW504" s="43"/>
      <c r="BX504" s="43"/>
      <c r="BY504" s="43"/>
      <c r="BZ504" s="43"/>
      <c r="CA504" s="43"/>
    </row>
    <row r="505">
      <c r="A505" s="47"/>
      <c r="B505" s="47"/>
      <c r="C505" s="47"/>
      <c r="D505" s="47"/>
      <c r="E505" s="47"/>
      <c r="F505" s="47"/>
      <c r="G505" s="47"/>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c r="BZ505" s="43"/>
      <c r="CA505" s="43"/>
    </row>
    <row r="506">
      <c r="A506" s="47"/>
      <c r="B506" s="47"/>
      <c r="C506" s="47"/>
      <c r="D506" s="47"/>
      <c r="E506" s="47"/>
      <c r="F506" s="47"/>
      <c r="G506" s="47"/>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c r="BO506" s="43"/>
      <c r="BP506" s="43"/>
      <c r="BQ506" s="43"/>
      <c r="BR506" s="43"/>
      <c r="BS506" s="43"/>
      <c r="BT506" s="43"/>
      <c r="BU506" s="43"/>
      <c r="BV506" s="43"/>
      <c r="BW506" s="43"/>
      <c r="BX506" s="43"/>
      <c r="BY506" s="43"/>
      <c r="BZ506" s="43"/>
      <c r="CA506" s="43"/>
    </row>
    <row r="507">
      <c r="A507" s="47"/>
      <c r="B507" s="47"/>
      <c r="C507" s="47"/>
      <c r="D507" s="47"/>
      <c r="E507" s="47"/>
      <c r="F507" s="47"/>
      <c r="G507" s="47"/>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3"/>
      <c r="BY507" s="43"/>
      <c r="BZ507" s="43"/>
      <c r="CA507" s="43"/>
    </row>
    <row r="508">
      <c r="A508" s="47"/>
      <c r="B508" s="47"/>
      <c r="C508" s="47"/>
      <c r="D508" s="47"/>
      <c r="E508" s="47"/>
      <c r="F508" s="47"/>
      <c r="G508" s="47"/>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c r="BZ508" s="43"/>
      <c r="CA508" s="43"/>
    </row>
    <row r="509">
      <c r="A509" s="47"/>
      <c r="B509" s="47"/>
      <c r="C509" s="47"/>
      <c r="D509" s="47"/>
      <c r="E509" s="47"/>
      <c r="F509" s="47"/>
      <c r="G509" s="47"/>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c r="BO509" s="43"/>
      <c r="BP509" s="43"/>
      <c r="BQ509" s="43"/>
      <c r="BR509" s="43"/>
      <c r="BS509" s="43"/>
      <c r="BT509" s="43"/>
      <c r="BU509" s="43"/>
      <c r="BV509" s="43"/>
      <c r="BW509" s="43"/>
      <c r="BX509" s="43"/>
      <c r="BY509" s="43"/>
      <c r="BZ509" s="43"/>
      <c r="CA509" s="43"/>
    </row>
    <row r="510">
      <c r="A510" s="47"/>
      <c r="B510" s="47"/>
      <c r="C510" s="47"/>
      <c r="D510" s="47"/>
      <c r="E510" s="47"/>
      <c r="F510" s="47"/>
      <c r="G510" s="47"/>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c r="BZ510" s="43"/>
      <c r="CA510" s="43"/>
    </row>
    <row r="511">
      <c r="A511" s="47"/>
      <c r="B511" s="47"/>
      <c r="C511" s="47"/>
      <c r="D511" s="47"/>
      <c r="E511" s="47"/>
      <c r="F511" s="47"/>
      <c r="G511" s="47"/>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c r="BO511" s="43"/>
      <c r="BP511" s="43"/>
      <c r="BQ511" s="43"/>
      <c r="BR511" s="43"/>
      <c r="BS511" s="43"/>
      <c r="BT511" s="43"/>
      <c r="BU511" s="43"/>
      <c r="BV511" s="43"/>
      <c r="BW511" s="43"/>
      <c r="BX511" s="43"/>
      <c r="BY511" s="43"/>
      <c r="BZ511" s="43"/>
      <c r="CA511" s="43"/>
    </row>
    <row r="512">
      <c r="A512" s="47"/>
      <c r="B512" s="47"/>
      <c r="C512" s="47"/>
      <c r="D512" s="47"/>
      <c r="E512" s="47"/>
      <c r="F512" s="47"/>
      <c r="G512" s="47"/>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c r="BZ512" s="43"/>
      <c r="CA512" s="43"/>
    </row>
    <row r="513">
      <c r="A513" s="47"/>
      <c r="B513" s="47"/>
      <c r="C513" s="47"/>
      <c r="D513" s="47"/>
      <c r="E513" s="47"/>
      <c r="F513" s="47"/>
      <c r="G513" s="47"/>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c r="BO513" s="43"/>
      <c r="BP513" s="43"/>
      <c r="BQ513" s="43"/>
      <c r="BR513" s="43"/>
      <c r="BS513" s="43"/>
      <c r="BT513" s="43"/>
      <c r="BU513" s="43"/>
      <c r="BV513" s="43"/>
      <c r="BW513" s="43"/>
      <c r="BX513" s="43"/>
      <c r="BY513" s="43"/>
      <c r="BZ513" s="43"/>
      <c r="CA513" s="43"/>
    </row>
    <row r="514">
      <c r="A514" s="47"/>
      <c r="B514" s="47"/>
      <c r="C514" s="47"/>
      <c r="D514" s="47"/>
      <c r="E514" s="47"/>
      <c r="F514" s="47"/>
      <c r="G514" s="47"/>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c r="BZ514" s="43"/>
      <c r="CA514" s="43"/>
    </row>
    <row r="515">
      <c r="A515" s="47"/>
      <c r="B515" s="47"/>
      <c r="C515" s="47"/>
      <c r="D515" s="47"/>
      <c r="E515" s="47"/>
      <c r="F515" s="47"/>
      <c r="G515" s="47"/>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c r="BO515" s="43"/>
      <c r="BP515" s="43"/>
      <c r="BQ515" s="43"/>
      <c r="BR515" s="43"/>
      <c r="BS515" s="43"/>
      <c r="BT515" s="43"/>
      <c r="BU515" s="43"/>
      <c r="BV515" s="43"/>
      <c r="BW515" s="43"/>
      <c r="BX515" s="43"/>
      <c r="BY515" s="43"/>
      <c r="BZ515" s="43"/>
      <c r="CA515" s="43"/>
    </row>
    <row r="516">
      <c r="A516" s="47"/>
      <c r="B516" s="47"/>
      <c r="C516" s="47"/>
      <c r="D516" s="47"/>
      <c r="E516" s="47"/>
      <c r="F516" s="47"/>
      <c r="G516" s="47"/>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c r="BO516" s="43"/>
      <c r="BP516" s="43"/>
      <c r="BQ516" s="43"/>
      <c r="BR516" s="43"/>
      <c r="BS516" s="43"/>
      <c r="BT516" s="43"/>
      <c r="BU516" s="43"/>
      <c r="BV516" s="43"/>
      <c r="BW516" s="43"/>
      <c r="BX516" s="43"/>
      <c r="BY516" s="43"/>
      <c r="BZ516" s="43"/>
      <c r="CA516" s="43"/>
    </row>
    <row r="517">
      <c r="A517" s="47"/>
      <c r="B517" s="47"/>
      <c r="C517" s="47"/>
      <c r="D517" s="47"/>
      <c r="E517" s="47"/>
      <c r="F517" s="47"/>
      <c r="G517" s="47"/>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c r="BZ517" s="43"/>
      <c r="CA517" s="43"/>
    </row>
    <row r="518">
      <c r="A518" s="47"/>
      <c r="B518" s="47"/>
      <c r="C518" s="47"/>
      <c r="D518" s="47"/>
      <c r="E518" s="47"/>
      <c r="F518" s="47"/>
      <c r="G518" s="47"/>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c r="BZ518" s="43"/>
      <c r="CA518" s="43"/>
    </row>
    <row r="519">
      <c r="A519" s="47"/>
      <c r="B519" s="47"/>
      <c r="C519" s="47"/>
      <c r="D519" s="47"/>
      <c r="E519" s="47"/>
      <c r="F519" s="47"/>
      <c r="G519" s="47"/>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c r="BO519" s="43"/>
      <c r="BP519" s="43"/>
      <c r="BQ519" s="43"/>
      <c r="BR519" s="43"/>
      <c r="BS519" s="43"/>
      <c r="BT519" s="43"/>
      <c r="BU519" s="43"/>
      <c r="BV519" s="43"/>
      <c r="BW519" s="43"/>
      <c r="BX519" s="43"/>
      <c r="BY519" s="43"/>
      <c r="BZ519" s="43"/>
      <c r="CA519" s="43"/>
    </row>
    <row r="520">
      <c r="A520" s="47"/>
      <c r="B520" s="47"/>
      <c r="C520" s="47"/>
      <c r="D520" s="47"/>
      <c r="E520" s="47"/>
      <c r="F520" s="47"/>
      <c r="G520" s="47"/>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c r="BZ520" s="43"/>
      <c r="CA520" s="43"/>
    </row>
    <row r="521">
      <c r="A521" s="47"/>
      <c r="B521" s="47"/>
      <c r="C521" s="47"/>
      <c r="D521" s="47"/>
      <c r="E521" s="47"/>
      <c r="F521" s="47"/>
      <c r="G521" s="47"/>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c r="BZ521" s="43"/>
      <c r="CA521" s="43"/>
    </row>
    <row r="522">
      <c r="A522" s="47"/>
      <c r="B522" s="47"/>
      <c r="C522" s="47"/>
      <c r="D522" s="47"/>
      <c r="E522" s="47"/>
      <c r="F522" s="47"/>
      <c r="G522" s="47"/>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c r="BZ522" s="43"/>
      <c r="CA522" s="43"/>
    </row>
    <row r="523">
      <c r="A523" s="47"/>
      <c r="B523" s="47"/>
      <c r="C523" s="47"/>
      <c r="D523" s="47"/>
      <c r="E523" s="47"/>
      <c r="F523" s="47"/>
      <c r="G523" s="47"/>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3"/>
      <c r="BY523" s="43"/>
      <c r="BZ523" s="43"/>
      <c r="CA523" s="43"/>
    </row>
    <row r="524">
      <c r="A524" s="47"/>
      <c r="B524" s="47"/>
      <c r="C524" s="47"/>
      <c r="D524" s="47"/>
      <c r="E524" s="47"/>
      <c r="F524" s="47"/>
      <c r="G524" s="47"/>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c r="BZ524" s="43"/>
      <c r="CA524" s="43"/>
    </row>
    <row r="525">
      <c r="A525" s="47"/>
      <c r="B525" s="47"/>
      <c r="C525" s="47"/>
      <c r="D525" s="47"/>
      <c r="E525" s="47"/>
      <c r="F525" s="47"/>
      <c r="G525" s="47"/>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c r="BZ525" s="43"/>
      <c r="CA525" s="43"/>
    </row>
    <row r="526">
      <c r="A526" s="47"/>
      <c r="B526" s="47"/>
      <c r="C526" s="47"/>
      <c r="D526" s="47"/>
      <c r="E526" s="47"/>
      <c r="F526" s="47"/>
      <c r="G526" s="47"/>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c r="BZ526" s="43"/>
      <c r="CA526" s="43"/>
    </row>
    <row r="527">
      <c r="A527" s="47"/>
      <c r="B527" s="47"/>
      <c r="C527" s="47"/>
      <c r="D527" s="47"/>
      <c r="E527" s="47"/>
      <c r="F527" s="47"/>
      <c r="G527" s="47"/>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c r="BO527" s="43"/>
      <c r="BP527" s="43"/>
      <c r="BQ527" s="43"/>
      <c r="BR527" s="43"/>
      <c r="BS527" s="43"/>
      <c r="BT527" s="43"/>
      <c r="BU527" s="43"/>
      <c r="BV527" s="43"/>
      <c r="BW527" s="43"/>
      <c r="BX527" s="43"/>
      <c r="BY527" s="43"/>
      <c r="BZ527" s="43"/>
      <c r="CA527" s="43"/>
    </row>
    <row r="528">
      <c r="A528" s="47"/>
      <c r="B528" s="47"/>
      <c r="C528" s="47"/>
      <c r="D528" s="47"/>
      <c r="E528" s="47"/>
      <c r="F528" s="47"/>
      <c r="G528" s="47"/>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c r="BZ528" s="43"/>
      <c r="CA528" s="43"/>
    </row>
    <row r="529">
      <c r="A529" s="47"/>
      <c r="B529" s="47"/>
      <c r="C529" s="47"/>
      <c r="D529" s="47"/>
      <c r="E529" s="47"/>
      <c r="F529" s="47"/>
      <c r="G529" s="47"/>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c r="BO529" s="43"/>
      <c r="BP529" s="43"/>
      <c r="BQ529" s="43"/>
      <c r="BR529" s="43"/>
      <c r="BS529" s="43"/>
      <c r="BT529" s="43"/>
      <c r="BU529" s="43"/>
      <c r="BV529" s="43"/>
      <c r="BW529" s="43"/>
      <c r="BX529" s="43"/>
      <c r="BY529" s="43"/>
      <c r="BZ529" s="43"/>
      <c r="CA529" s="43"/>
    </row>
    <row r="530">
      <c r="A530" s="47"/>
      <c r="B530" s="47"/>
      <c r="C530" s="47"/>
      <c r="D530" s="47"/>
      <c r="E530" s="47"/>
      <c r="F530" s="47"/>
      <c r="G530" s="47"/>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c r="BZ530" s="43"/>
      <c r="CA530" s="43"/>
    </row>
    <row r="531">
      <c r="A531" s="47"/>
      <c r="B531" s="47"/>
      <c r="C531" s="47"/>
      <c r="D531" s="47"/>
      <c r="E531" s="47"/>
      <c r="F531" s="47"/>
      <c r="G531" s="47"/>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c r="BZ531" s="43"/>
      <c r="CA531" s="43"/>
    </row>
    <row r="532">
      <c r="A532" s="47"/>
      <c r="B532" s="47"/>
      <c r="C532" s="47"/>
      <c r="D532" s="47"/>
      <c r="E532" s="47"/>
      <c r="F532" s="47"/>
      <c r="G532" s="47"/>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c r="BO532" s="43"/>
      <c r="BP532" s="43"/>
      <c r="BQ532" s="43"/>
      <c r="BR532" s="43"/>
      <c r="BS532" s="43"/>
      <c r="BT532" s="43"/>
      <c r="BU532" s="43"/>
      <c r="BV532" s="43"/>
      <c r="BW532" s="43"/>
      <c r="BX532" s="43"/>
      <c r="BY532" s="43"/>
      <c r="BZ532" s="43"/>
      <c r="CA532" s="43"/>
    </row>
    <row r="533">
      <c r="A533" s="47"/>
      <c r="B533" s="47"/>
      <c r="C533" s="47"/>
      <c r="D533" s="47"/>
      <c r="E533" s="47"/>
      <c r="F533" s="47"/>
      <c r="G533" s="47"/>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c r="BO533" s="43"/>
      <c r="BP533" s="43"/>
      <c r="BQ533" s="43"/>
      <c r="BR533" s="43"/>
      <c r="BS533" s="43"/>
      <c r="BT533" s="43"/>
      <c r="BU533" s="43"/>
      <c r="BV533" s="43"/>
      <c r="BW533" s="43"/>
      <c r="BX533" s="43"/>
      <c r="BY533" s="43"/>
      <c r="BZ533" s="43"/>
      <c r="CA533" s="43"/>
    </row>
    <row r="534">
      <c r="A534" s="47"/>
      <c r="B534" s="47"/>
      <c r="C534" s="47"/>
      <c r="D534" s="47"/>
      <c r="E534" s="47"/>
      <c r="F534" s="47"/>
      <c r="G534" s="47"/>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c r="BZ534" s="43"/>
      <c r="CA534" s="43"/>
    </row>
    <row r="535">
      <c r="A535" s="47"/>
      <c r="B535" s="47"/>
      <c r="C535" s="47"/>
      <c r="D535" s="47"/>
      <c r="E535" s="47"/>
      <c r="F535" s="47"/>
      <c r="G535" s="47"/>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c r="BO535" s="43"/>
      <c r="BP535" s="43"/>
      <c r="BQ535" s="43"/>
      <c r="BR535" s="43"/>
      <c r="BS535" s="43"/>
      <c r="BT535" s="43"/>
      <c r="BU535" s="43"/>
      <c r="BV535" s="43"/>
      <c r="BW535" s="43"/>
      <c r="BX535" s="43"/>
      <c r="BY535" s="43"/>
      <c r="BZ535" s="43"/>
      <c r="CA535" s="43"/>
    </row>
    <row r="536">
      <c r="A536" s="47"/>
      <c r="B536" s="47"/>
      <c r="C536" s="47"/>
      <c r="D536" s="47"/>
      <c r="E536" s="47"/>
      <c r="F536" s="47"/>
      <c r="G536" s="47"/>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c r="CA536" s="43"/>
    </row>
    <row r="537">
      <c r="A537" s="47"/>
      <c r="B537" s="47"/>
      <c r="C537" s="47"/>
      <c r="D537" s="47"/>
      <c r="E537" s="47"/>
      <c r="F537" s="47"/>
      <c r="G537" s="47"/>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c r="BZ537" s="43"/>
      <c r="CA537" s="43"/>
    </row>
    <row r="538">
      <c r="A538" s="47"/>
      <c r="B538" s="47"/>
      <c r="C538" s="47"/>
      <c r="D538" s="47"/>
      <c r="E538" s="47"/>
      <c r="F538" s="47"/>
      <c r="G538" s="47"/>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c r="CA538" s="43"/>
    </row>
    <row r="539">
      <c r="A539" s="47"/>
      <c r="B539" s="47"/>
      <c r="C539" s="47"/>
      <c r="D539" s="47"/>
      <c r="E539" s="47"/>
      <c r="F539" s="47"/>
      <c r="G539" s="47"/>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c r="BO539" s="43"/>
      <c r="BP539" s="43"/>
      <c r="BQ539" s="43"/>
      <c r="BR539" s="43"/>
      <c r="BS539" s="43"/>
      <c r="BT539" s="43"/>
      <c r="BU539" s="43"/>
      <c r="BV539" s="43"/>
      <c r="BW539" s="43"/>
      <c r="BX539" s="43"/>
      <c r="BY539" s="43"/>
      <c r="BZ539" s="43"/>
      <c r="CA539" s="43"/>
    </row>
    <row r="540">
      <c r="A540" s="47"/>
      <c r="B540" s="47"/>
      <c r="C540" s="47"/>
      <c r="D540" s="47"/>
      <c r="E540" s="47"/>
      <c r="F540" s="47"/>
      <c r="G540" s="47"/>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c r="CA540" s="43"/>
    </row>
    <row r="541">
      <c r="A541" s="47"/>
      <c r="B541" s="47"/>
      <c r="C541" s="47"/>
      <c r="D541" s="47"/>
      <c r="E541" s="47"/>
      <c r="F541" s="47"/>
      <c r="G541" s="47"/>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row>
    <row r="542">
      <c r="A542" s="47"/>
      <c r="B542" s="47"/>
      <c r="C542" s="47"/>
      <c r="D542" s="47"/>
      <c r="E542" s="47"/>
      <c r="F542" s="47"/>
      <c r="G542" s="47"/>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3"/>
      <c r="BY542" s="43"/>
      <c r="BZ542" s="43"/>
      <c r="CA542" s="43"/>
    </row>
    <row r="543">
      <c r="A543" s="47"/>
      <c r="B543" s="47"/>
      <c r="C543" s="47"/>
      <c r="D543" s="47"/>
      <c r="E543" s="47"/>
      <c r="F543" s="47"/>
      <c r="G543" s="47"/>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c r="BZ543" s="43"/>
      <c r="CA543" s="43"/>
    </row>
    <row r="544">
      <c r="A544" s="47"/>
      <c r="B544" s="47"/>
      <c r="C544" s="47"/>
      <c r="D544" s="47"/>
      <c r="E544" s="47"/>
      <c r="F544" s="47"/>
      <c r="G544" s="47"/>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c r="BZ544" s="43"/>
      <c r="CA544" s="43"/>
    </row>
    <row r="545">
      <c r="A545" s="47"/>
      <c r="B545" s="47"/>
      <c r="C545" s="47"/>
      <c r="D545" s="47"/>
      <c r="E545" s="47"/>
      <c r="F545" s="47"/>
      <c r="G545" s="47"/>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row>
    <row r="546">
      <c r="A546" s="47"/>
      <c r="B546" s="47"/>
      <c r="C546" s="47"/>
      <c r="D546" s="47"/>
      <c r="E546" s="47"/>
      <c r="F546" s="47"/>
      <c r="G546" s="47"/>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c r="BZ546" s="43"/>
      <c r="CA546" s="43"/>
    </row>
    <row r="547">
      <c r="A547" s="47"/>
      <c r="B547" s="47"/>
      <c r="C547" s="47"/>
      <c r="D547" s="47"/>
      <c r="E547" s="47"/>
      <c r="F547" s="47"/>
      <c r="G547" s="47"/>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3"/>
      <c r="BY547" s="43"/>
      <c r="BZ547" s="43"/>
      <c r="CA547" s="43"/>
    </row>
    <row r="548">
      <c r="A548" s="47"/>
      <c r="B548" s="47"/>
      <c r="C548" s="47"/>
      <c r="D548" s="47"/>
      <c r="E548" s="47"/>
      <c r="F548" s="47"/>
      <c r="G548" s="47"/>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c r="BZ548" s="43"/>
      <c r="CA548" s="43"/>
    </row>
    <row r="549">
      <c r="A549" s="47"/>
      <c r="B549" s="47"/>
      <c r="C549" s="47"/>
      <c r="D549" s="47"/>
      <c r="E549" s="47"/>
      <c r="F549" s="47"/>
      <c r="G549" s="47"/>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c r="BO549" s="43"/>
      <c r="BP549" s="43"/>
      <c r="BQ549" s="43"/>
      <c r="BR549" s="43"/>
      <c r="BS549" s="43"/>
      <c r="BT549" s="43"/>
      <c r="BU549" s="43"/>
      <c r="BV549" s="43"/>
      <c r="BW549" s="43"/>
      <c r="BX549" s="43"/>
      <c r="BY549" s="43"/>
      <c r="BZ549" s="43"/>
      <c r="CA549" s="43"/>
    </row>
    <row r="550">
      <c r="A550" s="47"/>
      <c r="B550" s="47"/>
      <c r="C550" s="47"/>
      <c r="D550" s="47"/>
      <c r="E550" s="47"/>
      <c r="F550" s="47"/>
      <c r="G550" s="47"/>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row>
    <row r="551">
      <c r="A551" s="47"/>
      <c r="B551" s="47"/>
      <c r="C551" s="47"/>
      <c r="D551" s="47"/>
      <c r="E551" s="47"/>
      <c r="F551" s="47"/>
      <c r="G551" s="47"/>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c r="BO551" s="43"/>
      <c r="BP551" s="43"/>
      <c r="BQ551" s="43"/>
      <c r="BR551" s="43"/>
      <c r="BS551" s="43"/>
      <c r="BT551" s="43"/>
      <c r="BU551" s="43"/>
      <c r="BV551" s="43"/>
      <c r="BW551" s="43"/>
      <c r="BX551" s="43"/>
      <c r="BY551" s="43"/>
      <c r="BZ551" s="43"/>
      <c r="CA551" s="43"/>
    </row>
    <row r="552">
      <c r="A552" s="47"/>
      <c r="B552" s="47"/>
      <c r="C552" s="47"/>
      <c r="D552" s="47"/>
      <c r="E552" s="47"/>
      <c r="F552" s="47"/>
      <c r="G552" s="47"/>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c r="BO552" s="43"/>
      <c r="BP552" s="43"/>
      <c r="BQ552" s="43"/>
      <c r="BR552" s="43"/>
      <c r="BS552" s="43"/>
      <c r="BT552" s="43"/>
      <c r="BU552" s="43"/>
      <c r="BV552" s="43"/>
      <c r="BW552" s="43"/>
      <c r="BX552" s="43"/>
      <c r="BY552" s="43"/>
      <c r="BZ552" s="43"/>
      <c r="CA552" s="43"/>
    </row>
    <row r="553">
      <c r="A553" s="47"/>
      <c r="B553" s="47"/>
      <c r="C553" s="47"/>
      <c r="D553" s="47"/>
      <c r="E553" s="47"/>
      <c r="F553" s="47"/>
      <c r="G553" s="47"/>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c r="BO553" s="43"/>
      <c r="BP553" s="43"/>
      <c r="BQ553" s="43"/>
      <c r="BR553" s="43"/>
      <c r="BS553" s="43"/>
      <c r="BT553" s="43"/>
      <c r="BU553" s="43"/>
      <c r="BV553" s="43"/>
      <c r="BW553" s="43"/>
      <c r="BX553" s="43"/>
      <c r="BY553" s="43"/>
      <c r="BZ553" s="43"/>
      <c r="CA553" s="43"/>
    </row>
    <row r="554">
      <c r="A554" s="47"/>
      <c r="B554" s="47"/>
      <c r="C554" s="47"/>
      <c r="D554" s="47"/>
      <c r="E554" s="47"/>
      <c r="F554" s="47"/>
      <c r="G554" s="47"/>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3"/>
      <c r="BY554" s="43"/>
      <c r="BZ554" s="43"/>
      <c r="CA554" s="43"/>
    </row>
    <row r="555">
      <c r="A555" s="47"/>
      <c r="B555" s="47"/>
      <c r="C555" s="47"/>
      <c r="D555" s="47"/>
      <c r="E555" s="47"/>
      <c r="F555" s="47"/>
      <c r="G555" s="47"/>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c r="BO555" s="43"/>
      <c r="BP555" s="43"/>
      <c r="BQ555" s="43"/>
      <c r="BR555" s="43"/>
      <c r="BS555" s="43"/>
      <c r="BT555" s="43"/>
      <c r="BU555" s="43"/>
      <c r="BV555" s="43"/>
      <c r="BW555" s="43"/>
      <c r="BX555" s="43"/>
      <c r="BY555" s="43"/>
      <c r="BZ555" s="43"/>
      <c r="CA555" s="43"/>
    </row>
    <row r="556">
      <c r="A556" s="47"/>
      <c r="B556" s="47"/>
      <c r="C556" s="47"/>
      <c r="D556" s="47"/>
      <c r="E556" s="47"/>
      <c r="F556" s="47"/>
      <c r="G556" s="47"/>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c r="BO556" s="43"/>
      <c r="BP556" s="43"/>
      <c r="BQ556" s="43"/>
      <c r="BR556" s="43"/>
      <c r="BS556" s="43"/>
      <c r="BT556" s="43"/>
      <c r="BU556" s="43"/>
      <c r="BV556" s="43"/>
      <c r="BW556" s="43"/>
      <c r="BX556" s="43"/>
      <c r="BY556" s="43"/>
      <c r="BZ556" s="43"/>
      <c r="CA556" s="43"/>
    </row>
    <row r="557">
      <c r="A557" s="47"/>
      <c r="B557" s="47"/>
      <c r="C557" s="47"/>
      <c r="D557" s="47"/>
      <c r="E557" s="47"/>
      <c r="F557" s="47"/>
      <c r="G557" s="47"/>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c r="BO557" s="43"/>
      <c r="BP557" s="43"/>
      <c r="BQ557" s="43"/>
      <c r="BR557" s="43"/>
      <c r="BS557" s="43"/>
      <c r="BT557" s="43"/>
      <c r="BU557" s="43"/>
      <c r="BV557" s="43"/>
      <c r="BW557" s="43"/>
      <c r="BX557" s="43"/>
      <c r="BY557" s="43"/>
      <c r="BZ557" s="43"/>
      <c r="CA557" s="43"/>
    </row>
    <row r="558">
      <c r="A558" s="47"/>
      <c r="B558" s="47"/>
      <c r="C558" s="47"/>
      <c r="D558" s="47"/>
      <c r="E558" s="47"/>
      <c r="F558" s="47"/>
      <c r="G558" s="47"/>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c r="BO558" s="43"/>
      <c r="BP558" s="43"/>
      <c r="BQ558" s="43"/>
      <c r="BR558" s="43"/>
      <c r="BS558" s="43"/>
      <c r="BT558" s="43"/>
      <c r="BU558" s="43"/>
      <c r="BV558" s="43"/>
      <c r="BW558" s="43"/>
      <c r="BX558" s="43"/>
      <c r="BY558" s="43"/>
      <c r="BZ558" s="43"/>
      <c r="CA558" s="43"/>
    </row>
    <row r="559">
      <c r="A559" s="47"/>
      <c r="B559" s="47"/>
      <c r="C559" s="47"/>
      <c r="D559" s="47"/>
      <c r="E559" s="47"/>
      <c r="F559" s="47"/>
      <c r="G559" s="47"/>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c r="BO559" s="43"/>
      <c r="BP559" s="43"/>
      <c r="BQ559" s="43"/>
      <c r="BR559" s="43"/>
      <c r="BS559" s="43"/>
      <c r="BT559" s="43"/>
      <c r="BU559" s="43"/>
      <c r="BV559" s="43"/>
      <c r="BW559" s="43"/>
      <c r="BX559" s="43"/>
      <c r="BY559" s="43"/>
      <c r="BZ559" s="43"/>
      <c r="CA559" s="43"/>
    </row>
    <row r="560">
      <c r="A560" s="47"/>
      <c r="B560" s="47"/>
      <c r="C560" s="47"/>
      <c r="D560" s="47"/>
      <c r="E560" s="47"/>
      <c r="F560" s="47"/>
      <c r="G560" s="47"/>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3"/>
      <c r="BY560" s="43"/>
      <c r="BZ560" s="43"/>
      <c r="CA560" s="43"/>
    </row>
    <row r="561">
      <c r="A561" s="47"/>
      <c r="B561" s="47"/>
      <c r="C561" s="47"/>
      <c r="D561" s="47"/>
      <c r="E561" s="47"/>
      <c r="F561" s="47"/>
      <c r="G561" s="47"/>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c r="BO561" s="43"/>
      <c r="BP561" s="43"/>
      <c r="BQ561" s="43"/>
      <c r="BR561" s="43"/>
      <c r="BS561" s="43"/>
      <c r="BT561" s="43"/>
      <c r="BU561" s="43"/>
      <c r="BV561" s="43"/>
      <c r="BW561" s="43"/>
      <c r="BX561" s="43"/>
      <c r="BY561" s="43"/>
      <c r="BZ561" s="43"/>
      <c r="CA561" s="43"/>
    </row>
    <row r="562">
      <c r="A562" s="47"/>
      <c r="B562" s="47"/>
      <c r="C562" s="47"/>
      <c r="D562" s="47"/>
      <c r="E562" s="47"/>
      <c r="F562" s="47"/>
      <c r="G562" s="47"/>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c r="BO562" s="43"/>
      <c r="BP562" s="43"/>
      <c r="BQ562" s="43"/>
      <c r="BR562" s="43"/>
      <c r="BS562" s="43"/>
      <c r="BT562" s="43"/>
      <c r="BU562" s="43"/>
      <c r="BV562" s="43"/>
      <c r="BW562" s="43"/>
      <c r="BX562" s="43"/>
      <c r="BY562" s="43"/>
      <c r="BZ562" s="43"/>
      <c r="CA562" s="43"/>
    </row>
    <row r="563">
      <c r="A563" s="47"/>
      <c r="B563" s="47"/>
      <c r="C563" s="47"/>
      <c r="D563" s="47"/>
      <c r="E563" s="47"/>
      <c r="F563" s="47"/>
      <c r="G563" s="47"/>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c r="BO563" s="43"/>
      <c r="BP563" s="43"/>
      <c r="BQ563" s="43"/>
      <c r="BR563" s="43"/>
      <c r="BS563" s="43"/>
      <c r="BT563" s="43"/>
      <c r="BU563" s="43"/>
      <c r="BV563" s="43"/>
      <c r="BW563" s="43"/>
      <c r="BX563" s="43"/>
      <c r="BY563" s="43"/>
      <c r="BZ563" s="43"/>
      <c r="CA563" s="43"/>
    </row>
    <row r="564">
      <c r="A564" s="47"/>
      <c r="B564" s="47"/>
      <c r="C564" s="47"/>
      <c r="D564" s="47"/>
      <c r="E564" s="47"/>
      <c r="F564" s="47"/>
      <c r="G564" s="47"/>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c r="BO564" s="43"/>
      <c r="BP564" s="43"/>
      <c r="BQ564" s="43"/>
      <c r="BR564" s="43"/>
      <c r="BS564" s="43"/>
      <c r="BT564" s="43"/>
      <c r="BU564" s="43"/>
      <c r="BV564" s="43"/>
      <c r="BW564" s="43"/>
      <c r="BX564" s="43"/>
      <c r="BY564" s="43"/>
      <c r="BZ564" s="43"/>
      <c r="CA564" s="43"/>
    </row>
    <row r="565">
      <c r="A565" s="47"/>
      <c r="B565" s="47"/>
      <c r="C565" s="47"/>
      <c r="D565" s="47"/>
      <c r="E565" s="47"/>
      <c r="F565" s="47"/>
      <c r="G565" s="47"/>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c r="BO565" s="43"/>
      <c r="BP565" s="43"/>
      <c r="BQ565" s="43"/>
      <c r="BR565" s="43"/>
      <c r="BS565" s="43"/>
      <c r="BT565" s="43"/>
      <c r="BU565" s="43"/>
      <c r="BV565" s="43"/>
      <c r="BW565" s="43"/>
      <c r="BX565" s="43"/>
      <c r="BY565" s="43"/>
      <c r="BZ565" s="43"/>
      <c r="CA565" s="43"/>
    </row>
    <row r="566">
      <c r="A566" s="47"/>
      <c r="B566" s="47"/>
      <c r="C566" s="47"/>
      <c r="D566" s="47"/>
      <c r="E566" s="47"/>
      <c r="F566" s="47"/>
      <c r="G566" s="47"/>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3"/>
      <c r="BY566" s="43"/>
      <c r="BZ566" s="43"/>
      <c r="CA566" s="43"/>
    </row>
    <row r="567">
      <c r="A567" s="47"/>
      <c r="B567" s="47"/>
      <c r="C567" s="47"/>
      <c r="D567" s="47"/>
      <c r="E567" s="47"/>
      <c r="F567" s="47"/>
      <c r="G567" s="47"/>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c r="BO567" s="43"/>
      <c r="BP567" s="43"/>
      <c r="BQ567" s="43"/>
      <c r="BR567" s="43"/>
      <c r="BS567" s="43"/>
      <c r="BT567" s="43"/>
      <c r="BU567" s="43"/>
      <c r="BV567" s="43"/>
      <c r="BW567" s="43"/>
      <c r="BX567" s="43"/>
      <c r="BY567" s="43"/>
      <c r="BZ567" s="43"/>
      <c r="CA567" s="43"/>
    </row>
    <row r="568">
      <c r="A568" s="47"/>
      <c r="B568" s="47"/>
      <c r="C568" s="47"/>
      <c r="D568" s="47"/>
      <c r="E568" s="47"/>
      <c r="F568" s="47"/>
      <c r="G568" s="47"/>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c r="BO568" s="43"/>
      <c r="BP568" s="43"/>
      <c r="BQ568" s="43"/>
      <c r="BR568" s="43"/>
      <c r="BS568" s="43"/>
      <c r="BT568" s="43"/>
      <c r="BU568" s="43"/>
      <c r="BV568" s="43"/>
      <c r="BW568" s="43"/>
      <c r="BX568" s="43"/>
      <c r="BY568" s="43"/>
      <c r="BZ568" s="43"/>
      <c r="CA568" s="43"/>
    </row>
    <row r="569">
      <c r="A569" s="47"/>
      <c r="B569" s="47"/>
      <c r="C569" s="47"/>
      <c r="D569" s="47"/>
      <c r="E569" s="47"/>
      <c r="F569" s="47"/>
      <c r="G569" s="47"/>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c r="BO569" s="43"/>
      <c r="BP569" s="43"/>
      <c r="BQ569" s="43"/>
      <c r="BR569" s="43"/>
      <c r="BS569" s="43"/>
      <c r="BT569" s="43"/>
      <c r="BU569" s="43"/>
      <c r="BV569" s="43"/>
      <c r="BW569" s="43"/>
      <c r="BX569" s="43"/>
      <c r="BY569" s="43"/>
      <c r="BZ569" s="43"/>
      <c r="CA569" s="43"/>
    </row>
    <row r="570">
      <c r="A570" s="47"/>
      <c r="B570" s="47"/>
      <c r="C570" s="47"/>
      <c r="D570" s="47"/>
      <c r="E570" s="47"/>
      <c r="F570" s="47"/>
      <c r="G570" s="47"/>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c r="BO570" s="43"/>
      <c r="BP570" s="43"/>
      <c r="BQ570" s="43"/>
      <c r="BR570" s="43"/>
      <c r="BS570" s="43"/>
      <c r="BT570" s="43"/>
      <c r="BU570" s="43"/>
      <c r="BV570" s="43"/>
      <c r="BW570" s="43"/>
      <c r="BX570" s="43"/>
      <c r="BY570" s="43"/>
      <c r="BZ570" s="43"/>
      <c r="CA570" s="43"/>
    </row>
    <row r="571">
      <c r="A571" s="47"/>
      <c r="B571" s="47"/>
      <c r="C571" s="47"/>
      <c r="D571" s="47"/>
      <c r="E571" s="47"/>
      <c r="F571" s="47"/>
      <c r="G571" s="47"/>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c r="BO571" s="43"/>
      <c r="BP571" s="43"/>
      <c r="BQ571" s="43"/>
      <c r="BR571" s="43"/>
      <c r="BS571" s="43"/>
      <c r="BT571" s="43"/>
      <c r="BU571" s="43"/>
      <c r="BV571" s="43"/>
      <c r="BW571" s="43"/>
      <c r="BX571" s="43"/>
      <c r="BY571" s="43"/>
      <c r="BZ571" s="43"/>
      <c r="CA571" s="43"/>
    </row>
    <row r="572">
      <c r="A572" s="47"/>
      <c r="B572" s="47"/>
      <c r="C572" s="47"/>
      <c r="D572" s="47"/>
      <c r="E572" s="47"/>
      <c r="F572" s="47"/>
      <c r="G572" s="47"/>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c r="BO572" s="43"/>
      <c r="BP572" s="43"/>
      <c r="BQ572" s="43"/>
      <c r="BR572" s="43"/>
      <c r="BS572" s="43"/>
      <c r="BT572" s="43"/>
      <c r="BU572" s="43"/>
      <c r="BV572" s="43"/>
      <c r="BW572" s="43"/>
      <c r="BX572" s="43"/>
      <c r="BY572" s="43"/>
      <c r="BZ572" s="43"/>
      <c r="CA572" s="43"/>
    </row>
    <row r="573">
      <c r="A573" s="47"/>
      <c r="B573" s="47"/>
      <c r="C573" s="47"/>
      <c r="D573" s="47"/>
      <c r="E573" s="47"/>
      <c r="F573" s="47"/>
      <c r="G573" s="47"/>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c r="BO573" s="43"/>
      <c r="BP573" s="43"/>
      <c r="BQ573" s="43"/>
      <c r="BR573" s="43"/>
      <c r="BS573" s="43"/>
      <c r="BT573" s="43"/>
      <c r="BU573" s="43"/>
      <c r="BV573" s="43"/>
      <c r="BW573" s="43"/>
      <c r="BX573" s="43"/>
      <c r="BY573" s="43"/>
      <c r="BZ573" s="43"/>
      <c r="CA573" s="43"/>
    </row>
    <row r="574">
      <c r="A574" s="47"/>
      <c r="B574" s="47"/>
      <c r="C574" s="47"/>
      <c r="D574" s="47"/>
      <c r="E574" s="47"/>
      <c r="F574" s="47"/>
      <c r="G574" s="47"/>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3"/>
      <c r="BY574" s="43"/>
      <c r="BZ574" s="43"/>
      <c r="CA574" s="43"/>
    </row>
    <row r="575">
      <c r="A575" s="47"/>
      <c r="B575" s="47"/>
      <c r="C575" s="47"/>
      <c r="D575" s="47"/>
      <c r="E575" s="47"/>
      <c r="F575" s="47"/>
      <c r="G575" s="47"/>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c r="BO575" s="43"/>
      <c r="BP575" s="43"/>
      <c r="BQ575" s="43"/>
      <c r="BR575" s="43"/>
      <c r="BS575" s="43"/>
      <c r="BT575" s="43"/>
      <c r="BU575" s="43"/>
      <c r="BV575" s="43"/>
      <c r="BW575" s="43"/>
      <c r="BX575" s="43"/>
      <c r="BY575" s="43"/>
      <c r="BZ575" s="43"/>
      <c r="CA575" s="43"/>
    </row>
    <row r="576">
      <c r="A576" s="47"/>
      <c r="B576" s="47"/>
      <c r="C576" s="47"/>
      <c r="D576" s="47"/>
      <c r="E576" s="47"/>
      <c r="F576" s="47"/>
      <c r="G576" s="47"/>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c r="BO576" s="43"/>
      <c r="BP576" s="43"/>
      <c r="BQ576" s="43"/>
      <c r="BR576" s="43"/>
      <c r="BS576" s="43"/>
      <c r="BT576" s="43"/>
      <c r="BU576" s="43"/>
      <c r="BV576" s="43"/>
      <c r="BW576" s="43"/>
      <c r="BX576" s="43"/>
      <c r="BY576" s="43"/>
      <c r="BZ576" s="43"/>
      <c r="CA576" s="43"/>
    </row>
    <row r="577">
      <c r="A577" s="47"/>
      <c r="B577" s="47"/>
      <c r="C577" s="47"/>
      <c r="D577" s="47"/>
      <c r="E577" s="47"/>
      <c r="F577" s="47"/>
      <c r="G577" s="47"/>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c r="BO577" s="43"/>
      <c r="BP577" s="43"/>
      <c r="BQ577" s="43"/>
      <c r="BR577" s="43"/>
      <c r="BS577" s="43"/>
      <c r="BT577" s="43"/>
      <c r="BU577" s="43"/>
      <c r="BV577" s="43"/>
      <c r="BW577" s="43"/>
      <c r="BX577" s="43"/>
      <c r="BY577" s="43"/>
      <c r="BZ577" s="43"/>
      <c r="CA577" s="43"/>
    </row>
    <row r="578">
      <c r="A578" s="47"/>
      <c r="B578" s="47"/>
      <c r="C578" s="47"/>
      <c r="D578" s="47"/>
      <c r="E578" s="47"/>
      <c r="F578" s="47"/>
      <c r="G578" s="47"/>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c r="BO578" s="43"/>
      <c r="BP578" s="43"/>
      <c r="BQ578" s="43"/>
      <c r="BR578" s="43"/>
      <c r="BS578" s="43"/>
      <c r="BT578" s="43"/>
      <c r="BU578" s="43"/>
      <c r="BV578" s="43"/>
      <c r="BW578" s="43"/>
      <c r="BX578" s="43"/>
      <c r="BY578" s="43"/>
      <c r="BZ578" s="43"/>
      <c r="CA578" s="43"/>
    </row>
    <row r="579">
      <c r="A579" s="47"/>
      <c r="B579" s="47"/>
      <c r="C579" s="47"/>
      <c r="D579" s="47"/>
      <c r="E579" s="47"/>
      <c r="F579" s="47"/>
      <c r="G579" s="47"/>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c r="BO579" s="43"/>
      <c r="BP579" s="43"/>
      <c r="BQ579" s="43"/>
      <c r="BR579" s="43"/>
      <c r="BS579" s="43"/>
      <c r="BT579" s="43"/>
      <c r="BU579" s="43"/>
      <c r="BV579" s="43"/>
      <c r="BW579" s="43"/>
      <c r="BX579" s="43"/>
      <c r="BY579" s="43"/>
      <c r="BZ579" s="43"/>
      <c r="CA579" s="43"/>
    </row>
    <row r="580">
      <c r="A580" s="47"/>
      <c r="B580" s="47"/>
      <c r="C580" s="47"/>
      <c r="D580" s="47"/>
      <c r="E580" s="47"/>
      <c r="F580" s="47"/>
      <c r="G580" s="47"/>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c r="BO580" s="43"/>
      <c r="BP580" s="43"/>
      <c r="BQ580" s="43"/>
      <c r="BR580" s="43"/>
      <c r="BS580" s="43"/>
      <c r="BT580" s="43"/>
      <c r="BU580" s="43"/>
      <c r="BV580" s="43"/>
      <c r="BW580" s="43"/>
      <c r="BX580" s="43"/>
      <c r="BY580" s="43"/>
      <c r="BZ580" s="43"/>
      <c r="CA580" s="43"/>
    </row>
    <row r="581">
      <c r="A581" s="47"/>
      <c r="B581" s="47"/>
      <c r="C581" s="47"/>
      <c r="D581" s="47"/>
      <c r="E581" s="47"/>
      <c r="F581" s="47"/>
      <c r="G581" s="47"/>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c r="BO581" s="43"/>
      <c r="BP581" s="43"/>
      <c r="BQ581" s="43"/>
      <c r="BR581" s="43"/>
      <c r="BS581" s="43"/>
      <c r="BT581" s="43"/>
      <c r="BU581" s="43"/>
      <c r="BV581" s="43"/>
      <c r="BW581" s="43"/>
      <c r="BX581" s="43"/>
      <c r="BY581" s="43"/>
      <c r="BZ581" s="43"/>
      <c r="CA581" s="43"/>
    </row>
    <row r="582">
      <c r="A582" s="47"/>
      <c r="B582" s="47"/>
      <c r="C582" s="47"/>
      <c r="D582" s="47"/>
      <c r="E582" s="47"/>
      <c r="F582" s="47"/>
      <c r="G582" s="47"/>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c r="BO582" s="43"/>
      <c r="BP582" s="43"/>
      <c r="BQ582" s="43"/>
      <c r="BR582" s="43"/>
      <c r="BS582" s="43"/>
      <c r="BT582" s="43"/>
      <c r="BU582" s="43"/>
      <c r="BV582" s="43"/>
      <c r="BW582" s="43"/>
      <c r="BX582" s="43"/>
      <c r="BY582" s="43"/>
      <c r="BZ582" s="43"/>
      <c r="CA582" s="43"/>
    </row>
    <row r="583">
      <c r="A583" s="47"/>
      <c r="B583" s="47"/>
      <c r="C583" s="47"/>
      <c r="D583" s="47"/>
      <c r="E583" s="47"/>
      <c r="F583" s="47"/>
      <c r="G583" s="47"/>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c r="BO583" s="43"/>
      <c r="BP583" s="43"/>
      <c r="BQ583" s="43"/>
      <c r="BR583" s="43"/>
      <c r="BS583" s="43"/>
      <c r="BT583" s="43"/>
      <c r="BU583" s="43"/>
      <c r="BV583" s="43"/>
      <c r="BW583" s="43"/>
      <c r="BX583" s="43"/>
      <c r="BY583" s="43"/>
      <c r="BZ583" s="43"/>
      <c r="CA583" s="43"/>
    </row>
    <row r="584">
      <c r="A584" s="47"/>
      <c r="B584" s="47"/>
      <c r="C584" s="47"/>
      <c r="D584" s="47"/>
      <c r="E584" s="47"/>
      <c r="F584" s="47"/>
      <c r="G584" s="47"/>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c r="BO584" s="43"/>
      <c r="BP584" s="43"/>
      <c r="BQ584" s="43"/>
      <c r="BR584" s="43"/>
      <c r="BS584" s="43"/>
      <c r="BT584" s="43"/>
      <c r="BU584" s="43"/>
      <c r="BV584" s="43"/>
      <c r="BW584" s="43"/>
      <c r="BX584" s="43"/>
      <c r="BY584" s="43"/>
      <c r="BZ584" s="43"/>
      <c r="CA584" s="43"/>
    </row>
    <row r="585">
      <c r="A585" s="47"/>
      <c r="B585" s="47"/>
      <c r="C585" s="47"/>
      <c r="D585" s="47"/>
      <c r="E585" s="47"/>
      <c r="F585" s="47"/>
      <c r="G585" s="47"/>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3"/>
      <c r="BY585" s="43"/>
      <c r="BZ585" s="43"/>
      <c r="CA585" s="43"/>
    </row>
    <row r="586">
      <c r="A586" s="47"/>
      <c r="B586" s="47"/>
      <c r="C586" s="47"/>
      <c r="D586" s="47"/>
      <c r="E586" s="47"/>
      <c r="F586" s="47"/>
      <c r="G586" s="47"/>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c r="BO586" s="43"/>
      <c r="BP586" s="43"/>
      <c r="BQ586" s="43"/>
      <c r="BR586" s="43"/>
      <c r="BS586" s="43"/>
      <c r="BT586" s="43"/>
      <c r="BU586" s="43"/>
      <c r="BV586" s="43"/>
      <c r="BW586" s="43"/>
      <c r="BX586" s="43"/>
      <c r="BY586" s="43"/>
      <c r="BZ586" s="43"/>
      <c r="CA586" s="43"/>
    </row>
    <row r="587">
      <c r="A587" s="47"/>
      <c r="B587" s="47"/>
      <c r="C587" s="47"/>
      <c r="D587" s="47"/>
      <c r="E587" s="47"/>
      <c r="F587" s="47"/>
      <c r="G587" s="47"/>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c r="BO587" s="43"/>
      <c r="BP587" s="43"/>
      <c r="BQ587" s="43"/>
      <c r="BR587" s="43"/>
      <c r="BS587" s="43"/>
      <c r="BT587" s="43"/>
      <c r="BU587" s="43"/>
      <c r="BV587" s="43"/>
      <c r="BW587" s="43"/>
      <c r="BX587" s="43"/>
      <c r="BY587" s="43"/>
      <c r="BZ587" s="43"/>
      <c r="CA587" s="43"/>
    </row>
    <row r="588">
      <c r="A588" s="47"/>
      <c r="B588" s="47"/>
      <c r="C588" s="47"/>
      <c r="D588" s="47"/>
      <c r="E588" s="47"/>
      <c r="F588" s="47"/>
      <c r="G588" s="47"/>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c r="BO588" s="43"/>
      <c r="BP588" s="43"/>
      <c r="BQ588" s="43"/>
      <c r="BR588" s="43"/>
      <c r="BS588" s="43"/>
      <c r="BT588" s="43"/>
      <c r="BU588" s="43"/>
      <c r="BV588" s="43"/>
      <c r="BW588" s="43"/>
      <c r="BX588" s="43"/>
      <c r="BY588" s="43"/>
      <c r="BZ588" s="43"/>
      <c r="CA588" s="43"/>
    </row>
    <row r="589">
      <c r="A589" s="47"/>
      <c r="B589" s="47"/>
      <c r="C589" s="47"/>
      <c r="D589" s="47"/>
      <c r="E589" s="47"/>
      <c r="F589" s="47"/>
      <c r="G589" s="47"/>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c r="BO589" s="43"/>
      <c r="BP589" s="43"/>
      <c r="BQ589" s="43"/>
      <c r="BR589" s="43"/>
      <c r="BS589" s="43"/>
      <c r="BT589" s="43"/>
      <c r="BU589" s="43"/>
      <c r="BV589" s="43"/>
      <c r="BW589" s="43"/>
      <c r="BX589" s="43"/>
      <c r="BY589" s="43"/>
      <c r="BZ589" s="43"/>
      <c r="CA589" s="43"/>
    </row>
    <row r="590">
      <c r="A590" s="47"/>
      <c r="B590" s="47"/>
      <c r="C590" s="47"/>
      <c r="D590" s="47"/>
      <c r="E590" s="47"/>
      <c r="F590" s="47"/>
      <c r="G590" s="47"/>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3"/>
      <c r="BY590" s="43"/>
      <c r="BZ590" s="43"/>
      <c r="CA590" s="43"/>
    </row>
    <row r="591">
      <c r="A591" s="47"/>
      <c r="B591" s="47"/>
      <c r="C591" s="47"/>
      <c r="D591" s="47"/>
      <c r="E591" s="47"/>
      <c r="F591" s="47"/>
      <c r="G591" s="47"/>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c r="BO591" s="43"/>
      <c r="BP591" s="43"/>
      <c r="BQ591" s="43"/>
      <c r="BR591" s="43"/>
      <c r="BS591" s="43"/>
      <c r="BT591" s="43"/>
      <c r="BU591" s="43"/>
      <c r="BV591" s="43"/>
      <c r="BW591" s="43"/>
      <c r="BX591" s="43"/>
      <c r="BY591" s="43"/>
      <c r="BZ591" s="43"/>
      <c r="CA591" s="43"/>
    </row>
    <row r="592">
      <c r="A592" s="47"/>
      <c r="B592" s="47"/>
      <c r="C592" s="47"/>
      <c r="D592" s="47"/>
      <c r="E592" s="47"/>
      <c r="F592" s="47"/>
      <c r="G592" s="47"/>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c r="BO592" s="43"/>
      <c r="BP592" s="43"/>
      <c r="BQ592" s="43"/>
      <c r="BR592" s="43"/>
      <c r="BS592" s="43"/>
      <c r="BT592" s="43"/>
      <c r="BU592" s="43"/>
      <c r="BV592" s="43"/>
      <c r="BW592" s="43"/>
      <c r="BX592" s="43"/>
      <c r="BY592" s="43"/>
      <c r="BZ592" s="43"/>
      <c r="CA592" s="43"/>
    </row>
    <row r="593">
      <c r="A593" s="47"/>
      <c r="B593" s="47"/>
      <c r="C593" s="47"/>
      <c r="D593" s="47"/>
      <c r="E593" s="47"/>
      <c r="F593" s="47"/>
      <c r="G593" s="47"/>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c r="BO593" s="43"/>
      <c r="BP593" s="43"/>
      <c r="BQ593" s="43"/>
      <c r="BR593" s="43"/>
      <c r="BS593" s="43"/>
      <c r="BT593" s="43"/>
      <c r="BU593" s="43"/>
      <c r="BV593" s="43"/>
      <c r="BW593" s="43"/>
      <c r="BX593" s="43"/>
      <c r="BY593" s="43"/>
      <c r="BZ593" s="43"/>
      <c r="CA593" s="43"/>
    </row>
    <row r="594">
      <c r="A594" s="47"/>
      <c r="B594" s="47"/>
      <c r="C594" s="47"/>
      <c r="D594" s="47"/>
      <c r="E594" s="47"/>
      <c r="F594" s="47"/>
      <c r="G594" s="47"/>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c r="BO594" s="43"/>
      <c r="BP594" s="43"/>
      <c r="BQ594" s="43"/>
      <c r="BR594" s="43"/>
      <c r="BS594" s="43"/>
      <c r="BT594" s="43"/>
      <c r="BU594" s="43"/>
      <c r="BV594" s="43"/>
      <c r="BW594" s="43"/>
      <c r="BX594" s="43"/>
      <c r="BY594" s="43"/>
      <c r="BZ594" s="43"/>
      <c r="CA594" s="43"/>
    </row>
    <row r="595">
      <c r="A595" s="47"/>
      <c r="B595" s="47"/>
      <c r="C595" s="47"/>
      <c r="D595" s="47"/>
      <c r="E595" s="47"/>
      <c r="F595" s="47"/>
      <c r="G595" s="47"/>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c r="BO595" s="43"/>
      <c r="BP595" s="43"/>
      <c r="BQ595" s="43"/>
      <c r="BR595" s="43"/>
      <c r="BS595" s="43"/>
      <c r="BT595" s="43"/>
      <c r="BU595" s="43"/>
      <c r="BV595" s="43"/>
      <c r="BW595" s="43"/>
      <c r="BX595" s="43"/>
      <c r="BY595" s="43"/>
      <c r="BZ595" s="43"/>
      <c r="CA595" s="43"/>
    </row>
    <row r="596">
      <c r="A596" s="47"/>
      <c r="B596" s="47"/>
      <c r="C596" s="47"/>
      <c r="D596" s="47"/>
      <c r="E596" s="47"/>
      <c r="F596" s="47"/>
      <c r="G596" s="47"/>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c r="BO596" s="43"/>
      <c r="BP596" s="43"/>
      <c r="BQ596" s="43"/>
      <c r="BR596" s="43"/>
      <c r="BS596" s="43"/>
      <c r="BT596" s="43"/>
      <c r="BU596" s="43"/>
      <c r="BV596" s="43"/>
      <c r="BW596" s="43"/>
      <c r="BX596" s="43"/>
      <c r="BY596" s="43"/>
      <c r="BZ596" s="43"/>
      <c r="CA596" s="43"/>
    </row>
    <row r="597">
      <c r="A597" s="47"/>
      <c r="B597" s="47"/>
      <c r="C597" s="47"/>
      <c r="D597" s="47"/>
      <c r="E597" s="47"/>
      <c r="F597" s="47"/>
      <c r="G597" s="47"/>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c r="BO597" s="43"/>
      <c r="BP597" s="43"/>
      <c r="BQ597" s="43"/>
      <c r="BR597" s="43"/>
      <c r="BS597" s="43"/>
      <c r="BT597" s="43"/>
      <c r="BU597" s="43"/>
      <c r="BV597" s="43"/>
      <c r="BW597" s="43"/>
      <c r="BX597" s="43"/>
      <c r="BY597" s="43"/>
      <c r="BZ597" s="43"/>
      <c r="CA597" s="43"/>
    </row>
    <row r="598">
      <c r="A598" s="47"/>
      <c r="B598" s="47"/>
      <c r="C598" s="47"/>
      <c r="D598" s="47"/>
      <c r="E598" s="47"/>
      <c r="F598" s="47"/>
      <c r="G598" s="47"/>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c r="BO598" s="43"/>
      <c r="BP598" s="43"/>
      <c r="BQ598" s="43"/>
      <c r="BR598" s="43"/>
      <c r="BS598" s="43"/>
      <c r="BT598" s="43"/>
      <c r="BU598" s="43"/>
      <c r="BV598" s="43"/>
      <c r="BW598" s="43"/>
      <c r="BX598" s="43"/>
      <c r="BY598" s="43"/>
      <c r="BZ598" s="43"/>
      <c r="CA598" s="43"/>
    </row>
    <row r="599">
      <c r="A599" s="47"/>
      <c r="B599" s="47"/>
      <c r="C599" s="47"/>
      <c r="D599" s="47"/>
      <c r="E599" s="47"/>
      <c r="F599" s="47"/>
      <c r="G599" s="47"/>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c r="BO599" s="43"/>
      <c r="BP599" s="43"/>
      <c r="BQ599" s="43"/>
      <c r="BR599" s="43"/>
      <c r="BS599" s="43"/>
      <c r="BT599" s="43"/>
      <c r="BU599" s="43"/>
      <c r="BV599" s="43"/>
      <c r="BW599" s="43"/>
      <c r="BX599" s="43"/>
      <c r="BY599" s="43"/>
      <c r="BZ599" s="43"/>
      <c r="CA599" s="43"/>
    </row>
    <row r="600">
      <c r="A600" s="47"/>
      <c r="B600" s="47"/>
      <c r="C600" s="47"/>
      <c r="D600" s="47"/>
      <c r="E600" s="47"/>
      <c r="F600" s="47"/>
      <c r="G600" s="47"/>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c r="BO600" s="43"/>
      <c r="BP600" s="43"/>
      <c r="BQ600" s="43"/>
      <c r="BR600" s="43"/>
      <c r="BS600" s="43"/>
      <c r="BT600" s="43"/>
      <c r="BU600" s="43"/>
      <c r="BV600" s="43"/>
      <c r="BW600" s="43"/>
      <c r="BX600" s="43"/>
      <c r="BY600" s="43"/>
      <c r="BZ600" s="43"/>
      <c r="CA600" s="43"/>
    </row>
    <row r="601">
      <c r="A601" s="47"/>
      <c r="B601" s="47"/>
      <c r="C601" s="47"/>
      <c r="D601" s="47"/>
      <c r="E601" s="47"/>
      <c r="F601" s="47"/>
      <c r="G601" s="47"/>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c r="BO601" s="43"/>
      <c r="BP601" s="43"/>
      <c r="BQ601" s="43"/>
      <c r="BR601" s="43"/>
      <c r="BS601" s="43"/>
      <c r="BT601" s="43"/>
      <c r="BU601" s="43"/>
      <c r="BV601" s="43"/>
      <c r="BW601" s="43"/>
      <c r="BX601" s="43"/>
      <c r="BY601" s="43"/>
      <c r="BZ601" s="43"/>
      <c r="CA601" s="43"/>
    </row>
    <row r="602">
      <c r="A602" s="47"/>
      <c r="B602" s="47"/>
      <c r="C602" s="47"/>
      <c r="D602" s="47"/>
      <c r="E602" s="47"/>
      <c r="F602" s="47"/>
      <c r="G602" s="47"/>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c r="BO602" s="43"/>
      <c r="BP602" s="43"/>
      <c r="BQ602" s="43"/>
      <c r="BR602" s="43"/>
      <c r="BS602" s="43"/>
      <c r="BT602" s="43"/>
      <c r="BU602" s="43"/>
      <c r="BV602" s="43"/>
      <c r="BW602" s="43"/>
      <c r="BX602" s="43"/>
      <c r="BY602" s="43"/>
      <c r="BZ602" s="43"/>
      <c r="CA602" s="43"/>
    </row>
    <row r="603">
      <c r="A603" s="47"/>
      <c r="B603" s="47"/>
      <c r="C603" s="47"/>
      <c r="D603" s="47"/>
      <c r="E603" s="47"/>
      <c r="F603" s="47"/>
      <c r="G603" s="47"/>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3"/>
      <c r="BY603" s="43"/>
      <c r="BZ603" s="43"/>
      <c r="CA603" s="43"/>
    </row>
    <row r="604">
      <c r="A604" s="47"/>
      <c r="B604" s="47"/>
      <c r="C604" s="47"/>
      <c r="D604" s="47"/>
      <c r="E604" s="47"/>
      <c r="F604" s="47"/>
      <c r="G604" s="47"/>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c r="BO604" s="43"/>
      <c r="BP604" s="43"/>
      <c r="BQ604" s="43"/>
      <c r="BR604" s="43"/>
      <c r="BS604" s="43"/>
      <c r="BT604" s="43"/>
      <c r="BU604" s="43"/>
      <c r="BV604" s="43"/>
      <c r="BW604" s="43"/>
      <c r="BX604" s="43"/>
      <c r="BY604" s="43"/>
      <c r="BZ604" s="43"/>
      <c r="CA604" s="43"/>
    </row>
    <row r="605">
      <c r="A605" s="47"/>
      <c r="B605" s="47"/>
      <c r="C605" s="47"/>
      <c r="D605" s="47"/>
      <c r="E605" s="47"/>
      <c r="F605" s="47"/>
      <c r="G605" s="47"/>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c r="BO605" s="43"/>
      <c r="BP605" s="43"/>
      <c r="BQ605" s="43"/>
      <c r="BR605" s="43"/>
      <c r="BS605" s="43"/>
      <c r="BT605" s="43"/>
      <c r="BU605" s="43"/>
      <c r="BV605" s="43"/>
      <c r="BW605" s="43"/>
      <c r="BX605" s="43"/>
      <c r="BY605" s="43"/>
      <c r="BZ605" s="43"/>
      <c r="CA605" s="43"/>
    </row>
    <row r="606">
      <c r="A606" s="47"/>
      <c r="B606" s="47"/>
      <c r="C606" s="47"/>
      <c r="D606" s="47"/>
      <c r="E606" s="47"/>
      <c r="F606" s="47"/>
      <c r="G606" s="47"/>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3"/>
      <c r="CA606" s="43"/>
    </row>
    <row r="607">
      <c r="A607" s="47"/>
      <c r="B607" s="47"/>
      <c r="C607" s="47"/>
      <c r="D607" s="47"/>
      <c r="E607" s="47"/>
      <c r="F607" s="47"/>
      <c r="G607" s="47"/>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c r="BZ607" s="43"/>
      <c r="CA607" s="43"/>
    </row>
    <row r="608">
      <c r="A608" s="47"/>
      <c r="B608" s="47"/>
      <c r="C608" s="47"/>
      <c r="D608" s="47"/>
      <c r="E608" s="47"/>
      <c r="F608" s="47"/>
      <c r="G608" s="47"/>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3"/>
      <c r="CA608" s="43"/>
    </row>
    <row r="609">
      <c r="A609" s="47"/>
      <c r="B609" s="47"/>
      <c r="C609" s="47"/>
      <c r="D609" s="47"/>
      <c r="E609" s="47"/>
      <c r="F609" s="47"/>
      <c r="G609" s="47"/>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c r="BZ609" s="43"/>
      <c r="CA609" s="43"/>
    </row>
    <row r="610">
      <c r="A610" s="47"/>
      <c r="B610" s="47"/>
      <c r="C610" s="47"/>
      <c r="D610" s="47"/>
      <c r="E610" s="47"/>
      <c r="F610" s="47"/>
      <c r="G610" s="47"/>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3"/>
      <c r="CA610" s="43"/>
    </row>
    <row r="611">
      <c r="A611" s="47"/>
      <c r="B611" s="47"/>
      <c r="C611" s="47"/>
      <c r="D611" s="47"/>
      <c r="E611" s="47"/>
      <c r="F611" s="47"/>
      <c r="G611" s="47"/>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c r="BO611" s="43"/>
      <c r="BP611" s="43"/>
      <c r="BQ611" s="43"/>
      <c r="BR611" s="43"/>
      <c r="BS611" s="43"/>
      <c r="BT611" s="43"/>
      <c r="BU611" s="43"/>
      <c r="BV611" s="43"/>
      <c r="BW611" s="43"/>
      <c r="BX611" s="43"/>
      <c r="BY611" s="43"/>
      <c r="BZ611" s="43"/>
      <c r="CA611" s="43"/>
    </row>
    <row r="612">
      <c r="A612" s="47"/>
      <c r="B612" s="47"/>
      <c r="C612" s="47"/>
      <c r="D612" s="47"/>
      <c r="E612" s="47"/>
      <c r="F612" s="47"/>
      <c r="G612" s="47"/>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c r="BO612" s="43"/>
      <c r="BP612" s="43"/>
      <c r="BQ612" s="43"/>
      <c r="BR612" s="43"/>
      <c r="BS612" s="43"/>
      <c r="BT612" s="43"/>
      <c r="BU612" s="43"/>
      <c r="BV612" s="43"/>
      <c r="BW612" s="43"/>
      <c r="BX612" s="43"/>
      <c r="BY612" s="43"/>
      <c r="BZ612" s="43"/>
      <c r="CA612" s="43"/>
    </row>
    <row r="613">
      <c r="A613" s="47"/>
      <c r="B613" s="47"/>
      <c r="C613" s="47"/>
      <c r="D613" s="47"/>
      <c r="E613" s="47"/>
      <c r="F613" s="47"/>
      <c r="G613" s="47"/>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c r="BO613" s="43"/>
      <c r="BP613" s="43"/>
      <c r="BQ613" s="43"/>
      <c r="BR613" s="43"/>
      <c r="BS613" s="43"/>
      <c r="BT613" s="43"/>
      <c r="BU613" s="43"/>
      <c r="BV613" s="43"/>
      <c r="BW613" s="43"/>
      <c r="BX613" s="43"/>
      <c r="BY613" s="43"/>
      <c r="BZ613" s="43"/>
      <c r="CA613" s="43"/>
    </row>
    <row r="614">
      <c r="A614" s="47"/>
      <c r="B614" s="47"/>
      <c r="C614" s="47"/>
      <c r="D614" s="47"/>
      <c r="E614" s="47"/>
      <c r="F614" s="47"/>
      <c r="G614" s="47"/>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c r="BO614" s="43"/>
      <c r="BP614" s="43"/>
      <c r="BQ614" s="43"/>
      <c r="BR614" s="43"/>
      <c r="BS614" s="43"/>
      <c r="BT614" s="43"/>
      <c r="BU614" s="43"/>
      <c r="BV614" s="43"/>
      <c r="BW614" s="43"/>
      <c r="BX614" s="43"/>
      <c r="BY614" s="43"/>
      <c r="BZ614" s="43"/>
      <c r="CA614" s="43"/>
    </row>
    <row r="615">
      <c r="A615" s="47"/>
      <c r="B615" s="47"/>
      <c r="C615" s="47"/>
      <c r="D615" s="47"/>
      <c r="E615" s="47"/>
      <c r="F615" s="47"/>
      <c r="G615" s="47"/>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c r="BO615" s="43"/>
      <c r="BP615" s="43"/>
      <c r="BQ615" s="43"/>
      <c r="BR615" s="43"/>
      <c r="BS615" s="43"/>
      <c r="BT615" s="43"/>
      <c r="BU615" s="43"/>
      <c r="BV615" s="43"/>
      <c r="BW615" s="43"/>
      <c r="BX615" s="43"/>
      <c r="BY615" s="43"/>
      <c r="BZ615" s="43"/>
      <c r="CA615" s="43"/>
    </row>
    <row r="616">
      <c r="A616" s="47"/>
      <c r="B616" s="47"/>
      <c r="C616" s="47"/>
      <c r="D616" s="47"/>
      <c r="E616" s="47"/>
      <c r="F616" s="47"/>
      <c r="G616" s="47"/>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3"/>
      <c r="BY616" s="43"/>
      <c r="BZ616" s="43"/>
      <c r="CA616" s="43"/>
    </row>
    <row r="617">
      <c r="A617" s="47"/>
      <c r="B617" s="47"/>
      <c r="C617" s="47"/>
      <c r="D617" s="47"/>
      <c r="E617" s="47"/>
      <c r="F617" s="47"/>
      <c r="G617" s="47"/>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c r="BO617" s="43"/>
      <c r="BP617" s="43"/>
      <c r="BQ617" s="43"/>
      <c r="BR617" s="43"/>
      <c r="BS617" s="43"/>
      <c r="BT617" s="43"/>
      <c r="BU617" s="43"/>
      <c r="BV617" s="43"/>
      <c r="BW617" s="43"/>
      <c r="BX617" s="43"/>
      <c r="BY617" s="43"/>
      <c r="BZ617" s="43"/>
      <c r="CA617" s="43"/>
    </row>
    <row r="618">
      <c r="A618" s="47"/>
      <c r="B618" s="47"/>
      <c r="C618" s="47"/>
      <c r="D618" s="47"/>
      <c r="E618" s="47"/>
      <c r="F618" s="47"/>
      <c r="G618" s="47"/>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c r="BO618" s="43"/>
      <c r="BP618" s="43"/>
      <c r="BQ618" s="43"/>
      <c r="BR618" s="43"/>
      <c r="BS618" s="43"/>
      <c r="BT618" s="43"/>
      <c r="BU618" s="43"/>
      <c r="BV618" s="43"/>
      <c r="BW618" s="43"/>
      <c r="BX618" s="43"/>
      <c r="BY618" s="43"/>
      <c r="BZ618" s="43"/>
      <c r="CA618" s="43"/>
    </row>
    <row r="619">
      <c r="A619" s="47"/>
      <c r="B619" s="47"/>
      <c r="C619" s="47"/>
      <c r="D619" s="47"/>
      <c r="E619" s="47"/>
      <c r="F619" s="47"/>
      <c r="G619" s="47"/>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c r="BO619" s="43"/>
      <c r="BP619" s="43"/>
      <c r="BQ619" s="43"/>
      <c r="BR619" s="43"/>
      <c r="BS619" s="43"/>
      <c r="BT619" s="43"/>
      <c r="BU619" s="43"/>
      <c r="BV619" s="43"/>
      <c r="BW619" s="43"/>
      <c r="BX619" s="43"/>
      <c r="BY619" s="43"/>
      <c r="BZ619" s="43"/>
      <c r="CA619" s="43"/>
    </row>
    <row r="620">
      <c r="A620" s="47"/>
      <c r="B620" s="47"/>
      <c r="C620" s="47"/>
      <c r="D620" s="47"/>
      <c r="E620" s="47"/>
      <c r="F620" s="47"/>
      <c r="G620" s="47"/>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c r="BO620" s="43"/>
      <c r="BP620" s="43"/>
      <c r="BQ620" s="43"/>
      <c r="BR620" s="43"/>
      <c r="BS620" s="43"/>
      <c r="BT620" s="43"/>
      <c r="BU620" s="43"/>
      <c r="BV620" s="43"/>
      <c r="BW620" s="43"/>
      <c r="BX620" s="43"/>
      <c r="BY620" s="43"/>
      <c r="BZ620" s="43"/>
      <c r="CA620" s="43"/>
    </row>
    <row r="621">
      <c r="A621" s="47"/>
      <c r="B621" s="47"/>
      <c r="C621" s="47"/>
      <c r="D621" s="47"/>
      <c r="E621" s="47"/>
      <c r="F621" s="47"/>
      <c r="G621" s="47"/>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3"/>
      <c r="BY621" s="43"/>
      <c r="BZ621" s="43"/>
      <c r="CA621" s="43"/>
    </row>
    <row r="622">
      <c r="A622" s="47"/>
      <c r="B622" s="47"/>
      <c r="C622" s="47"/>
      <c r="D622" s="47"/>
      <c r="E622" s="47"/>
      <c r="F622" s="47"/>
      <c r="G622" s="47"/>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c r="BO622" s="43"/>
      <c r="BP622" s="43"/>
      <c r="BQ622" s="43"/>
      <c r="BR622" s="43"/>
      <c r="BS622" s="43"/>
      <c r="BT622" s="43"/>
      <c r="BU622" s="43"/>
      <c r="BV622" s="43"/>
      <c r="BW622" s="43"/>
      <c r="BX622" s="43"/>
      <c r="BY622" s="43"/>
      <c r="BZ622" s="43"/>
      <c r="CA622" s="43"/>
    </row>
    <row r="623">
      <c r="A623" s="47"/>
      <c r="B623" s="47"/>
      <c r="C623" s="47"/>
      <c r="D623" s="47"/>
      <c r="E623" s="47"/>
      <c r="F623" s="47"/>
      <c r="G623" s="47"/>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c r="BO623" s="43"/>
      <c r="BP623" s="43"/>
      <c r="BQ623" s="43"/>
      <c r="BR623" s="43"/>
      <c r="BS623" s="43"/>
      <c r="BT623" s="43"/>
      <c r="BU623" s="43"/>
      <c r="BV623" s="43"/>
      <c r="BW623" s="43"/>
      <c r="BX623" s="43"/>
      <c r="BY623" s="43"/>
      <c r="BZ623" s="43"/>
      <c r="CA623" s="43"/>
    </row>
    <row r="624">
      <c r="A624" s="47"/>
      <c r="B624" s="47"/>
      <c r="C624" s="47"/>
      <c r="D624" s="47"/>
      <c r="E624" s="47"/>
      <c r="F624" s="47"/>
      <c r="G624" s="47"/>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c r="BO624" s="43"/>
      <c r="BP624" s="43"/>
      <c r="BQ624" s="43"/>
      <c r="BR624" s="43"/>
      <c r="BS624" s="43"/>
      <c r="BT624" s="43"/>
      <c r="BU624" s="43"/>
      <c r="BV624" s="43"/>
      <c r="BW624" s="43"/>
      <c r="BX624" s="43"/>
      <c r="BY624" s="43"/>
      <c r="BZ624" s="43"/>
      <c r="CA624" s="43"/>
    </row>
    <row r="625">
      <c r="A625" s="47"/>
      <c r="B625" s="47"/>
      <c r="C625" s="47"/>
      <c r="D625" s="47"/>
      <c r="E625" s="47"/>
      <c r="F625" s="47"/>
      <c r="G625" s="47"/>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c r="BO625" s="43"/>
      <c r="BP625" s="43"/>
      <c r="BQ625" s="43"/>
      <c r="BR625" s="43"/>
      <c r="BS625" s="43"/>
      <c r="BT625" s="43"/>
      <c r="BU625" s="43"/>
      <c r="BV625" s="43"/>
      <c r="BW625" s="43"/>
      <c r="BX625" s="43"/>
      <c r="BY625" s="43"/>
      <c r="BZ625" s="43"/>
      <c r="CA625" s="43"/>
    </row>
    <row r="626">
      <c r="A626" s="47"/>
      <c r="B626" s="47"/>
      <c r="C626" s="47"/>
      <c r="D626" s="47"/>
      <c r="E626" s="47"/>
      <c r="F626" s="47"/>
      <c r="G626" s="47"/>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c r="BO626" s="43"/>
      <c r="BP626" s="43"/>
      <c r="BQ626" s="43"/>
      <c r="BR626" s="43"/>
      <c r="BS626" s="43"/>
      <c r="BT626" s="43"/>
      <c r="BU626" s="43"/>
      <c r="BV626" s="43"/>
      <c r="BW626" s="43"/>
      <c r="BX626" s="43"/>
      <c r="BY626" s="43"/>
      <c r="BZ626" s="43"/>
      <c r="CA626" s="43"/>
    </row>
    <row r="627">
      <c r="A627" s="47"/>
      <c r="B627" s="47"/>
      <c r="C627" s="47"/>
      <c r="D627" s="47"/>
      <c r="E627" s="47"/>
      <c r="F627" s="47"/>
      <c r="G627" s="47"/>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3"/>
      <c r="BY627" s="43"/>
      <c r="BZ627" s="43"/>
      <c r="CA627" s="43"/>
    </row>
    <row r="628">
      <c r="A628" s="47"/>
      <c r="B628" s="47"/>
      <c r="C628" s="47"/>
      <c r="D628" s="47"/>
      <c r="E628" s="47"/>
      <c r="F628" s="47"/>
      <c r="G628" s="47"/>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c r="BO628" s="43"/>
      <c r="BP628" s="43"/>
      <c r="BQ628" s="43"/>
      <c r="BR628" s="43"/>
      <c r="BS628" s="43"/>
      <c r="BT628" s="43"/>
      <c r="BU628" s="43"/>
      <c r="BV628" s="43"/>
      <c r="BW628" s="43"/>
      <c r="BX628" s="43"/>
      <c r="BY628" s="43"/>
      <c r="BZ628" s="43"/>
      <c r="CA628" s="43"/>
    </row>
    <row r="629">
      <c r="A629" s="47"/>
      <c r="B629" s="47"/>
      <c r="C629" s="47"/>
      <c r="D629" s="47"/>
      <c r="E629" s="47"/>
      <c r="F629" s="47"/>
      <c r="G629" s="47"/>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c r="BO629" s="43"/>
      <c r="BP629" s="43"/>
      <c r="BQ629" s="43"/>
      <c r="BR629" s="43"/>
      <c r="BS629" s="43"/>
      <c r="BT629" s="43"/>
      <c r="BU629" s="43"/>
      <c r="BV629" s="43"/>
      <c r="BW629" s="43"/>
      <c r="BX629" s="43"/>
      <c r="BY629" s="43"/>
      <c r="BZ629" s="43"/>
      <c r="CA629" s="43"/>
    </row>
    <row r="630">
      <c r="A630" s="47"/>
      <c r="B630" s="47"/>
      <c r="C630" s="47"/>
      <c r="D630" s="47"/>
      <c r="E630" s="47"/>
      <c r="F630" s="47"/>
      <c r="G630" s="47"/>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c r="BO630" s="43"/>
      <c r="BP630" s="43"/>
      <c r="BQ630" s="43"/>
      <c r="BR630" s="43"/>
      <c r="BS630" s="43"/>
      <c r="BT630" s="43"/>
      <c r="BU630" s="43"/>
      <c r="BV630" s="43"/>
      <c r="BW630" s="43"/>
      <c r="BX630" s="43"/>
      <c r="BY630" s="43"/>
      <c r="BZ630" s="43"/>
      <c r="CA630" s="43"/>
    </row>
    <row r="631">
      <c r="A631" s="47"/>
      <c r="B631" s="47"/>
      <c r="C631" s="47"/>
      <c r="D631" s="47"/>
      <c r="E631" s="47"/>
      <c r="F631" s="47"/>
      <c r="G631" s="47"/>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c r="BO631" s="43"/>
      <c r="BP631" s="43"/>
      <c r="BQ631" s="43"/>
      <c r="BR631" s="43"/>
      <c r="BS631" s="43"/>
      <c r="BT631" s="43"/>
      <c r="BU631" s="43"/>
      <c r="BV631" s="43"/>
      <c r="BW631" s="43"/>
      <c r="BX631" s="43"/>
      <c r="BY631" s="43"/>
      <c r="BZ631" s="43"/>
      <c r="CA631" s="43"/>
    </row>
    <row r="632">
      <c r="A632" s="47"/>
      <c r="B632" s="47"/>
      <c r="C632" s="47"/>
      <c r="D632" s="47"/>
      <c r="E632" s="47"/>
      <c r="F632" s="47"/>
      <c r="G632" s="47"/>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c r="BO632" s="43"/>
      <c r="BP632" s="43"/>
      <c r="BQ632" s="43"/>
      <c r="BR632" s="43"/>
      <c r="BS632" s="43"/>
      <c r="BT632" s="43"/>
      <c r="BU632" s="43"/>
      <c r="BV632" s="43"/>
      <c r="BW632" s="43"/>
      <c r="BX632" s="43"/>
      <c r="BY632" s="43"/>
      <c r="BZ632" s="43"/>
      <c r="CA632" s="43"/>
    </row>
    <row r="633">
      <c r="A633" s="47"/>
      <c r="B633" s="47"/>
      <c r="C633" s="47"/>
      <c r="D633" s="47"/>
      <c r="E633" s="47"/>
      <c r="F633" s="47"/>
      <c r="G633" s="47"/>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3"/>
      <c r="BY633" s="43"/>
      <c r="BZ633" s="43"/>
      <c r="CA633" s="43"/>
    </row>
    <row r="634">
      <c r="A634" s="47"/>
      <c r="B634" s="47"/>
      <c r="C634" s="47"/>
      <c r="D634" s="47"/>
      <c r="E634" s="47"/>
      <c r="F634" s="47"/>
      <c r="G634" s="47"/>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c r="BO634" s="43"/>
      <c r="BP634" s="43"/>
      <c r="BQ634" s="43"/>
      <c r="BR634" s="43"/>
      <c r="BS634" s="43"/>
      <c r="BT634" s="43"/>
      <c r="BU634" s="43"/>
      <c r="BV634" s="43"/>
      <c r="BW634" s="43"/>
      <c r="BX634" s="43"/>
      <c r="BY634" s="43"/>
      <c r="BZ634" s="43"/>
      <c r="CA634" s="43"/>
    </row>
    <row r="635">
      <c r="A635" s="47"/>
      <c r="B635" s="47"/>
      <c r="C635" s="47"/>
      <c r="D635" s="47"/>
      <c r="E635" s="47"/>
      <c r="F635" s="47"/>
      <c r="G635" s="47"/>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c r="BO635" s="43"/>
      <c r="BP635" s="43"/>
      <c r="BQ635" s="43"/>
      <c r="BR635" s="43"/>
      <c r="BS635" s="43"/>
      <c r="BT635" s="43"/>
      <c r="BU635" s="43"/>
      <c r="BV635" s="43"/>
      <c r="BW635" s="43"/>
      <c r="BX635" s="43"/>
      <c r="BY635" s="43"/>
      <c r="BZ635" s="43"/>
      <c r="CA635" s="43"/>
    </row>
    <row r="636">
      <c r="A636" s="47"/>
      <c r="B636" s="47"/>
      <c r="C636" s="47"/>
      <c r="D636" s="47"/>
      <c r="E636" s="47"/>
      <c r="F636" s="47"/>
      <c r="G636" s="47"/>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c r="BO636" s="43"/>
      <c r="BP636" s="43"/>
      <c r="BQ636" s="43"/>
      <c r="BR636" s="43"/>
      <c r="BS636" s="43"/>
      <c r="BT636" s="43"/>
      <c r="BU636" s="43"/>
      <c r="BV636" s="43"/>
      <c r="BW636" s="43"/>
      <c r="BX636" s="43"/>
      <c r="BY636" s="43"/>
      <c r="BZ636" s="43"/>
      <c r="CA636" s="43"/>
    </row>
    <row r="637">
      <c r="A637" s="47"/>
      <c r="B637" s="47"/>
      <c r="C637" s="47"/>
      <c r="D637" s="47"/>
      <c r="E637" s="47"/>
      <c r="F637" s="47"/>
      <c r="G637" s="47"/>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c r="BO637" s="43"/>
      <c r="BP637" s="43"/>
      <c r="BQ637" s="43"/>
      <c r="BR637" s="43"/>
      <c r="BS637" s="43"/>
      <c r="BT637" s="43"/>
      <c r="BU637" s="43"/>
      <c r="BV637" s="43"/>
      <c r="BW637" s="43"/>
      <c r="BX637" s="43"/>
      <c r="BY637" s="43"/>
      <c r="BZ637" s="43"/>
      <c r="CA637" s="43"/>
    </row>
    <row r="638">
      <c r="A638" s="47"/>
      <c r="B638" s="47"/>
      <c r="C638" s="47"/>
      <c r="D638" s="47"/>
      <c r="E638" s="47"/>
      <c r="F638" s="47"/>
      <c r="G638" s="47"/>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c r="BO638" s="43"/>
      <c r="BP638" s="43"/>
      <c r="BQ638" s="43"/>
      <c r="BR638" s="43"/>
      <c r="BS638" s="43"/>
      <c r="BT638" s="43"/>
      <c r="BU638" s="43"/>
      <c r="BV638" s="43"/>
      <c r="BW638" s="43"/>
      <c r="BX638" s="43"/>
      <c r="BY638" s="43"/>
      <c r="BZ638" s="43"/>
      <c r="CA638" s="43"/>
    </row>
    <row r="639">
      <c r="A639" s="47"/>
      <c r="B639" s="47"/>
      <c r="C639" s="47"/>
      <c r="D639" s="47"/>
      <c r="E639" s="47"/>
      <c r="F639" s="47"/>
      <c r="G639" s="47"/>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3"/>
      <c r="BY639" s="43"/>
      <c r="BZ639" s="43"/>
      <c r="CA639" s="43"/>
    </row>
    <row r="640">
      <c r="A640" s="47"/>
      <c r="B640" s="47"/>
      <c r="C640" s="47"/>
      <c r="D640" s="47"/>
      <c r="E640" s="47"/>
      <c r="F640" s="47"/>
      <c r="G640" s="47"/>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c r="BO640" s="43"/>
      <c r="BP640" s="43"/>
      <c r="BQ640" s="43"/>
      <c r="BR640" s="43"/>
      <c r="BS640" s="43"/>
      <c r="BT640" s="43"/>
      <c r="BU640" s="43"/>
      <c r="BV640" s="43"/>
      <c r="BW640" s="43"/>
      <c r="BX640" s="43"/>
      <c r="BY640" s="43"/>
      <c r="BZ640" s="43"/>
      <c r="CA640" s="43"/>
    </row>
    <row r="641">
      <c r="A641" s="47"/>
      <c r="B641" s="47"/>
      <c r="C641" s="47"/>
      <c r="D641" s="47"/>
      <c r="E641" s="47"/>
      <c r="F641" s="47"/>
      <c r="G641" s="47"/>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c r="BO641" s="43"/>
      <c r="BP641" s="43"/>
      <c r="BQ641" s="43"/>
      <c r="BR641" s="43"/>
      <c r="BS641" s="43"/>
      <c r="BT641" s="43"/>
      <c r="BU641" s="43"/>
      <c r="BV641" s="43"/>
      <c r="BW641" s="43"/>
      <c r="BX641" s="43"/>
      <c r="BY641" s="43"/>
      <c r="BZ641" s="43"/>
      <c r="CA641" s="43"/>
    </row>
    <row r="642">
      <c r="A642" s="47"/>
      <c r="B642" s="47"/>
      <c r="C642" s="47"/>
      <c r="D642" s="47"/>
      <c r="E642" s="47"/>
      <c r="F642" s="47"/>
      <c r="G642" s="47"/>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c r="BO642" s="43"/>
      <c r="BP642" s="43"/>
      <c r="BQ642" s="43"/>
      <c r="BR642" s="43"/>
      <c r="BS642" s="43"/>
      <c r="BT642" s="43"/>
      <c r="BU642" s="43"/>
      <c r="BV642" s="43"/>
      <c r="BW642" s="43"/>
      <c r="BX642" s="43"/>
      <c r="BY642" s="43"/>
      <c r="BZ642" s="43"/>
      <c r="CA642" s="43"/>
    </row>
    <row r="643">
      <c r="A643" s="47"/>
      <c r="B643" s="47"/>
      <c r="C643" s="47"/>
      <c r="D643" s="47"/>
      <c r="E643" s="47"/>
      <c r="F643" s="47"/>
      <c r="G643" s="47"/>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c r="BO643" s="43"/>
      <c r="BP643" s="43"/>
      <c r="BQ643" s="43"/>
      <c r="BR643" s="43"/>
      <c r="BS643" s="43"/>
      <c r="BT643" s="43"/>
      <c r="BU643" s="43"/>
      <c r="BV643" s="43"/>
      <c r="BW643" s="43"/>
      <c r="BX643" s="43"/>
      <c r="BY643" s="43"/>
      <c r="BZ643" s="43"/>
      <c r="CA643" s="43"/>
    </row>
    <row r="644">
      <c r="A644" s="47"/>
      <c r="B644" s="47"/>
      <c r="C644" s="47"/>
      <c r="D644" s="47"/>
      <c r="E644" s="47"/>
      <c r="F644" s="47"/>
      <c r="G644" s="47"/>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c r="BO644" s="43"/>
      <c r="BP644" s="43"/>
      <c r="BQ644" s="43"/>
      <c r="BR644" s="43"/>
      <c r="BS644" s="43"/>
      <c r="BT644" s="43"/>
      <c r="BU644" s="43"/>
      <c r="BV644" s="43"/>
      <c r="BW644" s="43"/>
      <c r="BX644" s="43"/>
      <c r="BY644" s="43"/>
      <c r="BZ644" s="43"/>
      <c r="CA644" s="43"/>
    </row>
    <row r="645">
      <c r="A645" s="47"/>
      <c r="B645" s="47"/>
      <c r="C645" s="47"/>
      <c r="D645" s="47"/>
      <c r="E645" s="47"/>
      <c r="F645" s="47"/>
      <c r="G645" s="47"/>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c r="BO645" s="43"/>
      <c r="BP645" s="43"/>
      <c r="BQ645" s="43"/>
      <c r="BR645" s="43"/>
      <c r="BS645" s="43"/>
      <c r="BT645" s="43"/>
      <c r="BU645" s="43"/>
      <c r="BV645" s="43"/>
      <c r="BW645" s="43"/>
      <c r="BX645" s="43"/>
      <c r="BY645" s="43"/>
      <c r="BZ645" s="43"/>
      <c r="CA645" s="43"/>
    </row>
    <row r="646">
      <c r="A646" s="47"/>
      <c r="B646" s="47"/>
      <c r="C646" s="47"/>
      <c r="D646" s="47"/>
      <c r="E646" s="47"/>
      <c r="F646" s="47"/>
      <c r="G646" s="47"/>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c r="BO646" s="43"/>
      <c r="BP646" s="43"/>
      <c r="BQ646" s="43"/>
      <c r="BR646" s="43"/>
      <c r="BS646" s="43"/>
      <c r="BT646" s="43"/>
      <c r="BU646" s="43"/>
      <c r="BV646" s="43"/>
      <c r="BW646" s="43"/>
      <c r="BX646" s="43"/>
      <c r="BY646" s="43"/>
      <c r="BZ646" s="43"/>
      <c r="CA646" s="43"/>
    </row>
    <row r="647">
      <c r="A647" s="47"/>
      <c r="B647" s="47"/>
      <c r="C647" s="47"/>
      <c r="D647" s="47"/>
      <c r="E647" s="47"/>
      <c r="F647" s="47"/>
      <c r="G647" s="47"/>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c r="BO647" s="43"/>
      <c r="BP647" s="43"/>
      <c r="BQ647" s="43"/>
      <c r="BR647" s="43"/>
      <c r="BS647" s="43"/>
      <c r="BT647" s="43"/>
      <c r="BU647" s="43"/>
      <c r="BV647" s="43"/>
      <c r="BW647" s="43"/>
      <c r="BX647" s="43"/>
      <c r="BY647" s="43"/>
      <c r="BZ647" s="43"/>
      <c r="CA647" s="43"/>
    </row>
    <row r="648">
      <c r="A648" s="47"/>
      <c r="B648" s="47"/>
      <c r="C648" s="47"/>
      <c r="D648" s="47"/>
      <c r="E648" s="47"/>
      <c r="F648" s="47"/>
      <c r="G648" s="47"/>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c r="BO648" s="43"/>
      <c r="BP648" s="43"/>
      <c r="BQ648" s="43"/>
      <c r="BR648" s="43"/>
      <c r="BS648" s="43"/>
      <c r="BT648" s="43"/>
      <c r="BU648" s="43"/>
      <c r="BV648" s="43"/>
      <c r="BW648" s="43"/>
      <c r="BX648" s="43"/>
      <c r="BY648" s="43"/>
      <c r="BZ648" s="43"/>
      <c r="CA648" s="43"/>
    </row>
    <row r="649">
      <c r="A649" s="47"/>
      <c r="B649" s="47"/>
      <c r="C649" s="47"/>
      <c r="D649" s="47"/>
      <c r="E649" s="47"/>
      <c r="F649" s="47"/>
      <c r="G649" s="47"/>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c r="BO649" s="43"/>
      <c r="BP649" s="43"/>
      <c r="BQ649" s="43"/>
      <c r="BR649" s="43"/>
      <c r="BS649" s="43"/>
      <c r="BT649" s="43"/>
      <c r="BU649" s="43"/>
      <c r="BV649" s="43"/>
      <c r="BW649" s="43"/>
      <c r="BX649" s="43"/>
      <c r="BY649" s="43"/>
      <c r="BZ649" s="43"/>
      <c r="CA649" s="43"/>
    </row>
    <row r="650">
      <c r="A650" s="47"/>
      <c r="B650" s="47"/>
      <c r="C650" s="47"/>
      <c r="D650" s="47"/>
      <c r="E650" s="47"/>
      <c r="F650" s="47"/>
      <c r="G650" s="47"/>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c r="BO650" s="43"/>
      <c r="BP650" s="43"/>
      <c r="BQ650" s="43"/>
      <c r="BR650" s="43"/>
      <c r="BS650" s="43"/>
      <c r="BT650" s="43"/>
      <c r="BU650" s="43"/>
      <c r="BV650" s="43"/>
      <c r="BW650" s="43"/>
      <c r="BX650" s="43"/>
      <c r="BY650" s="43"/>
      <c r="BZ650" s="43"/>
      <c r="CA650" s="43"/>
    </row>
    <row r="651">
      <c r="A651" s="47"/>
      <c r="B651" s="47"/>
      <c r="C651" s="47"/>
      <c r="D651" s="47"/>
      <c r="E651" s="47"/>
      <c r="F651" s="47"/>
      <c r="G651" s="47"/>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c r="BO651" s="43"/>
      <c r="BP651" s="43"/>
      <c r="BQ651" s="43"/>
      <c r="BR651" s="43"/>
      <c r="BS651" s="43"/>
      <c r="BT651" s="43"/>
      <c r="BU651" s="43"/>
      <c r="BV651" s="43"/>
      <c r="BW651" s="43"/>
      <c r="BX651" s="43"/>
      <c r="BY651" s="43"/>
      <c r="BZ651" s="43"/>
      <c r="CA651" s="43"/>
    </row>
    <row r="652">
      <c r="A652" s="47"/>
      <c r="B652" s="47"/>
      <c r="C652" s="47"/>
      <c r="D652" s="47"/>
      <c r="E652" s="47"/>
      <c r="F652" s="47"/>
      <c r="G652" s="47"/>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c r="BO652" s="43"/>
      <c r="BP652" s="43"/>
      <c r="BQ652" s="43"/>
      <c r="BR652" s="43"/>
      <c r="BS652" s="43"/>
      <c r="BT652" s="43"/>
      <c r="BU652" s="43"/>
      <c r="BV652" s="43"/>
      <c r="BW652" s="43"/>
      <c r="BX652" s="43"/>
      <c r="BY652" s="43"/>
      <c r="BZ652" s="43"/>
      <c r="CA652" s="43"/>
    </row>
    <row r="653">
      <c r="A653" s="47"/>
      <c r="B653" s="47"/>
      <c r="C653" s="47"/>
      <c r="D653" s="47"/>
      <c r="E653" s="47"/>
      <c r="F653" s="47"/>
      <c r="G653" s="47"/>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c r="BO653" s="43"/>
      <c r="BP653" s="43"/>
      <c r="BQ653" s="43"/>
      <c r="BR653" s="43"/>
      <c r="BS653" s="43"/>
      <c r="BT653" s="43"/>
      <c r="BU653" s="43"/>
      <c r="BV653" s="43"/>
      <c r="BW653" s="43"/>
      <c r="BX653" s="43"/>
      <c r="BY653" s="43"/>
      <c r="BZ653" s="43"/>
      <c r="CA653" s="43"/>
    </row>
    <row r="654">
      <c r="A654" s="47"/>
      <c r="B654" s="47"/>
      <c r="C654" s="47"/>
      <c r="D654" s="47"/>
      <c r="E654" s="47"/>
      <c r="F654" s="47"/>
      <c r="G654" s="47"/>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c r="BO654" s="43"/>
      <c r="BP654" s="43"/>
      <c r="BQ654" s="43"/>
      <c r="BR654" s="43"/>
      <c r="BS654" s="43"/>
      <c r="BT654" s="43"/>
      <c r="BU654" s="43"/>
      <c r="BV654" s="43"/>
      <c r="BW654" s="43"/>
      <c r="BX654" s="43"/>
      <c r="BY654" s="43"/>
      <c r="BZ654" s="43"/>
      <c r="CA654" s="43"/>
    </row>
    <row r="655">
      <c r="A655" s="47"/>
      <c r="B655" s="47"/>
      <c r="C655" s="47"/>
      <c r="D655" s="47"/>
      <c r="E655" s="47"/>
      <c r="F655" s="47"/>
      <c r="G655" s="47"/>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c r="BO655" s="43"/>
      <c r="BP655" s="43"/>
      <c r="BQ655" s="43"/>
      <c r="BR655" s="43"/>
      <c r="BS655" s="43"/>
      <c r="BT655" s="43"/>
      <c r="BU655" s="43"/>
      <c r="BV655" s="43"/>
      <c r="BW655" s="43"/>
      <c r="BX655" s="43"/>
      <c r="BY655" s="43"/>
      <c r="BZ655" s="43"/>
      <c r="CA655" s="43"/>
    </row>
    <row r="656">
      <c r="A656" s="47"/>
      <c r="B656" s="47"/>
      <c r="C656" s="47"/>
      <c r="D656" s="47"/>
      <c r="E656" s="47"/>
      <c r="F656" s="47"/>
      <c r="G656" s="47"/>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3"/>
      <c r="BY656" s="43"/>
      <c r="BZ656" s="43"/>
      <c r="CA656" s="43"/>
    </row>
    <row r="657">
      <c r="A657" s="47"/>
      <c r="B657" s="47"/>
      <c r="C657" s="47"/>
      <c r="D657" s="47"/>
      <c r="E657" s="47"/>
      <c r="F657" s="47"/>
      <c r="G657" s="47"/>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c r="BO657" s="43"/>
      <c r="BP657" s="43"/>
      <c r="BQ657" s="43"/>
      <c r="BR657" s="43"/>
      <c r="BS657" s="43"/>
      <c r="BT657" s="43"/>
      <c r="BU657" s="43"/>
      <c r="BV657" s="43"/>
      <c r="BW657" s="43"/>
      <c r="BX657" s="43"/>
      <c r="BY657" s="43"/>
      <c r="BZ657" s="43"/>
      <c r="CA657" s="43"/>
    </row>
    <row r="658">
      <c r="A658" s="47"/>
      <c r="B658" s="47"/>
      <c r="C658" s="47"/>
      <c r="D658" s="47"/>
      <c r="E658" s="47"/>
      <c r="F658" s="47"/>
      <c r="G658" s="47"/>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c r="BO658" s="43"/>
      <c r="BP658" s="43"/>
      <c r="BQ658" s="43"/>
      <c r="BR658" s="43"/>
      <c r="BS658" s="43"/>
      <c r="BT658" s="43"/>
      <c r="BU658" s="43"/>
      <c r="BV658" s="43"/>
      <c r="BW658" s="43"/>
      <c r="BX658" s="43"/>
      <c r="BY658" s="43"/>
      <c r="BZ658" s="43"/>
      <c r="CA658" s="43"/>
    </row>
    <row r="659">
      <c r="A659" s="47"/>
      <c r="B659" s="47"/>
      <c r="C659" s="47"/>
      <c r="D659" s="47"/>
      <c r="E659" s="47"/>
      <c r="F659" s="47"/>
      <c r="G659" s="47"/>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c r="BO659" s="43"/>
      <c r="BP659" s="43"/>
      <c r="BQ659" s="43"/>
      <c r="BR659" s="43"/>
      <c r="BS659" s="43"/>
      <c r="BT659" s="43"/>
      <c r="BU659" s="43"/>
      <c r="BV659" s="43"/>
      <c r="BW659" s="43"/>
      <c r="BX659" s="43"/>
      <c r="BY659" s="43"/>
      <c r="BZ659" s="43"/>
      <c r="CA659" s="43"/>
    </row>
    <row r="660">
      <c r="A660" s="47"/>
      <c r="B660" s="47"/>
      <c r="C660" s="47"/>
      <c r="D660" s="47"/>
      <c r="E660" s="47"/>
      <c r="F660" s="47"/>
      <c r="G660" s="47"/>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c r="BO660" s="43"/>
      <c r="BP660" s="43"/>
      <c r="BQ660" s="43"/>
      <c r="BR660" s="43"/>
      <c r="BS660" s="43"/>
      <c r="BT660" s="43"/>
      <c r="BU660" s="43"/>
      <c r="BV660" s="43"/>
      <c r="BW660" s="43"/>
      <c r="BX660" s="43"/>
      <c r="BY660" s="43"/>
      <c r="BZ660" s="43"/>
      <c r="CA660" s="43"/>
    </row>
    <row r="661">
      <c r="A661" s="47"/>
      <c r="B661" s="47"/>
      <c r="C661" s="47"/>
      <c r="D661" s="47"/>
      <c r="E661" s="47"/>
      <c r="F661" s="47"/>
      <c r="G661" s="47"/>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c r="BO661" s="43"/>
      <c r="BP661" s="43"/>
      <c r="BQ661" s="43"/>
      <c r="BR661" s="43"/>
      <c r="BS661" s="43"/>
      <c r="BT661" s="43"/>
      <c r="BU661" s="43"/>
      <c r="BV661" s="43"/>
      <c r="BW661" s="43"/>
      <c r="BX661" s="43"/>
      <c r="BY661" s="43"/>
      <c r="BZ661" s="43"/>
      <c r="CA661" s="43"/>
    </row>
    <row r="662">
      <c r="A662" s="47"/>
      <c r="B662" s="47"/>
      <c r="C662" s="47"/>
      <c r="D662" s="47"/>
      <c r="E662" s="47"/>
      <c r="F662" s="47"/>
      <c r="G662" s="47"/>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c r="BO662" s="43"/>
      <c r="BP662" s="43"/>
      <c r="BQ662" s="43"/>
      <c r="BR662" s="43"/>
      <c r="BS662" s="43"/>
      <c r="BT662" s="43"/>
      <c r="BU662" s="43"/>
      <c r="BV662" s="43"/>
      <c r="BW662" s="43"/>
      <c r="BX662" s="43"/>
      <c r="BY662" s="43"/>
      <c r="BZ662" s="43"/>
      <c r="CA662" s="43"/>
    </row>
    <row r="663">
      <c r="A663" s="47"/>
      <c r="B663" s="47"/>
      <c r="C663" s="47"/>
      <c r="D663" s="47"/>
      <c r="E663" s="47"/>
      <c r="F663" s="47"/>
      <c r="G663" s="47"/>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c r="BO663" s="43"/>
      <c r="BP663" s="43"/>
      <c r="BQ663" s="43"/>
      <c r="BR663" s="43"/>
      <c r="BS663" s="43"/>
      <c r="BT663" s="43"/>
      <c r="BU663" s="43"/>
      <c r="BV663" s="43"/>
      <c r="BW663" s="43"/>
      <c r="BX663" s="43"/>
      <c r="BY663" s="43"/>
      <c r="BZ663" s="43"/>
      <c r="CA663" s="43"/>
    </row>
    <row r="664">
      <c r="A664" s="47"/>
      <c r="B664" s="47"/>
      <c r="C664" s="47"/>
      <c r="D664" s="47"/>
      <c r="E664" s="47"/>
      <c r="F664" s="47"/>
      <c r="G664" s="47"/>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c r="BO664" s="43"/>
      <c r="BP664" s="43"/>
      <c r="BQ664" s="43"/>
      <c r="BR664" s="43"/>
      <c r="BS664" s="43"/>
      <c r="BT664" s="43"/>
      <c r="BU664" s="43"/>
      <c r="BV664" s="43"/>
      <c r="BW664" s="43"/>
      <c r="BX664" s="43"/>
      <c r="BY664" s="43"/>
      <c r="BZ664" s="43"/>
      <c r="CA664" s="43"/>
    </row>
    <row r="665">
      <c r="A665" s="47"/>
      <c r="B665" s="47"/>
      <c r="C665" s="47"/>
      <c r="D665" s="47"/>
      <c r="E665" s="47"/>
      <c r="F665" s="47"/>
      <c r="G665" s="47"/>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c r="BO665" s="43"/>
      <c r="BP665" s="43"/>
      <c r="BQ665" s="43"/>
      <c r="BR665" s="43"/>
      <c r="BS665" s="43"/>
      <c r="BT665" s="43"/>
      <c r="BU665" s="43"/>
      <c r="BV665" s="43"/>
      <c r="BW665" s="43"/>
      <c r="BX665" s="43"/>
      <c r="BY665" s="43"/>
      <c r="BZ665" s="43"/>
      <c r="CA665" s="43"/>
    </row>
    <row r="666">
      <c r="A666" s="47"/>
      <c r="B666" s="47"/>
      <c r="C666" s="47"/>
      <c r="D666" s="47"/>
      <c r="E666" s="47"/>
      <c r="F666" s="47"/>
      <c r="G666" s="47"/>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c r="BO666" s="43"/>
      <c r="BP666" s="43"/>
      <c r="BQ666" s="43"/>
      <c r="BR666" s="43"/>
      <c r="BS666" s="43"/>
      <c r="BT666" s="43"/>
      <c r="BU666" s="43"/>
      <c r="BV666" s="43"/>
      <c r="BW666" s="43"/>
      <c r="BX666" s="43"/>
      <c r="BY666" s="43"/>
      <c r="BZ666" s="43"/>
      <c r="CA666" s="43"/>
    </row>
    <row r="667">
      <c r="A667" s="47"/>
      <c r="B667" s="47"/>
      <c r="C667" s="47"/>
      <c r="D667" s="47"/>
      <c r="E667" s="47"/>
      <c r="F667" s="47"/>
      <c r="G667" s="47"/>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c r="BO667" s="43"/>
      <c r="BP667" s="43"/>
      <c r="BQ667" s="43"/>
      <c r="BR667" s="43"/>
      <c r="BS667" s="43"/>
      <c r="BT667" s="43"/>
      <c r="BU667" s="43"/>
      <c r="BV667" s="43"/>
      <c r="BW667" s="43"/>
      <c r="BX667" s="43"/>
      <c r="BY667" s="43"/>
      <c r="BZ667" s="43"/>
      <c r="CA667" s="43"/>
    </row>
    <row r="668">
      <c r="A668" s="47"/>
      <c r="B668" s="47"/>
      <c r="C668" s="47"/>
      <c r="D668" s="47"/>
      <c r="E668" s="47"/>
      <c r="F668" s="47"/>
      <c r="G668" s="47"/>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c r="BO668" s="43"/>
      <c r="BP668" s="43"/>
      <c r="BQ668" s="43"/>
      <c r="BR668" s="43"/>
      <c r="BS668" s="43"/>
      <c r="BT668" s="43"/>
      <c r="BU668" s="43"/>
      <c r="BV668" s="43"/>
      <c r="BW668" s="43"/>
      <c r="BX668" s="43"/>
      <c r="BY668" s="43"/>
      <c r="BZ668" s="43"/>
      <c r="CA668" s="43"/>
    </row>
    <row r="669">
      <c r="A669" s="47"/>
      <c r="B669" s="47"/>
      <c r="C669" s="47"/>
      <c r="D669" s="47"/>
      <c r="E669" s="47"/>
      <c r="F669" s="47"/>
      <c r="G669" s="47"/>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c r="BO669" s="43"/>
      <c r="BP669" s="43"/>
      <c r="BQ669" s="43"/>
      <c r="BR669" s="43"/>
      <c r="BS669" s="43"/>
      <c r="BT669" s="43"/>
      <c r="BU669" s="43"/>
      <c r="BV669" s="43"/>
      <c r="BW669" s="43"/>
      <c r="BX669" s="43"/>
      <c r="BY669" s="43"/>
      <c r="BZ669" s="43"/>
      <c r="CA669" s="43"/>
    </row>
    <row r="670">
      <c r="A670" s="47"/>
      <c r="B670" s="47"/>
      <c r="C670" s="47"/>
      <c r="D670" s="47"/>
      <c r="E670" s="47"/>
      <c r="F670" s="47"/>
      <c r="G670" s="47"/>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c r="BO670" s="43"/>
      <c r="BP670" s="43"/>
      <c r="BQ670" s="43"/>
      <c r="BR670" s="43"/>
      <c r="BS670" s="43"/>
      <c r="BT670" s="43"/>
      <c r="BU670" s="43"/>
      <c r="BV670" s="43"/>
      <c r="BW670" s="43"/>
      <c r="BX670" s="43"/>
      <c r="BY670" s="43"/>
      <c r="BZ670" s="43"/>
      <c r="CA670" s="43"/>
    </row>
    <row r="671">
      <c r="A671" s="47"/>
      <c r="B671" s="47"/>
      <c r="C671" s="47"/>
      <c r="D671" s="47"/>
      <c r="E671" s="47"/>
      <c r="F671" s="47"/>
      <c r="G671" s="47"/>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c r="BO671" s="43"/>
      <c r="BP671" s="43"/>
      <c r="BQ671" s="43"/>
      <c r="BR671" s="43"/>
      <c r="BS671" s="43"/>
      <c r="BT671" s="43"/>
      <c r="BU671" s="43"/>
      <c r="BV671" s="43"/>
      <c r="BW671" s="43"/>
      <c r="BX671" s="43"/>
      <c r="BY671" s="43"/>
      <c r="BZ671" s="43"/>
      <c r="CA671" s="43"/>
    </row>
    <row r="672">
      <c r="A672" s="47"/>
      <c r="B672" s="47"/>
      <c r="C672" s="47"/>
      <c r="D672" s="47"/>
      <c r="E672" s="47"/>
      <c r="F672" s="47"/>
      <c r="G672" s="47"/>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c r="BO672" s="43"/>
      <c r="BP672" s="43"/>
      <c r="BQ672" s="43"/>
      <c r="BR672" s="43"/>
      <c r="BS672" s="43"/>
      <c r="BT672" s="43"/>
      <c r="BU672" s="43"/>
      <c r="BV672" s="43"/>
      <c r="BW672" s="43"/>
      <c r="BX672" s="43"/>
      <c r="BY672" s="43"/>
      <c r="BZ672" s="43"/>
      <c r="CA672" s="43"/>
    </row>
    <row r="673">
      <c r="A673" s="47"/>
      <c r="B673" s="47"/>
      <c r="C673" s="47"/>
      <c r="D673" s="47"/>
      <c r="E673" s="47"/>
      <c r="F673" s="47"/>
      <c r="G673" s="47"/>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3"/>
      <c r="BY673" s="43"/>
      <c r="BZ673" s="43"/>
      <c r="CA673" s="43"/>
    </row>
    <row r="674">
      <c r="A674" s="47"/>
      <c r="B674" s="47"/>
      <c r="C674" s="47"/>
      <c r="D674" s="47"/>
      <c r="E674" s="47"/>
      <c r="F674" s="47"/>
      <c r="G674" s="47"/>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c r="BO674" s="43"/>
      <c r="BP674" s="43"/>
      <c r="BQ674" s="43"/>
      <c r="BR674" s="43"/>
      <c r="BS674" s="43"/>
      <c r="BT674" s="43"/>
      <c r="BU674" s="43"/>
      <c r="BV674" s="43"/>
      <c r="BW674" s="43"/>
      <c r="BX674" s="43"/>
      <c r="BY674" s="43"/>
      <c r="BZ674" s="43"/>
      <c r="CA674" s="43"/>
    </row>
    <row r="675">
      <c r="A675" s="47"/>
      <c r="B675" s="47"/>
      <c r="C675" s="47"/>
      <c r="D675" s="47"/>
      <c r="E675" s="47"/>
      <c r="F675" s="47"/>
      <c r="G675" s="47"/>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c r="BO675" s="43"/>
      <c r="BP675" s="43"/>
      <c r="BQ675" s="43"/>
      <c r="BR675" s="43"/>
      <c r="BS675" s="43"/>
      <c r="BT675" s="43"/>
      <c r="BU675" s="43"/>
      <c r="BV675" s="43"/>
      <c r="BW675" s="43"/>
      <c r="BX675" s="43"/>
      <c r="BY675" s="43"/>
      <c r="BZ675" s="43"/>
      <c r="CA675" s="43"/>
    </row>
    <row r="676">
      <c r="A676" s="47"/>
      <c r="B676" s="47"/>
      <c r="C676" s="47"/>
      <c r="D676" s="47"/>
      <c r="E676" s="47"/>
      <c r="F676" s="47"/>
      <c r="G676" s="47"/>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c r="BO676" s="43"/>
      <c r="BP676" s="43"/>
      <c r="BQ676" s="43"/>
      <c r="BR676" s="43"/>
      <c r="BS676" s="43"/>
      <c r="BT676" s="43"/>
      <c r="BU676" s="43"/>
      <c r="BV676" s="43"/>
      <c r="BW676" s="43"/>
      <c r="BX676" s="43"/>
      <c r="BY676" s="43"/>
      <c r="BZ676" s="43"/>
      <c r="CA676" s="43"/>
    </row>
    <row r="677">
      <c r="A677" s="47"/>
      <c r="B677" s="47"/>
      <c r="C677" s="47"/>
      <c r="D677" s="47"/>
      <c r="E677" s="47"/>
      <c r="F677" s="47"/>
      <c r="G677" s="47"/>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c r="BO677" s="43"/>
      <c r="BP677" s="43"/>
      <c r="BQ677" s="43"/>
      <c r="BR677" s="43"/>
      <c r="BS677" s="43"/>
      <c r="BT677" s="43"/>
      <c r="BU677" s="43"/>
      <c r="BV677" s="43"/>
      <c r="BW677" s="43"/>
      <c r="BX677" s="43"/>
      <c r="BY677" s="43"/>
      <c r="BZ677" s="43"/>
      <c r="CA677" s="43"/>
    </row>
    <row r="678">
      <c r="A678" s="47"/>
      <c r="B678" s="47"/>
      <c r="C678" s="47"/>
      <c r="D678" s="47"/>
      <c r="E678" s="47"/>
      <c r="F678" s="47"/>
      <c r="G678" s="47"/>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3"/>
      <c r="BY678" s="43"/>
      <c r="BZ678" s="43"/>
      <c r="CA678" s="43"/>
    </row>
    <row r="679">
      <c r="A679" s="47"/>
      <c r="B679" s="47"/>
      <c r="C679" s="47"/>
      <c r="D679" s="47"/>
      <c r="E679" s="47"/>
      <c r="F679" s="47"/>
      <c r="G679" s="47"/>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c r="BO679" s="43"/>
      <c r="BP679" s="43"/>
      <c r="BQ679" s="43"/>
      <c r="BR679" s="43"/>
      <c r="BS679" s="43"/>
      <c r="BT679" s="43"/>
      <c r="BU679" s="43"/>
      <c r="BV679" s="43"/>
      <c r="BW679" s="43"/>
      <c r="BX679" s="43"/>
      <c r="BY679" s="43"/>
      <c r="BZ679" s="43"/>
      <c r="CA679" s="43"/>
    </row>
    <row r="680">
      <c r="A680" s="47"/>
      <c r="B680" s="47"/>
      <c r="C680" s="47"/>
      <c r="D680" s="47"/>
      <c r="E680" s="47"/>
      <c r="F680" s="47"/>
      <c r="G680" s="47"/>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c r="BO680" s="43"/>
      <c r="BP680" s="43"/>
      <c r="BQ680" s="43"/>
      <c r="BR680" s="43"/>
      <c r="BS680" s="43"/>
      <c r="BT680" s="43"/>
      <c r="BU680" s="43"/>
      <c r="BV680" s="43"/>
      <c r="BW680" s="43"/>
      <c r="BX680" s="43"/>
      <c r="BY680" s="43"/>
      <c r="BZ680" s="43"/>
      <c r="CA680" s="43"/>
    </row>
    <row r="681">
      <c r="A681" s="47"/>
      <c r="B681" s="47"/>
      <c r="C681" s="47"/>
      <c r="D681" s="47"/>
      <c r="E681" s="47"/>
      <c r="F681" s="47"/>
      <c r="G681" s="47"/>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c r="BO681" s="43"/>
      <c r="BP681" s="43"/>
      <c r="BQ681" s="43"/>
      <c r="BR681" s="43"/>
      <c r="BS681" s="43"/>
      <c r="BT681" s="43"/>
      <c r="BU681" s="43"/>
      <c r="BV681" s="43"/>
      <c r="BW681" s="43"/>
      <c r="BX681" s="43"/>
      <c r="BY681" s="43"/>
      <c r="BZ681" s="43"/>
      <c r="CA681" s="43"/>
    </row>
    <row r="682">
      <c r="A682" s="47"/>
      <c r="B682" s="47"/>
      <c r="C682" s="47"/>
      <c r="D682" s="47"/>
      <c r="E682" s="47"/>
      <c r="F682" s="47"/>
      <c r="G682" s="47"/>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3"/>
      <c r="BY682" s="43"/>
      <c r="BZ682" s="43"/>
      <c r="CA682" s="43"/>
    </row>
    <row r="683">
      <c r="A683" s="47"/>
      <c r="B683" s="47"/>
      <c r="C683" s="47"/>
      <c r="D683" s="47"/>
      <c r="E683" s="47"/>
      <c r="F683" s="47"/>
      <c r="G683" s="47"/>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c r="BO683" s="43"/>
      <c r="BP683" s="43"/>
      <c r="BQ683" s="43"/>
      <c r="BR683" s="43"/>
      <c r="BS683" s="43"/>
      <c r="BT683" s="43"/>
      <c r="BU683" s="43"/>
      <c r="BV683" s="43"/>
      <c r="BW683" s="43"/>
      <c r="BX683" s="43"/>
      <c r="BY683" s="43"/>
      <c r="BZ683" s="43"/>
      <c r="CA683" s="43"/>
    </row>
    <row r="684">
      <c r="A684" s="47"/>
      <c r="B684" s="47"/>
      <c r="C684" s="47"/>
      <c r="D684" s="47"/>
      <c r="E684" s="47"/>
      <c r="F684" s="47"/>
      <c r="G684" s="47"/>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c r="BO684" s="43"/>
      <c r="BP684" s="43"/>
      <c r="BQ684" s="43"/>
      <c r="BR684" s="43"/>
      <c r="BS684" s="43"/>
      <c r="BT684" s="43"/>
      <c r="BU684" s="43"/>
      <c r="BV684" s="43"/>
      <c r="BW684" s="43"/>
      <c r="BX684" s="43"/>
      <c r="BY684" s="43"/>
      <c r="BZ684" s="43"/>
      <c r="CA684" s="43"/>
    </row>
    <row r="685">
      <c r="A685" s="47"/>
      <c r="B685" s="47"/>
      <c r="C685" s="47"/>
      <c r="D685" s="47"/>
      <c r="E685" s="47"/>
      <c r="F685" s="47"/>
      <c r="G685" s="47"/>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c r="BO685" s="43"/>
      <c r="BP685" s="43"/>
      <c r="BQ685" s="43"/>
      <c r="BR685" s="43"/>
      <c r="BS685" s="43"/>
      <c r="BT685" s="43"/>
      <c r="BU685" s="43"/>
      <c r="BV685" s="43"/>
      <c r="BW685" s="43"/>
      <c r="BX685" s="43"/>
      <c r="BY685" s="43"/>
      <c r="BZ685" s="43"/>
      <c r="CA685" s="43"/>
    </row>
    <row r="686">
      <c r="A686" s="47"/>
      <c r="B686" s="47"/>
      <c r="C686" s="47"/>
      <c r="D686" s="47"/>
      <c r="E686" s="47"/>
      <c r="F686" s="47"/>
      <c r="G686" s="47"/>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c r="BO686" s="43"/>
      <c r="BP686" s="43"/>
      <c r="BQ686" s="43"/>
      <c r="BR686" s="43"/>
      <c r="BS686" s="43"/>
      <c r="BT686" s="43"/>
      <c r="BU686" s="43"/>
      <c r="BV686" s="43"/>
      <c r="BW686" s="43"/>
      <c r="BX686" s="43"/>
      <c r="BY686" s="43"/>
      <c r="BZ686" s="43"/>
      <c r="CA686" s="43"/>
    </row>
    <row r="687">
      <c r="A687" s="47"/>
      <c r="B687" s="47"/>
      <c r="C687" s="47"/>
      <c r="D687" s="47"/>
      <c r="E687" s="47"/>
      <c r="F687" s="47"/>
      <c r="G687" s="47"/>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3"/>
      <c r="BY687" s="43"/>
      <c r="BZ687" s="43"/>
      <c r="CA687" s="43"/>
    </row>
    <row r="688">
      <c r="A688" s="47"/>
      <c r="B688" s="47"/>
      <c r="C688" s="47"/>
      <c r="D688" s="47"/>
      <c r="E688" s="47"/>
      <c r="F688" s="47"/>
      <c r="G688" s="47"/>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c r="BO688" s="43"/>
      <c r="BP688" s="43"/>
      <c r="BQ688" s="43"/>
      <c r="BR688" s="43"/>
      <c r="BS688" s="43"/>
      <c r="BT688" s="43"/>
      <c r="BU688" s="43"/>
      <c r="BV688" s="43"/>
      <c r="BW688" s="43"/>
      <c r="BX688" s="43"/>
      <c r="BY688" s="43"/>
      <c r="BZ688" s="43"/>
      <c r="CA688" s="43"/>
    </row>
    <row r="689">
      <c r="A689" s="47"/>
      <c r="B689" s="47"/>
      <c r="C689" s="47"/>
      <c r="D689" s="47"/>
      <c r="E689" s="47"/>
      <c r="F689" s="47"/>
      <c r="G689" s="47"/>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c r="BO689" s="43"/>
      <c r="BP689" s="43"/>
      <c r="BQ689" s="43"/>
      <c r="BR689" s="43"/>
      <c r="BS689" s="43"/>
      <c r="BT689" s="43"/>
      <c r="BU689" s="43"/>
      <c r="BV689" s="43"/>
      <c r="BW689" s="43"/>
      <c r="BX689" s="43"/>
      <c r="BY689" s="43"/>
      <c r="BZ689" s="43"/>
      <c r="CA689" s="43"/>
    </row>
    <row r="690">
      <c r="A690" s="47"/>
      <c r="B690" s="47"/>
      <c r="C690" s="47"/>
      <c r="D690" s="47"/>
      <c r="E690" s="47"/>
      <c r="F690" s="47"/>
      <c r="G690" s="47"/>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c r="BO690" s="43"/>
      <c r="BP690" s="43"/>
      <c r="BQ690" s="43"/>
      <c r="BR690" s="43"/>
      <c r="BS690" s="43"/>
      <c r="BT690" s="43"/>
      <c r="BU690" s="43"/>
      <c r="BV690" s="43"/>
      <c r="BW690" s="43"/>
      <c r="BX690" s="43"/>
      <c r="BY690" s="43"/>
      <c r="BZ690" s="43"/>
      <c r="CA690" s="43"/>
    </row>
    <row r="691">
      <c r="A691" s="47"/>
      <c r="B691" s="47"/>
      <c r="C691" s="47"/>
      <c r="D691" s="47"/>
      <c r="E691" s="47"/>
      <c r="F691" s="47"/>
      <c r="G691" s="47"/>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c r="BO691" s="43"/>
      <c r="BP691" s="43"/>
      <c r="BQ691" s="43"/>
      <c r="BR691" s="43"/>
      <c r="BS691" s="43"/>
      <c r="BT691" s="43"/>
      <c r="BU691" s="43"/>
      <c r="BV691" s="43"/>
      <c r="BW691" s="43"/>
      <c r="BX691" s="43"/>
      <c r="BY691" s="43"/>
      <c r="BZ691" s="43"/>
      <c r="CA691" s="43"/>
    </row>
    <row r="692">
      <c r="A692" s="47"/>
      <c r="B692" s="47"/>
      <c r="C692" s="47"/>
      <c r="D692" s="47"/>
      <c r="E692" s="47"/>
      <c r="F692" s="47"/>
      <c r="G692" s="47"/>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3"/>
      <c r="BY692" s="43"/>
      <c r="BZ692" s="43"/>
      <c r="CA692" s="43"/>
    </row>
    <row r="693">
      <c r="A693" s="47"/>
      <c r="B693" s="47"/>
      <c r="C693" s="47"/>
      <c r="D693" s="47"/>
      <c r="E693" s="47"/>
      <c r="F693" s="47"/>
      <c r="G693" s="47"/>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c r="BO693" s="43"/>
      <c r="BP693" s="43"/>
      <c r="BQ693" s="43"/>
      <c r="BR693" s="43"/>
      <c r="BS693" s="43"/>
      <c r="BT693" s="43"/>
      <c r="BU693" s="43"/>
      <c r="BV693" s="43"/>
      <c r="BW693" s="43"/>
      <c r="BX693" s="43"/>
      <c r="BY693" s="43"/>
      <c r="BZ693" s="43"/>
      <c r="CA693" s="43"/>
    </row>
    <row r="694">
      <c r="A694" s="47"/>
      <c r="B694" s="47"/>
      <c r="C694" s="47"/>
      <c r="D694" s="47"/>
      <c r="E694" s="47"/>
      <c r="F694" s="47"/>
      <c r="G694" s="47"/>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c r="BO694" s="43"/>
      <c r="BP694" s="43"/>
      <c r="BQ694" s="43"/>
      <c r="BR694" s="43"/>
      <c r="BS694" s="43"/>
      <c r="BT694" s="43"/>
      <c r="BU694" s="43"/>
      <c r="BV694" s="43"/>
      <c r="BW694" s="43"/>
      <c r="BX694" s="43"/>
      <c r="BY694" s="43"/>
      <c r="BZ694" s="43"/>
      <c r="CA694" s="43"/>
    </row>
    <row r="695">
      <c r="A695" s="47"/>
      <c r="B695" s="47"/>
      <c r="C695" s="47"/>
      <c r="D695" s="47"/>
      <c r="E695" s="47"/>
      <c r="F695" s="47"/>
      <c r="G695" s="47"/>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c r="BO695" s="43"/>
      <c r="BP695" s="43"/>
      <c r="BQ695" s="43"/>
      <c r="BR695" s="43"/>
      <c r="BS695" s="43"/>
      <c r="BT695" s="43"/>
      <c r="BU695" s="43"/>
      <c r="BV695" s="43"/>
      <c r="BW695" s="43"/>
      <c r="BX695" s="43"/>
      <c r="BY695" s="43"/>
      <c r="BZ695" s="43"/>
      <c r="CA695" s="43"/>
    </row>
    <row r="696">
      <c r="A696" s="47"/>
      <c r="B696" s="47"/>
      <c r="C696" s="47"/>
      <c r="D696" s="47"/>
      <c r="E696" s="47"/>
      <c r="F696" s="47"/>
      <c r="G696" s="47"/>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c r="BO696" s="43"/>
      <c r="BP696" s="43"/>
      <c r="BQ696" s="43"/>
      <c r="BR696" s="43"/>
      <c r="BS696" s="43"/>
      <c r="BT696" s="43"/>
      <c r="BU696" s="43"/>
      <c r="BV696" s="43"/>
      <c r="BW696" s="43"/>
      <c r="BX696" s="43"/>
      <c r="BY696" s="43"/>
      <c r="BZ696" s="43"/>
      <c r="CA696" s="43"/>
    </row>
    <row r="697">
      <c r="A697" s="47"/>
      <c r="B697" s="47"/>
      <c r="C697" s="47"/>
      <c r="D697" s="47"/>
      <c r="E697" s="47"/>
      <c r="F697" s="47"/>
      <c r="G697" s="47"/>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c r="BO697" s="43"/>
      <c r="BP697" s="43"/>
      <c r="BQ697" s="43"/>
      <c r="BR697" s="43"/>
      <c r="BS697" s="43"/>
      <c r="BT697" s="43"/>
      <c r="BU697" s="43"/>
      <c r="BV697" s="43"/>
      <c r="BW697" s="43"/>
      <c r="BX697" s="43"/>
      <c r="BY697" s="43"/>
      <c r="BZ697" s="43"/>
      <c r="CA697" s="43"/>
    </row>
    <row r="698">
      <c r="A698" s="47"/>
      <c r="B698" s="47"/>
      <c r="C698" s="47"/>
      <c r="D698" s="47"/>
      <c r="E698" s="47"/>
      <c r="F698" s="47"/>
      <c r="G698" s="47"/>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c r="BO698" s="43"/>
      <c r="BP698" s="43"/>
      <c r="BQ698" s="43"/>
      <c r="BR698" s="43"/>
      <c r="BS698" s="43"/>
      <c r="BT698" s="43"/>
      <c r="BU698" s="43"/>
      <c r="BV698" s="43"/>
      <c r="BW698" s="43"/>
      <c r="BX698" s="43"/>
      <c r="BY698" s="43"/>
      <c r="BZ698" s="43"/>
      <c r="CA698" s="43"/>
    </row>
    <row r="699">
      <c r="A699" s="47"/>
      <c r="B699" s="47"/>
      <c r="C699" s="47"/>
      <c r="D699" s="47"/>
      <c r="E699" s="47"/>
      <c r="F699" s="47"/>
      <c r="G699" s="47"/>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c r="BO699" s="43"/>
      <c r="BP699" s="43"/>
      <c r="BQ699" s="43"/>
      <c r="BR699" s="43"/>
      <c r="BS699" s="43"/>
      <c r="BT699" s="43"/>
      <c r="BU699" s="43"/>
      <c r="BV699" s="43"/>
      <c r="BW699" s="43"/>
      <c r="BX699" s="43"/>
      <c r="BY699" s="43"/>
      <c r="BZ699" s="43"/>
      <c r="CA699" s="43"/>
    </row>
    <row r="700">
      <c r="A700" s="47"/>
      <c r="B700" s="47"/>
      <c r="C700" s="47"/>
      <c r="D700" s="47"/>
      <c r="E700" s="47"/>
      <c r="F700" s="47"/>
      <c r="G700" s="47"/>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c r="BO700" s="43"/>
      <c r="BP700" s="43"/>
      <c r="BQ700" s="43"/>
      <c r="BR700" s="43"/>
      <c r="BS700" s="43"/>
      <c r="BT700" s="43"/>
      <c r="BU700" s="43"/>
      <c r="BV700" s="43"/>
      <c r="BW700" s="43"/>
      <c r="BX700" s="43"/>
      <c r="BY700" s="43"/>
      <c r="BZ700" s="43"/>
      <c r="CA700" s="43"/>
    </row>
    <row r="701">
      <c r="A701" s="47"/>
      <c r="B701" s="47"/>
      <c r="C701" s="47"/>
      <c r="D701" s="47"/>
      <c r="E701" s="47"/>
      <c r="F701" s="47"/>
      <c r="G701" s="47"/>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c r="BO701" s="43"/>
      <c r="BP701" s="43"/>
      <c r="BQ701" s="43"/>
      <c r="BR701" s="43"/>
      <c r="BS701" s="43"/>
      <c r="BT701" s="43"/>
      <c r="BU701" s="43"/>
      <c r="BV701" s="43"/>
      <c r="BW701" s="43"/>
      <c r="BX701" s="43"/>
      <c r="BY701" s="43"/>
      <c r="BZ701" s="43"/>
      <c r="CA701" s="43"/>
    </row>
    <row r="702">
      <c r="A702" s="47"/>
      <c r="B702" s="47"/>
      <c r="C702" s="47"/>
      <c r="D702" s="47"/>
      <c r="E702" s="47"/>
      <c r="F702" s="47"/>
      <c r="G702" s="47"/>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c r="BO702" s="43"/>
      <c r="BP702" s="43"/>
      <c r="BQ702" s="43"/>
      <c r="BR702" s="43"/>
      <c r="BS702" s="43"/>
      <c r="BT702" s="43"/>
      <c r="BU702" s="43"/>
      <c r="BV702" s="43"/>
      <c r="BW702" s="43"/>
      <c r="BX702" s="43"/>
      <c r="BY702" s="43"/>
      <c r="BZ702" s="43"/>
      <c r="CA702" s="43"/>
    </row>
    <row r="703">
      <c r="A703" s="47"/>
      <c r="B703" s="47"/>
      <c r="C703" s="47"/>
      <c r="D703" s="47"/>
      <c r="E703" s="47"/>
      <c r="F703" s="47"/>
      <c r="G703" s="47"/>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c r="BO703" s="43"/>
      <c r="BP703" s="43"/>
      <c r="BQ703" s="43"/>
      <c r="BR703" s="43"/>
      <c r="BS703" s="43"/>
      <c r="BT703" s="43"/>
      <c r="BU703" s="43"/>
      <c r="BV703" s="43"/>
      <c r="BW703" s="43"/>
      <c r="BX703" s="43"/>
      <c r="BY703" s="43"/>
      <c r="BZ703" s="43"/>
      <c r="CA703" s="43"/>
    </row>
    <row r="704">
      <c r="A704" s="47"/>
      <c r="B704" s="47"/>
      <c r="C704" s="47"/>
      <c r="D704" s="47"/>
      <c r="E704" s="47"/>
      <c r="F704" s="47"/>
      <c r="G704" s="47"/>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c r="BO704" s="43"/>
      <c r="BP704" s="43"/>
      <c r="BQ704" s="43"/>
      <c r="BR704" s="43"/>
      <c r="BS704" s="43"/>
      <c r="BT704" s="43"/>
      <c r="BU704" s="43"/>
      <c r="BV704" s="43"/>
      <c r="BW704" s="43"/>
      <c r="BX704" s="43"/>
      <c r="BY704" s="43"/>
      <c r="BZ704" s="43"/>
      <c r="CA704" s="43"/>
    </row>
    <row r="705">
      <c r="A705" s="47"/>
      <c r="B705" s="47"/>
      <c r="C705" s="47"/>
      <c r="D705" s="47"/>
      <c r="E705" s="47"/>
      <c r="F705" s="47"/>
      <c r="G705" s="47"/>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c r="BO705" s="43"/>
      <c r="BP705" s="43"/>
      <c r="BQ705" s="43"/>
      <c r="BR705" s="43"/>
      <c r="BS705" s="43"/>
      <c r="BT705" s="43"/>
      <c r="BU705" s="43"/>
      <c r="BV705" s="43"/>
      <c r="BW705" s="43"/>
      <c r="BX705" s="43"/>
      <c r="BY705" s="43"/>
      <c r="BZ705" s="43"/>
      <c r="CA705" s="43"/>
    </row>
    <row r="706">
      <c r="A706" s="47"/>
      <c r="B706" s="47"/>
      <c r="C706" s="47"/>
      <c r="D706" s="47"/>
      <c r="E706" s="47"/>
      <c r="F706" s="47"/>
      <c r="G706" s="47"/>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c r="BO706" s="43"/>
      <c r="BP706" s="43"/>
      <c r="BQ706" s="43"/>
      <c r="BR706" s="43"/>
      <c r="BS706" s="43"/>
      <c r="BT706" s="43"/>
      <c r="BU706" s="43"/>
      <c r="BV706" s="43"/>
      <c r="BW706" s="43"/>
      <c r="BX706" s="43"/>
      <c r="BY706" s="43"/>
      <c r="BZ706" s="43"/>
      <c r="CA706" s="43"/>
    </row>
    <row r="707">
      <c r="A707" s="47"/>
      <c r="B707" s="47"/>
      <c r="C707" s="47"/>
      <c r="D707" s="47"/>
      <c r="E707" s="47"/>
      <c r="F707" s="47"/>
      <c r="G707" s="47"/>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c r="BO707" s="43"/>
      <c r="BP707" s="43"/>
      <c r="BQ707" s="43"/>
      <c r="BR707" s="43"/>
      <c r="BS707" s="43"/>
      <c r="BT707" s="43"/>
      <c r="BU707" s="43"/>
      <c r="BV707" s="43"/>
      <c r="BW707" s="43"/>
      <c r="BX707" s="43"/>
      <c r="BY707" s="43"/>
      <c r="BZ707" s="43"/>
      <c r="CA707" s="43"/>
    </row>
    <row r="708">
      <c r="A708" s="47"/>
      <c r="B708" s="47"/>
      <c r="C708" s="47"/>
      <c r="D708" s="47"/>
      <c r="E708" s="47"/>
      <c r="F708" s="47"/>
      <c r="G708" s="47"/>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c r="BO708" s="43"/>
      <c r="BP708" s="43"/>
      <c r="BQ708" s="43"/>
      <c r="BR708" s="43"/>
      <c r="BS708" s="43"/>
      <c r="BT708" s="43"/>
      <c r="BU708" s="43"/>
      <c r="BV708" s="43"/>
      <c r="BW708" s="43"/>
      <c r="BX708" s="43"/>
      <c r="BY708" s="43"/>
      <c r="BZ708" s="43"/>
      <c r="CA708" s="43"/>
    </row>
    <row r="709">
      <c r="A709" s="47"/>
      <c r="B709" s="47"/>
      <c r="C709" s="47"/>
      <c r="D709" s="47"/>
      <c r="E709" s="47"/>
      <c r="F709" s="47"/>
      <c r="G709" s="47"/>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c r="BO709" s="43"/>
      <c r="BP709" s="43"/>
      <c r="BQ709" s="43"/>
      <c r="BR709" s="43"/>
      <c r="BS709" s="43"/>
      <c r="BT709" s="43"/>
      <c r="BU709" s="43"/>
      <c r="BV709" s="43"/>
      <c r="BW709" s="43"/>
      <c r="BX709" s="43"/>
      <c r="BY709" s="43"/>
      <c r="BZ709" s="43"/>
      <c r="CA709" s="43"/>
    </row>
    <row r="710">
      <c r="A710" s="47"/>
      <c r="B710" s="47"/>
      <c r="C710" s="47"/>
      <c r="D710" s="47"/>
      <c r="E710" s="47"/>
      <c r="F710" s="47"/>
      <c r="G710" s="47"/>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c r="BO710" s="43"/>
      <c r="BP710" s="43"/>
      <c r="BQ710" s="43"/>
      <c r="BR710" s="43"/>
      <c r="BS710" s="43"/>
      <c r="BT710" s="43"/>
      <c r="BU710" s="43"/>
      <c r="BV710" s="43"/>
      <c r="BW710" s="43"/>
      <c r="BX710" s="43"/>
      <c r="BY710" s="43"/>
      <c r="BZ710" s="43"/>
      <c r="CA710" s="43"/>
    </row>
    <row r="711">
      <c r="A711" s="47"/>
      <c r="B711" s="47"/>
      <c r="C711" s="47"/>
      <c r="D711" s="47"/>
      <c r="E711" s="47"/>
      <c r="F711" s="47"/>
      <c r="G711" s="47"/>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c r="BO711" s="43"/>
      <c r="BP711" s="43"/>
      <c r="BQ711" s="43"/>
      <c r="BR711" s="43"/>
      <c r="BS711" s="43"/>
      <c r="BT711" s="43"/>
      <c r="BU711" s="43"/>
      <c r="BV711" s="43"/>
      <c r="BW711" s="43"/>
      <c r="BX711" s="43"/>
      <c r="BY711" s="43"/>
      <c r="BZ711" s="43"/>
      <c r="CA711" s="43"/>
    </row>
    <row r="712">
      <c r="A712" s="47"/>
      <c r="B712" s="47"/>
      <c r="C712" s="47"/>
      <c r="D712" s="47"/>
      <c r="E712" s="47"/>
      <c r="F712" s="47"/>
      <c r="G712" s="47"/>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c r="BO712" s="43"/>
      <c r="BP712" s="43"/>
      <c r="BQ712" s="43"/>
      <c r="BR712" s="43"/>
      <c r="BS712" s="43"/>
      <c r="BT712" s="43"/>
      <c r="BU712" s="43"/>
      <c r="BV712" s="43"/>
      <c r="BW712" s="43"/>
      <c r="BX712" s="43"/>
      <c r="BY712" s="43"/>
      <c r="BZ712" s="43"/>
      <c r="CA712" s="43"/>
    </row>
    <row r="713">
      <c r="A713" s="47"/>
      <c r="B713" s="47"/>
      <c r="C713" s="47"/>
      <c r="D713" s="47"/>
      <c r="E713" s="47"/>
      <c r="F713" s="47"/>
      <c r="G713" s="47"/>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3"/>
      <c r="BY713" s="43"/>
      <c r="BZ713" s="43"/>
      <c r="CA713" s="43"/>
    </row>
    <row r="714">
      <c r="A714" s="47"/>
      <c r="B714" s="47"/>
      <c r="C714" s="47"/>
      <c r="D714" s="47"/>
      <c r="E714" s="47"/>
      <c r="F714" s="47"/>
      <c r="G714" s="47"/>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c r="BO714" s="43"/>
      <c r="BP714" s="43"/>
      <c r="BQ714" s="43"/>
      <c r="BR714" s="43"/>
      <c r="BS714" s="43"/>
      <c r="BT714" s="43"/>
      <c r="BU714" s="43"/>
      <c r="BV714" s="43"/>
      <c r="BW714" s="43"/>
      <c r="BX714" s="43"/>
      <c r="BY714" s="43"/>
      <c r="BZ714" s="43"/>
      <c r="CA714" s="43"/>
    </row>
    <row r="715">
      <c r="A715" s="47"/>
      <c r="B715" s="47"/>
      <c r="C715" s="47"/>
      <c r="D715" s="47"/>
      <c r="E715" s="47"/>
      <c r="F715" s="47"/>
      <c r="G715" s="47"/>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c r="BO715" s="43"/>
      <c r="BP715" s="43"/>
      <c r="BQ715" s="43"/>
      <c r="BR715" s="43"/>
      <c r="BS715" s="43"/>
      <c r="BT715" s="43"/>
      <c r="BU715" s="43"/>
      <c r="BV715" s="43"/>
      <c r="BW715" s="43"/>
      <c r="BX715" s="43"/>
      <c r="BY715" s="43"/>
      <c r="BZ715" s="43"/>
      <c r="CA715" s="43"/>
    </row>
    <row r="716">
      <c r="A716" s="47"/>
      <c r="B716" s="47"/>
      <c r="C716" s="47"/>
      <c r="D716" s="47"/>
      <c r="E716" s="47"/>
      <c r="F716" s="47"/>
      <c r="G716" s="47"/>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c r="BO716" s="43"/>
      <c r="BP716" s="43"/>
      <c r="BQ716" s="43"/>
      <c r="BR716" s="43"/>
      <c r="BS716" s="43"/>
      <c r="BT716" s="43"/>
      <c r="BU716" s="43"/>
      <c r="BV716" s="43"/>
      <c r="BW716" s="43"/>
      <c r="BX716" s="43"/>
      <c r="BY716" s="43"/>
      <c r="BZ716" s="43"/>
      <c r="CA716" s="43"/>
    </row>
    <row r="717">
      <c r="A717" s="47"/>
      <c r="B717" s="47"/>
      <c r="C717" s="47"/>
      <c r="D717" s="47"/>
      <c r="E717" s="47"/>
      <c r="F717" s="47"/>
      <c r="G717" s="47"/>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c r="BO717" s="43"/>
      <c r="BP717" s="43"/>
      <c r="BQ717" s="43"/>
      <c r="BR717" s="43"/>
      <c r="BS717" s="43"/>
      <c r="BT717" s="43"/>
      <c r="BU717" s="43"/>
      <c r="BV717" s="43"/>
      <c r="BW717" s="43"/>
      <c r="BX717" s="43"/>
      <c r="BY717" s="43"/>
      <c r="BZ717" s="43"/>
      <c r="CA717" s="43"/>
    </row>
    <row r="718">
      <c r="A718" s="47"/>
      <c r="B718" s="47"/>
      <c r="C718" s="47"/>
      <c r="D718" s="47"/>
      <c r="E718" s="47"/>
      <c r="F718" s="47"/>
      <c r="G718" s="47"/>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c r="BO718" s="43"/>
      <c r="BP718" s="43"/>
      <c r="BQ718" s="43"/>
      <c r="BR718" s="43"/>
      <c r="BS718" s="43"/>
      <c r="BT718" s="43"/>
      <c r="BU718" s="43"/>
      <c r="BV718" s="43"/>
      <c r="BW718" s="43"/>
      <c r="BX718" s="43"/>
      <c r="BY718" s="43"/>
      <c r="BZ718" s="43"/>
      <c r="CA718" s="43"/>
    </row>
    <row r="719">
      <c r="A719" s="47"/>
      <c r="B719" s="47"/>
      <c r="C719" s="47"/>
      <c r="D719" s="47"/>
      <c r="E719" s="47"/>
      <c r="F719" s="47"/>
      <c r="G719" s="47"/>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c r="BO719" s="43"/>
      <c r="BP719" s="43"/>
      <c r="BQ719" s="43"/>
      <c r="BR719" s="43"/>
      <c r="BS719" s="43"/>
      <c r="BT719" s="43"/>
      <c r="BU719" s="43"/>
      <c r="BV719" s="43"/>
      <c r="BW719" s="43"/>
      <c r="BX719" s="43"/>
      <c r="BY719" s="43"/>
      <c r="BZ719" s="43"/>
      <c r="CA719" s="43"/>
    </row>
    <row r="720">
      <c r="A720" s="47"/>
      <c r="B720" s="47"/>
      <c r="C720" s="47"/>
      <c r="D720" s="47"/>
      <c r="E720" s="47"/>
      <c r="F720" s="47"/>
      <c r="G720" s="47"/>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c r="BO720" s="43"/>
      <c r="BP720" s="43"/>
      <c r="BQ720" s="43"/>
      <c r="BR720" s="43"/>
      <c r="BS720" s="43"/>
      <c r="BT720" s="43"/>
      <c r="BU720" s="43"/>
      <c r="BV720" s="43"/>
      <c r="BW720" s="43"/>
      <c r="BX720" s="43"/>
      <c r="BY720" s="43"/>
      <c r="BZ720" s="43"/>
      <c r="CA720" s="43"/>
    </row>
    <row r="721">
      <c r="A721" s="47"/>
      <c r="B721" s="47"/>
      <c r="C721" s="47"/>
      <c r="D721" s="47"/>
      <c r="E721" s="47"/>
      <c r="F721" s="47"/>
      <c r="G721" s="47"/>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c r="BO721" s="43"/>
      <c r="BP721" s="43"/>
      <c r="BQ721" s="43"/>
      <c r="BR721" s="43"/>
      <c r="BS721" s="43"/>
      <c r="BT721" s="43"/>
      <c r="BU721" s="43"/>
      <c r="BV721" s="43"/>
      <c r="BW721" s="43"/>
      <c r="BX721" s="43"/>
      <c r="BY721" s="43"/>
      <c r="BZ721" s="43"/>
      <c r="CA721" s="43"/>
    </row>
    <row r="722">
      <c r="A722" s="47"/>
      <c r="B722" s="47"/>
      <c r="C722" s="47"/>
      <c r="D722" s="47"/>
      <c r="E722" s="47"/>
      <c r="F722" s="47"/>
      <c r="G722" s="47"/>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c r="BO722" s="43"/>
      <c r="BP722" s="43"/>
      <c r="BQ722" s="43"/>
      <c r="BR722" s="43"/>
      <c r="BS722" s="43"/>
      <c r="BT722" s="43"/>
      <c r="BU722" s="43"/>
      <c r="BV722" s="43"/>
      <c r="BW722" s="43"/>
      <c r="BX722" s="43"/>
      <c r="BY722" s="43"/>
      <c r="BZ722" s="43"/>
      <c r="CA722" s="43"/>
    </row>
    <row r="723">
      <c r="A723" s="47"/>
      <c r="B723" s="47"/>
      <c r="C723" s="47"/>
      <c r="D723" s="47"/>
      <c r="E723" s="47"/>
      <c r="F723" s="47"/>
      <c r="G723" s="47"/>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c r="BO723" s="43"/>
      <c r="BP723" s="43"/>
      <c r="BQ723" s="43"/>
      <c r="BR723" s="43"/>
      <c r="BS723" s="43"/>
      <c r="BT723" s="43"/>
      <c r="BU723" s="43"/>
      <c r="BV723" s="43"/>
      <c r="BW723" s="43"/>
      <c r="BX723" s="43"/>
      <c r="BY723" s="43"/>
      <c r="BZ723" s="43"/>
      <c r="CA723" s="43"/>
    </row>
    <row r="724">
      <c r="A724" s="47"/>
      <c r="B724" s="47"/>
      <c r="C724" s="47"/>
      <c r="D724" s="47"/>
      <c r="E724" s="47"/>
      <c r="F724" s="47"/>
      <c r="G724" s="47"/>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c r="BO724" s="43"/>
      <c r="BP724" s="43"/>
      <c r="BQ724" s="43"/>
      <c r="BR724" s="43"/>
      <c r="BS724" s="43"/>
      <c r="BT724" s="43"/>
      <c r="BU724" s="43"/>
      <c r="BV724" s="43"/>
      <c r="BW724" s="43"/>
      <c r="BX724" s="43"/>
      <c r="BY724" s="43"/>
      <c r="BZ724" s="43"/>
      <c r="CA724" s="43"/>
    </row>
    <row r="725">
      <c r="A725" s="47"/>
      <c r="B725" s="47"/>
      <c r="C725" s="47"/>
      <c r="D725" s="47"/>
      <c r="E725" s="47"/>
      <c r="F725" s="47"/>
      <c r="G725" s="47"/>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c r="BO725" s="43"/>
      <c r="BP725" s="43"/>
      <c r="BQ725" s="43"/>
      <c r="BR725" s="43"/>
      <c r="BS725" s="43"/>
      <c r="BT725" s="43"/>
      <c r="BU725" s="43"/>
      <c r="BV725" s="43"/>
      <c r="BW725" s="43"/>
      <c r="BX725" s="43"/>
      <c r="BY725" s="43"/>
      <c r="BZ725" s="43"/>
      <c r="CA725" s="43"/>
    </row>
    <row r="726">
      <c r="A726" s="47"/>
      <c r="B726" s="47"/>
      <c r="C726" s="47"/>
      <c r="D726" s="47"/>
      <c r="E726" s="47"/>
      <c r="F726" s="47"/>
      <c r="G726" s="47"/>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c r="BO726" s="43"/>
      <c r="BP726" s="43"/>
      <c r="BQ726" s="43"/>
      <c r="BR726" s="43"/>
      <c r="BS726" s="43"/>
      <c r="BT726" s="43"/>
      <c r="BU726" s="43"/>
      <c r="BV726" s="43"/>
      <c r="BW726" s="43"/>
      <c r="BX726" s="43"/>
      <c r="BY726" s="43"/>
      <c r="BZ726" s="43"/>
      <c r="CA726" s="43"/>
    </row>
    <row r="727">
      <c r="A727" s="47"/>
      <c r="B727" s="47"/>
      <c r="C727" s="47"/>
      <c r="D727" s="47"/>
      <c r="E727" s="47"/>
      <c r="F727" s="47"/>
      <c r="G727" s="47"/>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c r="BO727" s="43"/>
      <c r="BP727" s="43"/>
      <c r="BQ727" s="43"/>
      <c r="BR727" s="43"/>
      <c r="BS727" s="43"/>
      <c r="BT727" s="43"/>
      <c r="BU727" s="43"/>
      <c r="BV727" s="43"/>
      <c r="BW727" s="43"/>
      <c r="BX727" s="43"/>
      <c r="BY727" s="43"/>
      <c r="BZ727" s="43"/>
      <c r="CA727" s="43"/>
    </row>
    <row r="728">
      <c r="A728" s="47"/>
      <c r="B728" s="47"/>
      <c r="C728" s="47"/>
      <c r="D728" s="47"/>
      <c r="E728" s="47"/>
      <c r="F728" s="47"/>
      <c r="G728" s="47"/>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c r="BO728" s="43"/>
      <c r="BP728" s="43"/>
      <c r="BQ728" s="43"/>
      <c r="BR728" s="43"/>
      <c r="BS728" s="43"/>
      <c r="BT728" s="43"/>
      <c r="BU728" s="43"/>
      <c r="BV728" s="43"/>
      <c r="BW728" s="43"/>
      <c r="BX728" s="43"/>
      <c r="BY728" s="43"/>
      <c r="BZ728" s="43"/>
      <c r="CA728" s="43"/>
    </row>
    <row r="729">
      <c r="A729" s="47"/>
      <c r="B729" s="47"/>
      <c r="C729" s="47"/>
      <c r="D729" s="47"/>
      <c r="E729" s="47"/>
      <c r="F729" s="47"/>
      <c r="G729" s="47"/>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c r="BO729" s="43"/>
      <c r="BP729" s="43"/>
      <c r="BQ729" s="43"/>
      <c r="BR729" s="43"/>
      <c r="BS729" s="43"/>
      <c r="BT729" s="43"/>
      <c r="BU729" s="43"/>
      <c r="BV729" s="43"/>
      <c r="BW729" s="43"/>
      <c r="BX729" s="43"/>
      <c r="BY729" s="43"/>
      <c r="BZ729" s="43"/>
      <c r="CA729" s="43"/>
    </row>
    <row r="730">
      <c r="A730" s="47"/>
      <c r="B730" s="47"/>
      <c r="C730" s="47"/>
      <c r="D730" s="47"/>
      <c r="E730" s="47"/>
      <c r="F730" s="47"/>
      <c r="G730" s="47"/>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c r="BO730" s="43"/>
      <c r="BP730" s="43"/>
      <c r="BQ730" s="43"/>
      <c r="BR730" s="43"/>
      <c r="BS730" s="43"/>
      <c r="BT730" s="43"/>
      <c r="BU730" s="43"/>
      <c r="BV730" s="43"/>
      <c r="BW730" s="43"/>
      <c r="BX730" s="43"/>
      <c r="BY730" s="43"/>
      <c r="BZ730" s="43"/>
      <c r="CA730" s="43"/>
    </row>
    <row r="731">
      <c r="A731" s="47"/>
      <c r="B731" s="47"/>
      <c r="C731" s="47"/>
      <c r="D731" s="47"/>
      <c r="E731" s="47"/>
      <c r="F731" s="47"/>
      <c r="G731" s="47"/>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c r="BO731" s="43"/>
      <c r="BP731" s="43"/>
      <c r="BQ731" s="43"/>
      <c r="BR731" s="43"/>
      <c r="BS731" s="43"/>
      <c r="BT731" s="43"/>
      <c r="BU731" s="43"/>
      <c r="BV731" s="43"/>
      <c r="BW731" s="43"/>
      <c r="BX731" s="43"/>
      <c r="BY731" s="43"/>
      <c r="BZ731" s="43"/>
      <c r="CA731" s="43"/>
    </row>
    <row r="732">
      <c r="A732" s="47"/>
      <c r="B732" s="47"/>
      <c r="C732" s="47"/>
      <c r="D732" s="47"/>
      <c r="E732" s="47"/>
      <c r="F732" s="47"/>
      <c r="G732" s="47"/>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c r="BO732" s="43"/>
      <c r="BP732" s="43"/>
      <c r="BQ732" s="43"/>
      <c r="BR732" s="43"/>
      <c r="BS732" s="43"/>
      <c r="BT732" s="43"/>
      <c r="BU732" s="43"/>
      <c r="BV732" s="43"/>
      <c r="BW732" s="43"/>
      <c r="BX732" s="43"/>
      <c r="BY732" s="43"/>
      <c r="BZ732" s="43"/>
      <c r="CA732" s="43"/>
    </row>
    <row r="733">
      <c r="A733" s="47"/>
      <c r="B733" s="47"/>
      <c r="C733" s="47"/>
      <c r="D733" s="47"/>
      <c r="E733" s="47"/>
      <c r="F733" s="47"/>
      <c r="G733" s="47"/>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c r="BO733" s="43"/>
      <c r="BP733" s="43"/>
      <c r="BQ733" s="43"/>
      <c r="BR733" s="43"/>
      <c r="BS733" s="43"/>
      <c r="BT733" s="43"/>
      <c r="BU733" s="43"/>
      <c r="BV733" s="43"/>
      <c r="BW733" s="43"/>
      <c r="BX733" s="43"/>
      <c r="BY733" s="43"/>
      <c r="BZ733" s="43"/>
      <c r="CA733" s="43"/>
    </row>
    <row r="734">
      <c r="A734" s="47"/>
      <c r="B734" s="47"/>
      <c r="C734" s="47"/>
      <c r="D734" s="47"/>
      <c r="E734" s="47"/>
      <c r="F734" s="47"/>
      <c r="G734" s="47"/>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c r="BO734" s="43"/>
      <c r="BP734" s="43"/>
      <c r="BQ734" s="43"/>
      <c r="BR734" s="43"/>
      <c r="BS734" s="43"/>
      <c r="BT734" s="43"/>
      <c r="BU734" s="43"/>
      <c r="BV734" s="43"/>
      <c r="BW734" s="43"/>
      <c r="BX734" s="43"/>
      <c r="BY734" s="43"/>
      <c r="BZ734" s="43"/>
      <c r="CA734" s="43"/>
    </row>
    <row r="735">
      <c r="A735" s="47"/>
      <c r="B735" s="47"/>
      <c r="C735" s="47"/>
      <c r="D735" s="47"/>
      <c r="E735" s="47"/>
      <c r="F735" s="47"/>
      <c r="G735" s="47"/>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3"/>
      <c r="BY735" s="43"/>
      <c r="BZ735" s="43"/>
      <c r="CA735" s="43"/>
    </row>
    <row r="736">
      <c r="A736" s="47"/>
      <c r="B736" s="47"/>
      <c r="C736" s="47"/>
      <c r="D736" s="47"/>
      <c r="E736" s="47"/>
      <c r="F736" s="47"/>
      <c r="G736" s="47"/>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c r="BO736" s="43"/>
      <c r="BP736" s="43"/>
      <c r="BQ736" s="43"/>
      <c r="BR736" s="43"/>
      <c r="BS736" s="43"/>
      <c r="BT736" s="43"/>
      <c r="BU736" s="43"/>
      <c r="BV736" s="43"/>
      <c r="BW736" s="43"/>
      <c r="BX736" s="43"/>
      <c r="BY736" s="43"/>
      <c r="BZ736" s="43"/>
      <c r="CA736" s="43"/>
    </row>
    <row r="737">
      <c r="A737" s="47"/>
      <c r="B737" s="47"/>
      <c r="C737" s="47"/>
      <c r="D737" s="47"/>
      <c r="E737" s="47"/>
      <c r="F737" s="47"/>
      <c r="G737" s="47"/>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c r="BO737" s="43"/>
      <c r="BP737" s="43"/>
      <c r="BQ737" s="43"/>
      <c r="BR737" s="43"/>
      <c r="BS737" s="43"/>
      <c r="BT737" s="43"/>
      <c r="BU737" s="43"/>
      <c r="BV737" s="43"/>
      <c r="BW737" s="43"/>
      <c r="BX737" s="43"/>
      <c r="BY737" s="43"/>
      <c r="BZ737" s="43"/>
      <c r="CA737" s="43"/>
    </row>
    <row r="738">
      <c r="A738" s="47"/>
      <c r="B738" s="47"/>
      <c r="C738" s="47"/>
      <c r="D738" s="47"/>
      <c r="E738" s="47"/>
      <c r="F738" s="47"/>
      <c r="G738" s="47"/>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c r="BO738" s="43"/>
      <c r="BP738" s="43"/>
      <c r="BQ738" s="43"/>
      <c r="BR738" s="43"/>
      <c r="BS738" s="43"/>
      <c r="BT738" s="43"/>
      <c r="BU738" s="43"/>
      <c r="BV738" s="43"/>
      <c r="BW738" s="43"/>
      <c r="BX738" s="43"/>
      <c r="BY738" s="43"/>
      <c r="BZ738" s="43"/>
      <c r="CA738" s="43"/>
    </row>
    <row r="739">
      <c r="A739" s="47"/>
      <c r="B739" s="47"/>
      <c r="C739" s="47"/>
      <c r="D739" s="47"/>
      <c r="E739" s="47"/>
      <c r="F739" s="47"/>
      <c r="G739" s="47"/>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c r="BO739" s="43"/>
      <c r="BP739" s="43"/>
      <c r="BQ739" s="43"/>
      <c r="BR739" s="43"/>
      <c r="BS739" s="43"/>
      <c r="BT739" s="43"/>
      <c r="BU739" s="43"/>
      <c r="BV739" s="43"/>
      <c r="BW739" s="43"/>
      <c r="BX739" s="43"/>
      <c r="BY739" s="43"/>
      <c r="BZ739" s="43"/>
      <c r="CA739" s="43"/>
    </row>
    <row r="740">
      <c r="A740" s="47"/>
      <c r="B740" s="47"/>
      <c r="C740" s="47"/>
      <c r="D740" s="47"/>
      <c r="E740" s="47"/>
      <c r="F740" s="47"/>
      <c r="G740" s="47"/>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3"/>
      <c r="BY740" s="43"/>
      <c r="BZ740" s="43"/>
      <c r="CA740" s="43"/>
    </row>
    <row r="741">
      <c r="A741" s="47"/>
      <c r="B741" s="47"/>
      <c r="C741" s="47"/>
      <c r="D741" s="47"/>
      <c r="E741" s="47"/>
      <c r="F741" s="47"/>
      <c r="G741" s="47"/>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c r="BO741" s="43"/>
      <c r="BP741" s="43"/>
      <c r="BQ741" s="43"/>
      <c r="BR741" s="43"/>
      <c r="BS741" s="43"/>
      <c r="BT741" s="43"/>
      <c r="BU741" s="43"/>
      <c r="BV741" s="43"/>
      <c r="BW741" s="43"/>
      <c r="BX741" s="43"/>
      <c r="BY741" s="43"/>
      <c r="BZ741" s="43"/>
      <c r="CA741" s="43"/>
    </row>
    <row r="742">
      <c r="A742" s="47"/>
      <c r="B742" s="47"/>
      <c r="C742" s="47"/>
      <c r="D742" s="47"/>
      <c r="E742" s="47"/>
      <c r="F742" s="47"/>
      <c r="G742" s="47"/>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c r="BO742" s="43"/>
      <c r="BP742" s="43"/>
      <c r="BQ742" s="43"/>
      <c r="BR742" s="43"/>
      <c r="BS742" s="43"/>
      <c r="BT742" s="43"/>
      <c r="BU742" s="43"/>
      <c r="BV742" s="43"/>
      <c r="BW742" s="43"/>
      <c r="BX742" s="43"/>
      <c r="BY742" s="43"/>
      <c r="BZ742" s="43"/>
      <c r="CA742" s="43"/>
    </row>
    <row r="743">
      <c r="A743" s="47"/>
      <c r="B743" s="47"/>
      <c r="C743" s="47"/>
      <c r="D743" s="47"/>
      <c r="E743" s="47"/>
      <c r="F743" s="47"/>
      <c r="G743" s="47"/>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c r="BO743" s="43"/>
      <c r="BP743" s="43"/>
      <c r="BQ743" s="43"/>
      <c r="BR743" s="43"/>
      <c r="BS743" s="43"/>
      <c r="BT743" s="43"/>
      <c r="BU743" s="43"/>
      <c r="BV743" s="43"/>
      <c r="BW743" s="43"/>
      <c r="BX743" s="43"/>
      <c r="BY743" s="43"/>
      <c r="BZ743" s="43"/>
      <c r="CA743" s="43"/>
    </row>
    <row r="744">
      <c r="A744" s="47"/>
      <c r="B744" s="47"/>
      <c r="C744" s="47"/>
      <c r="D744" s="47"/>
      <c r="E744" s="47"/>
      <c r="F744" s="47"/>
      <c r="G744" s="47"/>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c r="BO744" s="43"/>
      <c r="BP744" s="43"/>
      <c r="BQ744" s="43"/>
      <c r="BR744" s="43"/>
      <c r="BS744" s="43"/>
      <c r="BT744" s="43"/>
      <c r="BU744" s="43"/>
      <c r="BV744" s="43"/>
      <c r="BW744" s="43"/>
      <c r="BX744" s="43"/>
      <c r="BY744" s="43"/>
      <c r="BZ744" s="43"/>
      <c r="CA744" s="43"/>
    </row>
    <row r="745">
      <c r="A745" s="47"/>
      <c r="B745" s="47"/>
      <c r="C745" s="47"/>
      <c r="D745" s="47"/>
      <c r="E745" s="47"/>
      <c r="F745" s="47"/>
      <c r="G745" s="47"/>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3"/>
      <c r="BY745" s="43"/>
      <c r="BZ745" s="43"/>
      <c r="CA745" s="43"/>
    </row>
    <row r="746">
      <c r="A746" s="47"/>
      <c r="B746" s="47"/>
      <c r="C746" s="47"/>
      <c r="D746" s="47"/>
      <c r="E746" s="47"/>
      <c r="F746" s="47"/>
      <c r="G746" s="47"/>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c r="BO746" s="43"/>
      <c r="BP746" s="43"/>
      <c r="BQ746" s="43"/>
      <c r="BR746" s="43"/>
      <c r="BS746" s="43"/>
      <c r="BT746" s="43"/>
      <c r="BU746" s="43"/>
      <c r="BV746" s="43"/>
      <c r="BW746" s="43"/>
      <c r="BX746" s="43"/>
      <c r="BY746" s="43"/>
      <c r="BZ746" s="43"/>
      <c r="CA746" s="43"/>
    </row>
    <row r="747">
      <c r="A747" s="47"/>
      <c r="B747" s="47"/>
      <c r="C747" s="47"/>
      <c r="D747" s="47"/>
      <c r="E747" s="47"/>
      <c r="F747" s="47"/>
      <c r="G747" s="47"/>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c r="BO747" s="43"/>
      <c r="BP747" s="43"/>
      <c r="BQ747" s="43"/>
      <c r="BR747" s="43"/>
      <c r="BS747" s="43"/>
      <c r="BT747" s="43"/>
      <c r="BU747" s="43"/>
      <c r="BV747" s="43"/>
      <c r="BW747" s="43"/>
      <c r="BX747" s="43"/>
      <c r="BY747" s="43"/>
      <c r="BZ747" s="43"/>
      <c r="CA747" s="43"/>
    </row>
    <row r="748">
      <c r="A748" s="47"/>
      <c r="B748" s="47"/>
      <c r="C748" s="47"/>
      <c r="D748" s="47"/>
      <c r="E748" s="47"/>
      <c r="F748" s="47"/>
      <c r="G748" s="47"/>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c r="BO748" s="43"/>
      <c r="BP748" s="43"/>
      <c r="BQ748" s="43"/>
      <c r="BR748" s="43"/>
      <c r="BS748" s="43"/>
      <c r="BT748" s="43"/>
      <c r="BU748" s="43"/>
      <c r="BV748" s="43"/>
      <c r="BW748" s="43"/>
      <c r="BX748" s="43"/>
      <c r="BY748" s="43"/>
      <c r="BZ748" s="43"/>
      <c r="CA748" s="43"/>
    </row>
    <row r="749">
      <c r="A749" s="47"/>
      <c r="B749" s="47"/>
      <c r="C749" s="47"/>
      <c r="D749" s="47"/>
      <c r="E749" s="47"/>
      <c r="F749" s="47"/>
      <c r="G749" s="47"/>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c r="BO749" s="43"/>
      <c r="BP749" s="43"/>
      <c r="BQ749" s="43"/>
      <c r="BR749" s="43"/>
      <c r="BS749" s="43"/>
      <c r="BT749" s="43"/>
      <c r="BU749" s="43"/>
      <c r="BV749" s="43"/>
      <c r="BW749" s="43"/>
      <c r="BX749" s="43"/>
      <c r="BY749" s="43"/>
      <c r="BZ749" s="43"/>
      <c r="CA749" s="43"/>
    </row>
    <row r="750">
      <c r="A750" s="47"/>
      <c r="B750" s="47"/>
      <c r="C750" s="47"/>
      <c r="D750" s="47"/>
      <c r="E750" s="47"/>
      <c r="F750" s="47"/>
      <c r="G750" s="47"/>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c r="BO750" s="43"/>
      <c r="BP750" s="43"/>
      <c r="BQ750" s="43"/>
      <c r="BR750" s="43"/>
      <c r="BS750" s="43"/>
      <c r="BT750" s="43"/>
      <c r="BU750" s="43"/>
      <c r="BV750" s="43"/>
      <c r="BW750" s="43"/>
      <c r="BX750" s="43"/>
      <c r="BY750" s="43"/>
      <c r="BZ750" s="43"/>
      <c r="CA750" s="43"/>
    </row>
    <row r="751">
      <c r="A751" s="47"/>
      <c r="B751" s="47"/>
      <c r="C751" s="47"/>
      <c r="D751" s="47"/>
      <c r="E751" s="47"/>
      <c r="F751" s="47"/>
      <c r="G751" s="47"/>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c r="BO751" s="43"/>
      <c r="BP751" s="43"/>
      <c r="BQ751" s="43"/>
      <c r="BR751" s="43"/>
      <c r="BS751" s="43"/>
      <c r="BT751" s="43"/>
      <c r="BU751" s="43"/>
      <c r="BV751" s="43"/>
      <c r="BW751" s="43"/>
      <c r="BX751" s="43"/>
      <c r="BY751" s="43"/>
      <c r="BZ751" s="43"/>
      <c r="CA751" s="43"/>
    </row>
    <row r="752">
      <c r="A752" s="47"/>
      <c r="B752" s="47"/>
      <c r="C752" s="47"/>
      <c r="D752" s="47"/>
      <c r="E752" s="47"/>
      <c r="F752" s="47"/>
      <c r="G752" s="47"/>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c r="BP752" s="43"/>
      <c r="BQ752" s="43"/>
      <c r="BR752" s="43"/>
      <c r="BS752" s="43"/>
      <c r="BT752" s="43"/>
      <c r="BU752" s="43"/>
      <c r="BV752" s="43"/>
      <c r="BW752" s="43"/>
      <c r="BX752" s="43"/>
      <c r="BY752" s="43"/>
      <c r="BZ752" s="43"/>
      <c r="CA752" s="43"/>
    </row>
    <row r="753">
      <c r="A753" s="47"/>
      <c r="B753" s="47"/>
      <c r="C753" s="47"/>
      <c r="D753" s="47"/>
      <c r="E753" s="47"/>
      <c r="F753" s="47"/>
      <c r="G753" s="47"/>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c r="BO753" s="43"/>
      <c r="BP753" s="43"/>
      <c r="BQ753" s="43"/>
      <c r="BR753" s="43"/>
      <c r="BS753" s="43"/>
      <c r="BT753" s="43"/>
      <c r="BU753" s="43"/>
      <c r="BV753" s="43"/>
      <c r="BW753" s="43"/>
      <c r="BX753" s="43"/>
      <c r="BY753" s="43"/>
      <c r="BZ753" s="43"/>
      <c r="CA753" s="43"/>
    </row>
    <row r="754">
      <c r="A754" s="47"/>
      <c r="B754" s="47"/>
      <c r="C754" s="47"/>
      <c r="D754" s="47"/>
      <c r="E754" s="47"/>
      <c r="F754" s="47"/>
      <c r="G754" s="47"/>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c r="BO754" s="43"/>
      <c r="BP754" s="43"/>
      <c r="BQ754" s="43"/>
      <c r="BR754" s="43"/>
      <c r="BS754" s="43"/>
      <c r="BT754" s="43"/>
      <c r="BU754" s="43"/>
      <c r="BV754" s="43"/>
      <c r="BW754" s="43"/>
      <c r="BX754" s="43"/>
      <c r="BY754" s="43"/>
      <c r="BZ754" s="43"/>
      <c r="CA754" s="43"/>
    </row>
    <row r="755">
      <c r="A755" s="47"/>
      <c r="B755" s="47"/>
      <c r="C755" s="47"/>
      <c r="D755" s="47"/>
      <c r="E755" s="47"/>
      <c r="F755" s="47"/>
      <c r="G755" s="47"/>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c r="BO755" s="43"/>
      <c r="BP755" s="43"/>
      <c r="BQ755" s="43"/>
      <c r="BR755" s="43"/>
      <c r="BS755" s="43"/>
      <c r="BT755" s="43"/>
      <c r="BU755" s="43"/>
      <c r="BV755" s="43"/>
      <c r="BW755" s="43"/>
      <c r="BX755" s="43"/>
      <c r="BY755" s="43"/>
      <c r="BZ755" s="43"/>
      <c r="CA755" s="43"/>
    </row>
    <row r="756">
      <c r="A756" s="47"/>
      <c r="B756" s="47"/>
      <c r="C756" s="47"/>
      <c r="D756" s="47"/>
      <c r="E756" s="47"/>
      <c r="F756" s="47"/>
      <c r="G756" s="47"/>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c r="BO756" s="43"/>
      <c r="BP756" s="43"/>
      <c r="BQ756" s="43"/>
      <c r="BR756" s="43"/>
      <c r="BS756" s="43"/>
      <c r="BT756" s="43"/>
      <c r="BU756" s="43"/>
      <c r="BV756" s="43"/>
      <c r="BW756" s="43"/>
      <c r="BX756" s="43"/>
      <c r="BY756" s="43"/>
      <c r="BZ756" s="43"/>
      <c r="CA756" s="43"/>
    </row>
    <row r="757">
      <c r="A757" s="47"/>
      <c r="B757" s="47"/>
      <c r="C757" s="47"/>
      <c r="D757" s="47"/>
      <c r="E757" s="47"/>
      <c r="F757" s="47"/>
      <c r="G757" s="47"/>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c r="BO757" s="43"/>
      <c r="BP757" s="43"/>
      <c r="BQ757" s="43"/>
      <c r="BR757" s="43"/>
      <c r="BS757" s="43"/>
      <c r="BT757" s="43"/>
      <c r="BU757" s="43"/>
      <c r="BV757" s="43"/>
      <c r="BW757" s="43"/>
      <c r="BX757" s="43"/>
      <c r="BY757" s="43"/>
      <c r="BZ757" s="43"/>
      <c r="CA757" s="43"/>
    </row>
    <row r="758">
      <c r="A758" s="47"/>
      <c r="B758" s="47"/>
      <c r="C758" s="47"/>
      <c r="D758" s="47"/>
      <c r="E758" s="47"/>
      <c r="F758" s="47"/>
      <c r="G758" s="47"/>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c r="BO758" s="43"/>
      <c r="BP758" s="43"/>
      <c r="BQ758" s="43"/>
      <c r="BR758" s="43"/>
      <c r="BS758" s="43"/>
      <c r="BT758" s="43"/>
      <c r="BU758" s="43"/>
      <c r="BV758" s="43"/>
      <c r="BW758" s="43"/>
      <c r="BX758" s="43"/>
      <c r="BY758" s="43"/>
      <c r="BZ758" s="43"/>
      <c r="CA758" s="43"/>
    </row>
    <row r="759">
      <c r="A759" s="47"/>
      <c r="B759" s="47"/>
      <c r="C759" s="47"/>
      <c r="D759" s="47"/>
      <c r="E759" s="47"/>
      <c r="F759" s="47"/>
      <c r="G759" s="47"/>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c r="BO759" s="43"/>
      <c r="BP759" s="43"/>
      <c r="BQ759" s="43"/>
      <c r="BR759" s="43"/>
      <c r="BS759" s="43"/>
      <c r="BT759" s="43"/>
      <c r="BU759" s="43"/>
      <c r="BV759" s="43"/>
      <c r="BW759" s="43"/>
      <c r="BX759" s="43"/>
      <c r="BY759" s="43"/>
      <c r="BZ759" s="43"/>
      <c r="CA759" s="43"/>
    </row>
    <row r="760">
      <c r="A760" s="47"/>
      <c r="B760" s="47"/>
      <c r="C760" s="47"/>
      <c r="D760" s="47"/>
      <c r="E760" s="47"/>
      <c r="F760" s="47"/>
      <c r="G760" s="47"/>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c r="BO760" s="43"/>
      <c r="BP760" s="43"/>
      <c r="BQ760" s="43"/>
      <c r="BR760" s="43"/>
      <c r="BS760" s="43"/>
      <c r="BT760" s="43"/>
      <c r="BU760" s="43"/>
      <c r="BV760" s="43"/>
      <c r="BW760" s="43"/>
      <c r="BX760" s="43"/>
      <c r="BY760" s="43"/>
      <c r="BZ760" s="43"/>
      <c r="CA760" s="43"/>
    </row>
    <row r="761">
      <c r="A761" s="47"/>
      <c r="B761" s="47"/>
      <c r="C761" s="47"/>
      <c r="D761" s="47"/>
      <c r="E761" s="47"/>
      <c r="F761" s="47"/>
      <c r="G761" s="47"/>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c r="BO761" s="43"/>
      <c r="BP761" s="43"/>
      <c r="BQ761" s="43"/>
      <c r="BR761" s="43"/>
      <c r="BS761" s="43"/>
      <c r="BT761" s="43"/>
      <c r="BU761" s="43"/>
      <c r="BV761" s="43"/>
      <c r="BW761" s="43"/>
      <c r="BX761" s="43"/>
      <c r="BY761" s="43"/>
      <c r="BZ761" s="43"/>
      <c r="CA761" s="43"/>
    </row>
    <row r="762">
      <c r="A762" s="47"/>
      <c r="B762" s="47"/>
      <c r="C762" s="47"/>
      <c r="D762" s="47"/>
      <c r="E762" s="47"/>
      <c r="F762" s="47"/>
      <c r="G762" s="47"/>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c r="BO762" s="43"/>
      <c r="BP762" s="43"/>
      <c r="BQ762" s="43"/>
      <c r="BR762" s="43"/>
      <c r="BS762" s="43"/>
      <c r="BT762" s="43"/>
      <c r="BU762" s="43"/>
      <c r="BV762" s="43"/>
      <c r="BW762" s="43"/>
      <c r="BX762" s="43"/>
      <c r="BY762" s="43"/>
      <c r="BZ762" s="43"/>
      <c r="CA762" s="43"/>
    </row>
    <row r="763">
      <c r="A763" s="47"/>
      <c r="B763" s="47"/>
      <c r="C763" s="47"/>
      <c r="D763" s="47"/>
      <c r="E763" s="47"/>
      <c r="F763" s="47"/>
      <c r="G763" s="47"/>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c r="BP763" s="43"/>
      <c r="BQ763" s="43"/>
      <c r="BR763" s="43"/>
      <c r="BS763" s="43"/>
      <c r="BT763" s="43"/>
      <c r="BU763" s="43"/>
      <c r="BV763" s="43"/>
      <c r="BW763" s="43"/>
      <c r="BX763" s="43"/>
      <c r="BY763" s="43"/>
      <c r="BZ763" s="43"/>
      <c r="CA763" s="43"/>
    </row>
    <row r="764">
      <c r="A764" s="47"/>
      <c r="B764" s="47"/>
      <c r="C764" s="47"/>
      <c r="D764" s="47"/>
      <c r="E764" s="47"/>
      <c r="F764" s="47"/>
      <c r="G764" s="47"/>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c r="BO764" s="43"/>
      <c r="BP764" s="43"/>
      <c r="BQ764" s="43"/>
      <c r="BR764" s="43"/>
      <c r="BS764" s="43"/>
      <c r="BT764" s="43"/>
      <c r="BU764" s="43"/>
      <c r="BV764" s="43"/>
      <c r="BW764" s="43"/>
      <c r="BX764" s="43"/>
      <c r="BY764" s="43"/>
      <c r="BZ764" s="43"/>
      <c r="CA764" s="43"/>
    </row>
    <row r="765">
      <c r="A765" s="47"/>
      <c r="B765" s="47"/>
      <c r="C765" s="47"/>
      <c r="D765" s="47"/>
      <c r="E765" s="47"/>
      <c r="F765" s="47"/>
      <c r="G765" s="47"/>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c r="BO765" s="43"/>
      <c r="BP765" s="43"/>
      <c r="BQ765" s="43"/>
      <c r="BR765" s="43"/>
      <c r="BS765" s="43"/>
      <c r="BT765" s="43"/>
      <c r="BU765" s="43"/>
      <c r="BV765" s="43"/>
      <c r="BW765" s="43"/>
      <c r="BX765" s="43"/>
      <c r="BY765" s="43"/>
      <c r="BZ765" s="43"/>
      <c r="CA765" s="43"/>
    </row>
    <row r="766">
      <c r="A766" s="47"/>
      <c r="B766" s="47"/>
      <c r="C766" s="47"/>
      <c r="D766" s="47"/>
      <c r="E766" s="47"/>
      <c r="F766" s="47"/>
      <c r="G766" s="47"/>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c r="BO766" s="43"/>
      <c r="BP766" s="43"/>
      <c r="BQ766" s="43"/>
      <c r="BR766" s="43"/>
      <c r="BS766" s="43"/>
      <c r="BT766" s="43"/>
      <c r="BU766" s="43"/>
      <c r="BV766" s="43"/>
      <c r="BW766" s="43"/>
      <c r="BX766" s="43"/>
      <c r="BY766" s="43"/>
      <c r="BZ766" s="43"/>
      <c r="CA766" s="43"/>
    </row>
    <row r="767">
      <c r="A767" s="47"/>
      <c r="B767" s="47"/>
      <c r="C767" s="47"/>
      <c r="D767" s="47"/>
      <c r="E767" s="47"/>
      <c r="F767" s="47"/>
      <c r="G767" s="47"/>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c r="BO767" s="43"/>
      <c r="BP767" s="43"/>
      <c r="BQ767" s="43"/>
      <c r="BR767" s="43"/>
      <c r="BS767" s="43"/>
      <c r="BT767" s="43"/>
      <c r="BU767" s="43"/>
      <c r="BV767" s="43"/>
      <c r="BW767" s="43"/>
      <c r="BX767" s="43"/>
      <c r="BY767" s="43"/>
      <c r="BZ767" s="43"/>
      <c r="CA767" s="43"/>
    </row>
    <row r="768">
      <c r="A768" s="47"/>
      <c r="B768" s="47"/>
      <c r="C768" s="47"/>
      <c r="D768" s="47"/>
      <c r="E768" s="47"/>
      <c r="F768" s="47"/>
      <c r="G768" s="47"/>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c r="BO768" s="43"/>
      <c r="BP768" s="43"/>
      <c r="BQ768" s="43"/>
      <c r="BR768" s="43"/>
      <c r="BS768" s="43"/>
      <c r="BT768" s="43"/>
      <c r="BU768" s="43"/>
      <c r="BV768" s="43"/>
      <c r="BW768" s="43"/>
      <c r="BX768" s="43"/>
      <c r="BY768" s="43"/>
      <c r="BZ768" s="43"/>
      <c r="CA768" s="43"/>
    </row>
    <row r="769">
      <c r="A769" s="47"/>
      <c r="B769" s="47"/>
      <c r="C769" s="47"/>
      <c r="D769" s="47"/>
      <c r="E769" s="47"/>
      <c r="F769" s="47"/>
      <c r="G769" s="47"/>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c r="BO769" s="43"/>
      <c r="BP769" s="43"/>
      <c r="BQ769" s="43"/>
      <c r="BR769" s="43"/>
      <c r="BS769" s="43"/>
      <c r="BT769" s="43"/>
      <c r="BU769" s="43"/>
      <c r="BV769" s="43"/>
      <c r="BW769" s="43"/>
      <c r="BX769" s="43"/>
      <c r="BY769" s="43"/>
      <c r="BZ769" s="43"/>
      <c r="CA769" s="43"/>
    </row>
    <row r="770">
      <c r="A770" s="47"/>
      <c r="B770" s="47"/>
      <c r="C770" s="47"/>
      <c r="D770" s="47"/>
      <c r="E770" s="47"/>
      <c r="F770" s="47"/>
      <c r="G770" s="47"/>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c r="BO770" s="43"/>
      <c r="BP770" s="43"/>
      <c r="BQ770" s="43"/>
      <c r="BR770" s="43"/>
      <c r="BS770" s="43"/>
      <c r="BT770" s="43"/>
      <c r="BU770" s="43"/>
      <c r="BV770" s="43"/>
      <c r="BW770" s="43"/>
      <c r="BX770" s="43"/>
      <c r="BY770" s="43"/>
      <c r="BZ770" s="43"/>
      <c r="CA770" s="43"/>
    </row>
    <row r="771">
      <c r="A771" s="47"/>
      <c r="B771" s="47"/>
      <c r="C771" s="47"/>
      <c r="D771" s="47"/>
      <c r="E771" s="47"/>
      <c r="F771" s="47"/>
      <c r="G771" s="47"/>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c r="BO771" s="43"/>
      <c r="BP771" s="43"/>
      <c r="BQ771" s="43"/>
      <c r="BR771" s="43"/>
      <c r="BS771" s="43"/>
      <c r="BT771" s="43"/>
      <c r="BU771" s="43"/>
      <c r="BV771" s="43"/>
      <c r="BW771" s="43"/>
      <c r="BX771" s="43"/>
      <c r="BY771" s="43"/>
      <c r="BZ771" s="43"/>
      <c r="CA771" s="43"/>
    </row>
    <row r="772">
      <c r="A772" s="47"/>
      <c r="B772" s="47"/>
      <c r="C772" s="47"/>
      <c r="D772" s="47"/>
      <c r="E772" s="47"/>
      <c r="F772" s="47"/>
      <c r="G772" s="47"/>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c r="BO772" s="43"/>
      <c r="BP772" s="43"/>
      <c r="BQ772" s="43"/>
      <c r="BR772" s="43"/>
      <c r="BS772" s="43"/>
      <c r="BT772" s="43"/>
      <c r="BU772" s="43"/>
      <c r="BV772" s="43"/>
      <c r="BW772" s="43"/>
      <c r="BX772" s="43"/>
      <c r="BY772" s="43"/>
      <c r="BZ772" s="43"/>
      <c r="CA772" s="43"/>
    </row>
    <row r="773">
      <c r="A773" s="47"/>
      <c r="B773" s="47"/>
      <c r="C773" s="47"/>
      <c r="D773" s="47"/>
      <c r="E773" s="47"/>
      <c r="F773" s="47"/>
      <c r="G773" s="47"/>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c r="BO773" s="43"/>
      <c r="BP773" s="43"/>
      <c r="BQ773" s="43"/>
      <c r="BR773" s="43"/>
      <c r="BS773" s="43"/>
      <c r="BT773" s="43"/>
      <c r="BU773" s="43"/>
      <c r="BV773" s="43"/>
      <c r="BW773" s="43"/>
      <c r="BX773" s="43"/>
      <c r="BY773" s="43"/>
      <c r="BZ773" s="43"/>
      <c r="CA773" s="43"/>
    </row>
    <row r="774">
      <c r="A774" s="47"/>
      <c r="B774" s="47"/>
      <c r="C774" s="47"/>
      <c r="D774" s="47"/>
      <c r="E774" s="47"/>
      <c r="F774" s="47"/>
      <c r="G774" s="47"/>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3"/>
      <c r="BY774" s="43"/>
      <c r="BZ774" s="43"/>
      <c r="CA774" s="43"/>
    </row>
    <row r="775">
      <c r="A775" s="47"/>
      <c r="B775" s="47"/>
      <c r="C775" s="47"/>
      <c r="D775" s="47"/>
      <c r="E775" s="47"/>
      <c r="F775" s="47"/>
      <c r="G775" s="47"/>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c r="BO775" s="43"/>
      <c r="BP775" s="43"/>
      <c r="BQ775" s="43"/>
      <c r="BR775" s="43"/>
      <c r="BS775" s="43"/>
      <c r="BT775" s="43"/>
      <c r="BU775" s="43"/>
      <c r="BV775" s="43"/>
      <c r="BW775" s="43"/>
      <c r="BX775" s="43"/>
      <c r="BY775" s="43"/>
      <c r="BZ775" s="43"/>
      <c r="CA775" s="43"/>
    </row>
    <row r="776">
      <c r="A776" s="47"/>
      <c r="B776" s="47"/>
      <c r="C776" s="47"/>
      <c r="D776" s="47"/>
      <c r="E776" s="47"/>
      <c r="F776" s="47"/>
      <c r="G776" s="47"/>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c r="BO776" s="43"/>
      <c r="BP776" s="43"/>
      <c r="BQ776" s="43"/>
      <c r="BR776" s="43"/>
      <c r="BS776" s="43"/>
      <c r="BT776" s="43"/>
      <c r="BU776" s="43"/>
      <c r="BV776" s="43"/>
      <c r="BW776" s="43"/>
      <c r="BX776" s="43"/>
      <c r="BY776" s="43"/>
      <c r="BZ776" s="43"/>
      <c r="CA776" s="43"/>
    </row>
    <row r="777">
      <c r="A777" s="47"/>
      <c r="B777" s="47"/>
      <c r="C777" s="47"/>
      <c r="D777" s="47"/>
      <c r="E777" s="47"/>
      <c r="F777" s="47"/>
      <c r="G777" s="47"/>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c r="BO777" s="43"/>
      <c r="BP777" s="43"/>
      <c r="BQ777" s="43"/>
      <c r="BR777" s="43"/>
      <c r="BS777" s="43"/>
      <c r="BT777" s="43"/>
      <c r="BU777" s="43"/>
      <c r="BV777" s="43"/>
      <c r="BW777" s="43"/>
      <c r="BX777" s="43"/>
      <c r="BY777" s="43"/>
      <c r="BZ777" s="43"/>
      <c r="CA777" s="43"/>
    </row>
    <row r="778">
      <c r="A778" s="47"/>
      <c r="B778" s="47"/>
      <c r="C778" s="47"/>
      <c r="D778" s="47"/>
      <c r="E778" s="47"/>
      <c r="F778" s="47"/>
      <c r="G778" s="47"/>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c r="BO778" s="43"/>
      <c r="BP778" s="43"/>
      <c r="BQ778" s="43"/>
      <c r="BR778" s="43"/>
      <c r="BS778" s="43"/>
      <c r="BT778" s="43"/>
      <c r="BU778" s="43"/>
      <c r="BV778" s="43"/>
      <c r="BW778" s="43"/>
      <c r="BX778" s="43"/>
      <c r="BY778" s="43"/>
      <c r="BZ778" s="43"/>
      <c r="CA778" s="43"/>
    </row>
    <row r="779">
      <c r="A779" s="47"/>
      <c r="B779" s="47"/>
      <c r="C779" s="47"/>
      <c r="D779" s="47"/>
      <c r="E779" s="47"/>
      <c r="F779" s="47"/>
      <c r="G779" s="47"/>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c r="BO779" s="43"/>
      <c r="BP779" s="43"/>
      <c r="BQ779" s="43"/>
      <c r="BR779" s="43"/>
      <c r="BS779" s="43"/>
      <c r="BT779" s="43"/>
      <c r="BU779" s="43"/>
      <c r="BV779" s="43"/>
      <c r="BW779" s="43"/>
      <c r="BX779" s="43"/>
      <c r="BY779" s="43"/>
      <c r="BZ779" s="43"/>
      <c r="CA779" s="43"/>
    </row>
    <row r="780">
      <c r="A780" s="47"/>
      <c r="B780" s="47"/>
      <c r="C780" s="47"/>
      <c r="D780" s="47"/>
      <c r="E780" s="47"/>
      <c r="F780" s="47"/>
      <c r="G780" s="47"/>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c r="BO780" s="43"/>
      <c r="BP780" s="43"/>
      <c r="BQ780" s="43"/>
      <c r="BR780" s="43"/>
      <c r="BS780" s="43"/>
      <c r="BT780" s="43"/>
      <c r="BU780" s="43"/>
      <c r="BV780" s="43"/>
      <c r="BW780" s="43"/>
      <c r="BX780" s="43"/>
      <c r="BY780" s="43"/>
      <c r="BZ780" s="43"/>
      <c r="CA780" s="43"/>
    </row>
    <row r="781">
      <c r="A781" s="47"/>
      <c r="B781" s="47"/>
      <c r="C781" s="47"/>
      <c r="D781" s="47"/>
      <c r="E781" s="47"/>
      <c r="F781" s="47"/>
      <c r="G781" s="47"/>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c r="BO781" s="43"/>
      <c r="BP781" s="43"/>
      <c r="BQ781" s="43"/>
      <c r="BR781" s="43"/>
      <c r="BS781" s="43"/>
      <c r="BT781" s="43"/>
      <c r="BU781" s="43"/>
      <c r="BV781" s="43"/>
      <c r="BW781" s="43"/>
      <c r="BX781" s="43"/>
      <c r="BY781" s="43"/>
      <c r="BZ781" s="43"/>
      <c r="CA781" s="43"/>
    </row>
    <row r="782">
      <c r="A782" s="47"/>
      <c r="B782" s="47"/>
      <c r="C782" s="47"/>
      <c r="D782" s="47"/>
      <c r="E782" s="47"/>
      <c r="F782" s="47"/>
      <c r="G782" s="47"/>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c r="BO782" s="43"/>
      <c r="BP782" s="43"/>
      <c r="BQ782" s="43"/>
      <c r="BR782" s="43"/>
      <c r="BS782" s="43"/>
      <c r="BT782" s="43"/>
      <c r="BU782" s="43"/>
      <c r="BV782" s="43"/>
      <c r="BW782" s="43"/>
      <c r="BX782" s="43"/>
      <c r="BY782" s="43"/>
      <c r="BZ782" s="43"/>
      <c r="CA782" s="43"/>
    </row>
    <row r="783">
      <c r="A783" s="47"/>
      <c r="B783" s="47"/>
      <c r="C783" s="47"/>
      <c r="D783" s="47"/>
      <c r="E783" s="47"/>
      <c r="F783" s="47"/>
      <c r="G783" s="47"/>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c r="BO783" s="43"/>
      <c r="BP783" s="43"/>
      <c r="BQ783" s="43"/>
      <c r="BR783" s="43"/>
      <c r="BS783" s="43"/>
      <c r="BT783" s="43"/>
      <c r="BU783" s="43"/>
      <c r="BV783" s="43"/>
      <c r="BW783" s="43"/>
      <c r="BX783" s="43"/>
      <c r="BY783" s="43"/>
      <c r="BZ783" s="43"/>
      <c r="CA783" s="43"/>
    </row>
    <row r="784">
      <c r="A784" s="47"/>
      <c r="B784" s="47"/>
      <c r="C784" s="47"/>
      <c r="D784" s="47"/>
      <c r="E784" s="47"/>
      <c r="F784" s="47"/>
      <c r="G784" s="47"/>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c r="BO784" s="43"/>
      <c r="BP784" s="43"/>
      <c r="BQ784" s="43"/>
      <c r="BR784" s="43"/>
      <c r="BS784" s="43"/>
      <c r="BT784" s="43"/>
      <c r="BU784" s="43"/>
      <c r="BV784" s="43"/>
      <c r="BW784" s="43"/>
      <c r="BX784" s="43"/>
      <c r="BY784" s="43"/>
      <c r="BZ784" s="43"/>
      <c r="CA784" s="43"/>
    </row>
    <row r="785">
      <c r="A785" s="47"/>
      <c r="B785" s="47"/>
      <c r="C785" s="47"/>
      <c r="D785" s="47"/>
      <c r="E785" s="47"/>
      <c r="F785" s="47"/>
      <c r="G785" s="47"/>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c r="BP785" s="43"/>
      <c r="BQ785" s="43"/>
      <c r="BR785" s="43"/>
      <c r="BS785" s="43"/>
      <c r="BT785" s="43"/>
      <c r="BU785" s="43"/>
      <c r="BV785" s="43"/>
      <c r="BW785" s="43"/>
      <c r="BX785" s="43"/>
      <c r="BY785" s="43"/>
      <c r="BZ785" s="43"/>
      <c r="CA785" s="43"/>
    </row>
    <row r="786">
      <c r="A786" s="47"/>
      <c r="B786" s="47"/>
      <c r="C786" s="47"/>
      <c r="D786" s="47"/>
      <c r="E786" s="47"/>
      <c r="F786" s="47"/>
      <c r="G786" s="47"/>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c r="BO786" s="43"/>
      <c r="BP786" s="43"/>
      <c r="BQ786" s="43"/>
      <c r="BR786" s="43"/>
      <c r="BS786" s="43"/>
      <c r="BT786" s="43"/>
      <c r="BU786" s="43"/>
      <c r="BV786" s="43"/>
      <c r="BW786" s="43"/>
      <c r="BX786" s="43"/>
      <c r="BY786" s="43"/>
      <c r="BZ786" s="43"/>
      <c r="CA786" s="43"/>
    </row>
    <row r="787">
      <c r="A787" s="47"/>
      <c r="B787" s="47"/>
      <c r="C787" s="47"/>
      <c r="D787" s="47"/>
      <c r="E787" s="47"/>
      <c r="F787" s="47"/>
      <c r="G787" s="47"/>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c r="BO787" s="43"/>
      <c r="BP787" s="43"/>
      <c r="BQ787" s="43"/>
      <c r="BR787" s="43"/>
      <c r="BS787" s="43"/>
      <c r="BT787" s="43"/>
      <c r="BU787" s="43"/>
      <c r="BV787" s="43"/>
      <c r="BW787" s="43"/>
      <c r="BX787" s="43"/>
      <c r="BY787" s="43"/>
      <c r="BZ787" s="43"/>
      <c r="CA787" s="43"/>
    </row>
    <row r="788">
      <c r="A788" s="47"/>
      <c r="B788" s="47"/>
      <c r="C788" s="47"/>
      <c r="D788" s="47"/>
      <c r="E788" s="47"/>
      <c r="F788" s="47"/>
      <c r="G788" s="47"/>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c r="BO788" s="43"/>
      <c r="BP788" s="43"/>
      <c r="BQ788" s="43"/>
      <c r="BR788" s="43"/>
      <c r="BS788" s="43"/>
      <c r="BT788" s="43"/>
      <c r="BU788" s="43"/>
      <c r="BV788" s="43"/>
      <c r="BW788" s="43"/>
      <c r="BX788" s="43"/>
      <c r="BY788" s="43"/>
      <c r="BZ788" s="43"/>
      <c r="CA788" s="43"/>
    </row>
    <row r="789">
      <c r="A789" s="47"/>
      <c r="B789" s="47"/>
      <c r="C789" s="47"/>
      <c r="D789" s="47"/>
      <c r="E789" s="47"/>
      <c r="F789" s="47"/>
      <c r="G789" s="47"/>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c r="BO789" s="43"/>
      <c r="BP789" s="43"/>
      <c r="BQ789" s="43"/>
      <c r="BR789" s="43"/>
      <c r="BS789" s="43"/>
      <c r="BT789" s="43"/>
      <c r="BU789" s="43"/>
      <c r="BV789" s="43"/>
      <c r="BW789" s="43"/>
      <c r="BX789" s="43"/>
      <c r="BY789" s="43"/>
      <c r="BZ789" s="43"/>
      <c r="CA789" s="43"/>
    </row>
    <row r="790">
      <c r="A790" s="47"/>
      <c r="B790" s="47"/>
      <c r="C790" s="47"/>
      <c r="D790" s="47"/>
      <c r="E790" s="47"/>
      <c r="F790" s="47"/>
      <c r="G790" s="47"/>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c r="BO790" s="43"/>
      <c r="BP790" s="43"/>
      <c r="BQ790" s="43"/>
      <c r="BR790" s="43"/>
      <c r="BS790" s="43"/>
      <c r="BT790" s="43"/>
      <c r="BU790" s="43"/>
      <c r="BV790" s="43"/>
      <c r="BW790" s="43"/>
      <c r="BX790" s="43"/>
      <c r="BY790" s="43"/>
      <c r="BZ790" s="43"/>
      <c r="CA790" s="43"/>
    </row>
    <row r="791">
      <c r="A791" s="47"/>
      <c r="B791" s="47"/>
      <c r="C791" s="47"/>
      <c r="D791" s="47"/>
      <c r="E791" s="47"/>
      <c r="F791" s="47"/>
      <c r="G791" s="47"/>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c r="BP791" s="43"/>
      <c r="BQ791" s="43"/>
      <c r="BR791" s="43"/>
      <c r="BS791" s="43"/>
      <c r="BT791" s="43"/>
      <c r="BU791" s="43"/>
      <c r="BV791" s="43"/>
      <c r="BW791" s="43"/>
      <c r="BX791" s="43"/>
      <c r="BY791" s="43"/>
      <c r="BZ791" s="43"/>
      <c r="CA791" s="43"/>
    </row>
    <row r="792">
      <c r="A792" s="47"/>
      <c r="B792" s="47"/>
      <c r="C792" s="47"/>
      <c r="D792" s="47"/>
      <c r="E792" s="47"/>
      <c r="F792" s="47"/>
      <c r="G792" s="47"/>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c r="BO792" s="43"/>
      <c r="BP792" s="43"/>
      <c r="BQ792" s="43"/>
      <c r="BR792" s="43"/>
      <c r="BS792" s="43"/>
      <c r="BT792" s="43"/>
      <c r="BU792" s="43"/>
      <c r="BV792" s="43"/>
      <c r="BW792" s="43"/>
      <c r="BX792" s="43"/>
      <c r="BY792" s="43"/>
      <c r="BZ792" s="43"/>
      <c r="CA792" s="43"/>
    </row>
    <row r="793">
      <c r="A793" s="47"/>
      <c r="B793" s="47"/>
      <c r="C793" s="47"/>
      <c r="D793" s="47"/>
      <c r="E793" s="47"/>
      <c r="F793" s="47"/>
      <c r="G793" s="47"/>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c r="BO793" s="43"/>
      <c r="BP793" s="43"/>
      <c r="BQ793" s="43"/>
      <c r="BR793" s="43"/>
      <c r="BS793" s="43"/>
      <c r="BT793" s="43"/>
      <c r="BU793" s="43"/>
      <c r="BV793" s="43"/>
      <c r="BW793" s="43"/>
      <c r="BX793" s="43"/>
      <c r="BY793" s="43"/>
      <c r="BZ793" s="43"/>
      <c r="CA793" s="43"/>
    </row>
    <row r="794">
      <c r="A794" s="47"/>
      <c r="B794" s="47"/>
      <c r="C794" s="47"/>
      <c r="D794" s="47"/>
      <c r="E794" s="47"/>
      <c r="F794" s="47"/>
      <c r="G794" s="47"/>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c r="BO794" s="43"/>
      <c r="BP794" s="43"/>
      <c r="BQ794" s="43"/>
      <c r="BR794" s="43"/>
      <c r="BS794" s="43"/>
      <c r="BT794" s="43"/>
      <c r="BU794" s="43"/>
      <c r="BV794" s="43"/>
      <c r="BW794" s="43"/>
      <c r="BX794" s="43"/>
      <c r="BY794" s="43"/>
      <c r="BZ794" s="43"/>
      <c r="CA794" s="43"/>
    </row>
    <row r="795">
      <c r="A795" s="47"/>
      <c r="B795" s="47"/>
      <c r="C795" s="47"/>
      <c r="D795" s="47"/>
      <c r="E795" s="47"/>
      <c r="F795" s="47"/>
      <c r="G795" s="47"/>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c r="BO795" s="43"/>
      <c r="BP795" s="43"/>
      <c r="BQ795" s="43"/>
      <c r="BR795" s="43"/>
      <c r="BS795" s="43"/>
      <c r="BT795" s="43"/>
      <c r="BU795" s="43"/>
      <c r="BV795" s="43"/>
      <c r="BW795" s="43"/>
      <c r="BX795" s="43"/>
      <c r="BY795" s="43"/>
      <c r="BZ795" s="43"/>
      <c r="CA795" s="43"/>
    </row>
    <row r="796">
      <c r="A796" s="47"/>
      <c r="B796" s="47"/>
      <c r="C796" s="47"/>
      <c r="D796" s="47"/>
      <c r="E796" s="47"/>
      <c r="F796" s="47"/>
      <c r="G796" s="47"/>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3"/>
      <c r="BY796" s="43"/>
      <c r="BZ796" s="43"/>
      <c r="CA796" s="43"/>
    </row>
    <row r="797">
      <c r="A797" s="47"/>
      <c r="B797" s="47"/>
      <c r="C797" s="47"/>
      <c r="D797" s="47"/>
      <c r="E797" s="47"/>
      <c r="F797" s="47"/>
      <c r="G797" s="47"/>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c r="BO797" s="43"/>
      <c r="BP797" s="43"/>
      <c r="BQ797" s="43"/>
      <c r="BR797" s="43"/>
      <c r="BS797" s="43"/>
      <c r="BT797" s="43"/>
      <c r="BU797" s="43"/>
      <c r="BV797" s="43"/>
      <c r="BW797" s="43"/>
      <c r="BX797" s="43"/>
      <c r="BY797" s="43"/>
      <c r="BZ797" s="43"/>
      <c r="CA797" s="43"/>
    </row>
    <row r="798">
      <c r="A798" s="47"/>
      <c r="B798" s="47"/>
      <c r="C798" s="47"/>
      <c r="D798" s="47"/>
      <c r="E798" s="47"/>
      <c r="F798" s="47"/>
      <c r="G798" s="47"/>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c r="BO798" s="43"/>
      <c r="BP798" s="43"/>
      <c r="BQ798" s="43"/>
      <c r="BR798" s="43"/>
      <c r="BS798" s="43"/>
      <c r="BT798" s="43"/>
      <c r="BU798" s="43"/>
      <c r="BV798" s="43"/>
      <c r="BW798" s="43"/>
      <c r="BX798" s="43"/>
      <c r="BY798" s="43"/>
      <c r="BZ798" s="43"/>
      <c r="CA798" s="43"/>
    </row>
    <row r="799">
      <c r="A799" s="47"/>
      <c r="B799" s="47"/>
      <c r="C799" s="47"/>
      <c r="D799" s="47"/>
      <c r="E799" s="47"/>
      <c r="F799" s="47"/>
      <c r="G799" s="47"/>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c r="BO799" s="43"/>
      <c r="BP799" s="43"/>
      <c r="BQ799" s="43"/>
      <c r="BR799" s="43"/>
      <c r="BS799" s="43"/>
      <c r="BT799" s="43"/>
      <c r="BU799" s="43"/>
      <c r="BV799" s="43"/>
      <c r="BW799" s="43"/>
      <c r="BX799" s="43"/>
      <c r="BY799" s="43"/>
      <c r="BZ799" s="43"/>
      <c r="CA799" s="43"/>
    </row>
    <row r="800">
      <c r="A800" s="47"/>
      <c r="B800" s="47"/>
      <c r="C800" s="47"/>
      <c r="D800" s="47"/>
      <c r="E800" s="47"/>
      <c r="F800" s="47"/>
      <c r="G800" s="47"/>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c r="BO800" s="43"/>
      <c r="BP800" s="43"/>
      <c r="BQ800" s="43"/>
      <c r="BR800" s="43"/>
      <c r="BS800" s="43"/>
      <c r="BT800" s="43"/>
      <c r="BU800" s="43"/>
      <c r="BV800" s="43"/>
      <c r="BW800" s="43"/>
      <c r="BX800" s="43"/>
      <c r="BY800" s="43"/>
      <c r="BZ800" s="43"/>
      <c r="CA800" s="43"/>
    </row>
    <row r="801">
      <c r="A801" s="47"/>
      <c r="B801" s="47"/>
      <c r="C801" s="47"/>
      <c r="D801" s="47"/>
      <c r="E801" s="47"/>
      <c r="F801" s="47"/>
      <c r="G801" s="47"/>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c r="BO801" s="43"/>
      <c r="BP801" s="43"/>
      <c r="BQ801" s="43"/>
      <c r="BR801" s="43"/>
      <c r="BS801" s="43"/>
      <c r="BT801" s="43"/>
      <c r="BU801" s="43"/>
      <c r="BV801" s="43"/>
      <c r="BW801" s="43"/>
      <c r="BX801" s="43"/>
      <c r="BY801" s="43"/>
      <c r="BZ801" s="43"/>
      <c r="CA801" s="43"/>
    </row>
    <row r="802">
      <c r="A802" s="47"/>
      <c r="B802" s="47"/>
      <c r="C802" s="47"/>
      <c r="D802" s="47"/>
      <c r="E802" s="47"/>
      <c r="F802" s="47"/>
      <c r="G802" s="47"/>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c r="BO802" s="43"/>
      <c r="BP802" s="43"/>
      <c r="BQ802" s="43"/>
      <c r="BR802" s="43"/>
      <c r="BS802" s="43"/>
      <c r="BT802" s="43"/>
      <c r="BU802" s="43"/>
      <c r="BV802" s="43"/>
      <c r="BW802" s="43"/>
      <c r="BX802" s="43"/>
      <c r="BY802" s="43"/>
      <c r="BZ802" s="43"/>
      <c r="CA802" s="43"/>
    </row>
    <row r="803">
      <c r="A803" s="47"/>
      <c r="B803" s="47"/>
      <c r="C803" s="47"/>
      <c r="D803" s="47"/>
      <c r="E803" s="47"/>
      <c r="F803" s="47"/>
      <c r="G803" s="47"/>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c r="BP803" s="43"/>
      <c r="BQ803" s="43"/>
      <c r="BR803" s="43"/>
      <c r="BS803" s="43"/>
      <c r="BT803" s="43"/>
      <c r="BU803" s="43"/>
      <c r="BV803" s="43"/>
      <c r="BW803" s="43"/>
      <c r="BX803" s="43"/>
      <c r="BY803" s="43"/>
      <c r="BZ803" s="43"/>
      <c r="CA803" s="43"/>
    </row>
    <row r="804">
      <c r="A804" s="47"/>
      <c r="B804" s="47"/>
      <c r="C804" s="47"/>
      <c r="D804" s="47"/>
      <c r="E804" s="47"/>
      <c r="F804" s="47"/>
      <c r="G804" s="47"/>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c r="BO804" s="43"/>
      <c r="BP804" s="43"/>
      <c r="BQ804" s="43"/>
      <c r="BR804" s="43"/>
      <c r="BS804" s="43"/>
      <c r="BT804" s="43"/>
      <c r="BU804" s="43"/>
      <c r="BV804" s="43"/>
      <c r="BW804" s="43"/>
      <c r="BX804" s="43"/>
      <c r="BY804" s="43"/>
      <c r="BZ804" s="43"/>
      <c r="CA804" s="43"/>
    </row>
    <row r="805">
      <c r="A805" s="47"/>
      <c r="B805" s="47"/>
      <c r="C805" s="47"/>
      <c r="D805" s="47"/>
      <c r="E805" s="47"/>
      <c r="F805" s="47"/>
      <c r="G805" s="47"/>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c r="BO805" s="43"/>
      <c r="BP805" s="43"/>
      <c r="BQ805" s="43"/>
      <c r="BR805" s="43"/>
      <c r="BS805" s="43"/>
      <c r="BT805" s="43"/>
      <c r="BU805" s="43"/>
      <c r="BV805" s="43"/>
      <c r="BW805" s="43"/>
      <c r="BX805" s="43"/>
      <c r="BY805" s="43"/>
      <c r="BZ805" s="43"/>
      <c r="CA805" s="43"/>
    </row>
    <row r="806">
      <c r="A806" s="47"/>
      <c r="B806" s="47"/>
      <c r="C806" s="47"/>
      <c r="D806" s="47"/>
      <c r="E806" s="47"/>
      <c r="F806" s="47"/>
      <c r="G806" s="47"/>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c r="BO806" s="43"/>
      <c r="BP806" s="43"/>
      <c r="BQ806" s="43"/>
      <c r="BR806" s="43"/>
      <c r="BS806" s="43"/>
      <c r="BT806" s="43"/>
      <c r="BU806" s="43"/>
      <c r="BV806" s="43"/>
      <c r="BW806" s="43"/>
      <c r="BX806" s="43"/>
      <c r="BY806" s="43"/>
      <c r="BZ806" s="43"/>
      <c r="CA806" s="43"/>
    </row>
    <row r="807">
      <c r="A807" s="47"/>
      <c r="B807" s="47"/>
      <c r="C807" s="47"/>
      <c r="D807" s="47"/>
      <c r="E807" s="47"/>
      <c r="F807" s="47"/>
      <c r="G807" s="47"/>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c r="BO807" s="43"/>
      <c r="BP807" s="43"/>
      <c r="BQ807" s="43"/>
      <c r="BR807" s="43"/>
      <c r="BS807" s="43"/>
      <c r="BT807" s="43"/>
      <c r="BU807" s="43"/>
      <c r="BV807" s="43"/>
      <c r="BW807" s="43"/>
      <c r="BX807" s="43"/>
      <c r="BY807" s="43"/>
      <c r="BZ807" s="43"/>
      <c r="CA807" s="43"/>
    </row>
    <row r="808">
      <c r="A808" s="47"/>
      <c r="B808" s="47"/>
      <c r="C808" s="47"/>
      <c r="D808" s="47"/>
      <c r="E808" s="47"/>
      <c r="F808" s="47"/>
      <c r="G808" s="47"/>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c r="BO808" s="43"/>
      <c r="BP808" s="43"/>
      <c r="BQ808" s="43"/>
      <c r="BR808" s="43"/>
      <c r="BS808" s="43"/>
      <c r="BT808" s="43"/>
      <c r="BU808" s="43"/>
      <c r="BV808" s="43"/>
      <c r="BW808" s="43"/>
      <c r="BX808" s="43"/>
      <c r="BY808" s="43"/>
      <c r="BZ808" s="43"/>
      <c r="CA808" s="43"/>
    </row>
    <row r="809">
      <c r="A809" s="47"/>
      <c r="B809" s="47"/>
      <c r="C809" s="47"/>
      <c r="D809" s="47"/>
      <c r="E809" s="47"/>
      <c r="F809" s="47"/>
      <c r="G809" s="47"/>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c r="BO809" s="43"/>
      <c r="BP809" s="43"/>
      <c r="BQ809" s="43"/>
      <c r="BR809" s="43"/>
      <c r="BS809" s="43"/>
      <c r="BT809" s="43"/>
      <c r="BU809" s="43"/>
      <c r="BV809" s="43"/>
      <c r="BW809" s="43"/>
      <c r="BX809" s="43"/>
      <c r="BY809" s="43"/>
      <c r="BZ809" s="43"/>
      <c r="CA809" s="43"/>
    </row>
    <row r="810">
      <c r="A810" s="47"/>
      <c r="B810" s="47"/>
      <c r="C810" s="47"/>
      <c r="D810" s="47"/>
      <c r="E810" s="47"/>
      <c r="F810" s="47"/>
      <c r="G810" s="47"/>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c r="BO810" s="43"/>
      <c r="BP810" s="43"/>
      <c r="BQ810" s="43"/>
      <c r="BR810" s="43"/>
      <c r="BS810" s="43"/>
      <c r="BT810" s="43"/>
      <c r="BU810" s="43"/>
      <c r="BV810" s="43"/>
      <c r="BW810" s="43"/>
      <c r="BX810" s="43"/>
      <c r="BY810" s="43"/>
      <c r="BZ810" s="43"/>
      <c r="CA810" s="43"/>
    </row>
    <row r="811">
      <c r="A811" s="47"/>
      <c r="B811" s="47"/>
      <c r="C811" s="47"/>
      <c r="D811" s="47"/>
      <c r="E811" s="47"/>
      <c r="F811" s="47"/>
      <c r="G811" s="47"/>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c r="BP811" s="43"/>
      <c r="BQ811" s="43"/>
      <c r="BR811" s="43"/>
      <c r="BS811" s="43"/>
      <c r="BT811" s="43"/>
      <c r="BU811" s="43"/>
      <c r="BV811" s="43"/>
      <c r="BW811" s="43"/>
      <c r="BX811" s="43"/>
      <c r="BY811" s="43"/>
      <c r="BZ811" s="43"/>
      <c r="CA811" s="43"/>
    </row>
    <row r="812">
      <c r="A812" s="47"/>
      <c r="B812" s="47"/>
      <c r="C812" s="47"/>
      <c r="D812" s="47"/>
      <c r="E812" s="47"/>
      <c r="F812" s="47"/>
      <c r="G812" s="47"/>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c r="BO812" s="43"/>
      <c r="BP812" s="43"/>
      <c r="BQ812" s="43"/>
      <c r="BR812" s="43"/>
      <c r="BS812" s="43"/>
      <c r="BT812" s="43"/>
      <c r="BU812" s="43"/>
      <c r="BV812" s="43"/>
      <c r="BW812" s="43"/>
      <c r="BX812" s="43"/>
      <c r="BY812" s="43"/>
      <c r="BZ812" s="43"/>
      <c r="CA812" s="43"/>
    </row>
    <row r="813">
      <c r="A813" s="47"/>
      <c r="B813" s="47"/>
      <c r="C813" s="47"/>
      <c r="D813" s="47"/>
      <c r="E813" s="47"/>
      <c r="F813" s="47"/>
      <c r="G813" s="47"/>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c r="BO813" s="43"/>
      <c r="BP813" s="43"/>
      <c r="BQ813" s="43"/>
      <c r="BR813" s="43"/>
      <c r="BS813" s="43"/>
      <c r="BT813" s="43"/>
      <c r="BU813" s="43"/>
      <c r="BV813" s="43"/>
      <c r="BW813" s="43"/>
      <c r="BX813" s="43"/>
      <c r="BY813" s="43"/>
      <c r="BZ813" s="43"/>
      <c r="CA813" s="43"/>
    </row>
    <row r="814">
      <c r="A814" s="47"/>
      <c r="B814" s="47"/>
      <c r="C814" s="47"/>
      <c r="D814" s="47"/>
      <c r="E814" s="47"/>
      <c r="F814" s="47"/>
      <c r="G814" s="47"/>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c r="BO814" s="43"/>
      <c r="BP814" s="43"/>
      <c r="BQ814" s="43"/>
      <c r="BR814" s="43"/>
      <c r="BS814" s="43"/>
      <c r="BT814" s="43"/>
      <c r="BU814" s="43"/>
      <c r="BV814" s="43"/>
      <c r="BW814" s="43"/>
      <c r="BX814" s="43"/>
      <c r="BY814" s="43"/>
      <c r="BZ814" s="43"/>
      <c r="CA814" s="43"/>
    </row>
    <row r="815">
      <c r="A815" s="47"/>
      <c r="B815" s="47"/>
      <c r="C815" s="47"/>
      <c r="D815" s="47"/>
      <c r="E815" s="47"/>
      <c r="F815" s="47"/>
      <c r="G815" s="47"/>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c r="BO815" s="43"/>
      <c r="BP815" s="43"/>
      <c r="BQ815" s="43"/>
      <c r="BR815" s="43"/>
      <c r="BS815" s="43"/>
      <c r="BT815" s="43"/>
      <c r="BU815" s="43"/>
      <c r="BV815" s="43"/>
      <c r="BW815" s="43"/>
      <c r="BX815" s="43"/>
      <c r="BY815" s="43"/>
      <c r="BZ815" s="43"/>
      <c r="CA815" s="43"/>
    </row>
    <row r="816">
      <c r="A816" s="47"/>
      <c r="B816" s="47"/>
      <c r="C816" s="47"/>
      <c r="D816" s="47"/>
      <c r="E816" s="47"/>
      <c r="F816" s="47"/>
      <c r="G816" s="47"/>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c r="BO816" s="43"/>
      <c r="BP816" s="43"/>
      <c r="BQ816" s="43"/>
      <c r="BR816" s="43"/>
      <c r="BS816" s="43"/>
      <c r="BT816" s="43"/>
      <c r="BU816" s="43"/>
      <c r="BV816" s="43"/>
      <c r="BW816" s="43"/>
      <c r="BX816" s="43"/>
      <c r="BY816" s="43"/>
      <c r="BZ816" s="43"/>
      <c r="CA816" s="43"/>
    </row>
    <row r="817">
      <c r="A817" s="47"/>
      <c r="B817" s="47"/>
      <c r="C817" s="47"/>
      <c r="D817" s="47"/>
      <c r="E817" s="47"/>
      <c r="F817" s="47"/>
      <c r="G817" s="47"/>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c r="BP817" s="43"/>
      <c r="BQ817" s="43"/>
      <c r="BR817" s="43"/>
      <c r="BS817" s="43"/>
      <c r="BT817" s="43"/>
      <c r="BU817" s="43"/>
      <c r="BV817" s="43"/>
      <c r="BW817" s="43"/>
      <c r="BX817" s="43"/>
      <c r="BY817" s="43"/>
      <c r="BZ817" s="43"/>
      <c r="CA817" s="43"/>
    </row>
    <row r="818">
      <c r="A818" s="47"/>
      <c r="B818" s="47"/>
      <c r="C818" s="47"/>
      <c r="D818" s="47"/>
      <c r="E818" s="47"/>
      <c r="F818" s="47"/>
      <c r="G818" s="47"/>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c r="BO818" s="43"/>
      <c r="BP818" s="43"/>
      <c r="BQ818" s="43"/>
      <c r="BR818" s="43"/>
      <c r="BS818" s="43"/>
      <c r="BT818" s="43"/>
      <c r="BU818" s="43"/>
      <c r="BV818" s="43"/>
      <c r="BW818" s="43"/>
      <c r="BX818" s="43"/>
      <c r="BY818" s="43"/>
      <c r="BZ818" s="43"/>
      <c r="CA818" s="43"/>
    </row>
    <row r="819">
      <c r="A819" s="47"/>
      <c r="B819" s="47"/>
      <c r="C819" s="47"/>
      <c r="D819" s="47"/>
      <c r="E819" s="47"/>
      <c r="F819" s="47"/>
      <c r="G819" s="47"/>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c r="BO819" s="43"/>
      <c r="BP819" s="43"/>
      <c r="BQ819" s="43"/>
      <c r="BR819" s="43"/>
      <c r="BS819" s="43"/>
      <c r="BT819" s="43"/>
      <c r="BU819" s="43"/>
      <c r="BV819" s="43"/>
      <c r="BW819" s="43"/>
      <c r="BX819" s="43"/>
      <c r="BY819" s="43"/>
      <c r="BZ819" s="43"/>
      <c r="CA819" s="43"/>
    </row>
    <row r="820">
      <c r="A820" s="47"/>
      <c r="B820" s="47"/>
      <c r="C820" s="47"/>
      <c r="D820" s="47"/>
      <c r="E820" s="47"/>
      <c r="F820" s="47"/>
      <c r="G820" s="47"/>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c r="BO820" s="43"/>
      <c r="BP820" s="43"/>
      <c r="BQ820" s="43"/>
      <c r="BR820" s="43"/>
      <c r="BS820" s="43"/>
      <c r="BT820" s="43"/>
      <c r="BU820" s="43"/>
      <c r="BV820" s="43"/>
      <c r="BW820" s="43"/>
      <c r="BX820" s="43"/>
      <c r="BY820" s="43"/>
      <c r="BZ820" s="43"/>
      <c r="CA820" s="43"/>
    </row>
    <row r="821">
      <c r="A821" s="47"/>
      <c r="B821" s="47"/>
      <c r="C821" s="47"/>
      <c r="D821" s="47"/>
      <c r="E821" s="47"/>
      <c r="F821" s="47"/>
      <c r="G821" s="47"/>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c r="BO821" s="43"/>
      <c r="BP821" s="43"/>
      <c r="BQ821" s="43"/>
      <c r="BR821" s="43"/>
      <c r="BS821" s="43"/>
      <c r="BT821" s="43"/>
      <c r="BU821" s="43"/>
      <c r="BV821" s="43"/>
      <c r="BW821" s="43"/>
      <c r="BX821" s="43"/>
      <c r="BY821" s="43"/>
      <c r="BZ821" s="43"/>
      <c r="CA821" s="43"/>
    </row>
    <row r="822">
      <c r="A822" s="47"/>
      <c r="B822" s="47"/>
      <c r="C822" s="47"/>
      <c r="D822" s="47"/>
      <c r="E822" s="47"/>
      <c r="F822" s="47"/>
      <c r="G822" s="47"/>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c r="BO822" s="43"/>
      <c r="BP822" s="43"/>
      <c r="BQ822" s="43"/>
      <c r="BR822" s="43"/>
      <c r="BS822" s="43"/>
      <c r="BT822" s="43"/>
      <c r="BU822" s="43"/>
      <c r="BV822" s="43"/>
      <c r="BW822" s="43"/>
      <c r="BX822" s="43"/>
      <c r="BY822" s="43"/>
      <c r="BZ822" s="43"/>
      <c r="CA822" s="43"/>
    </row>
    <row r="823">
      <c r="A823" s="47"/>
      <c r="B823" s="47"/>
      <c r="C823" s="47"/>
      <c r="D823" s="47"/>
      <c r="E823" s="47"/>
      <c r="F823" s="47"/>
      <c r="G823" s="47"/>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c r="BO823" s="43"/>
      <c r="BP823" s="43"/>
      <c r="BQ823" s="43"/>
      <c r="BR823" s="43"/>
      <c r="BS823" s="43"/>
      <c r="BT823" s="43"/>
      <c r="BU823" s="43"/>
      <c r="BV823" s="43"/>
      <c r="BW823" s="43"/>
      <c r="BX823" s="43"/>
      <c r="BY823" s="43"/>
      <c r="BZ823" s="43"/>
      <c r="CA823" s="43"/>
    </row>
    <row r="824">
      <c r="A824" s="47"/>
      <c r="B824" s="47"/>
      <c r="C824" s="47"/>
      <c r="D824" s="47"/>
      <c r="E824" s="47"/>
      <c r="F824" s="47"/>
      <c r="G824" s="47"/>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3"/>
      <c r="BY824" s="43"/>
      <c r="BZ824" s="43"/>
      <c r="CA824" s="43"/>
    </row>
    <row r="825">
      <c r="A825" s="47"/>
      <c r="B825" s="47"/>
      <c r="C825" s="47"/>
      <c r="D825" s="47"/>
      <c r="E825" s="47"/>
      <c r="F825" s="47"/>
      <c r="G825" s="47"/>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c r="BO825" s="43"/>
      <c r="BP825" s="43"/>
      <c r="BQ825" s="43"/>
      <c r="BR825" s="43"/>
      <c r="BS825" s="43"/>
      <c r="BT825" s="43"/>
      <c r="BU825" s="43"/>
      <c r="BV825" s="43"/>
      <c r="BW825" s="43"/>
      <c r="BX825" s="43"/>
      <c r="BY825" s="43"/>
      <c r="BZ825" s="43"/>
      <c r="CA825" s="43"/>
    </row>
    <row r="826">
      <c r="A826" s="47"/>
      <c r="B826" s="47"/>
      <c r="C826" s="47"/>
      <c r="D826" s="47"/>
      <c r="E826" s="47"/>
      <c r="F826" s="47"/>
      <c r="G826" s="47"/>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c r="BO826" s="43"/>
      <c r="BP826" s="43"/>
      <c r="BQ826" s="43"/>
      <c r="BR826" s="43"/>
      <c r="BS826" s="43"/>
      <c r="BT826" s="43"/>
      <c r="BU826" s="43"/>
      <c r="BV826" s="43"/>
      <c r="BW826" s="43"/>
      <c r="BX826" s="43"/>
      <c r="BY826" s="43"/>
      <c r="BZ826" s="43"/>
      <c r="CA826" s="43"/>
    </row>
    <row r="827">
      <c r="A827" s="47"/>
      <c r="B827" s="47"/>
      <c r="C827" s="47"/>
      <c r="D827" s="47"/>
      <c r="E827" s="47"/>
      <c r="F827" s="47"/>
      <c r="G827" s="47"/>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c r="BO827" s="43"/>
      <c r="BP827" s="43"/>
      <c r="BQ827" s="43"/>
      <c r="BR827" s="43"/>
      <c r="BS827" s="43"/>
      <c r="BT827" s="43"/>
      <c r="BU827" s="43"/>
      <c r="BV827" s="43"/>
      <c r="BW827" s="43"/>
      <c r="BX827" s="43"/>
      <c r="BY827" s="43"/>
      <c r="BZ827" s="43"/>
      <c r="CA827" s="43"/>
    </row>
    <row r="828">
      <c r="A828" s="47"/>
      <c r="B828" s="47"/>
      <c r="C828" s="47"/>
      <c r="D828" s="47"/>
      <c r="E828" s="47"/>
      <c r="F828" s="47"/>
      <c r="G828" s="47"/>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c r="BO828" s="43"/>
      <c r="BP828" s="43"/>
      <c r="BQ828" s="43"/>
      <c r="BR828" s="43"/>
      <c r="BS828" s="43"/>
      <c r="BT828" s="43"/>
      <c r="BU828" s="43"/>
      <c r="BV828" s="43"/>
      <c r="BW828" s="43"/>
      <c r="BX828" s="43"/>
      <c r="BY828" s="43"/>
      <c r="BZ828" s="43"/>
      <c r="CA828" s="43"/>
    </row>
    <row r="829">
      <c r="A829" s="47"/>
      <c r="B829" s="47"/>
      <c r="C829" s="47"/>
      <c r="D829" s="47"/>
      <c r="E829" s="47"/>
      <c r="F829" s="47"/>
      <c r="G829" s="47"/>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c r="BO829" s="43"/>
      <c r="BP829" s="43"/>
      <c r="BQ829" s="43"/>
      <c r="BR829" s="43"/>
      <c r="BS829" s="43"/>
      <c r="BT829" s="43"/>
      <c r="BU829" s="43"/>
      <c r="BV829" s="43"/>
      <c r="BW829" s="43"/>
      <c r="BX829" s="43"/>
      <c r="BY829" s="43"/>
      <c r="BZ829" s="43"/>
      <c r="CA829" s="43"/>
    </row>
    <row r="830">
      <c r="A830" s="47"/>
      <c r="B830" s="47"/>
      <c r="C830" s="47"/>
      <c r="D830" s="47"/>
      <c r="E830" s="47"/>
      <c r="F830" s="47"/>
      <c r="G830" s="47"/>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3"/>
      <c r="BY830" s="43"/>
      <c r="BZ830" s="43"/>
      <c r="CA830" s="43"/>
    </row>
    <row r="831">
      <c r="A831" s="47"/>
      <c r="B831" s="47"/>
      <c r="C831" s="47"/>
      <c r="D831" s="47"/>
      <c r="E831" s="47"/>
      <c r="F831" s="47"/>
      <c r="G831" s="47"/>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c r="BO831" s="43"/>
      <c r="BP831" s="43"/>
      <c r="BQ831" s="43"/>
      <c r="BR831" s="43"/>
      <c r="BS831" s="43"/>
      <c r="BT831" s="43"/>
      <c r="BU831" s="43"/>
      <c r="BV831" s="43"/>
      <c r="BW831" s="43"/>
      <c r="BX831" s="43"/>
      <c r="BY831" s="43"/>
      <c r="BZ831" s="43"/>
      <c r="CA831" s="43"/>
    </row>
    <row r="832">
      <c r="A832" s="47"/>
      <c r="B832" s="47"/>
      <c r="C832" s="47"/>
      <c r="D832" s="47"/>
      <c r="E832" s="47"/>
      <c r="F832" s="47"/>
      <c r="G832" s="47"/>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c r="BO832" s="43"/>
      <c r="BP832" s="43"/>
      <c r="BQ832" s="43"/>
      <c r="BR832" s="43"/>
      <c r="BS832" s="43"/>
      <c r="BT832" s="43"/>
      <c r="BU832" s="43"/>
      <c r="BV832" s="43"/>
      <c r="BW832" s="43"/>
      <c r="BX832" s="43"/>
      <c r="BY832" s="43"/>
      <c r="BZ832" s="43"/>
      <c r="CA832" s="43"/>
    </row>
    <row r="833">
      <c r="A833" s="47"/>
      <c r="B833" s="47"/>
      <c r="C833" s="47"/>
      <c r="D833" s="47"/>
      <c r="E833" s="47"/>
      <c r="F833" s="47"/>
      <c r="G833" s="47"/>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c r="BO833" s="43"/>
      <c r="BP833" s="43"/>
      <c r="BQ833" s="43"/>
      <c r="BR833" s="43"/>
      <c r="BS833" s="43"/>
      <c r="BT833" s="43"/>
      <c r="BU833" s="43"/>
      <c r="BV833" s="43"/>
      <c r="BW833" s="43"/>
      <c r="BX833" s="43"/>
      <c r="BY833" s="43"/>
      <c r="BZ833" s="43"/>
      <c r="CA833" s="43"/>
    </row>
    <row r="834">
      <c r="A834" s="47"/>
      <c r="B834" s="47"/>
      <c r="C834" s="47"/>
      <c r="D834" s="47"/>
      <c r="E834" s="47"/>
      <c r="F834" s="47"/>
      <c r="G834" s="47"/>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c r="BO834" s="43"/>
      <c r="BP834" s="43"/>
      <c r="BQ834" s="43"/>
      <c r="BR834" s="43"/>
      <c r="BS834" s="43"/>
      <c r="BT834" s="43"/>
      <c r="BU834" s="43"/>
      <c r="BV834" s="43"/>
      <c r="BW834" s="43"/>
      <c r="BX834" s="43"/>
      <c r="BY834" s="43"/>
      <c r="BZ834" s="43"/>
      <c r="CA834" s="43"/>
    </row>
    <row r="835">
      <c r="A835" s="47"/>
      <c r="B835" s="47"/>
      <c r="C835" s="47"/>
      <c r="D835" s="47"/>
      <c r="E835" s="47"/>
      <c r="F835" s="47"/>
      <c r="G835" s="47"/>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c r="BP835" s="43"/>
      <c r="BQ835" s="43"/>
      <c r="BR835" s="43"/>
      <c r="BS835" s="43"/>
      <c r="BT835" s="43"/>
      <c r="BU835" s="43"/>
      <c r="BV835" s="43"/>
      <c r="BW835" s="43"/>
      <c r="BX835" s="43"/>
      <c r="BY835" s="43"/>
      <c r="BZ835" s="43"/>
      <c r="CA835" s="43"/>
    </row>
    <row r="836">
      <c r="A836" s="47"/>
      <c r="B836" s="47"/>
      <c r="C836" s="47"/>
      <c r="D836" s="47"/>
      <c r="E836" s="47"/>
      <c r="F836" s="47"/>
      <c r="G836" s="47"/>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c r="BO836" s="43"/>
      <c r="BP836" s="43"/>
      <c r="BQ836" s="43"/>
      <c r="BR836" s="43"/>
      <c r="BS836" s="43"/>
      <c r="BT836" s="43"/>
      <c r="BU836" s="43"/>
      <c r="BV836" s="43"/>
      <c r="BW836" s="43"/>
      <c r="BX836" s="43"/>
      <c r="BY836" s="43"/>
      <c r="BZ836" s="43"/>
      <c r="CA836" s="43"/>
    </row>
    <row r="837">
      <c r="A837" s="47"/>
      <c r="B837" s="47"/>
      <c r="C837" s="47"/>
      <c r="D837" s="47"/>
      <c r="E837" s="47"/>
      <c r="F837" s="47"/>
      <c r="G837" s="47"/>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c r="BO837" s="43"/>
      <c r="BP837" s="43"/>
      <c r="BQ837" s="43"/>
      <c r="BR837" s="43"/>
      <c r="BS837" s="43"/>
      <c r="BT837" s="43"/>
      <c r="BU837" s="43"/>
      <c r="BV837" s="43"/>
      <c r="BW837" s="43"/>
      <c r="BX837" s="43"/>
      <c r="BY837" s="43"/>
      <c r="BZ837" s="43"/>
      <c r="CA837" s="43"/>
    </row>
    <row r="838">
      <c r="A838" s="47"/>
      <c r="B838" s="47"/>
      <c r="C838" s="47"/>
      <c r="D838" s="47"/>
      <c r="E838" s="47"/>
      <c r="F838" s="47"/>
      <c r="G838" s="47"/>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c r="BO838" s="43"/>
      <c r="BP838" s="43"/>
      <c r="BQ838" s="43"/>
      <c r="BR838" s="43"/>
      <c r="BS838" s="43"/>
      <c r="BT838" s="43"/>
      <c r="BU838" s="43"/>
      <c r="BV838" s="43"/>
      <c r="BW838" s="43"/>
      <c r="BX838" s="43"/>
      <c r="BY838" s="43"/>
      <c r="BZ838" s="43"/>
      <c r="CA838" s="43"/>
    </row>
    <row r="839">
      <c r="A839" s="47"/>
      <c r="B839" s="47"/>
      <c r="C839" s="47"/>
      <c r="D839" s="47"/>
      <c r="E839" s="47"/>
      <c r="F839" s="47"/>
      <c r="G839" s="47"/>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c r="BO839" s="43"/>
      <c r="BP839" s="43"/>
      <c r="BQ839" s="43"/>
      <c r="BR839" s="43"/>
      <c r="BS839" s="43"/>
      <c r="BT839" s="43"/>
      <c r="BU839" s="43"/>
      <c r="BV839" s="43"/>
      <c r="BW839" s="43"/>
      <c r="BX839" s="43"/>
      <c r="BY839" s="43"/>
      <c r="BZ839" s="43"/>
      <c r="CA839" s="43"/>
    </row>
    <row r="840">
      <c r="A840" s="47"/>
      <c r="B840" s="47"/>
      <c r="C840" s="47"/>
      <c r="D840" s="47"/>
      <c r="E840" s="47"/>
      <c r="F840" s="47"/>
      <c r="G840" s="47"/>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c r="BO840" s="43"/>
      <c r="BP840" s="43"/>
      <c r="BQ840" s="43"/>
      <c r="BR840" s="43"/>
      <c r="BS840" s="43"/>
      <c r="BT840" s="43"/>
      <c r="BU840" s="43"/>
      <c r="BV840" s="43"/>
      <c r="BW840" s="43"/>
      <c r="BX840" s="43"/>
      <c r="BY840" s="43"/>
      <c r="BZ840" s="43"/>
      <c r="CA840" s="43"/>
    </row>
    <row r="841">
      <c r="A841" s="47"/>
      <c r="B841" s="47"/>
      <c r="C841" s="47"/>
      <c r="D841" s="47"/>
      <c r="E841" s="47"/>
      <c r="F841" s="47"/>
      <c r="G841" s="47"/>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c r="BO841" s="43"/>
      <c r="BP841" s="43"/>
      <c r="BQ841" s="43"/>
      <c r="BR841" s="43"/>
      <c r="BS841" s="43"/>
      <c r="BT841" s="43"/>
      <c r="BU841" s="43"/>
      <c r="BV841" s="43"/>
      <c r="BW841" s="43"/>
      <c r="BX841" s="43"/>
      <c r="BY841" s="43"/>
      <c r="BZ841" s="43"/>
      <c r="CA841" s="43"/>
    </row>
    <row r="842">
      <c r="A842" s="47"/>
      <c r="B842" s="47"/>
      <c r="C842" s="47"/>
      <c r="D842" s="47"/>
      <c r="E842" s="47"/>
      <c r="F842" s="47"/>
      <c r="G842" s="47"/>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c r="BO842" s="43"/>
      <c r="BP842" s="43"/>
      <c r="BQ842" s="43"/>
      <c r="BR842" s="43"/>
      <c r="BS842" s="43"/>
      <c r="BT842" s="43"/>
      <c r="BU842" s="43"/>
      <c r="BV842" s="43"/>
      <c r="BW842" s="43"/>
      <c r="BX842" s="43"/>
      <c r="BY842" s="43"/>
      <c r="BZ842" s="43"/>
      <c r="CA842" s="43"/>
    </row>
    <row r="843">
      <c r="A843" s="47"/>
      <c r="B843" s="47"/>
      <c r="C843" s="47"/>
      <c r="D843" s="47"/>
      <c r="E843" s="47"/>
      <c r="F843" s="47"/>
      <c r="G843" s="47"/>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c r="BO843" s="43"/>
      <c r="BP843" s="43"/>
      <c r="BQ843" s="43"/>
      <c r="BR843" s="43"/>
      <c r="BS843" s="43"/>
      <c r="BT843" s="43"/>
      <c r="BU843" s="43"/>
      <c r="BV843" s="43"/>
      <c r="BW843" s="43"/>
      <c r="BX843" s="43"/>
      <c r="BY843" s="43"/>
      <c r="BZ843" s="43"/>
      <c r="CA843" s="43"/>
    </row>
    <row r="844">
      <c r="A844" s="47"/>
      <c r="B844" s="47"/>
      <c r="C844" s="47"/>
      <c r="D844" s="47"/>
      <c r="E844" s="47"/>
      <c r="F844" s="47"/>
      <c r="G844" s="47"/>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c r="BO844" s="43"/>
      <c r="BP844" s="43"/>
      <c r="BQ844" s="43"/>
      <c r="BR844" s="43"/>
      <c r="BS844" s="43"/>
      <c r="BT844" s="43"/>
      <c r="BU844" s="43"/>
      <c r="BV844" s="43"/>
      <c r="BW844" s="43"/>
      <c r="BX844" s="43"/>
      <c r="BY844" s="43"/>
      <c r="BZ844" s="43"/>
      <c r="CA844" s="43"/>
    </row>
    <row r="845">
      <c r="A845" s="47"/>
      <c r="B845" s="47"/>
      <c r="C845" s="47"/>
      <c r="D845" s="47"/>
      <c r="E845" s="47"/>
      <c r="F845" s="47"/>
      <c r="G845" s="47"/>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c r="BO845" s="43"/>
      <c r="BP845" s="43"/>
      <c r="BQ845" s="43"/>
      <c r="BR845" s="43"/>
      <c r="BS845" s="43"/>
      <c r="BT845" s="43"/>
      <c r="BU845" s="43"/>
      <c r="BV845" s="43"/>
      <c r="BW845" s="43"/>
      <c r="BX845" s="43"/>
      <c r="BY845" s="43"/>
      <c r="BZ845" s="43"/>
      <c r="CA845" s="43"/>
    </row>
    <row r="846">
      <c r="A846" s="47"/>
      <c r="B846" s="47"/>
      <c r="C846" s="47"/>
      <c r="D846" s="47"/>
      <c r="E846" s="47"/>
      <c r="F846" s="47"/>
      <c r="G846" s="47"/>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c r="BO846" s="43"/>
      <c r="BP846" s="43"/>
      <c r="BQ846" s="43"/>
      <c r="BR846" s="43"/>
      <c r="BS846" s="43"/>
      <c r="BT846" s="43"/>
      <c r="BU846" s="43"/>
      <c r="BV846" s="43"/>
      <c r="BW846" s="43"/>
      <c r="BX846" s="43"/>
      <c r="BY846" s="43"/>
      <c r="BZ846" s="43"/>
      <c r="CA846" s="43"/>
    </row>
    <row r="847">
      <c r="A847" s="47"/>
      <c r="B847" s="47"/>
      <c r="C847" s="47"/>
      <c r="D847" s="47"/>
      <c r="E847" s="47"/>
      <c r="F847" s="47"/>
      <c r="G847" s="47"/>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c r="BO847" s="43"/>
      <c r="BP847" s="43"/>
      <c r="BQ847" s="43"/>
      <c r="BR847" s="43"/>
      <c r="BS847" s="43"/>
      <c r="BT847" s="43"/>
      <c r="BU847" s="43"/>
      <c r="BV847" s="43"/>
      <c r="BW847" s="43"/>
      <c r="BX847" s="43"/>
      <c r="BY847" s="43"/>
      <c r="BZ847" s="43"/>
      <c r="CA847" s="43"/>
    </row>
    <row r="848">
      <c r="A848" s="47"/>
      <c r="B848" s="47"/>
      <c r="C848" s="47"/>
      <c r="D848" s="47"/>
      <c r="E848" s="47"/>
      <c r="F848" s="47"/>
      <c r="G848" s="47"/>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c r="BP848" s="43"/>
      <c r="BQ848" s="43"/>
      <c r="BR848" s="43"/>
      <c r="BS848" s="43"/>
      <c r="BT848" s="43"/>
      <c r="BU848" s="43"/>
      <c r="BV848" s="43"/>
      <c r="BW848" s="43"/>
      <c r="BX848" s="43"/>
      <c r="BY848" s="43"/>
      <c r="BZ848" s="43"/>
      <c r="CA848" s="43"/>
    </row>
    <row r="849">
      <c r="A849" s="47"/>
      <c r="B849" s="47"/>
      <c r="C849" s="47"/>
      <c r="D849" s="47"/>
      <c r="E849" s="47"/>
      <c r="F849" s="47"/>
      <c r="G849" s="47"/>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c r="BO849" s="43"/>
      <c r="BP849" s="43"/>
      <c r="BQ849" s="43"/>
      <c r="BR849" s="43"/>
      <c r="BS849" s="43"/>
      <c r="BT849" s="43"/>
      <c r="BU849" s="43"/>
      <c r="BV849" s="43"/>
      <c r="BW849" s="43"/>
      <c r="BX849" s="43"/>
      <c r="BY849" s="43"/>
      <c r="BZ849" s="43"/>
      <c r="CA849" s="43"/>
    </row>
    <row r="850">
      <c r="A850" s="47"/>
      <c r="B850" s="47"/>
      <c r="C850" s="47"/>
      <c r="D850" s="47"/>
      <c r="E850" s="47"/>
      <c r="F850" s="47"/>
      <c r="G850" s="47"/>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c r="BO850" s="43"/>
      <c r="BP850" s="43"/>
      <c r="BQ850" s="43"/>
      <c r="BR850" s="43"/>
      <c r="BS850" s="43"/>
      <c r="BT850" s="43"/>
      <c r="BU850" s="43"/>
      <c r="BV850" s="43"/>
      <c r="BW850" s="43"/>
      <c r="BX850" s="43"/>
      <c r="BY850" s="43"/>
      <c r="BZ850" s="43"/>
      <c r="CA850" s="43"/>
    </row>
    <row r="851">
      <c r="A851" s="47"/>
      <c r="B851" s="47"/>
      <c r="C851" s="47"/>
      <c r="D851" s="47"/>
      <c r="E851" s="47"/>
      <c r="F851" s="47"/>
      <c r="G851" s="47"/>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c r="BO851" s="43"/>
      <c r="BP851" s="43"/>
      <c r="BQ851" s="43"/>
      <c r="BR851" s="43"/>
      <c r="BS851" s="43"/>
      <c r="BT851" s="43"/>
      <c r="BU851" s="43"/>
      <c r="BV851" s="43"/>
      <c r="BW851" s="43"/>
      <c r="BX851" s="43"/>
      <c r="BY851" s="43"/>
      <c r="BZ851" s="43"/>
      <c r="CA851" s="43"/>
    </row>
    <row r="852">
      <c r="A852" s="47"/>
      <c r="B852" s="47"/>
      <c r="C852" s="47"/>
      <c r="D852" s="47"/>
      <c r="E852" s="47"/>
      <c r="F852" s="47"/>
      <c r="G852" s="47"/>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c r="BO852" s="43"/>
      <c r="BP852" s="43"/>
      <c r="BQ852" s="43"/>
      <c r="BR852" s="43"/>
      <c r="BS852" s="43"/>
      <c r="BT852" s="43"/>
      <c r="BU852" s="43"/>
      <c r="BV852" s="43"/>
      <c r="BW852" s="43"/>
      <c r="BX852" s="43"/>
      <c r="BY852" s="43"/>
      <c r="BZ852" s="43"/>
      <c r="CA852" s="43"/>
    </row>
    <row r="853">
      <c r="A853" s="47"/>
      <c r="B853" s="47"/>
      <c r="C853" s="47"/>
      <c r="D853" s="47"/>
      <c r="E853" s="47"/>
      <c r="F853" s="47"/>
      <c r="G853" s="47"/>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c r="BO853" s="43"/>
      <c r="BP853" s="43"/>
      <c r="BQ853" s="43"/>
      <c r="BR853" s="43"/>
      <c r="BS853" s="43"/>
      <c r="BT853" s="43"/>
      <c r="BU853" s="43"/>
      <c r="BV853" s="43"/>
      <c r="BW853" s="43"/>
      <c r="BX853" s="43"/>
      <c r="BY853" s="43"/>
      <c r="BZ853" s="43"/>
      <c r="CA853" s="43"/>
    </row>
    <row r="854">
      <c r="A854" s="47"/>
      <c r="B854" s="47"/>
      <c r="C854" s="47"/>
      <c r="D854" s="47"/>
      <c r="E854" s="47"/>
      <c r="F854" s="47"/>
      <c r="G854" s="47"/>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c r="BP854" s="43"/>
      <c r="BQ854" s="43"/>
      <c r="BR854" s="43"/>
      <c r="BS854" s="43"/>
      <c r="BT854" s="43"/>
      <c r="BU854" s="43"/>
      <c r="BV854" s="43"/>
      <c r="BW854" s="43"/>
      <c r="BX854" s="43"/>
      <c r="BY854" s="43"/>
      <c r="BZ854" s="43"/>
      <c r="CA854" s="43"/>
    </row>
    <row r="855">
      <c r="A855" s="47"/>
      <c r="B855" s="47"/>
      <c r="C855" s="47"/>
      <c r="D855" s="47"/>
      <c r="E855" s="47"/>
      <c r="F855" s="47"/>
      <c r="G855" s="47"/>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c r="BO855" s="43"/>
      <c r="BP855" s="43"/>
      <c r="BQ855" s="43"/>
      <c r="BR855" s="43"/>
      <c r="BS855" s="43"/>
      <c r="BT855" s="43"/>
      <c r="BU855" s="43"/>
      <c r="BV855" s="43"/>
      <c r="BW855" s="43"/>
      <c r="BX855" s="43"/>
      <c r="BY855" s="43"/>
      <c r="BZ855" s="43"/>
      <c r="CA855" s="43"/>
    </row>
    <row r="856">
      <c r="A856" s="47"/>
      <c r="B856" s="47"/>
      <c r="C856" s="47"/>
      <c r="D856" s="47"/>
      <c r="E856" s="47"/>
      <c r="F856" s="47"/>
      <c r="G856" s="47"/>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c r="BO856" s="43"/>
      <c r="BP856" s="43"/>
      <c r="BQ856" s="43"/>
      <c r="BR856" s="43"/>
      <c r="BS856" s="43"/>
      <c r="BT856" s="43"/>
      <c r="BU856" s="43"/>
      <c r="BV856" s="43"/>
      <c r="BW856" s="43"/>
      <c r="BX856" s="43"/>
      <c r="BY856" s="43"/>
      <c r="BZ856" s="43"/>
      <c r="CA856" s="43"/>
    </row>
    <row r="857">
      <c r="A857" s="47"/>
      <c r="B857" s="47"/>
      <c r="C857" s="47"/>
      <c r="D857" s="47"/>
      <c r="E857" s="47"/>
      <c r="F857" s="47"/>
      <c r="G857" s="47"/>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c r="BO857" s="43"/>
      <c r="BP857" s="43"/>
      <c r="BQ857" s="43"/>
      <c r="BR857" s="43"/>
      <c r="BS857" s="43"/>
      <c r="BT857" s="43"/>
      <c r="BU857" s="43"/>
      <c r="BV857" s="43"/>
      <c r="BW857" s="43"/>
      <c r="BX857" s="43"/>
      <c r="BY857" s="43"/>
      <c r="BZ857" s="43"/>
      <c r="CA857" s="43"/>
    </row>
    <row r="858">
      <c r="A858" s="47"/>
      <c r="B858" s="47"/>
      <c r="C858" s="47"/>
      <c r="D858" s="47"/>
      <c r="E858" s="47"/>
      <c r="F858" s="47"/>
      <c r="G858" s="47"/>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c r="BP858" s="43"/>
      <c r="BQ858" s="43"/>
      <c r="BR858" s="43"/>
      <c r="BS858" s="43"/>
      <c r="BT858" s="43"/>
      <c r="BU858" s="43"/>
      <c r="BV858" s="43"/>
      <c r="BW858" s="43"/>
      <c r="BX858" s="43"/>
      <c r="BY858" s="43"/>
      <c r="BZ858" s="43"/>
      <c r="CA858" s="43"/>
    </row>
    <row r="859">
      <c r="A859" s="47"/>
      <c r="B859" s="47"/>
      <c r="C859" s="47"/>
      <c r="D859" s="47"/>
      <c r="E859" s="47"/>
      <c r="F859" s="47"/>
      <c r="G859" s="47"/>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c r="BO859" s="43"/>
      <c r="BP859" s="43"/>
      <c r="BQ859" s="43"/>
      <c r="BR859" s="43"/>
      <c r="BS859" s="43"/>
      <c r="BT859" s="43"/>
      <c r="BU859" s="43"/>
      <c r="BV859" s="43"/>
      <c r="BW859" s="43"/>
      <c r="BX859" s="43"/>
      <c r="BY859" s="43"/>
      <c r="BZ859" s="43"/>
      <c r="CA859" s="43"/>
    </row>
    <row r="860">
      <c r="A860" s="47"/>
      <c r="B860" s="47"/>
      <c r="C860" s="47"/>
      <c r="D860" s="47"/>
      <c r="E860" s="47"/>
      <c r="F860" s="47"/>
      <c r="G860" s="47"/>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c r="BO860" s="43"/>
      <c r="BP860" s="43"/>
      <c r="BQ860" s="43"/>
      <c r="BR860" s="43"/>
      <c r="BS860" s="43"/>
      <c r="BT860" s="43"/>
      <c r="BU860" s="43"/>
      <c r="BV860" s="43"/>
      <c r="BW860" s="43"/>
      <c r="BX860" s="43"/>
      <c r="BY860" s="43"/>
      <c r="BZ860" s="43"/>
      <c r="CA860" s="43"/>
    </row>
    <row r="861">
      <c r="A861" s="47"/>
      <c r="B861" s="47"/>
      <c r="C861" s="47"/>
      <c r="D861" s="47"/>
      <c r="E861" s="47"/>
      <c r="F861" s="47"/>
      <c r="G861" s="47"/>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c r="BO861" s="43"/>
      <c r="BP861" s="43"/>
      <c r="BQ861" s="43"/>
      <c r="BR861" s="43"/>
      <c r="BS861" s="43"/>
      <c r="BT861" s="43"/>
      <c r="BU861" s="43"/>
      <c r="BV861" s="43"/>
      <c r="BW861" s="43"/>
      <c r="BX861" s="43"/>
      <c r="BY861" s="43"/>
      <c r="BZ861" s="43"/>
      <c r="CA861" s="43"/>
    </row>
    <row r="862">
      <c r="A862" s="47"/>
      <c r="B862" s="47"/>
      <c r="C862" s="47"/>
      <c r="D862" s="47"/>
      <c r="E862" s="47"/>
      <c r="F862" s="47"/>
      <c r="G862" s="47"/>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c r="BP862" s="43"/>
      <c r="BQ862" s="43"/>
      <c r="BR862" s="43"/>
      <c r="BS862" s="43"/>
      <c r="BT862" s="43"/>
      <c r="BU862" s="43"/>
      <c r="BV862" s="43"/>
      <c r="BW862" s="43"/>
      <c r="BX862" s="43"/>
      <c r="BY862" s="43"/>
      <c r="BZ862" s="43"/>
      <c r="CA862" s="43"/>
    </row>
    <row r="863">
      <c r="A863" s="47"/>
      <c r="B863" s="47"/>
      <c r="C863" s="47"/>
      <c r="D863" s="47"/>
      <c r="E863" s="47"/>
      <c r="F863" s="47"/>
      <c r="G863" s="47"/>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c r="BO863" s="43"/>
      <c r="BP863" s="43"/>
      <c r="BQ863" s="43"/>
      <c r="BR863" s="43"/>
      <c r="BS863" s="43"/>
      <c r="BT863" s="43"/>
      <c r="BU863" s="43"/>
      <c r="BV863" s="43"/>
      <c r="BW863" s="43"/>
      <c r="BX863" s="43"/>
      <c r="BY863" s="43"/>
      <c r="BZ863" s="43"/>
      <c r="CA863" s="43"/>
    </row>
    <row r="864">
      <c r="A864" s="47"/>
      <c r="B864" s="47"/>
      <c r="C864" s="47"/>
      <c r="D864" s="47"/>
      <c r="E864" s="47"/>
      <c r="F864" s="47"/>
      <c r="G864" s="47"/>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c r="BO864" s="43"/>
      <c r="BP864" s="43"/>
      <c r="BQ864" s="43"/>
      <c r="BR864" s="43"/>
      <c r="BS864" s="43"/>
      <c r="BT864" s="43"/>
      <c r="BU864" s="43"/>
      <c r="BV864" s="43"/>
      <c r="BW864" s="43"/>
      <c r="BX864" s="43"/>
      <c r="BY864" s="43"/>
      <c r="BZ864" s="43"/>
      <c r="CA864" s="43"/>
    </row>
    <row r="865">
      <c r="A865" s="47"/>
      <c r="B865" s="47"/>
      <c r="C865" s="47"/>
      <c r="D865" s="47"/>
      <c r="E865" s="47"/>
      <c r="F865" s="47"/>
      <c r="G865" s="47"/>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c r="BO865" s="43"/>
      <c r="BP865" s="43"/>
      <c r="BQ865" s="43"/>
      <c r="BR865" s="43"/>
      <c r="BS865" s="43"/>
      <c r="BT865" s="43"/>
      <c r="BU865" s="43"/>
      <c r="BV865" s="43"/>
      <c r="BW865" s="43"/>
      <c r="BX865" s="43"/>
      <c r="BY865" s="43"/>
      <c r="BZ865" s="43"/>
      <c r="CA865" s="43"/>
    </row>
    <row r="866">
      <c r="A866" s="47"/>
      <c r="B866" s="47"/>
      <c r="C866" s="47"/>
      <c r="D866" s="47"/>
      <c r="E866" s="47"/>
      <c r="F866" s="47"/>
      <c r="G866" s="47"/>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c r="BP866" s="43"/>
      <c r="BQ866" s="43"/>
      <c r="BR866" s="43"/>
      <c r="BS866" s="43"/>
      <c r="BT866" s="43"/>
      <c r="BU866" s="43"/>
      <c r="BV866" s="43"/>
      <c r="BW866" s="43"/>
      <c r="BX866" s="43"/>
      <c r="BY866" s="43"/>
      <c r="BZ866" s="43"/>
      <c r="CA866" s="43"/>
    </row>
    <row r="867">
      <c r="A867" s="47"/>
      <c r="B867" s="47"/>
      <c r="C867" s="47"/>
      <c r="D867" s="47"/>
      <c r="E867" s="47"/>
      <c r="F867" s="47"/>
      <c r="G867" s="47"/>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c r="BO867" s="43"/>
      <c r="BP867" s="43"/>
      <c r="BQ867" s="43"/>
      <c r="BR867" s="43"/>
      <c r="BS867" s="43"/>
      <c r="BT867" s="43"/>
      <c r="BU867" s="43"/>
      <c r="BV867" s="43"/>
      <c r="BW867" s="43"/>
      <c r="BX867" s="43"/>
      <c r="BY867" s="43"/>
      <c r="BZ867" s="43"/>
      <c r="CA867" s="43"/>
    </row>
    <row r="868">
      <c r="A868" s="47"/>
      <c r="B868" s="47"/>
      <c r="C868" s="47"/>
      <c r="D868" s="47"/>
      <c r="E868" s="47"/>
      <c r="F868" s="47"/>
      <c r="G868" s="47"/>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c r="BO868" s="43"/>
      <c r="BP868" s="43"/>
      <c r="BQ868" s="43"/>
      <c r="BR868" s="43"/>
      <c r="BS868" s="43"/>
      <c r="BT868" s="43"/>
      <c r="BU868" s="43"/>
      <c r="BV868" s="43"/>
      <c r="BW868" s="43"/>
      <c r="BX868" s="43"/>
      <c r="BY868" s="43"/>
      <c r="BZ868" s="43"/>
      <c r="CA868" s="43"/>
    </row>
    <row r="869">
      <c r="A869" s="47"/>
      <c r="B869" s="47"/>
      <c r="C869" s="47"/>
      <c r="D869" s="47"/>
      <c r="E869" s="47"/>
      <c r="F869" s="47"/>
      <c r="G869" s="47"/>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c r="BO869" s="43"/>
      <c r="BP869" s="43"/>
      <c r="BQ869" s="43"/>
      <c r="BR869" s="43"/>
      <c r="BS869" s="43"/>
      <c r="BT869" s="43"/>
      <c r="BU869" s="43"/>
      <c r="BV869" s="43"/>
      <c r="BW869" s="43"/>
      <c r="BX869" s="43"/>
      <c r="BY869" s="43"/>
      <c r="BZ869" s="43"/>
      <c r="CA869" s="43"/>
    </row>
    <row r="870">
      <c r="A870" s="47"/>
      <c r="B870" s="47"/>
      <c r="C870" s="47"/>
      <c r="D870" s="47"/>
      <c r="E870" s="47"/>
      <c r="F870" s="47"/>
      <c r="G870" s="47"/>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c r="BO870" s="43"/>
      <c r="BP870" s="43"/>
      <c r="BQ870" s="43"/>
      <c r="BR870" s="43"/>
      <c r="BS870" s="43"/>
      <c r="BT870" s="43"/>
      <c r="BU870" s="43"/>
      <c r="BV870" s="43"/>
      <c r="BW870" s="43"/>
      <c r="BX870" s="43"/>
      <c r="BY870" s="43"/>
      <c r="BZ870" s="43"/>
      <c r="CA870" s="43"/>
    </row>
    <row r="871">
      <c r="A871" s="47"/>
      <c r="B871" s="47"/>
      <c r="C871" s="47"/>
      <c r="D871" s="47"/>
      <c r="E871" s="47"/>
      <c r="F871" s="47"/>
      <c r="G871" s="47"/>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c r="BO871" s="43"/>
      <c r="BP871" s="43"/>
      <c r="BQ871" s="43"/>
      <c r="BR871" s="43"/>
      <c r="BS871" s="43"/>
      <c r="BT871" s="43"/>
      <c r="BU871" s="43"/>
      <c r="BV871" s="43"/>
      <c r="BW871" s="43"/>
      <c r="BX871" s="43"/>
      <c r="BY871" s="43"/>
      <c r="BZ871" s="43"/>
      <c r="CA871" s="43"/>
    </row>
    <row r="872">
      <c r="A872" s="47"/>
      <c r="B872" s="47"/>
      <c r="C872" s="47"/>
      <c r="D872" s="47"/>
      <c r="E872" s="47"/>
      <c r="F872" s="47"/>
      <c r="G872" s="47"/>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c r="BO872" s="43"/>
      <c r="BP872" s="43"/>
      <c r="BQ872" s="43"/>
      <c r="BR872" s="43"/>
      <c r="BS872" s="43"/>
      <c r="BT872" s="43"/>
      <c r="BU872" s="43"/>
      <c r="BV872" s="43"/>
      <c r="BW872" s="43"/>
      <c r="BX872" s="43"/>
      <c r="BY872" s="43"/>
      <c r="BZ872" s="43"/>
      <c r="CA872" s="43"/>
    </row>
    <row r="873">
      <c r="A873" s="47"/>
      <c r="B873" s="47"/>
      <c r="C873" s="47"/>
      <c r="D873" s="47"/>
      <c r="E873" s="47"/>
      <c r="F873" s="47"/>
      <c r="G873" s="47"/>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c r="BO873" s="43"/>
      <c r="BP873" s="43"/>
      <c r="BQ873" s="43"/>
      <c r="BR873" s="43"/>
      <c r="BS873" s="43"/>
      <c r="BT873" s="43"/>
      <c r="BU873" s="43"/>
      <c r="BV873" s="43"/>
      <c r="BW873" s="43"/>
      <c r="BX873" s="43"/>
      <c r="BY873" s="43"/>
      <c r="BZ873" s="43"/>
      <c r="CA873" s="43"/>
    </row>
    <row r="874">
      <c r="A874" s="47"/>
      <c r="B874" s="47"/>
      <c r="C874" s="47"/>
      <c r="D874" s="47"/>
      <c r="E874" s="47"/>
      <c r="F874" s="47"/>
      <c r="G874" s="47"/>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c r="BP874" s="43"/>
      <c r="BQ874" s="43"/>
      <c r="BR874" s="43"/>
      <c r="BS874" s="43"/>
      <c r="BT874" s="43"/>
      <c r="BU874" s="43"/>
      <c r="BV874" s="43"/>
      <c r="BW874" s="43"/>
      <c r="BX874" s="43"/>
      <c r="BY874" s="43"/>
      <c r="BZ874" s="43"/>
      <c r="CA874" s="43"/>
    </row>
    <row r="875">
      <c r="A875" s="47"/>
      <c r="B875" s="47"/>
      <c r="C875" s="47"/>
      <c r="D875" s="47"/>
      <c r="E875" s="47"/>
      <c r="F875" s="47"/>
      <c r="G875" s="47"/>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c r="BO875" s="43"/>
      <c r="BP875" s="43"/>
      <c r="BQ875" s="43"/>
      <c r="BR875" s="43"/>
      <c r="BS875" s="43"/>
      <c r="BT875" s="43"/>
      <c r="BU875" s="43"/>
      <c r="BV875" s="43"/>
      <c r="BW875" s="43"/>
      <c r="BX875" s="43"/>
      <c r="BY875" s="43"/>
      <c r="BZ875" s="43"/>
      <c r="CA875" s="43"/>
    </row>
    <row r="876">
      <c r="A876" s="47"/>
      <c r="B876" s="47"/>
      <c r="C876" s="47"/>
      <c r="D876" s="47"/>
      <c r="E876" s="47"/>
      <c r="F876" s="47"/>
      <c r="G876" s="47"/>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c r="BO876" s="43"/>
      <c r="BP876" s="43"/>
      <c r="BQ876" s="43"/>
      <c r="BR876" s="43"/>
      <c r="BS876" s="43"/>
      <c r="BT876" s="43"/>
      <c r="BU876" s="43"/>
      <c r="BV876" s="43"/>
      <c r="BW876" s="43"/>
      <c r="BX876" s="43"/>
      <c r="BY876" s="43"/>
      <c r="BZ876" s="43"/>
      <c r="CA876" s="43"/>
    </row>
    <row r="877">
      <c r="A877" s="47"/>
      <c r="B877" s="47"/>
      <c r="C877" s="47"/>
      <c r="D877" s="47"/>
      <c r="E877" s="47"/>
      <c r="F877" s="47"/>
      <c r="G877" s="47"/>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c r="BO877" s="43"/>
      <c r="BP877" s="43"/>
      <c r="BQ877" s="43"/>
      <c r="BR877" s="43"/>
      <c r="BS877" s="43"/>
      <c r="BT877" s="43"/>
      <c r="BU877" s="43"/>
      <c r="BV877" s="43"/>
      <c r="BW877" s="43"/>
      <c r="BX877" s="43"/>
      <c r="BY877" s="43"/>
      <c r="BZ877" s="43"/>
      <c r="CA877" s="43"/>
    </row>
    <row r="878">
      <c r="A878" s="47"/>
      <c r="B878" s="47"/>
      <c r="C878" s="47"/>
      <c r="D878" s="47"/>
      <c r="E878" s="47"/>
      <c r="F878" s="47"/>
      <c r="G878" s="47"/>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c r="BO878" s="43"/>
      <c r="BP878" s="43"/>
      <c r="BQ878" s="43"/>
      <c r="BR878" s="43"/>
      <c r="BS878" s="43"/>
      <c r="BT878" s="43"/>
      <c r="BU878" s="43"/>
      <c r="BV878" s="43"/>
      <c r="BW878" s="43"/>
      <c r="BX878" s="43"/>
      <c r="BY878" s="43"/>
      <c r="BZ878" s="43"/>
      <c r="CA878" s="43"/>
    </row>
    <row r="879">
      <c r="A879" s="47"/>
      <c r="B879" s="47"/>
      <c r="C879" s="47"/>
      <c r="D879" s="47"/>
      <c r="E879" s="47"/>
      <c r="F879" s="47"/>
      <c r="G879" s="47"/>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c r="BO879" s="43"/>
      <c r="BP879" s="43"/>
      <c r="BQ879" s="43"/>
      <c r="BR879" s="43"/>
      <c r="BS879" s="43"/>
      <c r="BT879" s="43"/>
      <c r="BU879" s="43"/>
      <c r="BV879" s="43"/>
      <c r="BW879" s="43"/>
      <c r="BX879" s="43"/>
      <c r="BY879" s="43"/>
      <c r="BZ879" s="43"/>
      <c r="CA879" s="43"/>
    </row>
    <row r="880">
      <c r="A880" s="47"/>
      <c r="B880" s="47"/>
      <c r="C880" s="47"/>
      <c r="D880" s="47"/>
      <c r="E880" s="47"/>
      <c r="F880" s="47"/>
      <c r="G880" s="47"/>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c r="BP880" s="43"/>
      <c r="BQ880" s="43"/>
      <c r="BR880" s="43"/>
      <c r="BS880" s="43"/>
      <c r="BT880" s="43"/>
      <c r="BU880" s="43"/>
      <c r="BV880" s="43"/>
      <c r="BW880" s="43"/>
      <c r="BX880" s="43"/>
      <c r="BY880" s="43"/>
      <c r="BZ880" s="43"/>
      <c r="CA880" s="43"/>
    </row>
    <row r="881">
      <c r="A881" s="47"/>
      <c r="B881" s="47"/>
      <c r="C881" s="47"/>
      <c r="D881" s="47"/>
      <c r="E881" s="47"/>
      <c r="F881" s="47"/>
      <c r="G881" s="47"/>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c r="BO881" s="43"/>
      <c r="BP881" s="43"/>
      <c r="BQ881" s="43"/>
      <c r="BR881" s="43"/>
      <c r="BS881" s="43"/>
      <c r="BT881" s="43"/>
      <c r="BU881" s="43"/>
      <c r="BV881" s="43"/>
      <c r="BW881" s="43"/>
      <c r="BX881" s="43"/>
      <c r="BY881" s="43"/>
      <c r="BZ881" s="43"/>
      <c r="CA881" s="43"/>
    </row>
    <row r="882">
      <c r="A882" s="47"/>
      <c r="B882" s="47"/>
      <c r="C882" s="47"/>
      <c r="D882" s="47"/>
      <c r="E882" s="47"/>
      <c r="F882" s="47"/>
      <c r="G882" s="47"/>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c r="BO882" s="43"/>
      <c r="BP882" s="43"/>
      <c r="BQ882" s="43"/>
      <c r="BR882" s="43"/>
      <c r="BS882" s="43"/>
      <c r="BT882" s="43"/>
      <c r="BU882" s="43"/>
      <c r="BV882" s="43"/>
      <c r="BW882" s="43"/>
      <c r="BX882" s="43"/>
      <c r="BY882" s="43"/>
      <c r="BZ882" s="43"/>
      <c r="CA882" s="43"/>
    </row>
    <row r="883">
      <c r="A883" s="47"/>
      <c r="B883" s="47"/>
      <c r="C883" s="47"/>
      <c r="D883" s="47"/>
      <c r="E883" s="47"/>
      <c r="F883" s="47"/>
      <c r="G883" s="47"/>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c r="BO883" s="43"/>
      <c r="BP883" s="43"/>
      <c r="BQ883" s="43"/>
      <c r="BR883" s="43"/>
      <c r="BS883" s="43"/>
      <c r="BT883" s="43"/>
      <c r="BU883" s="43"/>
      <c r="BV883" s="43"/>
      <c r="BW883" s="43"/>
      <c r="BX883" s="43"/>
      <c r="BY883" s="43"/>
      <c r="BZ883" s="43"/>
      <c r="CA883" s="43"/>
    </row>
    <row r="884">
      <c r="A884" s="47"/>
      <c r="B884" s="47"/>
      <c r="C884" s="47"/>
      <c r="D884" s="47"/>
      <c r="E884" s="47"/>
      <c r="F884" s="47"/>
      <c r="G884" s="47"/>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c r="BO884" s="43"/>
      <c r="BP884" s="43"/>
      <c r="BQ884" s="43"/>
      <c r="BR884" s="43"/>
      <c r="BS884" s="43"/>
      <c r="BT884" s="43"/>
      <c r="BU884" s="43"/>
      <c r="BV884" s="43"/>
      <c r="BW884" s="43"/>
      <c r="BX884" s="43"/>
      <c r="BY884" s="43"/>
      <c r="BZ884" s="43"/>
      <c r="CA884" s="43"/>
    </row>
    <row r="885">
      <c r="A885" s="47"/>
      <c r="B885" s="47"/>
      <c r="C885" s="47"/>
      <c r="D885" s="47"/>
      <c r="E885" s="47"/>
      <c r="F885" s="47"/>
      <c r="G885" s="47"/>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c r="BO885" s="43"/>
      <c r="BP885" s="43"/>
      <c r="BQ885" s="43"/>
      <c r="BR885" s="43"/>
      <c r="BS885" s="43"/>
      <c r="BT885" s="43"/>
      <c r="BU885" s="43"/>
      <c r="BV885" s="43"/>
      <c r="BW885" s="43"/>
      <c r="BX885" s="43"/>
      <c r="BY885" s="43"/>
      <c r="BZ885" s="43"/>
      <c r="CA885" s="43"/>
    </row>
    <row r="886">
      <c r="A886" s="47"/>
      <c r="B886" s="47"/>
      <c r="C886" s="47"/>
      <c r="D886" s="47"/>
      <c r="E886" s="47"/>
      <c r="F886" s="47"/>
      <c r="G886" s="47"/>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c r="BP886" s="43"/>
      <c r="BQ886" s="43"/>
      <c r="BR886" s="43"/>
      <c r="BS886" s="43"/>
      <c r="BT886" s="43"/>
      <c r="BU886" s="43"/>
      <c r="BV886" s="43"/>
      <c r="BW886" s="43"/>
      <c r="BX886" s="43"/>
      <c r="BY886" s="43"/>
      <c r="BZ886" s="43"/>
      <c r="CA886" s="43"/>
    </row>
    <row r="887">
      <c r="A887" s="47"/>
      <c r="B887" s="47"/>
      <c r="C887" s="47"/>
      <c r="D887" s="47"/>
      <c r="E887" s="47"/>
      <c r="F887" s="47"/>
      <c r="G887" s="47"/>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c r="BO887" s="43"/>
      <c r="BP887" s="43"/>
      <c r="BQ887" s="43"/>
      <c r="BR887" s="43"/>
      <c r="BS887" s="43"/>
      <c r="BT887" s="43"/>
      <c r="BU887" s="43"/>
      <c r="BV887" s="43"/>
      <c r="BW887" s="43"/>
      <c r="BX887" s="43"/>
      <c r="BY887" s="43"/>
      <c r="BZ887" s="43"/>
      <c r="CA887" s="43"/>
    </row>
    <row r="888">
      <c r="A888" s="47"/>
      <c r="B888" s="47"/>
      <c r="C888" s="47"/>
      <c r="D888" s="47"/>
      <c r="E888" s="47"/>
      <c r="F888" s="47"/>
      <c r="G888" s="47"/>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c r="BO888" s="43"/>
      <c r="BP888" s="43"/>
      <c r="BQ888" s="43"/>
      <c r="BR888" s="43"/>
      <c r="BS888" s="43"/>
      <c r="BT888" s="43"/>
      <c r="BU888" s="43"/>
      <c r="BV888" s="43"/>
      <c r="BW888" s="43"/>
      <c r="BX888" s="43"/>
      <c r="BY888" s="43"/>
      <c r="BZ888" s="43"/>
      <c r="CA888" s="43"/>
    </row>
    <row r="889">
      <c r="A889" s="47"/>
      <c r="B889" s="47"/>
      <c r="C889" s="47"/>
      <c r="D889" s="47"/>
      <c r="E889" s="47"/>
      <c r="F889" s="47"/>
      <c r="G889" s="47"/>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c r="BO889" s="43"/>
      <c r="BP889" s="43"/>
      <c r="BQ889" s="43"/>
      <c r="BR889" s="43"/>
      <c r="BS889" s="43"/>
      <c r="BT889" s="43"/>
      <c r="BU889" s="43"/>
      <c r="BV889" s="43"/>
      <c r="BW889" s="43"/>
      <c r="BX889" s="43"/>
      <c r="BY889" s="43"/>
      <c r="BZ889" s="43"/>
      <c r="CA889" s="43"/>
    </row>
    <row r="890">
      <c r="A890" s="47"/>
      <c r="B890" s="47"/>
      <c r="C890" s="47"/>
      <c r="D890" s="47"/>
      <c r="E890" s="47"/>
      <c r="F890" s="47"/>
      <c r="G890" s="47"/>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c r="BO890" s="43"/>
      <c r="BP890" s="43"/>
      <c r="BQ890" s="43"/>
      <c r="BR890" s="43"/>
      <c r="BS890" s="43"/>
      <c r="BT890" s="43"/>
      <c r="BU890" s="43"/>
      <c r="BV890" s="43"/>
      <c r="BW890" s="43"/>
      <c r="BX890" s="43"/>
      <c r="BY890" s="43"/>
      <c r="BZ890" s="43"/>
      <c r="CA890" s="43"/>
    </row>
    <row r="891">
      <c r="A891" s="47"/>
      <c r="B891" s="47"/>
      <c r="C891" s="47"/>
      <c r="D891" s="47"/>
      <c r="E891" s="47"/>
      <c r="F891" s="47"/>
      <c r="G891" s="47"/>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c r="BP891" s="43"/>
      <c r="BQ891" s="43"/>
      <c r="BR891" s="43"/>
      <c r="BS891" s="43"/>
      <c r="BT891" s="43"/>
      <c r="BU891" s="43"/>
      <c r="BV891" s="43"/>
      <c r="BW891" s="43"/>
      <c r="BX891" s="43"/>
      <c r="BY891" s="43"/>
      <c r="BZ891" s="43"/>
      <c r="CA891" s="43"/>
    </row>
    <row r="892">
      <c r="A892" s="47"/>
      <c r="B892" s="47"/>
      <c r="C892" s="47"/>
      <c r="D892" s="47"/>
      <c r="E892" s="47"/>
      <c r="F892" s="47"/>
      <c r="G892" s="47"/>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c r="BO892" s="43"/>
      <c r="BP892" s="43"/>
      <c r="BQ892" s="43"/>
      <c r="BR892" s="43"/>
      <c r="BS892" s="43"/>
      <c r="BT892" s="43"/>
      <c r="BU892" s="43"/>
      <c r="BV892" s="43"/>
      <c r="BW892" s="43"/>
      <c r="BX892" s="43"/>
      <c r="BY892" s="43"/>
      <c r="BZ892" s="43"/>
      <c r="CA892" s="43"/>
    </row>
    <row r="893">
      <c r="A893" s="47"/>
      <c r="B893" s="47"/>
      <c r="C893" s="47"/>
      <c r="D893" s="47"/>
      <c r="E893" s="47"/>
      <c r="F893" s="47"/>
      <c r="G893" s="47"/>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c r="BO893" s="43"/>
      <c r="BP893" s="43"/>
      <c r="BQ893" s="43"/>
      <c r="BR893" s="43"/>
      <c r="BS893" s="43"/>
      <c r="BT893" s="43"/>
      <c r="BU893" s="43"/>
      <c r="BV893" s="43"/>
      <c r="BW893" s="43"/>
      <c r="BX893" s="43"/>
      <c r="BY893" s="43"/>
      <c r="BZ893" s="43"/>
      <c r="CA893" s="43"/>
    </row>
    <row r="894">
      <c r="A894" s="47"/>
      <c r="B894" s="47"/>
      <c r="C894" s="47"/>
      <c r="D894" s="47"/>
      <c r="E894" s="47"/>
      <c r="F894" s="47"/>
      <c r="G894" s="47"/>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c r="BO894" s="43"/>
      <c r="BP894" s="43"/>
      <c r="BQ894" s="43"/>
      <c r="BR894" s="43"/>
      <c r="BS894" s="43"/>
      <c r="BT894" s="43"/>
      <c r="BU894" s="43"/>
      <c r="BV894" s="43"/>
      <c r="BW894" s="43"/>
      <c r="BX894" s="43"/>
      <c r="BY894" s="43"/>
      <c r="BZ894" s="43"/>
      <c r="CA894" s="43"/>
    </row>
    <row r="895">
      <c r="A895" s="47"/>
      <c r="B895" s="47"/>
      <c r="C895" s="47"/>
      <c r="D895" s="47"/>
      <c r="E895" s="47"/>
      <c r="F895" s="47"/>
      <c r="G895" s="47"/>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c r="BO895" s="43"/>
      <c r="BP895" s="43"/>
      <c r="BQ895" s="43"/>
      <c r="BR895" s="43"/>
      <c r="BS895" s="43"/>
      <c r="BT895" s="43"/>
      <c r="BU895" s="43"/>
      <c r="BV895" s="43"/>
      <c r="BW895" s="43"/>
      <c r="BX895" s="43"/>
      <c r="BY895" s="43"/>
      <c r="BZ895" s="43"/>
      <c r="CA895" s="43"/>
    </row>
    <row r="896">
      <c r="A896" s="47"/>
      <c r="B896" s="47"/>
      <c r="C896" s="47"/>
      <c r="D896" s="47"/>
      <c r="E896" s="47"/>
      <c r="F896" s="47"/>
      <c r="G896" s="47"/>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c r="BO896" s="43"/>
      <c r="BP896" s="43"/>
      <c r="BQ896" s="43"/>
      <c r="BR896" s="43"/>
      <c r="BS896" s="43"/>
      <c r="BT896" s="43"/>
      <c r="BU896" s="43"/>
      <c r="BV896" s="43"/>
      <c r="BW896" s="43"/>
      <c r="BX896" s="43"/>
      <c r="BY896" s="43"/>
      <c r="BZ896" s="43"/>
      <c r="CA896" s="43"/>
    </row>
    <row r="897">
      <c r="A897" s="47"/>
      <c r="B897" s="47"/>
      <c r="C897" s="47"/>
      <c r="D897" s="47"/>
      <c r="E897" s="47"/>
      <c r="F897" s="47"/>
      <c r="G897" s="47"/>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c r="BO897" s="43"/>
      <c r="BP897" s="43"/>
      <c r="BQ897" s="43"/>
      <c r="BR897" s="43"/>
      <c r="BS897" s="43"/>
      <c r="BT897" s="43"/>
      <c r="BU897" s="43"/>
      <c r="BV897" s="43"/>
      <c r="BW897" s="43"/>
      <c r="BX897" s="43"/>
      <c r="BY897" s="43"/>
      <c r="BZ897" s="43"/>
      <c r="CA897" s="43"/>
    </row>
    <row r="898">
      <c r="A898" s="47"/>
      <c r="B898" s="47"/>
      <c r="C898" s="47"/>
      <c r="D898" s="47"/>
      <c r="E898" s="47"/>
      <c r="F898" s="47"/>
      <c r="G898" s="47"/>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c r="BO898" s="43"/>
      <c r="BP898" s="43"/>
      <c r="BQ898" s="43"/>
      <c r="BR898" s="43"/>
      <c r="BS898" s="43"/>
      <c r="BT898" s="43"/>
      <c r="BU898" s="43"/>
      <c r="BV898" s="43"/>
      <c r="BW898" s="43"/>
      <c r="BX898" s="43"/>
      <c r="BY898" s="43"/>
      <c r="BZ898" s="43"/>
      <c r="CA898" s="43"/>
    </row>
    <row r="899">
      <c r="A899" s="47"/>
      <c r="B899" s="47"/>
      <c r="C899" s="47"/>
      <c r="D899" s="47"/>
      <c r="E899" s="47"/>
      <c r="F899" s="47"/>
      <c r="G899" s="47"/>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c r="BO899" s="43"/>
      <c r="BP899" s="43"/>
      <c r="BQ899" s="43"/>
      <c r="BR899" s="43"/>
      <c r="BS899" s="43"/>
      <c r="BT899" s="43"/>
      <c r="BU899" s="43"/>
      <c r="BV899" s="43"/>
      <c r="BW899" s="43"/>
      <c r="BX899" s="43"/>
      <c r="BY899" s="43"/>
      <c r="BZ899" s="43"/>
      <c r="CA899" s="43"/>
    </row>
    <row r="900">
      <c r="A900" s="47"/>
      <c r="B900" s="47"/>
      <c r="C900" s="47"/>
      <c r="D900" s="47"/>
      <c r="E900" s="47"/>
      <c r="F900" s="47"/>
      <c r="G900" s="47"/>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c r="BO900" s="43"/>
      <c r="BP900" s="43"/>
      <c r="BQ900" s="43"/>
      <c r="BR900" s="43"/>
      <c r="BS900" s="43"/>
      <c r="BT900" s="43"/>
      <c r="BU900" s="43"/>
      <c r="BV900" s="43"/>
      <c r="BW900" s="43"/>
      <c r="BX900" s="43"/>
      <c r="BY900" s="43"/>
      <c r="BZ900" s="43"/>
      <c r="CA900" s="43"/>
    </row>
    <row r="901">
      <c r="A901" s="47"/>
      <c r="B901" s="47"/>
      <c r="C901" s="47"/>
      <c r="D901" s="47"/>
      <c r="E901" s="47"/>
      <c r="F901" s="47"/>
      <c r="G901" s="47"/>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c r="BO901" s="43"/>
      <c r="BP901" s="43"/>
      <c r="BQ901" s="43"/>
      <c r="BR901" s="43"/>
      <c r="BS901" s="43"/>
      <c r="BT901" s="43"/>
      <c r="BU901" s="43"/>
      <c r="BV901" s="43"/>
      <c r="BW901" s="43"/>
      <c r="BX901" s="43"/>
      <c r="BY901" s="43"/>
      <c r="BZ901" s="43"/>
      <c r="CA901" s="43"/>
    </row>
    <row r="902">
      <c r="A902" s="47"/>
      <c r="B902" s="47"/>
      <c r="C902" s="47"/>
      <c r="D902" s="47"/>
      <c r="E902" s="47"/>
      <c r="F902" s="47"/>
      <c r="G902" s="47"/>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c r="BO902" s="43"/>
      <c r="BP902" s="43"/>
      <c r="BQ902" s="43"/>
      <c r="BR902" s="43"/>
      <c r="BS902" s="43"/>
      <c r="BT902" s="43"/>
      <c r="BU902" s="43"/>
      <c r="BV902" s="43"/>
      <c r="BW902" s="43"/>
      <c r="BX902" s="43"/>
      <c r="BY902" s="43"/>
      <c r="BZ902" s="43"/>
      <c r="CA902" s="43"/>
    </row>
    <row r="903">
      <c r="A903" s="47"/>
      <c r="B903" s="47"/>
      <c r="C903" s="47"/>
      <c r="D903" s="47"/>
      <c r="E903" s="47"/>
      <c r="F903" s="47"/>
      <c r="G903" s="47"/>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c r="BO903" s="43"/>
      <c r="BP903" s="43"/>
      <c r="BQ903" s="43"/>
      <c r="BR903" s="43"/>
      <c r="BS903" s="43"/>
      <c r="BT903" s="43"/>
      <c r="BU903" s="43"/>
      <c r="BV903" s="43"/>
      <c r="BW903" s="43"/>
      <c r="BX903" s="43"/>
      <c r="BY903" s="43"/>
      <c r="BZ903" s="43"/>
      <c r="CA903" s="43"/>
    </row>
    <row r="904">
      <c r="A904" s="47"/>
      <c r="B904" s="47"/>
      <c r="C904" s="47"/>
      <c r="D904" s="47"/>
      <c r="E904" s="47"/>
      <c r="F904" s="47"/>
      <c r="G904" s="47"/>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c r="BO904" s="43"/>
      <c r="BP904" s="43"/>
      <c r="BQ904" s="43"/>
      <c r="BR904" s="43"/>
      <c r="BS904" s="43"/>
      <c r="BT904" s="43"/>
      <c r="BU904" s="43"/>
      <c r="BV904" s="43"/>
      <c r="BW904" s="43"/>
      <c r="BX904" s="43"/>
      <c r="BY904" s="43"/>
      <c r="BZ904" s="43"/>
      <c r="CA904" s="43"/>
    </row>
    <row r="905">
      <c r="A905" s="47"/>
      <c r="B905" s="47"/>
      <c r="C905" s="47"/>
      <c r="D905" s="47"/>
      <c r="E905" s="47"/>
      <c r="F905" s="47"/>
      <c r="G905" s="47"/>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c r="BO905" s="43"/>
      <c r="BP905" s="43"/>
      <c r="BQ905" s="43"/>
      <c r="BR905" s="43"/>
      <c r="BS905" s="43"/>
      <c r="BT905" s="43"/>
      <c r="BU905" s="43"/>
      <c r="BV905" s="43"/>
      <c r="BW905" s="43"/>
      <c r="BX905" s="43"/>
      <c r="BY905" s="43"/>
      <c r="BZ905" s="43"/>
      <c r="CA905" s="43"/>
    </row>
    <row r="906">
      <c r="A906" s="47"/>
      <c r="B906" s="47"/>
      <c r="C906" s="47"/>
      <c r="D906" s="47"/>
      <c r="E906" s="47"/>
      <c r="F906" s="47"/>
      <c r="G906" s="47"/>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c r="BO906" s="43"/>
      <c r="BP906" s="43"/>
      <c r="BQ906" s="43"/>
      <c r="BR906" s="43"/>
      <c r="BS906" s="43"/>
      <c r="BT906" s="43"/>
      <c r="BU906" s="43"/>
      <c r="BV906" s="43"/>
      <c r="BW906" s="43"/>
      <c r="BX906" s="43"/>
      <c r="BY906" s="43"/>
      <c r="BZ906" s="43"/>
      <c r="CA906" s="43"/>
    </row>
    <row r="907">
      <c r="A907" s="47"/>
      <c r="B907" s="47"/>
      <c r="C907" s="47"/>
      <c r="D907" s="47"/>
      <c r="E907" s="47"/>
      <c r="F907" s="47"/>
      <c r="G907" s="47"/>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c r="BO907" s="43"/>
      <c r="BP907" s="43"/>
      <c r="BQ907" s="43"/>
      <c r="BR907" s="43"/>
      <c r="BS907" s="43"/>
      <c r="BT907" s="43"/>
      <c r="BU907" s="43"/>
      <c r="BV907" s="43"/>
      <c r="BW907" s="43"/>
      <c r="BX907" s="43"/>
      <c r="BY907" s="43"/>
      <c r="BZ907" s="43"/>
      <c r="CA907" s="43"/>
    </row>
    <row r="908">
      <c r="A908" s="47"/>
      <c r="B908" s="47"/>
      <c r="C908" s="47"/>
      <c r="D908" s="47"/>
      <c r="E908" s="47"/>
      <c r="F908" s="47"/>
      <c r="G908" s="47"/>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c r="BO908" s="43"/>
      <c r="BP908" s="43"/>
      <c r="BQ908" s="43"/>
      <c r="BR908" s="43"/>
      <c r="BS908" s="43"/>
      <c r="BT908" s="43"/>
      <c r="BU908" s="43"/>
      <c r="BV908" s="43"/>
      <c r="BW908" s="43"/>
      <c r="BX908" s="43"/>
      <c r="BY908" s="43"/>
      <c r="BZ908" s="43"/>
      <c r="CA908" s="43"/>
    </row>
    <row r="909">
      <c r="A909" s="47"/>
      <c r="B909" s="47"/>
      <c r="C909" s="47"/>
      <c r="D909" s="47"/>
      <c r="E909" s="47"/>
      <c r="F909" s="47"/>
      <c r="G909" s="47"/>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c r="BO909" s="43"/>
      <c r="BP909" s="43"/>
      <c r="BQ909" s="43"/>
      <c r="BR909" s="43"/>
      <c r="BS909" s="43"/>
      <c r="BT909" s="43"/>
      <c r="BU909" s="43"/>
      <c r="BV909" s="43"/>
      <c r="BW909" s="43"/>
      <c r="BX909" s="43"/>
      <c r="BY909" s="43"/>
      <c r="BZ909" s="43"/>
      <c r="CA909" s="43"/>
    </row>
    <row r="910">
      <c r="A910" s="47"/>
      <c r="B910" s="47"/>
      <c r="C910" s="47"/>
      <c r="D910" s="47"/>
      <c r="E910" s="47"/>
      <c r="F910" s="47"/>
      <c r="G910" s="47"/>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c r="BO910" s="43"/>
      <c r="BP910" s="43"/>
      <c r="BQ910" s="43"/>
      <c r="BR910" s="43"/>
      <c r="BS910" s="43"/>
      <c r="BT910" s="43"/>
      <c r="BU910" s="43"/>
      <c r="BV910" s="43"/>
      <c r="BW910" s="43"/>
      <c r="BX910" s="43"/>
      <c r="BY910" s="43"/>
      <c r="BZ910" s="43"/>
      <c r="CA910" s="43"/>
    </row>
    <row r="911">
      <c r="A911" s="47"/>
      <c r="B911" s="47"/>
      <c r="C911" s="47"/>
      <c r="D911" s="47"/>
      <c r="E911" s="47"/>
      <c r="F911" s="47"/>
      <c r="G911" s="47"/>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c r="BO911" s="43"/>
      <c r="BP911" s="43"/>
      <c r="BQ911" s="43"/>
      <c r="BR911" s="43"/>
      <c r="BS911" s="43"/>
      <c r="BT911" s="43"/>
      <c r="BU911" s="43"/>
      <c r="BV911" s="43"/>
      <c r="BW911" s="43"/>
      <c r="BX911" s="43"/>
      <c r="BY911" s="43"/>
      <c r="BZ911" s="43"/>
      <c r="CA911" s="43"/>
    </row>
    <row r="912">
      <c r="A912" s="47"/>
      <c r="B912" s="47"/>
      <c r="C912" s="47"/>
      <c r="D912" s="47"/>
      <c r="E912" s="47"/>
      <c r="F912" s="47"/>
      <c r="G912" s="47"/>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c r="BO912" s="43"/>
      <c r="BP912" s="43"/>
      <c r="BQ912" s="43"/>
      <c r="BR912" s="43"/>
      <c r="BS912" s="43"/>
      <c r="BT912" s="43"/>
      <c r="BU912" s="43"/>
      <c r="BV912" s="43"/>
      <c r="BW912" s="43"/>
      <c r="BX912" s="43"/>
      <c r="BY912" s="43"/>
      <c r="BZ912" s="43"/>
      <c r="CA912" s="43"/>
    </row>
    <row r="913">
      <c r="A913" s="47"/>
      <c r="B913" s="47"/>
      <c r="C913" s="47"/>
      <c r="D913" s="47"/>
      <c r="E913" s="47"/>
      <c r="F913" s="47"/>
      <c r="G913" s="47"/>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c r="BO913" s="43"/>
      <c r="BP913" s="43"/>
      <c r="BQ913" s="43"/>
      <c r="BR913" s="43"/>
      <c r="BS913" s="43"/>
      <c r="BT913" s="43"/>
      <c r="BU913" s="43"/>
      <c r="BV913" s="43"/>
      <c r="BW913" s="43"/>
      <c r="BX913" s="43"/>
      <c r="BY913" s="43"/>
      <c r="BZ913" s="43"/>
      <c r="CA913" s="43"/>
    </row>
    <row r="914">
      <c r="A914" s="47"/>
      <c r="B914" s="47"/>
      <c r="C914" s="47"/>
      <c r="D914" s="47"/>
      <c r="E914" s="47"/>
      <c r="F914" s="47"/>
      <c r="G914" s="47"/>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c r="BO914" s="43"/>
      <c r="BP914" s="43"/>
      <c r="BQ914" s="43"/>
      <c r="BR914" s="43"/>
      <c r="BS914" s="43"/>
      <c r="BT914" s="43"/>
      <c r="BU914" s="43"/>
      <c r="BV914" s="43"/>
      <c r="BW914" s="43"/>
      <c r="BX914" s="43"/>
      <c r="BY914" s="43"/>
      <c r="BZ914" s="43"/>
      <c r="CA914" s="43"/>
    </row>
    <row r="915">
      <c r="A915" s="47"/>
      <c r="B915" s="47"/>
      <c r="C915" s="47"/>
      <c r="D915" s="47"/>
      <c r="E915" s="47"/>
      <c r="F915" s="47"/>
      <c r="G915" s="47"/>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c r="BO915" s="43"/>
      <c r="BP915" s="43"/>
      <c r="BQ915" s="43"/>
      <c r="BR915" s="43"/>
      <c r="BS915" s="43"/>
      <c r="BT915" s="43"/>
      <c r="BU915" s="43"/>
      <c r="BV915" s="43"/>
      <c r="BW915" s="43"/>
      <c r="BX915" s="43"/>
      <c r="BY915" s="43"/>
      <c r="BZ915" s="43"/>
      <c r="CA915" s="43"/>
    </row>
    <row r="916">
      <c r="A916" s="47"/>
      <c r="B916" s="47"/>
      <c r="C916" s="47"/>
      <c r="D916" s="47"/>
      <c r="E916" s="47"/>
      <c r="F916" s="47"/>
      <c r="G916" s="47"/>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c r="BO916" s="43"/>
      <c r="BP916" s="43"/>
      <c r="BQ916" s="43"/>
      <c r="BR916" s="43"/>
      <c r="BS916" s="43"/>
      <c r="BT916" s="43"/>
      <c r="BU916" s="43"/>
      <c r="BV916" s="43"/>
      <c r="BW916" s="43"/>
      <c r="BX916" s="43"/>
      <c r="BY916" s="43"/>
      <c r="BZ916" s="43"/>
      <c r="CA916" s="43"/>
    </row>
    <row r="917">
      <c r="A917" s="47"/>
      <c r="B917" s="47"/>
      <c r="C917" s="47"/>
      <c r="D917" s="47"/>
      <c r="E917" s="47"/>
      <c r="F917" s="47"/>
      <c r="G917" s="47"/>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c r="BO917" s="43"/>
      <c r="BP917" s="43"/>
      <c r="BQ917" s="43"/>
      <c r="BR917" s="43"/>
      <c r="BS917" s="43"/>
      <c r="BT917" s="43"/>
      <c r="BU917" s="43"/>
      <c r="BV917" s="43"/>
      <c r="BW917" s="43"/>
      <c r="BX917" s="43"/>
      <c r="BY917" s="43"/>
      <c r="BZ917" s="43"/>
      <c r="CA917" s="43"/>
    </row>
    <row r="918">
      <c r="A918" s="47"/>
      <c r="B918" s="47"/>
      <c r="C918" s="47"/>
      <c r="D918" s="47"/>
      <c r="E918" s="47"/>
      <c r="F918" s="47"/>
      <c r="G918" s="47"/>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c r="BO918" s="43"/>
      <c r="BP918" s="43"/>
      <c r="BQ918" s="43"/>
      <c r="BR918" s="43"/>
      <c r="BS918" s="43"/>
      <c r="BT918" s="43"/>
      <c r="BU918" s="43"/>
      <c r="BV918" s="43"/>
      <c r="BW918" s="43"/>
      <c r="BX918" s="43"/>
      <c r="BY918" s="43"/>
      <c r="BZ918" s="43"/>
      <c r="CA918" s="43"/>
    </row>
    <row r="919">
      <c r="A919" s="47"/>
      <c r="B919" s="47"/>
      <c r="C919" s="47"/>
      <c r="D919" s="47"/>
      <c r="E919" s="47"/>
      <c r="F919" s="47"/>
      <c r="G919" s="47"/>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c r="BO919" s="43"/>
      <c r="BP919" s="43"/>
      <c r="BQ919" s="43"/>
      <c r="BR919" s="43"/>
      <c r="BS919" s="43"/>
      <c r="BT919" s="43"/>
      <c r="BU919" s="43"/>
      <c r="BV919" s="43"/>
      <c r="BW919" s="43"/>
      <c r="BX919" s="43"/>
      <c r="BY919" s="43"/>
      <c r="BZ919" s="43"/>
      <c r="CA919" s="43"/>
    </row>
    <row r="920">
      <c r="A920" s="47"/>
      <c r="B920" s="47"/>
      <c r="C920" s="47"/>
      <c r="D920" s="47"/>
      <c r="E920" s="47"/>
      <c r="F920" s="47"/>
      <c r="G920" s="47"/>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c r="BO920" s="43"/>
      <c r="BP920" s="43"/>
      <c r="BQ920" s="43"/>
      <c r="BR920" s="43"/>
      <c r="BS920" s="43"/>
      <c r="BT920" s="43"/>
      <c r="BU920" s="43"/>
      <c r="BV920" s="43"/>
      <c r="BW920" s="43"/>
      <c r="BX920" s="43"/>
      <c r="BY920" s="43"/>
      <c r="BZ920" s="43"/>
      <c r="CA920" s="43"/>
    </row>
    <row r="921">
      <c r="A921" s="47"/>
      <c r="B921" s="47"/>
      <c r="C921" s="47"/>
      <c r="D921" s="47"/>
      <c r="E921" s="47"/>
      <c r="F921" s="47"/>
      <c r="G921" s="47"/>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c r="BO921" s="43"/>
      <c r="BP921" s="43"/>
      <c r="BQ921" s="43"/>
      <c r="BR921" s="43"/>
      <c r="BS921" s="43"/>
      <c r="BT921" s="43"/>
      <c r="BU921" s="43"/>
      <c r="BV921" s="43"/>
      <c r="BW921" s="43"/>
      <c r="BX921" s="43"/>
      <c r="BY921" s="43"/>
      <c r="BZ921" s="43"/>
      <c r="CA921" s="43"/>
    </row>
    <row r="922">
      <c r="A922" s="47"/>
      <c r="B922" s="47"/>
      <c r="C922" s="47"/>
      <c r="D922" s="47"/>
      <c r="E922" s="47"/>
      <c r="F922" s="47"/>
      <c r="G922" s="47"/>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c r="BO922" s="43"/>
      <c r="BP922" s="43"/>
      <c r="BQ922" s="43"/>
      <c r="BR922" s="43"/>
      <c r="BS922" s="43"/>
      <c r="BT922" s="43"/>
      <c r="BU922" s="43"/>
      <c r="BV922" s="43"/>
      <c r="BW922" s="43"/>
      <c r="BX922" s="43"/>
      <c r="BY922" s="43"/>
      <c r="BZ922" s="43"/>
      <c r="CA922" s="43"/>
    </row>
    <row r="923">
      <c r="A923" s="47"/>
      <c r="B923" s="47"/>
      <c r="C923" s="47"/>
      <c r="D923" s="47"/>
      <c r="E923" s="47"/>
      <c r="F923" s="47"/>
      <c r="G923" s="47"/>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c r="BO923" s="43"/>
      <c r="BP923" s="43"/>
      <c r="BQ923" s="43"/>
      <c r="BR923" s="43"/>
      <c r="BS923" s="43"/>
      <c r="BT923" s="43"/>
      <c r="BU923" s="43"/>
      <c r="BV923" s="43"/>
      <c r="BW923" s="43"/>
      <c r="BX923" s="43"/>
      <c r="BY923" s="43"/>
      <c r="BZ923" s="43"/>
      <c r="CA923" s="43"/>
    </row>
    <row r="924">
      <c r="A924" s="47"/>
      <c r="B924" s="47"/>
      <c r="C924" s="47"/>
      <c r="D924" s="47"/>
      <c r="E924" s="47"/>
      <c r="F924" s="47"/>
      <c r="G924" s="47"/>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c r="BO924" s="43"/>
      <c r="BP924" s="43"/>
      <c r="BQ924" s="43"/>
      <c r="BR924" s="43"/>
      <c r="BS924" s="43"/>
      <c r="BT924" s="43"/>
      <c r="BU924" s="43"/>
      <c r="BV924" s="43"/>
      <c r="BW924" s="43"/>
      <c r="BX924" s="43"/>
      <c r="BY924" s="43"/>
      <c r="BZ924" s="43"/>
      <c r="CA924" s="43"/>
    </row>
    <row r="925">
      <c r="A925" s="47"/>
      <c r="B925" s="47"/>
      <c r="C925" s="47"/>
      <c r="D925" s="47"/>
      <c r="E925" s="47"/>
      <c r="F925" s="47"/>
      <c r="G925" s="47"/>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c r="BO925" s="43"/>
      <c r="BP925" s="43"/>
      <c r="BQ925" s="43"/>
      <c r="BR925" s="43"/>
      <c r="BS925" s="43"/>
      <c r="BT925" s="43"/>
      <c r="BU925" s="43"/>
      <c r="BV925" s="43"/>
      <c r="BW925" s="43"/>
      <c r="BX925" s="43"/>
      <c r="BY925" s="43"/>
      <c r="BZ925" s="43"/>
      <c r="CA925" s="43"/>
    </row>
    <row r="926">
      <c r="A926" s="47"/>
      <c r="B926" s="47"/>
      <c r="C926" s="47"/>
      <c r="D926" s="47"/>
      <c r="E926" s="47"/>
      <c r="F926" s="47"/>
      <c r="G926" s="47"/>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c r="BO926" s="43"/>
      <c r="BP926" s="43"/>
      <c r="BQ926" s="43"/>
      <c r="BR926" s="43"/>
      <c r="BS926" s="43"/>
      <c r="BT926" s="43"/>
      <c r="BU926" s="43"/>
      <c r="BV926" s="43"/>
      <c r="BW926" s="43"/>
      <c r="BX926" s="43"/>
      <c r="BY926" s="43"/>
      <c r="BZ926" s="43"/>
      <c r="CA926" s="43"/>
    </row>
    <row r="927">
      <c r="A927" s="47"/>
      <c r="B927" s="47"/>
      <c r="C927" s="47"/>
      <c r="D927" s="47"/>
      <c r="E927" s="47"/>
      <c r="F927" s="47"/>
      <c r="G927" s="47"/>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c r="BO927" s="43"/>
      <c r="BP927" s="43"/>
      <c r="BQ927" s="43"/>
      <c r="BR927" s="43"/>
      <c r="BS927" s="43"/>
      <c r="BT927" s="43"/>
      <c r="BU927" s="43"/>
      <c r="BV927" s="43"/>
      <c r="BW927" s="43"/>
      <c r="BX927" s="43"/>
      <c r="BY927" s="43"/>
      <c r="BZ927" s="43"/>
      <c r="CA927" s="43"/>
    </row>
    <row r="928">
      <c r="A928" s="47"/>
      <c r="B928" s="47"/>
      <c r="C928" s="47"/>
      <c r="D928" s="47"/>
      <c r="E928" s="47"/>
      <c r="F928" s="47"/>
      <c r="G928" s="47"/>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c r="BO928" s="43"/>
      <c r="BP928" s="43"/>
      <c r="BQ928" s="43"/>
      <c r="BR928" s="43"/>
      <c r="BS928" s="43"/>
      <c r="BT928" s="43"/>
      <c r="BU928" s="43"/>
      <c r="BV928" s="43"/>
      <c r="BW928" s="43"/>
      <c r="BX928" s="43"/>
      <c r="BY928" s="43"/>
      <c r="BZ928" s="43"/>
      <c r="CA928" s="43"/>
    </row>
    <row r="929">
      <c r="A929" s="47"/>
      <c r="B929" s="47"/>
      <c r="C929" s="47"/>
      <c r="D929" s="47"/>
      <c r="E929" s="47"/>
      <c r="F929" s="47"/>
      <c r="G929" s="47"/>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c r="BO929" s="43"/>
      <c r="BP929" s="43"/>
      <c r="BQ929" s="43"/>
      <c r="BR929" s="43"/>
      <c r="BS929" s="43"/>
      <c r="BT929" s="43"/>
      <c r="BU929" s="43"/>
      <c r="BV929" s="43"/>
      <c r="BW929" s="43"/>
      <c r="BX929" s="43"/>
      <c r="BY929" s="43"/>
      <c r="BZ929" s="43"/>
      <c r="CA929" s="43"/>
    </row>
    <row r="930">
      <c r="A930" s="47"/>
      <c r="B930" s="47"/>
      <c r="C930" s="47"/>
      <c r="D930" s="47"/>
      <c r="E930" s="47"/>
      <c r="F930" s="47"/>
      <c r="G930" s="47"/>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c r="BO930" s="43"/>
      <c r="BP930" s="43"/>
      <c r="BQ930" s="43"/>
      <c r="BR930" s="43"/>
      <c r="BS930" s="43"/>
      <c r="BT930" s="43"/>
      <c r="BU930" s="43"/>
      <c r="BV930" s="43"/>
      <c r="BW930" s="43"/>
      <c r="BX930" s="43"/>
      <c r="BY930" s="43"/>
      <c r="BZ930" s="43"/>
      <c r="CA930" s="43"/>
    </row>
    <row r="931">
      <c r="A931" s="47"/>
      <c r="B931" s="47"/>
      <c r="C931" s="47"/>
      <c r="D931" s="47"/>
      <c r="E931" s="47"/>
      <c r="F931" s="47"/>
      <c r="G931" s="47"/>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c r="BO931" s="43"/>
      <c r="BP931" s="43"/>
      <c r="BQ931" s="43"/>
      <c r="BR931" s="43"/>
      <c r="BS931" s="43"/>
      <c r="BT931" s="43"/>
      <c r="BU931" s="43"/>
      <c r="BV931" s="43"/>
      <c r="BW931" s="43"/>
      <c r="BX931" s="43"/>
      <c r="BY931" s="43"/>
      <c r="BZ931" s="43"/>
      <c r="CA931" s="43"/>
    </row>
    <row r="932">
      <c r="A932" s="47"/>
      <c r="B932" s="47"/>
      <c r="C932" s="47"/>
      <c r="D932" s="47"/>
      <c r="E932" s="47"/>
      <c r="F932" s="47"/>
      <c r="G932" s="47"/>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c r="BO932" s="43"/>
      <c r="BP932" s="43"/>
      <c r="BQ932" s="43"/>
      <c r="BR932" s="43"/>
      <c r="BS932" s="43"/>
      <c r="BT932" s="43"/>
      <c r="BU932" s="43"/>
      <c r="BV932" s="43"/>
      <c r="BW932" s="43"/>
      <c r="BX932" s="43"/>
      <c r="BY932" s="43"/>
      <c r="BZ932" s="43"/>
      <c r="CA932" s="43"/>
    </row>
    <row r="933">
      <c r="A933" s="47"/>
      <c r="B933" s="47"/>
      <c r="C933" s="47"/>
      <c r="D933" s="47"/>
      <c r="E933" s="47"/>
      <c r="F933" s="47"/>
      <c r="G933" s="47"/>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c r="BO933" s="43"/>
      <c r="BP933" s="43"/>
      <c r="BQ933" s="43"/>
      <c r="BR933" s="43"/>
      <c r="BS933" s="43"/>
      <c r="BT933" s="43"/>
      <c r="BU933" s="43"/>
      <c r="BV933" s="43"/>
      <c r="BW933" s="43"/>
      <c r="BX933" s="43"/>
      <c r="BY933" s="43"/>
      <c r="BZ933" s="43"/>
      <c r="CA933" s="43"/>
    </row>
    <row r="934">
      <c r="A934" s="47"/>
      <c r="B934" s="47"/>
      <c r="C934" s="47"/>
      <c r="D934" s="47"/>
      <c r="E934" s="47"/>
      <c r="F934" s="47"/>
      <c r="G934" s="47"/>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c r="BO934" s="43"/>
      <c r="BP934" s="43"/>
      <c r="BQ934" s="43"/>
      <c r="BR934" s="43"/>
      <c r="BS934" s="43"/>
      <c r="BT934" s="43"/>
      <c r="BU934" s="43"/>
      <c r="BV934" s="43"/>
      <c r="BW934" s="43"/>
      <c r="BX934" s="43"/>
      <c r="BY934" s="43"/>
      <c r="BZ934" s="43"/>
      <c r="CA934" s="43"/>
    </row>
    <row r="935">
      <c r="A935" s="47"/>
      <c r="B935" s="47"/>
      <c r="C935" s="47"/>
      <c r="D935" s="47"/>
      <c r="E935" s="47"/>
      <c r="F935" s="47"/>
      <c r="G935" s="47"/>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c r="BO935" s="43"/>
      <c r="BP935" s="43"/>
      <c r="BQ935" s="43"/>
      <c r="BR935" s="43"/>
      <c r="BS935" s="43"/>
      <c r="BT935" s="43"/>
      <c r="BU935" s="43"/>
      <c r="BV935" s="43"/>
      <c r="BW935" s="43"/>
      <c r="BX935" s="43"/>
      <c r="BY935" s="43"/>
      <c r="BZ935" s="43"/>
      <c r="CA935" s="43"/>
    </row>
    <row r="936">
      <c r="A936" s="47"/>
      <c r="B936" s="47"/>
      <c r="C936" s="47"/>
      <c r="D936" s="47"/>
      <c r="E936" s="47"/>
      <c r="F936" s="47"/>
      <c r="G936" s="47"/>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c r="BO936" s="43"/>
      <c r="BP936" s="43"/>
      <c r="BQ936" s="43"/>
      <c r="BR936" s="43"/>
      <c r="BS936" s="43"/>
      <c r="BT936" s="43"/>
      <c r="BU936" s="43"/>
      <c r="BV936" s="43"/>
      <c r="BW936" s="43"/>
      <c r="BX936" s="43"/>
      <c r="BY936" s="43"/>
      <c r="BZ936" s="43"/>
      <c r="CA936" s="43"/>
    </row>
    <row r="937">
      <c r="A937" s="47"/>
      <c r="B937" s="47"/>
      <c r="C937" s="47"/>
      <c r="D937" s="47"/>
      <c r="E937" s="47"/>
      <c r="F937" s="47"/>
      <c r="G937" s="47"/>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c r="BO937" s="43"/>
      <c r="BP937" s="43"/>
      <c r="BQ937" s="43"/>
      <c r="BR937" s="43"/>
      <c r="BS937" s="43"/>
      <c r="BT937" s="43"/>
      <c r="BU937" s="43"/>
      <c r="BV937" s="43"/>
      <c r="BW937" s="43"/>
      <c r="BX937" s="43"/>
      <c r="BY937" s="43"/>
      <c r="BZ937" s="43"/>
      <c r="CA937" s="43"/>
    </row>
    <row r="938">
      <c r="A938" s="47"/>
      <c r="B938" s="47"/>
      <c r="C938" s="47"/>
      <c r="D938" s="47"/>
      <c r="E938" s="47"/>
      <c r="F938" s="47"/>
      <c r="G938" s="47"/>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c r="BO938" s="43"/>
      <c r="BP938" s="43"/>
      <c r="BQ938" s="43"/>
      <c r="BR938" s="43"/>
      <c r="BS938" s="43"/>
      <c r="BT938" s="43"/>
      <c r="BU938" s="43"/>
      <c r="BV938" s="43"/>
      <c r="BW938" s="43"/>
      <c r="BX938" s="43"/>
      <c r="BY938" s="43"/>
      <c r="BZ938" s="43"/>
      <c r="CA938" s="43"/>
    </row>
    <row r="939">
      <c r="A939" s="47"/>
      <c r="B939" s="47"/>
      <c r="C939" s="47"/>
      <c r="D939" s="47"/>
      <c r="E939" s="47"/>
      <c r="F939" s="47"/>
      <c r="G939" s="47"/>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c r="BO939" s="43"/>
      <c r="BP939" s="43"/>
      <c r="BQ939" s="43"/>
      <c r="BR939" s="43"/>
      <c r="BS939" s="43"/>
      <c r="BT939" s="43"/>
      <c r="BU939" s="43"/>
      <c r="BV939" s="43"/>
      <c r="BW939" s="43"/>
      <c r="BX939" s="43"/>
      <c r="BY939" s="43"/>
      <c r="BZ939" s="43"/>
      <c r="CA939" s="43"/>
    </row>
    <row r="940">
      <c r="A940" s="47"/>
      <c r="B940" s="47"/>
      <c r="C940" s="47"/>
      <c r="D940" s="47"/>
      <c r="E940" s="47"/>
      <c r="F940" s="47"/>
      <c r="G940" s="47"/>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c r="BO940" s="43"/>
      <c r="BP940" s="43"/>
      <c r="BQ940" s="43"/>
      <c r="BR940" s="43"/>
      <c r="BS940" s="43"/>
      <c r="BT940" s="43"/>
      <c r="BU940" s="43"/>
      <c r="BV940" s="43"/>
      <c r="BW940" s="43"/>
      <c r="BX940" s="43"/>
      <c r="BY940" s="43"/>
      <c r="BZ940" s="43"/>
      <c r="CA940" s="43"/>
    </row>
    <row r="941">
      <c r="A941" s="47"/>
      <c r="B941" s="47"/>
      <c r="C941" s="47"/>
      <c r="D941" s="47"/>
      <c r="E941" s="47"/>
      <c r="F941" s="47"/>
      <c r="G941" s="47"/>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c r="BO941" s="43"/>
      <c r="BP941" s="43"/>
      <c r="BQ941" s="43"/>
      <c r="BR941" s="43"/>
      <c r="BS941" s="43"/>
      <c r="BT941" s="43"/>
      <c r="BU941" s="43"/>
      <c r="BV941" s="43"/>
      <c r="BW941" s="43"/>
      <c r="BX941" s="43"/>
      <c r="BY941" s="43"/>
      <c r="BZ941" s="43"/>
      <c r="CA941" s="43"/>
    </row>
    <row r="942">
      <c r="A942" s="47"/>
      <c r="B942" s="47"/>
      <c r="C942" s="47"/>
      <c r="D942" s="47"/>
      <c r="E942" s="47"/>
      <c r="F942" s="47"/>
      <c r="G942" s="47"/>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c r="BO942" s="43"/>
      <c r="BP942" s="43"/>
      <c r="BQ942" s="43"/>
      <c r="BR942" s="43"/>
      <c r="BS942" s="43"/>
      <c r="BT942" s="43"/>
      <c r="BU942" s="43"/>
      <c r="BV942" s="43"/>
      <c r="BW942" s="43"/>
      <c r="BX942" s="43"/>
      <c r="BY942" s="43"/>
      <c r="BZ942" s="43"/>
      <c r="CA942" s="43"/>
    </row>
    <row r="943">
      <c r="A943" s="47"/>
      <c r="B943" s="47"/>
      <c r="C943" s="47"/>
      <c r="D943" s="47"/>
      <c r="E943" s="47"/>
      <c r="F943" s="47"/>
      <c r="G943" s="47"/>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c r="BO943" s="43"/>
      <c r="BP943" s="43"/>
      <c r="BQ943" s="43"/>
      <c r="BR943" s="43"/>
      <c r="BS943" s="43"/>
      <c r="BT943" s="43"/>
      <c r="BU943" s="43"/>
      <c r="BV943" s="43"/>
      <c r="BW943" s="43"/>
      <c r="BX943" s="43"/>
      <c r="BY943" s="43"/>
      <c r="BZ943" s="43"/>
      <c r="CA943" s="43"/>
    </row>
    <row r="944">
      <c r="A944" s="47"/>
      <c r="B944" s="47"/>
      <c r="C944" s="47"/>
      <c r="D944" s="47"/>
      <c r="E944" s="47"/>
      <c r="F944" s="47"/>
      <c r="G944" s="47"/>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c r="BO944" s="43"/>
      <c r="BP944" s="43"/>
      <c r="BQ944" s="43"/>
      <c r="BR944" s="43"/>
      <c r="BS944" s="43"/>
      <c r="BT944" s="43"/>
      <c r="BU944" s="43"/>
      <c r="BV944" s="43"/>
      <c r="BW944" s="43"/>
      <c r="BX944" s="43"/>
      <c r="BY944" s="43"/>
      <c r="BZ944" s="43"/>
      <c r="CA944" s="43"/>
    </row>
    <row r="945">
      <c r="A945" s="47"/>
      <c r="B945" s="47"/>
      <c r="C945" s="47"/>
      <c r="D945" s="47"/>
      <c r="E945" s="47"/>
      <c r="F945" s="47"/>
      <c r="G945" s="47"/>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c r="BO945" s="43"/>
      <c r="BP945" s="43"/>
      <c r="BQ945" s="43"/>
      <c r="BR945" s="43"/>
      <c r="BS945" s="43"/>
      <c r="BT945" s="43"/>
      <c r="BU945" s="43"/>
      <c r="BV945" s="43"/>
      <c r="BW945" s="43"/>
      <c r="BX945" s="43"/>
      <c r="BY945" s="43"/>
      <c r="BZ945" s="43"/>
      <c r="CA945" s="43"/>
    </row>
    <row r="946">
      <c r="A946" s="47"/>
      <c r="B946" s="47"/>
      <c r="C946" s="47"/>
      <c r="D946" s="47"/>
      <c r="E946" s="47"/>
      <c r="F946" s="47"/>
      <c r="G946" s="47"/>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c r="BO946" s="43"/>
      <c r="BP946" s="43"/>
      <c r="BQ946" s="43"/>
      <c r="BR946" s="43"/>
      <c r="BS946" s="43"/>
      <c r="BT946" s="43"/>
      <c r="BU946" s="43"/>
      <c r="BV946" s="43"/>
      <c r="BW946" s="43"/>
      <c r="BX946" s="43"/>
      <c r="BY946" s="43"/>
      <c r="BZ946" s="43"/>
      <c r="CA946" s="43"/>
    </row>
    <row r="947">
      <c r="A947" s="47"/>
      <c r="B947" s="47"/>
      <c r="C947" s="47"/>
      <c r="D947" s="47"/>
      <c r="E947" s="47"/>
      <c r="F947" s="47"/>
      <c r="G947" s="47"/>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c r="BO947" s="43"/>
      <c r="BP947" s="43"/>
      <c r="BQ947" s="43"/>
      <c r="BR947" s="43"/>
      <c r="BS947" s="43"/>
      <c r="BT947" s="43"/>
      <c r="BU947" s="43"/>
      <c r="BV947" s="43"/>
      <c r="BW947" s="43"/>
      <c r="BX947" s="43"/>
      <c r="BY947" s="43"/>
      <c r="BZ947" s="43"/>
      <c r="CA947" s="43"/>
    </row>
    <row r="948">
      <c r="A948" s="47"/>
      <c r="B948" s="47"/>
      <c r="C948" s="47"/>
      <c r="D948" s="47"/>
      <c r="E948" s="47"/>
      <c r="F948" s="47"/>
      <c r="G948" s="47"/>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c r="BO948" s="43"/>
      <c r="BP948" s="43"/>
      <c r="BQ948" s="43"/>
      <c r="BR948" s="43"/>
      <c r="BS948" s="43"/>
      <c r="BT948" s="43"/>
      <c r="BU948" s="43"/>
      <c r="BV948" s="43"/>
      <c r="BW948" s="43"/>
      <c r="BX948" s="43"/>
      <c r="BY948" s="43"/>
      <c r="BZ948" s="43"/>
      <c r="CA948" s="43"/>
    </row>
    <row r="949">
      <c r="A949" s="47"/>
      <c r="B949" s="47"/>
      <c r="C949" s="47"/>
      <c r="D949" s="47"/>
      <c r="E949" s="47"/>
      <c r="F949" s="47"/>
      <c r="G949" s="47"/>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c r="BO949" s="43"/>
      <c r="BP949" s="43"/>
      <c r="BQ949" s="43"/>
      <c r="BR949" s="43"/>
      <c r="BS949" s="43"/>
      <c r="BT949" s="43"/>
      <c r="BU949" s="43"/>
      <c r="BV949" s="43"/>
      <c r="BW949" s="43"/>
      <c r="BX949" s="43"/>
      <c r="BY949" s="43"/>
      <c r="BZ949" s="43"/>
      <c r="CA949" s="43"/>
    </row>
    <row r="950">
      <c r="A950" s="47"/>
      <c r="B950" s="47"/>
      <c r="C950" s="47"/>
      <c r="D950" s="47"/>
      <c r="E950" s="47"/>
      <c r="F950" s="47"/>
      <c r="G950" s="47"/>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c r="BO950" s="43"/>
      <c r="BP950" s="43"/>
      <c r="BQ950" s="43"/>
      <c r="BR950" s="43"/>
      <c r="BS950" s="43"/>
      <c r="BT950" s="43"/>
      <c r="BU950" s="43"/>
      <c r="BV950" s="43"/>
      <c r="BW950" s="43"/>
      <c r="BX950" s="43"/>
      <c r="BY950" s="43"/>
      <c r="BZ950" s="43"/>
      <c r="CA950" s="43"/>
    </row>
    <row r="951">
      <c r="A951" s="47"/>
      <c r="B951" s="47"/>
      <c r="C951" s="47"/>
      <c r="D951" s="47"/>
      <c r="E951" s="47"/>
      <c r="F951" s="47"/>
      <c r="G951" s="47"/>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c r="BO951" s="43"/>
      <c r="BP951" s="43"/>
      <c r="BQ951" s="43"/>
      <c r="BR951" s="43"/>
      <c r="BS951" s="43"/>
      <c r="BT951" s="43"/>
      <c r="BU951" s="43"/>
      <c r="BV951" s="43"/>
      <c r="BW951" s="43"/>
      <c r="BX951" s="43"/>
      <c r="BY951" s="43"/>
      <c r="BZ951" s="43"/>
      <c r="CA951" s="43"/>
    </row>
    <row r="952">
      <c r="A952" s="47"/>
      <c r="B952" s="47"/>
      <c r="C952" s="47"/>
      <c r="D952" s="47"/>
      <c r="E952" s="47"/>
      <c r="F952" s="47"/>
      <c r="G952" s="47"/>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c r="BO952" s="43"/>
      <c r="BP952" s="43"/>
      <c r="BQ952" s="43"/>
      <c r="BR952" s="43"/>
      <c r="BS952" s="43"/>
      <c r="BT952" s="43"/>
      <c r="BU952" s="43"/>
      <c r="BV952" s="43"/>
      <c r="BW952" s="43"/>
      <c r="BX952" s="43"/>
      <c r="BY952" s="43"/>
      <c r="BZ952" s="43"/>
      <c r="CA952" s="43"/>
    </row>
    <row r="953">
      <c r="A953" s="47"/>
      <c r="B953" s="47"/>
      <c r="C953" s="47"/>
      <c r="D953" s="47"/>
      <c r="E953" s="47"/>
      <c r="F953" s="47"/>
      <c r="G953" s="47"/>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c r="BO953" s="43"/>
      <c r="BP953" s="43"/>
      <c r="BQ953" s="43"/>
      <c r="BR953" s="43"/>
      <c r="BS953" s="43"/>
      <c r="BT953" s="43"/>
      <c r="BU953" s="43"/>
      <c r="BV953" s="43"/>
      <c r="BW953" s="43"/>
      <c r="BX953" s="43"/>
      <c r="BY953" s="43"/>
      <c r="BZ953" s="43"/>
      <c r="CA953" s="43"/>
    </row>
    <row r="954">
      <c r="A954" s="47"/>
      <c r="B954" s="47"/>
      <c r="C954" s="47"/>
      <c r="D954" s="47"/>
      <c r="E954" s="47"/>
      <c r="F954" s="47"/>
      <c r="G954" s="47"/>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c r="BO954" s="43"/>
      <c r="BP954" s="43"/>
      <c r="BQ954" s="43"/>
      <c r="BR954" s="43"/>
      <c r="BS954" s="43"/>
      <c r="BT954" s="43"/>
      <c r="BU954" s="43"/>
      <c r="BV954" s="43"/>
      <c r="BW954" s="43"/>
      <c r="BX954" s="43"/>
      <c r="BY954" s="43"/>
      <c r="BZ954" s="43"/>
      <c r="CA954" s="43"/>
    </row>
    <row r="955">
      <c r="A955" s="47"/>
      <c r="B955" s="47"/>
      <c r="C955" s="47"/>
      <c r="D955" s="47"/>
      <c r="E955" s="47"/>
      <c r="F955" s="47"/>
      <c r="G955" s="47"/>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c r="BO955" s="43"/>
      <c r="BP955" s="43"/>
      <c r="BQ955" s="43"/>
      <c r="BR955" s="43"/>
      <c r="BS955" s="43"/>
      <c r="BT955" s="43"/>
      <c r="BU955" s="43"/>
      <c r="BV955" s="43"/>
      <c r="BW955" s="43"/>
      <c r="BX955" s="43"/>
      <c r="BY955" s="43"/>
      <c r="BZ955" s="43"/>
      <c r="CA955" s="43"/>
    </row>
    <row r="956">
      <c r="A956" s="47"/>
      <c r="B956" s="47"/>
      <c r="C956" s="47"/>
      <c r="D956" s="47"/>
      <c r="E956" s="47"/>
      <c r="F956" s="47"/>
      <c r="G956" s="47"/>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c r="BO956" s="43"/>
      <c r="BP956" s="43"/>
      <c r="BQ956" s="43"/>
      <c r="BR956" s="43"/>
      <c r="BS956" s="43"/>
      <c r="BT956" s="43"/>
      <c r="BU956" s="43"/>
      <c r="BV956" s="43"/>
      <c r="BW956" s="43"/>
      <c r="BX956" s="43"/>
      <c r="BY956" s="43"/>
      <c r="BZ956" s="43"/>
      <c r="CA956" s="43"/>
    </row>
    <row r="957">
      <c r="A957" s="47"/>
      <c r="B957" s="47"/>
      <c r="C957" s="47"/>
      <c r="D957" s="47"/>
      <c r="E957" s="47"/>
      <c r="F957" s="47"/>
      <c r="G957" s="47"/>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c r="BO957" s="43"/>
      <c r="BP957" s="43"/>
      <c r="BQ957" s="43"/>
      <c r="BR957" s="43"/>
      <c r="BS957" s="43"/>
      <c r="BT957" s="43"/>
      <c r="BU957" s="43"/>
      <c r="BV957" s="43"/>
      <c r="BW957" s="43"/>
      <c r="BX957" s="43"/>
      <c r="BY957" s="43"/>
      <c r="BZ957" s="43"/>
      <c r="CA957" s="43"/>
    </row>
    <row r="958">
      <c r="A958" s="47"/>
      <c r="B958" s="47"/>
      <c r="C958" s="47"/>
      <c r="D958" s="47"/>
      <c r="E958" s="47"/>
      <c r="F958" s="47"/>
      <c r="G958" s="47"/>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c r="BO958" s="43"/>
      <c r="BP958" s="43"/>
      <c r="BQ958" s="43"/>
      <c r="BR958" s="43"/>
      <c r="BS958" s="43"/>
      <c r="BT958" s="43"/>
      <c r="BU958" s="43"/>
      <c r="BV958" s="43"/>
      <c r="BW958" s="43"/>
      <c r="BX958" s="43"/>
      <c r="BY958" s="43"/>
      <c r="BZ958" s="43"/>
      <c r="CA958" s="43"/>
    </row>
    <row r="959">
      <c r="A959" s="47"/>
      <c r="B959" s="47"/>
      <c r="C959" s="47"/>
      <c r="D959" s="47"/>
      <c r="E959" s="47"/>
      <c r="F959" s="47"/>
      <c r="G959" s="47"/>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c r="BO959" s="43"/>
      <c r="BP959" s="43"/>
      <c r="BQ959" s="43"/>
      <c r="BR959" s="43"/>
      <c r="BS959" s="43"/>
      <c r="BT959" s="43"/>
      <c r="BU959" s="43"/>
      <c r="BV959" s="43"/>
      <c r="BW959" s="43"/>
      <c r="BX959" s="43"/>
      <c r="BY959" s="43"/>
      <c r="BZ959" s="43"/>
      <c r="CA959" s="43"/>
    </row>
    <row r="960">
      <c r="A960" s="47"/>
      <c r="B960" s="47"/>
      <c r="C960" s="47"/>
      <c r="D960" s="47"/>
      <c r="E960" s="47"/>
      <c r="F960" s="47"/>
      <c r="G960" s="47"/>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c r="BO960" s="43"/>
      <c r="BP960" s="43"/>
      <c r="BQ960" s="43"/>
      <c r="BR960" s="43"/>
      <c r="BS960" s="43"/>
      <c r="BT960" s="43"/>
      <c r="BU960" s="43"/>
      <c r="BV960" s="43"/>
      <c r="BW960" s="43"/>
      <c r="BX960" s="43"/>
      <c r="BY960" s="43"/>
      <c r="BZ960" s="43"/>
      <c r="CA960" s="43"/>
    </row>
    <row r="961">
      <c r="A961" s="47"/>
      <c r="B961" s="47"/>
      <c r="C961" s="47"/>
      <c r="D961" s="47"/>
      <c r="E961" s="47"/>
      <c r="F961" s="47"/>
      <c r="G961" s="47"/>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c r="BO961" s="43"/>
      <c r="BP961" s="43"/>
      <c r="BQ961" s="43"/>
      <c r="BR961" s="43"/>
      <c r="BS961" s="43"/>
      <c r="BT961" s="43"/>
      <c r="BU961" s="43"/>
      <c r="BV961" s="43"/>
      <c r="BW961" s="43"/>
      <c r="BX961" s="43"/>
      <c r="BY961" s="43"/>
      <c r="BZ961" s="43"/>
      <c r="CA961" s="43"/>
    </row>
    <row r="962">
      <c r="A962" s="47"/>
      <c r="B962" s="47"/>
      <c r="C962" s="47"/>
      <c r="D962" s="47"/>
      <c r="E962" s="47"/>
      <c r="F962" s="47"/>
      <c r="G962" s="47"/>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c r="BO962" s="43"/>
      <c r="BP962" s="43"/>
      <c r="BQ962" s="43"/>
      <c r="BR962" s="43"/>
      <c r="BS962" s="43"/>
      <c r="BT962" s="43"/>
      <c r="BU962" s="43"/>
      <c r="BV962" s="43"/>
      <c r="BW962" s="43"/>
      <c r="BX962" s="43"/>
      <c r="BY962" s="43"/>
      <c r="BZ962" s="43"/>
      <c r="CA962" s="43"/>
    </row>
    <row r="963">
      <c r="A963" s="47"/>
      <c r="B963" s="47"/>
      <c r="C963" s="47"/>
      <c r="D963" s="47"/>
      <c r="E963" s="47"/>
      <c r="F963" s="47"/>
      <c r="G963" s="47"/>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c r="BO963" s="43"/>
      <c r="BP963" s="43"/>
      <c r="BQ963" s="43"/>
      <c r="BR963" s="43"/>
      <c r="BS963" s="43"/>
      <c r="BT963" s="43"/>
      <c r="BU963" s="43"/>
      <c r="BV963" s="43"/>
      <c r="BW963" s="43"/>
      <c r="BX963" s="43"/>
      <c r="BY963" s="43"/>
      <c r="BZ963" s="43"/>
      <c r="CA963" s="43"/>
    </row>
    <row r="964">
      <c r="A964" s="47"/>
      <c r="B964" s="47"/>
      <c r="C964" s="47"/>
      <c r="D964" s="47"/>
      <c r="E964" s="47"/>
      <c r="F964" s="47"/>
      <c r="G964" s="47"/>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c r="BO964" s="43"/>
      <c r="BP964" s="43"/>
      <c r="BQ964" s="43"/>
      <c r="BR964" s="43"/>
      <c r="BS964" s="43"/>
      <c r="BT964" s="43"/>
      <c r="BU964" s="43"/>
      <c r="BV964" s="43"/>
      <c r="BW964" s="43"/>
      <c r="BX964" s="43"/>
      <c r="BY964" s="43"/>
      <c r="BZ964" s="43"/>
      <c r="CA964" s="43"/>
    </row>
    <row r="965">
      <c r="A965" s="47"/>
      <c r="B965" s="47"/>
      <c r="C965" s="47"/>
      <c r="D965" s="47"/>
      <c r="E965" s="47"/>
      <c r="F965" s="47"/>
      <c r="G965" s="47"/>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c r="BO965" s="43"/>
      <c r="BP965" s="43"/>
      <c r="BQ965" s="43"/>
      <c r="BR965" s="43"/>
      <c r="BS965" s="43"/>
      <c r="BT965" s="43"/>
      <c r="BU965" s="43"/>
      <c r="BV965" s="43"/>
      <c r="BW965" s="43"/>
      <c r="BX965" s="43"/>
      <c r="BY965" s="43"/>
      <c r="BZ965" s="43"/>
      <c r="CA965" s="43"/>
    </row>
    <row r="966">
      <c r="A966" s="47"/>
      <c r="B966" s="47"/>
      <c r="C966" s="47"/>
      <c r="D966" s="47"/>
      <c r="E966" s="47"/>
      <c r="F966" s="47"/>
      <c r="G966" s="47"/>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c r="BO966" s="43"/>
      <c r="BP966" s="43"/>
      <c r="BQ966" s="43"/>
      <c r="BR966" s="43"/>
      <c r="BS966" s="43"/>
      <c r="BT966" s="43"/>
      <c r="BU966" s="43"/>
      <c r="BV966" s="43"/>
      <c r="BW966" s="43"/>
      <c r="BX966" s="43"/>
      <c r="BY966" s="43"/>
      <c r="BZ966" s="43"/>
      <c r="CA966" s="43"/>
    </row>
    <row r="967">
      <c r="A967" s="47"/>
      <c r="B967" s="47"/>
      <c r="C967" s="47"/>
      <c r="D967" s="47"/>
      <c r="E967" s="47"/>
      <c r="F967" s="47"/>
      <c r="G967" s="47"/>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c r="BO967" s="43"/>
      <c r="BP967" s="43"/>
      <c r="BQ967" s="43"/>
      <c r="BR967" s="43"/>
      <c r="BS967" s="43"/>
      <c r="BT967" s="43"/>
      <c r="BU967" s="43"/>
      <c r="BV967" s="43"/>
      <c r="BW967" s="43"/>
      <c r="BX967" s="43"/>
      <c r="BY967" s="43"/>
      <c r="BZ967" s="43"/>
      <c r="CA967" s="43"/>
    </row>
    <row r="968">
      <c r="A968" s="47"/>
      <c r="B968" s="47"/>
      <c r="C968" s="47"/>
      <c r="D968" s="47"/>
      <c r="E968" s="47"/>
      <c r="F968" s="47"/>
      <c r="G968" s="47"/>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c r="BO968" s="43"/>
      <c r="BP968" s="43"/>
      <c r="BQ968" s="43"/>
      <c r="BR968" s="43"/>
      <c r="BS968" s="43"/>
      <c r="BT968" s="43"/>
      <c r="BU968" s="43"/>
      <c r="BV968" s="43"/>
      <c r="BW968" s="43"/>
      <c r="BX968" s="43"/>
      <c r="BY968" s="43"/>
      <c r="BZ968" s="43"/>
      <c r="CA968" s="43"/>
    </row>
    <row r="969">
      <c r="A969" s="47"/>
      <c r="B969" s="47"/>
      <c r="C969" s="47"/>
      <c r="D969" s="47"/>
      <c r="E969" s="47"/>
      <c r="F969" s="47"/>
      <c r="G969" s="47"/>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c r="BO969" s="43"/>
      <c r="BP969" s="43"/>
      <c r="BQ969" s="43"/>
      <c r="BR969" s="43"/>
      <c r="BS969" s="43"/>
      <c r="BT969" s="43"/>
      <c r="BU969" s="43"/>
      <c r="BV969" s="43"/>
      <c r="BW969" s="43"/>
      <c r="BX969" s="43"/>
      <c r="BY969" s="43"/>
      <c r="BZ969" s="43"/>
      <c r="CA969" s="43"/>
    </row>
    <row r="970">
      <c r="A970" s="47"/>
      <c r="B970" s="47"/>
      <c r="C970" s="47"/>
      <c r="D970" s="47"/>
      <c r="E970" s="47"/>
      <c r="F970" s="47"/>
      <c r="G970" s="47"/>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c r="BO970" s="43"/>
      <c r="BP970" s="43"/>
      <c r="BQ970" s="43"/>
      <c r="BR970" s="43"/>
      <c r="BS970" s="43"/>
      <c r="BT970" s="43"/>
      <c r="BU970" s="43"/>
      <c r="BV970" s="43"/>
      <c r="BW970" s="43"/>
      <c r="BX970" s="43"/>
      <c r="BY970" s="43"/>
      <c r="BZ970" s="43"/>
      <c r="CA970" s="43"/>
    </row>
    <row r="971">
      <c r="A971" s="47"/>
      <c r="B971" s="47"/>
      <c r="C971" s="47"/>
      <c r="D971" s="47"/>
      <c r="E971" s="47"/>
      <c r="F971" s="47"/>
      <c r="G971" s="47"/>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c r="BO971" s="43"/>
      <c r="BP971" s="43"/>
      <c r="BQ971" s="43"/>
      <c r="BR971" s="43"/>
      <c r="BS971" s="43"/>
      <c r="BT971" s="43"/>
      <c r="BU971" s="43"/>
      <c r="BV971" s="43"/>
      <c r="BW971" s="43"/>
      <c r="BX971" s="43"/>
      <c r="BY971" s="43"/>
      <c r="BZ971" s="43"/>
      <c r="CA971" s="43"/>
    </row>
    <row r="972">
      <c r="A972" s="47"/>
      <c r="B972" s="47"/>
      <c r="C972" s="47"/>
      <c r="D972" s="47"/>
      <c r="E972" s="47"/>
      <c r="F972" s="47"/>
      <c r="G972" s="47"/>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c r="BO972" s="43"/>
      <c r="BP972" s="43"/>
      <c r="BQ972" s="43"/>
      <c r="BR972" s="43"/>
      <c r="BS972" s="43"/>
      <c r="BT972" s="43"/>
      <c r="BU972" s="43"/>
      <c r="BV972" s="43"/>
      <c r="BW972" s="43"/>
      <c r="BX972" s="43"/>
      <c r="BY972" s="43"/>
      <c r="BZ972" s="43"/>
      <c r="CA972" s="43"/>
    </row>
    <row r="973">
      <c r="A973" s="47"/>
      <c r="B973" s="47"/>
      <c r="C973" s="47"/>
      <c r="D973" s="47"/>
      <c r="E973" s="47"/>
      <c r="F973" s="47"/>
      <c r="G973" s="47"/>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c r="BO973" s="43"/>
      <c r="BP973" s="43"/>
      <c r="BQ973" s="43"/>
      <c r="BR973" s="43"/>
      <c r="BS973" s="43"/>
      <c r="BT973" s="43"/>
      <c r="BU973" s="43"/>
      <c r="BV973" s="43"/>
      <c r="BW973" s="43"/>
      <c r="BX973" s="43"/>
      <c r="BY973" s="43"/>
      <c r="BZ973" s="43"/>
      <c r="CA973" s="43"/>
    </row>
    <row r="974">
      <c r="A974" s="47"/>
      <c r="B974" s="47"/>
      <c r="C974" s="47"/>
      <c r="D974" s="47"/>
      <c r="E974" s="47"/>
      <c r="F974" s="47"/>
      <c r="G974" s="47"/>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c r="BO974" s="43"/>
      <c r="BP974" s="43"/>
      <c r="BQ974" s="43"/>
      <c r="BR974" s="43"/>
      <c r="BS974" s="43"/>
      <c r="BT974" s="43"/>
      <c r="BU974" s="43"/>
      <c r="BV974" s="43"/>
      <c r="BW974" s="43"/>
      <c r="BX974" s="43"/>
      <c r="BY974" s="43"/>
      <c r="BZ974" s="43"/>
      <c r="CA974" s="43"/>
    </row>
    <row r="975">
      <c r="A975" s="47"/>
      <c r="B975" s="47"/>
      <c r="C975" s="47"/>
      <c r="D975" s="47"/>
      <c r="E975" s="47"/>
      <c r="F975" s="47"/>
      <c r="G975" s="47"/>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c r="BO975" s="43"/>
      <c r="BP975" s="43"/>
      <c r="BQ975" s="43"/>
      <c r="BR975" s="43"/>
      <c r="BS975" s="43"/>
      <c r="BT975" s="43"/>
      <c r="BU975" s="43"/>
      <c r="BV975" s="43"/>
      <c r="BW975" s="43"/>
      <c r="BX975" s="43"/>
      <c r="BY975" s="43"/>
      <c r="BZ975" s="43"/>
      <c r="CA975" s="43"/>
    </row>
    <row r="976">
      <c r="A976" s="47"/>
      <c r="B976" s="47"/>
      <c r="C976" s="47"/>
      <c r="D976" s="47"/>
      <c r="E976" s="47"/>
      <c r="F976" s="47"/>
      <c r="G976" s="47"/>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c r="BO976" s="43"/>
      <c r="BP976" s="43"/>
      <c r="BQ976" s="43"/>
      <c r="BR976" s="43"/>
      <c r="BS976" s="43"/>
      <c r="BT976" s="43"/>
      <c r="BU976" s="43"/>
      <c r="BV976" s="43"/>
      <c r="BW976" s="43"/>
      <c r="BX976" s="43"/>
      <c r="BY976" s="43"/>
      <c r="BZ976" s="43"/>
      <c r="CA976" s="43"/>
    </row>
    <row r="977">
      <c r="A977" s="47"/>
      <c r="B977" s="47"/>
      <c r="C977" s="47"/>
      <c r="D977" s="47"/>
      <c r="E977" s="47"/>
      <c r="F977" s="47"/>
      <c r="G977" s="47"/>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c r="BO977" s="43"/>
      <c r="BP977" s="43"/>
      <c r="BQ977" s="43"/>
      <c r="BR977" s="43"/>
      <c r="BS977" s="43"/>
      <c r="BT977" s="43"/>
      <c r="BU977" s="43"/>
      <c r="BV977" s="43"/>
      <c r="BW977" s="43"/>
      <c r="BX977" s="43"/>
      <c r="BY977" s="43"/>
      <c r="BZ977" s="43"/>
      <c r="CA977" s="43"/>
    </row>
    <row r="978">
      <c r="A978" s="47"/>
      <c r="B978" s="47"/>
      <c r="C978" s="47"/>
      <c r="D978" s="47"/>
      <c r="E978" s="47"/>
      <c r="F978" s="47"/>
      <c r="G978" s="47"/>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c r="BO978" s="43"/>
      <c r="BP978" s="43"/>
      <c r="BQ978" s="43"/>
      <c r="BR978" s="43"/>
      <c r="BS978" s="43"/>
      <c r="BT978" s="43"/>
      <c r="BU978" s="43"/>
      <c r="BV978" s="43"/>
      <c r="BW978" s="43"/>
      <c r="BX978" s="43"/>
      <c r="BY978" s="43"/>
      <c r="BZ978" s="43"/>
      <c r="CA978" s="43"/>
    </row>
    <row r="979">
      <c r="A979" s="47"/>
      <c r="B979" s="47"/>
      <c r="C979" s="47"/>
      <c r="D979" s="47"/>
      <c r="E979" s="47"/>
      <c r="F979" s="47"/>
      <c r="G979" s="47"/>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c r="BO979" s="43"/>
      <c r="BP979" s="43"/>
      <c r="BQ979" s="43"/>
      <c r="BR979" s="43"/>
      <c r="BS979" s="43"/>
      <c r="BT979" s="43"/>
      <c r="BU979" s="43"/>
      <c r="BV979" s="43"/>
      <c r="BW979" s="43"/>
      <c r="BX979" s="43"/>
      <c r="BY979" s="43"/>
      <c r="BZ979" s="43"/>
      <c r="CA979" s="43"/>
    </row>
    <row r="980">
      <c r="A980" s="47"/>
      <c r="B980" s="47"/>
      <c r="C980" s="47"/>
      <c r="D980" s="47"/>
      <c r="E980" s="47"/>
      <c r="F980" s="47"/>
      <c r="G980" s="47"/>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c r="BO980" s="43"/>
      <c r="BP980" s="43"/>
      <c r="BQ980" s="43"/>
      <c r="BR980" s="43"/>
      <c r="BS980" s="43"/>
      <c r="BT980" s="43"/>
      <c r="BU980" s="43"/>
      <c r="BV980" s="43"/>
      <c r="BW980" s="43"/>
      <c r="BX980" s="43"/>
      <c r="BY980" s="43"/>
      <c r="BZ980" s="43"/>
      <c r="CA980" s="43"/>
    </row>
    <row r="981">
      <c r="A981" s="47"/>
      <c r="B981" s="47"/>
      <c r="C981" s="47"/>
      <c r="D981" s="47"/>
      <c r="E981" s="47"/>
      <c r="F981" s="47"/>
      <c r="G981" s="47"/>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c r="BO981" s="43"/>
      <c r="BP981" s="43"/>
      <c r="BQ981" s="43"/>
      <c r="BR981" s="43"/>
      <c r="BS981" s="43"/>
      <c r="BT981" s="43"/>
      <c r="BU981" s="43"/>
      <c r="BV981" s="43"/>
      <c r="BW981" s="43"/>
      <c r="BX981" s="43"/>
      <c r="BY981" s="43"/>
      <c r="BZ981" s="43"/>
      <c r="CA981" s="43"/>
    </row>
    <row r="982">
      <c r="A982" s="47"/>
      <c r="B982" s="47"/>
      <c r="C982" s="47"/>
      <c r="D982" s="47"/>
      <c r="E982" s="47"/>
      <c r="F982" s="47"/>
      <c r="G982" s="47"/>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c r="BO982" s="43"/>
      <c r="BP982" s="43"/>
      <c r="BQ982" s="43"/>
      <c r="BR982" s="43"/>
      <c r="BS982" s="43"/>
      <c r="BT982" s="43"/>
      <c r="BU982" s="43"/>
      <c r="BV982" s="43"/>
      <c r="BW982" s="43"/>
      <c r="BX982" s="43"/>
      <c r="BY982" s="43"/>
      <c r="BZ982" s="43"/>
      <c r="CA982" s="43"/>
    </row>
    <row r="983">
      <c r="A983" s="47"/>
      <c r="B983" s="47"/>
      <c r="C983" s="47"/>
      <c r="D983" s="47"/>
      <c r="E983" s="47"/>
      <c r="F983" s="47"/>
      <c r="G983" s="47"/>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c r="BO983" s="43"/>
      <c r="BP983" s="43"/>
      <c r="BQ983" s="43"/>
      <c r="BR983" s="43"/>
      <c r="BS983" s="43"/>
      <c r="BT983" s="43"/>
      <c r="BU983" s="43"/>
      <c r="BV983" s="43"/>
      <c r="BW983" s="43"/>
      <c r="BX983" s="43"/>
      <c r="BY983" s="43"/>
      <c r="BZ983" s="43"/>
      <c r="CA983" s="43"/>
    </row>
    <row r="984">
      <c r="A984" s="47"/>
      <c r="B984" s="47"/>
      <c r="C984" s="47"/>
      <c r="D984" s="47"/>
      <c r="E984" s="47"/>
      <c r="F984" s="47"/>
      <c r="G984" s="47"/>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c r="BO984" s="43"/>
      <c r="BP984" s="43"/>
      <c r="BQ984" s="43"/>
      <c r="BR984" s="43"/>
      <c r="BS984" s="43"/>
      <c r="BT984" s="43"/>
      <c r="BU984" s="43"/>
      <c r="BV984" s="43"/>
      <c r="BW984" s="43"/>
      <c r="BX984" s="43"/>
      <c r="BY984" s="43"/>
      <c r="BZ984" s="43"/>
      <c r="CA984" s="43"/>
    </row>
    <row r="985">
      <c r="A985" s="47"/>
      <c r="B985" s="47"/>
      <c r="C985" s="47"/>
      <c r="D985" s="47"/>
      <c r="E985" s="47"/>
      <c r="F985" s="47"/>
      <c r="G985" s="47"/>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c r="BO985" s="43"/>
      <c r="BP985" s="43"/>
      <c r="BQ985" s="43"/>
      <c r="BR985" s="43"/>
      <c r="BS985" s="43"/>
      <c r="BT985" s="43"/>
      <c r="BU985" s="43"/>
      <c r="BV985" s="43"/>
      <c r="BW985" s="43"/>
      <c r="BX985" s="43"/>
      <c r="BY985" s="43"/>
      <c r="BZ985" s="43"/>
      <c r="CA985" s="43"/>
    </row>
    <row r="986">
      <c r="A986" s="47"/>
      <c r="B986" s="47"/>
      <c r="C986" s="47"/>
      <c r="D986" s="47"/>
      <c r="E986" s="47"/>
      <c r="F986" s="47"/>
      <c r="G986" s="47"/>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c r="BO986" s="43"/>
      <c r="BP986" s="43"/>
      <c r="BQ986" s="43"/>
      <c r="BR986" s="43"/>
      <c r="BS986" s="43"/>
      <c r="BT986" s="43"/>
      <c r="BU986" s="43"/>
      <c r="BV986" s="43"/>
      <c r="BW986" s="43"/>
      <c r="BX986" s="43"/>
      <c r="BY986" s="43"/>
      <c r="BZ986" s="43"/>
      <c r="CA986" s="43"/>
    </row>
    <row r="987">
      <c r="A987" s="47"/>
      <c r="B987" s="47"/>
      <c r="C987" s="47"/>
      <c r="D987" s="47"/>
      <c r="E987" s="47"/>
      <c r="F987" s="47"/>
      <c r="G987" s="47"/>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c r="BO987" s="43"/>
      <c r="BP987" s="43"/>
      <c r="BQ987" s="43"/>
      <c r="BR987" s="43"/>
      <c r="BS987" s="43"/>
      <c r="BT987" s="43"/>
      <c r="BU987" s="43"/>
      <c r="BV987" s="43"/>
      <c r="BW987" s="43"/>
      <c r="BX987" s="43"/>
      <c r="BY987" s="43"/>
      <c r="BZ987" s="43"/>
      <c r="CA987" s="43"/>
    </row>
    <row r="988">
      <c r="A988" s="47"/>
      <c r="B988" s="47"/>
      <c r="C988" s="47"/>
      <c r="D988" s="47"/>
      <c r="E988" s="47"/>
      <c r="F988" s="47"/>
      <c r="G988" s="47"/>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c r="BO988" s="43"/>
      <c r="BP988" s="43"/>
      <c r="BQ988" s="43"/>
      <c r="BR988" s="43"/>
      <c r="BS988" s="43"/>
      <c r="BT988" s="43"/>
      <c r="BU988" s="43"/>
      <c r="BV988" s="43"/>
      <c r="BW988" s="43"/>
      <c r="BX988" s="43"/>
      <c r="BY988" s="43"/>
      <c r="BZ988" s="43"/>
      <c r="CA988" s="43"/>
    </row>
    <row r="989">
      <c r="A989" s="47"/>
      <c r="B989" s="47"/>
      <c r="C989" s="47"/>
      <c r="D989" s="47"/>
      <c r="E989" s="47"/>
      <c r="F989" s="47"/>
      <c r="G989" s="47"/>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c r="BO989" s="43"/>
      <c r="BP989" s="43"/>
      <c r="BQ989" s="43"/>
      <c r="BR989" s="43"/>
      <c r="BS989" s="43"/>
      <c r="BT989" s="43"/>
      <c r="BU989" s="43"/>
      <c r="BV989" s="43"/>
      <c r="BW989" s="43"/>
      <c r="BX989" s="43"/>
      <c r="BY989" s="43"/>
      <c r="BZ989" s="43"/>
      <c r="CA989" s="43"/>
    </row>
    <row r="990">
      <c r="A990" s="47"/>
      <c r="B990" s="47"/>
      <c r="C990" s="47"/>
      <c r="D990" s="47"/>
      <c r="E990" s="47"/>
      <c r="F990" s="47"/>
      <c r="G990" s="47"/>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c r="BO990" s="43"/>
      <c r="BP990" s="43"/>
      <c r="BQ990" s="43"/>
      <c r="BR990" s="43"/>
      <c r="BS990" s="43"/>
      <c r="BT990" s="43"/>
      <c r="BU990" s="43"/>
      <c r="BV990" s="43"/>
      <c r="BW990" s="43"/>
      <c r="BX990" s="43"/>
      <c r="BY990" s="43"/>
      <c r="BZ990" s="43"/>
      <c r="CA990" s="43"/>
    </row>
    <row r="991">
      <c r="A991" s="47"/>
      <c r="B991" s="47"/>
      <c r="C991" s="47"/>
      <c r="D991" s="47"/>
      <c r="E991" s="47"/>
      <c r="F991" s="47"/>
      <c r="G991" s="47"/>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c r="BO991" s="43"/>
      <c r="BP991" s="43"/>
      <c r="BQ991" s="43"/>
      <c r="BR991" s="43"/>
      <c r="BS991" s="43"/>
      <c r="BT991" s="43"/>
      <c r="BU991" s="43"/>
      <c r="BV991" s="43"/>
      <c r="BW991" s="43"/>
      <c r="BX991" s="43"/>
      <c r="BY991" s="43"/>
      <c r="BZ991" s="43"/>
      <c r="CA991" s="43"/>
    </row>
    <row r="992">
      <c r="A992" s="47"/>
      <c r="B992" s="47"/>
      <c r="C992" s="47"/>
      <c r="D992" s="47"/>
      <c r="E992" s="47"/>
      <c r="F992" s="47"/>
      <c r="G992" s="47"/>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c r="BO992" s="43"/>
      <c r="BP992" s="43"/>
      <c r="BQ992" s="43"/>
      <c r="BR992" s="43"/>
      <c r="BS992" s="43"/>
      <c r="BT992" s="43"/>
      <c r="BU992" s="43"/>
      <c r="BV992" s="43"/>
      <c r="BW992" s="43"/>
      <c r="BX992" s="43"/>
      <c r="BY992" s="43"/>
      <c r="BZ992" s="43"/>
      <c r="CA992" s="43"/>
    </row>
    <row r="993">
      <c r="A993" s="47"/>
      <c r="B993" s="47"/>
      <c r="C993" s="47"/>
      <c r="D993" s="47"/>
      <c r="E993" s="47"/>
      <c r="F993" s="47"/>
      <c r="G993" s="47"/>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c r="BO993" s="43"/>
      <c r="BP993" s="43"/>
      <c r="BQ993" s="43"/>
      <c r="BR993" s="43"/>
      <c r="BS993" s="43"/>
      <c r="BT993" s="43"/>
      <c r="BU993" s="43"/>
      <c r="BV993" s="43"/>
      <c r="BW993" s="43"/>
      <c r="BX993" s="43"/>
      <c r="BY993" s="43"/>
      <c r="BZ993" s="43"/>
      <c r="CA993" s="43"/>
    </row>
    <row r="994">
      <c r="A994" s="47"/>
      <c r="B994" s="47"/>
      <c r="C994" s="47"/>
      <c r="D994" s="47"/>
      <c r="E994" s="47"/>
      <c r="F994" s="47"/>
      <c r="G994" s="47"/>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c r="BO994" s="43"/>
      <c r="BP994" s="43"/>
      <c r="BQ994" s="43"/>
      <c r="BR994" s="43"/>
      <c r="BS994" s="43"/>
      <c r="BT994" s="43"/>
      <c r="BU994" s="43"/>
      <c r="BV994" s="43"/>
      <c r="BW994" s="43"/>
      <c r="BX994" s="43"/>
      <c r="BY994" s="43"/>
      <c r="BZ994" s="43"/>
      <c r="CA994" s="43"/>
    </row>
    <row r="995">
      <c r="A995" s="47"/>
      <c r="B995" s="47"/>
      <c r="C995" s="47"/>
      <c r="D995" s="47"/>
      <c r="E995" s="47"/>
      <c r="F995" s="47"/>
      <c r="G995" s="47"/>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c r="BO995" s="43"/>
      <c r="BP995" s="43"/>
      <c r="BQ995" s="43"/>
      <c r="BR995" s="43"/>
      <c r="BS995" s="43"/>
      <c r="BT995" s="43"/>
      <c r="BU995" s="43"/>
      <c r="BV995" s="43"/>
      <c r="BW995" s="43"/>
      <c r="BX995" s="43"/>
      <c r="BY995" s="43"/>
      <c r="BZ995" s="43"/>
      <c r="CA995" s="43"/>
    </row>
    <row r="996">
      <c r="A996" s="47"/>
      <c r="B996" s="47"/>
      <c r="C996" s="47"/>
      <c r="D996" s="47"/>
      <c r="E996" s="47"/>
      <c r="F996" s="47"/>
      <c r="G996" s="47"/>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c r="BO996" s="43"/>
      <c r="BP996" s="43"/>
      <c r="BQ996" s="43"/>
      <c r="BR996" s="43"/>
      <c r="BS996" s="43"/>
      <c r="BT996" s="43"/>
      <c r="BU996" s="43"/>
      <c r="BV996" s="43"/>
      <c r="BW996" s="43"/>
      <c r="BX996" s="43"/>
      <c r="BY996" s="43"/>
      <c r="BZ996" s="43"/>
      <c r="CA996" s="43"/>
    </row>
    <row r="997">
      <c r="A997" s="47"/>
      <c r="B997" s="47"/>
      <c r="C997" s="47"/>
      <c r="D997" s="47"/>
      <c r="E997" s="47"/>
      <c r="F997" s="47"/>
      <c r="G997" s="47"/>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c r="BO997" s="43"/>
      <c r="BP997" s="43"/>
      <c r="BQ997" s="43"/>
      <c r="BR997" s="43"/>
      <c r="BS997" s="43"/>
      <c r="BT997" s="43"/>
      <c r="BU997" s="43"/>
      <c r="BV997" s="43"/>
      <c r="BW997" s="43"/>
      <c r="BX997" s="43"/>
      <c r="BY997" s="43"/>
      <c r="BZ997" s="43"/>
      <c r="CA997" s="43"/>
    </row>
    <row r="998">
      <c r="A998" s="47"/>
      <c r="B998" s="47"/>
      <c r="C998" s="47"/>
      <c r="D998" s="47"/>
      <c r="E998" s="47"/>
      <c r="F998" s="47"/>
      <c r="G998" s="47"/>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c r="BO998" s="43"/>
      <c r="BP998" s="43"/>
      <c r="BQ998" s="43"/>
      <c r="BR998" s="43"/>
      <c r="BS998" s="43"/>
      <c r="BT998" s="43"/>
      <c r="BU998" s="43"/>
      <c r="BV998" s="43"/>
      <c r="BW998" s="43"/>
      <c r="BX998" s="43"/>
      <c r="BY998" s="43"/>
      <c r="BZ998" s="43"/>
      <c r="CA998" s="43"/>
    </row>
    <row r="999">
      <c r="A999" s="47"/>
      <c r="B999" s="47"/>
      <c r="C999" s="47"/>
      <c r="D999" s="47"/>
      <c r="E999" s="47"/>
      <c r="F999" s="47"/>
      <c r="G999" s="47"/>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c r="BO999" s="43"/>
      <c r="BP999" s="43"/>
      <c r="BQ999" s="43"/>
      <c r="BR999" s="43"/>
      <c r="BS999" s="43"/>
      <c r="BT999" s="43"/>
      <c r="BU999" s="43"/>
      <c r="BV999" s="43"/>
      <c r="BW999" s="43"/>
      <c r="BX999" s="43"/>
      <c r="BY999" s="43"/>
      <c r="BZ999" s="43"/>
      <c r="CA999" s="43"/>
    </row>
    <row r="1000">
      <c r="A1000" s="47"/>
      <c r="B1000" s="47"/>
      <c r="C1000" s="47"/>
      <c r="D1000" s="47"/>
      <c r="E1000" s="47"/>
      <c r="F1000" s="47"/>
      <c r="G1000" s="47"/>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c r="BO1000" s="43"/>
      <c r="BP1000" s="43"/>
      <c r="BQ1000" s="43"/>
      <c r="BR1000" s="43"/>
      <c r="BS1000" s="43"/>
      <c r="BT1000" s="43"/>
      <c r="BU1000" s="43"/>
      <c r="BV1000" s="43"/>
      <c r="BW1000" s="43"/>
      <c r="BX1000" s="43"/>
      <c r="BY1000" s="43"/>
      <c r="BZ1000" s="43"/>
      <c r="CA1000" s="43"/>
    </row>
    <row r="1001">
      <c r="A1001" s="47"/>
      <c r="B1001" s="47"/>
      <c r="C1001" s="47"/>
      <c r="D1001" s="47"/>
      <c r="E1001" s="47"/>
      <c r="F1001" s="47"/>
      <c r="G1001" s="47"/>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c r="BO1001" s="43"/>
      <c r="BP1001" s="43"/>
      <c r="BQ1001" s="43"/>
      <c r="BR1001" s="43"/>
      <c r="BS1001" s="43"/>
      <c r="BT1001" s="43"/>
      <c r="BU1001" s="43"/>
      <c r="BV1001" s="43"/>
      <c r="BW1001" s="43"/>
      <c r="BX1001" s="43"/>
      <c r="BY1001" s="43"/>
      <c r="BZ1001" s="43"/>
      <c r="CA1001" s="43"/>
    </row>
    <row r="1002">
      <c r="A1002" s="47"/>
      <c r="B1002" s="47"/>
      <c r="C1002" s="47"/>
      <c r="D1002" s="47"/>
      <c r="E1002" s="47"/>
      <c r="F1002" s="47"/>
      <c r="G1002" s="47"/>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c r="BO1002" s="43"/>
      <c r="BP1002" s="43"/>
      <c r="BQ1002" s="43"/>
      <c r="BR1002" s="43"/>
      <c r="BS1002" s="43"/>
      <c r="BT1002" s="43"/>
      <c r="BU1002" s="43"/>
      <c r="BV1002" s="43"/>
      <c r="BW1002" s="43"/>
      <c r="BX1002" s="43"/>
      <c r="BY1002" s="43"/>
      <c r="BZ1002" s="43"/>
      <c r="CA1002" s="43"/>
    </row>
    <row r="1003">
      <c r="A1003" s="47"/>
      <c r="B1003" s="47"/>
      <c r="C1003" s="47"/>
      <c r="D1003" s="47"/>
      <c r="E1003" s="47"/>
      <c r="F1003" s="47"/>
      <c r="G1003" s="47"/>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c r="BO1003" s="43"/>
      <c r="BP1003" s="43"/>
      <c r="BQ1003" s="43"/>
      <c r="BR1003" s="43"/>
      <c r="BS1003" s="43"/>
      <c r="BT1003" s="43"/>
      <c r="BU1003" s="43"/>
      <c r="BV1003" s="43"/>
      <c r="BW1003" s="43"/>
      <c r="BX1003" s="43"/>
      <c r="BY1003" s="43"/>
      <c r="BZ1003" s="43"/>
      <c r="CA1003" s="43"/>
    </row>
    <row r="1004">
      <c r="A1004" s="47"/>
      <c r="B1004" s="47"/>
      <c r="C1004" s="47"/>
      <c r="D1004" s="47"/>
      <c r="E1004" s="47"/>
      <c r="F1004" s="47"/>
      <c r="G1004" s="47"/>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c r="BO1004" s="43"/>
      <c r="BP1004" s="43"/>
      <c r="BQ1004" s="43"/>
      <c r="BR1004" s="43"/>
      <c r="BS1004" s="43"/>
      <c r="BT1004" s="43"/>
      <c r="BU1004" s="43"/>
      <c r="BV1004" s="43"/>
      <c r="BW1004" s="43"/>
      <c r="BX1004" s="43"/>
      <c r="BY1004" s="43"/>
      <c r="BZ1004" s="43"/>
      <c r="CA1004" s="43"/>
    </row>
    <row r="1005">
      <c r="A1005" s="47"/>
      <c r="B1005" s="47"/>
      <c r="C1005" s="47"/>
      <c r="D1005" s="47"/>
      <c r="E1005" s="47"/>
      <c r="F1005" s="47"/>
      <c r="G1005" s="47"/>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c r="BO1005" s="43"/>
      <c r="BP1005" s="43"/>
      <c r="BQ1005" s="43"/>
      <c r="BR1005" s="43"/>
      <c r="BS1005" s="43"/>
      <c r="BT1005" s="43"/>
      <c r="BU1005" s="43"/>
      <c r="BV1005" s="43"/>
      <c r="BW1005" s="43"/>
      <c r="BX1005" s="43"/>
      <c r="BY1005" s="43"/>
      <c r="BZ1005" s="43"/>
      <c r="CA1005" s="43"/>
    </row>
    <row r="1006">
      <c r="A1006" s="47"/>
      <c r="B1006" s="47"/>
      <c r="C1006" s="47"/>
      <c r="D1006" s="47"/>
      <c r="E1006" s="47"/>
      <c r="F1006" s="47"/>
      <c r="G1006" s="47"/>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c r="BO1006" s="43"/>
      <c r="BP1006" s="43"/>
      <c r="BQ1006" s="43"/>
      <c r="BR1006" s="43"/>
      <c r="BS1006" s="43"/>
      <c r="BT1006" s="43"/>
      <c r="BU1006" s="43"/>
      <c r="BV1006" s="43"/>
      <c r="BW1006" s="43"/>
      <c r="BX1006" s="43"/>
      <c r="BY1006" s="43"/>
      <c r="BZ1006" s="43"/>
      <c r="CA1006" s="43"/>
    </row>
    <row r="1007">
      <c r="A1007" s="47"/>
      <c r="B1007" s="47"/>
      <c r="C1007" s="47"/>
      <c r="D1007" s="47"/>
      <c r="E1007" s="47"/>
      <c r="F1007" s="47"/>
      <c r="G1007" s="47"/>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c r="BO1007" s="43"/>
      <c r="BP1007" s="43"/>
      <c r="BQ1007" s="43"/>
      <c r="BR1007" s="43"/>
      <c r="BS1007" s="43"/>
      <c r="BT1007" s="43"/>
      <c r="BU1007" s="43"/>
      <c r="BV1007" s="43"/>
      <c r="BW1007" s="43"/>
      <c r="BX1007" s="43"/>
      <c r="BY1007" s="43"/>
      <c r="BZ1007" s="43"/>
      <c r="CA1007" s="43"/>
    </row>
    <row r="1008">
      <c r="A1008" s="47"/>
      <c r="B1008" s="47"/>
      <c r="C1008" s="47"/>
      <c r="D1008" s="47"/>
      <c r="E1008" s="47"/>
      <c r="F1008" s="47"/>
      <c r="G1008" s="47"/>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c r="BO1008" s="43"/>
      <c r="BP1008" s="43"/>
      <c r="BQ1008" s="43"/>
      <c r="BR1008" s="43"/>
      <c r="BS1008" s="43"/>
      <c r="BT1008" s="43"/>
      <c r="BU1008" s="43"/>
      <c r="BV1008" s="43"/>
      <c r="BW1008" s="43"/>
      <c r="BX1008" s="43"/>
      <c r="BY1008" s="43"/>
      <c r="BZ1008" s="43"/>
      <c r="CA1008" s="43"/>
    </row>
    <row r="1009">
      <c r="A1009" s="47"/>
      <c r="B1009" s="47"/>
      <c r="C1009" s="47"/>
      <c r="D1009" s="47"/>
      <c r="E1009" s="47"/>
      <c r="F1009" s="47"/>
      <c r="G1009" s="47"/>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c r="BO1009" s="43"/>
      <c r="BP1009" s="43"/>
      <c r="BQ1009" s="43"/>
      <c r="BR1009" s="43"/>
      <c r="BS1009" s="43"/>
      <c r="BT1009" s="43"/>
      <c r="BU1009" s="43"/>
      <c r="BV1009" s="43"/>
      <c r="BW1009" s="43"/>
      <c r="BX1009" s="43"/>
      <c r="BY1009" s="43"/>
      <c r="BZ1009" s="43"/>
      <c r="CA1009" s="43"/>
    </row>
    <row r="1010">
      <c r="A1010" s="47"/>
      <c r="B1010" s="47"/>
      <c r="C1010" s="47"/>
      <c r="D1010" s="47"/>
      <c r="E1010" s="47"/>
      <c r="F1010" s="47"/>
      <c r="G1010" s="47"/>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c r="BO1010" s="43"/>
      <c r="BP1010" s="43"/>
      <c r="BQ1010" s="43"/>
      <c r="BR1010" s="43"/>
      <c r="BS1010" s="43"/>
      <c r="BT1010" s="43"/>
      <c r="BU1010" s="43"/>
      <c r="BV1010" s="43"/>
      <c r="BW1010" s="43"/>
      <c r="BX1010" s="43"/>
      <c r="BY1010" s="43"/>
      <c r="BZ1010" s="43"/>
      <c r="CA1010" s="43"/>
    </row>
    <row r="1011">
      <c r="A1011" s="47"/>
      <c r="B1011" s="47"/>
      <c r="C1011" s="47"/>
      <c r="D1011" s="47"/>
      <c r="E1011" s="47"/>
      <c r="F1011" s="47"/>
      <c r="G1011" s="47"/>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c r="BO1011" s="43"/>
      <c r="BP1011" s="43"/>
      <c r="BQ1011" s="43"/>
      <c r="BR1011" s="43"/>
      <c r="BS1011" s="43"/>
      <c r="BT1011" s="43"/>
      <c r="BU1011" s="43"/>
      <c r="BV1011" s="43"/>
      <c r="BW1011" s="43"/>
      <c r="BX1011" s="43"/>
      <c r="BY1011" s="43"/>
      <c r="BZ1011" s="43"/>
      <c r="CA1011" s="43"/>
    </row>
    <row r="1012">
      <c r="A1012" s="47"/>
      <c r="B1012" s="47"/>
      <c r="C1012" s="47"/>
      <c r="D1012" s="47"/>
      <c r="E1012" s="47"/>
      <c r="F1012" s="47"/>
      <c r="G1012" s="47"/>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c r="BO1012" s="43"/>
      <c r="BP1012" s="43"/>
      <c r="BQ1012" s="43"/>
      <c r="BR1012" s="43"/>
      <c r="BS1012" s="43"/>
      <c r="BT1012" s="43"/>
      <c r="BU1012" s="43"/>
      <c r="BV1012" s="43"/>
      <c r="BW1012" s="43"/>
      <c r="BX1012" s="43"/>
      <c r="BY1012" s="43"/>
      <c r="BZ1012" s="43"/>
      <c r="CA1012" s="43"/>
    </row>
    <row r="1013">
      <c r="A1013" s="47"/>
      <c r="B1013" s="47"/>
      <c r="C1013" s="47"/>
      <c r="D1013" s="47"/>
      <c r="E1013" s="47"/>
      <c r="F1013" s="47"/>
      <c r="G1013" s="47"/>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c r="BO1013" s="43"/>
      <c r="BP1013" s="43"/>
      <c r="BQ1013" s="43"/>
      <c r="BR1013" s="43"/>
      <c r="BS1013" s="43"/>
      <c r="BT1013" s="43"/>
      <c r="BU1013" s="43"/>
      <c r="BV1013" s="43"/>
      <c r="BW1013" s="43"/>
      <c r="BX1013" s="43"/>
      <c r="BY1013" s="43"/>
      <c r="BZ1013" s="43"/>
      <c r="CA1013" s="43"/>
    </row>
    <row r="1014">
      <c r="A1014" s="47"/>
      <c r="B1014" s="47"/>
      <c r="C1014" s="47"/>
      <c r="D1014" s="47"/>
      <c r="E1014" s="47"/>
      <c r="F1014" s="47"/>
      <c r="G1014" s="47"/>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c r="BO1014" s="43"/>
      <c r="BP1014" s="43"/>
      <c r="BQ1014" s="43"/>
      <c r="BR1014" s="43"/>
      <c r="BS1014" s="43"/>
      <c r="BT1014" s="43"/>
      <c r="BU1014" s="43"/>
      <c r="BV1014" s="43"/>
      <c r="BW1014" s="43"/>
      <c r="BX1014" s="43"/>
      <c r="BY1014" s="43"/>
      <c r="BZ1014" s="43"/>
      <c r="CA1014" s="43"/>
    </row>
    <row r="1015">
      <c r="A1015" s="47"/>
      <c r="B1015" s="47"/>
      <c r="C1015" s="47"/>
      <c r="D1015" s="47"/>
      <c r="E1015" s="47"/>
      <c r="F1015" s="47"/>
      <c r="G1015" s="47"/>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c r="BO1015" s="43"/>
      <c r="BP1015" s="43"/>
      <c r="BQ1015" s="43"/>
      <c r="BR1015" s="43"/>
      <c r="BS1015" s="43"/>
      <c r="BT1015" s="43"/>
      <c r="BU1015" s="43"/>
      <c r="BV1015" s="43"/>
      <c r="BW1015" s="43"/>
      <c r="BX1015" s="43"/>
      <c r="BY1015" s="43"/>
      <c r="BZ1015" s="43"/>
      <c r="CA1015" s="43"/>
    </row>
    <row r="1016">
      <c r="A1016" s="47"/>
      <c r="B1016" s="47"/>
      <c r="C1016" s="47"/>
      <c r="D1016" s="47"/>
      <c r="E1016" s="47"/>
      <c r="F1016" s="47"/>
      <c r="G1016" s="47"/>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c r="BO1016" s="43"/>
      <c r="BP1016" s="43"/>
      <c r="BQ1016" s="43"/>
      <c r="BR1016" s="43"/>
      <c r="BS1016" s="43"/>
      <c r="BT1016" s="43"/>
      <c r="BU1016" s="43"/>
      <c r="BV1016" s="43"/>
      <c r="BW1016" s="43"/>
      <c r="BX1016" s="43"/>
      <c r="BY1016" s="43"/>
      <c r="BZ1016" s="43"/>
      <c r="CA1016" s="43"/>
    </row>
    <row r="1017">
      <c r="A1017" s="47"/>
      <c r="B1017" s="47"/>
      <c r="C1017" s="47"/>
      <c r="D1017" s="47"/>
      <c r="E1017" s="47"/>
      <c r="F1017" s="47"/>
      <c r="G1017" s="47"/>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c r="BO1017" s="43"/>
      <c r="BP1017" s="43"/>
      <c r="BQ1017" s="43"/>
      <c r="BR1017" s="43"/>
      <c r="BS1017" s="43"/>
      <c r="BT1017" s="43"/>
      <c r="BU1017" s="43"/>
      <c r="BV1017" s="43"/>
      <c r="BW1017" s="43"/>
      <c r="BX1017" s="43"/>
      <c r="BY1017" s="43"/>
      <c r="BZ1017" s="43"/>
      <c r="CA1017" s="43"/>
    </row>
    <row r="1018">
      <c r="A1018" s="47"/>
      <c r="B1018" s="47"/>
      <c r="C1018" s="47"/>
      <c r="D1018" s="47"/>
      <c r="E1018" s="47"/>
      <c r="F1018" s="47"/>
      <c r="G1018" s="47"/>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c r="BO1018" s="43"/>
      <c r="BP1018" s="43"/>
      <c r="BQ1018" s="43"/>
      <c r="BR1018" s="43"/>
      <c r="BS1018" s="43"/>
      <c r="BT1018" s="43"/>
      <c r="BU1018" s="43"/>
      <c r="BV1018" s="43"/>
      <c r="BW1018" s="43"/>
      <c r="BX1018" s="43"/>
      <c r="BY1018" s="43"/>
      <c r="BZ1018" s="43"/>
      <c r="CA1018" s="43"/>
    </row>
    <row r="1019">
      <c r="A1019" s="47"/>
      <c r="B1019" s="47"/>
      <c r="C1019" s="47"/>
      <c r="D1019" s="47"/>
      <c r="E1019" s="47"/>
      <c r="F1019" s="47"/>
      <c r="G1019" s="47"/>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c r="BO1019" s="43"/>
      <c r="BP1019" s="43"/>
      <c r="BQ1019" s="43"/>
      <c r="BR1019" s="43"/>
      <c r="BS1019" s="43"/>
      <c r="BT1019" s="43"/>
      <c r="BU1019" s="43"/>
      <c r="BV1019" s="43"/>
      <c r="BW1019" s="43"/>
      <c r="BX1019" s="43"/>
      <c r="BY1019" s="43"/>
      <c r="BZ1019" s="43"/>
      <c r="CA1019" s="43"/>
    </row>
    <row r="1020">
      <c r="A1020" s="47"/>
      <c r="B1020" s="47"/>
      <c r="C1020" s="47"/>
      <c r="D1020" s="47"/>
      <c r="E1020" s="47"/>
      <c r="F1020" s="47"/>
      <c r="G1020" s="47"/>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c r="BO1020" s="43"/>
      <c r="BP1020" s="43"/>
      <c r="BQ1020" s="43"/>
      <c r="BR1020" s="43"/>
      <c r="BS1020" s="43"/>
      <c r="BT1020" s="43"/>
      <c r="BU1020" s="43"/>
      <c r="BV1020" s="43"/>
      <c r="BW1020" s="43"/>
      <c r="BX1020" s="43"/>
      <c r="BY1020" s="43"/>
      <c r="BZ1020" s="43"/>
      <c r="CA1020" s="43"/>
    </row>
    <row r="1021">
      <c r="A1021" s="47"/>
      <c r="B1021" s="47"/>
      <c r="C1021" s="47"/>
      <c r="D1021" s="47"/>
      <c r="E1021" s="47"/>
      <c r="F1021" s="47"/>
      <c r="G1021" s="47"/>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c r="BO1021" s="43"/>
      <c r="BP1021" s="43"/>
      <c r="BQ1021" s="43"/>
      <c r="BR1021" s="43"/>
      <c r="BS1021" s="43"/>
      <c r="BT1021" s="43"/>
      <c r="BU1021" s="43"/>
      <c r="BV1021" s="43"/>
      <c r="BW1021" s="43"/>
      <c r="BX1021" s="43"/>
      <c r="BY1021" s="43"/>
      <c r="BZ1021" s="43"/>
      <c r="CA1021" s="43"/>
    </row>
    <row r="1022">
      <c r="A1022" s="47"/>
      <c r="B1022" s="47"/>
      <c r="C1022" s="47"/>
      <c r="D1022" s="47"/>
      <c r="E1022" s="47"/>
      <c r="F1022" s="47"/>
      <c r="G1022" s="47"/>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c r="BO1022" s="43"/>
      <c r="BP1022" s="43"/>
      <c r="BQ1022" s="43"/>
      <c r="BR1022" s="43"/>
      <c r="BS1022" s="43"/>
      <c r="BT1022" s="43"/>
      <c r="BU1022" s="43"/>
      <c r="BV1022" s="43"/>
      <c r="BW1022" s="43"/>
      <c r="BX1022" s="43"/>
      <c r="BY1022" s="43"/>
      <c r="BZ1022" s="43"/>
      <c r="CA1022" s="43"/>
    </row>
    <row r="1023">
      <c r="A1023" s="47"/>
      <c r="B1023" s="47"/>
      <c r="C1023" s="47"/>
      <c r="D1023" s="47"/>
      <c r="E1023" s="47"/>
      <c r="F1023" s="47"/>
      <c r="G1023" s="47"/>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c r="BO1023" s="43"/>
      <c r="BP1023" s="43"/>
      <c r="BQ1023" s="43"/>
      <c r="BR1023" s="43"/>
      <c r="BS1023" s="43"/>
      <c r="BT1023" s="43"/>
      <c r="BU1023" s="43"/>
      <c r="BV1023" s="43"/>
      <c r="BW1023" s="43"/>
      <c r="BX1023" s="43"/>
      <c r="BY1023" s="43"/>
      <c r="BZ1023" s="43"/>
      <c r="CA1023" s="43"/>
    </row>
    <row r="1024">
      <c r="A1024" s="47"/>
      <c r="B1024" s="47"/>
      <c r="C1024" s="47"/>
      <c r="D1024" s="47"/>
      <c r="E1024" s="47"/>
      <c r="F1024" s="47"/>
      <c r="G1024" s="47"/>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c r="BO1024" s="43"/>
      <c r="BP1024" s="43"/>
      <c r="BQ1024" s="43"/>
      <c r="BR1024" s="43"/>
      <c r="BS1024" s="43"/>
      <c r="BT1024" s="43"/>
      <c r="BU1024" s="43"/>
      <c r="BV1024" s="43"/>
      <c r="BW1024" s="43"/>
      <c r="BX1024" s="43"/>
      <c r="BY1024" s="43"/>
      <c r="BZ1024" s="43"/>
      <c r="CA1024" s="43"/>
    </row>
    <row r="1025">
      <c r="A1025" s="47"/>
      <c r="B1025" s="47"/>
      <c r="C1025" s="47"/>
      <c r="D1025" s="47"/>
      <c r="E1025" s="47"/>
      <c r="F1025" s="47"/>
      <c r="G1025" s="47"/>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c r="BO1025" s="43"/>
      <c r="BP1025" s="43"/>
      <c r="BQ1025" s="43"/>
      <c r="BR1025" s="43"/>
      <c r="BS1025" s="43"/>
      <c r="BT1025" s="43"/>
      <c r="BU1025" s="43"/>
      <c r="BV1025" s="43"/>
      <c r="BW1025" s="43"/>
      <c r="BX1025" s="43"/>
      <c r="BY1025" s="43"/>
      <c r="BZ1025" s="43"/>
      <c r="CA1025" s="43"/>
    </row>
    <row r="1026">
      <c r="A1026" s="47"/>
      <c r="B1026" s="47"/>
      <c r="C1026" s="47"/>
      <c r="D1026" s="47"/>
      <c r="E1026" s="47"/>
      <c r="F1026" s="47"/>
      <c r="G1026" s="47"/>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c r="BO1026" s="43"/>
      <c r="BP1026" s="43"/>
      <c r="BQ1026" s="43"/>
      <c r="BR1026" s="43"/>
      <c r="BS1026" s="43"/>
      <c r="BT1026" s="43"/>
      <c r="BU1026" s="43"/>
      <c r="BV1026" s="43"/>
      <c r="BW1026" s="43"/>
      <c r="BX1026" s="43"/>
      <c r="BY1026" s="43"/>
      <c r="BZ1026" s="43"/>
      <c r="CA1026" s="43"/>
    </row>
    <row r="1027">
      <c r="A1027" s="47"/>
      <c r="B1027" s="47"/>
      <c r="C1027" s="47"/>
      <c r="D1027" s="47"/>
      <c r="E1027" s="47"/>
      <c r="F1027" s="47"/>
      <c r="G1027" s="47"/>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c r="BO1027" s="43"/>
      <c r="BP1027" s="43"/>
      <c r="BQ1027" s="43"/>
      <c r="BR1027" s="43"/>
      <c r="BS1027" s="43"/>
      <c r="BT1027" s="43"/>
      <c r="BU1027" s="43"/>
      <c r="BV1027" s="43"/>
      <c r="BW1027" s="43"/>
      <c r="BX1027" s="43"/>
      <c r="BY1027" s="43"/>
      <c r="BZ1027" s="43"/>
      <c r="CA1027" s="43"/>
    </row>
    <row r="1028">
      <c r="A1028" s="47"/>
      <c r="B1028" s="47"/>
      <c r="C1028" s="47"/>
      <c r="D1028" s="47"/>
      <c r="E1028" s="47"/>
      <c r="F1028" s="47"/>
      <c r="G1028" s="47"/>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c r="BO1028" s="43"/>
      <c r="BP1028" s="43"/>
      <c r="BQ1028" s="43"/>
      <c r="BR1028" s="43"/>
      <c r="BS1028" s="43"/>
      <c r="BT1028" s="43"/>
      <c r="BU1028" s="43"/>
      <c r="BV1028" s="43"/>
      <c r="BW1028" s="43"/>
      <c r="BX1028" s="43"/>
      <c r="BY1028" s="43"/>
      <c r="BZ1028" s="43"/>
      <c r="CA1028" s="43"/>
    </row>
    <row r="1029">
      <c r="A1029" s="47"/>
      <c r="B1029" s="47"/>
      <c r="C1029" s="47"/>
      <c r="D1029" s="47"/>
      <c r="E1029" s="47"/>
      <c r="F1029" s="47"/>
      <c r="G1029" s="47"/>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c r="BO1029" s="43"/>
      <c r="BP1029" s="43"/>
      <c r="BQ1029" s="43"/>
      <c r="BR1029" s="43"/>
      <c r="BS1029" s="43"/>
      <c r="BT1029" s="43"/>
      <c r="BU1029" s="43"/>
      <c r="BV1029" s="43"/>
      <c r="BW1029" s="43"/>
      <c r="BX1029" s="43"/>
      <c r="BY1029" s="43"/>
      <c r="BZ1029" s="43"/>
      <c r="CA1029" s="43"/>
    </row>
    <row r="1030">
      <c r="A1030" s="47"/>
      <c r="B1030" s="47"/>
      <c r="C1030" s="47"/>
      <c r="D1030" s="47"/>
      <c r="E1030" s="47"/>
      <c r="F1030" s="47"/>
      <c r="G1030" s="47"/>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c r="BO1030" s="43"/>
      <c r="BP1030" s="43"/>
      <c r="BQ1030" s="43"/>
      <c r="BR1030" s="43"/>
      <c r="BS1030" s="43"/>
      <c r="BT1030" s="43"/>
      <c r="BU1030" s="43"/>
      <c r="BV1030" s="43"/>
      <c r="BW1030" s="43"/>
      <c r="BX1030" s="43"/>
      <c r="BY1030" s="43"/>
      <c r="BZ1030" s="43"/>
      <c r="CA1030" s="43"/>
    </row>
    <row r="1031">
      <c r="A1031" s="47"/>
      <c r="B1031" s="47"/>
      <c r="C1031" s="47"/>
      <c r="D1031" s="47"/>
      <c r="E1031" s="47"/>
      <c r="F1031" s="47"/>
      <c r="G1031" s="47"/>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c r="BO1031" s="43"/>
      <c r="BP1031" s="43"/>
      <c r="BQ1031" s="43"/>
      <c r="BR1031" s="43"/>
      <c r="BS1031" s="43"/>
      <c r="BT1031" s="43"/>
      <c r="BU1031" s="43"/>
      <c r="BV1031" s="43"/>
      <c r="BW1031" s="43"/>
      <c r="BX1031" s="43"/>
      <c r="BY1031" s="43"/>
      <c r="BZ1031" s="43"/>
      <c r="CA1031" s="43"/>
    </row>
    <row r="1032">
      <c r="A1032" s="47"/>
      <c r="B1032" s="47"/>
      <c r="C1032" s="47"/>
      <c r="D1032" s="47"/>
      <c r="E1032" s="47"/>
      <c r="F1032" s="47"/>
      <c r="G1032" s="47"/>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c r="BO1032" s="43"/>
      <c r="BP1032" s="43"/>
      <c r="BQ1032" s="43"/>
      <c r="BR1032" s="43"/>
      <c r="BS1032" s="43"/>
      <c r="BT1032" s="43"/>
      <c r="BU1032" s="43"/>
      <c r="BV1032" s="43"/>
      <c r="BW1032" s="43"/>
      <c r="BX1032" s="43"/>
      <c r="BY1032" s="43"/>
      <c r="BZ1032" s="43"/>
      <c r="CA1032" s="43"/>
    </row>
    <row r="1033">
      <c r="A1033" s="47"/>
      <c r="B1033" s="47"/>
      <c r="C1033" s="47"/>
      <c r="D1033" s="47"/>
      <c r="E1033" s="47"/>
      <c r="F1033" s="47"/>
      <c r="G1033" s="47"/>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c r="BO1033" s="43"/>
      <c r="BP1033" s="43"/>
      <c r="BQ1033" s="43"/>
      <c r="BR1033" s="43"/>
      <c r="BS1033" s="43"/>
      <c r="BT1033" s="43"/>
      <c r="BU1033" s="43"/>
      <c r="BV1033" s="43"/>
      <c r="BW1033" s="43"/>
      <c r="BX1033" s="43"/>
      <c r="BY1033" s="43"/>
      <c r="BZ1033" s="43"/>
      <c r="CA1033" s="43"/>
    </row>
    <row r="1034">
      <c r="A1034" s="47"/>
      <c r="B1034" s="47"/>
      <c r="C1034" s="47"/>
      <c r="D1034" s="47"/>
      <c r="E1034" s="47"/>
      <c r="F1034" s="47"/>
      <c r="G1034" s="47"/>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c r="BO1034" s="43"/>
      <c r="BP1034" s="43"/>
      <c r="BQ1034" s="43"/>
      <c r="BR1034" s="43"/>
      <c r="BS1034" s="43"/>
      <c r="BT1034" s="43"/>
      <c r="BU1034" s="43"/>
      <c r="BV1034" s="43"/>
      <c r="BW1034" s="43"/>
      <c r="BX1034" s="43"/>
      <c r="BY1034" s="43"/>
      <c r="BZ1034" s="43"/>
      <c r="CA1034" s="43"/>
    </row>
    <row r="1035">
      <c r="A1035" s="47"/>
      <c r="B1035" s="47"/>
      <c r="C1035" s="47"/>
      <c r="D1035" s="47"/>
      <c r="E1035" s="47"/>
      <c r="F1035" s="47"/>
      <c r="G1035" s="47"/>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c r="BO1035" s="43"/>
      <c r="BP1035" s="43"/>
      <c r="BQ1035" s="43"/>
      <c r="BR1035" s="43"/>
      <c r="BS1035" s="43"/>
      <c r="BT1035" s="43"/>
      <c r="BU1035" s="43"/>
      <c r="BV1035" s="43"/>
      <c r="BW1035" s="43"/>
      <c r="BX1035" s="43"/>
      <c r="BY1035" s="43"/>
      <c r="BZ1035" s="43"/>
      <c r="CA1035" s="43"/>
    </row>
    <row r="1036">
      <c r="A1036" s="47"/>
      <c r="B1036" s="47"/>
      <c r="C1036" s="47"/>
      <c r="D1036" s="47"/>
      <c r="E1036" s="47"/>
      <c r="F1036" s="47"/>
      <c r="G1036" s="47"/>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c r="BO1036" s="43"/>
      <c r="BP1036" s="43"/>
      <c r="BQ1036" s="43"/>
      <c r="BR1036" s="43"/>
      <c r="BS1036" s="43"/>
      <c r="BT1036" s="43"/>
      <c r="BU1036" s="43"/>
      <c r="BV1036" s="43"/>
      <c r="BW1036" s="43"/>
      <c r="BX1036" s="43"/>
      <c r="BY1036" s="43"/>
      <c r="BZ1036" s="43"/>
      <c r="CA1036" s="43"/>
    </row>
    <row r="1037">
      <c r="A1037" s="47"/>
      <c r="B1037" s="47"/>
      <c r="C1037" s="47"/>
      <c r="D1037" s="47"/>
      <c r="E1037" s="47"/>
      <c r="F1037" s="47"/>
      <c r="G1037" s="47"/>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c r="BO1037" s="43"/>
      <c r="BP1037" s="43"/>
      <c r="BQ1037" s="43"/>
      <c r="BR1037" s="43"/>
      <c r="BS1037" s="43"/>
      <c r="BT1037" s="43"/>
      <c r="BU1037" s="43"/>
      <c r="BV1037" s="43"/>
      <c r="BW1037" s="43"/>
      <c r="BX1037" s="43"/>
      <c r="BY1037" s="43"/>
      <c r="BZ1037" s="43"/>
      <c r="CA1037" s="43"/>
    </row>
    <row r="1038">
      <c r="A1038" s="47"/>
      <c r="B1038" s="47"/>
      <c r="C1038" s="47"/>
      <c r="D1038" s="47"/>
      <c r="E1038" s="47"/>
      <c r="F1038" s="47"/>
      <c r="G1038" s="47"/>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c r="BO1038" s="43"/>
      <c r="BP1038" s="43"/>
      <c r="BQ1038" s="43"/>
      <c r="BR1038" s="43"/>
      <c r="BS1038" s="43"/>
      <c r="BT1038" s="43"/>
      <c r="BU1038" s="43"/>
      <c r="BV1038" s="43"/>
      <c r="BW1038" s="43"/>
      <c r="BX1038" s="43"/>
      <c r="BY1038" s="43"/>
      <c r="BZ1038" s="43"/>
      <c r="CA1038" s="43"/>
    </row>
    <row r="1039">
      <c r="A1039" s="47"/>
      <c r="B1039" s="47"/>
      <c r="C1039" s="47"/>
      <c r="D1039" s="47"/>
      <c r="E1039" s="47"/>
      <c r="F1039" s="47"/>
      <c r="G1039" s="47"/>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c r="BO1039" s="43"/>
      <c r="BP1039" s="43"/>
      <c r="BQ1039" s="43"/>
      <c r="BR1039" s="43"/>
      <c r="BS1039" s="43"/>
      <c r="BT1039" s="43"/>
      <c r="BU1039" s="43"/>
      <c r="BV1039" s="43"/>
      <c r="BW1039" s="43"/>
      <c r="BX1039" s="43"/>
      <c r="BY1039" s="43"/>
      <c r="BZ1039" s="43"/>
      <c r="CA1039" s="43"/>
    </row>
    <row r="1040">
      <c r="A1040" s="47"/>
      <c r="B1040" s="47"/>
      <c r="C1040" s="47"/>
      <c r="D1040" s="47"/>
      <c r="E1040" s="47"/>
      <c r="F1040" s="47"/>
      <c r="G1040" s="47"/>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c r="BO1040" s="43"/>
      <c r="BP1040" s="43"/>
      <c r="BQ1040" s="43"/>
      <c r="BR1040" s="43"/>
      <c r="BS1040" s="43"/>
      <c r="BT1040" s="43"/>
      <c r="BU1040" s="43"/>
      <c r="BV1040" s="43"/>
      <c r="BW1040" s="43"/>
      <c r="BX1040" s="43"/>
      <c r="BY1040" s="43"/>
      <c r="BZ1040" s="43"/>
      <c r="CA1040" s="43"/>
    </row>
    <row r="1041">
      <c r="A1041" s="47"/>
      <c r="B1041" s="47"/>
      <c r="C1041" s="47"/>
      <c r="D1041" s="47"/>
      <c r="E1041" s="47"/>
      <c r="F1041" s="47"/>
      <c r="G1041" s="47"/>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c r="BO1041" s="43"/>
      <c r="BP1041" s="43"/>
      <c r="BQ1041" s="43"/>
      <c r="BR1041" s="43"/>
      <c r="BS1041" s="43"/>
      <c r="BT1041" s="43"/>
      <c r="BU1041" s="43"/>
      <c r="BV1041" s="43"/>
      <c r="BW1041" s="43"/>
      <c r="BX1041" s="43"/>
      <c r="BY1041" s="43"/>
      <c r="BZ1041" s="43"/>
      <c r="CA1041" s="43"/>
    </row>
    <row r="1042">
      <c r="A1042" s="47"/>
      <c r="B1042" s="47"/>
      <c r="C1042" s="47"/>
      <c r="D1042" s="47"/>
      <c r="E1042" s="47"/>
      <c r="F1042" s="47"/>
      <c r="G1042" s="47"/>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c r="BO1042" s="43"/>
      <c r="BP1042" s="43"/>
      <c r="BQ1042" s="43"/>
      <c r="BR1042" s="43"/>
      <c r="BS1042" s="43"/>
      <c r="BT1042" s="43"/>
      <c r="BU1042" s="43"/>
      <c r="BV1042" s="43"/>
      <c r="BW1042" s="43"/>
      <c r="BX1042" s="43"/>
      <c r="BY1042" s="43"/>
      <c r="BZ1042" s="43"/>
      <c r="CA1042" s="43"/>
    </row>
    <row r="1043">
      <c r="A1043" s="47"/>
      <c r="B1043" s="47"/>
      <c r="C1043" s="47"/>
      <c r="D1043" s="47"/>
      <c r="E1043" s="47"/>
      <c r="F1043" s="47"/>
      <c r="G1043" s="47"/>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c r="BO1043" s="43"/>
      <c r="BP1043" s="43"/>
      <c r="BQ1043" s="43"/>
      <c r="BR1043" s="43"/>
      <c r="BS1043" s="43"/>
      <c r="BT1043" s="43"/>
      <c r="BU1043" s="43"/>
      <c r="BV1043" s="43"/>
      <c r="BW1043" s="43"/>
      <c r="BX1043" s="43"/>
      <c r="BY1043" s="43"/>
      <c r="BZ1043" s="43"/>
      <c r="CA1043" s="43"/>
    </row>
    <row r="1044">
      <c r="A1044" s="47"/>
      <c r="B1044" s="47"/>
      <c r="C1044" s="47"/>
      <c r="D1044" s="47"/>
      <c r="E1044" s="47"/>
      <c r="F1044" s="47"/>
      <c r="G1044" s="47"/>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c r="BO1044" s="43"/>
      <c r="BP1044" s="43"/>
      <c r="BQ1044" s="43"/>
      <c r="BR1044" s="43"/>
      <c r="BS1044" s="43"/>
      <c r="BT1044" s="43"/>
      <c r="BU1044" s="43"/>
      <c r="BV1044" s="43"/>
      <c r="BW1044" s="43"/>
      <c r="BX1044" s="43"/>
      <c r="BY1044" s="43"/>
      <c r="BZ1044" s="43"/>
      <c r="CA1044" s="43"/>
    </row>
    <row r="1045">
      <c r="A1045" s="47"/>
      <c r="B1045" s="47"/>
      <c r="C1045" s="47"/>
      <c r="D1045" s="47"/>
      <c r="E1045" s="47"/>
      <c r="F1045" s="47"/>
      <c r="G1045" s="47"/>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c r="BO1045" s="43"/>
      <c r="BP1045" s="43"/>
      <c r="BQ1045" s="43"/>
      <c r="BR1045" s="43"/>
      <c r="BS1045" s="43"/>
      <c r="BT1045" s="43"/>
      <c r="BU1045" s="43"/>
      <c r="BV1045" s="43"/>
      <c r="BW1045" s="43"/>
      <c r="BX1045" s="43"/>
      <c r="BY1045" s="43"/>
      <c r="BZ1045" s="43"/>
      <c r="CA1045" s="43"/>
    </row>
    <row r="1046">
      <c r="A1046" s="47"/>
      <c r="B1046" s="47"/>
      <c r="C1046" s="47"/>
      <c r="D1046" s="47"/>
      <c r="E1046" s="47"/>
      <c r="F1046" s="47"/>
      <c r="G1046" s="47"/>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c r="BO1046" s="43"/>
      <c r="BP1046" s="43"/>
      <c r="BQ1046" s="43"/>
      <c r="BR1046" s="43"/>
      <c r="BS1046" s="43"/>
      <c r="BT1046" s="43"/>
      <c r="BU1046" s="43"/>
      <c r="BV1046" s="43"/>
      <c r="BW1046" s="43"/>
      <c r="BX1046" s="43"/>
      <c r="BY1046" s="43"/>
      <c r="BZ1046" s="43"/>
      <c r="CA1046" s="43"/>
    </row>
    <row r="1047">
      <c r="A1047" s="47"/>
      <c r="B1047" s="47"/>
      <c r="C1047" s="47"/>
      <c r="D1047" s="47"/>
      <c r="E1047" s="47"/>
      <c r="F1047" s="47"/>
      <c r="G1047" s="47"/>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c r="BO1047" s="43"/>
      <c r="BP1047" s="43"/>
      <c r="BQ1047" s="43"/>
      <c r="BR1047" s="43"/>
      <c r="BS1047" s="43"/>
      <c r="BT1047" s="43"/>
      <c r="BU1047" s="43"/>
      <c r="BV1047" s="43"/>
      <c r="BW1047" s="43"/>
      <c r="BX1047" s="43"/>
      <c r="BY1047" s="43"/>
      <c r="BZ1047" s="43"/>
      <c r="CA1047" s="43"/>
    </row>
    <row r="1048">
      <c r="A1048" s="47"/>
      <c r="B1048" s="47"/>
      <c r="C1048" s="47"/>
      <c r="D1048" s="47"/>
      <c r="E1048" s="47"/>
      <c r="F1048" s="47"/>
      <c r="G1048" s="47"/>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c r="BO1048" s="43"/>
      <c r="BP1048" s="43"/>
      <c r="BQ1048" s="43"/>
      <c r="BR1048" s="43"/>
      <c r="BS1048" s="43"/>
      <c r="BT1048" s="43"/>
      <c r="BU1048" s="43"/>
      <c r="BV1048" s="43"/>
      <c r="BW1048" s="43"/>
      <c r="BX1048" s="43"/>
      <c r="BY1048" s="43"/>
      <c r="BZ1048" s="43"/>
      <c r="CA1048" s="43"/>
    </row>
    <row r="1049">
      <c r="A1049" s="47"/>
      <c r="B1049" s="47"/>
      <c r="C1049" s="47"/>
      <c r="D1049" s="47"/>
      <c r="E1049" s="47"/>
      <c r="F1049" s="47"/>
      <c r="G1049" s="47"/>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c r="BO1049" s="43"/>
      <c r="BP1049" s="43"/>
      <c r="BQ1049" s="43"/>
      <c r="BR1049" s="43"/>
      <c r="BS1049" s="43"/>
      <c r="BT1049" s="43"/>
      <c r="BU1049" s="43"/>
      <c r="BV1049" s="43"/>
      <c r="BW1049" s="43"/>
      <c r="BX1049" s="43"/>
      <c r="BY1049" s="43"/>
      <c r="BZ1049" s="43"/>
      <c r="CA1049" s="43"/>
    </row>
    <row r="1050">
      <c r="A1050" s="47"/>
      <c r="B1050" s="47"/>
      <c r="C1050" s="47"/>
      <c r="D1050" s="47"/>
      <c r="E1050" s="47"/>
      <c r="F1050" s="47"/>
      <c r="G1050" s="47"/>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c r="BO1050" s="43"/>
      <c r="BP1050" s="43"/>
      <c r="BQ1050" s="43"/>
      <c r="BR1050" s="43"/>
      <c r="BS1050" s="43"/>
      <c r="BT1050" s="43"/>
      <c r="BU1050" s="43"/>
      <c r="BV1050" s="43"/>
      <c r="BW1050" s="43"/>
      <c r="BX1050" s="43"/>
      <c r="BY1050" s="43"/>
      <c r="BZ1050" s="43"/>
      <c r="CA1050" s="43"/>
    </row>
    <row r="1051">
      <c r="A1051" s="47"/>
      <c r="B1051" s="47"/>
      <c r="C1051" s="47"/>
      <c r="D1051" s="47"/>
      <c r="E1051" s="47"/>
      <c r="F1051" s="47"/>
      <c r="G1051" s="47"/>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c r="BO1051" s="43"/>
      <c r="BP1051" s="43"/>
      <c r="BQ1051" s="43"/>
      <c r="BR1051" s="43"/>
      <c r="BS1051" s="43"/>
      <c r="BT1051" s="43"/>
      <c r="BU1051" s="43"/>
      <c r="BV1051" s="43"/>
      <c r="BW1051" s="43"/>
      <c r="BX1051" s="43"/>
      <c r="BY1051" s="43"/>
      <c r="BZ1051" s="43"/>
      <c r="CA1051" s="43"/>
    </row>
    <row r="1052">
      <c r="A1052" s="47"/>
      <c r="B1052" s="47"/>
      <c r="C1052" s="47"/>
      <c r="D1052" s="47"/>
      <c r="E1052" s="47"/>
      <c r="F1052" s="47"/>
      <c r="G1052" s="47"/>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c r="BO1052" s="43"/>
      <c r="BP1052" s="43"/>
      <c r="BQ1052" s="43"/>
      <c r="BR1052" s="43"/>
      <c r="BS1052" s="43"/>
      <c r="BT1052" s="43"/>
      <c r="BU1052" s="43"/>
      <c r="BV1052" s="43"/>
      <c r="BW1052" s="43"/>
      <c r="BX1052" s="43"/>
      <c r="BY1052" s="43"/>
      <c r="BZ1052" s="43"/>
      <c r="CA1052" s="43"/>
    </row>
    <row r="1053">
      <c r="A1053" s="47"/>
      <c r="B1053" s="47"/>
      <c r="C1053" s="47"/>
      <c r="D1053" s="47"/>
      <c r="E1053" s="47"/>
      <c r="F1053" s="47"/>
      <c r="G1053" s="47"/>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c r="BO1053" s="43"/>
      <c r="BP1053" s="43"/>
      <c r="BQ1053" s="43"/>
      <c r="BR1053" s="43"/>
      <c r="BS1053" s="43"/>
      <c r="BT1053" s="43"/>
      <c r="BU1053" s="43"/>
      <c r="BV1053" s="43"/>
      <c r="BW1053" s="43"/>
      <c r="BX1053" s="43"/>
      <c r="BY1053" s="43"/>
      <c r="BZ1053" s="43"/>
      <c r="CA1053" s="43"/>
    </row>
    <row r="1054">
      <c r="A1054" s="47"/>
      <c r="B1054" s="47"/>
      <c r="C1054" s="47"/>
      <c r="D1054" s="47"/>
      <c r="E1054" s="47"/>
      <c r="F1054" s="47"/>
      <c r="G1054" s="47"/>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c r="BO1054" s="43"/>
      <c r="BP1054" s="43"/>
      <c r="BQ1054" s="43"/>
      <c r="BR1054" s="43"/>
      <c r="BS1054" s="43"/>
      <c r="BT1054" s="43"/>
      <c r="BU1054" s="43"/>
      <c r="BV1054" s="43"/>
      <c r="BW1054" s="43"/>
      <c r="BX1054" s="43"/>
      <c r="BY1054" s="43"/>
      <c r="BZ1054" s="43"/>
      <c r="CA1054" s="43"/>
    </row>
    <row r="1055">
      <c r="A1055" s="47"/>
      <c r="B1055" s="47"/>
      <c r="C1055" s="47"/>
      <c r="D1055" s="47"/>
      <c r="E1055" s="47"/>
      <c r="F1055" s="47"/>
      <c r="G1055" s="47"/>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c r="BO1055" s="43"/>
      <c r="BP1055" s="43"/>
      <c r="BQ1055" s="43"/>
      <c r="BR1055" s="43"/>
      <c r="BS1055" s="43"/>
      <c r="BT1055" s="43"/>
      <c r="BU1055" s="43"/>
      <c r="BV1055" s="43"/>
      <c r="BW1055" s="43"/>
      <c r="BX1055" s="43"/>
      <c r="BY1055" s="43"/>
      <c r="BZ1055" s="43"/>
      <c r="CA1055" s="43"/>
    </row>
    <row r="1056">
      <c r="A1056" s="47"/>
      <c r="B1056" s="47"/>
      <c r="C1056" s="47"/>
      <c r="D1056" s="47"/>
      <c r="E1056" s="47"/>
      <c r="F1056" s="47"/>
      <c r="G1056" s="47"/>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c r="BO1056" s="43"/>
      <c r="BP1056" s="43"/>
      <c r="BQ1056" s="43"/>
      <c r="BR1056" s="43"/>
      <c r="BS1056" s="43"/>
      <c r="BT1056" s="43"/>
      <c r="BU1056" s="43"/>
      <c r="BV1056" s="43"/>
      <c r="BW1056" s="43"/>
      <c r="BX1056" s="43"/>
      <c r="BY1056" s="43"/>
      <c r="BZ1056" s="43"/>
      <c r="CA1056" s="43"/>
    </row>
    <row r="1057">
      <c r="A1057" s="47"/>
      <c r="B1057" s="47"/>
      <c r="C1057" s="47"/>
      <c r="D1057" s="47"/>
      <c r="E1057" s="47"/>
      <c r="F1057" s="47"/>
      <c r="G1057" s="47"/>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c r="BO1057" s="43"/>
      <c r="BP1057" s="43"/>
      <c r="BQ1057" s="43"/>
      <c r="BR1057" s="43"/>
      <c r="BS1057" s="43"/>
      <c r="BT1057" s="43"/>
      <c r="BU1057" s="43"/>
      <c r="BV1057" s="43"/>
      <c r="BW1057" s="43"/>
      <c r="BX1057" s="43"/>
      <c r="BY1057" s="43"/>
      <c r="BZ1057" s="43"/>
      <c r="CA1057" s="43"/>
    </row>
    <row r="1058">
      <c r="A1058" s="47"/>
      <c r="B1058" s="47"/>
      <c r="C1058" s="47"/>
      <c r="D1058" s="47"/>
      <c r="E1058" s="47"/>
      <c r="F1058" s="47"/>
      <c r="G1058" s="47"/>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c r="BO1058" s="43"/>
      <c r="BP1058" s="43"/>
      <c r="BQ1058" s="43"/>
      <c r="BR1058" s="43"/>
      <c r="BS1058" s="43"/>
      <c r="BT1058" s="43"/>
      <c r="BU1058" s="43"/>
      <c r="BV1058" s="43"/>
      <c r="BW1058" s="43"/>
      <c r="BX1058" s="43"/>
      <c r="BY1058" s="43"/>
      <c r="BZ1058" s="43"/>
      <c r="CA1058" s="43"/>
    </row>
    <row r="1059">
      <c r="A1059" s="47"/>
      <c r="B1059" s="47"/>
      <c r="C1059" s="47"/>
      <c r="D1059" s="47"/>
      <c r="E1059" s="47"/>
      <c r="F1059" s="47"/>
      <c r="G1059" s="47"/>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c r="BO1059" s="43"/>
      <c r="BP1059" s="43"/>
      <c r="BQ1059" s="43"/>
      <c r="BR1059" s="43"/>
      <c r="BS1059" s="43"/>
      <c r="BT1059" s="43"/>
      <c r="BU1059" s="43"/>
      <c r="BV1059" s="43"/>
      <c r="BW1059" s="43"/>
      <c r="BX1059" s="43"/>
      <c r="BY1059" s="43"/>
      <c r="BZ1059" s="43"/>
      <c r="CA1059" s="43"/>
    </row>
    <row r="1060">
      <c r="A1060" s="47"/>
      <c r="B1060" s="47"/>
      <c r="C1060" s="47"/>
      <c r="D1060" s="47"/>
      <c r="E1060" s="47"/>
      <c r="F1060" s="47"/>
      <c r="G1060" s="47"/>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c r="BO1060" s="43"/>
      <c r="BP1060" s="43"/>
      <c r="BQ1060" s="43"/>
      <c r="BR1060" s="43"/>
      <c r="BS1060" s="43"/>
      <c r="BT1060" s="43"/>
      <c r="BU1060" s="43"/>
      <c r="BV1060" s="43"/>
      <c r="BW1060" s="43"/>
      <c r="BX1060" s="43"/>
      <c r="BY1060" s="43"/>
      <c r="BZ1060" s="43"/>
      <c r="CA1060" s="43"/>
    </row>
    <row r="1061">
      <c r="A1061" s="47"/>
      <c r="B1061" s="47"/>
      <c r="C1061" s="47"/>
      <c r="D1061" s="47"/>
      <c r="E1061" s="47"/>
      <c r="F1061" s="47"/>
      <c r="G1061" s="47"/>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c r="BO1061" s="43"/>
      <c r="BP1061" s="43"/>
      <c r="BQ1061" s="43"/>
      <c r="BR1061" s="43"/>
      <c r="BS1061" s="43"/>
      <c r="BT1061" s="43"/>
      <c r="BU1061" s="43"/>
      <c r="BV1061" s="43"/>
      <c r="BW1061" s="43"/>
      <c r="BX1061" s="43"/>
      <c r="BY1061" s="43"/>
      <c r="BZ1061" s="43"/>
      <c r="CA1061" s="43"/>
    </row>
    <row r="1062">
      <c r="A1062" s="47"/>
      <c r="B1062" s="47"/>
      <c r="C1062" s="47"/>
      <c r="D1062" s="47"/>
      <c r="E1062" s="47"/>
      <c r="F1062" s="47"/>
      <c r="G1062" s="47"/>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c r="BO1062" s="43"/>
      <c r="BP1062" s="43"/>
      <c r="BQ1062" s="43"/>
      <c r="BR1062" s="43"/>
      <c r="BS1062" s="43"/>
      <c r="BT1062" s="43"/>
      <c r="BU1062" s="43"/>
      <c r="BV1062" s="43"/>
      <c r="BW1062" s="43"/>
      <c r="BX1062" s="43"/>
      <c r="BY1062" s="43"/>
      <c r="BZ1062" s="43"/>
      <c r="CA1062" s="43"/>
    </row>
    <row r="1063">
      <c r="A1063" s="47"/>
      <c r="B1063" s="47"/>
      <c r="C1063" s="47"/>
      <c r="D1063" s="47"/>
      <c r="E1063" s="47"/>
      <c r="F1063" s="47"/>
      <c r="G1063" s="47"/>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c r="BO1063" s="43"/>
      <c r="BP1063" s="43"/>
      <c r="BQ1063" s="43"/>
      <c r="BR1063" s="43"/>
      <c r="BS1063" s="43"/>
      <c r="BT1063" s="43"/>
      <c r="BU1063" s="43"/>
      <c r="BV1063" s="43"/>
      <c r="BW1063" s="43"/>
      <c r="BX1063" s="43"/>
      <c r="BY1063" s="43"/>
      <c r="BZ1063" s="43"/>
      <c r="CA1063" s="43"/>
    </row>
    <row r="1064">
      <c r="A1064" s="47"/>
      <c r="B1064" s="47"/>
      <c r="C1064" s="47"/>
      <c r="D1064" s="47"/>
      <c r="E1064" s="47"/>
      <c r="F1064" s="47"/>
      <c r="G1064" s="47"/>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c r="BO1064" s="43"/>
      <c r="BP1064" s="43"/>
      <c r="BQ1064" s="43"/>
      <c r="BR1064" s="43"/>
      <c r="BS1064" s="43"/>
      <c r="BT1064" s="43"/>
      <c r="BU1064" s="43"/>
      <c r="BV1064" s="43"/>
      <c r="BW1064" s="43"/>
      <c r="BX1064" s="43"/>
      <c r="BY1064" s="43"/>
      <c r="BZ1064" s="43"/>
      <c r="CA1064" s="43"/>
    </row>
    <row r="1065">
      <c r="A1065" s="47"/>
      <c r="B1065" s="47"/>
      <c r="C1065" s="47"/>
      <c r="D1065" s="47"/>
      <c r="E1065" s="47"/>
      <c r="F1065" s="47"/>
      <c r="G1065" s="47"/>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c r="BO1065" s="43"/>
      <c r="BP1065" s="43"/>
      <c r="BQ1065" s="43"/>
      <c r="BR1065" s="43"/>
      <c r="BS1065" s="43"/>
      <c r="BT1065" s="43"/>
      <c r="BU1065" s="43"/>
      <c r="BV1065" s="43"/>
      <c r="BW1065" s="43"/>
      <c r="BX1065" s="43"/>
      <c r="BY1065" s="43"/>
      <c r="BZ1065" s="43"/>
      <c r="CA1065" s="43"/>
    </row>
    <row r="1066">
      <c r="A1066" s="47"/>
      <c r="B1066" s="47"/>
      <c r="C1066" s="47"/>
      <c r="D1066" s="47"/>
      <c r="E1066" s="47"/>
      <c r="F1066" s="47"/>
      <c r="G1066" s="47"/>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c r="BO1066" s="43"/>
      <c r="BP1066" s="43"/>
      <c r="BQ1066" s="43"/>
      <c r="BR1066" s="43"/>
      <c r="BS1066" s="43"/>
      <c r="BT1066" s="43"/>
      <c r="BU1066" s="43"/>
      <c r="BV1066" s="43"/>
      <c r="BW1066" s="43"/>
      <c r="BX1066" s="43"/>
      <c r="BY1066" s="43"/>
      <c r="BZ1066" s="43"/>
      <c r="CA1066" s="43"/>
    </row>
    <row r="1067">
      <c r="A1067" s="47"/>
      <c r="B1067" s="47"/>
      <c r="C1067" s="47"/>
      <c r="D1067" s="47"/>
      <c r="E1067" s="47"/>
      <c r="F1067" s="47"/>
      <c r="G1067" s="47"/>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c r="BO1067" s="43"/>
      <c r="BP1067" s="43"/>
      <c r="BQ1067" s="43"/>
      <c r="BR1067" s="43"/>
      <c r="BS1067" s="43"/>
      <c r="BT1067" s="43"/>
      <c r="BU1067" s="43"/>
      <c r="BV1067" s="43"/>
      <c r="BW1067" s="43"/>
      <c r="BX1067" s="43"/>
      <c r="BY1067" s="43"/>
      <c r="BZ1067" s="43"/>
      <c r="CA1067" s="43"/>
    </row>
    <row r="1068">
      <c r="A1068" s="47"/>
      <c r="B1068" s="47"/>
      <c r="C1068" s="47"/>
      <c r="D1068" s="47"/>
      <c r="E1068" s="47"/>
      <c r="F1068" s="47"/>
      <c r="G1068" s="47"/>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c r="BO1068" s="43"/>
      <c r="BP1068" s="43"/>
      <c r="BQ1068" s="43"/>
      <c r="BR1068" s="43"/>
      <c r="BS1068" s="43"/>
      <c r="BT1068" s="43"/>
      <c r="BU1068" s="43"/>
      <c r="BV1068" s="43"/>
      <c r="BW1068" s="43"/>
      <c r="BX1068" s="43"/>
      <c r="BY1068" s="43"/>
      <c r="BZ1068" s="43"/>
      <c r="CA1068" s="43"/>
    </row>
    <row r="1069">
      <c r="A1069" s="47"/>
      <c r="B1069" s="47"/>
      <c r="C1069" s="47"/>
      <c r="D1069" s="47"/>
      <c r="E1069" s="47"/>
      <c r="F1069" s="47"/>
      <c r="G1069" s="47"/>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c r="BO1069" s="43"/>
      <c r="BP1069" s="43"/>
      <c r="BQ1069" s="43"/>
      <c r="BR1069" s="43"/>
      <c r="BS1069" s="43"/>
      <c r="BT1069" s="43"/>
      <c r="BU1069" s="43"/>
      <c r="BV1069" s="43"/>
      <c r="BW1069" s="43"/>
      <c r="BX1069" s="43"/>
      <c r="BY1069" s="43"/>
      <c r="BZ1069" s="43"/>
      <c r="CA1069" s="43"/>
    </row>
    <row r="1070">
      <c r="A1070" s="47"/>
      <c r="B1070" s="47"/>
      <c r="C1070" s="47"/>
      <c r="D1070" s="47"/>
      <c r="E1070" s="47"/>
      <c r="F1070" s="47"/>
      <c r="G1070" s="47"/>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c r="BO1070" s="43"/>
      <c r="BP1070" s="43"/>
      <c r="BQ1070" s="43"/>
      <c r="BR1070" s="43"/>
      <c r="BS1070" s="43"/>
      <c r="BT1070" s="43"/>
      <c r="BU1070" s="43"/>
      <c r="BV1070" s="43"/>
      <c r="BW1070" s="43"/>
      <c r="BX1070" s="43"/>
      <c r="BY1070" s="43"/>
      <c r="BZ1070" s="43"/>
      <c r="CA1070" s="43"/>
    </row>
    <row r="1071">
      <c r="A1071" s="47"/>
      <c r="B1071" s="47"/>
      <c r="C1071" s="47"/>
      <c r="D1071" s="47"/>
      <c r="E1071" s="47"/>
      <c r="F1071" s="47"/>
      <c r="G1071" s="47"/>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c r="BO1071" s="43"/>
      <c r="BP1071" s="43"/>
      <c r="BQ1071" s="43"/>
      <c r="BR1071" s="43"/>
      <c r="BS1071" s="43"/>
      <c r="BT1071" s="43"/>
      <c r="BU1071" s="43"/>
      <c r="BV1071" s="43"/>
      <c r="BW1071" s="43"/>
      <c r="BX1071" s="43"/>
      <c r="BY1071" s="43"/>
      <c r="BZ1071" s="43"/>
      <c r="CA1071" s="43"/>
    </row>
    <row r="1072">
      <c r="A1072" s="47"/>
      <c r="B1072" s="47"/>
      <c r="C1072" s="47"/>
      <c r="D1072" s="47"/>
      <c r="E1072" s="47"/>
      <c r="F1072" s="47"/>
      <c r="G1072" s="47"/>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c r="BO1072" s="43"/>
      <c r="BP1072" s="43"/>
      <c r="BQ1072" s="43"/>
      <c r="BR1072" s="43"/>
      <c r="BS1072" s="43"/>
      <c r="BT1072" s="43"/>
      <c r="BU1072" s="43"/>
      <c r="BV1072" s="43"/>
      <c r="BW1072" s="43"/>
      <c r="BX1072" s="43"/>
      <c r="BY1072" s="43"/>
      <c r="BZ1072" s="43"/>
      <c r="CA1072" s="43"/>
    </row>
    <row r="1073">
      <c r="A1073" s="47"/>
      <c r="B1073" s="47"/>
      <c r="C1073" s="47"/>
      <c r="D1073" s="47"/>
      <c r="E1073" s="47"/>
      <c r="F1073" s="47"/>
      <c r="G1073" s="47"/>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c r="BO1073" s="43"/>
      <c r="BP1073" s="43"/>
      <c r="BQ1073" s="43"/>
      <c r="BR1073" s="43"/>
      <c r="BS1073" s="43"/>
      <c r="BT1073" s="43"/>
      <c r="BU1073" s="43"/>
      <c r="BV1073" s="43"/>
      <c r="BW1073" s="43"/>
      <c r="BX1073" s="43"/>
      <c r="BY1073" s="43"/>
      <c r="BZ1073" s="43"/>
      <c r="CA1073" s="43"/>
    </row>
    <row r="1074">
      <c r="A1074" s="47"/>
      <c r="B1074" s="47"/>
      <c r="C1074" s="47"/>
      <c r="D1074" s="47"/>
      <c r="E1074" s="47"/>
      <c r="F1074" s="47"/>
      <c r="G1074" s="47"/>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c r="BO1074" s="43"/>
      <c r="BP1074" s="43"/>
      <c r="BQ1074" s="43"/>
      <c r="BR1074" s="43"/>
      <c r="BS1074" s="43"/>
      <c r="BT1074" s="43"/>
      <c r="BU1074" s="43"/>
      <c r="BV1074" s="43"/>
      <c r="BW1074" s="43"/>
      <c r="BX1074" s="43"/>
      <c r="BY1074" s="43"/>
      <c r="BZ1074" s="43"/>
      <c r="CA1074" s="43"/>
    </row>
    <row r="1075">
      <c r="A1075" s="47"/>
      <c r="B1075" s="39" t="s">
        <v>138</v>
      </c>
      <c r="C1075" s="47"/>
      <c r="D1075" s="47"/>
      <c r="E1075" s="47"/>
      <c r="F1075" s="47"/>
      <c r="G1075" s="47"/>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c r="BO1075" s="43"/>
      <c r="BP1075" s="43"/>
      <c r="BQ1075" s="43"/>
      <c r="BR1075" s="43"/>
      <c r="BS1075" s="43"/>
      <c r="BT1075" s="43"/>
      <c r="BU1075" s="43"/>
      <c r="BV1075" s="43"/>
      <c r="BW1075" s="43"/>
      <c r="BX1075" s="43"/>
      <c r="BY1075" s="43"/>
      <c r="BZ1075" s="43"/>
      <c r="CA1075" s="43"/>
    </row>
    <row r="1076">
      <c r="A1076" s="47"/>
      <c r="B1076" s="47"/>
      <c r="C1076" s="47"/>
      <c r="D1076" s="47"/>
      <c r="E1076" s="47"/>
      <c r="F1076" s="47"/>
      <c r="G1076" s="47"/>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c r="BO1076" s="43"/>
      <c r="BP1076" s="43"/>
      <c r="BQ1076" s="43"/>
      <c r="BR1076" s="43"/>
      <c r="BS1076" s="43"/>
      <c r="BT1076" s="43"/>
      <c r="BU1076" s="43"/>
      <c r="BV1076" s="43"/>
      <c r="BW1076" s="43"/>
      <c r="BX1076" s="43"/>
      <c r="BY1076" s="43"/>
      <c r="BZ1076" s="43"/>
      <c r="CA1076" s="43"/>
    </row>
    <row r="1077">
      <c r="A1077" s="47"/>
      <c r="B1077" s="47"/>
      <c r="C1077" s="47"/>
      <c r="D1077" s="47"/>
      <c r="E1077" s="47"/>
      <c r="F1077" s="47"/>
      <c r="G1077" s="47"/>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c r="BO1077" s="43"/>
      <c r="BP1077" s="43"/>
      <c r="BQ1077" s="43"/>
      <c r="BR1077" s="43"/>
      <c r="BS1077" s="43"/>
      <c r="BT1077" s="43"/>
      <c r="BU1077" s="43"/>
      <c r="BV1077" s="43"/>
      <c r="BW1077" s="43"/>
      <c r="BX1077" s="43"/>
      <c r="BY1077" s="43"/>
      <c r="BZ1077" s="43"/>
      <c r="CA1077"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46"/>
      <c r="B1" s="146" t="s">
        <v>8</v>
      </c>
      <c r="C1" s="147"/>
      <c r="D1" s="147"/>
      <c r="E1" s="147"/>
      <c r="F1" s="147">
        <v>1.0</v>
      </c>
      <c r="G1" s="147">
        <v>1.0</v>
      </c>
      <c r="H1" s="147">
        <v>1.0</v>
      </c>
      <c r="I1" s="147">
        <v>1.0</v>
      </c>
      <c r="J1" s="147">
        <v>1.0</v>
      </c>
      <c r="K1" s="147">
        <v>1.0</v>
      </c>
      <c r="L1" s="147">
        <v>1.0</v>
      </c>
      <c r="M1" s="147">
        <v>1.0</v>
      </c>
      <c r="N1" s="147">
        <v>1.0</v>
      </c>
      <c r="O1" s="147">
        <v>1.0</v>
      </c>
      <c r="P1" s="147">
        <v>1.0</v>
      </c>
      <c r="Q1" s="147">
        <v>1.0</v>
      </c>
      <c r="R1" s="147">
        <f t="shared" ref="R1:BM1" si="1">F1+1</f>
        <v>2</v>
      </c>
      <c r="S1" s="147">
        <f t="shared" si="1"/>
        <v>2</v>
      </c>
      <c r="T1" s="147">
        <f t="shared" si="1"/>
        <v>2</v>
      </c>
      <c r="U1" s="147">
        <f t="shared" si="1"/>
        <v>2</v>
      </c>
      <c r="V1" s="147">
        <f t="shared" si="1"/>
        <v>2</v>
      </c>
      <c r="W1" s="147">
        <f t="shared" si="1"/>
        <v>2</v>
      </c>
      <c r="X1" s="147">
        <f t="shared" si="1"/>
        <v>2</v>
      </c>
      <c r="Y1" s="147">
        <f t="shared" si="1"/>
        <v>2</v>
      </c>
      <c r="Z1" s="147">
        <f t="shared" si="1"/>
        <v>2</v>
      </c>
      <c r="AA1" s="147">
        <f t="shared" si="1"/>
        <v>2</v>
      </c>
      <c r="AB1" s="147">
        <f t="shared" si="1"/>
        <v>2</v>
      </c>
      <c r="AC1" s="147">
        <f t="shared" si="1"/>
        <v>2</v>
      </c>
      <c r="AD1" s="147">
        <f t="shared" si="1"/>
        <v>3</v>
      </c>
      <c r="AE1" s="147">
        <f t="shared" si="1"/>
        <v>3</v>
      </c>
      <c r="AF1" s="147">
        <f t="shared" si="1"/>
        <v>3</v>
      </c>
      <c r="AG1" s="147">
        <f t="shared" si="1"/>
        <v>3</v>
      </c>
      <c r="AH1" s="147">
        <f t="shared" si="1"/>
        <v>3</v>
      </c>
      <c r="AI1" s="147">
        <f t="shared" si="1"/>
        <v>3</v>
      </c>
      <c r="AJ1" s="147">
        <f t="shared" si="1"/>
        <v>3</v>
      </c>
      <c r="AK1" s="147">
        <f t="shared" si="1"/>
        <v>3</v>
      </c>
      <c r="AL1" s="147">
        <f t="shared" si="1"/>
        <v>3</v>
      </c>
      <c r="AM1" s="147">
        <f t="shared" si="1"/>
        <v>3</v>
      </c>
      <c r="AN1" s="147">
        <f t="shared" si="1"/>
        <v>3</v>
      </c>
      <c r="AO1" s="147">
        <f t="shared" si="1"/>
        <v>3</v>
      </c>
      <c r="AP1" s="147">
        <f t="shared" si="1"/>
        <v>4</v>
      </c>
      <c r="AQ1" s="147">
        <f t="shared" si="1"/>
        <v>4</v>
      </c>
      <c r="AR1" s="147">
        <f t="shared" si="1"/>
        <v>4</v>
      </c>
      <c r="AS1" s="147">
        <f t="shared" si="1"/>
        <v>4</v>
      </c>
      <c r="AT1" s="147">
        <f t="shared" si="1"/>
        <v>4</v>
      </c>
      <c r="AU1" s="147">
        <f t="shared" si="1"/>
        <v>4</v>
      </c>
      <c r="AV1" s="147">
        <f t="shared" si="1"/>
        <v>4</v>
      </c>
      <c r="AW1" s="147">
        <f t="shared" si="1"/>
        <v>4</v>
      </c>
      <c r="AX1" s="147">
        <f t="shared" si="1"/>
        <v>4</v>
      </c>
      <c r="AY1" s="147">
        <f t="shared" si="1"/>
        <v>4</v>
      </c>
      <c r="AZ1" s="147">
        <f t="shared" si="1"/>
        <v>4</v>
      </c>
      <c r="BA1" s="147">
        <f t="shared" si="1"/>
        <v>4</v>
      </c>
      <c r="BB1" s="147">
        <f t="shared" si="1"/>
        <v>5</v>
      </c>
      <c r="BC1" s="147">
        <f t="shared" si="1"/>
        <v>5</v>
      </c>
      <c r="BD1" s="147">
        <f t="shared" si="1"/>
        <v>5</v>
      </c>
      <c r="BE1" s="147">
        <f t="shared" si="1"/>
        <v>5</v>
      </c>
      <c r="BF1" s="147">
        <f t="shared" si="1"/>
        <v>5</v>
      </c>
      <c r="BG1" s="147">
        <f t="shared" si="1"/>
        <v>5</v>
      </c>
      <c r="BH1" s="147">
        <f t="shared" si="1"/>
        <v>5</v>
      </c>
      <c r="BI1" s="147">
        <f t="shared" si="1"/>
        <v>5</v>
      </c>
      <c r="BJ1" s="147">
        <f t="shared" si="1"/>
        <v>5</v>
      </c>
      <c r="BK1" s="147">
        <f t="shared" si="1"/>
        <v>5</v>
      </c>
      <c r="BL1" s="147">
        <f t="shared" si="1"/>
        <v>5</v>
      </c>
      <c r="BM1" s="147">
        <f t="shared" si="1"/>
        <v>5</v>
      </c>
      <c r="BN1" s="147"/>
    </row>
    <row r="2">
      <c r="A2" s="146"/>
      <c r="B2" s="146" t="s">
        <v>9</v>
      </c>
      <c r="C2" s="148"/>
      <c r="D2" s="148"/>
      <c r="E2" s="148"/>
      <c r="F2" s="148">
        <f t="shared" ref="F2:BM2" si="2">YEAR(F4)</f>
        <v>2024</v>
      </c>
      <c r="G2" s="148">
        <f t="shared" si="2"/>
        <v>2024</v>
      </c>
      <c r="H2" s="148">
        <f t="shared" si="2"/>
        <v>2024</v>
      </c>
      <c r="I2" s="148">
        <f t="shared" si="2"/>
        <v>2024</v>
      </c>
      <c r="J2" s="148">
        <f t="shared" si="2"/>
        <v>2024</v>
      </c>
      <c r="K2" s="148">
        <f t="shared" si="2"/>
        <v>2024</v>
      </c>
      <c r="L2" s="148">
        <f t="shared" si="2"/>
        <v>2024</v>
      </c>
      <c r="M2" s="148">
        <f t="shared" si="2"/>
        <v>2024</v>
      </c>
      <c r="N2" s="148">
        <f t="shared" si="2"/>
        <v>2024</v>
      </c>
      <c r="O2" s="148">
        <f t="shared" si="2"/>
        <v>2024</v>
      </c>
      <c r="P2" s="148">
        <f t="shared" si="2"/>
        <v>2024</v>
      </c>
      <c r="Q2" s="148">
        <f t="shared" si="2"/>
        <v>2024</v>
      </c>
      <c r="R2" s="148">
        <f t="shared" si="2"/>
        <v>2025</v>
      </c>
      <c r="S2" s="148">
        <f t="shared" si="2"/>
        <v>2025</v>
      </c>
      <c r="T2" s="148">
        <f t="shared" si="2"/>
        <v>2025</v>
      </c>
      <c r="U2" s="148">
        <f t="shared" si="2"/>
        <v>2025</v>
      </c>
      <c r="V2" s="148">
        <f t="shared" si="2"/>
        <v>2025</v>
      </c>
      <c r="W2" s="148">
        <f t="shared" si="2"/>
        <v>2025</v>
      </c>
      <c r="X2" s="148">
        <f t="shared" si="2"/>
        <v>2025</v>
      </c>
      <c r="Y2" s="148">
        <f t="shared" si="2"/>
        <v>2025</v>
      </c>
      <c r="Z2" s="148">
        <f t="shared" si="2"/>
        <v>2025</v>
      </c>
      <c r="AA2" s="148">
        <f t="shared" si="2"/>
        <v>2025</v>
      </c>
      <c r="AB2" s="148">
        <f t="shared" si="2"/>
        <v>2025</v>
      </c>
      <c r="AC2" s="148">
        <f t="shared" si="2"/>
        <v>2025</v>
      </c>
      <c r="AD2" s="148">
        <f t="shared" si="2"/>
        <v>2026</v>
      </c>
      <c r="AE2" s="148">
        <f t="shared" si="2"/>
        <v>2026</v>
      </c>
      <c r="AF2" s="148">
        <f t="shared" si="2"/>
        <v>2026</v>
      </c>
      <c r="AG2" s="148">
        <f t="shared" si="2"/>
        <v>2026</v>
      </c>
      <c r="AH2" s="148">
        <f t="shared" si="2"/>
        <v>2026</v>
      </c>
      <c r="AI2" s="148">
        <f t="shared" si="2"/>
        <v>2026</v>
      </c>
      <c r="AJ2" s="148">
        <f t="shared" si="2"/>
        <v>2026</v>
      </c>
      <c r="AK2" s="148">
        <f t="shared" si="2"/>
        <v>2026</v>
      </c>
      <c r="AL2" s="148">
        <f t="shared" si="2"/>
        <v>2026</v>
      </c>
      <c r="AM2" s="148">
        <f t="shared" si="2"/>
        <v>2026</v>
      </c>
      <c r="AN2" s="148">
        <f t="shared" si="2"/>
        <v>2026</v>
      </c>
      <c r="AO2" s="148">
        <f t="shared" si="2"/>
        <v>2026</v>
      </c>
      <c r="AP2" s="148">
        <f t="shared" si="2"/>
        <v>2027</v>
      </c>
      <c r="AQ2" s="148">
        <f t="shared" si="2"/>
        <v>2027</v>
      </c>
      <c r="AR2" s="148">
        <f t="shared" si="2"/>
        <v>2027</v>
      </c>
      <c r="AS2" s="148">
        <f t="shared" si="2"/>
        <v>2027</v>
      </c>
      <c r="AT2" s="148">
        <f t="shared" si="2"/>
        <v>2027</v>
      </c>
      <c r="AU2" s="148">
        <f t="shared" si="2"/>
        <v>2027</v>
      </c>
      <c r="AV2" s="148">
        <f t="shared" si="2"/>
        <v>2027</v>
      </c>
      <c r="AW2" s="148">
        <f t="shared" si="2"/>
        <v>2027</v>
      </c>
      <c r="AX2" s="148">
        <f t="shared" si="2"/>
        <v>2027</v>
      </c>
      <c r="AY2" s="148">
        <f t="shared" si="2"/>
        <v>2027</v>
      </c>
      <c r="AZ2" s="148">
        <f t="shared" si="2"/>
        <v>2027</v>
      </c>
      <c r="BA2" s="148">
        <f t="shared" si="2"/>
        <v>2027</v>
      </c>
      <c r="BB2" s="148">
        <f t="shared" si="2"/>
        <v>2028</v>
      </c>
      <c r="BC2" s="148">
        <f t="shared" si="2"/>
        <v>2028</v>
      </c>
      <c r="BD2" s="148">
        <f t="shared" si="2"/>
        <v>2028</v>
      </c>
      <c r="BE2" s="148">
        <f t="shared" si="2"/>
        <v>2028</v>
      </c>
      <c r="BF2" s="148">
        <f t="shared" si="2"/>
        <v>2028</v>
      </c>
      <c r="BG2" s="148">
        <f t="shared" si="2"/>
        <v>2028</v>
      </c>
      <c r="BH2" s="148">
        <f t="shared" si="2"/>
        <v>2028</v>
      </c>
      <c r="BI2" s="148">
        <f t="shared" si="2"/>
        <v>2028</v>
      </c>
      <c r="BJ2" s="148">
        <f t="shared" si="2"/>
        <v>2028</v>
      </c>
      <c r="BK2" s="148">
        <f t="shared" si="2"/>
        <v>2028</v>
      </c>
      <c r="BL2" s="148">
        <f t="shared" si="2"/>
        <v>2028</v>
      </c>
      <c r="BM2" s="148">
        <f t="shared" si="2"/>
        <v>2028</v>
      </c>
      <c r="BN2" s="147"/>
    </row>
    <row r="3">
      <c r="A3" s="146"/>
      <c r="B3" s="146" t="s">
        <v>10</v>
      </c>
      <c r="C3" s="147"/>
      <c r="D3" s="147"/>
      <c r="E3" s="147"/>
      <c r="F3" s="147">
        <v>1.0</v>
      </c>
      <c r="G3" s="148">
        <f t="shared" ref="G3:BM3" si="3">F3+1</f>
        <v>2</v>
      </c>
      <c r="H3" s="148">
        <f t="shared" si="3"/>
        <v>3</v>
      </c>
      <c r="I3" s="148">
        <f t="shared" si="3"/>
        <v>4</v>
      </c>
      <c r="J3" s="148">
        <f t="shared" si="3"/>
        <v>5</v>
      </c>
      <c r="K3" s="148">
        <f t="shared" si="3"/>
        <v>6</v>
      </c>
      <c r="L3" s="148">
        <f t="shared" si="3"/>
        <v>7</v>
      </c>
      <c r="M3" s="148">
        <f t="shared" si="3"/>
        <v>8</v>
      </c>
      <c r="N3" s="148">
        <f t="shared" si="3"/>
        <v>9</v>
      </c>
      <c r="O3" s="148">
        <f t="shared" si="3"/>
        <v>10</v>
      </c>
      <c r="P3" s="148">
        <f t="shared" si="3"/>
        <v>11</v>
      </c>
      <c r="Q3" s="148">
        <f t="shared" si="3"/>
        <v>12</v>
      </c>
      <c r="R3" s="148">
        <f t="shared" si="3"/>
        <v>13</v>
      </c>
      <c r="S3" s="148">
        <f t="shared" si="3"/>
        <v>14</v>
      </c>
      <c r="T3" s="148">
        <f t="shared" si="3"/>
        <v>15</v>
      </c>
      <c r="U3" s="148">
        <f t="shared" si="3"/>
        <v>16</v>
      </c>
      <c r="V3" s="148">
        <f t="shared" si="3"/>
        <v>17</v>
      </c>
      <c r="W3" s="148">
        <f t="shared" si="3"/>
        <v>18</v>
      </c>
      <c r="X3" s="148">
        <f t="shared" si="3"/>
        <v>19</v>
      </c>
      <c r="Y3" s="148">
        <f t="shared" si="3"/>
        <v>20</v>
      </c>
      <c r="Z3" s="148">
        <f t="shared" si="3"/>
        <v>21</v>
      </c>
      <c r="AA3" s="148">
        <f t="shared" si="3"/>
        <v>22</v>
      </c>
      <c r="AB3" s="148">
        <f t="shared" si="3"/>
        <v>23</v>
      </c>
      <c r="AC3" s="148">
        <f t="shared" si="3"/>
        <v>24</v>
      </c>
      <c r="AD3" s="148">
        <f t="shared" si="3"/>
        <v>25</v>
      </c>
      <c r="AE3" s="148">
        <f t="shared" si="3"/>
        <v>26</v>
      </c>
      <c r="AF3" s="148">
        <f t="shared" si="3"/>
        <v>27</v>
      </c>
      <c r="AG3" s="148">
        <f t="shared" si="3"/>
        <v>28</v>
      </c>
      <c r="AH3" s="148">
        <f t="shared" si="3"/>
        <v>29</v>
      </c>
      <c r="AI3" s="148">
        <f t="shared" si="3"/>
        <v>30</v>
      </c>
      <c r="AJ3" s="148">
        <f t="shared" si="3"/>
        <v>31</v>
      </c>
      <c r="AK3" s="148">
        <f t="shared" si="3"/>
        <v>32</v>
      </c>
      <c r="AL3" s="148">
        <f t="shared" si="3"/>
        <v>33</v>
      </c>
      <c r="AM3" s="148">
        <f t="shared" si="3"/>
        <v>34</v>
      </c>
      <c r="AN3" s="148">
        <f t="shared" si="3"/>
        <v>35</v>
      </c>
      <c r="AO3" s="148">
        <f t="shared" si="3"/>
        <v>36</v>
      </c>
      <c r="AP3" s="148">
        <f t="shared" si="3"/>
        <v>37</v>
      </c>
      <c r="AQ3" s="148">
        <f t="shared" si="3"/>
        <v>38</v>
      </c>
      <c r="AR3" s="148">
        <f t="shared" si="3"/>
        <v>39</v>
      </c>
      <c r="AS3" s="148">
        <f t="shared" si="3"/>
        <v>40</v>
      </c>
      <c r="AT3" s="148">
        <f t="shared" si="3"/>
        <v>41</v>
      </c>
      <c r="AU3" s="148">
        <f t="shared" si="3"/>
        <v>42</v>
      </c>
      <c r="AV3" s="148">
        <f t="shared" si="3"/>
        <v>43</v>
      </c>
      <c r="AW3" s="148">
        <f t="shared" si="3"/>
        <v>44</v>
      </c>
      <c r="AX3" s="148">
        <f t="shared" si="3"/>
        <v>45</v>
      </c>
      <c r="AY3" s="148">
        <f t="shared" si="3"/>
        <v>46</v>
      </c>
      <c r="AZ3" s="148">
        <f t="shared" si="3"/>
        <v>47</v>
      </c>
      <c r="BA3" s="148">
        <f t="shared" si="3"/>
        <v>48</v>
      </c>
      <c r="BB3" s="148">
        <f t="shared" si="3"/>
        <v>49</v>
      </c>
      <c r="BC3" s="148">
        <f t="shared" si="3"/>
        <v>50</v>
      </c>
      <c r="BD3" s="148">
        <f t="shared" si="3"/>
        <v>51</v>
      </c>
      <c r="BE3" s="148">
        <f t="shared" si="3"/>
        <v>52</v>
      </c>
      <c r="BF3" s="148">
        <f t="shared" si="3"/>
        <v>53</v>
      </c>
      <c r="BG3" s="148">
        <f t="shared" si="3"/>
        <v>54</v>
      </c>
      <c r="BH3" s="148">
        <f t="shared" si="3"/>
        <v>55</v>
      </c>
      <c r="BI3" s="148">
        <f t="shared" si="3"/>
        <v>56</v>
      </c>
      <c r="BJ3" s="148">
        <f t="shared" si="3"/>
        <v>57</v>
      </c>
      <c r="BK3" s="148">
        <f t="shared" si="3"/>
        <v>58</v>
      </c>
      <c r="BL3" s="148">
        <f t="shared" si="3"/>
        <v>59</v>
      </c>
      <c r="BM3" s="148">
        <f t="shared" si="3"/>
        <v>60</v>
      </c>
      <c r="BN3" s="147"/>
    </row>
    <row r="4">
      <c r="A4" s="146"/>
      <c r="B4" s="146" t="s">
        <v>11</v>
      </c>
      <c r="C4" s="147"/>
      <c r="D4" s="147"/>
      <c r="E4" s="147"/>
      <c r="F4" s="149">
        <f>Assumptions!T4</f>
        <v>45292</v>
      </c>
      <c r="G4" s="149">
        <f t="shared" ref="G4:BM4" si="4">EOMONTH(F4,1)</f>
        <v>45351</v>
      </c>
      <c r="H4" s="149">
        <f t="shared" si="4"/>
        <v>45382</v>
      </c>
      <c r="I4" s="149">
        <f t="shared" si="4"/>
        <v>45412</v>
      </c>
      <c r="J4" s="149">
        <f t="shared" si="4"/>
        <v>45443</v>
      </c>
      <c r="K4" s="149">
        <f t="shared" si="4"/>
        <v>45473</v>
      </c>
      <c r="L4" s="149">
        <f t="shared" si="4"/>
        <v>45504</v>
      </c>
      <c r="M4" s="149">
        <f t="shared" si="4"/>
        <v>45535</v>
      </c>
      <c r="N4" s="149">
        <f t="shared" si="4"/>
        <v>45565</v>
      </c>
      <c r="O4" s="149">
        <f t="shared" si="4"/>
        <v>45596</v>
      </c>
      <c r="P4" s="149">
        <f t="shared" si="4"/>
        <v>45626</v>
      </c>
      <c r="Q4" s="149">
        <f t="shared" si="4"/>
        <v>45657</v>
      </c>
      <c r="R4" s="149">
        <f t="shared" si="4"/>
        <v>45688</v>
      </c>
      <c r="S4" s="149">
        <f t="shared" si="4"/>
        <v>45716</v>
      </c>
      <c r="T4" s="149">
        <f t="shared" si="4"/>
        <v>45747</v>
      </c>
      <c r="U4" s="149">
        <f t="shared" si="4"/>
        <v>45777</v>
      </c>
      <c r="V4" s="149">
        <f t="shared" si="4"/>
        <v>45808</v>
      </c>
      <c r="W4" s="149">
        <f t="shared" si="4"/>
        <v>45838</v>
      </c>
      <c r="X4" s="149">
        <f t="shared" si="4"/>
        <v>45869</v>
      </c>
      <c r="Y4" s="149">
        <f t="shared" si="4"/>
        <v>45900</v>
      </c>
      <c r="Z4" s="149">
        <f t="shared" si="4"/>
        <v>45930</v>
      </c>
      <c r="AA4" s="149">
        <f t="shared" si="4"/>
        <v>45961</v>
      </c>
      <c r="AB4" s="149">
        <f t="shared" si="4"/>
        <v>45991</v>
      </c>
      <c r="AC4" s="149">
        <f t="shared" si="4"/>
        <v>46022</v>
      </c>
      <c r="AD4" s="149">
        <f t="shared" si="4"/>
        <v>46053</v>
      </c>
      <c r="AE4" s="149">
        <f t="shared" si="4"/>
        <v>46081</v>
      </c>
      <c r="AF4" s="149">
        <f t="shared" si="4"/>
        <v>46112</v>
      </c>
      <c r="AG4" s="149">
        <f t="shared" si="4"/>
        <v>46142</v>
      </c>
      <c r="AH4" s="149">
        <f t="shared" si="4"/>
        <v>46173</v>
      </c>
      <c r="AI4" s="149">
        <f t="shared" si="4"/>
        <v>46203</v>
      </c>
      <c r="AJ4" s="149">
        <f t="shared" si="4"/>
        <v>46234</v>
      </c>
      <c r="AK4" s="149">
        <f t="shared" si="4"/>
        <v>46265</v>
      </c>
      <c r="AL4" s="149">
        <f t="shared" si="4"/>
        <v>46295</v>
      </c>
      <c r="AM4" s="149">
        <f t="shared" si="4"/>
        <v>46326</v>
      </c>
      <c r="AN4" s="149">
        <f t="shared" si="4"/>
        <v>46356</v>
      </c>
      <c r="AO4" s="149">
        <f t="shared" si="4"/>
        <v>46387</v>
      </c>
      <c r="AP4" s="149">
        <f t="shared" si="4"/>
        <v>46418</v>
      </c>
      <c r="AQ4" s="149">
        <f t="shared" si="4"/>
        <v>46446</v>
      </c>
      <c r="AR4" s="149">
        <f t="shared" si="4"/>
        <v>46477</v>
      </c>
      <c r="AS4" s="149">
        <f t="shared" si="4"/>
        <v>46507</v>
      </c>
      <c r="AT4" s="149">
        <f t="shared" si="4"/>
        <v>46538</v>
      </c>
      <c r="AU4" s="149">
        <f t="shared" si="4"/>
        <v>46568</v>
      </c>
      <c r="AV4" s="149">
        <f t="shared" si="4"/>
        <v>46599</v>
      </c>
      <c r="AW4" s="149">
        <f t="shared" si="4"/>
        <v>46630</v>
      </c>
      <c r="AX4" s="149">
        <f t="shared" si="4"/>
        <v>46660</v>
      </c>
      <c r="AY4" s="149">
        <f t="shared" si="4"/>
        <v>46691</v>
      </c>
      <c r="AZ4" s="149">
        <f t="shared" si="4"/>
        <v>46721</v>
      </c>
      <c r="BA4" s="149">
        <f t="shared" si="4"/>
        <v>46752</v>
      </c>
      <c r="BB4" s="149">
        <f t="shared" si="4"/>
        <v>46783</v>
      </c>
      <c r="BC4" s="149">
        <f t="shared" si="4"/>
        <v>46812</v>
      </c>
      <c r="BD4" s="149">
        <f t="shared" si="4"/>
        <v>46843</v>
      </c>
      <c r="BE4" s="149">
        <f t="shared" si="4"/>
        <v>46873</v>
      </c>
      <c r="BF4" s="149">
        <f t="shared" si="4"/>
        <v>46904</v>
      </c>
      <c r="BG4" s="149">
        <f t="shared" si="4"/>
        <v>46934</v>
      </c>
      <c r="BH4" s="149">
        <f t="shared" si="4"/>
        <v>46965</v>
      </c>
      <c r="BI4" s="149">
        <f t="shared" si="4"/>
        <v>46996</v>
      </c>
      <c r="BJ4" s="149">
        <f t="shared" si="4"/>
        <v>47026</v>
      </c>
      <c r="BK4" s="149">
        <f t="shared" si="4"/>
        <v>47057</v>
      </c>
      <c r="BL4" s="149">
        <f t="shared" si="4"/>
        <v>47087</v>
      </c>
      <c r="BM4" s="149">
        <f t="shared" si="4"/>
        <v>47118</v>
      </c>
      <c r="BN4" s="147"/>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47"/>
    </row>
    <row r="6">
      <c r="A6" s="30"/>
      <c r="B6" s="150" t="s">
        <v>139</v>
      </c>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47"/>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row>
    <row r="8" outlineLevel="1">
      <c r="A8" s="152"/>
      <c r="B8" s="153" t="s">
        <v>140</v>
      </c>
      <c r="C8" s="154"/>
      <c r="D8" s="154"/>
      <c r="E8" s="154"/>
      <c r="F8" s="154">
        <f t="shared" ref="F8:BM8" si="5">sum(F9:F11)</f>
        <v>0</v>
      </c>
      <c r="G8" s="154">
        <f t="shared" si="5"/>
        <v>475</v>
      </c>
      <c r="H8" s="154">
        <f t="shared" si="5"/>
        <v>959.5</v>
      </c>
      <c r="I8" s="154">
        <f t="shared" si="5"/>
        <v>1453.69</v>
      </c>
      <c r="J8" s="154">
        <f t="shared" si="5"/>
        <v>1957.7638</v>
      </c>
      <c r="K8" s="154">
        <f t="shared" si="5"/>
        <v>2841.919076</v>
      </c>
      <c r="L8" s="154">
        <f t="shared" si="5"/>
        <v>3743.757458</v>
      </c>
      <c r="M8" s="154">
        <f t="shared" si="5"/>
        <v>4663.632607</v>
      </c>
      <c r="N8" s="154">
        <f t="shared" si="5"/>
        <v>5601.905259</v>
      </c>
      <c r="O8" s="154">
        <f t="shared" si="5"/>
        <v>6558.943364</v>
      </c>
      <c r="P8" s="154">
        <f t="shared" si="5"/>
        <v>7535.122231</v>
      </c>
      <c r="Q8" s="154">
        <f t="shared" si="5"/>
        <v>8530.824676</v>
      </c>
      <c r="R8" s="154">
        <f t="shared" si="5"/>
        <v>9546.441169</v>
      </c>
      <c r="S8" s="154">
        <f t="shared" si="5"/>
        <v>10487.36999</v>
      </c>
      <c r="T8" s="154">
        <f t="shared" si="5"/>
        <v>11447.11739</v>
      </c>
      <c r="U8" s="154">
        <f t="shared" si="5"/>
        <v>12426.05974</v>
      </c>
      <c r="V8" s="154">
        <f t="shared" si="5"/>
        <v>13424.58094</v>
      </c>
      <c r="W8" s="154">
        <f t="shared" si="5"/>
        <v>14369.07255</v>
      </c>
      <c r="X8" s="154">
        <f t="shared" si="5"/>
        <v>15332.45401</v>
      </c>
      <c r="Y8" s="154">
        <f t="shared" si="5"/>
        <v>16315.10309</v>
      </c>
      <c r="Z8" s="154">
        <f t="shared" si="5"/>
        <v>17317.40515</v>
      </c>
      <c r="AA8" s="154">
        <f t="shared" si="5"/>
        <v>18339.75325</v>
      </c>
      <c r="AB8" s="154">
        <f t="shared" si="5"/>
        <v>19382.54831</v>
      </c>
      <c r="AC8" s="154">
        <f t="shared" si="5"/>
        <v>20446.19928</v>
      </c>
      <c r="AD8" s="154">
        <f t="shared" si="5"/>
        <v>21531.12327</v>
      </c>
      <c r="AE8" s="154">
        <f t="shared" si="5"/>
        <v>22561.74573</v>
      </c>
      <c r="AF8" s="154">
        <f t="shared" si="5"/>
        <v>23612.98065</v>
      </c>
      <c r="AG8" s="154">
        <f t="shared" si="5"/>
        <v>24685.24026</v>
      </c>
      <c r="AH8" s="154">
        <f t="shared" si="5"/>
        <v>25778.94506</v>
      </c>
      <c r="AI8" s="154">
        <f t="shared" si="5"/>
        <v>26835.32397</v>
      </c>
      <c r="AJ8" s="154">
        <f t="shared" si="5"/>
        <v>27912.83045</v>
      </c>
      <c r="AK8" s="154">
        <f t="shared" si="5"/>
        <v>29011.88705</v>
      </c>
      <c r="AL8" s="154">
        <f t="shared" si="5"/>
        <v>30132.9248</v>
      </c>
      <c r="AM8" s="154">
        <f t="shared" si="5"/>
        <v>31276.38329</v>
      </c>
      <c r="AN8" s="154">
        <f t="shared" si="5"/>
        <v>32442.71096</v>
      </c>
      <c r="AO8" s="154">
        <f t="shared" si="5"/>
        <v>33632.36518</v>
      </c>
      <c r="AP8" s="154">
        <f t="shared" si="5"/>
        <v>34845.81248</v>
      </c>
      <c r="AQ8" s="154">
        <f t="shared" si="5"/>
        <v>36022.72873</v>
      </c>
      <c r="AR8" s="154">
        <f t="shared" si="5"/>
        <v>37223.1833</v>
      </c>
      <c r="AS8" s="154">
        <f t="shared" si="5"/>
        <v>38447.64697</v>
      </c>
      <c r="AT8" s="154">
        <f t="shared" si="5"/>
        <v>39696.59991</v>
      </c>
      <c r="AU8" s="154">
        <f t="shared" si="5"/>
        <v>40923.17191</v>
      </c>
      <c r="AV8" s="154">
        <f t="shared" si="5"/>
        <v>42174.27535</v>
      </c>
      <c r="AW8" s="154">
        <f t="shared" si="5"/>
        <v>43450.40085</v>
      </c>
      <c r="AX8" s="154">
        <f t="shared" si="5"/>
        <v>44752.04887</v>
      </c>
      <c r="AY8" s="154">
        <f t="shared" si="5"/>
        <v>46079.72985</v>
      </c>
      <c r="AZ8" s="154">
        <f t="shared" si="5"/>
        <v>47433.96444</v>
      </c>
      <c r="BA8" s="154">
        <f t="shared" si="5"/>
        <v>48815.28373</v>
      </c>
      <c r="BB8" s="154">
        <f t="shared" si="5"/>
        <v>50224.22941</v>
      </c>
      <c r="BC8" s="154">
        <f t="shared" si="5"/>
        <v>51612.714</v>
      </c>
      <c r="BD8" s="154">
        <f t="shared" si="5"/>
        <v>53028.96828</v>
      </c>
      <c r="BE8" s="154">
        <f t="shared" si="5"/>
        <v>54473.54764</v>
      </c>
      <c r="BF8" s="154">
        <f t="shared" si="5"/>
        <v>55947.01859</v>
      </c>
      <c r="BG8" s="154">
        <f t="shared" si="5"/>
        <v>57412.07097</v>
      </c>
      <c r="BH8" s="154">
        <f t="shared" si="5"/>
        <v>58906.42439</v>
      </c>
      <c r="BI8" s="154">
        <f t="shared" si="5"/>
        <v>60430.66487</v>
      </c>
      <c r="BJ8" s="154">
        <f t="shared" si="5"/>
        <v>61985.39017</v>
      </c>
      <c r="BK8" s="154">
        <f t="shared" si="5"/>
        <v>63571.20997</v>
      </c>
      <c r="BL8" s="154">
        <f t="shared" si="5"/>
        <v>65188.74617</v>
      </c>
      <c r="BM8" s="154">
        <f t="shared" si="5"/>
        <v>66838.6331</v>
      </c>
      <c r="BN8" s="152"/>
    </row>
    <row r="9" outlineLevel="1">
      <c r="A9" s="152"/>
      <c r="B9" s="152" t="str">
        <f>Assumptions!B27</f>
        <v>Regular School Licenses</v>
      </c>
      <c r="C9" s="152"/>
      <c r="D9" s="152"/>
      <c r="E9" s="152"/>
      <c r="F9" s="152">
        <f>Assumptions!T41</f>
        <v>0</v>
      </c>
      <c r="G9" s="152">
        <f>Assumptions!U41</f>
        <v>450</v>
      </c>
      <c r="H9" s="152">
        <f>Assumptions!V41</f>
        <v>909</v>
      </c>
      <c r="I9" s="152">
        <f>Assumptions!W41</f>
        <v>1377.18</v>
      </c>
      <c r="J9" s="152">
        <f>Assumptions!X41</f>
        <v>1854.7236</v>
      </c>
      <c r="K9" s="152">
        <f>Assumptions!Y41</f>
        <v>2341.818072</v>
      </c>
      <c r="L9" s="152">
        <f>Assumptions!Z41</f>
        <v>2838.654433</v>
      </c>
      <c r="M9" s="152">
        <f>Assumptions!AA41</f>
        <v>3345.427522</v>
      </c>
      <c r="N9" s="152">
        <f>Assumptions!AB41</f>
        <v>3862.336073</v>
      </c>
      <c r="O9" s="152">
        <f>Assumptions!AC41</f>
        <v>4389.582794</v>
      </c>
      <c r="P9" s="152">
        <f>Assumptions!AD41</f>
        <v>4927.37445</v>
      </c>
      <c r="Q9" s="152">
        <f>Assumptions!AE41</f>
        <v>5475.921939</v>
      </c>
      <c r="R9" s="152">
        <f>Assumptions!AF41</f>
        <v>6035.440378</v>
      </c>
      <c r="S9" s="152">
        <f>Assumptions!AG41</f>
        <v>6516.149185</v>
      </c>
      <c r="T9" s="152">
        <f>Assumptions!AH41</f>
        <v>7006.472169</v>
      </c>
      <c r="U9" s="152">
        <f>Assumptions!AI41</f>
        <v>7506.601612</v>
      </c>
      <c r="V9" s="152">
        <f>Assumptions!AJ41</f>
        <v>8016.733645</v>
      </c>
      <c r="W9" s="152">
        <f>Assumptions!AK41</f>
        <v>8537.068317</v>
      </c>
      <c r="X9" s="152">
        <f>Assumptions!AL41</f>
        <v>9067.809684</v>
      </c>
      <c r="Y9" s="152">
        <f>Assumptions!AM41</f>
        <v>9609.165877</v>
      </c>
      <c r="Z9" s="152">
        <f>Assumptions!AN41</f>
        <v>10161.3492</v>
      </c>
      <c r="AA9" s="152">
        <f>Assumptions!AO41</f>
        <v>10724.57618</v>
      </c>
      <c r="AB9" s="152">
        <f>Assumptions!AP41</f>
        <v>11299.0677</v>
      </c>
      <c r="AC9" s="152">
        <f>Assumptions!AQ41</f>
        <v>11885.04906</v>
      </c>
      <c r="AD9" s="152">
        <f>Assumptions!AR41</f>
        <v>12482.75004</v>
      </c>
      <c r="AE9" s="152">
        <f>Assumptions!AS41</f>
        <v>13020.40504</v>
      </c>
      <c r="AF9" s="152">
        <f>Assumptions!AT41</f>
        <v>13568.81314</v>
      </c>
      <c r="AG9" s="152">
        <f>Assumptions!AU41</f>
        <v>14128.1894</v>
      </c>
      <c r="AH9" s="152">
        <f>Assumptions!AV41</f>
        <v>14698.75319</v>
      </c>
      <c r="AI9" s="152">
        <f>Assumptions!AW41</f>
        <v>15280.72825</v>
      </c>
      <c r="AJ9" s="152">
        <f>Assumptions!AX41</f>
        <v>15874.34282</v>
      </c>
      <c r="AK9" s="152">
        <f>Assumptions!AY41</f>
        <v>16479.82968</v>
      </c>
      <c r="AL9" s="152">
        <f>Assumptions!AZ41</f>
        <v>17097.42627</v>
      </c>
      <c r="AM9" s="152">
        <f>Assumptions!BA41</f>
        <v>17727.37479</v>
      </c>
      <c r="AN9" s="152">
        <f>Assumptions!BB41</f>
        <v>18369.92229</v>
      </c>
      <c r="AO9" s="152">
        <f>Assumptions!BC41</f>
        <v>19025.32074</v>
      </c>
      <c r="AP9" s="152">
        <f>Assumptions!BD41</f>
        <v>19693.82715</v>
      </c>
      <c r="AQ9" s="152">
        <f>Assumptions!BE41</f>
        <v>20318.10369</v>
      </c>
      <c r="AR9" s="152">
        <f>Assumptions!BF41</f>
        <v>20954.86577</v>
      </c>
      <c r="AS9" s="152">
        <f>Assumptions!BG41</f>
        <v>21604.36308</v>
      </c>
      <c r="AT9" s="152">
        <f>Assumptions!BH41</f>
        <v>22266.85034</v>
      </c>
      <c r="AU9" s="152">
        <f>Assumptions!BI41</f>
        <v>22942.58735</v>
      </c>
      <c r="AV9" s="152">
        <f>Assumptions!BJ41</f>
        <v>23631.8391</v>
      </c>
      <c r="AW9" s="152">
        <f>Assumptions!BK41</f>
        <v>24334.87588</v>
      </c>
      <c r="AX9" s="152">
        <f>Assumptions!BL41</f>
        <v>25051.9734</v>
      </c>
      <c r="AY9" s="152">
        <f>Assumptions!BM41</f>
        <v>25783.41287</v>
      </c>
      <c r="AZ9" s="152">
        <f>Assumptions!BN41</f>
        <v>26529.48112</v>
      </c>
      <c r="BA9" s="152">
        <f>Assumptions!BO41</f>
        <v>27290.47075</v>
      </c>
      <c r="BB9" s="152">
        <f>Assumptions!BP41</f>
        <v>28066.68016</v>
      </c>
      <c r="BC9" s="152">
        <f>Assumptions!BQ41</f>
        <v>28812.33376</v>
      </c>
      <c r="BD9" s="152">
        <f>Assumptions!BR41</f>
        <v>29572.90044</v>
      </c>
      <c r="BE9" s="152">
        <f>Assumptions!BS41</f>
        <v>30348.67845</v>
      </c>
      <c r="BF9" s="152">
        <f>Assumptions!BT41</f>
        <v>31139.97202</v>
      </c>
      <c r="BG9" s="152">
        <f>Assumptions!BU41</f>
        <v>31947.09146</v>
      </c>
      <c r="BH9" s="152">
        <f>Assumptions!BV41</f>
        <v>32770.35329</v>
      </c>
      <c r="BI9" s="152">
        <f>Assumptions!BW41</f>
        <v>33610.08035</v>
      </c>
      <c r="BJ9" s="152">
        <f>Assumptions!BX41</f>
        <v>34466.60196</v>
      </c>
      <c r="BK9" s="152">
        <f>Assumptions!BY41</f>
        <v>35340.254</v>
      </c>
      <c r="BL9" s="152">
        <f>Assumptions!BZ41</f>
        <v>36231.37908</v>
      </c>
      <c r="BM9" s="152">
        <f>Assumptions!CA41</f>
        <v>37140.32666</v>
      </c>
      <c r="BN9" s="152" t="str">
        <f>Assumptions!CB41</f>
        <v/>
      </c>
    </row>
    <row r="10" outlineLevel="1">
      <c r="A10" s="152"/>
      <c r="B10" s="152" t="str">
        <f>Assumptions!B43</f>
        <v>Large School Licenses</v>
      </c>
      <c r="C10" s="152"/>
      <c r="D10" s="152"/>
      <c r="E10" s="152"/>
      <c r="F10" s="152">
        <f>Assumptions!T57</f>
        <v>0</v>
      </c>
      <c r="G10" s="152">
        <f>Assumptions!U57</f>
        <v>0</v>
      </c>
      <c r="H10" s="152">
        <f>Assumptions!V57</f>
        <v>0</v>
      </c>
      <c r="I10" s="152">
        <f>Assumptions!W57</f>
        <v>0</v>
      </c>
      <c r="J10" s="152">
        <f>Assumptions!X57</f>
        <v>0</v>
      </c>
      <c r="K10" s="152">
        <f>Assumptions!Y57</f>
        <v>360</v>
      </c>
      <c r="L10" s="152">
        <f>Assumptions!Z57</f>
        <v>727.2</v>
      </c>
      <c r="M10" s="152">
        <f>Assumptions!AA57</f>
        <v>1101.744</v>
      </c>
      <c r="N10" s="152">
        <f>Assumptions!AB57</f>
        <v>1483.77888</v>
      </c>
      <c r="O10" s="152">
        <f>Assumptions!AC57</f>
        <v>1873.454458</v>
      </c>
      <c r="P10" s="152">
        <f>Assumptions!AD57</f>
        <v>2270.923547</v>
      </c>
      <c r="Q10" s="152">
        <f>Assumptions!AE57</f>
        <v>2676.342018</v>
      </c>
      <c r="R10" s="152">
        <f>Assumptions!AF57</f>
        <v>3089.868858</v>
      </c>
      <c r="S10" s="152">
        <f>Assumptions!AG57</f>
        <v>3511.666235</v>
      </c>
      <c r="T10" s="152">
        <f>Assumptions!AH57</f>
        <v>3941.89956</v>
      </c>
      <c r="U10" s="152">
        <f>Assumptions!AI57</f>
        <v>4380.737551</v>
      </c>
      <c r="V10" s="152">
        <f>Assumptions!AJ57</f>
        <v>4828.352302</v>
      </c>
      <c r="W10" s="152">
        <f>Assumptions!AK57</f>
        <v>5212.919348</v>
      </c>
      <c r="X10" s="152">
        <f>Assumptions!AL57</f>
        <v>5605.177735</v>
      </c>
      <c r="Y10" s="152">
        <f>Assumptions!AM57</f>
        <v>6005.28129</v>
      </c>
      <c r="Z10" s="152">
        <f>Assumptions!AN57</f>
        <v>6413.386916</v>
      </c>
      <c r="AA10" s="152">
        <f>Assumptions!AO57</f>
        <v>6829.654654</v>
      </c>
      <c r="AB10" s="152">
        <f>Assumptions!AP57</f>
        <v>7254.247747</v>
      </c>
      <c r="AC10" s="152">
        <f>Assumptions!AQ57</f>
        <v>7687.332702</v>
      </c>
      <c r="AD10" s="152">
        <f>Assumptions!AR57</f>
        <v>8129.079356</v>
      </c>
      <c r="AE10" s="152">
        <f>Assumptions!AS57</f>
        <v>8579.660943</v>
      </c>
      <c r="AF10" s="152">
        <f>Assumptions!AT57</f>
        <v>9039.254162</v>
      </c>
      <c r="AG10" s="152">
        <f>Assumptions!AU57</f>
        <v>9508.039245</v>
      </c>
      <c r="AH10" s="152">
        <f>Assumptions!AV57</f>
        <v>9986.20003</v>
      </c>
      <c r="AI10" s="152">
        <f>Assumptions!AW57</f>
        <v>10416.32403</v>
      </c>
      <c r="AJ10" s="152">
        <f>Assumptions!AX57</f>
        <v>10855.05051</v>
      </c>
      <c r="AK10" s="152">
        <f>Assumptions!AY57</f>
        <v>11302.55152</v>
      </c>
      <c r="AL10" s="152">
        <f>Assumptions!AZ57</f>
        <v>11759.00255</v>
      </c>
      <c r="AM10" s="152">
        <f>Assumptions!BA57</f>
        <v>12224.5826</v>
      </c>
      <c r="AN10" s="152">
        <f>Assumptions!BB57</f>
        <v>12699.47426</v>
      </c>
      <c r="AO10" s="152">
        <f>Assumptions!BC57</f>
        <v>13183.86374</v>
      </c>
      <c r="AP10" s="152">
        <f>Assumptions!BD57</f>
        <v>13677.94102</v>
      </c>
      <c r="AQ10" s="152">
        <f>Assumptions!BE57</f>
        <v>14181.89984</v>
      </c>
      <c r="AR10" s="152">
        <f>Assumptions!BF57</f>
        <v>14695.93783</v>
      </c>
      <c r="AS10" s="152">
        <f>Assumptions!BG57</f>
        <v>15220.25659</v>
      </c>
      <c r="AT10" s="152">
        <f>Assumptions!BH57</f>
        <v>15755.06172</v>
      </c>
      <c r="AU10" s="152">
        <f>Assumptions!BI57</f>
        <v>16254.48295</v>
      </c>
      <c r="AV10" s="152">
        <f>Assumptions!BJ57</f>
        <v>16763.89261</v>
      </c>
      <c r="AW10" s="152">
        <f>Assumptions!BK57</f>
        <v>17283.49047</v>
      </c>
      <c r="AX10" s="152">
        <f>Assumptions!BL57</f>
        <v>17813.48028</v>
      </c>
      <c r="AY10" s="152">
        <f>Assumptions!BM57</f>
        <v>18354.06988</v>
      </c>
      <c r="AZ10" s="152">
        <f>Assumptions!BN57</f>
        <v>18905.47128</v>
      </c>
      <c r="BA10" s="152">
        <f>Assumptions!BO57</f>
        <v>19467.9007</v>
      </c>
      <c r="BB10" s="152">
        <f>Assumptions!BP57</f>
        <v>20041.57872</v>
      </c>
      <c r="BC10" s="152">
        <f>Assumptions!BQ57</f>
        <v>20626.73029</v>
      </c>
      <c r="BD10" s="152">
        <f>Assumptions!BR57</f>
        <v>21223.5849</v>
      </c>
      <c r="BE10" s="152">
        <f>Assumptions!BS57</f>
        <v>21832.3766</v>
      </c>
      <c r="BF10" s="152">
        <f>Assumptions!BT57</f>
        <v>22453.34413</v>
      </c>
      <c r="BG10" s="152">
        <f>Assumptions!BU57</f>
        <v>23049.86701</v>
      </c>
      <c r="BH10" s="152">
        <f>Assumptions!BV57</f>
        <v>23658.32035</v>
      </c>
      <c r="BI10" s="152">
        <f>Assumptions!BW57</f>
        <v>24278.94276</v>
      </c>
      <c r="BJ10" s="152">
        <f>Assumptions!BX57</f>
        <v>24911.97761</v>
      </c>
      <c r="BK10" s="152">
        <f>Assumptions!BY57</f>
        <v>25557.67317</v>
      </c>
      <c r="BL10" s="152">
        <f>Assumptions!BZ57</f>
        <v>26216.28263</v>
      </c>
      <c r="BM10" s="152">
        <f>Assumptions!CA57</f>
        <v>26888.06428</v>
      </c>
      <c r="BN10" s="152" t="str">
        <f>Assumptions!CB57</f>
        <v/>
      </c>
    </row>
    <row r="11" outlineLevel="1">
      <c r="A11" s="152"/>
      <c r="B11" s="152" t="str">
        <f>Assumptions!B59</f>
        <v>Per Unit Annual SaaS Tier 3</v>
      </c>
      <c r="C11" s="152"/>
      <c r="D11" s="152"/>
      <c r="E11" s="152"/>
      <c r="F11" s="152">
        <f>Assumptions!T74</f>
        <v>0</v>
      </c>
      <c r="G11" s="152">
        <f>Assumptions!U74</f>
        <v>25</v>
      </c>
      <c r="H11" s="152">
        <f>Assumptions!V74</f>
        <v>50.5</v>
      </c>
      <c r="I11" s="152">
        <f>Assumptions!W74</f>
        <v>76.51</v>
      </c>
      <c r="J11" s="152">
        <f>Assumptions!X74</f>
        <v>103.0402</v>
      </c>
      <c r="K11" s="152">
        <f>Assumptions!Y74</f>
        <v>140.101004</v>
      </c>
      <c r="L11" s="152">
        <f>Assumptions!Z74</f>
        <v>177.9030241</v>
      </c>
      <c r="M11" s="152">
        <f>Assumptions!AA74</f>
        <v>216.4610846</v>
      </c>
      <c r="N11" s="152">
        <f>Assumptions!AB74</f>
        <v>255.7903063</v>
      </c>
      <c r="O11" s="152">
        <f>Assumptions!AC74</f>
        <v>295.9061124</v>
      </c>
      <c r="P11" s="152">
        <f>Assumptions!AD74</f>
        <v>336.8242346</v>
      </c>
      <c r="Q11" s="152">
        <f>Assumptions!AE74</f>
        <v>378.5607193</v>
      </c>
      <c r="R11" s="152">
        <f>Assumptions!AF74</f>
        <v>421.1319337</v>
      </c>
      <c r="S11" s="152">
        <f>Assumptions!AG74</f>
        <v>459.5545724</v>
      </c>
      <c r="T11" s="152">
        <f>Assumptions!AH74</f>
        <v>498.7456638</v>
      </c>
      <c r="U11" s="152">
        <f>Assumptions!AI74</f>
        <v>538.7205771</v>
      </c>
      <c r="V11" s="152">
        <f>Assumptions!AJ74</f>
        <v>579.4949886</v>
      </c>
      <c r="W11" s="152">
        <f>Assumptions!AK74</f>
        <v>619.0848884</v>
      </c>
      <c r="X11" s="152">
        <f>Assumptions!AL74</f>
        <v>659.4665862</v>
      </c>
      <c r="Y11" s="152">
        <f>Assumptions!AM74</f>
        <v>700.6559179</v>
      </c>
      <c r="Z11" s="152">
        <f>Assumptions!AN74</f>
        <v>742.6690363</v>
      </c>
      <c r="AA11" s="152">
        <f>Assumptions!AO74</f>
        <v>785.522417</v>
      </c>
      <c r="AB11" s="152">
        <f>Assumptions!AP74</f>
        <v>829.2328653</v>
      </c>
      <c r="AC11" s="152">
        <f>Assumptions!AQ74</f>
        <v>873.8175226</v>
      </c>
      <c r="AD11" s="152">
        <f>Assumptions!AR74</f>
        <v>919.2938731</v>
      </c>
      <c r="AE11" s="152">
        <f>Assumptions!AS74</f>
        <v>961.6797506</v>
      </c>
      <c r="AF11" s="152">
        <f>Assumptions!AT74</f>
        <v>1004.913346</v>
      </c>
      <c r="AG11" s="152">
        <f>Assumptions!AU74</f>
        <v>1049.011612</v>
      </c>
      <c r="AH11" s="152">
        <f>Assumptions!AV74</f>
        <v>1093.991845</v>
      </c>
      <c r="AI11" s="152">
        <f>Assumptions!AW74</f>
        <v>1138.271682</v>
      </c>
      <c r="AJ11" s="152">
        <f>Assumptions!AX74</f>
        <v>1183.437115</v>
      </c>
      <c r="AK11" s="152">
        <f>Assumptions!AY74</f>
        <v>1229.505858</v>
      </c>
      <c r="AL11" s="152">
        <f>Assumptions!AZ74</f>
        <v>1276.495975</v>
      </c>
      <c r="AM11" s="152">
        <f>Assumptions!BA74</f>
        <v>1324.425894</v>
      </c>
      <c r="AN11" s="152">
        <f>Assumptions!BB74</f>
        <v>1373.314412</v>
      </c>
      <c r="AO11" s="152">
        <f>Assumptions!BC74</f>
        <v>1423.1807</v>
      </c>
      <c r="AP11" s="152">
        <f>Assumptions!BD74</f>
        <v>1474.044314</v>
      </c>
      <c r="AQ11" s="152">
        <f>Assumptions!BE74</f>
        <v>1522.725201</v>
      </c>
      <c r="AR11" s="152">
        <f>Assumptions!BF74</f>
        <v>1572.379705</v>
      </c>
      <c r="AS11" s="152">
        <f>Assumptions!BG74</f>
        <v>1623.027299</v>
      </c>
      <c r="AT11" s="152">
        <f>Assumptions!BH74</f>
        <v>1674.687845</v>
      </c>
      <c r="AU11" s="152">
        <f>Assumptions!BI74</f>
        <v>1726.101602</v>
      </c>
      <c r="AV11" s="152">
        <f>Assumptions!BJ74</f>
        <v>1778.543634</v>
      </c>
      <c r="AW11" s="152">
        <f>Assumptions!BK74</f>
        <v>1832.034506</v>
      </c>
      <c r="AX11" s="152">
        <f>Assumptions!BL74</f>
        <v>1886.595196</v>
      </c>
      <c r="AY11" s="152">
        <f>Assumptions!BM74</f>
        <v>1942.2471</v>
      </c>
      <c r="AZ11" s="152">
        <f>Assumptions!BN74</f>
        <v>1999.012042</v>
      </c>
      <c r="BA11" s="152">
        <f>Assumptions!BO74</f>
        <v>2056.912283</v>
      </c>
      <c r="BB11" s="152">
        <f>Assumptions!BP74</f>
        <v>2115.970529</v>
      </c>
      <c r="BC11" s="152">
        <f>Assumptions!BQ74</f>
        <v>2173.649939</v>
      </c>
      <c r="BD11" s="152">
        <f>Assumptions!BR74</f>
        <v>2232.482938</v>
      </c>
      <c r="BE11" s="152">
        <f>Assumptions!BS74</f>
        <v>2292.492597</v>
      </c>
      <c r="BF11" s="152">
        <f>Assumptions!BT74</f>
        <v>2353.702449</v>
      </c>
      <c r="BG11" s="152">
        <f>Assumptions!BU74</f>
        <v>2415.112498</v>
      </c>
      <c r="BH11" s="152">
        <f>Assumptions!BV74</f>
        <v>2477.750748</v>
      </c>
      <c r="BI11" s="152">
        <f>Assumptions!BW74</f>
        <v>2541.641763</v>
      </c>
      <c r="BJ11" s="152">
        <f>Assumptions!BX74</f>
        <v>2606.810598</v>
      </c>
      <c r="BK11" s="152">
        <f>Assumptions!BY74</f>
        <v>2673.28281</v>
      </c>
      <c r="BL11" s="152">
        <f>Assumptions!BZ74</f>
        <v>2741.084466</v>
      </c>
      <c r="BM11" s="152">
        <f>Assumptions!CA74</f>
        <v>2810.242156</v>
      </c>
      <c r="BN11" s="152" t="str">
        <f>Assumptions!CB74</f>
        <v/>
      </c>
    </row>
    <row r="12" outlineLevel="1">
      <c r="A12" s="152"/>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row>
    <row r="13" outlineLevel="1">
      <c r="A13" s="152"/>
      <c r="B13" s="153" t="s">
        <v>141</v>
      </c>
      <c r="C13" s="154"/>
      <c r="D13" s="154"/>
      <c r="E13" s="154"/>
      <c r="F13" s="154">
        <f>Assumptions!T118</f>
        <v>0</v>
      </c>
      <c r="G13" s="154">
        <f>Assumptions!U118</f>
        <v>166.25</v>
      </c>
      <c r="H13" s="154">
        <f>Assumptions!V118</f>
        <v>335.825</v>
      </c>
      <c r="I13" s="154">
        <f>Assumptions!W118</f>
        <v>508.7915</v>
      </c>
      <c r="J13" s="154">
        <f>Assumptions!X118</f>
        <v>685.21733</v>
      </c>
      <c r="K13" s="154">
        <f>Assumptions!Y118</f>
        <v>994.6716766</v>
      </c>
      <c r="L13" s="154">
        <f>Assumptions!Z118</f>
        <v>1310.31511</v>
      </c>
      <c r="M13" s="154">
        <f>Assumptions!AA118</f>
        <v>1632.271412</v>
      </c>
      <c r="N13" s="154">
        <f>Assumptions!AB118</f>
        <v>1960.666841</v>
      </c>
      <c r="O13" s="154">
        <f>Assumptions!AC118</f>
        <v>2295.630177</v>
      </c>
      <c r="P13" s="154">
        <f>Assumptions!AD118</f>
        <v>2637.292781</v>
      </c>
      <c r="Q13" s="154">
        <f>Assumptions!AE118</f>
        <v>2985.788637</v>
      </c>
      <c r="R13" s="154">
        <f>Assumptions!AF118</f>
        <v>3341.254409</v>
      </c>
      <c r="S13" s="154">
        <f>Assumptions!AG118</f>
        <v>3670.579497</v>
      </c>
      <c r="T13" s="154">
        <f>Assumptions!AH118</f>
        <v>4006.491087</v>
      </c>
      <c r="U13" s="154">
        <f>Assumptions!AI118</f>
        <v>4349.120909</v>
      </c>
      <c r="V13" s="154">
        <f>Assumptions!AJ118</f>
        <v>4698.603327</v>
      </c>
      <c r="W13" s="154">
        <f>Assumptions!AK118</f>
        <v>5029.175394</v>
      </c>
      <c r="X13" s="154">
        <f>Assumptions!AL118</f>
        <v>5366.358902</v>
      </c>
      <c r="Y13" s="154">
        <f>Assumptions!AM118</f>
        <v>5710.28608</v>
      </c>
      <c r="Z13" s="154">
        <f>Assumptions!AN118</f>
        <v>6061.091801</v>
      </c>
      <c r="AA13" s="154">
        <f>Assumptions!AO118</f>
        <v>6418.913637</v>
      </c>
      <c r="AB13" s="154">
        <f>Assumptions!AP118</f>
        <v>6783.89191</v>
      </c>
      <c r="AC13" s="154">
        <f>Assumptions!AQ118</f>
        <v>7156.169748</v>
      </c>
      <c r="AD13" s="154">
        <f>Assumptions!AR118</f>
        <v>7535.893143</v>
      </c>
      <c r="AE13" s="154">
        <f>Assumptions!AS118</f>
        <v>7896.611006</v>
      </c>
      <c r="AF13" s="154">
        <f>Assumptions!AT118</f>
        <v>8264.543226</v>
      </c>
      <c r="AG13" s="154">
        <f>Assumptions!AU118</f>
        <v>8639.834091</v>
      </c>
      <c r="AH13" s="154">
        <f>Assumptions!AV118</f>
        <v>9022.630773</v>
      </c>
      <c r="AI13" s="154">
        <f>Assumptions!AW118</f>
        <v>9392.363388</v>
      </c>
      <c r="AJ13" s="154">
        <f>Assumptions!AX118</f>
        <v>9769.490656</v>
      </c>
      <c r="AK13" s="154">
        <f>Assumptions!AY118</f>
        <v>10154.16047</v>
      </c>
      <c r="AL13" s="154">
        <f>Assumptions!AZ118</f>
        <v>10546.52368</v>
      </c>
      <c r="AM13" s="154">
        <f>Assumptions!BA118</f>
        <v>10946.73415</v>
      </c>
      <c r="AN13" s="154">
        <f>Assumptions!BB118</f>
        <v>11354.94884</v>
      </c>
      <c r="AO13" s="154">
        <f>Assumptions!BC118</f>
        <v>11771.32781</v>
      </c>
      <c r="AP13" s="154">
        <f>Assumptions!BD118</f>
        <v>12196.03437</v>
      </c>
      <c r="AQ13" s="154">
        <f>Assumptions!BE118</f>
        <v>12607.95506</v>
      </c>
      <c r="AR13" s="154">
        <f>Assumptions!BF118</f>
        <v>13028.11416</v>
      </c>
      <c r="AS13" s="154">
        <f>Assumptions!BG118</f>
        <v>13456.67644</v>
      </c>
      <c r="AT13" s="154">
        <f>Assumptions!BH118</f>
        <v>13893.80997</v>
      </c>
      <c r="AU13" s="154">
        <f>Assumptions!BI118</f>
        <v>14323.11017</v>
      </c>
      <c r="AV13" s="154">
        <f>Assumptions!BJ118</f>
        <v>14760.99637</v>
      </c>
      <c r="AW13" s="154">
        <f>Assumptions!BK118</f>
        <v>15207.6403</v>
      </c>
      <c r="AX13" s="154">
        <f>Assumptions!BL118</f>
        <v>15663.2171</v>
      </c>
      <c r="AY13" s="154">
        <f>Assumptions!BM118</f>
        <v>16127.90545</v>
      </c>
      <c r="AZ13" s="154">
        <f>Assumptions!BN118</f>
        <v>16601.88756</v>
      </c>
      <c r="BA13" s="154">
        <f>Assumptions!BO118</f>
        <v>17085.34931</v>
      </c>
      <c r="BB13" s="154">
        <f>Assumptions!BP118</f>
        <v>17578.48029</v>
      </c>
      <c r="BC13" s="154">
        <f>Assumptions!BQ118</f>
        <v>18064.4499</v>
      </c>
      <c r="BD13" s="154">
        <f>Assumptions!BR118</f>
        <v>18560.1389</v>
      </c>
      <c r="BE13" s="154">
        <f>Assumptions!BS118</f>
        <v>19065.74167</v>
      </c>
      <c r="BF13" s="154">
        <f>Assumptions!BT118</f>
        <v>19581.45651</v>
      </c>
      <c r="BG13" s="154">
        <f>Assumptions!BU118</f>
        <v>20094.22484</v>
      </c>
      <c r="BH13" s="154">
        <f>Assumptions!BV118</f>
        <v>20617.24853</v>
      </c>
      <c r="BI13" s="154">
        <f>Assumptions!BW118</f>
        <v>21150.73271</v>
      </c>
      <c r="BJ13" s="154">
        <f>Assumptions!BX118</f>
        <v>21694.88656</v>
      </c>
      <c r="BK13" s="154">
        <f>Assumptions!BY118</f>
        <v>22249.92349</v>
      </c>
      <c r="BL13" s="154">
        <f>Assumptions!BZ118</f>
        <v>22816.06116</v>
      </c>
      <c r="BM13" s="154">
        <f>Assumptions!CA118</f>
        <v>23393.52158</v>
      </c>
      <c r="BN13" s="152" t="str">
        <f>Assumptions!CB118</f>
        <v/>
      </c>
    </row>
    <row r="14" outlineLevel="1">
      <c r="A14" s="152"/>
      <c r="B14" s="152"/>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c r="BN14" s="152"/>
    </row>
    <row r="15" outlineLevel="1">
      <c r="A15" s="152"/>
      <c r="B15" s="155" t="s">
        <v>142</v>
      </c>
      <c r="C15" s="156"/>
      <c r="D15" s="156"/>
      <c r="E15" s="156"/>
      <c r="F15" s="157">
        <f t="shared" ref="F15:BM15" si="6">F8-F13</f>
        <v>0</v>
      </c>
      <c r="G15" s="157">
        <f t="shared" si="6"/>
        <v>308.75</v>
      </c>
      <c r="H15" s="157">
        <f t="shared" si="6"/>
        <v>623.675</v>
      </c>
      <c r="I15" s="157">
        <f t="shared" si="6"/>
        <v>944.8985</v>
      </c>
      <c r="J15" s="157">
        <f t="shared" si="6"/>
        <v>1272.54647</v>
      </c>
      <c r="K15" s="157">
        <f t="shared" si="6"/>
        <v>1847.247399</v>
      </c>
      <c r="L15" s="157">
        <f t="shared" si="6"/>
        <v>2433.442347</v>
      </c>
      <c r="M15" s="157">
        <f t="shared" si="6"/>
        <v>3031.361194</v>
      </c>
      <c r="N15" s="157">
        <f t="shared" si="6"/>
        <v>3641.238418</v>
      </c>
      <c r="O15" s="157">
        <f t="shared" si="6"/>
        <v>4263.313187</v>
      </c>
      <c r="P15" s="157">
        <f t="shared" si="6"/>
        <v>4897.82945</v>
      </c>
      <c r="Q15" s="157">
        <f t="shared" si="6"/>
        <v>5545.036039</v>
      </c>
      <c r="R15" s="157">
        <f t="shared" si="6"/>
        <v>6205.18676</v>
      </c>
      <c r="S15" s="157">
        <f t="shared" si="6"/>
        <v>6816.790495</v>
      </c>
      <c r="T15" s="157">
        <f t="shared" si="6"/>
        <v>7440.626305</v>
      </c>
      <c r="U15" s="157">
        <f t="shared" si="6"/>
        <v>8076.938831</v>
      </c>
      <c r="V15" s="157">
        <f t="shared" si="6"/>
        <v>8725.977608</v>
      </c>
      <c r="W15" s="157">
        <f t="shared" si="6"/>
        <v>9339.89716</v>
      </c>
      <c r="X15" s="157">
        <f t="shared" si="6"/>
        <v>9966.095103</v>
      </c>
      <c r="Y15" s="157">
        <f t="shared" si="6"/>
        <v>10604.81701</v>
      </c>
      <c r="Z15" s="157">
        <f t="shared" si="6"/>
        <v>11256.31335</v>
      </c>
      <c r="AA15" s="157">
        <f t="shared" si="6"/>
        <v>11920.83961</v>
      </c>
      <c r="AB15" s="157">
        <f t="shared" si="6"/>
        <v>12598.6564</v>
      </c>
      <c r="AC15" s="157">
        <f t="shared" si="6"/>
        <v>13290.02953</v>
      </c>
      <c r="AD15" s="157">
        <f t="shared" si="6"/>
        <v>13995.23012</v>
      </c>
      <c r="AE15" s="157">
        <f t="shared" si="6"/>
        <v>14665.13473</v>
      </c>
      <c r="AF15" s="157">
        <f t="shared" si="6"/>
        <v>15348.43742</v>
      </c>
      <c r="AG15" s="157">
        <f t="shared" si="6"/>
        <v>16045.40617</v>
      </c>
      <c r="AH15" s="157">
        <f t="shared" si="6"/>
        <v>16756.31429</v>
      </c>
      <c r="AI15" s="157">
        <f t="shared" si="6"/>
        <v>17442.96058</v>
      </c>
      <c r="AJ15" s="157">
        <f t="shared" si="6"/>
        <v>18143.33979</v>
      </c>
      <c r="AK15" s="157">
        <f t="shared" si="6"/>
        <v>18857.72659</v>
      </c>
      <c r="AL15" s="157">
        <f t="shared" si="6"/>
        <v>19586.40112</v>
      </c>
      <c r="AM15" s="157">
        <f t="shared" si="6"/>
        <v>20329.64914</v>
      </c>
      <c r="AN15" s="157">
        <f t="shared" si="6"/>
        <v>21087.76212</v>
      </c>
      <c r="AO15" s="157">
        <f t="shared" si="6"/>
        <v>21861.03736</v>
      </c>
      <c r="AP15" s="157">
        <f t="shared" si="6"/>
        <v>22649.77811</v>
      </c>
      <c r="AQ15" s="157">
        <f t="shared" si="6"/>
        <v>23414.77367</v>
      </c>
      <c r="AR15" s="157">
        <f t="shared" si="6"/>
        <v>24195.06915</v>
      </c>
      <c r="AS15" s="157">
        <f t="shared" si="6"/>
        <v>24990.97053</v>
      </c>
      <c r="AT15" s="157">
        <f t="shared" si="6"/>
        <v>25802.78994</v>
      </c>
      <c r="AU15" s="157">
        <f t="shared" si="6"/>
        <v>26600.06174</v>
      </c>
      <c r="AV15" s="157">
        <f t="shared" si="6"/>
        <v>27413.27897</v>
      </c>
      <c r="AW15" s="157">
        <f t="shared" si="6"/>
        <v>28242.76055</v>
      </c>
      <c r="AX15" s="157">
        <f t="shared" si="6"/>
        <v>29088.83177</v>
      </c>
      <c r="AY15" s="157">
        <f t="shared" si="6"/>
        <v>29951.8244</v>
      </c>
      <c r="AZ15" s="157">
        <f t="shared" si="6"/>
        <v>30832.07689</v>
      </c>
      <c r="BA15" s="157">
        <f t="shared" si="6"/>
        <v>31729.93443</v>
      </c>
      <c r="BB15" s="157">
        <f t="shared" si="6"/>
        <v>32645.74912</v>
      </c>
      <c r="BC15" s="157">
        <f t="shared" si="6"/>
        <v>33548.2641</v>
      </c>
      <c r="BD15" s="157">
        <f t="shared" si="6"/>
        <v>34468.82938</v>
      </c>
      <c r="BE15" s="157">
        <f t="shared" si="6"/>
        <v>35407.80597</v>
      </c>
      <c r="BF15" s="157">
        <f t="shared" si="6"/>
        <v>36365.56209</v>
      </c>
      <c r="BG15" s="157">
        <f t="shared" si="6"/>
        <v>37317.84613</v>
      </c>
      <c r="BH15" s="157">
        <f t="shared" si="6"/>
        <v>38289.17585</v>
      </c>
      <c r="BI15" s="157">
        <f t="shared" si="6"/>
        <v>39279.93217</v>
      </c>
      <c r="BJ15" s="157">
        <f t="shared" si="6"/>
        <v>40290.50361</v>
      </c>
      <c r="BK15" s="157">
        <f t="shared" si="6"/>
        <v>41321.28648</v>
      </c>
      <c r="BL15" s="157">
        <f t="shared" si="6"/>
        <v>42372.68501</v>
      </c>
      <c r="BM15" s="157">
        <f t="shared" si="6"/>
        <v>43445.11151</v>
      </c>
      <c r="BN15" s="152"/>
    </row>
    <row r="16" outlineLevel="1">
      <c r="A16" s="158"/>
      <c r="B16" s="159" t="s">
        <v>143</v>
      </c>
      <c r="C16" s="158"/>
      <c r="D16" s="158"/>
      <c r="E16" s="158"/>
      <c r="F16" s="160" t="str">
        <f t="shared" ref="F16:BM16" si="7">F15/F8</f>
        <v>#DIV/0!</v>
      </c>
      <c r="G16" s="160">
        <f t="shared" si="7"/>
        <v>0.65</v>
      </c>
      <c r="H16" s="160">
        <f t="shared" si="7"/>
        <v>0.65</v>
      </c>
      <c r="I16" s="160">
        <f t="shared" si="7"/>
        <v>0.65</v>
      </c>
      <c r="J16" s="160">
        <f t="shared" si="7"/>
        <v>0.65</v>
      </c>
      <c r="K16" s="160">
        <f t="shared" si="7"/>
        <v>0.65</v>
      </c>
      <c r="L16" s="160">
        <f t="shared" si="7"/>
        <v>0.65</v>
      </c>
      <c r="M16" s="160">
        <f t="shared" si="7"/>
        <v>0.65</v>
      </c>
      <c r="N16" s="160">
        <f t="shared" si="7"/>
        <v>0.65</v>
      </c>
      <c r="O16" s="160">
        <f t="shared" si="7"/>
        <v>0.65</v>
      </c>
      <c r="P16" s="160">
        <f t="shared" si="7"/>
        <v>0.65</v>
      </c>
      <c r="Q16" s="160">
        <f t="shared" si="7"/>
        <v>0.65</v>
      </c>
      <c r="R16" s="160">
        <f t="shared" si="7"/>
        <v>0.65</v>
      </c>
      <c r="S16" s="160">
        <f t="shared" si="7"/>
        <v>0.65</v>
      </c>
      <c r="T16" s="160">
        <f t="shared" si="7"/>
        <v>0.65</v>
      </c>
      <c r="U16" s="160">
        <f t="shared" si="7"/>
        <v>0.65</v>
      </c>
      <c r="V16" s="160">
        <f t="shared" si="7"/>
        <v>0.65</v>
      </c>
      <c r="W16" s="160">
        <f t="shared" si="7"/>
        <v>0.65</v>
      </c>
      <c r="X16" s="160">
        <f t="shared" si="7"/>
        <v>0.65</v>
      </c>
      <c r="Y16" s="160">
        <f t="shared" si="7"/>
        <v>0.65</v>
      </c>
      <c r="Z16" s="160">
        <f t="shared" si="7"/>
        <v>0.65</v>
      </c>
      <c r="AA16" s="160">
        <f t="shared" si="7"/>
        <v>0.65</v>
      </c>
      <c r="AB16" s="160">
        <f t="shared" si="7"/>
        <v>0.65</v>
      </c>
      <c r="AC16" s="160">
        <f t="shared" si="7"/>
        <v>0.65</v>
      </c>
      <c r="AD16" s="160">
        <f t="shared" si="7"/>
        <v>0.65</v>
      </c>
      <c r="AE16" s="160">
        <f t="shared" si="7"/>
        <v>0.65</v>
      </c>
      <c r="AF16" s="160">
        <f t="shared" si="7"/>
        <v>0.65</v>
      </c>
      <c r="AG16" s="160">
        <f t="shared" si="7"/>
        <v>0.65</v>
      </c>
      <c r="AH16" s="160">
        <f t="shared" si="7"/>
        <v>0.65</v>
      </c>
      <c r="AI16" s="160">
        <f t="shared" si="7"/>
        <v>0.65</v>
      </c>
      <c r="AJ16" s="160">
        <f t="shared" si="7"/>
        <v>0.65</v>
      </c>
      <c r="AK16" s="160">
        <f t="shared" si="7"/>
        <v>0.65</v>
      </c>
      <c r="AL16" s="160">
        <f t="shared" si="7"/>
        <v>0.65</v>
      </c>
      <c r="AM16" s="160">
        <f t="shared" si="7"/>
        <v>0.65</v>
      </c>
      <c r="AN16" s="160">
        <f t="shared" si="7"/>
        <v>0.65</v>
      </c>
      <c r="AO16" s="160">
        <f t="shared" si="7"/>
        <v>0.65</v>
      </c>
      <c r="AP16" s="160">
        <f t="shared" si="7"/>
        <v>0.65</v>
      </c>
      <c r="AQ16" s="160">
        <f t="shared" si="7"/>
        <v>0.65</v>
      </c>
      <c r="AR16" s="160">
        <f t="shared" si="7"/>
        <v>0.65</v>
      </c>
      <c r="AS16" s="160">
        <f t="shared" si="7"/>
        <v>0.65</v>
      </c>
      <c r="AT16" s="160">
        <f t="shared" si="7"/>
        <v>0.65</v>
      </c>
      <c r="AU16" s="160">
        <f t="shared" si="7"/>
        <v>0.65</v>
      </c>
      <c r="AV16" s="160">
        <f t="shared" si="7"/>
        <v>0.65</v>
      </c>
      <c r="AW16" s="160">
        <f t="shared" si="7"/>
        <v>0.65</v>
      </c>
      <c r="AX16" s="160">
        <f t="shared" si="7"/>
        <v>0.65</v>
      </c>
      <c r="AY16" s="160">
        <f t="shared" si="7"/>
        <v>0.65</v>
      </c>
      <c r="AZ16" s="160">
        <f t="shared" si="7"/>
        <v>0.65</v>
      </c>
      <c r="BA16" s="160">
        <f t="shared" si="7"/>
        <v>0.65</v>
      </c>
      <c r="BB16" s="160">
        <f t="shared" si="7"/>
        <v>0.65</v>
      </c>
      <c r="BC16" s="160">
        <f t="shared" si="7"/>
        <v>0.65</v>
      </c>
      <c r="BD16" s="160">
        <f t="shared" si="7"/>
        <v>0.65</v>
      </c>
      <c r="BE16" s="160">
        <f t="shared" si="7"/>
        <v>0.65</v>
      </c>
      <c r="BF16" s="160">
        <f t="shared" si="7"/>
        <v>0.65</v>
      </c>
      <c r="BG16" s="160">
        <f t="shared" si="7"/>
        <v>0.65</v>
      </c>
      <c r="BH16" s="160">
        <f t="shared" si="7"/>
        <v>0.65</v>
      </c>
      <c r="BI16" s="160">
        <f t="shared" si="7"/>
        <v>0.65</v>
      </c>
      <c r="BJ16" s="160">
        <f t="shared" si="7"/>
        <v>0.65</v>
      </c>
      <c r="BK16" s="160">
        <f t="shared" si="7"/>
        <v>0.65</v>
      </c>
      <c r="BL16" s="160">
        <f t="shared" si="7"/>
        <v>0.65</v>
      </c>
      <c r="BM16" s="160">
        <f t="shared" si="7"/>
        <v>0.65</v>
      </c>
      <c r="BN16" s="158"/>
    </row>
    <row r="17" outlineLevel="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row>
    <row r="18" outlineLevel="1">
      <c r="A18" s="152"/>
      <c r="B18" s="161" t="s">
        <v>144</v>
      </c>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c r="BM18" s="152"/>
      <c r="BN18" s="152"/>
    </row>
    <row r="19" outlineLevel="1">
      <c r="A19" s="152"/>
      <c r="B19" s="162" t="s">
        <v>145</v>
      </c>
      <c r="C19" s="152"/>
      <c r="D19" s="152"/>
      <c r="E19" s="152"/>
      <c r="F19" s="152">
        <f>SUM(Assumptions!T81:T105)</f>
        <v>0</v>
      </c>
      <c r="G19" s="152">
        <f>SUM(Assumptions!U81:U105)</f>
        <v>0</v>
      </c>
      <c r="H19" s="152">
        <f>SUM(Assumptions!V81:V105)</f>
        <v>0</v>
      </c>
      <c r="I19" s="152">
        <f>SUM(Assumptions!W81:W105)</f>
        <v>0</v>
      </c>
      <c r="J19" s="152">
        <f>SUM(Assumptions!X81:X105)</f>
        <v>0</v>
      </c>
      <c r="K19" s="152">
        <f>SUM(Assumptions!Y81:Y105)</f>
        <v>8000</v>
      </c>
      <c r="L19" s="152">
        <f>SUM(Assumptions!Z81:Z105)</f>
        <v>8000</v>
      </c>
      <c r="M19" s="152">
        <f>SUM(Assumptions!AA81:AA105)</f>
        <v>8000</v>
      </c>
      <c r="N19" s="152">
        <f>SUM(Assumptions!AB81:AB105)</f>
        <v>8000</v>
      </c>
      <c r="O19" s="152">
        <f>SUM(Assumptions!AC81:AC105)</f>
        <v>8000</v>
      </c>
      <c r="P19" s="152">
        <f>SUM(Assumptions!AD81:AD105)</f>
        <v>8000</v>
      </c>
      <c r="Q19" s="152">
        <f>SUM(Assumptions!AE81:AE105)</f>
        <v>8000</v>
      </c>
      <c r="R19" s="152">
        <f>SUM(Assumptions!AF81:AF105)</f>
        <v>8000</v>
      </c>
      <c r="S19" s="152">
        <f>SUM(Assumptions!AG81:AG105)</f>
        <v>8000</v>
      </c>
      <c r="T19" s="152">
        <f>SUM(Assumptions!AH81:AH105)</f>
        <v>8000</v>
      </c>
      <c r="U19" s="152">
        <f>SUM(Assumptions!AI81:AI105)</f>
        <v>8000</v>
      </c>
      <c r="V19" s="152">
        <f>SUM(Assumptions!AJ81:AJ105)</f>
        <v>8000</v>
      </c>
      <c r="W19" s="152">
        <f>SUM(Assumptions!AK81:AK105)</f>
        <v>8000</v>
      </c>
      <c r="X19" s="152">
        <f>SUM(Assumptions!AL81:AL105)</f>
        <v>8000</v>
      </c>
      <c r="Y19" s="152">
        <f>SUM(Assumptions!AM81:AM105)</f>
        <v>8000</v>
      </c>
      <c r="Z19" s="152">
        <f>SUM(Assumptions!AN81:AN105)</f>
        <v>8000</v>
      </c>
      <c r="AA19" s="152">
        <f>SUM(Assumptions!AO81:AO105)</f>
        <v>8000</v>
      </c>
      <c r="AB19" s="152">
        <f>SUM(Assumptions!AP81:AP105)</f>
        <v>8000</v>
      </c>
      <c r="AC19" s="152">
        <f>SUM(Assumptions!AQ81:AQ105)</f>
        <v>8000</v>
      </c>
      <c r="AD19" s="152">
        <f>SUM(Assumptions!AR81:AR105)</f>
        <v>8000</v>
      </c>
      <c r="AE19" s="152">
        <f>SUM(Assumptions!AS81:AS105)</f>
        <v>8000</v>
      </c>
      <c r="AF19" s="152">
        <f>SUM(Assumptions!AT81:AT105)</f>
        <v>8000</v>
      </c>
      <c r="AG19" s="152">
        <f>SUM(Assumptions!AU81:AU105)</f>
        <v>8000</v>
      </c>
      <c r="AH19" s="152">
        <f>SUM(Assumptions!AV81:AV105)</f>
        <v>8000</v>
      </c>
      <c r="AI19" s="152">
        <f>SUM(Assumptions!AW81:AW105)</f>
        <v>8000</v>
      </c>
      <c r="AJ19" s="152">
        <f>SUM(Assumptions!AX81:AX105)</f>
        <v>8000</v>
      </c>
      <c r="AK19" s="152">
        <f>SUM(Assumptions!AY81:AY105)</f>
        <v>8000</v>
      </c>
      <c r="AL19" s="152">
        <f>SUM(Assumptions!AZ81:AZ105)</f>
        <v>8000</v>
      </c>
      <c r="AM19" s="152">
        <f>SUM(Assumptions!BA81:BA105)</f>
        <v>8000</v>
      </c>
      <c r="AN19" s="152">
        <f>SUM(Assumptions!BB81:BB105)</f>
        <v>8000</v>
      </c>
      <c r="AO19" s="152">
        <f>SUM(Assumptions!BC81:BC105)</f>
        <v>8000</v>
      </c>
      <c r="AP19" s="152">
        <f>SUM(Assumptions!BD81:BD105)</f>
        <v>8000</v>
      </c>
      <c r="AQ19" s="152">
        <f>SUM(Assumptions!BE81:BE105)</f>
        <v>8000</v>
      </c>
      <c r="AR19" s="152">
        <f>SUM(Assumptions!BF81:BF105)</f>
        <v>8000</v>
      </c>
      <c r="AS19" s="152">
        <f>SUM(Assumptions!BG81:BG105)</f>
        <v>8000</v>
      </c>
      <c r="AT19" s="152">
        <f>SUM(Assumptions!BH81:BH105)</f>
        <v>8000</v>
      </c>
      <c r="AU19" s="152">
        <f>SUM(Assumptions!BI81:BI105)</f>
        <v>8000</v>
      </c>
      <c r="AV19" s="152">
        <f>SUM(Assumptions!BJ81:BJ105)</f>
        <v>8000</v>
      </c>
      <c r="AW19" s="152">
        <f>SUM(Assumptions!BK81:BK105)</f>
        <v>8000</v>
      </c>
      <c r="AX19" s="152">
        <f>SUM(Assumptions!BL81:BL105)</f>
        <v>8000</v>
      </c>
      <c r="AY19" s="152">
        <f>SUM(Assumptions!BM81:BM105)</f>
        <v>8000</v>
      </c>
      <c r="AZ19" s="152">
        <f>SUM(Assumptions!BN81:BN105)</f>
        <v>8000</v>
      </c>
      <c r="BA19" s="152">
        <f>SUM(Assumptions!BO81:BO105)</f>
        <v>8000</v>
      </c>
      <c r="BB19" s="152">
        <f>SUM(Assumptions!BP81:BP105)</f>
        <v>8000</v>
      </c>
      <c r="BC19" s="152">
        <f>SUM(Assumptions!BQ81:BQ105)</f>
        <v>8000</v>
      </c>
      <c r="BD19" s="152">
        <f>SUM(Assumptions!BR81:BR105)</f>
        <v>8000</v>
      </c>
      <c r="BE19" s="152">
        <f>SUM(Assumptions!BS81:BS105)</f>
        <v>8000</v>
      </c>
      <c r="BF19" s="152">
        <f>SUM(Assumptions!BT81:BT105)</f>
        <v>8000</v>
      </c>
      <c r="BG19" s="152">
        <f>SUM(Assumptions!BU81:BU105)</f>
        <v>8000</v>
      </c>
      <c r="BH19" s="152">
        <f>SUM(Assumptions!BV81:BV105)</f>
        <v>8000</v>
      </c>
      <c r="BI19" s="152">
        <f>SUM(Assumptions!BW81:BW105)</f>
        <v>8000</v>
      </c>
      <c r="BJ19" s="152">
        <f>SUM(Assumptions!BX81:BX105)</f>
        <v>8000</v>
      </c>
      <c r="BK19" s="152">
        <f>SUM(Assumptions!BY81:BY105)</f>
        <v>8000</v>
      </c>
      <c r="BL19" s="152">
        <f>SUM(Assumptions!BZ81:BZ105)</f>
        <v>8000</v>
      </c>
      <c r="BM19" s="152">
        <f>SUM(Assumptions!CA81:CA105)</f>
        <v>8000</v>
      </c>
      <c r="BN19" s="152"/>
    </row>
    <row r="20" outlineLevel="1">
      <c r="A20" s="152"/>
      <c r="B20" s="152" t="str">
        <f>Assumptions!B120</f>
        <v>General &amp; Admin</v>
      </c>
      <c r="C20" s="152"/>
      <c r="D20" s="152"/>
      <c r="E20" s="152"/>
      <c r="F20" s="152">
        <f>sum(Assumptions!T121:T128)</f>
        <v>20000</v>
      </c>
      <c r="G20" s="152">
        <f>sum(Assumptions!U121:U128)</f>
        <v>20000</v>
      </c>
      <c r="H20" s="152">
        <f>sum(Assumptions!V121:V128)</f>
        <v>20000</v>
      </c>
      <c r="I20" s="152">
        <f>sum(Assumptions!W121:W128)</f>
        <v>20000</v>
      </c>
      <c r="J20" s="152">
        <f>sum(Assumptions!X121:X128)</f>
        <v>20000</v>
      </c>
      <c r="K20" s="152">
        <f>sum(Assumptions!Y121:Y128)</f>
        <v>20000</v>
      </c>
      <c r="L20" s="152">
        <f>sum(Assumptions!Z121:Z128)</f>
        <v>20000</v>
      </c>
      <c r="M20" s="152">
        <f>sum(Assumptions!AA121:AA128)</f>
        <v>20000</v>
      </c>
      <c r="N20" s="152">
        <f>sum(Assumptions!AB121:AB128)</f>
        <v>20000</v>
      </c>
      <c r="O20" s="152">
        <f>sum(Assumptions!AC121:AC128)</f>
        <v>20000</v>
      </c>
      <c r="P20" s="152">
        <f>sum(Assumptions!AD121:AD128)</f>
        <v>20000</v>
      </c>
      <c r="Q20" s="152">
        <f>sum(Assumptions!AE121:AE128)</f>
        <v>20000</v>
      </c>
      <c r="R20" s="152">
        <f>sum(Assumptions!AF121:AF128)</f>
        <v>20000</v>
      </c>
      <c r="S20" s="152">
        <f>sum(Assumptions!AG121:AG128)</f>
        <v>20000</v>
      </c>
      <c r="T20" s="152">
        <f>sum(Assumptions!AH121:AH128)</f>
        <v>20000</v>
      </c>
      <c r="U20" s="152">
        <f>sum(Assumptions!AI121:AI128)</f>
        <v>20000</v>
      </c>
      <c r="V20" s="152">
        <f>sum(Assumptions!AJ121:AJ128)</f>
        <v>20000</v>
      </c>
      <c r="W20" s="152">
        <f>sum(Assumptions!AK121:AK128)</f>
        <v>20000</v>
      </c>
      <c r="X20" s="152">
        <f>sum(Assumptions!AL121:AL128)</f>
        <v>20000</v>
      </c>
      <c r="Y20" s="152">
        <f>sum(Assumptions!AM121:AM128)</f>
        <v>20000</v>
      </c>
      <c r="Z20" s="152">
        <f>sum(Assumptions!AN121:AN128)</f>
        <v>20000</v>
      </c>
      <c r="AA20" s="152">
        <f>sum(Assumptions!AO121:AO128)</f>
        <v>20000</v>
      </c>
      <c r="AB20" s="152">
        <f>sum(Assumptions!AP121:AP128)</f>
        <v>20000</v>
      </c>
      <c r="AC20" s="152">
        <f>sum(Assumptions!AQ121:AQ128)</f>
        <v>20000</v>
      </c>
      <c r="AD20" s="152">
        <f>sum(Assumptions!AR121:AR128)</f>
        <v>20000</v>
      </c>
      <c r="AE20" s="152">
        <f>sum(Assumptions!AS121:AS128)</f>
        <v>20000</v>
      </c>
      <c r="AF20" s="152">
        <f>sum(Assumptions!AT121:AT128)</f>
        <v>20000</v>
      </c>
      <c r="AG20" s="152">
        <f>sum(Assumptions!AU121:AU128)</f>
        <v>20000</v>
      </c>
      <c r="AH20" s="152">
        <f>sum(Assumptions!AV121:AV128)</f>
        <v>20000</v>
      </c>
      <c r="AI20" s="152">
        <f>sum(Assumptions!AW121:AW128)</f>
        <v>20000</v>
      </c>
      <c r="AJ20" s="152">
        <f>sum(Assumptions!AX121:AX128)</f>
        <v>20000</v>
      </c>
      <c r="AK20" s="152">
        <f>sum(Assumptions!AY121:AY128)</f>
        <v>20000</v>
      </c>
      <c r="AL20" s="152">
        <f>sum(Assumptions!AZ121:AZ128)</f>
        <v>20000</v>
      </c>
      <c r="AM20" s="152">
        <f>sum(Assumptions!BA121:BA128)</f>
        <v>20000</v>
      </c>
      <c r="AN20" s="152">
        <f>sum(Assumptions!BB121:BB128)</f>
        <v>20000</v>
      </c>
      <c r="AO20" s="152">
        <f>sum(Assumptions!BC121:BC128)</f>
        <v>20000</v>
      </c>
      <c r="AP20" s="152">
        <f>sum(Assumptions!BD121:BD128)</f>
        <v>20000</v>
      </c>
      <c r="AQ20" s="152">
        <f>sum(Assumptions!BE121:BE128)</f>
        <v>20000</v>
      </c>
      <c r="AR20" s="152">
        <f>sum(Assumptions!BF121:BF128)</f>
        <v>20000</v>
      </c>
      <c r="AS20" s="152">
        <f>sum(Assumptions!BG121:BG128)</f>
        <v>20000</v>
      </c>
      <c r="AT20" s="152">
        <f>sum(Assumptions!BH121:BH128)</f>
        <v>20000</v>
      </c>
      <c r="AU20" s="152">
        <f>sum(Assumptions!BI121:BI128)</f>
        <v>20000</v>
      </c>
      <c r="AV20" s="152">
        <f>sum(Assumptions!BJ121:BJ128)</f>
        <v>20000</v>
      </c>
      <c r="AW20" s="152">
        <f>sum(Assumptions!BK121:BK128)</f>
        <v>20000</v>
      </c>
      <c r="AX20" s="152">
        <f>sum(Assumptions!BL121:BL128)</f>
        <v>20000</v>
      </c>
      <c r="AY20" s="152">
        <f>sum(Assumptions!BM121:BM128)</f>
        <v>20000</v>
      </c>
      <c r="AZ20" s="152">
        <f>sum(Assumptions!BN121:BN128)</f>
        <v>20000</v>
      </c>
      <c r="BA20" s="152">
        <f>sum(Assumptions!BO121:BO128)</f>
        <v>20000</v>
      </c>
      <c r="BB20" s="152">
        <f>sum(Assumptions!BP121:BP128)</f>
        <v>20000</v>
      </c>
      <c r="BC20" s="152">
        <f>sum(Assumptions!BQ121:BQ128)</f>
        <v>20000</v>
      </c>
      <c r="BD20" s="152">
        <f>sum(Assumptions!BR121:BR128)</f>
        <v>20000</v>
      </c>
      <c r="BE20" s="152">
        <f>sum(Assumptions!BS121:BS128)</f>
        <v>20000</v>
      </c>
      <c r="BF20" s="152">
        <f>sum(Assumptions!BT121:BT128)</f>
        <v>20000</v>
      </c>
      <c r="BG20" s="152">
        <f>sum(Assumptions!BU121:BU128)</f>
        <v>20000</v>
      </c>
      <c r="BH20" s="152">
        <f>sum(Assumptions!BV121:BV128)</f>
        <v>20000</v>
      </c>
      <c r="BI20" s="152">
        <f>sum(Assumptions!BW121:BW128)</f>
        <v>20000</v>
      </c>
      <c r="BJ20" s="152">
        <f>sum(Assumptions!BX121:BX128)</f>
        <v>20000</v>
      </c>
      <c r="BK20" s="152">
        <f>sum(Assumptions!BY121:BY128)</f>
        <v>20000</v>
      </c>
      <c r="BL20" s="152">
        <f>sum(Assumptions!BZ121:BZ128)</f>
        <v>20000</v>
      </c>
      <c r="BM20" s="152">
        <f>sum(Assumptions!CA121:CA128)</f>
        <v>20000</v>
      </c>
      <c r="BN20" s="152"/>
    </row>
    <row r="21" outlineLevel="1">
      <c r="A21" s="152"/>
      <c r="B21" s="162" t="str">
        <f>Assumptions!B131</f>
        <v>Sales &amp; Marketing</v>
      </c>
      <c r="C21" s="152"/>
      <c r="D21" s="152"/>
      <c r="E21" s="152"/>
      <c r="F21" s="152">
        <f>sum(Assumptions!T132:T133)</f>
        <v>10000</v>
      </c>
      <c r="G21" s="152">
        <f>sum(Assumptions!U132:U133)</f>
        <v>10038</v>
      </c>
      <c r="H21" s="152">
        <f>sum(Assumptions!V132:V133)</f>
        <v>10076.76</v>
      </c>
      <c r="I21" s="152">
        <f>sum(Assumptions!W132:W133)</f>
        <v>10116.2952</v>
      </c>
      <c r="J21" s="152">
        <f>sum(Assumptions!X132:X133)</f>
        <v>10156.6211</v>
      </c>
      <c r="K21" s="152">
        <f>sum(Assumptions!Y132:Y133)</f>
        <v>10227.35353</v>
      </c>
      <c r="L21" s="152">
        <f>sum(Assumptions!Z132:Z133)</f>
        <v>10299.5006</v>
      </c>
      <c r="M21" s="152">
        <f>sum(Assumptions!AA132:AA133)</f>
        <v>10373.09061</v>
      </c>
      <c r="N21" s="152">
        <f>sum(Assumptions!AB132:AB133)</f>
        <v>10448.15242</v>
      </c>
      <c r="O21" s="152">
        <f>sum(Assumptions!AC132:AC133)</f>
        <v>10524.71547</v>
      </c>
      <c r="P21" s="152">
        <f>sum(Assumptions!AD132:AD133)</f>
        <v>10602.80978</v>
      </c>
      <c r="Q21" s="152">
        <f>sum(Assumptions!AE132:AE133)</f>
        <v>10682.46597</v>
      </c>
      <c r="R21" s="152">
        <f>sum(Assumptions!AF132:AF133)</f>
        <v>10763.71529</v>
      </c>
      <c r="S21" s="152">
        <f>sum(Assumptions!AG132:AG133)</f>
        <v>10838.9896</v>
      </c>
      <c r="T21" s="152">
        <f>sum(Assumptions!AH132:AH133)</f>
        <v>10915.76939</v>
      </c>
      <c r="U21" s="152">
        <f>sum(Assumptions!AI132:AI133)</f>
        <v>10994.08478</v>
      </c>
      <c r="V21" s="152">
        <f>sum(Assumptions!AJ132:AJ133)</f>
        <v>11073.96647</v>
      </c>
      <c r="W21" s="152">
        <f>sum(Assumptions!AK132:AK133)</f>
        <v>11149.5258</v>
      </c>
      <c r="X21" s="152">
        <f>sum(Assumptions!AL132:AL133)</f>
        <v>11226.59632</v>
      </c>
      <c r="Y21" s="152">
        <f>sum(Assumptions!AM132:AM133)</f>
        <v>11305.20825</v>
      </c>
      <c r="Z21" s="152">
        <f>sum(Assumptions!AN132:AN133)</f>
        <v>11385.39241</v>
      </c>
      <c r="AA21" s="152">
        <f>sum(Assumptions!AO132:AO133)</f>
        <v>11467.18026</v>
      </c>
      <c r="AB21" s="152">
        <f>sum(Assumptions!AP132:AP133)</f>
        <v>11550.60387</v>
      </c>
      <c r="AC21" s="152">
        <f>sum(Assumptions!AQ132:AQ133)</f>
        <v>11635.69594</v>
      </c>
      <c r="AD21" s="152">
        <f>sum(Assumptions!AR132:AR133)</f>
        <v>11722.48986</v>
      </c>
      <c r="AE21" s="152">
        <f>sum(Assumptions!AS132:AS133)</f>
        <v>11804.93966</v>
      </c>
      <c r="AF21" s="152">
        <f>sum(Assumptions!AT132:AT133)</f>
        <v>11889.03845</v>
      </c>
      <c r="AG21" s="152">
        <f>sum(Assumptions!AU132:AU133)</f>
        <v>11974.81922</v>
      </c>
      <c r="AH21" s="152">
        <f>sum(Assumptions!AV132:AV133)</f>
        <v>12062.31561</v>
      </c>
      <c r="AI21" s="152">
        <f>sum(Assumptions!AW132:AW133)</f>
        <v>12146.82592</v>
      </c>
      <c r="AJ21" s="152">
        <f>sum(Assumptions!AX132:AX133)</f>
        <v>12233.02644</v>
      </c>
      <c r="AK21" s="152">
        <f>sum(Assumptions!AY132:AY133)</f>
        <v>12320.95096</v>
      </c>
      <c r="AL21" s="152">
        <f>sum(Assumptions!AZ132:AZ133)</f>
        <v>12410.63398</v>
      </c>
      <c r="AM21" s="152">
        <f>sum(Assumptions!BA132:BA133)</f>
        <v>12502.11066</v>
      </c>
      <c r="AN21" s="152">
        <f>sum(Assumptions!BB132:BB133)</f>
        <v>12595.41688</v>
      </c>
      <c r="AO21" s="152">
        <f>sum(Assumptions!BC132:BC133)</f>
        <v>12690.58921</v>
      </c>
      <c r="AP21" s="152">
        <f>sum(Assumptions!BD132:BD133)</f>
        <v>12787.665</v>
      </c>
      <c r="AQ21" s="152">
        <f>sum(Assumptions!BE132:BE133)</f>
        <v>12881.8183</v>
      </c>
      <c r="AR21" s="152">
        <f>sum(Assumptions!BF132:BF133)</f>
        <v>12977.85466</v>
      </c>
      <c r="AS21" s="152">
        <f>sum(Assumptions!BG132:BG133)</f>
        <v>13075.81176</v>
      </c>
      <c r="AT21" s="152">
        <f>sum(Assumptions!BH132:BH133)</f>
        <v>13175.72799</v>
      </c>
      <c r="AU21" s="152">
        <f>sum(Assumptions!BI132:BI133)</f>
        <v>13273.85375</v>
      </c>
      <c r="AV21" s="152">
        <f>sum(Assumptions!BJ132:BJ133)</f>
        <v>13373.94203</v>
      </c>
      <c r="AW21" s="152">
        <f>sum(Assumptions!BK132:BK133)</f>
        <v>13476.03207</v>
      </c>
      <c r="AX21" s="152">
        <f>sum(Assumptions!BL132:BL133)</f>
        <v>13580.16391</v>
      </c>
      <c r="AY21" s="152">
        <f>sum(Assumptions!BM132:BM133)</f>
        <v>13686.37839</v>
      </c>
      <c r="AZ21" s="152">
        <f>sum(Assumptions!BN132:BN133)</f>
        <v>13794.71716</v>
      </c>
      <c r="BA21" s="152">
        <f>sum(Assumptions!BO132:BO133)</f>
        <v>13905.2227</v>
      </c>
      <c r="BB21" s="152">
        <f>sum(Assumptions!BP132:BP133)</f>
        <v>14017.93835</v>
      </c>
      <c r="BC21" s="152">
        <f>sum(Assumptions!BQ132:BQ133)</f>
        <v>14129.01712</v>
      </c>
      <c r="BD21" s="152">
        <f>sum(Assumptions!BR132:BR133)</f>
        <v>14242.31746</v>
      </c>
      <c r="BE21" s="152">
        <f>sum(Assumptions!BS132:BS133)</f>
        <v>14357.88381</v>
      </c>
      <c r="BF21" s="152">
        <f>sum(Assumptions!BT132:BT133)</f>
        <v>14475.76149</v>
      </c>
      <c r="BG21" s="152">
        <f>sum(Assumptions!BU132:BU133)</f>
        <v>14592.96568</v>
      </c>
      <c r="BH21" s="152">
        <f>sum(Assumptions!BV132:BV133)</f>
        <v>14712.51395</v>
      </c>
      <c r="BI21" s="152">
        <f>sum(Assumptions!BW132:BW133)</f>
        <v>14834.45319</v>
      </c>
      <c r="BJ21" s="152">
        <f>sum(Assumptions!BX132:BX133)</f>
        <v>14958.83121</v>
      </c>
      <c r="BK21" s="152">
        <f>sum(Assumptions!BY132:BY133)</f>
        <v>15085.6968</v>
      </c>
      <c r="BL21" s="152">
        <f>sum(Assumptions!BZ132:BZ133)</f>
        <v>15215.09969</v>
      </c>
      <c r="BM21" s="152">
        <f>sum(Assumptions!CA132:CA133)</f>
        <v>15347.09065</v>
      </c>
      <c r="BN21" s="152"/>
    </row>
    <row r="22" outlineLevel="1">
      <c r="A22" s="152"/>
      <c r="B22" s="152" t="str">
        <f>Assumptions!B136</f>
        <v>Professional Fees</v>
      </c>
      <c r="C22" s="152"/>
      <c r="D22" s="152"/>
      <c r="E22" s="152"/>
      <c r="F22" s="152">
        <f>SUM(Assumptions!T137:T139)</f>
        <v>5500</v>
      </c>
      <c r="G22" s="152">
        <f>SUM(Assumptions!U137:U139)</f>
        <v>5500</v>
      </c>
      <c r="H22" s="152">
        <f>SUM(Assumptions!V137:V139)</f>
        <v>5500</v>
      </c>
      <c r="I22" s="152">
        <f>SUM(Assumptions!W137:W139)</f>
        <v>5500</v>
      </c>
      <c r="J22" s="152">
        <f>SUM(Assumptions!X137:X139)</f>
        <v>5500</v>
      </c>
      <c r="K22" s="152">
        <f>SUM(Assumptions!Y137:Y139)</f>
        <v>5500</v>
      </c>
      <c r="L22" s="152">
        <f>SUM(Assumptions!Z137:Z139)</f>
        <v>5500</v>
      </c>
      <c r="M22" s="152">
        <f>SUM(Assumptions!AA137:AA139)</f>
        <v>5500</v>
      </c>
      <c r="N22" s="152">
        <f>SUM(Assumptions!AB137:AB139)</f>
        <v>5500</v>
      </c>
      <c r="O22" s="152">
        <f>SUM(Assumptions!AC137:AC139)</f>
        <v>5500</v>
      </c>
      <c r="P22" s="152">
        <f>SUM(Assumptions!AD137:AD139)</f>
        <v>5500</v>
      </c>
      <c r="Q22" s="152">
        <f>SUM(Assumptions!AE137:AE139)</f>
        <v>5500</v>
      </c>
      <c r="R22" s="152">
        <f>SUM(Assumptions!AF137:AF139)</f>
        <v>5500</v>
      </c>
      <c r="S22" s="152">
        <f>SUM(Assumptions!AG137:AG139)</f>
        <v>5500</v>
      </c>
      <c r="T22" s="152">
        <f>SUM(Assumptions!AH137:AH139)</f>
        <v>5500</v>
      </c>
      <c r="U22" s="152">
        <f>SUM(Assumptions!AI137:AI139)</f>
        <v>5500</v>
      </c>
      <c r="V22" s="152">
        <f>SUM(Assumptions!AJ137:AJ139)</f>
        <v>5500</v>
      </c>
      <c r="W22" s="152">
        <f>SUM(Assumptions!AK137:AK139)</f>
        <v>5500</v>
      </c>
      <c r="X22" s="152">
        <f>SUM(Assumptions!AL137:AL139)</f>
        <v>5500</v>
      </c>
      <c r="Y22" s="152">
        <f>SUM(Assumptions!AM137:AM139)</f>
        <v>5500</v>
      </c>
      <c r="Z22" s="152">
        <f>SUM(Assumptions!AN137:AN139)</f>
        <v>5500</v>
      </c>
      <c r="AA22" s="152">
        <f>SUM(Assumptions!AO137:AO139)</f>
        <v>5500</v>
      </c>
      <c r="AB22" s="152">
        <f>SUM(Assumptions!AP137:AP139)</f>
        <v>5500</v>
      </c>
      <c r="AC22" s="152">
        <f>SUM(Assumptions!AQ137:AQ139)</f>
        <v>5500</v>
      </c>
      <c r="AD22" s="152">
        <f>SUM(Assumptions!AR137:AR139)</f>
        <v>5500</v>
      </c>
      <c r="AE22" s="152">
        <f>SUM(Assumptions!AS137:AS139)</f>
        <v>5500</v>
      </c>
      <c r="AF22" s="152">
        <f>SUM(Assumptions!AT137:AT139)</f>
        <v>5500</v>
      </c>
      <c r="AG22" s="152">
        <f>SUM(Assumptions!AU137:AU139)</f>
        <v>5500</v>
      </c>
      <c r="AH22" s="152">
        <f>SUM(Assumptions!AV137:AV139)</f>
        <v>5500</v>
      </c>
      <c r="AI22" s="152">
        <f>SUM(Assumptions!AW137:AW139)</f>
        <v>5500</v>
      </c>
      <c r="AJ22" s="152">
        <f>SUM(Assumptions!AX137:AX139)</f>
        <v>5500</v>
      </c>
      <c r="AK22" s="152">
        <f>SUM(Assumptions!AY137:AY139)</f>
        <v>5500</v>
      </c>
      <c r="AL22" s="152">
        <f>SUM(Assumptions!AZ137:AZ139)</f>
        <v>5500</v>
      </c>
      <c r="AM22" s="152">
        <f>SUM(Assumptions!BA137:BA139)</f>
        <v>5500</v>
      </c>
      <c r="AN22" s="152">
        <f>SUM(Assumptions!BB137:BB139)</f>
        <v>5500</v>
      </c>
      <c r="AO22" s="152">
        <f>SUM(Assumptions!BC137:BC139)</f>
        <v>5500</v>
      </c>
      <c r="AP22" s="152">
        <f>SUM(Assumptions!BD137:BD139)</f>
        <v>5500</v>
      </c>
      <c r="AQ22" s="152">
        <f>SUM(Assumptions!BE137:BE139)</f>
        <v>5500</v>
      </c>
      <c r="AR22" s="152">
        <f>SUM(Assumptions!BF137:BF139)</f>
        <v>5500</v>
      </c>
      <c r="AS22" s="152">
        <f>SUM(Assumptions!BG137:BG139)</f>
        <v>5500</v>
      </c>
      <c r="AT22" s="152">
        <f>SUM(Assumptions!BH137:BH139)</f>
        <v>5500</v>
      </c>
      <c r="AU22" s="152">
        <f>SUM(Assumptions!BI137:BI139)</f>
        <v>5500</v>
      </c>
      <c r="AV22" s="152">
        <f>SUM(Assumptions!BJ137:BJ139)</f>
        <v>5500</v>
      </c>
      <c r="AW22" s="152">
        <f>SUM(Assumptions!BK137:BK139)</f>
        <v>5500</v>
      </c>
      <c r="AX22" s="152">
        <f>SUM(Assumptions!BL137:BL139)</f>
        <v>5500</v>
      </c>
      <c r="AY22" s="152">
        <f>SUM(Assumptions!BM137:BM139)</f>
        <v>5500</v>
      </c>
      <c r="AZ22" s="152">
        <f>SUM(Assumptions!BN137:BN139)</f>
        <v>5500</v>
      </c>
      <c r="BA22" s="152">
        <f>SUM(Assumptions!BO137:BO139)</f>
        <v>5500</v>
      </c>
      <c r="BB22" s="152">
        <f>SUM(Assumptions!BP137:BP139)</f>
        <v>5500</v>
      </c>
      <c r="BC22" s="152">
        <f>SUM(Assumptions!BQ137:BQ139)</f>
        <v>5500</v>
      </c>
      <c r="BD22" s="152">
        <f>SUM(Assumptions!BR137:BR139)</f>
        <v>5500</v>
      </c>
      <c r="BE22" s="152">
        <f>SUM(Assumptions!BS137:BS139)</f>
        <v>5500</v>
      </c>
      <c r="BF22" s="152">
        <f>SUM(Assumptions!BT137:BT139)</f>
        <v>5500</v>
      </c>
      <c r="BG22" s="152">
        <f>SUM(Assumptions!BU137:BU139)</f>
        <v>5500</v>
      </c>
      <c r="BH22" s="152">
        <f>SUM(Assumptions!BV137:BV139)</f>
        <v>5500</v>
      </c>
      <c r="BI22" s="152">
        <f>SUM(Assumptions!BW137:BW139)</f>
        <v>5500</v>
      </c>
      <c r="BJ22" s="152">
        <f>SUM(Assumptions!BX137:BX139)</f>
        <v>5500</v>
      </c>
      <c r="BK22" s="152">
        <f>SUM(Assumptions!BY137:BY139)</f>
        <v>5500</v>
      </c>
      <c r="BL22" s="152">
        <f>SUM(Assumptions!BZ137:BZ139)</f>
        <v>5500</v>
      </c>
      <c r="BM22" s="152">
        <f>SUM(Assumptions!CA137:CA139)</f>
        <v>5500</v>
      </c>
      <c r="BN22" s="152"/>
    </row>
    <row r="23" outlineLevel="1">
      <c r="A23" s="152"/>
      <c r="B23" s="163" t="str">
        <f>Assumptions!B142</f>
        <v>Other</v>
      </c>
      <c r="C23" s="163"/>
      <c r="D23" s="163"/>
      <c r="E23" s="163"/>
      <c r="F23" s="163">
        <f>Assumptions!T143</f>
        <v>0</v>
      </c>
      <c r="G23" s="163">
        <f>Assumptions!U143</f>
        <v>47.5</v>
      </c>
      <c r="H23" s="163">
        <f>Assumptions!V143</f>
        <v>95.95</v>
      </c>
      <c r="I23" s="163">
        <f>Assumptions!W143</f>
        <v>145.369</v>
      </c>
      <c r="J23" s="163">
        <f>Assumptions!X143</f>
        <v>195.77638</v>
      </c>
      <c r="K23" s="163">
        <f>Assumptions!Y143</f>
        <v>284.1919076</v>
      </c>
      <c r="L23" s="163">
        <f>Assumptions!Z143</f>
        <v>374.3757458</v>
      </c>
      <c r="M23" s="163">
        <f>Assumptions!AA143</f>
        <v>466.3632607</v>
      </c>
      <c r="N23" s="163">
        <f>Assumptions!AB143</f>
        <v>560.1905259</v>
      </c>
      <c r="O23" s="163">
        <f>Assumptions!AC143</f>
        <v>655.8943364</v>
      </c>
      <c r="P23" s="163">
        <f>Assumptions!AD143</f>
        <v>753.5122231</v>
      </c>
      <c r="Q23" s="163">
        <f>Assumptions!AE143</f>
        <v>853.0824676</v>
      </c>
      <c r="R23" s="163">
        <f>Assumptions!AF143</f>
        <v>954.6441169</v>
      </c>
      <c r="S23" s="163">
        <f>Assumptions!AG143</f>
        <v>1048.736999</v>
      </c>
      <c r="T23" s="163">
        <f>Assumptions!AH143</f>
        <v>1144.711739</v>
      </c>
      <c r="U23" s="163">
        <f>Assumptions!AI143</f>
        <v>1242.605974</v>
      </c>
      <c r="V23" s="163">
        <f>Assumptions!AJ143</f>
        <v>1342.458094</v>
      </c>
      <c r="W23" s="163">
        <f>Assumptions!AK143</f>
        <v>1436.907255</v>
      </c>
      <c r="X23" s="163">
        <f>Assumptions!AL143</f>
        <v>1533.245401</v>
      </c>
      <c r="Y23" s="163">
        <f>Assumptions!AM143</f>
        <v>1631.510309</v>
      </c>
      <c r="Z23" s="163">
        <f>Assumptions!AN143</f>
        <v>1731.740515</v>
      </c>
      <c r="AA23" s="163">
        <f>Assumptions!AO143</f>
        <v>1833.975325</v>
      </c>
      <c r="AB23" s="163">
        <f>Assumptions!AP143</f>
        <v>1938.254831</v>
      </c>
      <c r="AC23" s="163">
        <f>Assumptions!AQ143</f>
        <v>2044.619928</v>
      </c>
      <c r="AD23" s="163">
        <f>Assumptions!AR143</f>
        <v>2153.112327</v>
      </c>
      <c r="AE23" s="163">
        <f>Assumptions!AS143</f>
        <v>2256.174573</v>
      </c>
      <c r="AF23" s="163">
        <f>Assumptions!AT143</f>
        <v>2361.298065</v>
      </c>
      <c r="AG23" s="163">
        <f>Assumptions!AU143</f>
        <v>2468.524026</v>
      </c>
      <c r="AH23" s="163">
        <f>Assumptions!AV143</f>
        <v>2577.894506</v>
      </c>
      <c r="AI23" s="163">
        <f>Assumptions!AW143</f>
        <v>2683.532397</v>
      </c>
      <c r="AJ23" s="163">
        <f>Assumptions!AX143</f>
        <v>2791.283045</v>
      </c>
      <c r="AK23" s="163">
        <f>Assumptions!AY143</f>
        <v>2901.188705</v>
      </c>
      <c r="AL23" s="163">
        <f>Assumptions!AZ143</f>
        <v>3013.29248</v>
      </c>
      <c r="AM23" s="163">
        <f>Assumptions!BA143</f>
        <v>3127.638329</v>
      </c>
      <c r="AN23" s="163">
        <f>Assumptions!BB143</f>
        <v>3244.271096</v>
      </c>
      <c r="AO23" s="163">
        <f>Assumptions!BC143</f>
        <v>3363.236518</v>
      </c>
      <c r="AP23" s="163">
        <f>Assumptions!BD143</f>
        <v>3484.581248</v>
      </c>
      <c r="AQ23" s="163">
        <f>Assumptions!BE143</f>
        <v>3602.272873</v>
      </c>
      <c r="AR23" s="163">
        <f>Assumptions!BF143</f>
        <v>3722.31833</v>
      </c>
      <c r="AS23" s="163">
        <f>Assumptions!BG143</f>
        <v>3844.764697</v>
      </c>
      <c r="AT23" s="163">
        <f>Assumptions!BH143</f>
        <v>3969.659991</v>
      </c>
      <c r="AU23" s="163">
        <f>Assumptions!BI143</f>
        <v>4092.317191</v>
      </c>
      <c r="AV23" s="163">
        <f>Assumptions!BJ143</f>
        <v>4217.427535</v>
      </c>
      <c r="AW23" s="163">
        <f>Assumptions!BK143</f>
        <v>4345.040085</v>
      </c>
      <c r="AX23" s="163">
        <f>Assumptions!BL143</f>
        <v>4475.204887</v>
      </c>
      <c r="AY23" s="163">
        <f>Assumptions!BM143</f>
        <v>4607.972985</v>
      </c>
      <c r="AZ23" s="163">
        <f>Assumptions!BN143</f>
        <v>4743.396444</v>
      </c>
      <c r="BA23" s="163">
        <f>Assumptions!BO143</f>
        <v>4881.528373</v>
      </c>
      <c r="BB23" s="163">
        <f>Assumptions!BP143</f>
        <v>5022.422941</v>
      </c>
      <c r="BC23" s="163">
        <f>Assumptions!BQ143</f>
        <v>5161.2714</v>
      </c>
      <c r="BD23" s="163">
        <f>Assumptions!BR143</f>
        <v>5302.896828</v>
      </c>
      <c r="BE23" s="163">
        <f>Assumptions!BS143</f>
        <v>5447.354764</v>
      </c>
      <c r="BF23" s="163">
        <f>Assumptions!BT143</f>
        <v>5594.701859</v>
      </c>
      <c r="BG23" s="163">
        <f>Assumptions!BU143</f>
        <v>5741.207097</v>
      </c>
      <c r="BH23" s="163">
        <f>Assumptions!BV143</f>
        <v>5890.642439</v>
      </c>
      <c r="BI23" s="163">
        <f>Assumptions!BW143</f>
        <v>6043.066487</v>
      </c>
      <c r="BJ23" s="163">
        <f>Assumptions!BX143</f>
        <v>6198.539017</v>
      </c>
      <c r="BK23" s="163">
        <f>Assumptions!BY143</f>
        <v>6357.120997</v>
      </c>
      <c r="BL23" s="163">
        <f>Assumptions!BZ143</f>
        <v>6518.874617</v>
      </c>
      <c r="BM23" s="163">
        <f>Assumptions!CA143</f>
        <v>6683.86331</v>
      </c>
      <c r="BN23" s="152"/>
    </row>
    <row r="24" outlineLevel="1">
      <c r="A24" s="152"/>
      <c r="B24" s="161" t="s">
        <v>146</v>
      </c>
      <c r="C24" s="152"/>
      <c r="D24" s="152"/>
      <c r="E24" s="152"/>
      <c r="F24" s="164">
        <f t="shared" ref="F24:BM24" si="8">SUM(F19:F23)</f>
        <v>35500</v>
      </c>
      <c r="G24" s="164">
        <f t="shared" si="8"/>
        <v>35585.5</v>
      </c>
      <c r="H24" s="164">
        <f t="shared" si="8"/>
        <v>35672.71</v>
      </c>
      <c r="I24" s="164">
        <f t="shared" si="8"/>
        <v>35761.6642</v>
      </c>
      <c r="J24" s="164">
        <f t="shared" si="8"/>
        <v>35852.39748</v>
      </c>
      <c r="K24" s="164">
        <f t="shared" si="8"/>
        <v>44011.54543</v>
      </c>
      <c r="L24" s="164">
        <f t="shared" si="8"/>
        <v>44173.87634</v>
      </c>
      <c r="M24" s="164">
        <f t="shared" si="8"/>
        <v>44339.45387</v>
      </c>
      <c r="N24" s="164">
        <f t="shared" si="8"/>
        <v>44508.34295</v>
      </c>
      <c r="O24" s="164">
        <f t="shared" si="8"/>
        <v>44680.60981</v>
      </c>
      <c r="P24" s="164">
        <f t="shared" si="8"/>
        <v>44856.322</v>
      </c>
      <c r="Q24" s="164">
        <f t="shared" si="8"/>
        <v>45035.54844</v>
      </c>
      <c r="R24" s="164">
        <f t="shared" si="8"/>
        <v>45218.35941</v>
      </c>
      <c r="S24" s="164">
        <f t="shared" si="8"/>
        <v>45387.7266</v>
      </c>
      <c r="T24" s="164">
        <f t="shared" si="8"/>
        <v>45560.48113</v>
      </c>
      <c r="U24" s="164">
        <f t="shared" si="8"/>
        <v>45736.69075</v>
      </c>
      <c r="V24" s="164">
        <f t="shared" si="8"/>
        <v>45916.42457</v>
      </c>
      <c r="W24" s="164">
        <f t="shared" si="8"/>
        <v>46086.43306</v>
      </c>
      <c r="X24" s="164">
        <f t="shared" si="8"/>
        <v>46259.84172</v>
      </c>
      <c r="Y24" s="164">
        <f t="shared" si="8"/>
        <v>46436.71856</v>
      </c>
      <c r="Z24" s="164">
        <f t="shared" si="8"/>
        <v>46617.13293</v>
      </c>
      <c r="AA24" s="164">
        <f t="shared" si="8"/>
        <v>46801.15558</v>
      </c>
      <c r="AB24" s="164">
        <f t="shared" si="8"/>
        <v>46988.8587</v>
      </c>
      <c r="AC24" s="164">
        <f t="shared" si="8"/>
        <v>47180.31587</v>
      </c>
      <c r="AD24" s="164">
        <f t="shared" si="8"/>
        <v>47375.60219</v>
      </c>
      <c r="AE24" s="164">
        <f t="shared" si="8"/>
        <v>47561.11423</v>
      </c>
      <c r="AF24" s="164">
        <f t="shared" si="8"/>
        <v>47750.33652</v>
      </c>
      <c r="AG24" s="164">
        <f t="shared" si="8"/>
        <v>47943.34325</v>
      </c>
      <c r="AH24" s="164">
        <f t="shared" si="8"/>
        <v>48140.21011</v>
      </c>
      <c r="AI24" s="164">
        <f t="shared" si="8"/>
        <v>48330.35831</v>
      </c>
      <c r="AJ24" s="164">
        <f t="shared" si="8"/>
        <v>48524.30948</v>
      </c>
      <c r="AK24" s="164">
        <f t="shared" si="8"/>
        <v>48722.13967</v>
      </c>
      <c r="AL24" s="164">
        <f t="shared" si="8"/>
        <v>48923.92646</v>
      </c>
      <c r="AM24" s="164">
        <f t="shared" si="8"/>
        <v>49129.74899</v>
      </c>
      <c r="AN24" s="164">
        <f t="shared" si="8"/>
        <v>49339.68797</v>
      </c>
      <c r="AO24" s="164">
        <f t="shared" si="8"/>
        <v>49553.82573</v>
      </c>
      <c r="AP24" s="164">
        <f t="shared" si="8"/>
        <v>49772.24625</v>
      </c>
      <c r="AQ24" s="164">
        <f t="shared" si="8"/>
        <v>49984.09117</v>
      </c>
      <c r="AR24" s="164">
        <f t="shared" si="8"/>
        <v>50200.17299</v>
      </c>
      <c r="AS24" s="164">
        <f t="shared" si="8"/>
        <v>50420.57645</v>
      </c>
      <c r="AT24" s="164">
        <f t="shared" si="8"/>
        <v>50645.38798</v>
      </c>
      <c r="AU24" s="164">
        <f t="shared" si="8"/>
        <v>50866.17094</v>
      </c>
      <c r="AV24" s="164">
        <f t="shared" si="8"/>
        <v>51091.36956</v>
      </c>
      <c r="AW24" s="164">
        <f t="shared" si="8"/>
        <v>51321.07215</v>
      </c>
      <c r="AX24" s="164">
        <f t="shared" si="8"/>
        <v>51555.3688</v>
      </c>
      <c r="AY24" s="164">
        <f t="shared" si="8"/>
        <v>51794.35137</v>
      </c>
      <c r="AZ24" s="164">
        <f t="shared" si="8"/>
        <v>52038.1136</v>
      </c>
      <c r="BA24" s="164">
        <f t="shared" si="8"/>
        <v>52286.75107</v>
      </c>
      <c r="BB24" s="164">
        <f t="shared" si="8"/>
        <v>52540.36129</v>
      </c>
      <c r="BC24" s="164">
        <f t="shared" si="8"/>
        <v>52790.28852</v>
      </c>
      <c r="BD24" s="164">
        <f t="shared" si="8"/>
        <v>53045.21429</v>
      </c>
      <c r="BE24" s="164">
        <f t="shared" si="8"/>
        <v>53305.23858</v>
      </c>
      <c r="BF24" s="164">
        <f t="shared" si="8"/>
        <v>53570.46335</v>
      </c>
      <c r="BG24" s="164">
        <f t="shared" si="8"/>
        <v>53834.17277</v>
      </c>
      <c r="BH24" s="164">
        <f t="shared" si="8"/>
        <v>54103.15639</v>
      </c>
      <c r="BI24" s="164">
        <f t="shared" si="8"/>
        <v>54377.51968</v>
      </c>
      <c r="BJ24" s="164">
        <f t="shared" si="8"/>
        <v>54657.37023</v>
      </c>
      <c r="BK24" s="164">
        <f t="shared" si="8"/>
        <v>54942.8178</v>
      </c>
      <c r="BL24" s="164">
        <f t="shared" si="8"/>
        <v>55233.97431</v>
      </c>
      <c r="BM24" s="164">
        <f t="shared" si="8"/>
        <v>55530.95396</v>
      </c>
      <c r="BN24" s="152"/>
    </row>
    <row r="25" outlineLevel="1">
      <c r="A25" s="152"/>
      <c r="B25" s="152"/>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row>
    <row r="26" outlineLevel="1">
      <c r="A26" s="152"/>
      <c r="B26" s="155" t="s">
        <v>147</v>
      </c>
      <c r="C26" s="156"/>
      <c r="D26" s="156"/>
      <c r="E26" s="156"/>
      <c r="F26" s="157">
        <f t="shared" ref="F26:BM26" si="9">F15-F24</f>
        <v>-35500</v>
      </c>
      <c r="G26" s="157">
        <f t="shared" si="9"/>
        <v>-35276.75</v>
      </c>
      <c r="H26" s="157">
        <f t="shared" si="9"/>
        <v>-35049.035</v>
      </c>
      <c r="I26" s="157">
        <f t="shared" si="9"/>
        <v>-34816.7657</v>
      </c>
      <c r="J26" s="157">
        <f t="shared" si="9"/>
        <v>-34579.85101</v>
      </c>
      <c r="K26" s="157">
        <f t="shared" si="9"/>
        <v>-42164.29803</v>
      </c>
      <c r="L26" s="157">
        <f t="shared" si="9"/>
        <v>-41740.43399</v>
      </c>
      <c r="M26" s="157">
        <f t="shared" si="9"/>
        <v>-41308.09267</v>
      </c>
      <c r="N26" s="157">
        <f t="shared" si="9"/>
        <v>-40867.10453</v>
      </c>
      <c r="O26" s="157">
        <f t="shared" si="9"/>
        <v>-40417.29662</v>
      </c>
      <c r="P26" s="157">
        <f t="shared" si="9"/>
        <v>-39958.49255</v>
      </c>
      <c r="Q26" s="157">
        <f t="shared" si="9"/>
        <v>-39490.5124</v>
      </c>
      <c r="R26" s="157">
        <f t="shared" si="9"/>
        <v>-39013.17265</v>
      </c>
      <c r="S26" s="157">
        <f t="shared" si="9"/>
        <v>-38570.9361</v>
      </c>
      <c r="T26" s="157">
        <f t="shared" si="9"/>
        <v>-38119.85483</v>
      </c>
      <c r="U26" s="157">
        <f t="shared" si="9"/>
        <v>-37659.75192</v>
      </c>
      <c r="V26" s="157">
        <f t="shared" si="9"/>
        <v>-37190.44696</v>
      </c>
      <c r="W26" s="157">
        <f t="shared" si="9"/>
        <v>-36746.5359</v>
      </c>
      <c r="X26" s="157">
        <f t="shared" si="9"/>
        <v>-36293.74662</v>
      </c>
      <c r="Y26" s="157">
        <f t="shared" si="9"/>
        <v>-35831.90155</v>
      </c>
      <c r="Z26" s="157">
        <f t="shared" si="9"/>
        <v>-35360.81958</v>
      </c>
      <c r="AA26" s="157">
        <f t="shared" si="9"/>
        <v>-34880.31597</v>
      </c>
      <c r="AB26" s="157">
        <f t="shared" si="9"/>
        <v>-34390.20229</v>
      </c>
      <c r="AC26" s="157">
        <f t="shared" si="9"/>
        <v>-33890.28634</v>
      </c>
      <c r="AD26" s="157">
        <f t="shared" si="9"/>
        <v>-33380.37206</v>
      </c>
      <c r="AE26" s="157">
        <f t="shared" si="9"/>
        <v>-32895.97951</v>
      </c>
      <c r="AF26" s="157">
        <f t="shared" si="9"/>
        <v>-32401.8991</v>
      </c>
      <c r="AG26" s="157">
        <f t="shared" si="9"/>
        <v>-31897.93708</v>
      </c>
      <c r="AH26" s="157">
        <f t="shared" si="9"/>
        <v>-31383.89582</v>
      </c>
      <c r="AI26" s="157">
        <f t="shared" si="9"/>
        <v>-30887.39774</v>
      </c>
      <c r="AJ26" s="157">
        <f t="shared" si="9"/>
        <v>-30380.96969</v>
      </c>
      <c r="AK26" s="157">
        <f t="shared" si="9"/>
        <v>-29864.41308</v>
      </c>
      <c r="AL26" s="157">
        <f t="shared" si="9"/>
        <v>-29337.52535</v>
      </c>
      <c r="AM26" s="157">
        <f t="shared" si="9"/>
        <v>-28800.09985</v>
      </c>
      <c r="AN26" s="157">
        <f t="shared" si="9"/>
        <v>-28251.92585</v>
      </c>
      <c r="AO26" s="157">
        <f t="shared" si="9"/>
        <v>-27692.78837</v>
      </c>
      <c r="AP26" s="157">
        <f t="shared" si="9"/>
        <v>-27122.46813</v>
      </c>
      <c r="AQ26" s="157">
        <f t="shared" si="9"/>
        <v>-26569.3175</v>
      </c>
      <c r="AR26" s="157">
        <f t="shared" si="9"/>
        <v>-26005.10385</v>
      </c>
      <c r="AS26" s="157">
        <f t="shared" si="9"/>
        <v>-25429.60592</v>
      </c>
      <c r="AT26" s="157">
        <f t="shared" si="9"/>
        <v>-24842.59804</v>
      </c>
      <c r="AU26" s="157">
        <f t="shared" si="9"/>
        <v>-24266.1092</v>
      </c>
      <c r="AV26" s="157">
        <f t="shared" si="9"/>
        <v>-23678.09059</v>
      </c>
      <c r="AW26" s="157">
        <f t="shared" si="9"/>
        <v>-23078.3116</v>
      </c>
      <c r="AX26" s="157">
        <f t="shared" si="9"/>
        <v>-22466.53703</v>
      </c>
      <c r="AY26" s="157">
        <f t="shared" si="9"/>
        <v>-21842.52697</v>
      </c>
      <c r="AZ26" s="157">
        <f t="shared" si="9"/>
        <v>-21206.03671</v>
      </c>
      <c r="BA26" s="157">
        <f t="shared" si="9"/>
        <v>-20556.81665</v>
      </c>
      <c r="BB26" s="157">
        <f t="shared" si="9"/>
        <v>-19894.61218</v>
      </c>
      <c r="BC26" s="157">
        <f t="shared" si="9"/>
        <v>-19242.02442</v>
      </c>
      <c r="BD26" s="157">
        <f t="shared" si="9"/>
        <v>-18576.38491</v>
      </c>
      <c r="BE26" s="157">
        <f t="shared" si="9"/>
        <v>-17897.43261</v>
      </c>
      <c r="BF26" s="157">
        <f t="shared" si="9"/>
        <v>-17204.90126</v>
      </c>
      <c r="BG26" s="157">
        <f t="shared" si="9"/>
        <v>-16516.32665</v>
      </c>
      <c r="BH26" s="157">
        <f t="shared" si="9"/>
        <v>-15813.98054</v>
      </c>
      <c r="BI26" s="157">
        <f t="shared" si="9"/>
        <v>-15097.58751</v>
      </c>
      <c r="BJ26" s="157">
        <f t="shared" si="9"/>
        <v>-14366.86662</v>
      </c>
      <c r="BK26" s="157">
        <f t="shared" si="9"/>
        <v>-13621.53131</v>
      </c>
      <c r="BL26" s="157">
        <f t="shared" si="9"/>
        <v>-12861.2893</v>
      </c>
      <c r="BM26" s="157">
        <f t="shared" si="9"/>
        <v>-12085.84244</v>
      </c>
      <c r="BN26" s="152"/>
    </row>
    <row r="27" outlineLevel="1">
      <c r="A27" s="152"/>
      <c r="B27" s="162" t="s">
        <v>148</v>
      </c>
      <c r="C27" s="152"/>
      <c r="D27" s="152"/>
      <c r="E27" s="152"/>
      <c r="F27" s="152">
        <f>SUM(Assumptions!T164:T167)-sum(Assumptions!G164:G167)</f>
        <v>0</v>
      </c>
      <c r="G27" s="152">
        <f>SUM(Assumptions!U164:U167)-sum(Assumptions!T164:T167)</f>
        <v>0</v>
      </c>
      <c r="H27" s="152">
        <f>SUM(Assumptions!V164:V167)-sum(Assumptions!U164:U167)</f>
        <v>0</v>
      </c>
      <c r="I27" s="152">
        <f>SUM(Assumptions!W164:W167)-sum(Assumptions!V164:V167)</f>
        <v>0</v>
      </c>
      <c r="J27" s="152">
        <f>SUM(Assumptions!X164:X167)-sum(Assumptions!W164:W167)</f>
        <v>0</v>
      </c>
      <c r="K27" s="152">
        <f>SUM(Assumptions!Y164:Y167)-sum(Assumptions!X164:X167)</f>
        <v>0</v>
      </c>
      <c r="L27" s="152">
        <f>SUM(Assumptions!Z164:Z167)-sum(Assumptions!Y164:Y167)</f>
        <v>0</v>
      </c>
      <c r="M27" s="152">
        <f>SUM(Assumptions!AA164:AA167)-sum(Assumptions!Z164:Z167)</f>
        <v>0</v>
      </c>
      <c r="N27" s="152">
        <f>SUM(Assumptions!AB164:AB167)-sum(Assumptions!AA164:AA167)</f>
        <v>0</v>
      </c>
      <c r="O27" s="152">
        <f>SUM(Assumptions!AC164:AC167)-sum(Assumptions!AB164:AB167)</f>
        <v>0</v>
      </c>
      <c r="P27" s="152">
        <f>SUM(Assumptions!AD164:AD167)-sum(Assumptions!AC164:AC167)</f>
        <v>0</v>
      </c>
      <c r="Q27" s="152">
        <f>SUM(Assumptions!AE164:AE167)-sum(Assumptions!AD164:AD167)</f>
        <v>0</v>
      </c>
      <c r="R27" s="152">
        <f>SUM(Assumptions!AF164:AF167)-sum(Assumptions!AE164:AE167)</f>
        <v>0</v>
      </c>
      <c r="S27" s="152">
        <f>SUM(Assumptions!AG164:AG167)-sum(Assumptions!AF164:AF167)</f>
        <v>0</v>
      </c>
      <c r="T27" s="152">
        <f>SUM(Assumptions!AH164:AH167)-sum(Assumptions!AG164:AG167)</f>
        <v>0</v>
      </c>
      <c r="U27" s="152">
        <f>SUM(Assumptions!AI164:AI167)-sum(Assumptions!AH164:AH167)</f>
        <v>0</v>
      </c>
      <c r="V27" s="152">
        <f>SUM(Assumptions!AJ164:AJ167)-sum(Assumptions!AI164:AI167)</f>
        <v>0</v>
      </c>
      <c r="W27" s="152">
        <f>SUM(Assumptions!AK164:AK167)-sum(Assumptions!AJ164:AJ167)</f>
        <v>0</v>
      </c>
      <c r="X27" s="152">
        <f>SUM(Assumptions!AL164:AL167)-sum(Assumptions!AK164:AK167)</f>
        <v>0</v>
      </c>
      <c r="Y27" s="152">
        <f>SUM(Assumptions!AM164:AM167)-sum(Assumptions!AL164:AL167)</f>
        <v>0</v>
      </c>
      <c r="Z27" s="152">
        <f>SUM(Assumptions!AN164:AN167)-sum(Assumptions!AM164:AM167)</f>
        <v>0</v>
      </c>
      <c r="AA27" s="152">
        <f>SUM(Assumptions!AO164:AO167)-sum(Assumptions!AN164:AN167)</f>
        <v>0</v>
      </c>
      <c r="AB27" s="152">
        <f>SUM(Assumptions!AP164:AP167)-sum(Assumptions!AO164:AO167)</f>
        <v>0</v>
      </c>
      <c r="AC27" s="152">
        <f>SUM(Assumptions!AQ164:AQ167)-sum(Assumptions!AP164:AP167)</f>
        <v>0</v>
      </c>
      <c r="AD27" s="152">
        <f>SUM(Assumptions!AR164:AR167)-sum(Assumptions!AQ164:AQ167)</f>
        <v>0</v>
      </c>
      <c r="AE27" s="152">
        <f>SUM(Assumptions!AS164:AS167)-sum(Assumptions!AR164:AR167)</f>
        <v>0</v>
      </c>
      <c r="AF27" s="152">
        <f>SUM(Assumptions!AT164:AT167)-sum(Assumptions!AS164:AS167)</f>
        <v>0</v>
      </c>
      <c r="AG27" s="152">
        <f>SUM(Assumptions!AU164:AU167)-sum(Assumptions!AT164:AT167)</f>
        <v>0</v>
      </c>
      <c r="AH27" s="152">
        <f>SUM(Assumptions!AV164:AV167)-sum(Assumptions!AU164:AU167)</f>
        <v>0</v>
      </c>
      <c r="AI27" s="152">
        <f>SUM(Assumptions!AW164:AW167)-sum(Assumptions!AV164:AV167)</f>
        <v>0</v>
      </c>
      <c r="AJ27" s="152">
        <f>SUM(Assumptions!AX164:AX167)-sum(Assumptions!AW164:AW167)</f>
        <v>0</v>
      </c>
      <c r="AK27" s="152">
        <f>SUM(Assumptions!AY164:AY167)-sum(Assumptions!AX164:AX167)</f>
        <v>0</v>
      </c>
      <c r="AL27" s="152">
        <f>SUM(Assumptions!AZ164:AZ167)-sum(Assumptions!AY164:AY167)</f>
        <v>0</v>
      </c>
      <c r="AM27" s="152">
        <f>SUM(Assumptions!BA164:BA167)-sum(Assumptions!AZ164:AZ167)</f>
        <v>0</v>
      </c>
      <c r="AN27" s="152">
        <f>SUM(Assumptions!BB164:BB167)-sum(Assumptions!BA164:BA167)</f>
        <v>0</v>
      </c>
      <c r="AO27" s="152">
        <f>SUM(Assumptions!BC164:BC167)-sum(Assumptions!BB164:BB167)</f>
        <v>0</v>
      </c>
      <c r="AP27" s="152">
        <f>SUM(Assumptions!BD164:BD167)-sum(Assumptions!BC164:BC167)</f>
        <v>0</v>
      </c>
      <c r="AQ27" s="152">
        <f>SUM(Assumptions!BE164:BE167)-sum(Assumptions!BD164:BD167)</f>
        <v>0</v>
      </c>
      <c r="AR27" s="152">
        <f>SUM(Assumptions!BF164:BF167)-sum(Assumptions!BE164:BE167)</f>
        <v>0</v>
      </c>
      <c r="AS27" s="152">
        <f>SUM(Assumptions!BG164:BG167)-sum(Assumptions!BF164:BF167)</f>
        <v>0</v>
      </c>
      <c r="AT27" s="152">
        <f>SUM(Assumptions!BH164:BH167)-sum(Assumptions!BG164:BG167)</f>
        <v>0</v>
      </c>
      <c r="AU27" s="152">
        <f>SUM(Assumptions!BI164:BI167)-sum(Assumptions!BH164:BH167)</f>
        <v>0</v>
      </c>
      <c r="AV27" s="152">
        <f>SUM(Assumptions!BJ164:BJ167)-sum(Assumptions!BI164:BI167)</f>
        <v>0</v>
      </c>
      <c r="AW27" s="152">
        <f>SUM(Assumptions!BK164:BK167)-sum(Assumptions!BJ164:BJ167)</f>
        <v>0</v>
      </c>
      <c r="AX27" s="152">
        <f>SUM(Assumptions!BL164:BL167)-sum(Assumptions!BK164:BK167)</f>
        <v>0</v>
      </c>
      <c r="AY27" s="152">
        <f>SUM(Assumptions!BM164:BM167)-sum(Assumptions!BL164:BL167)</f>
        <v>0</v>
      </c>
      <c r="AZ27" s="152">
        <f>SUM(Assumptions!BN164:BN167)-sum(Assumptions!BM164:BM167)</f>
        <v>0</v>
      </c>
      <c r="BA27" s="152">
        <f>SUM(Assumptions!BO164:BO167)-sum(Assumptions!BN164:BN167)</f>
        <v>0</v>
      </c>
      <c r="BB27" s="152">
        <f>SUM(Assumptions!BP164:BP167)-sum(Assumptions!BO164:BO167)</f>
        <v>0</v>
      </c>
      <c r="BC27" s="152">
        <f>SUM(Assumptions!BQ164:BQ167)-sum(Assumptions!BP164:BP167)</f>
        <v>0</v>
      </c>
      <c r="BD27" s="152">
        <f>SUM(Assumptions!BR164:BR167)-sum(Assumptions!BQ164:BQ167)</f>
        <v>0</v>
      </c>
      <c r="BE27" s="152">
        <f>SUM(Assumptions!BS164:BS167)-sum(Assumptions!BR164:BR167)</f>
        <v>0</v>
      </c>
      <c r="BF27" s="152">
        <f>SUM(Assumptions!BT164:BT167)-sum(Assumptions!BS164:BS167)</f>
        <v>0</v>
      </c>
      <c r="BG27" s="152">
        <f>SUM(Assumptions!BU164:BU167)-sum(Assumptions!BT164:BT167)</f>
        <v>0</v>
      </c>
      <c r="BH27" s="152">
        <f>SUM(Assumptions!BV164:BV167)-sum(Assumptions!BU164:BU167)</f>
        <v>0</v>
      </c>
      <c r="BI27" s="152">
        <f>SUM(Assumptions!BW164:BW167)-sum(Assumptions!BV164:BV167)</f>
        <v>0</v>
      </c>
      <c r="BJ27" s="152">
        <f>SUM(Assumptions!BX164:BX167)-sum(Assumptions!BW164:BW167)</f>
        <v>0</v>
      </c>
      <c r="BK27" s="152">
        <f>SUM(Assumptions!BY164:BY167)-sum(Assumptions!BX164:BX167)</f>
        <v>0</v>
      </c>
      <c r="BL27" s="152">
        <f>SUM(Assumptions!BZ164:BZ167)-sum(Assumptions!BY164:BY167)</f>
        <v>0</v>
      </c>
      <c r="BM27" s="152">
        <f>SUM(Assumptions!CA164:CA167)-sum(Assumptions!BZ164:BZ167)</f>
        <v>0</v>
      </c>
      <c r="BN27" s="152"/>
    </row>
    <row r="28" outlineLevel="1">
      <c r="A28" s="152"/>
      <c r="B28" s="155" t="s">
        <v>149</v>
      </c>
      <c r="C28" s="156"/>
      <c r="D28" s="156"/>
      <c r="E28" s="156"/>
      <c r="F28" s="157">
        <f t="shared" ref="F28:BM28" si="10">F26-F27</f>
        <v>-35500</v>
      </c>
      <c r="G28" s="157">
        <f t="shared" si="10"/>
        <v>-35276.75</v>
      </c>
      <c r="H28" s="157">
        <f t="shared" si="10"/>
        <v>-35049.035</v>
      </c>
      <c r="I28" s="157">
        <f t="shared" si="10"/>
        <v>-34816.7657</v>
      </c>
      <c r="J28" s="157">
        <f t="shared" si="10"/>
        <v>-34579.85101</v>
      </c>
      <c r="K28" s="157">
        <f t="shared" si="10"/>
        <v>-42164.29803</v>
      </c>
      <c r="L28" s="157">
        <f t="shared" si="10"/>
        <v>-41740.43399</v>
      </c>
      <c r="M28" s="157">
        <f t="shared" si="10"/>
        <v>-41308.09267</v>
      </c>
      <c r="N28" s="157">
        <f t="shared" si="10"/>
        <v>-40867.10453</v>
      </c>
      <c r="O28" s="157">
        <f t="shared" si="10"/>
        <v>-40417.29662</v>
      </c>
      <c r="P28" s="157">
        <f t="shared" si="10"/>
        <v>-39958.49255</v>
      </c>
      <c r="Q28" s="157">
        <f t="shared" si="10"/>
        <v>-39490.5124</v>
      </c>
      <c r="R28" s="157">
        <f t="shared" si="10"/>
        <v>-39013.17265</v>
      </c>
      <c r="S28" s="157">
        <f t="shared" si="10"/>
        <v>-38570.9361</v>
      </c>
      <c r="T28" s="157">
        <f t="shared" si="10"/>
        <v>-38119.85483</v>
      </c>
      <c r="U28" s="157">
        <f t="shared" si="10"/>
        <v>-37659.75192</v>
      </c>
      <c r="V28" s="157">
        <f t="shared" si="10"/>
        <v>-37190.44696</v>
      </c>
      <c r="W28" s="157">
        <f t="shared" si="10"/>
        <v>-36746.5359</v>
      </c>
      <c r="X28" s="157">
        <f t="shared" si="10"/>
        <v>-36293.74662</v>
      </c>
      <c r="Y28" s="157">
        <f t="shared" si="10"/>
        <v>-35831.90155</v>
      </c>
      <c r="Z28" s="157">
        <f t="shared" si="10"/>
        <v>-35360.81958</v>
      </c>
      <c r="AA28" s="157">
        <f t="shared" si="10"/>
        <v>-34880.31597</v>
      </c>
      <c r="AB28" s="157">
        <f t="shared" si="10"/>
        <v>-34390.20229</v>
      </c>
      <c r="AC28" s="157">
        <f t="shared" si="10"/>
        <v>-33890.28634</v>
      </c>
      <c r="AD28" s="157">
        <f t="shared" si="10"/>
        <v>-33380.37206</v>
      </c>
      <c r="AE28" s="157">
        <f t="shared" si="10"/>
        <v>-32895.97951</v>
      </c>
      <c r="AF28" s="157">
        <f t="shared" si="10"/>
        <v>-32401.8991</v>
      </c>
      <c r="AG28" s="157">
        <f t="shared" si="10"/>
        <v>-31897.93708</v>
      </c>
      <c r="AH28" s="157">
        <f t="shared" si="10"/>
        <v>-31383.89582</v>
      </c>
      <c r="AI28" s="157">
        <f t="shared" si="10"/>
        <v>-30887.39774</v>
      </c>
      <c r="AJ28" s="157">
        <f t="shared" si="10"/>
        <v>-30380.96969</v>
      </c>
      <c r="AK28" s="157">
        <f t="shared" si="10"/>
        <v>-29864.41308</v>
      </c>
      <c r="AL28" s="157">
        <f t="shared" si="10"/>
        <v>-29337.52535</v>
      </c>
      <c r="AM28" s="157">
        <f t="shared" si="10"/>
        <v>-28800.09985</v>
      </c>
      <c r="AN28" s="157">
        <f t="shared" si="10"/>
        <v>-28251.92585</v>
      </c>
      <c r="AO28" s="157">
        <f t="shared" si="10"/>
        <v>-27692.78837</v>
      </c>
      <c r="AP28" s="157">
        <f t="shared" si="10"/>
        <v>-27122.46813</v>
      </c>
      <c r="AQ28" s="157">
        <f t="shared" si="10"/>
        <v>-26569.3175</v>
      </c>
      <c r="AR28" s="157">
        <f t="shared" si="10"/>
        <v>-26005.10385</v>
      </c>
      <c r="AS28" s="157">
        <f t="shared" si="10"/>
        <v>-25429.60592</v>
      </c>
      <c r="AT28" s="157">
        <f t="shared" si="10"/>
        <v>-24842.59804</v>
      </c>
      <c r="AU28" s="157">
        <f t="shared" si="10"/>
        <v>-24266.1092</v>
      </c>
      <c r="AV28" s="157">
        <f t="shared" si="10"/>
        <v>-23678.09059</v>
      </c>
      <c r="AW28" s="157">
        <f t="shared" si="10"/>
        <v>-23078.3116</v>
      </c>
      <c r="AX28" s="157">
        <f t="shared" si="10"/>
        <v>-22466.53703</v>
      </c>
      <c r="AY28" s="157">
        <f t="shared" si="10"/>
        <v>-21842.52697</v>
      </c>
      <c r="AZ28" s="157">
        <f t="shared" si="10"/>
        <v>-21206.03671</v>
      </c>
      <c r="BA28" s="157">
        <f t="shared" si="10"/>
        <v>-20556.81665</v>
      </c>
      <c r="BB28" s="157">
        <f t="shared" si="10"/>
        <v>-19894.61218</v>
      </c>
      <c r="BC28" s="157">
        <f t="shared" si="10"/>
        <v>-19242.02442</v>
      </c>
      <c r="BD28" s="157">
        <f t="shared" si="10"/>
        <v>-18576.38491</v>
      </c>
      <c r="BE28" s="157">
        <f t="shared" si="10"/>
        <v>-17897.43261</v>
      </c>
      <c r="BF28" s="157">
        <f t="shared" si="10"/>
        <v>-17204.90126</v>
      </c>
      <c r="BG28" s="157">
        <f t="shared" si="10"/>
        <v>-16516.32665</v>
      </c>
      <c r="BH28" s="157">
        <f t="shared" si="10"/>
        <v>-15813.98054</v>
      </c>
      <c r="BI28" s="157">
        <f t="shared" si="10"/>
        <v>-15097.58751</v>
      </c>
      <c r="BJ28" s="157">
        <f t="shared" si="10"/>
        <v>-14366.86662</v>
      </c>
      <c r="BK28" s="157">
        <f t="shared" si="10"/>
        <v>-13621.53131</v>
      </c>
      <c r="BL28" s="157">
        <f t="shared" si="10"/>
        <v>-12861.2893</v>
      </c>
      <c r="BM28" s="157">
        <f t="shared" si="10"/>
        <v>-12085.84244</v>
      </c>
      <c r="BN28" s="152"/>
    </row>
    <row r="29" outlineLevel="1">
      <c r="A29" s="152"/>
      <c r="B29" s="165" t="s">
        <v>150</v>
      </c>
      <c r="C29" s="163"/>
      <c r="D29" s="163"/>
      <c r="E29" s="163"/>
      <c r="F29" s="163">
        <f>IF(F28&gt;0,F28*Assumptions!$C$145,0)</f>
        <v>0</v>
      </c>
      <c r="G29" s="163">
        <f>IF(G28&gt;0,G28*Assumptions!$C$145,0)</f>
        <v>0</v>
      </c>
      <c r="H29" s="163">
        <f>IF(H28&gt;0,H28*Assumptions!$C$145,0)</f>
        <v>0</v>
      </c>
      <c r="I29" s="163">
        <f>IF(I28&gt;0,I28*Assumptions!$C$145,0)</f>
        <v>0</v>
      </c>
      <c r="J29" s="163">
        <f>IF(J28&gt;0,J28*Assumptions!$C$145,0)</f>
        <v>0</v>
      </c>
      <c r="K29" s="163">
        <f>IF(K28&gt;0,K28*Assumptions!$C$145,0)</f>
        <v>0</v>
      </c>
      <c r="L29" s="163">
        <f>IF(L28&gt;0,L28*Assumptions!$C$145,0)</f>
        <v>0</v>
      </c>
      <c r="M29" s="163">
        <f>IF(M28&gt;0,M28*Assumptions!$C$145,0)</f>
        <v>0</v>
      </c>
      <c r="N29" s="163">
        <f>IF(N28&gt;0,N28*Assumptions!$C$145,0)</f>
        <v>0</v>
      </c>
      <c r="O29" s="163">
        <f>IF(O28&gt;0,O28*Assumptions!$C$145,0)</f>
        <v>0</v>
      </c>
      <c r="P29" s="163">
        <f>IF(P28&gt;0,P28*Assumptions!$C$145,0)</f>
        <v>0</v>
      </c>
      <c r="Q29" s="163">
        <f>IF(Q28&gt;0,Q28*Assumptions!$C$145,0)</f>
        <v>0</v>
      </c>
      <c r="R29" s="163">
        <f>IF(R28&gt;0,R28*Assumptions!$C$145,0)</f>
        <v>0</v>
      </c>
      <c r="S29" s="163">
        <f>IF(S28&gt;0,S28*Assumptions!$C$145,0)</f>
        <v>0</v>
      </c>
      <c r="T29" s="163">
        <f>IF(T28&gt;0,T28*Assumptions!$C$145,0)</f>
        <v>0</v>
      </c>
      <c r="U29" s="163">
        <f>IF(U28&gt;0,U28*Assumptions!$C$145,0)</f>
        <v>0</v>
      </c>
      <c r="V29" s="163">
        <f>IF(V28&gt;0,V28*Assumptions!$C$145,0)</f>
        <v>0</v>
      </c>
      <c r="W29" s="163">
        <f>IF(W28&gt;0,W28*Assumptions!$C$145,0)</f>
        <v>0</v>
      </c>
      <c r="X29" s="163">
        <f>IF(X28&gt;0,X28*Assumptions!$C$145,0)</f>
        <v>0</v>
      </c>
      <c r="Y29" s="163">
        <f>IF(Y28&gt;0,Y28*Assumptions!$C$145,0)</f>
        <v>0</v>
      </c>
      <c r="Z29" s="163">
        <f>IF(Z28&gt;0,Z28*Assumptions!$C$145,0)</f>
        <v>0</v>
      </c>
      <c r="AA29" s="163">
        <f>IF(AA28&gt;0,AA28*Assumptions!$C$145,0)</f>
        <v>0</v>
      </c>
      <c r="AB29" s="163">
        <f>IF(AB28&gt;0,AB28*Assumptions!$C$145,0)</f>
        <v>0</v>
      </c>
      <c r="AC29" s="163">
        <f>IF(AC28&gt;0,AC28*Assumptions!$C$145,0)</f>
        <v>0</v>
      </c>
      <c r="AD29" s="163">
        <f>IF(AD28&gt;0,AD28*Assumptions!$C$145,0)</f>
        <v>0</v>
      </c>
      <c r="AE29" s="163">
        <f>IF(AE28&gt;0,AE28*Assumptions!$C$145,0)</f>
        <v>0</v>
      </c>
      <c r="AF29" s="163">
        <f>IF(AF28&gt;0,AF28*Assumptions!$C$145,0)</f>
        <v>0</v>
      </c>
      <c r="AG29" s="163">
        <f>IF(AG28&gt;0,AG28*Assumptions!$C$145,0)</f>
        <v>0</v>
      </c>
      <c r="AH29" s="163">
        <f>IF(AH28&gt;0,AH28*Assumptions!$C$145,0)</f>
        <v>0</v>
      </c>
      <c r="AI29" s="163">
        <f>IF(AI28&gt;0,AI28*Assumptions!$C$145,0)</f>
        <v>0</v>
      </c>
      <c r="AJ29" s="163">
        <f>IF(AJ28&gt;0,AJ28*Assumptions!$C$145,0)</f>
        <v>0</v>
      </c>
      <c r="AK29" s="163">
        <f>IF(AK28&gt;0,AK28*Assumptions!$C$145,0)</f>
        <v>0</v>
      </c>
      <c r="AL29" s="163">
        <f>IF(AL28&gt;0,AL28*Assumptions!$C$145,0)</f>
        <v>0</v>
      </c>
      <c r="AM29" s="163">
        <f>IF(AM28&gt;0,AM28*Assumptions!$C$145,0)</f>
        <v>0</v>
      </c>
      <c r="AN29" s="163">
        <f>IF(AN28&gt;0,AN28*Assumptions!$C$145,0)</f>
        <v>0</v>
      </c>
      <c r="AO29" s="163">
        <f>IF(AO28&gt;0,AO28*Assumptions!$C$145,0)</f>
        <v>0</v>
      </c>
      <c r="AP29" s="163">
        <f>IF(AP28&gt;0,AP28*Assumptions!$C$145,0)</f>
        <v>0</v>
      </c>
      <c r="AQ29" s="163">
        <f>IF(AQ28&gt;0,AQ28*Assumptions!$C$145,0)</f>
        <v>0</v>
      </c>
      <c r="AR29" s="163">
        <f>IF(AR28&gt;0,AR28*Assumptions!$C$145,0)</f>
        <v>0</v>
      </c>
      <c r="AS29" s="163">
        <f>IF(AS28&gt;0,AS28*Assumptions!$C$145,0)</f>
        <v>0</v>
      </c>
      <c r="AT29" s="163">
        <f>IF(AT28&gt;0,AT28*Assumptions!$C$145,0)</f>
        <v>0</v>
      </c>
      <c r="AU29" s="163">
        <f>IF(AU28&gt;0,AU28*Assumptions!$C$145,0)</f>
        <v>0</v>
      </c>
      <c r="AV29" s="163">
        <f>IF(AV28&gt;0,AV28*Assumptions!$C$145,0)</f>
        <v>0</v>
      </c>
      <c r="AW29" s="163">
        <f>IF(AW28&gt;0,AW28*Assumptions!$C$145,0)</f>
        <v>0</v>
      </c>
      <c r="AX29" s="163">
        <f>IF(AX28&gt;0,AX28*Assumptions!$C$145,0)</f>
        <v>0</v>
      </c>
      <c r="AY29" s="163">
        <f>IF(AY28&gt;0,AY28*Assumptions!$C$145,0)</f>
        <v>0</v>
      </c>
      <c r="AZ29" s="163">
        <f>IF(AZ28&gt;0,AZ28*Assumptions!$C$145,0)</f>
        <v>0</v>
      </c>
      <c r="BA29" s="163">
        <f>IF(BA28&gt;0,BA28*Assumptions!$C$145,0)</f>
        <v>0</v>
      </c>
      <c r="BB29" s="163">
        <f>IF(BB28&gt;0,BB28*Assumptions!$C$145,0)</f>
        <v>0</v>
      </c>
      <c r="BC29" s="163">
        <f>IF(BC28&gt;0,BC28*Assumptions!$C$145,0)</f>
        <v>0</v>
      </c>
      <c r="BD29" s="163">
        <f>IF(BD28&gt;0,BD28*Assumptions!$C$145,0)</f>
        <v>0</v>
      </c>
      <c r="BE29" s="163">
        <f>IF(BE28&gt;0,BE28*Assumptions!$C$145,0)</f>
        <v>0</v>
      </c>
      <c r="BF29" s="163">
        <f>IF(BF28&gt;0,BF28*Assumptions!$C$145,0)</f>
        <v>0</v>
      </c>
      <c r="BG29" s="163">
        <f>IF(BG28&gt;0,BG28*Assumptions!$C$145,0)</f>
        <v>0</v>
      </c>
      <c r="BH29" s="163">
        <f>IF(BH28&gt;0,BH28*Assumptions!$C$145,0)</f>
        <v>0</v>
      </c>
      <c r="BI29" s="163">
        <f>IF(BI28&gt;0,BI28*Assumptions!$C$145,0)</f>
        <v>0</v>
      </c>
      <c r="BJ29" s="163">
        <f>IF(BJ28&gt;0,BJ28*Assumptions!$C$145,0)</f>
        <v>0</v>
      </c>
      <c r="BK29" s="163">
        <f>IF(BK28&gt;0,BK28*Assumptions!$C$145,0)</f>
        <v>0</v>
      </c>
      <c r="BL29" s="163">
        <f>IF(BL28&gt;0,BL28*Assumptions!$C$145,0)</f>
        <v>0</v>
      </c>
      <c r="BM29" s="163">
        <f>IF(BM28&gt;0,BM28*Assumptions!$C$145,0)</f>
        <v>0</v>
      </c>
      <c r="BN29" s="152"/>
    </row>
    <row r="30" outlineLevel="1">
      <c r="A30" s="152"/>
      <c r="B30" s="161" t="s">
        <v>151</v>
      </c>
      <c r="C30" s="152"/>
      <c r="D30" s="152"/>
      <c r="E30" s="152"/>
      <c r="F30" s="164">
        <f t="shared" ref="F30:BM30" si="11">F28-F29</f>
        <v>-35500</v>
      </c>
      <c r="G30" s="164">
        <f t="shared" si="11"/>
        <v>-35276.75</v>
      </c>
      <c r="H30" s="164">
        <f t="shared" si="11"/>
        <v>-35049.035</v>
      </c>
      <c r="I30" s="164">
        <f t="shared" si="11"/>
        <v>-34816.7657</v>
      </c>
      <c r="J30" s="164">
        <f t="shared" si="11"/>
        <v>-34579.85101</v>
      </c>
      <c r="K30" s="164">
        <f t="shared" si="11"/>
        <v>-42164.29803</v>
      </c>
      <c r="L30" s="164">
        <f t="shared" si="11"/>
        <v>-41740.43399</v>
      </c>
      <c r="M30" s="164">
        <f t="shared" si="11"/>
        <v>-41308.09267</v>
      </c>
      <c r="N30" s="164">
        <f t="shared" si="11"/>
        <v>-40867.10453</v>
      </c>
      <c r="O30" s="164">
        <f t="shared" si="11"/>
        <v>-40417.29662</v>
      </c>
      <c r="P30" s="164">
        <f t="shared" si="11"/>
        <v>-39958.49255</v>
      </c>
      <c r="Q30" s="164">
        <f t="shared" si="11"/>
        <v>-39490.5124</v>
      </c>
      <c r="R30" s="164">
        <f t="shared" si="11"/>
        <v>-39013.17265</v>
      </c>
      <c r="S30" s="164">
        <f t="shared" si="11"/>
        <v>-38570.9361</v>
      </c>
      <c r="T30" s="164">
        <f t="shared" si="11"/>
        <v>-38119.85483</v>
      </c>
      <c r="U30" s="164">
        <f t="shared" si="11"/>
        <v>-37659.75192</v>
      </c>
      <c r="V30" s="164">
        <f t="shared" si="11"/>
        <v>-37190.44696</v>
      </c>
      <c r="W30" s="164">
        <f t="shared" si="11"/>
        <v>-36746.5359</v>
      </c>
      <c r="X30" s="164">
        <f t="shared" si="11"/>
        <v>-36293.74662</v>
      </c>
      <c r="Y30" s="164">
        <f t="shared" si="11"/>
        <v>-35831.90155</v>
      </c>
      <c r="Z30" s="164">
        <f t="shared" si="11"/>
        <v>-35360.81958</v>
      </c>
      <c r="AA30" s="164">
        <f t="shared" si="11"/>
        <v>-34880.31597</v>
      </c>
      <c r="AB30" s="164">
        <f t="shared" si="11"/>
        <v>-34390.20229</v>
      </c>
      <c r="AC30" s="164">
        <f t="shared" si="11"/>
        <v>-33890.28634</v>
      </c>
      <c r="AD30" s="164">
        <f t="shared" si="11"/>
        <v>-33380.37206</v>
      </c>
      <c r="AE30" s="164">
        <f t="shared" si="11"/>
        <v>-32895.97951</v>
      </c>
      <c r="AF30" s="164">
        <f t="shared" si="11"/>
        <v>-32401.8991</v>
      </c>
      <c r="AG30" s="164">
        <f t="shared" si="11"/>
        <v>-31897.93708</v>
      </c>
      <c r="AH30" s="164">
        <f t="shared" si="11"/>
        <v>-31383.89582</v>
      </c>
      <c r="AI30" s="164">
        <f t="shared" si="11"/>
        <v>-30887.39774</v>
      </c>
      <c r="AJ30" s="164">
        <f t="shared" si="11"/>
        <v>-30380.96969</v>
      </c>
      <c r="AK30" s="164">
        <f t="shared" si="11"/>
        <v>-29864.41308</v>
      </c>
      <c r="AL30" s="164">
        <f t="shared" si="11"/>
        <v>-29337.52535</v>
      </c>
      <c r="AM30" s="164">
        <f t="shared" si="11"/>
        <v>-28800.09985</v>
      </c>
      <c r="AN30" s="164">
        <f t="shared" si="11"/>
        <v>-28251.92585</v>
      </c>
      <c r="AO30" s="164">
        <f t="shared" si="11"/>
        <v>-27692.78837</v>
      </c>
      <c r="AP30" s="164">
        <f t="shared" si="11"/>
        <v>-27122.46813</v>
      </c>
      <c r="AQ30" s="164">
        <f t="shared" si="11"/>
        <v>-26569.3175</v>
      </c>
      <c r="AR30" s="164">
        <f t="shared" si="11"/>
        <v>-26005.10385</v>
      </c>
      <c r="AS30" s="164">
        <f t="shared" si="11"/>
        <v>-25429.60592</v>
      </c>
      <c r="AT30" s="164">
        <f t="shared" si="11"/>
        <v>-24842.59804</v>
      </c>
      <c r="AU30" s="164">
        <f t="shared" si="11"/>
        <v>-24266.1092</v>
      </c>
      <c r="AV30" s="164">
        <f t="shared" si="11"/>
        <v>-23678.09059</v>
      </c>
      <c r="AW30" s="164">
        <f t="shared" si="11"/>
        <v>-23078.3116</v>
      </c>
      <c r="AX30" s="164">
        <f t="shared" si="11"/>
        <v>-22466.53703</v>
      </c>
      <c r="AY30" s="164">
        <f t="shared" si="11"/>
        <v>-21842.52697</v>
      </c>
      <c r="AZ30" s="164">
        <f t="shared" si="11"/>
        <v>-21206.03671</v>
      </c>
      <c r="BA30" s="164">
        <f t="shared" si="11"/>
        <v>-20556.81665</v>
      </c>
      <c r="BB30" s="164">
        <f t="shared" si="11"/>
        <v>-19894.61218</v>
      </c>
      <c r="BC30" s="164">
        <f t="shared" si="11"/>
        <v>-19242.02442</v>
      </c>
      <c r="BD30" s="164">
        <f t="shared" si="11"/>
        <v>-18576.38491</v>
      </c>
      <c r="BE30" s="164">
        <f t="shared" si="11"/>
        <v>-17897.43261</v>
      </c>
      <c r="BF30" s="164">
        <f t="shared" si="11"/>
        <v>-17204.90126</v>
      </c>
      <c r="BG30" s="164">
        <f t="shared" si="11"/>
        <v>-16516.32665</v>
      </c>
      <c r="BH30" s="164">
        <f t="shared" si="11"/>
        <v>-15813.98054</v>
      </c>
      <c r="BI30" s="164">
        <f t="shared" si="11"/>
        <v>-15097.58751</v>
      </c>
      <c r="BJ30" s="164">
        <f t="shared" si="11"/>
        <v>-14366.86662</v>
      </c>
      <c r="BK30" s="164">
        <f t="shared" si="11"/>
        <v>-13621.53131</v>
      </c>
      <c r="BL30" s="164">
        <f t="shared" si="11"/>
        <v>-12861.2893</v>
      </c>
      <c r="BM30" s="164">
        <f t="shared" si="11"/>
        <v>-12085.84244</v>
      </c>
      <c r="BN30" s="152"/>
    </row>
    <row r="31" outlineLevel="1">
      <c r="A31" s="30"/>
      <c r="B31" s="166" t="s">
        <v>152</v>
      </c>
      <c r="C31" s="30"/>
      <c r="D31" s="30"/>
      <c r="E31" s="30"/>
      <c r="F31" s="160" t="str">
        <f t="shared" ref="F31:BM31" si="12">F30/F8</f>
        <v>#DIV/0!</v>
      </c>
      <c r="G31" s="160">
        <f t="shared" si="12"/>
        <v>-74.26684211</v>
      </c>
      <c r="H31" s="160">
        <f t="shared" si="12"/>
        <v>-36.52843669</v>
      </c>
      <c r="I31" s="160">
        <f t="shared" si="12"/>
        <v>-23.95061237</v>
      </c>
      <c r="J31" s="160">
        <f t="shared" si="12"/>
        <v>-17.66293309</v>
      </c>
      <c r="K31" s="160">
        <f t="shared" si="12"/>
        <v>-14.83655829</v>
      </c>
      <c r="L31" s="160">
        <f t="shared" si="12"/>
        <v>-11.14934246</v>
      </c>
      <c r="M31" s="160">
        <f t="shared" si="12"/>
        <v>-8.857492894</v>
      </c>
      <c r="N31" s="160">
        <f t="shared" si="12"/>
        <v>-7.295215224</v>
      </c>
      <c r="O31" s="160">
        <f t="shared" si="12"/>
        <v>-6.162165821</v>
      </c>
      <c r="P31" s="160">
        <f t="shared" si="12"/>
        <v>-5.30296541</v>
      </c>
      <c r="Q31" s="160">
        <f t="shared" si="12"/>
        <v>-4.629155316</v>
      </c>
      <c r="R31" s="160">
        <f t="shared" si="12"/>
        <v>-4.086671877</v>
      </c>
      <c r="S31" s="160">
        <f t="shared" si="12"/>
        <v>-3.677846412</v>
      </c>
      <c r="T31" s="160">
        <f t="shared" si="12"/>
        <v>-3.330083332</v>
      </c>
      <c r="U31" s="160">
        <f t="shared" si="12"/>
        <v>-3.030707457</v>
      </c>
      <c r="V31" s="160">
        <f t="shared" si="12"/>
        <v>-2.770324611</v>
      </c>
      <c r="W31" s="160">
        <f t="shared" si="12"/>
        <v>-2.55733526</v>
      </c>
      <c r="X31" s="160">
        <f t="shared" si="12"/>
        <v>-2.367119223</v>
      </c>
      <c r="Y31" s="160">
        <f t="shared" si="12"/>
        <v>-2.196241198</v>
      </c>
      <c r="Z31" s="160">
        <f t="shared" si="12"/>
        <v>-2.041923676</v>
      </c>
      <c r="AA31" s="160">
        <f t="shared" si="12"/>
        <v>-1.901896688</v>
      </c>
      <c r="AB31" s="160">
        <f t="shared" si="12"/>
        <v>-1.774286938</v>
      </c>
      <c r="AC31" s="160">
        <f t="shared" si="12"/>
        <v>-1.657534776</v>
      </c>
      <c r="AD31" s="160">
        <f t="shared" si="12"/>
        <v>-1.550331195</v>
      </c>
      <c r="AE31" s="160">
        <f t="shared" si="12"/>
        <v>-1.458042294</v>
      </c>
      <c r="AF31" s="160">
        <f t="shared" si="12"/>
        <v>-1.372207075</v>
      </c>
      <c r="AG31" s="160">
        <f t="shared" si="12"/>
        <v>-1.292186616</v>
      </c>
      <c r="AH31" s="160">
        <f t="shared" si="12"/>
        <v>-1.217423589</v>
      </c>
      <c r="AI31" s="160">
        <f t="shared" si="12"/>
        <v>-1.150997759</v>
      </c>
      <c r="AJ31" s="160">
        <f t="shared" si="12"/>
        <v>-1.088423109</v>
      </c>
      <c r="AK31" s="160">
        <f t="shared" si="12"/>
        <v>-1.029385404</v>
      </c>
      <c r="AL31" s="160">
        <f t="shared" si="12"/>
        <v>-0.9736036427</v>
      </c>
      <c r="AM31" s="160">
        <f t="shared" si="12"/>
        <v>-0.920825774</v>
      </c>
      <c r="AN31" s="160">
        <f t="shared" si="12"/>
        <v>-0.8708250641</v>
      </c>
      <c r="AO31" s="160">
        <f t="shared" si="12"/>
        <v>-0.8233969934</v>
      </c>
      <c r="AP31" s="160">
        <f t="shared" si="12"/>
        <v>-0.7783566002</v>
      </c>
      <c r="AQ31" s="160">
        <f t="shared" si="12"/>
        <v>-0.7375709291</v>
      </c>
      <c r="AR31" s="160">
        <f t="shared" si="12"/>
        <v>-0.6986265424</v>
      </c>
      <c r="AS31" s="160">
        <f t="shared" si="12"/>
        <v>-0.6614086408</v>
      </c>
      <c r="AT31" s="160">
        <f t="shared" si="12"/>
        <v>-0.6258117345</v>
      </c>
      <c r="AU31" s="160">
        <f t="shared" si="12"/>
        <v>-0.5929674576</v>
      </c>
      <c r="AV31" s="160">
        <f t="shared" si="12"/>
        <v>-0.5614344382</v>
      </c>
      <c r="AW31" s="160">
        <f t="shared" si="12"/>
        <v>-0.5311415118</v>
      </c>
      <c r="AX31" s="160">
        <f t="shared" si="12"/>
        <v>-0.5020225352</v>
      </c>
      <c r="AY31" s="160">
        <f t="shared" si="12"/>
        <v>-0.4740159511</v>
      </c>
      <c r="AZ31" s="160">
        <f t="shared" si="12"/>
        <v>-0.447064397</v>
      </c>
      <c r="BA31" s="160">
        <f t="shared" si="12"/>
        <v>-0.4211143534</v>
      </c>
      <c r="BB31" s="160">
        <f t="shared" si="12"/>
        <v>-0.3961158272</v>
      </c>
      <c r="BC31" s="160">
        <f t="shared" si="12"/>
        <v>-0.37281559</v>
      </c>
      <c r="BD31" s="160">
        <f t="shared" si="12"/>
        <v>-0.3503063611</v>
      </c>
      <c r="BE31" s="160">
        <f t="shared" si="12"/>
        <v>-0.3285527267</v>
      </c>
      <c r="BF31" s="160">
        <f t="shared" si="12"/>
        <v>-0.3075213245</v>
      </c>
      <c r="BG31" s="160">
        <f t="shared" si="12"/>
        <v>-0.2876803844</v>
      </c>
      <c r="BH31" s="160">
        <f t="shared" si="12"/>
        <v>-0.2684593523</v>
      </c>
      <c r="BI31" s="160">
        <f t="shared" si="12"/>
        <v>-0.2498332186</v>
      </c>
      <c r="BJ31" s="160">
        <f t="shared" si="12"/>
        <v>-0.2317782719</v>
      </c>
      <c r="BK31" s="160">
        <f t="shared" si="12"/>
        <v>-0.2142720159</v>
      </c>
      <c r="BL31" s="160">
        <f t="shared" si="12"/>
        <v>-0.197293092</v>
      </c>
      <c r="BM31" s="160">
        <f t="shared" si="12"/>
        <v>-0.180821209</v>
      </c>
      <c r="BN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row>
    <row r="33">
      <c r="A33" s="30"/>
      <c r="B33" s="150" t="s">
        <v>109</v>
      </c>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c r="BC33" s="151"/>
      <c r="BD33" s="151"/>
      <c r="BE33" s="151"/>
      <c r="BF33" s="151"/>
      <c r="BG33" s="151"/>
      <c r="BH33" s="151"/>
      <c r="BI33" s="151"/>
      <c r="BJ33" s="151"/>
      <c r="BK33" s="151"/>
      <c r="BL33" s="151"/>
      <c r="BM33" s="151"/>
      <c r="BN33" s="147"/>
    </row>
    <row r="34" outlineLevel="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row>
    <row r="35" outlineLevel="1">
      <c r="A35" s="152"/>
      <c r="B35" s="161" t="s">
        <v>110</v>
      </c>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c r="AA35" s="152"/>
      <c r="AB35" s="152"/>
      <c r="AC35" s="152"/>
      <c r="AD35" s="152"/>
      <c r="AE35" s="152"/>
      <c r="AF35" s="152"/>
      <c r="AG35" s="152"/>
      <c r="AH35" s="152"/>
      <c r="AI35" s="152"/>
      <c r="AJ35" s="152"/>
      <c r="AK35" s="152"/>
      <c r="AL35" s="152"/>
      <c r="AM35" s="152"/>
      <c r="AN35" s="152"/>
      <c r="AO35" s="152"/>
      <c r="AP35" s="152"/>
      <c r="AQ35" s="152"/>
      <c r="AR35" s="152"/>
      <c r="AS35" s="152"/>
      <c r="AT35" s="152"/>
      <c r="AU35" s="152"/>
      <c r="AV35" s="152"/>
      <c r="AW35" s="152"/>
      <c r="AX35" s="152"/>
      <c r="AY35" s="152"/>
      <c r="AZ35" s="152"/>
      <c r="BA35" s="152"/>
      <c r="BB35" s="152"/>
      <c r="BC35" s="152"/>
      <c r="BD35" s="152"/>
      <c r="BE35" s="152"/>
      <c r="BF35" s="152"/>
      <c r="BG35" s="152"/>
      <c r="BH35" s="152"/>
      <c r="BI35" s="152"/>
      <c r="BJ35" s="152"/>
      <c r="BK35" s="152"/>
      <c r="BL35" s="152"/>
      <c r="BM35" s="152"/>
      <c r="BN35" s="152"/>
    </row>
    <row r="36" outlineLevel="1">
      <c r="A36" s="152"/>
      <c r="B36" s="167" t="s">
        <v>153</v>
      </c>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c r="AA36" s="152"/>
      <c r="AB36" s="152"/>
      <c r="AC36" s="152"/>
      <c r="AD36" s="152"/>
      <c r="AE36" s="152"/>
      <c r="AF36" s="152"/>
      <c r="AG36" s="152"/>
      <c r="AH36" s="152"/>
      <c r="AI36" s="152"/>
      <c r="AJ36" s="152"/>
      <c r="AK36" s="152"/>
      <c r="AL36" s="152"/>
      <c r="AM36" s="152"/>
      <c r="AN36" s="152"/>
      <c r="AO36" s="152"/>
      <c r="AP36" s="152"/>
      <c r="AQ36" s="152"/>
      <c r="AR36" s="152"/>
      <c r="AS36" s="152"/>
      <c r="AT36" s="152"/>
      <c r="AU36" s="152"/>
      <c r="AV36" s="152"/>
      <c r="AW36" s="152"/>
      <c r="AX36" s="152"/>
      <c r="AY36" s="152"/>
      <c r="AZ36" s="152"/>
      <c r="BA36" s="152"/>
      <c r="BB36" s="152"/>
      <c r="BC36" s="152"/>
      <c r="BD36" s="152"/>
      <c r="BE36" s="152"/>
      <c r="BF36" s="152"/>
      <c r="BG36" s="152"/>
      <c r="BH36" s="152"/>
      <c r="BI36" s="152"/>
      <c r="BJ36" s="152"/>
      <c r="BK36" s="152"/>
      <c r="BL36" s="152"/>
      <c r="BM36" s="152"/>
      <c r="BN36" s="152"/>
    </row>
    <row r="37" outlineLevel="1">
      <c r="A37" s="152"/>
      <c r="B37" s="162" t="s">
        <v>154</v>
      </c>
      <c r="C37" s="152"/>
      <c r="D37" s="152"/>
      <c r="E37" s="152"/>
      <c r="F37" s="152">
        <f t="shared" ref="F37:BM37" si="13">F82</f>
        <v>7250</v>
      </c>
      <c r="G37" s="152">
        <f t="shared" si="13"/>
        <v>977067.625</v>
      </c>
      <c r="H37" s="152">
        <f t="shared" si="13"/>
        <v>946739.8525</v>
      </c>
      <c r="I37" s="152">
        <f t="shared" si="13"/>
        <v>916263.7746</v>
      </c>
      <c r="J37" s="152">
        <f t="shared" si="13"/>
        <v>885636.425</v>
      </c>
      <c r="K37" s="152">
        <f t="shared" si="13"/>
        <v>850996.9285</v>
      </c>
      <c r="L37" s="152">
        <f t="shared" si="13"/>
        <v>816086.7921</v>
      </c>
      <c r="M37" s="152">
        <f t="shared" si="13"/>
        <v>780900.603</v>
      </c>
      <c r="N37" s="152">
        <f t="shared" si="13"/>
        <v>745432.84</v>
      </c>
      <c r="O37" s="152">
        <f t="shared" si="13"/>
        <v>709677.8718</v>
      </c>
      <c r="P37" s="152">
        <f t="shared" si="13"/>
        <v>673629.9543</v>
      </c>
      <c r="Q37" s="152">
        <f t="shared" si="13"/>
        <v>637283.2283</v>
      </c>
      <c r="R37" s="152">
        <f t="shared" si="13"/>
        <v>600631.7179</v>
      </c>
      <c r="S37" s="152">
        <f t="shared" si="13"/>
        <v>568305.8023</v>
      </c>
      <c r="T37" s="152">
        <f t="shared" si="13"/>
        <v>535805.8683</v>
      </c>
      <c r="U37" s="152">
        <f t="shared" si="13"/>
        <v>503128.4357</v>
      </c>
      <c r="V37" s="152">
        <f t="shared" si="13"/>
        <v>470269.9544</v>
      </c>
      <c r="W37" s="152">
        <f t="shared" si="13"/>
        <v>440838.3735</v>
      </c>
      <c r="X37" s="152">
        <f t="shared" si="13"/>
        <v>411329.8809</v>
      </c>
      <c r="Y37" s="152">
        <f t="shared" si="13"/>
        <v>381742.9386</v>
      </c>
      <c r="Z37" s="152">
        <f t="shared" si="13"/>
        <v>352075.9773</v>
      </c>
      <c r="AA37" s="152">
        <f t="shared" si="13"/>
        <v>322327.3969</v>
      </c>
      <c r="AB37" s="152">
        <f t="shared" si="13"/>
        <v>292495.5648</v>
      </c>
      <c r="AC37" s="152">
        <f t="shared" si="13"/>
        <v>262578.8161</v>
      </c>
      <c r="AD37" s="152">
        <f t="shared" si="13"/>
        <v>232575.4524</v>
      </c>
      <c r="AE37" s="152">
        <f t="shared" si="13"/>
        <v>206192.9215</v>
      </c>
      <c r="AF37" s="152">
        <f t="shared" si="13"/>
        <v>179834.7399</v>
      </c>
      <c r="AG37" s="152">
        <f t="shared" si="13"/>
        <v>153501.3947</v>
      </c>
      <c r="AH37" s="152">
        <f t="shared" si="13"/>
        <v>127193.3826</v>
      </c>
      <c r="AI37" s="152">
        <f t="shared" si="13"/>
        <v>103800.4663</v>
      </c>
      <c r="AJ37" s="152">
        <f t="shared" si="13"/>
        <v>80523.06758</v>
      </c>
      <c r="AK37" s="152">
        <f t="shared" si="13"/>
        <v>57363.49693</v>
      </c>
      <c r="AL37" s="152">
        <f t="shared" si="13"/>
        <v>34324.11087</v>
      </c>
      <c r="AM37" s="152">
        <f t="shared" si="13"/>
        <v>11407.31309</v>
      </c>
      <c r="AN37" s="152">
        <f t="shared" si="13"/>
        <v>-11384.44465</v>
      </c>
      <c r="AO37" s="152">
        <f t="shared" si="13"/>
        <v>-34048.66154</v>
      </c>
      <c r="AP37" s="152">
        <f t="shared" si="13"/>
        <v>-56582.78677</v>
      </c>
      <c r="AQ37" s="152">
        <f t="shared" si="13"/>
        <v>-76016.87451</v>
      </c>
      <c r="AR37" s="152">
        <f t="shared" si="13"/>
        <v>-95224.044</v>
      </c>
      <c r="AS37" s="152">
        <f t="shared" si="13"/>
        <v>-114199.7569</v>
      </c>
      <c r="AT37" s="152">
        <f t="shared" si="13"/>
        <v>-132939.384</v>
      </c>
      <c r="AU37" s="152">
        <f t="shared" si="13"/>
        <v>-149126.7989</v>
      </c>
      <c r="AV37" s="152">
        <f t="shared" si="13"/>
        <v>-164997.2613</v>
      </c>
      <c r="AW37" s="152">
        <f t="shared" si="13"/>
        <v>-180544.4321</v>
      </c>
      <c r="AX37" s="152">
        <f t="shared" si="13"/>
        <v>-195761.8455</v>
      </c>
      <c r="AY37" s="152">
        <f t="shared" si="13"/>
        <v>-210642.9065</v>
      </c>
      <c r="AZ37" s="152">
        <f t="shared" si="13"/>
        <v>-225180.8878</v>
      </c>
      <c r="BA37" s="152">
        <f t="shared" si="13"/>
        <v>-239368.9279</v>
      </c>
      <c r="BB37" s="152">
        <f t="shared" si="13"/>
        <v>-253200.0281</v>
      </c>
      <c r="BC37" s="152">
        <f t="shared" si="13"/>
        <v>-264293.1743</v>
      </c>
      <c r="BD37" s="152">
        <f t="shared" si="13"/>
        <v>-274941.7033</v>
      </c>
      <c r="BE37" s="152">
        <f t="shared" si="13"/>
        <v>-285136.723</v>
      </c>
      <c r="BF37" s="152">
        <f t="shared" si="13"/>
        <v>-294869.1631</v>
      </c>
      <c r="BG37" s="152">
        <f t="shared" si="13"/>
        <v>-302280.6481</v>
      </c>
      <c r="BH37" s="152">
        <f t="shared" si="13"/>
        <v>-309153.8022</v>
      </c>
      <c r="BI37" s="152">
        <f t="shared" si="13"/>
        <v>-315477.8587</v>
      </c>
      <c r="BJ37" s="152">
        <f t="shared" si="13"/>
        <v>-321241.8357</v>
      </c>
      <c r="BK37" s="152">
        <f t="shared" si="13"/>
        <v>-326434.5316</v>
      </c>
      <c r="BL37" s="152">
        <f t="shared" si="13"/>
        <v>-331044.5208</v>
      </c>
      <c r="BM37" s="152">
        <f t="shared" si="13"/>
        <v>-335060.1492</v>
      </c>
      <c r="BN37" s="152"/>
    </row>
    <row r="38" outlineLevel="1">
      <c r="A38" s="152"/>
      <c r="B38" s="162" t="s">
        <v>155</v>
      </c>
      <c r="C38" s="152"/>
      <c r="D38" s="152"/>
      <c r="E38" s="152"/>
      <c r="F38" s="152">
        <f>Assumptions!T155</f>
        <v>0</v>
      </c>
      <c r="G38" s="152">
        <f>Assumptions!U155</f>
        <v>237.5</v>
      </c>
      <c r="H38" s="152">
        <f>Assumptions!V155</f>
        <v>479.75</v>
      </c>
      <c r="I38" s="152">
        <f>Assumptions!W155</f>
        <v>726.845</v>
      </c>
      <c r="J38" s="152">
        <f>Assumptions!X155</f>
        <v>978.8819</v>
      </c>
      <c r="K38" s="152">
        <f>Assumptions!Y155</f>
        <v>1420.959538</v>
      </c>
      <c r="L38" s="152">
        <f>Assumptions!Z155</f>
        <v>1871.878729</v>
      </c>
      <c r="M38" s="152">
        <f>Assumptions!AA155</f>
        <v>2331.816303</v>
      </c>
      <c r="N38" s="152">
        <f>Assumptions!AB155</f>
        <v>2800.952629</v>
      </c>
      <c r="O38" s="152">
        <f>Assumptions!AC155</f>
        <v>3279.471682</v>
      </c>
      <c r="P38" s="152">
        <f>Assumptions!AD155</f>
        <v>3767.561116</v>
      </c>
      <c r="Q38" s="152">
        <f>Assumptions!AE155</f>
        <v>4265.412338</v>
      </c>
      <c r="R38" s="152">
        <f>Assumptions!AF155</f>
        <v>4773.220585</v>
      </c>
      <c r="S38" s="152">
        <f>Assumptions!AG155</f>
        <v>5243.684996</v>
      </c>
      <c r="T38" s="152">
        <f>Assumptions!AH155</f>
        <v>5723.558696</v>
      </c>
      <c r="U38" s="152">
        <f>Assumptions!AI155</f>
        <v>6213.02987</v>
      </c>
      <c r="V38" s="152">
        <f>Assumptions!AJ155</f>
        <v>6712.290468</v>
      </c>
      <c r="W38" s="152">
        <f>Assumptions!AK155</f>
        <v>7184.536277</v>
      </c>
      <c r="X38" s="152">
        <f>Assumptions!AL155</f>
        <v>7666.227003</v>
      </c>
      <c r="Y38" s="152">
        <f>Assumptions!AM155</f>
        <v>8157.551543</v>
      </c>
      <c r="Z38" s="152">
        <f>Assumptions!AN155</f>
        <v>8658.702573</v>
      </c>
      <c r="AA38" s="152">
        <f>Assumptions!AO155</f>
        <v>9169.876625</v>
      </c>
      <c r="AB38" s="152">
        <f>Assumptions!AP155</f>
        <v>9691.274157</v>
      </c>
      <c r="AC38" s="152">
        <f>Assumptions!AQ155</f>
        <v>10223.09964</v>
      </c>
      <c r="AD38" s="152">
        <f>Assumptions!AR155</f>
        <v>10765.56163</v>
      </c>
      <c r="AE38" s="152">
        <f>Assumptions!AS155</f>
        <v>11280.87287</v>
      </c>
      <c r="AF38" s="152">
        <f>Assumptions!AT155</f>
        <v>11806.49032</v>
      </c>
      <c r="AG38" s="152">
        <f>Assumptions!AU155</f>
        <v>12342.62013</v>
      </c>
      <c r="AH38" s="152">
        <f>Assumptions!AV155</f>
        <v>12889.47253</v>
      </c>
      <c r="AI38" s="152">
        <f>Assumptions!AW155</f>
        <v>13417.66198</v>
      </c>
      <c r="AJ38" s="152">
        <f>Assumptions!AX155</f>
        <v>13956.41522</v>
      </c>
      <c r="AK38" s="152">
        <f>Assumptions!AY155</f>
        <v>14505.94353</v>
      </c>
      <c r="AL38" s="152">
        <f>Assumptions!AZ155</f>
        <v>15066.4624</v>
      </c>
      <c r="AM38" s="152">
        <f>Assumptions!BA155</f>
        <v>15638.19165</v>
      </c>
      <c r="AN38" s="152">
        <f>Assumptions!BB155</f>
        <v>16221.35548</v>
      </c>
      <c r="AO38" s="152">
        <f>Assumptions!BC155</f>
        <v>16816.18259</v>
      </c>
      <c r="AP38" s="152">
        <f>Assumptions!BD155</f>
        <v>17422.90624</v>
      </c>
      <c r="AQ38" s="152">
        <f>Assumptions!BE155</f>
        <v>18011.36436</v>
      </c>
      <c r="AR38" s="152">
        <f>Assumptions!BF155</f>
        <v>18611.59165</v>
      </c>
      <c r="AS38" s="152">
        <f>Assumptions!BG155</f>
        <v>19223.82349</v>
      </c>
      <c r="AT38" s="152">
        <f>Assumptions!BH155</f>
        <v>19848.29995</v>
      </c>
      <c r="AU38" s="152">
        <f>Assumptions!BI155</f>
        <v>20461.58595</v>
      </c>
      <c r="AV38" s="152">
        <f>Assumptions!BJ155</f>
        <v>21087.13767</v>
      </c>
      <c r="AW38" s="152">
        <f>Assumptions!BK155</f>
        <v>21725.20043</v>
      </c>
      <c r="AX38" s="152">
        <f>Assumptions!BL155</f>
        <v>22376.02443</v>
      </c>
      <c r="AY38" s="152">
        <f>Assumptions!BM155</f>
        <v>23039.86492</v>
      </c>
      <c r="AZ38" s="152">
        <f>Assumptions!BN155</f>
        <v>23716.98222</v>
      </c>
      <c r="BA38" s="152">
        <f>Assumptions!BO155</f>
        <v>24407.64187</v>
      </c>
      <c r="BB38" s="152">
        <f>Assumptions!BP155</f>
        <v>25112.1147</v>
      </c>
      <c r="BC38" s="152">
        <f>Assumptions!BQ155</f>
        <v>25806.357</v>
      </c>
      <c r="BD38" s="152">
        <f>Assumptions!BR155</f>
        <v>26514.48414</v>
      </c>
      <c r="BE38" s="152">
        <f>Assumptions!BS155</f>
        <v>27236.77382</v>
      </c>
      <c r="BF38" s="152">
        <f>Assumptions!BT155</f>
        <v>27973.5093</v>
      </c>
      <c r="BG38" s="152">
        <f>Assumptions!BU155</f>
        <v>28706.03548</v>
      </c>
      <c r="BH38" s="152">
        <f>Assumptions!BV155</f>
        <v>29453.21219</v>
      </c>
      <c r="BI38" s="152">
        <f>Assumptions!BW155</f>
        <v>30215.33244</v>
      </c>
      <c r="BJ38" s="152">
        <f>Assumptions!BX155</f>
        <v>30992.69509</v>
      </c>
      <c r="BK38" s="152">
        <f>Assumptions!BY155</f>
        <v>31785.60499</v>
      </c>
      <c r="BL38" s="152">
        <f>Assumptions!BZ155</f>
        <v>32594.37309</v>
      </c>
      <c r="BM38" s="152">
        <f>Assumptions!CA155</f>
        <v>33419.31655</v>
      </c>
      <c r="BN38" s="152"/>
    </row>
    <row r="39" outlineLevel="1">
      <c r="A39" s="152"/>
      <c r="B39" s="168" t="s">
        <v>156</v>
      </c>
      <c r="C39" s="169"/>
      <c r="D39" s="169"/>
      <c r="E39" s="169"/>
      <c r="F39" s="169">
        <f t="shared" ref="F39:BM39" si="14">SUM(F37:F38)</f>
        <v>7250</v>
      </c>
      <c r="G39" s="170">
        <f t="shared" si="14"/>
        <v>977305.125</v>
      </c>
      <c r="H39" s="170">
        <f t="shared" si="14"/>
        <v>947219.6025</v>
      </c>
      <c r="I39" s="170">
        <f t="shared" si="14"/>
        <v>916990.6196</v>
      </c>
      <c r="J39" s="170">
        <f t="shared" si="14"/>
        <v>886615.3069</v>
      </c>
      <c r="K39" s="170">
        <f t="shared" si="14"/>
        <v>852417.8881</v>
      </c>
      <c r="L39" s="170">
        <f t="shared" si="14"/>
        <v>817958.6708</v>
      </c>
      <c r="M39" s="170">
        <f t="shared" si="14"/>
        <v>783232.4193</v>
      </c>
      <c r="N39" s="170">
        <f t="shared" si="14"/>
        <v>748233.7926</v>
      </c>
      <c r="O39" s="170">
        <f t="shared" si="14"/>
        <v>712957.3435</v>
      </c>
      <c r="P39" s="170">
        <f t="shared" si="14"/>
        <v>677397.5154</v>
      </c>
      <c r="Q39" s="170">
        <f t="shared" si="14"/>
        <v>641548.6407</v>
      </c>
      <c r="R39" s="170">
        <f t="shared" si="14"/>
        <v>605404.9385</v>
      </c>
      <c r="S39" s="170">
        <f t="shared" si="14"/>
        <v>573549.4873</v>
      </c>
      <c r="T39" s="170">
        <f t="shared" si="14"/>
        <v>541529.427</v>
      </c>
      <c r="U39" s="170">
        <f t="shared" si="14"/>
        <v>509341.4655</v>
      </c>
      <c r="V39" s="170">
        <f t="shared" si="14"/>
        <v>476982.2449</v>
      </c>
      <c r="W39" s="170">
        <f t="shared" si="14"/>
        <v>448022.9097</v>
      </c>
      <c r="X39" s="170">
        <f t="shared" si="14"/>
        <v>418996.1079</v>
      </c>
      <c r="Y39" s="170">
        <f t="shared" si="14"/>
        <v>389900.4901</v>
      </c>
      <c r="Z39" s="170">
        <f t="shared" si="14"/>
        <v>360734.6799</v>
      </c>
      <c r="AA39" s="170">
        <f t="shared" si="14"/>
        <v>331497.2735</v>
      </c>
      <c r="AB39" s="170">
        <f t="shared" si="14"/>
        <v>302186.839</v>
      </c>
      <c r="AC39" s="170">
        <f t="shared" si="14"/>
        <v>272801.9158</v>
      </c>
      <c r="AD39" s="170">
        <f t="shared" si="14"/>
        <v>243341.0141</v>
      </c>
      <c r="AE39" s="170">
        <f t="shared" si="14"/>
        <v>217473.7943</v>
      </c>
      <c r="AF39" s="170">
        <f t="shared" si="14"/>
        <v>191641.2302</v>
      </c>
      <c r="AG39" s="170">
        <f t="shared" si="14"/>
        <v>165844.0148</v>
      </c>
      <c r="AH39" s="170">
        <f t="shared" si="14"/>
        <v>140082.8551</v>
      </c>
      <c r="AI39" s="170">
        <f t="shared" si="14"/>
        <v>117218.1282</v>
      </c>
      <c r="AJ39" s="170">
        <f t="shared" si="14"/>
        <v>94479.48281</v>
      </c>
      <c r="AK39" s="170">
        <f t="shared" si="14"/>
        <v>71869.44046</v>
      </c>
      <c r="AL39" s="170">
        <f t="shared" si="14"/>
        <v>49390.57327</v>
      </c>
      <c r="AM39" s="170">
        <f t="shared" si="14"/>
        <v>27045.50474</v>
      </c>
      <c r="AN39" s="170">
        <f t="shared" si="14"/>
        <v>4836.910832</v>
      </c>
      <c r="AO39" s="170">
        <f t="shared" si="14"/>
        <v>-17232.47895</v>
      </c>
      <c r="AP39" s="170">
        <f t="shared" si="14"/>
        <v>-39159.88053</v>
      </c>
      <c r="AQ39" s="170">
        <f t="shared" si="14"/>
        <v>-58005.51014</v>
      </c>
      <c r="AR39" s="170">
        <f t="shared" si="14"/>
        <v>-76612.45234</v>
      </c>
      <c r="AS39" s="170">
        <f t="shared" si="14"/>
        <v>-94975.93339</v>
      </c>
      <c r="AT39" s="170">
        <f t="shared" si="14"/>
        <v>-113091.0841</v>
      </c>
      <c r="AU39" s="170">
        <f t="shared" si="14"/>
        <v>-128665.2129</v>
      </c>
      <c r="AV39" s="170">
        <f t="shared" si="14"/>
        <v>-143910.1236</v>
      </c>
      <c r="AW39" s="170">
        <f t="shared" si="14"/>
        <v>-158819.2317</v>
      </c>
      <c r="AX39" s="170">
        <f t="shared" si="14"/>
        <v>-173385.8211</v>
      </c>
      <c r="AY39" s="170">
        <f t="shared" si="14"/>
        <v>-187603.0415</v>
      </c>
      <c r="AZ39" s="170">
        <f t="shared" si="14"/>
        <v>-201463.9056</v>
      </c>
      <c r="BA39" s="170">
        <f t="shared" si="14"/>
        <v>-214961.2861</v>
      </c>
      <c r="BB39" s="170">
        <f t="shared" si="14"/>
        <v>-228087.9134</v>
      </c>
      <c r="BC39" s="170">
        <f t="shared" si="14"/>
        <v>-238486.8173</v>
      </c>
      <c r="BD39" s="170">
        <f t="shared" si="14"/>
        <v>-248427.2192</v>
      </c>
      <c r="BE39" s="170">
        <f t="shared" si="14"/>
        <v>-257899.9492</v>
      </c>
      <c r="BF39" s="170">
        <f t="shared" si="14"/>
        <v>-266895.6538</v>
      </c>
      <c r="BG39" s="170">
        <f t="shared" si="14"/>
        <v>-273574.6126</v>
      </c>
      <c r="BH39" s="170">
        <f t="shared" si="14"/>
        <v>-279700.59</v>
      </c>
      <c r="BI39" s="170">
        <f t="shared" si="14"/>
        <v>-285262.5263</v>
      </c>
      <c r="BJ39" s="170">
        <f t="shared" si="14"/>
        <v>-290249.1406</v>
      </c>
      <c r="BK39" s="170">
        <f t="shared" si="14"/>
        <v>-294648.9266</v>
      </c>
      <c r="BL39" s="170">
        <f t="shared" si="14"/>
        <v>-298450.1477</v>
      </c>
      <c r="BM39" s="170">
        <f t="shared" si="14"/>
        <v>-301640.8326</v>
      </c>
      <c r="BN39" s="152"/>
    </row>
    <row r="40" outlineLevel="1">
      <c r="A40" s="152"/>
      <c r="B40" s="152"/>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row>
    <row r="41" outlineLevel="1">
      <c r="A41" s="152"/>
      <c r="B41" s="162" t="s">
        <v>114</v>
      </c>
      <c r="C41" s="152"/>
      <c r="D41" s="152"/>
      <c r="E41" s="152"/>
      <c r="F41" s="152">
        <f>SUM(Assumptions!T157:T161)</f>
        <v>0</v>
      </c>
      <c r="G41" s="152">
        <f>SUM(Assumptions!U157:U161)</f>
        <v>0</v>
      </c>
      <c r="H41" s="152">
        <f>SUM(Assumptions!V157:V161)</f>
        <v>0</v>
      </c>
      <c r="I41" s="152">
        <f>SUM(Assumptions!W157:W161)</f>
        <v>0</v>
      </c>
      <c r="J41" s="152">
        <f>SUM(Assumptions!X157:X161)</f>
        <v>0</v>
      </c>
      <c r="K41" s="152">
        <f>SUM(Assumptions!Y157:Y161)</f>
        <v>0</v>
      </c>
      <c r="L41" s="152">
        <f>SUM(Assumptions!Z157:Z161)</f>
        <v>0</v>
      </c>
      <c r="M41" s="152">
        <f>SUM(Assumptions!AA157:AA161)</f>
        <v>0</v>
      </c>
      <c r="N41" s="152">
        <f>SUM(Assumptions!AB157:AB161)</f>
        <v>0</v>
      </c>
      <c r="O41" s="152">
        <f>SUM(Assumptions!AC157:AC161)</f>
        <v>0</v>
      </c>
      <c r="P41" s="152">
        <f>SUM(Assumptions!AD157:AD161)</f>
        <v>0</v>
      </c>
      <c r="Q41" s="152">
        <f>SUM(Assumptions!AE157:AE161)</f>
        <v>0</v>
      </c>
      <c r="R41" s="152">
        <f>SUM(Assumptions!AF157:AF161)</f>
        <v>0</v>
      </c>
      <c r="S41" s="152">
        <f>SUM(Assumptions!AG157:AG161)</f>
        <v>0</v>
      </c>
      <c r="T41" s="152">
        <f>SUM(Assumptions!AH157:AH161)</f>
        <v>0</v>
      </c>
      <c r="U41" s="152">
        <f>SUM(Assumptions!AI157:AI161)</f>
        <v>0</v>
      </c>
      <c r="V41" s="152">
        <f>SUM(Assumptions!AJ157:AJ161)</f>
        <v>0</v>
      </c>
      <c r="W41" s="152">
        <f>SUM(Assumptions!AK157:AK161)</f>
        <v>0</v>
      </c>
      <c r="X41" s="152">
        <f>SUM(Assumptions!AL157:AL161)</f>
        <v>0</v>
      </c>
      <c r="Y41" s="152">
        <f>SUM(Assumptions!AM157:AM161)</f>
        <v>0</v>
      </c>
      <c r="Z41" s="152">
        <f>SUM(Assumptions!AN157:AN161)</f>
        <v>0</v>
      </c>
      <c r="AA41" s="152">
        <f>SUM(Assumptions!AO157:AO161)</f>
        <v>0</v>
      </c>
      <c r="AB41" s="152">
        <f>SUM(Assumptions!AP157:AP161)</f>
        <v>0</v>
      </c>
      <c r="AC41" s="152">
        <f>SUM(Assumptions!AQ157:AQ161)</f>
        <v>0</v>
      </c>
      <c r="AD41" s="152">
        <f>SUM(Assumptions!AR157:AR161)</f>
        <v>0</v>
      </c>
      <c r="AE41" s="152">
        <f>SUM(Assumptions!AS157:AS161)</f>
        <v>0</v>
      </c>
      <c r="AF41" s="152">
        <f>SUM(Assumptions!AT157:AT161)</f>
        <v>0</v>
      </c>
      <c r="AG41" s="152">
        <f>SUM(Assumptions!AU157:AU161)</f>
        <v>0</v>
      </c>
      <c r="AH41" s="152">
        <f>SUM(Assumptions!AV157:AV161)</f>
        <v>0</v>
      </c>
      <c r="AI41" s="152">
        <f>SUM(Assumptions!AW157:AW161)</f>
        <v>0</v>
      </c>
      <c r="AJ41" s="152">
        <f>SUM(Assumptions!AX157:AX161)</f>
        <v>0</v>
      </c>
      <c r="AK41" s="152">
        <f>SUM(Assumptions!AY157:AY161)</f>
        <v>0</v>
      </c>
      <c r="AL41" s="152">
        <f>SUM(Assumptions!AZ157:AZ161)</f>
        <v>0</v>
      </c>
      <c r="AM41" s="152">
        <f>SUM(Assumptions!BA157:BA161)</f>
        <v>0</v>
      </c>
      <c r="AN41" s="152">
        <f>SUM(Assumptions!BB157:BB161)</f>
        <v>0</v>
      </c>
      <c r="AO41" s="152">
        <f>SUM(Assumptions!BC157:BC161)</f>
        <v>0</v>
      </c>
      <c r="AP41" s="152">
        <f>SUM(Assumptions!BD157:BD161)</f>
        <v>0</v>
      </c>
      <c r="AQ41" s="152">
        <f>SUM(Assumptions!BE157:BE161)</f>
        <v>0</v>
      </c>
      <c r="AR41" s="152">
        <f>SUM(Assumptions!BF157:BF161)</f>
        <v>0</v>
      </c>
      <c r="AS41" s="152">
        <f>SUM(Assumptions!BG157:BG161)</f>
        <v>0</v>
      </c>
      <c r="AT41" s="152">
        <f>SUM(Assumptions!BH157:BH161)</f>
        <v>0</v>
      </c>
      <c r="AU41" s="152">
        <f>SUM(Assumptions!BI157:BI161)</f>
        <v>0</v>
      </c>
      <c r="AV41" s="152">
        <f>SUM(Assumptions!BJ157:BJ161)</f>
        <v>0</v>
      </c>
      <c r="AW41" s="152">
        <f>SUM(Assumptions!BK157:BK161)</f>
        <v>0</v>
      </c>
      <c r="AX41" s="152">
        <f>SUM(Assumptions!BL157:BL161)</f>
        <v>0</v>
      </c>
      <c r="AY41" s="152">
        <f>SUM(Assumptions!BM157:BM161)</f>
        <v>0</v>
      </c>
      <c r="AZ41" s="152">
        <f>SUM(Assumptions!BN157:BN161)</f>
        <v>0</v>
      </c>
      <c r="BA41" s="152">
        <f>SUM(Assumptions!BO157:BO161)</f>
        <v>0</v>
      </c>
      <c r="BB41" s="152">
        <f>SUM(Assumptions!BP157:BP161)</f>
        <v>0</v>
      </c>
      <c r="BC41" s="152">
        <f>SUM(Assumptions!BQ157:BQ161)</f>
        <v>0</v>
      </c>
      <c r="BD41" s="152">
        <f>SUM(Assumptions!BR157:BR161)</f>
        <v>0</v>
      </c>
      <c r="BE41" s="152">
        <f>SUM(Assumptions!BS157:BS161)</f>
        <v>0</v>
      </c>
      <c r="BF41" s="152">
        <f>SUM(Assumptions!BT157:BT161)</f>
        <v>0</v>
      </c>
      <c r="BG41" s="152">
        <f>SUM(Assumptions!BU157:BU161)</f>
        <v>0</v>
      </c>
      <c r="BH41" s="152">
        <f>SUM(Assumptions!BV157:BV161)</f>
        <v>0</v>
      </c>
      <c r="BI41" s="152">
        <f>SUM(Assumptions!BW157:BW161)</f>
        <v>0</v>
      </c>
      <c r="BJ41" s="152">
        <f>SUM(Assumptions!BX157:BX161)</f>
        <v>0</v>
      </c>
      <c r="BK41" s="152">
        <f>SUM(Assumptions!BY157:BY161)</f>
        <v>0</v>
      </c>
      <c r="BL41" s="152">
        <f>SUM(Assumptions!BZ157:BZ161)</f>
        <v>0</v>
      </c>
      <c r="BM41" s="152">
        <f>SUM(Assumptions!CA157:CA161)</f>
        <v>0</v>
      </c>
      <c r="BN41" s="152"/>
    </row>
    <row r="42" outlineLevel="1">
      <c r="A42" s="152"/>
      <c r="B42" s="162" t="s">
        <v>157</v>
      </c>
      <c r="C42" s="152"/>
      <c r="D42" s="152"/>
      <c r="E42" s="152"/>
      <c r="F42" s="152">
        <f>-SUM(Assumptions!T164:T167)</f>
        <v>0</v>
      </c>
      <c r="G42" s="152">
        <f>-SUM(Assumptions!U164:U167)</f>
        <v>0</v>
      </c>
      <c r="H42" s="152">
        <f>-SUM(Assumptions!V164:V167)</f>
        <v>0</v>
      </c>
      <c r="I42" s="152">
        <f>-SUM(Assumptions!W164:W167)</f>
        <v>0</v>
      </c>
      <c r="J42" s="152">
        <f>-SUM(Assumptions!X164:X167)</f>
        <v>0</v>
      </c>
      <c r="K42" s="152">
        <f>-SUM(Assumptions!Y164:Y167)</f>
        <v>0</v>
      </c>
      <c r="L42" s="152">
        <f>-SUM(Assumptions!Z164:Z167)</f>
        <v>0</v>
      </c>
      <c r="M42" s="152">
        <f>-SUM(Assumptions!AA164:AA167)</f>
        <v>0</v>
      </c>
      <c r="N42" s="152">
        <f>-SUM(Assumptions!AB164:AB167)</f>
        <v>0</v>
      </c>
      <c r="O42" s="152">
        <f>-SUM(Assumptions!AC164:AC167)</f>
        <v>0</v>
      </c>
      <c r="P42" s="152">
        <f>-SUM(Assumptions!AD164:AD167)</f>
        <v>0</v>
      </c>
      <c r="Q42" s="152">
        <f>-SUM(Assumptions!AE164:AE167)</f>
        <v>0</v>
      </c>
      <c r="R42" s="152">
        <f>-SUM(Assumptions!AF164:AF167)</f>
        <v>0</v>
      </c>
      <c r="S42" s="152">
        <f>-SUM(Assumptions!AG164:AG167)</f>
        <v>0</v>
      </c>
      <c r="T42" s="152">
        <f>-SUM(Assumptions!AH164:AH167)</f>
        <v>0</v>
      </c>
      <c r="U42" s="152">
        <f>-SUM(Assumptions!AI164:AI167)</f>
        <v>0</v>
      </c>
      <c r="V42" s="152">
        <f>-SUM(Assumptions!AJ164:AJ167)</f>
        <v>0</v>
      </c>
      <c r="W42" s="152">
        <f>-SUM(Assumptions!AK164:AK167)</f>
        <v>0</v>
      </c>
      <c r="X42" s="152">
        <f>-SUM(Assumptions!AL164:AL167)</f>
        <v>0</v>
      </c>
      <c r="Y42" s="152">
        <f>-SUM(Assumptions!AM164:AM167)</f>
        <v>0</v>
      </c>
      <c r="Z42" s="152">
        <f>-SUM(Assumptions!AN164:AN167)</f>
        <v>0</v>
      </c>
      <c r="AA42" s="152">
        <f>-SUM(Assumptions!AO164:AO167)</f>
        <v>0</v>
      </c>
      <c r="AB42" s="152">
        <f>-SUM(Assumptions!AP164:AP167)</f>
        <v>0</v>
      </c>
      <c r="AC42" s="152">
        <f>-SUM(Assumptions!AQ164:AQ167)</f>
        <v>0</v>
      </c>
      <c r="AD42" s="152">
        <f>-SUM(Assumptions!AR164:AR167)</f>
        <v>0</v>
      </c>
      <c r="AE42" s="152">
        <f>-SUM(Assumptions!AS164:AS167)</f>
        <v>0</v>
      </c>
      <c r="AF42" s="152">
        <f>-SUM(Assumptions!AT164:AT167)</f>
        <v>0</v>
      </c>
      <c r="AG42" s="152">
        <f>-SUM(Assumptions!AU164:AU167)</f>
        <v>0</v>
      </c>
      <c r="AH42" s="152">
        <f>-SUM(Assumptions!AV164:AV167)</f>
        <v>0</v>
      </c>
      <c r="AI42" s="152">
        <f>-SUM(Assumptions!AW164:AW167)</f>
        <v>0</v>
      </c>
      <c r="AJ42" s="152">
        <f>-SUM(Assumptions!AX164:AX167)</f>
        <v>0</v>
      </c>
      <c r="AK42" s="152">
        <f>-SUM(Assumptions!AY164:AY167)</f>
        <v>0</v>
      </c>
      <c r="AL42" s="152">
        <f>-SUM(Assumptions!AZ164:AZ167)</f>
        <v>0</v>
      </c>
      <c r="AM42" s="152">
        <f>-SUM(Assumptions!BA164:BA167)</f>
        <v>0</v>
      </c>
      <c r="AN42" s="152">
        <f>-SUM(Assumptions!BB164:BB167)</f>
        <v>0</v>
      </c>
      <c r="AO42" s="152">
        <f>-SUM(Assumptions!BC164:BC167)</f>
        <v>0</v>
      </c>
      <c r="AP42" s="152">
        <f>-SUM(Assumptions!BD164:BD167)</f>
        <v>0</v>
      </c>
      <c r="AQ42" s="152">
        <f>-SUM(Assumptions!BE164:BE167)</f>
        <v>0</v>
      </c>
      <c r="AR42" s="152">
        <f>-SUM(Assumptions!BF164:BF167)</f>
        <v>0</v>
      </c>
      <c r="AS42" s="152">
        <f>-SUM(Assumptions!BG164:BG167)</f>
        <v>0</v>
      </c>
      <c r="AT42" s="152">
        <f>-SUM(Assumptions!BH164:BH167)</f>
        <v>0</v>
      </c>
      <c r="AU42" s="152">
        <f>-SUM(Assumptions!BI164:BI167)</f>
        <v>0</v>
      </c>
      <c r="AV42" s="152">
        <f>-SUM(Assumptions!BJ164:BJ167)</f>
        <v>0</v>
      </c>
      <c r="AW42" s="152">
        <f>-SUM(Assumptions!BK164:BK167)</f>
        <v>0</v>
      </c>
      <c r="AX42" s="152">
        <f>-SUM(Assumptions!BL164:BL167)</f>
        <v>0</v>
      </c>
      <c r="AY42" s="152">
        <f>-SUM(Assumptions!BM164:BM167)</f>
        <v>0</v>
      </c>
      <c r="AZ42" s="152">
        <f>-SUM(Assumptions!BN164:BN167)</f>
        <v>0</v>
      </c>
      <c r="BA42" s="152">
        <f>-SUM(Assumptions!BO164:BO167)</f>
        <v>0</v>
      </c>
      <c r="BB42" s="152">
        <f>-SUM(Assumptions!BP164:BP167)</f>
        <v>0</v>
      </c>
      <c r="BC42" s="152">
        <f>-SUM(Assumptions!BQ164:BQ167)</f>
        <v>0</v>
      </c>
      <c r="BD42" s="152">
        <f>-SUM(Assumptions!BR164:BR167)</f>
        <v>0</v>
      </c>
      <c r="BE42" s="152">
        <f>-SUM(Assumptions!BS164:BS167)</f>
        <v>0</v>
      </c>
      <c r="BF42" s="152">
        <f>-SUM(Assumptions!BT164:BT167)</f>
        <v>0</v>
      </c>
      <c r="BG42" s="152">
        <f>-SUM(Assumptions!BU164:BU167)</f>
        <v>0</v>
      </c>
      <c r="BH42" s="152">
        <f>-SUM(Assumptions!BV164:BV167)</f>
        <v>0</v>
      </c>
      <c r="BI42" s="152">
        <f>-SUM(Assumptions!BW164:BW167)</f>
        <v>0</v>
      </c>
      <c r="BJ42" s="152">
        <f>-SUM(Assumptions!BX164:BX167)</f>
        <v>0</v>
      </c>
      <c r="BK42" s="152">
        <f>-SUM(Assumptions!BY164:BY167)</f>
        <v>0</v>
      </c>
      <c r="BL42" s="152">
        <f>-SUM(Assumptions!BZ164:BZ167)</f>
        <v>0</v>
      </c>
      <c r="BM42" s="152">
        <f>-SUM(Assumptions!CA164:CA167)</f>
        <v>0</v>
      </c>
      <c r="BN42" s="152"/>
    </row>
    <row r="43" outlineLevel="1">
      <c r="A43" s="152"/>
      <c r="B43" s="155" t="s">
        <v>158</v>
      </c>
      <c r="C43" s="156"/>
      <c r="D43" s="156"/>
      <c r="E43" s="156"/>
      <c r="F43" s="157">
        <f t="shared" ref="F43:BM43" si="15">SUM(F39:F42)</f>
        <v>7250</v>
      </c>
      <c r="G43" s="157">
        <f t="shared" si="15"/>
        <v>977305.125</v>
      </c>
      <c r="H43" s="157">
        <f t="shared" si="15"/>
        <v>947219.6025</v>
      </c>
      <c r="I43" s="157">
        <f t="shared" si="15"/>
        <v>916990.6196</v>
      </c>
      <c r="J43" s="157">
        <f t="shared" si="15"/>
        <v>886615.3069</v>
      </c>
      <c r="K43" s="157">
        <f t="shared" si="15"/>
        <v>852417.8881</v>
      </c>
      <c r="L43" s="157">
        <f t="shared" si="15"/>
        <v>817958.6708</v>
      </c>
      <c r="M43" s="157">
        <f t="shared" si="15"/>
        <v>783232.4193</v>
      </c>
      <c r="N43" s="157">
        <f t="shared" si="15"/>
        <v>748233.7926</v>
      </c>
      <c r="O43" s="157">
        <f t="shared" si="15"/>
        <v>712957.3435</v>
      </c>
      <c r="P43" s="157">
        <f t="shared" si="15"/>
        <v>677397.5154</v>
      </c>
      <c r="Q43" s="157">
        <f t="shared" si="15"/>
        <v>641548.6407</v>
      </c>
      <c r="R43" s="157">
        <f t="shared" si="15"/>
        <v>605404.9385</v>
      </c>
      <c r="S43" s="157">
        <f t="shared" si="15"/>
        <v>573549.4873</v>
      </c>
      <c r="T43" s="157">
        <f t="shared" si="15"/>
        <v>541529.427</v>
      </c>
      <c r="U43" s="157">
        <f t="shared" si="15"/>
        <v>509341.4655</v>
      </c>
      <c r="V43" s="157">
        <f t="shared" si="15"/>
        <v>476982.2449</v>
      </c>
      <c r="W43" s="157">
        <f t="shared" si="15"/>
        <v>448022.9097</v>
      </c>
      <c r="X43" s="157">
        <f t="shared" si="15"/>
        <v>418996.1079</v>
      </c>
      <c r="Y43" s="157">
        <f t="shared" si="15"/>
        <v>389900.4901</v>
      </c>
      <c r="Z43" s="157">
        <f t="shared" si="15"/>
        <v>360734.6799</v>
      </c>
      <c r="AA43" s="157">
        <f t="shared" si="15"/>
        <v>331497.2735</v>
      </c>
      <c r="AB43" s="157">
        <f t="shared" si="15"/>
        <v>302186.839</v>
      </c>
      <c r="AC43" s="157">
        <f t="shared" si="15"/>
        <v>272801.9158</v>
      </c>
      <c r="AD43" s="157">
        <f t="shared" si="15"/>
        <v>243341.0141</v>
      </c>
      <c r="AE43" s="157">
        <f t="shared" si="15"/>
        <v>217473.7943</v>
      </c>
      <c r="AF43" s="157">
        <f t="shared" si="15"/>
        <v>191641.2302</v>
      </c>
      <c r="AG43" s="157">
        <f t="shared" si="15"/>
        <v>165844.0148</v>
      </c>
      <c r="AH43" s="157">
        <f t="shared" si="15"/>
        <v>140082.8551</v>
      </c>
      <c r="AI43" s="157">
        <f t="shared" si="15"/>
        <v>117218.1282</v>
      </c>
      <c r="AJ43" s="157">
        <f t="shared" si="15"/>
        <v>94479.48281</v>
      </c>
      <c r="AK43" s="157">
        <f t="shared" si="15"/>
        <v>71869.44046</v>
      </c>
      <c r="AL43" s="157">
        <f t="shared" si="15"/>
        <v>49390.57327</v>
      </c>
      <c r="AM43" s="157">
        <f t="shared" si="15"/>
        <v>27045.50474</v>
      </c>
      <c r="AN43" s="157">
        <f t="shared" si="15"/>
        <v>4836.910832</v>
      </c>
      <c r="AO43" s="157">
        <f t="shared" si="15"/>
        <v>-17232.47895</v>
      </c>
      <c r="AP43" s="157">
        <f t="shared" si="15"/>
        <v>-39159.88053</v>
      </c>
      <c r="AQ43" s="157">
        <f t="shared" si="15"/>
        <v>-58005.51014</v>
      </c>
      <c r="AR43" s="157">
        <f t="shared" si="15"/>
        <v>-76612.45234</v>
      </c>
      <c r="AS43" s="157">
        <f t="shared" si="15"/>
        <v>-94975.93339</v>
      </c>
      <c r="AT43" s="157">
        <f t="shared" si="15"/>
        <v>-113091.0841</v>
      </c>
      <c r="AU43" s="157">
        <f t="shared" si="15"/>
        <v>-128665.2129</v>
      </c>
      <c r="AV43" s="157">
        <f t="shared" si="15"/>
        <v>-143910.1236</v>
      </c>
      <c r="AW43" s="157">
        <f t="shared" si="15"/>
        <v>-158819.2317</v>
      </c>
      <c r="AX43" s="157">
        <f t="shared" si="15"/>
        <v>-173385.8211</v>
      </c>
      <c r="AY43" s="157">
        <f t="shared" si="15"/>
        <v>-187603.0415</v>
      </c>
      <c r="AZ43" s="157">
        <f t="shared" si="15"/>
        <v>-201463.9056</v>
      </c>
      <c r="BA43" s="157">
        <f t="shared" si="15"/>
        <v>-214961.2861</v>
      </c>
      <c r="BB43" s="157">
        <f t="shared" si="15"/>
        <v>-228087.9134</v>
      </c>
      <c r="BC43" s="157">
        <f t="shared" si="15"/>
        <v>-238486.8173</v>
      </c>
      <c r="BD43" s="157">
        <f t="shared" si="15"/>
        <v>-248427.2192</v>
      </c>
      <c r="BE43" s="157">
        <f t="shared" si="15"/>
        <v>-257899.9492</v>
      </c>
      <c r="BF43" s="157">
        <f t="shared" si="15"/>
        <v>-266895.6538</v>
      </c>
      <c r="BG43" s="157">
        <f t="shared" si="15"/>
        <v>-273574.6126</v>
      </c>
      <c r="BH43" s="157">
        <f t="shared" si="15"/>
        <v>-279700.59</v>
      </c>
      <c r="BI43" s="157">
        <f t="shared" si="15"/>
        <v>-285262.5263</v>
      </c>
      <c r="BJ43" s="157">
        <f t="shared" si="15"/>
        <v>-290249.1406</v>
      </c>
      <c r="BK43" s="157">
        <f t="shared" si="15"/>
        <v>-294648.9266</v>
      </c>
      <c r="BL43" s="157">
        <f t="shared" si="15"/>
        <v>-298450.1477</v>
      </c>
      <c r="BM43" s="157">
        <f t="shared" si="15"/>
        <v>-301640.8326</v>
      </c>
      <c r="BN43" s="152"/>
    </row>
    <row r="44" outlineLevel="1">
      <c r="A44" s="152"/>
      <c r="B44" s="152"/>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2"/>
      <c r="AX44" s="152"/>
      <c r="AY44" s="152"/>
      <c r="AZ44" s="152"/>
      <c r="BA44" s="152"/>
      <c r="BB44" s="152"/>
      <c r="BC44" s="152"/>
      <c r="BD44" s="152"/>
      <c r="BE44" s="152"/>
      <c r="BF44" s="152"/>
      <c r="BG44" s="152"/>
      <c r="BH44" s="152"/>
      <c r="BI44" s="152"/>
      <c r="BJ44" s="152"/>
      <c r="BK44" s="152"/>
      <c r="BL44" s="152"/>
      <c r="BM44" s="152"/>
      <c r="BN44" s="152"/>
    </row>
    <row r="45" outlineLevel="1">
      <c r="A45" s="152"/>
      <c r="B45" s="161" t="s">
        <v>159</v>
      </c>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c r="AA45" s="152"/>
      <c r="AB45" s="152"/>
      <c r="AC45" s="152"/>
      <c r="AD45" s="152"/>
      <c r="AE45" s="152"/>
      <c r="AF45" s="152"/>
      <c r="AG45" s="152"/>
      <c r="AH45" s="152"/>
      <c r="AI45" s="152"/>
      <c r="AJ45" s="152"/>
      <c r="AK45" s="152"/>
      <c r="AL45" s="152"/>
      <c r="AM45" s="152"/>
      <c r="AN45" s="152"/>
      <c r="AO45" s="152"/>
      <c r="AP45" s="152"/>
      <c r="AQ45" s="152"/>
      <c r="AR45" s="152"/>
      <c r="AS45" s="152"/>
      <c r="AT45" s="152"/>
      <c r="AU45" s="152"/>
      <c r="AV45" s="152"/>
      <c r="AW45" s="152"/>
      <c r="AX45" s="152"/>
      <c r="AY45" s="152"/>
      <c r="AZ45" s="152"/>
      <c r="BA45" s="152"/>
      <c r="BB45" s="152"/>
      <c r="BC45" s="152"/>
      <c r="BD45" s="152"/>
      <c r="BE45" s="152"/>
      <c r="BF45" s="152"/>
      <c r="BG45" s="152"/>
      <c r="BH45" s="152"/>
      <c r="BI45" s="152"/>
      <c r="BJ45" s="152"/>
      <c r="BK45" s="152"/>
      <c r="BL45" s="152"/>
      <c r="BM45" s="152"/>
      <c r="BN45" s="152"/>
    </row>
    <row r="46" outlineLevel="1">
      <c r="A46" s="152"/>
      <c r="B46" s="167" t="s">
        <v>124</v>
      </c>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row>
    <row r="47" outlineLevel="1">
      <c r="A47" s="152"/>
      <c r="B47" s="162" t="s">
        <v>160</v>
      </c>
      <c r="C47" s="152"/>
      <c r="D47" s="152"/>
      <c r="E47" s="152"/>
      <c r="F47" s="152">
        <f>Assumptions!T171</f>
        <v>12750</v>
      </c>
      <c r="G47" s="152">
        <f>Assumptions!U171</f>
        <v>12856.875</v>
      </c>
      <c r="H47" s="152">
        <f>Assumptions!V171</f>
        <v>12965.8875</v>
      </c>
      <c r="I47" s="152">
        <f>Assumptions!W171</f>
        <v>13077.08025</v>
      </c>
      <c r="J47" s="152">
        <f>Assumptions!X171</f>
        <v>13190.49686</v>
      </c>
      <c r="K47" s="152">
        <f>Assumptions!Y171</f>
        <v>13389.43179</v>
      </c>
      <c r="L47" s="152">
        <f>Assumptions!Z171</f>
        <v>13592.34543</v>
      </c>
      <c r="M47" s="152">
        <f>Assumptions!AA171</f>
        <v>13799.31734</v>
      </c>
      <c r="N47" s="152">
        <f>Assumptions!AB171</f>
        <v>14010.42868</v>
      </c>
      <c r="O47" s="152">
        <f>Assumptions!AC171</f>
        <v>14225.76226</v>
      </c>
      <c r="P47" s="152">
        <f>Assumptions!AD171</f>
        <v>14445.4025</v>
      </c>
      <c r="Q47" s="152">
        <f>Assumptions!AE171</f>
        <v>14669.43555</v>
      </c>
      <c r="R47" s="152">
        <f>Assumptions!AF171</f>
        <v>14897.94926</v>
      </c>
      <c r="S47" s="152">
        <f>Assumptions!AG171</f>
        <v>15109.65825</v>
      </c>
      <c r="T47" s="152">
        <f>Assumptions!AH171</f>
        <v>15325.60141</v>
      </c>
      <c r="U47" s="152">
        <f>Assumptions!AI171</f>
        <v>15545.86344</v>
      </c>
      <c r="V47" s="152">
        <f>Assumptions!AJ171</f>
        <v>15770.53071</v>
      </c>
      <c r="W47" s="152">
        <f>Assumptions!AK171</f>
        <v>15983.04132</v>
      </c>
      <c r="X47" s="152">
        <f>Assumptions!AL171</f>
        <v>16199.80215</v>
      </c>
      <c r="Y47" s="152">
        <f>Assumptions!AM171</f>
        <v>16420.89819</v>
      </c>
      <c r="Z47" s="152">
        <f>Assumptions!AN171</f>
        <v>16646.41616</v>
      </c>
      <c r="AA47" s="152">
        <f>Assumptions!AO171</f>
        <v>16876.44448</v>
      </c>
      <c r="AB47" s="152">
        <f>Assumptions!AP171</f>
        <v>17111.07337</v>
      </c>
      <c r="AC47" s="152">
        <f>Assumptions!AQ171</f>
        <v>17350.39484</v>
      </c>
      <c r="AD47" s="152">
        <f>Assumptions!AR171</f>
        <v>17594.50274</v>
      </c>
      <c r="AE47" s="152">
        <f>Assumptions!AS171</f>
        <v>17826.39279</v>
      </c>
      <c r="AF47" s="152">
        <f>Assumptions!AT171</f>
        <v>18062.92065</v>
      </c>
      <c r="AG47" s="152">
        <f>Assumptions!AU171</f>
        <v>18304.17906</v>
      </c>
      <c r="AH47" s="152">
        <f>Assumptions!AV171</f>
        <v>18550.26264</v>
      </c>
      <c r="AI47" s="152">
        <f>Assumptions!AW171</f>
        <v>18787.94789</v>
      </c>
      <c r="AJ47" s="152">
        <f>Assumptions!AX171</f>
        <v>19030.38685</v>
      </c>
      <c r="AK47" s="152">
        <f>Assumptions!AY171</f>
        <v>19277.67459</v>
      </c>
      <c r="AL47" s="152">
        <f>Assumptions!AZ171</f>
        <v>19529.90808</v>
      </c>
      <c r="AM47" s="152">
        <f>Assumptions!BA171</f>
        <v>19787.18624</v>
      </c>
      <c r="AN47" s="152">
        <f>Assumptions!BB171</f>
        <v>20049.60997</v>
      </c>
      <c r="AO47" s="152">
        <f>Assumptions!BC171</f>
        <v>20317.28216</v>
      </c>
      <c r="AP47" s="152">
        <f>Assumptions!BD171</f>
        <v>20590.30781</v>
      </c>
      <c r="AQ47" s="152">
        <f>Assumptions!BE171</f>
        <v>20855.11396</v>
      </c>
      <c r="AR47" s="152">
        <f>Assumptions!BF171</f>
        <v>21125.21624</v>
      </c>
      <c r="AS47" s="152">
        <f>Assumptions!BG171</f>
        <v>21400.72057</v>
      </c>
      <c r="AT47" s="152">
        <f>Assumptions!BH171</f>
        <v>21681.73498</v>
      </c>
      <c r="AU47" s="152">
        <f>Assumptions!BI171</f>
        <v>21957.71368</v>
      </c>
      <c r="AV47" s="152">
        <f>Assumptions!BJ171</f>
        <v>22239.21195</v>
      </c>
      <c r="AW47" s="152">
        <f>Assumptions!BK171</f>
        <v>22526.34019</v>
      </c>
      <c r="AX47" s="152">
        <f>Assumptions!BL171</f>
        <v>22819.211</v>
      </c>
      <c r="AY47" s="152">
        <f>Assumptions!BM171</f>
        <v>23117.93922</v>
      </c>
      <c r="AZ47" s="152">
        <f>Assumptions!BN171</f>
        <v>23422.642</v>
      </c>
      <c r="BA47" s="152">
        <f>Assumptions!BO171</f>
        <v>23733.43884</v>
      </c>
      <c r="BB47" s="152">
        <f>Assumptions!BP171</f>
        <v>24050.45162</v>
      </c>
      <c r="BC47" s="152">
        <f>Assumptions!BQ171</f>
        <v>24362.86065</v>
      </c>
      <c r="BD47" s="152">
        <f>Assumptions!BR171</f>
        <v>24681.51786</v>
      </c>
      <c r="BE47" s="152">
        <f>Assumptions!BS171</f>
        <v>25006.54822</v>
      </c>
      <c r="BF47" s="152">
        <f>Assumptions!BT171</f>
        <v>25338.07918</v>
      </c>
      <c r="BG47" s="152">
        <f>Assumptions!BU171</f>
        <v>25667.71597</v>
      </c>
      <c r="BH47" s="152">
        <f>Assumptions!BV171</f>
        <v>26003.94549</v>
      </c>
      <c r="BI47" s="152">
        <f>Assumptions!BW171</f>
        <v>26346.8996</v>
      </c>
      <c r="BJ47" s="152">
        <f>Assumptions!BX171</f>
        <v>26696.71279</v>
      </c>
      <c r="BK47" s="152">
        <f>Assumptions!BY171</f>
        <v>27053.52224</v>
      </c>
      <c r="BL47" s="152">
        <f>Assumptions!BZ171</f>
        <v>27417.46789</v>
      </c>
      <c r="BM47" s="152">
        <f>Assumptions!CA171</f>
        <v>27788.69245</v>
      </c>
      <c r="BN47" s="152"/>
    </row>
    <row r="48" outlineLevel="1">
      <c r="A48" s="105"/>
      <c r="B48" s="171" t="s">
        <v>127</v>
      </c>
      <c r="C48" s="105"/>
      <c r="D48" s="105"/>
      <c r="E48" s="105"/>
      <c r="F48" s="172">
        <f>Assumptions!T173</f>
        <v>0</v>
      </c>
      <c r="G48" s="172">
        <f>Assumptions!U173</f>
        <v>5225</v>
      </c>
      <c r="H48" s="172">
        <f>Assumptions!V173</f>
        <v>10079.5</v>
      </c>
      <c r="I48" s="172">
        <f>Assumptions!W173</f>
        <v>14556.09</v>
      </c>
      <c r="J48" s="172">
        <f>Assumptions!X173</f>
        <v>18647.2118</v>
      </c>
      <c r="K48" s="172">
        <f>Assumptions!Y173</f>
        <v>26415.15604</v>
      </c>
      <c r="L48" s="172">
        <f>Assumptions!Z173</f>
        <v>33493.45916</v>
      </c>
      <c r="M48" s="172">
        <f>Assumptions!AA173</f>
        <v>39868.32834</v>
      </c>
      <c r="N48" s="172">
        <f>Assumptions!AB173</f>
        <v>45525.69491</v>
      </c>
      <c r="O48" s="172">
        <f>Assumptions!AC173</f>
        <v>50451.2088</v>
      </c>
      <c r="P48" s="172">
        <f>Assumptions!AD173</f>
        <v>54630.23298</v>
      </c>
      <c r="Q48" s="172">
        <f>Assumptions!AE173</f>
        <v>58047.83764</v>
      </c>
      <c r="R48" s="172">
        <f>Assumptions!AF173</f>
        <v>60688.79439</v>
      </c>
      <c r="S48" s="172">
        <f>Assumptions!AG173</f>
        <v>67192.57028</v>
      </c>
      <c r="T48" s="172">
        <f>Assumptions!AH173</f>
        <v>73076.42169</v>
      </c>
      <c r="U48" s="172">
        <f>Assumptions!AI173</f>
        <v>78327.95012</v>
      </c>
      <c r="V48" s="172">
        <f>Assumptions!AJ173</f>
        <v>82934.50912</v>
      </c>
      <c r="W48" s="172">
        <f>Assumptions!AK173</f>
        <v>90509.19931</v>
      </c>
      <c r="X48" s="172">
        <f>Assumptions!AL173</f>
        <v>97559.38329</v>
      </c>
      <c r="Y48" s="172">
        <f>Assumptions!AM173</f>
        <v>104074.571</v>
      </c>
      <c r="Z48" s="172">
        <f>Assumptions!AN173</f>
        <v>110044.0624</v>
      </c>
      <c r="AA48" s="172">
        <f>Assumptions!AO173</f>
        <v>115456.9436</v>
      </c>
      <c r="AB48" s="172">
        <f>Assumptions!AP173</f>
        <v>120302.0825</v>
      </c>
      <c r="AC48" s="172">
        <f>Assumptions!AQ173</f>
        <v>124568.1241</v>
      </c>
      <c r="AD48" s="172">
        <f>Assumptions!AR173</f>
        <v>128243.4866</v>
      </c>
      <c r="AE48" s="172">
        <f>Assumptions!AS173</f>
        <v>135040.3564</v>
      </c>
      <c r="AF48" s="172">
        <f>Assumptions!AT173</f>
        <v>141373.1635</v>
      </c>
      <c r="AG48" s="172">
        <f>Assumptions!AU173</f>
        <v>147232.6268</v>
      </c>
      <c r="AH48" s="172">
        <f>Assumptions!AV173</f>
        <v>152609.2793</v>
      </c>
      <c r="AI48" s="172">
        <f>Assumptions!AW173</f>
        <v>160394.2649</v>
      </c>
      <c r="AJ48" s="172">
        <f>Assumptions!AX173</f>
        <v>167794.1502</v>
      </c>
      <c r="AK48" s="172">
        <f>Assumptions!AY173</f>
        <v>174801.2332</v>
      </c>
      <c r="AL48" s="172">
        <f>Assumptions!AZ173</f>
        <v>181407.6578</v>
      </c>
      <c r="AM48" s="172">
        <f>Assumptions!BA173</f>
        <v>187605.411</v>
      </c>
      <c r="AN48" s="172">
        <f>Assumptions!BB173</f>
        <v>193386.3192</v>
      </c>
      <c r="AO48" s="172">
        <f>Assumptions!BC173</f>
        <v>198742.0456</v>
      </c>
      <c r="AP48" s="172">
        <f>Assumptions!BD173</f>
        <v>203664.0865</v>
      </c>
      <c r="AQ48" s="172">
        <f>Assumptions!BE173</f>
        <v>211122.9682</v>
      </c>
      <c r="AR48" s="172">
        <f>Assumptions!BF173</f>
        <v>218251.0276</v>
      </c>
      <c r="AS48" s="172">
        <f>Assumptions!BG173</f>
        <v>225041.6482</v>
      </c>
      <c r="AT48" s="172">
        <f>Assumptions!BH173</f>
        <v>231488.0811</v>
      </c>
      <c r="AU48" s="172">
        <f>Assumptions!BI173</f>
        <v>239904.0828</v>
      </c>
      <c r="AV48" s="172">
        <f>Assumptions!BJ173</f>
        <v>248055.7644</v>
      </c>
      <c r="AW48" s="172">
        <f>Assumptions!BK173</f>
        <v>255937.8397</v>
      </c>
      <c r="AX48" s="172">
        <f>Assumptions!BL173</f>
        <v>263544.9165</v>
      </c>
      <c r="AY48" s="172">
        <f>Assumptions!BM173</f>
        <v>270871.4948</v>
      </c>
      <c r="AZ48" s="172">
        <f>Assumptions!BN173</f>
        <v>277911.9647</v>
      </c>
      <c r="BA48" s="172">
        <f>Assumptions!BO173</f>
        <v>284660.604</v>
      </c>
      <c r="BB48" s="172">
        <f>Assumptions!BP173</f>
        <v>291111.5761</v>
      </c>
      <c r="BC48" s="172">
        <f>Assumptions!BQ173</f>
        <v>299642.2876</v>
      </c>
      <c r="BD48" s="172">
        <f>Assumptions!BR173</f>
        <v>307959.6134</v>
      </c>
      <c r="BE48" s="172">
        <f>Assumptions!BS173</f>
        <v>316059.2856</v>
      </c>
      <c r="BF48" s="172">
        <f>Assumptions!BT173</f>
        <v>323936.9513</v>
      </c>
      <c r="BG48" s="172">
        <f>Assumptions!BU173</f>
        <v>333444.6824</v>
      </c>
      <c r="BH48" s="172">
        <f>Assumptions!BV173</f>
        <v>342796.456</v>
      </c>
      <c r="BI48" s="172">
        <f>Assumptions!BW173</f>
        <v>351989.1531</v>
      </c>
      <c r="BJ48" s="172">
        <f>Assumptions!BX173</f>
        <v>361019.5922</v>
      </c>
      <c r="BK48" s="172">
        <f>Assumptions!BY173</f>
        <v>369884.528</v>
      </c>
      <c r="BL48" s="172">
        <f>Assumptions!BZ173</f>
        <v>378580.6506</v>
      </c>
      <c r="BM48" s="172">
        <f>Assumptions!CA173</f>
        <v>387104.5836</v>
      </c>
      <c r="BN48" s="172" t="str">
        <f>Assumptions!CB173</f>
        <v/>
      </c>
    </row>
    <row r="49" outlineLevel="1">
      <c r="A49" s="152"/>
      <c r="B49" s="173" t="s">
        <v>161</v>
      </c>
      <c r="C49" s="174"/>
      <c r="D49" s="174"/>
      <c r="E49" s="174"/>
      <c r="F49" s="173">
        <f t="shared" ref="F49:BM49" si="16">sum(F47:F48)</f>
        <v>12750</v>
      </c>
      <c r="G49" s="173">
        <f t="shared" si="16"/>
        <v>18081.875</v>
      </c>
      <c r="H49" s="173">
        <f t="shared" si="16"/>
        <v>23045.3875</v>
      </c>
      <c r="I49" s="173">
        <f t="shared" si="16"/>
        <v>27633.17025</v>
      </c>
      <c r="J49" s="173">
        <f t="shared" si="16"/>
        <v>31837.70866</v>
      </c>
      <c r="K49" s="173">
        <f t="shared" si="16"/>
        <v>39804.58783</v>
      </c>
      <c r="L49" s="173">
        <f t="shared" si="16"/>
        <v>47085.80458</v>
      </c>
      <c r="M49" s="173">
        <f t="shared" si="16"/>
        <v>53667.64568</v>
      </c>
      <c r="N49" s="173">
        <f t="shared" si="16"/>
        <v>59536.12359</v>
      </c>
      <c r="O49" s="173">
        <f t="shared" si="16"/>
        <v>64676.97106</v>
      </c>
      <c r="P49" s="173">
        <f t="shared" si="16"/>
        <v>69075.63548</v>
      </c>
      <c r="Q49" s="173">
        <f t="shared" si="16"/>
        <v>72717.27319</v>
      </c>
      <c r="R49" s="173">
        <f t="shared" si="16"/>
        <v>75586.74366</v>
      </c>
      <c r="S49" s="173">
        <f t="shared" si="16"/>
        <v>82302.22853</v>
      </c>
      <c r="T49" s="173">
        <f t="shared" si="16"/>
        <v>88402.0231</v>
      </c>
      <c r="U49" s="173">
        <f t="shared" si="16"/>
        <v>93873.81356</v>
      </c>
      <c r="V49" s="173">
        <f t="shared" si="16"/>
        <v>98705.03983</v>
      </c>
      <c r="W49" s="173">
        <f t="shared" si="16"/>
        <v>106492.2406</v>
      </c>
      <c r="X49" s="173">
        <f t="shared" si="16"/>
        <v>113759.1854</v>
      </c>
      <c r="Y49" s="173">
        <f t="shared" si="16"/>
        <v>120495.4692</v>
      </c>
      <c r="Z49" s="173">
        <f t="shared" si="16"/>
        <v>126690.4785</v>
      </c>
      <c r="AA49" s="173">
        <f t="shared" si="16"/>
        <v>132333.3881</v>
      </c>
      <c r="AB49" s="173">
        <f t="shared" si="16"/>
        <v>137413.1559</v>
      </c>
      <c r="AC49" s="173">
        <f t="shared" si="16"/>
        <v>141918.519</v>
      </c>
      <c r="AD49" s="173">
        <f t="shared" si="16"/>
        <v>145837.9894</v>
      </c>
      <c r="AE49" s="173">
        <f t="shared" si="16"/>
        <v>152866.7492</v>
      </c>
      <c r="AF49" s="173">
        <f t="shared" si="16"/>
        <v>159436.0841</v>
      </c>
      <c r="AG49" s="173">
        <f t="shared" si="16"/>
        <v>165536.8058</v>
      </c>
      <c r="AH49" s="173">
        <f t="shared" si="16"/>
        <v>171159.5419</v>
      </c>
      <c r="AI49" s="173">
        <f t="shared" si="16"/>
        <v>179182.2128</v>
      </c>
      <c r="AJ49" s="173">
        <f t="shared" si="16"/>
        <v>186824.537</v>
      </c>
      <c r="AK49" s="173">
        <f t="shared" si="16"/>
        <v>194078.9078</v>
      </c>
      <c r="AL49" s="173">
        <f t="shared" si="16"/>
        <v>200937.5659</v>
      </c>
      <c r="AM49" s="173">
        <f t="shared" si="16"/>
        <v>207392.5972</v>
      </c>
      <c r="AN49" s="173">
        <f t="shared" si="16"/>
        <v>213435.9292</v>
      </c>
      <c r="AO49" s="173">
        <f t="shared" si="16"/>
        <v>219059.3278</v>
      </c>
      <c r="AP49" s="173">
        <f t="shared" si="16"/>
        <v>224254.3943</v>
      </c>
      <c r="AQ49" s="173">
        <f t="shared" si="16"/>
        <v>231978.0822</v>
      </c>
      <c r="AR49" s="173">
        <f t="shared" si="16"/>
        <v>239376.2439</v>
      </c>
      <c r="AS49" s="173">
        <f t="shared" si="16"/>
        <v>246442.3687</v>
      </c>
      <c r="AT49" s="173">
        <f t="shared" si="16"/>
        <v>253169.8161</v>
      </c>
      <c r="AU49" s="173">
        <f t="shared" si="16"/>
        <v>261861.7964</v>
      </c>
      <c r="AV49" s="173">
        <f t="shared" si="16"/>
        <v>270294.9764</v>
      </c>
      <c r="AW49" s="173">
        <f t="shared" si="16"/>
        <v>278464.1799</v>
      </c>
      <c r="AX49" s="173">
        <f t="shared" si="16"/>
        <v>286364.1275</v>
      </c>
      <c r="AY49" s="173">
        <f t="shared" si="16"/>
        <v>293989.434</v>
      </c>
      <c r="AZ49" s="173">
        <f t="shared" si="16"/>
        <v>301334.6067</v>
      </c>
      <c r="BA49" s="173">
        <f t="shared" si="16"/>
        <v>308394.0428</v>
      </c>
      <c r="BB49" s="173">
        <f t="shared" si="16"/>
        <v>315162.0277</v>
      </c>
      <c r="BC49" s="173">
        <f t="shared" si="16"/>
        <v>324005.1483</v>
      </c>
      <c r="BD49" s="173">
        <f t="shared" si="16"/>
        <v>332641.1312</v>
      </c>
      <c r="BE49" s="173">
        <f t="shared" si="16"/>
        <v>341065.8339</v>
      </c>
      <c r="BF49" s="173">
        <f t="shared" si="16"/>
        <v>349275.0305</v>
      </c>
      <c r="BG49" s="173">
        <f t="shared" si="16"/>
        <v>359112.3983</v>
      </c>
      <c r="BH49" s="173">
        <f t="shared" si="16"/>
        <v>368800.4015</v>
      </c>
      <c r="BI49" s="173">
        <f t="shared" si="16"/>
        <v>378336.0527</v>
      </c>
      <c r="BJ49" s="173">
        <f t="shared" si="16"/>
        <v>387716.305</v>
      </c>
      <c r="BK49" s="173">
        <f t="shared" si="16"/>
        <v>396938.0503</v>
      </c>
      <c r="BL49" s="173">
        <f t="shared" si="16"/>
        <v>405998.1185</v>
      </c>
      <c r="BM49" s="173">
        <f t="shared" si="16"/>
        <v>414893.2761</v>
      </c>
      <c r="BN49" s="152"/>
    </row>
    <row r="50" outlineLevel="1">
      <c r="A50" s="152"/>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52"/>
      <c r="BC50" s="152"/>
      <c r="BD50" s="152"/>
      <c r="BE50" s="152"/>
      <c r="BF50" s="152"/>
      <c r="BG50" s="152"/>
      <c r="BH50" s="152"/>
      <c r="BI50" s="152"/>
      <c r="BJ50" s="152"/>
      <c r="BK50" s="152"/>
      <c r="BL50" s="152"/>
      <c r="BM50" s="152"/>
      <c r="BN50" s="152"/>
    </row>
    <row r="51" outlineLevel="1">
      <c r="A51" s="152"/>
      <c r="B51" s="167" t="s">
        <v>162</v>
      </c>
      <c r="C51" s="152"/>
      <c r="D51" s="152"/>
      <c r="E51" s="175" t="s">
        <v>163</v>
      </c>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52"/>
      <c r="BC51" s="152"/>
      <c r="BD51" s="152"/>
      <c r="BE51" s="152"/>
      <c r="BF51" s="152"/>
      <c r="BG51" s="152"/>
      <c r="BH51" s="152"/>
      <c r="BI51" s="152"/>
      <c r="BJ51" s="152"/>
      <c r="BK51" s="152"/>
      <c r="BL51" s="152"/>
      <c r="BM51" s="152"/>
      <c r="BN51" s="152"/>
    </row>
    <row r="52" outlineLevel="1">
      <c r="A52" s="152"/>
      <c r="B52" s="162" t="s">
        <v>164</v>
      </c>
      <c r="C52" s="152"/>
      <c r="D52" s="152"/>
      <c r="E52" s="176">
        <f>Assumptions!C153</f>
        <v>30000</v>
      </c>
      <c r="F52" s="152">
        <f>E52</f>
        <v>30000</v>
      </c>
      <c r="G52" s="152">
        <f>Assumptions!U187+$E52</f>
        <v>1030000</v>
      </c>
      <c r="H52" s="152">
        <f>Assumptions!V187+$E52</f>
        <v>1030000</v>
      </c>
      <c r="I52" s="152">
        <f>Assumptions!W187+$E52</f>
        <v>1030000</v>
      </c>
      <c r="J52" s="152">
        <f>Assumptions!X187+$E52</f>
        <v>1030000</v>
      </c>
      <c r="K52" s="152">
        <f>Assumptions!Y187+$E52</f>
        <v>1030000</v>
      </c>
      <c r="L52" s="152">
        <f>Assumptions!Z187+$E52</f>
        <v>1030000</v>
      </c>
      <c r="M52" s="152">
        <f>Assumptions!AA187+$E52</f>
        <v>1030000</v>
      </c>
      <c r="N52" s="152">
        <f>Assumptions!AB187+$E52</f>
        <v>1030000</v>
      </c>
      <c r="O52" s="152">
        <f>Assumptions!AC187+$E52</f>
        <v>1030000</v>
      </c>
      <c r="P52" s="152">
        <f>Assumptions!AD187+$E52</f>
        <v>1030000</v>
      </c>
      <c r="Q52" s="152">
        <f>Assumptions!AE187+$E52</f>
        <v>1030000</v>
      </c>
      <c r="R52" s="152">
        <f>Assumptions!AF187+$E52</f>
        <v>1030000</v>
      </c>
      <c r="S52" s="152">
        <f>Assumptions!AG187+$E52</f>
        <v>1030000</v>
      </c>
      <c r="T52" s="152">
        <f>Assumptions!AH187+$E52</f>
        <v>1030000</v>
      </c>
      <c r="U52" s="152">
        <f>Assumptions!AI187+$E52</f>
        <v>1030000</v>
      </c>
      <c r="V52" s="152">
        <f>Assumptions!AJ187+$E52</f>
        <v>1030000</v>
      </c>
      <c r="W52" s="152">
        <f>Assumptions!AK187+$E52</f>
        <v>1030000</v>
      </c>
      <c r="X52" s="152">
        <f>Assumptions!AL187+$E52</f>
        <v>1030000</v>
      </c>
      <c r="Y52" s="152">
        <f>Assumptions!AM187+$E52</f>
        <v>1030000</v>
      </c>
      <c r="Z52" s="152">
        <f>Assumptions!AN187+$E52</f>
        <v>1030000</v>
      </c>
      <c r="AA52" s="152">
        <f>Assumptions!AO187+$E52</f>
        <v>1030000</v>
      </c>
      <c r="AB52" s="152">
        <f>Assumptions!AP187+$E52</f>
        <v>1030000</v>
      </c>
      <c r="AC52" s="152">
        <f>Assumptions!AQ187+$E52</f>
        <v>1030000</v>
      </c>
      <c r="AD52" s="152">
        <f>Assumptions!AR187+$E52</f>
        <v>1030000</v>
      </c>
      <c r="AE52" s="152">
        <f>Assumptions!AS187+$E52</f>
        <v>1030000</v>
      </c>
      <c r="AF52" s="152">
        <f>Assumptions!AT187+$E52</f>
        <v>1030000</v>
      </c>
      <c r="AG52" s="152">
        <f>Assumptions!AU187+$E52</f>
        <v>1030000</v>
      </c>
      <c r="AH52" s="152">
        <f>Assumptions!AV187+$E52</f>
        <v>1030000</v>
      </c>
      <c r="AI52" s="152">
        <f>Assumptions!AW187+$E52</f>
        <v>1030000</v>
      </c>
      <c r="AJ52" s="152">
        <f>Assumptions!AX187+$E52</f>
        <v>1030000</v>
      </c>
      <c r="AK52" s="152">
        <f>Assumptions!AY187+$E52</f>
        <v>1030000</v>
      </c>
      <c r="AL52" s="152">
        <f>Assumptions!AZ187+$E52</f>
        <v>1030000</v>
      </c>
      <c r="AM52" s="152">
        <f>Assumptions!BA187+$E52</f>
        <v>1030000</v>
      </c>
      <c r="AN52" s="152">
        <f>Assumptions!BB187+$E52</f>
        <v>1030000</v>
      </c>
      <c r="AO52" s="152">
        <f>Assumptions!BC187+$E52</f>
        <v>1030000</v>
      </c>
      <c r="AP52" s="152">
        <f>Assumptions!BD187+$E52</f>
        <v>1030000</v>
      </c>
      <c r="AQ52" s="152">
        <f>Assumptions!BE187+$E52</f>
        <v>1030000</v>
      </c>
      <c r="AR52" s="152">
        <f>Assumptions!BF187+$E52</f>
        <v>1030000</v>
      </c>
      <c r="AS52" s="152">
        <f>Assumptions!BG187+$E52</f>
        <v>1030000</v>
      </c>
      <c r="AT52" s="152">
        <f>Assumptions!BH187+$E52</f>
        <v>1030000</v>
      </c>
      <c r="AU52" s="152">
        <f>Assumptions!BI187+$E52</f>
        <v>1030000</v>
      </c>
      <c r="AV52" s="152">
        <f>Assumptions!BJ187+$E52</f>
        <v>1030000</v>
      </c>
      <c r="AW52" s="152">
        <f>Assumptions!BK187+$E52</f>
        <v>1030000</v>
      </c>
      <c r="AX52" s="152">
        <f>Assumptions!BL187+$E52</f>
        <v>1030000</v>
      </c>
      <c r="AY52" s="152">
        <f>Assumptions!BM187+$E52</f>
        <v>1030000</v>
      </c>
      <c r="AZ52" s="152">
        <f>Assumptions!BN187+$E52</f>
        <v>1030000</v>
      </c>
      <c r="BA52" s="152">
        <f>Assumptions!BO187+$E52</f>
        <v>1030000</v>
      </c>
      <c r="BB52" s="152">
        <f>Assumptions!BP187+$E52</f>
        <v>1030000</v>
      </c>
      <c r="BC52" s="152">
        <f>Assumptions!BQ187+$E52</f>
        <v>1030000</v>
      </c>
      <c r="BD52" s="152">
        <f>Assumptions!BR187+$E52</f>
        <v>1030000</v>
      </c>
      <c r="BE52" s="152">
        <f>Assumptions!BS187+$E52</f>
        <v>1030000</v>
      </c>
      <c r="BF52" s="152">
        <f>Assumptions!BT187+$E52</f>
        <v>1030000</v>
      </c>
      <c r="BG52" s="152">
        <f>Assumptions!BU187+$E52</f>
        <v>1030000</v>
      </c>
      <c r="BH52" s="152">
        <f>Assumptions!BV187+$E52</f>
        <v>1030000</v>
      </c>
      <c r="BI52" s="152">
        <f>Assumptions!BW187+$E52</f>
        <v>1030000</v>
      </c>
      <c r="BJ52" s="152">
        <f>Assumptions!BX187+$E52</f>
        <v>1030000</v>
      </c>
      <c r="BK52" s="152">
        <f>Assumptions!BY187+$E52</f>
        <v>1030000</v>
      </c>
      <c r="BL52" s="152">
        <f>Assumptions!BZ187+$E52</f>
        <v>1030000</v>
      </c>
      <c r="BM52" s="152">
        <f>Assumptions!CA187+$E52</f>
        <v>1030000</v>
      </c>
      <c r="BN52" s="152"/>
    </row>
    <row r="53" outlineLevel="1">
      <c r="A53" s="152"/>
      <c r="B53" s="162" t="s">
        <v>165</v>
      </c>
      <c r="C53" s="152"/>
      <c r="D53" s="152"/>
      <c r="E53" s="152"/>
      <c r="F53" s="152">
        <f t="shared" ref="F53:BM53" si="17">E53+F30</f>
        <v>-35500</v>
      </c>
      <c r="G53" s="152">
        <f t="shared" si="17"/>
        <v>-70776.75</v>
      </c>
      <c r="H53" s="152">
        <f t="shared" si="17"/>
        <v>-105825.785</v>
      </c>
      <c r="I53" s="152">
        <f t="shared" si="17"/>
        <v>-140642.5507</v>
      </c>
      <c r="J53" s="152">
        <f t="shared" si="17"/>
        <v>-175222.4017</v>
      </c>
      <c r="K53" s="152">
        <f t="shared" si="17"/>
        <v>-217386.6997</v>
      </c>
      <c r="L53" s="152">
        <f t="shared" si="17"/>
        <v>-259127.1337</v>
      </c>
      <c r="M53" s="152">
        <f t="shared" si="17"/>
        <v>-300435.2264</v>
      </c>
      <c r="N53" s="152">
        <f t="shared" si="17"/>
        <v>-341302.3309</v>
      </c>
      <c r="O53" s="152">
        <f t="shared" si="17"/>
        <v>-381719.6276</v>
      </c>
      <c r="P53" s="152">
        <f t="shared" si="17"/>
        <v>-421678.1201</v>
      </c>
      <c r="Q53" s="152">
        <f t="shared" si="17"/>
        <v>-461168.6325</v>
      </c>
      <c r="R53" s="152">
        <f t="shared" si="17"/>
        <v>-500181.8052</v>
      </c>
      <c r="S53" s="152">
        <f t="shared" si="17"/>
        <v>-538752.7413</v>
      </c>
      <c r="T53" s="152">
        <f t="shared" si="17"/>
        <v>-576872.5961</v>
      </c>
      <c r="U53" s="152">
        <f t="shared" si="17"/>
        <v>-614532.348</v>
      </c>
      <c r="V53" s="152">
        <f t="shared" si="17"/>
        <v>-651722.795</v>
      </c>
      <c r="W53" s="152">
        <f t="shared" si="17"/>
        <v>-688469.3309</v>
      </c>
      <c r="X53" s="152">
        <f t="shared" si="17"/>
        <v>-724763.0775</v>
      </c>
      <c r="Y53" s="152">
        <f t="shared" si="17"/>
        <v>-760594.979</v>
      </c>
      <c r="Z53" s="152">
        <f t="shared" si="17"/>
        <v>-795955.7986</v>
      </c>
      <c r="AA53" s="152">
        <f t="shared" si="17"/>
        <v>-830836.1146</v>
      </c>
      <c r="AB53" s="152">
        <f t="shared" si="17"/>
        <v>-865226.3169</v>
      </c>
      <c r="AC53" s="152">
        <f t="shared" si="17"/>
        <v>-899116.6032</v>
      </c>
      <c r="AD53" s="152">
        <f t="shared" si="17"/>
        <v>-932496.9753</v>
      </c>
      <c r="AE53" s="152">
        <f t="shared" si="17"/>
        <v>-965392.9548</v>
      </c>
      <c r="AF53" s="152">
        <f t="shared" si="17"/>
        <v>-997794.8539</v>
      </c>
      <c r="AG53" s="152">
        <f t="shared" si="17"/>
        <v>-1029692.791</v>
      </c>
      <c r="AH53" s="152">
        <f t="shared" si="17"/>
        <v>-1061076.687</v>
      </c>
      <c r="AI53" s="152">
        <f t="shared" si="17"/>
        <v>-1091964.085</v>
      </c>
      <c r="AJ53" s="152">
        <f t="shared" si="17"/>
        <v>-1122345.054</v>
      </c>
      <c r="AK53" s="152">
        <f t="shared" si="17"/>
        <v>-1152209.467</v>
      </c>
      <c r="AL53" s="152">
        <f t="shared" si="17"/>
        <v>-1181546.993</v>
      </c>
      <c r="AM53" s="152">
        <f t="shared" si="17"/>
        <v>-1210347.093</v>
      </c>
      <c r="AN53" s="152">
        <f t="shared" si="17"/>
        <v>-1238599.018</v>
      </c>
      <c r="AO53" s="152">
        <f t="shared" si="17"/>
        <v>-1266291.807</v>
      </c>
      <c r="AP53" s="152">
        <f t="shared" si="17"/>
        <v>-1293414.275</v>
      </c>
      <c r="AQ53" s="152">
        <f t="shared" si="17"/>
        <v>-1319983.592</v>
      </c>
      <c r="AR53" s="152">
        <f t="shared" si="17"/>
        <v>-1345988.696</v>
      </c>
      <c r="AS53" s="152">
        <f t="shared" si="17"/>
        <v>-1371418.302</v>
      </c>
      <c r="AT53" s="152">
        <f t="shared" si="17"/>
        <v>-1396260.9</v>
      </c>
      <c r="AU53" s="152">
        <f t="shared" si="17"/>
        <v>-1420527.009</v>
      </c>
      <c r="AV53" s="152">
        <f t="shared" si="17"/>
        <v>-1444205.1</v>
      </c>
      <c r="AW53" s="152">
        <f t="shared" si="17"/>
        <v>-1467283.412</v>
      </c>
      <c r="AX53" s="152">
        <f t="shared" si="17"/>
        <v>-1489749.949</v>
      </c>
      <c r="AY53" s="152">
        <f t="shared" si="17"/>
        <v>-1511592.476</v>
      </c>
      <c r="AZ53" s="152">
        <f t="shared" si="17"/>
        <v>-1532798.512</v>
      </c>
      <c r="BA53" s="152">
        <f t="shared" si="17"/>
        <v>-1553355.329</v>
      </c>
      <c r="BB53" s="152">
        <f t="shared" si="17"/>
        <v>-1573249.941</v>
      </c>
      <c r="BC53" s="152">
        <f t="shared" si="17"/>
        <v>-1592491.966</v>
      </c>
      <c r="BD53" s="152">
        <f t="shared" si="17"/>
        <v>-1611068.35</v>
      </c>
      <c r="BE53" s="152">
        <f t="shared" si="17"/>
        <v>-1628965.783</v>
      </c>
      <c r="BF53" s="152">
        <f t="shared" si="17"/>
        <v>-1646170.684</v>
      </c>
      <c r="BG53" s="152">
        <f t="shared" si="17"/>
        <v>-1662687.011</v>
      </c>
      <c r="BH53" s="152">
        <f t="shared" si="17"/>
        <v>-1678500.991</v>
      </c>
      <c r="BI53" s="152">
        <f t="shared" si="17"/>
        <v>-1693598.579</v>
      </c>
      <c r="BJ53" s="152">
        <f t="shared" si="17"/>
        <v>-1707965.446</v>
      </c>
      <c r="BK53" s="152">
        <f t="shared" si="17"/>
        <v>-1721586.977</v>
      </c>
      <c r="BL53" s="152">
        <f t="shared" si="17"/>
        <v>-1734448.266</v>
      </c>
      <c r="BM53" s="152">
        <f t="shared" si="17"/>
        <v>-1746534.109</v>
      </c>
      <c r="BN53" s="152"/>
    </row>
    <row r="54" outlineLevel="1">
      <c r="A54" s="152"/>
      <c r="B54" s="173" t="s">
        <v>166</v>
      </c>
      <c r="C54" s="174"/>
      <c r="D54" s="174"/>
      <c r="E54" s="174"/>
      <c r="F54" s="173">
        <f t="shared" ref="F54:BM54" si="18">SUM(F52:F53)</f>
        <v>-5500</v>
      </c>
      <c r="G54" s="173">
        <f t="shared" si="18"/>
        <v>959223.25</v>
      </c>
      <c r="H54" s="173">
        <f t="shared" si="18"/>
        <v>924174.215</v>
      </c>
      <c r="I54" s="173">
        <f t="shared" si="18"/>
        <v>889357.4493</v>
      </c>
      <c r="J54" s="173">
        <f t="shared" si="18"/>
        <v>854777.5983</v>
      </c>
      <c r="K54" s="173">
        <f t="shared" si="18"/>
        <v>812613.3003</v>
      </c>
      <c r="L54" s="173">
        <f t="shared" si="18"/>
        <v>770872.8663</v>
      </c>
      <c r="M54" s="173">
        <f t="shared" si="18"/>
        <v>729564.7736</v>
      </c>
      <c r="N54" s="173">
        <f t="shared" si="18"/>
        <v>688697.6691</v>
      </c>
      <c r="O54" s="173">
        <f t="shared" si="18"/>
        <v>648280.3724</v>
      </c>
      <c r="P54" s="173">
        <f t="shared" si="18"/>
        <v>608321.8799</v>
      </c>
      <c r="Q54" s="173">
        <f t="shared" si="18"/>
        <v>568831.3675</v>
      </c>
      <c r="R54" s="173">
        <f t="shared" si="18"/>
        <v>529818.1948</v>
      </c>
      <c r="S54" s="173">
        <f t="shared" si="18"/>
        <v>491247.2587</v>
      </c>
      <c r="T54" s="173">
        <f t="shared" si="18"/>
        <v>453127.4039</v>
      </c>
      <c r="U54" s="173">
        <f t="shared" si="18"/>
        <v>415467.652</v>
      </c>
      <c r="V54" s="173">
        <f t="shared" si="18"/>
        <v>378277.205</v>
      </c>
      <c r="W54" s="173">
        <f t="shared" si="18"/>
        <v>341530.6691</v>
      </c>
      <c r="X54" s="173">
        <f t="shared" si="18"/>
        <v>305236.9225</v>
      </c>
      <c r="Y54" s="173">
        <f t="shared" si="18"/>
        <v>269405.021</v>
      </c>
      <c r="Z54" s="173">
        <f t="shared" si="18"/>
        <v>234044.2014</v>
      </c>
      <c r="AA54" s="173">
        <f t="shared" si="18"/>
        <v>199163.8854</v>
      </c>
      <c r="AB54" s="173">
        <f t="shared" si="18"/>
        <v>164773.6831</v>
      </c>
      <c r="AC54" s="173">
        <f t="shared" si="18"/>
        <v>130883.3968</v>
      </c>
      <c r="AD54" s="173">
        <f t="shared" si="18"/>
        <v>97503.0247</v>
      </c>
      <c r="AE54" s="173">
        <f t="shared" si="18"/>
        <v>64607.0452</v>
      </c>
      <c r="AF54" s="173">
        <f t="shared" si="18"/>
        <v>32205.1461</v>
      </c>
      <c r="AG54" s="173">
        <f t="shared" si="18"/>
        <v>307.2090242</v>
      </c>
      <c r="AH54" s="173">
        <f t="shared" si="18"/>
        <v>-31076.6868</v>
      </c>
      <c r="AI54" s="173">
        <f t="shared" si="18"/>
        <v>-61964.08453</v>
      </c>
      <c r="AJ54" s="173">
        <f t="shared" si="18"/>
        <v>-92345.05422</v>
      </c>
      <c r="AK54" s="173">
        <f t="shared" si="18"/>
        <v>-122209.4673</v>
      </c>
      <c r="AL54" s="173">
        <f t="shared" si="18"/>
        <v>-151546.9927</v>
      </c>
      <c r="AM54" s="173">
        <f t="shared" si="18"/>
        <v>-180347.0925</v>
      </c>
      <c r="AN54" s="173">
        <f t="shared" si="18"/>
        <v>-208599.0184</v>
      </c>
      <c r="AO54" s="173">
        <f t="shared" si="18"/>
        <v>-236291.8067</v>
      </c>
      <c r="AP54" s="173">
        <f t="shared" si="18"/>
        <v>-263414.2749</v>
      </c>
      <c r="AQ54" s="173">
        <f t="shared" si="18"/>
        <v>-289983.5924</v>
      </c>
      <c r="AR54" s="173">
        <f t="shared" si="18"/>
        <v>-315988.6962</v>
      </c>
      <c r="AS54" s="173">
        <f t="shared" si="18"/>
        <v>-341418.3021</v>
      </c>
      <c r="AT54" s="173">
        <f t="shared" si="18"/>
        <v>-366260.9002</v>
      </c>
      <c r="AU54" s="173">
        <f t="shared" si="18"/>
        <v>-390527.0094</v>
      </c>
      <c r="AV54" s="173">
        <f t="shared" si="18"/>
        <v>-414205.1</v>
      </c>
      <c r="AW54" s="173">
        <f t="shared" si="18"/>
        <v>-437283.4116</v>
      </c>
      <c r="AX54" s="173">
        <f t="shared" si="18"/>
        <v>-459749.9486</v>
      </c>
      <c r="AY54" s="173">
        <f t="shared" si="18"/>
        <v>-481592.4756</v>
      </c>
      <c r="AZ54" s="173">
        <f t="shared" si="18"/>
        <v>-502798.5123</v>
      </c>
      <c r="BA54" s="173">
        <f t="shared" si="18"/>
        <v>-523355.3289</v>
      </c>
      <c r="BB54" s="173">
        <f t="shared" si="18"/>
        <v>-543249.9411</v>
      </c>
      <c r="BC54" s="173">
        <f t="shared" si="18"/>
        <v>-562491.9655</v>
      </c>
      <c r="BD54" s="173">
        <f t="shared" si="18"/>
        <v>-581068.3504</v>
      </c>
      <c r="BE54" s="173">
        <f t="shared" si="18"/>
        <v>-598965.783</v>
      </c>
      <c r="BF54" s="173">
        <f t="shared" si="18"/>
        <v>-616170.6843</v>
      </c>
      <c r="BG54" s="173">
        <f t="shared" si="18"/>
        <v>-632687.0109</v>
      </c>
      <c r="BH54" s="173">
        <f t="shared" si="18"/>
        <v>-648500.9915</v>
      </c>
      <c r="BI54" s="173">
        <f t="shared" si="18"/>
        <v>-663598.579</v>
      </c>
      <c r="BJ54" s="173">
        <f t="shared" si="18"/>
        <v>-677965.4456</v>
      </c>
      <c r="BK54" s="173">
        <f t="shared" si="18"/>
        <v>-691586.9769</v>
      </c>
      <c r="BL54" s="173">
        <f t="shared" si="18"/>
        <v>-704448.2662</v>
      </c>
      <c r="BM54" s="173">
        <f t="shared" si="18"/>
        <v>-716534.1087</v>
      </c>
      <c r="BN54" s="152"/>
    </row>
    <row r="55" outlineLevel="1">
      <c r="A55" s="152"/>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c r="AD55" s="152"/>
      <c r="AE55" s="152"/>
      <c r="AF55" s="152"/>
      <c r="AG55" s="152"/>
      <c r="AH55" s="152"/>
      <c r="AI55" s="152"/>
      <c r="AJ55" s="152"/>
      <c r="AK55" s="152"/>
      <c r="AL55" s="152"/>
      <c r="AM55" s="152"/>
      <c r="AN55" s="152"/>
      <c r="AO55" s="152"/>
      <c r="AP55" s="152"/>
      <c r="AQ55" s="152"/>
      <c r="AR55" s="152"/>
      <c r="AS55" s="152"/>
      <c r="AT55" s="152"/>
      <c r="AU55" s="152"/>
      <c r="AV55" s="152"/>
      <c r="AW55" s="152"/>
      <c r="AX55" s="152"/>
      <c r="AY55" s="152"/>
      <c r="AZ55" s="152"/>
      <c r="BA55" s="152"/>
      <c r="BB55" s="152"/>
      <c r="BC55" s="152"/>
      <c r="BD55" s="152"/>
      <c r="BE55" s="152"/>
      <c r="BF55" s="152"/>
      <c r="BG55" s="152"/>
      <c r="BH55" s="152"/>
      <c r="BI55" s="152"/>
      <c r="BJ55" s="152"/>
      <c r="BK55" s="152"/>
      <c r="BL55" s="152"/>
      <c r="BM55" s="152"/>
      <c r="BN55" s="152"/>
    </row>
    <row r="56" outlineLevel="1">
      <c r="A56" s="152"/>
      <c r="B56" s="155" t="s">
        <v>167</v>
      </c>
      <c r="C56" s="156"/>
      <c r="D56" s="156"/>
      <c r="E56" s="156"/>
      <c r="F56" s="157">
        <f t="shared" ref="F56:BM56" si="19">F54+F49</f>
        <v>7250</v>
      </c>
      <c r="G56" s="157">
        <f t="shared" si="19"/>
        <v>977305.125</v>
      </c>
      <c r="H56" s="157">
        <f t="shared" si="19"/>
        <v>947219.6025</v>
      </c>
      <c r="I56" s="157">
        <f t="shared" si="19"/>
        <v>916990.6196</v>
      </c>
      <c r="J56" s="157">
        <f t="shared" si="19"/>
        <v>886615.3069</v>
      </c>
      <c r="K56" s="157">
        <f t="shared" si="19"/>
        <v>852417.8881</v>
      </c>
      <c r="L56" s="157">
        <f t="shared" si="19"/>
        <v>817958.6708</v>
      </c>
      <c r="M56" s="157">
        <f t="shared" si="19"/>
        <v>783232.4193</v>
      </c>
      <c r="N56" s="157">
        <f t="shared" si="19"/>
        <v>748233.7926</v>
      </c>
      <c r="O56" s="157">
        <f t="shared" si="19"/>
        <v>712957.3435</v>
      </c>
      <c r="P56" s="157">
        <f t="shared" si="19"/>
        <v>677397.5154</v>
      </c>
      <c r="Q56" s="157">
        <f t="shared" si="19"/>
        <v>641548.6407</v>
      </c>
      <c r="R56" s="157">
        <f t="shared" si="19"/>
        <v>605404.9385</v>
      </c>
      <c r="S56" s="157">
        <f t="shared" si="19"/>
        <v>573549.4873</v>
      </c>
      <c r="T56" s="157">
        <f t="shared" si="19"/>
        <v>541529.427</v>
      </c>
      <c r="U56" s="157">
        <f t="shared" si="19"/>
        <v>509341.4655</v>
      </c>
      <c r="V56" s="157">
        <f t="shared" si="19"/>
        <v>476982.2449</v>
      </c>
      <c r="W56" s="157">
        <f t="shared" si="19"/>
        <v>448022.9097</v>
      </c>
      <c r="X56" s="157">
        <f t="shared" si="19"/>
        <v>418996.1079</v>
      </c>
      <c r="Y56" s="157">
        <f t="shared" si="19"/>
        <v>389900.4901</v>
      </c>
      <c r="Z56" s="157">
        <f t="shared" si="19"/>
        <v>360734.6799</v>
      </c>
      <c r="AA56" s="157">
        <f t="shared" si="19"/>
        <v>331497.2735</v>
      </c>
      <c r="AB56" s="157">
        <f t="shared" si="19"/>
        <v>302186.839</v>
      </c>
      <c r="AC56" s="157">
        <f t="shared" si="19"/>
        <v>272801.9158</v>
      </c>
      <c r="AD56" s="157">
        <f t="shared" si="19"/>
        <v>243341.0141</v>
      </c>
      <c r="AE56" s="157">
        <f t="shared" si="19"/>
        <v>217473.7943</v>
      </c>
      <c r="AF56" s="157">
        <f t="shared" si="19"/>
        <v>191641.2302</v>
      </c>
      <c r="AG56" s="157">
        <f t="shared" si="19"/>
        <v>165844.0148</v>
      </c>
      <c r="AH56" s="157">
        <f t="shared" si="19"/>
        <v>140082.8551</v>
      </c>
      <c r="AI56" s="157">
        <f t="shared" si="19"/>
        <v>117218.1282</v>
      </c>
      <c r="AJ56" s="157">
        <f t="shared" si="19"/>
        <v>94479.48281</v>
      </c>
      <c r="AK56" s="157">
        <f t="shared" si="19"/>
        <v>71869.44046</v>
      </c>
      <c r="AL56" s="157">
        <f t="shared" si="19"/>
        <v>49390.57327</v>
      </c>
      <c r="AM56" s="157">
        <f t="shared" si="19"/>
        <v>27045.50474</v>
      </c>
      <c r="AN56" s="157">
        <f t="shared" si="19"/>
        <v>4836.910832</v>
      </c>
      <c r="AO56" s="157">
        <f t="shared" si="19"/>
        <v>-17232.47895</v>
      </c>
      <c r="AP56" s="157">
        <f t="shared" si="19"/>
        <v>-39159.88053</v>
      </c>
      <c r="AQ56" s="157">
        <f t="shared" si="19"/>
        <v>-58005.51014</v>
      </c>
      <c r="AR56" s="157">
        <f t="shared" si="19"/>
        <v>-76612.45234</v>
      </c>
      <c r="AS56" s="157">
        <f t="shared" si="19"/>
        <v>-94975.93339</v>
      </c>
      <c r="AT56" s="157">
        <f t="shared" si="19"/>
        <v>-113091.0841</v>
      </c>
      <c r="AU56" s="157">
        <f t="shared" si="19"/>
        <v>-128665.2129</v>
      </c>
      <c r="AV56" s="157">
        <f t="shared" si="19"/>
        <v>-143910.1236</v>
      </c>
      <c r="AW56" s="157">
        <f t="shared" si="19"/>
        <v>-158819.2317</v>
      </c>
      <c r="AX56" s="157">
        <f t="shared" si="19"/>
        <v>-173385.8211</v>
      </c>
      <c r="AY56" s="157">
        <f t="shared" si="19"/>
        <v>-187603.0415</v>
      </c>
      <c r="AZ56" s="157">
        <f t="shared" si="19"/>
        <v>-201463.9056</v>
      </c>
      <c r="BA56" s="157">
        <f t="shared" si="19"/>
        <v>-214961.2861</v>
      </c>
      <c r="BB56" s="157">
        <f t="shared" si="19"/>
        <v>-228087.9134</v>
      </c>
      <c r="BC56" s="157">
        <f t="shared" si="19"/>
        <v>-238486.8173</v>
      </c>
      <c r="BD56" s="157">
        <f t="shared" si="19"/>
        <v>-248427.2192</v>
      </c>
      <c r="BE56" s="157">
        <f t="shared" si="19"/>
        <v>-257899.9492</v>
      </c>
      <c r="BF56" s="157">
        <f t="shared" si="19"/>
        <v>-266895.6538</v>
      </c>
      <c r="BG56" s="157">
        <f t="shared" si="19"/>
        <v>-273574.6126</v>
      </c>
      <c r="BH56" s="157">
        <f t="shared" si="19"/>
        <v>-279700.59</v>
      </c>
      <c r="BI56" s="157">
        <f t="shared" si="19"/>
        <v>-285262.5263</v>
      </c>
      <c r="BJ56" s="157">
        <f t="shared" si="19"/>
        <v>-290249.1406</v>
      </c>
      <c r="BK56" s="157">
        <f t="shared" si="19"/>
        <v>-294648.9266</v>
      </c>
      <c r="BL56" s="157">
        <f t="shared" si="19"/>
        <v>-298450.1477</v>
      </c>
      <c r="BM56" s="157">
        <f t="shared" si="19"/>
        <v>-301640.8326</v>
      </c>
      <c r="BN56" s="152"/>
    </row>
    <row r="57" outlineLevel="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row>
    <row r="58" outlineLevel="1">
      <c r="A58" s="30"/>
      <c r="B58" s="177" t="s">
        <v>168</v>
      </c>
      <c r="C58" s="30"/>
      <c r="D58" s="30"/>
      <c r="E58" s="30"/>
      <c r="F58" s="178" t="str">
        <f t="shared" ref="F58:BM58" si="20">IF(ABS(F56-F43)&gt;0.001,"ERROR","OK")</f>
        <v>OK</v>
      </c>
      <c r="G58" s="178" t="str">
        <f t="shared" si="20"/>
        <v>OK</v>
      </c>
      <c r="H58" s="178" t="str">
        <f t="shared" si="20"/>
        <v>OK</v>
      </c>
      <c r="I58" s="178" t="str">
        <f t="shared" si="20"/>
        <v>OK</v>
      </c>
      <c r="J58" s="178" t="str">
        <f t="shared" si="20"/>
        <v>OK</v>
      </c>
      <c r="K58" s="178" t="str">
        <f t="shared" si="20"/>
        <v>OK</v>
      </c>
      <c r="L58" s="178" t="str">
        <f t="shared" si="20"/>
        <v>OK</v>
      </c>
      <c r="M58" s="178" t="str">
        <f t="shared" si="20"/>
        <v>OK</v>
      </c>
      <c r="N58" s="178" t="str">
        <f t="shared" si="20"/>
        <v>OK</v>
      </c>
      <c r="O58" s="178" t="str">
        <f t="shared" si="20"/>
        <v>OK</v>
      </c>
      <c r="P58" s="178" t="str">
        <f t="shared" si="20"/>
        <v>OK</v>
      </c>
      <c r="Q58" s="178" t="str">
        <f t="shared" si="20"/>
        <v>OK</v>
      </c>
      <c r="R58" s="178" t="str">
        <f t="shared" si="20"/>
        <v>OK</v>
      </c>
      <c r="S58" s="178" t="str">
        <f t="shared" si="20"/>
        <v>OK</v>
      </c>
      <c r="T58" s="178" t="str">
        <f t="shared" si="20"/>
        <v>OK</v>
      </c>
      <c r="U58" s="178" t="str">
        <f t="shared" si="20"/>
        <v>OK</v>
      </c>
      <c r="V58" s="178" t="str">
        <f t="shared" si="20"/>
        <v>OK</v>
      </c>
      <c r="W58" s="178" t="str">
        <f t="shared" si="20"/>
        <v>OK</v>
      </c>
      <c r="X58" s="178" t="str">
        <f t="shared" si="20"/>
        <v>OK</v>
      </c>
      <c r="Y58" s="178" t="str">
        <f t="shared" si="20"/>
        <v>OK</v>
      </c>
      <c r="Z58" s="178" t="str">
        <f t="shared" si="20"/>
        <v>OK</v>
      </c>
      <c r="AA58" s="178" t="str">
        <f t="shared" si="20"/>
        <v>OK</v>
      </c>
      <c r="AB58" s="178" t="str">
        <f t="shared" si="20"/>
        <v>OK</v>
      </c>
      <c r="AC58" s="178" t="str">
        <f t="shared" si="20"/>
        <v>OK</v>
      </c>
      <c r="AD58" s="178" t="str">
        <f t="shared" si="20"/>
        <v>OK</v>
      </c>
      <c r="AE58" s="178" t="str">
        <f t="shared" si="20"/>
        <v>OK</v>
      </c>
      <c r="AF58" s="178" t="str">
        <f t="shared" si="20"/>
        <v>OK</v>
      </c>
      <c r="AG58" s="178" t="str">
        <f t="shared" si="20"/>
        <v>OK</v>
      </c>
      <c r="AH58" s="178" t="str">
        <f t="shared" si="20"/>
        <v>OK</v>
      </c>
      <c r="AI58" s="178" t="str">
        <f t="shared" si="20"/>
        <v>OK</v>
      </c>
      <c r="AJ58" s="178" t="str">
        <f t="shared" si="20"/>
        <v>OK</v>
      </c>
      <c r="AK58" s="178" t="str">
        <f t="shared" si="20"/>
        <v>OK</v>
      </c>
      <c r="AL58" s="178" t="str">
        <f t="shared" si="20"/>
        <v>OK</v>
      </c>
      <c r="AM58" s="178" t="str">
        <f t="shared" si="20"/>
        <v>OK</v>
      </c>
      <c r="AN58" s="178" t="str">
        <f t="shared" si="20"/>
        <v>OK</v>
      </c>
      <c r="AO58" s="178" t="str">
        <f t="shared" si="20"/>
        <v>OK</v>
      </c>
      <c r="AP58" s="178" t="str">
        <f t="shared" si="20"/>
        <v>OK</v>
      </c>
      <c r="AQ58" s="178" t="str">
        <f t="shared" si="20"/>
        <v>OK</v>
      </c>
      <c r="AR58" s="178" t="str">
        <f t="shared" si="20"/>
        <v>OK</v>
      </c>
      <c r="AS58" s="178" t="str">
        <f t="shared" si="20"/>
        <v>OK</v>
      </c>
      <c r="AT58" s="178" t="str">
        <f t="shared" si="20"/>
        <v>OK</v>
      </c>
      <c r="AU58" s="178" t="str">
        <f t="shared" si="20"/>
        <v>OK</v>
      </c>
      <c r="AV58" s="178" t="str">
        <f t="shared" si="20"/>
        <v>OK</v>
      </c>
      <c r="AW58" s="178" t="str">
        <f t="shared" si="20"/>
        <v>OK</v>
      </c>
      <c r="AX58" s="178" t="str">
        <f t="shared" si="20"/>
        <v>OK</v>
      </c>
      <c r="AY58" s="178" t="str">
        <f t="shared" si="20"/>
        <v>OK</v>
      </c>
      <c r="AZ58" s="178" t="str">
        <f t="shared" si="20"/>
        <v>OK</v>
      </c>
      <c r="BA58" s="178" t="str">
        <f t="shared" si="20"/>
        <v>OK</v>
      </c>
      <c r="BB58" s="178" t="str">
        <f t="shared" si="20"/>
        <v>OK</v>
      </c>
      <c r="BC58" s="178" t="str">
        <f t="shared" si="20"/>
        <v>OK</v>
      </c>
      <c r="BD58" s="178" t="str">
        <f t="shared" si="20"/>
        <v>OK</v>
      </c>
      <c r="BE58" s="178" t="str">
        <f t="shared" si="20"/>
        <v>OK</v>
      </c>
      <c r="BF58" s="178" t="str">
        <f t="shared" si="20"/>
        <v>OK</v>
      </c>
      <c r="BG58" s="178" t="str">
        <f t="shared" si="20"/>
        <v>OK</v>
      </c>
      <c r="BH58" s="178" t="str">
        <f t="shared" si="20"/>
        <v>OK</v>
      </c>
      <c r="BI58" s="178" t="str">
        <f t="shared" si="20"/>
        <v>OK</v>
      </c>
      <c r="BJ58" s="178" t="str">
        <f t="shared" si="20"/>
        <v>OK</v>
      </c>
      <c r="BK58" s="178" t="str">
        <f t="shared" si="20"/>
        <v>OK</v>
      </c>
      <c r="BL58" s="178" t="str">
        <f t="shared" si="20"/>
        <v>OK</v>
      </c>
      <c r="BM58" s="178" t="str">
        <f t="shared" si="20"/>
        <v>OK</v>
      </c>
      <c r="BN58" s="30"/>
    </row>
    <row r="59">
      <c r="A59" s="30"/>
      <c r="B59" s="179"/>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147"/>
    </row>
    <row r="60">
      <c r="A60" s="30"/>
      <c r="B60" s="150" t="s">
        <v>169</v>
      </c>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47"/>
    </row>
    <row r="61" outlineLevel="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row>
    <row r="62" outlineLevel="1">
      <c r="A62" s="152"/>
      <c r="B62" s="161" t="s">
        <v>170</v>
      </c>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c r="BM62" s="152"/>
      <c r="BN62" s="152"/>
    </row>
    <row r="63" outlineLevel="1">
      <c r="A63" s="152"/>
      <c r="B63" s="162" t="s">
        <v>171</v>
      </c>
      <c r="C63" s="152"/>
      <c r="D63" s="152"/>
      <c r="E63" s="152"/>
      <c r="F63" s="152">
        <f t="shared" ref="F63:BM63" si="21">F53-E53</f>
        <v>-35500</v>
      </c>
      <c r="G63" s="152">
        <f t="shared" si="21"/>
        <v>-35276.75</v>
      </c>
      <c r="H63" s="152">
        <f t="shared" si="21"/>
        <v>-35049.035</v>
      </c>
      <c r="I63" s="152">
        <f t="shared" si="21"/>
        <v>-34816.7657</v>
      </c>
      <c r="J63" s="152">
        <f t="shared" si="21"/>
        <v>-34579.85101</v>
      </c>
      <c r="K63" s="152">
        <f t="shared" si="21"/>
        <v>-42164.29803</v>
      </c>
      <c r="L63" s="152">
        <f t="shared" si="21"/>
        <v>-41740.43399</v>
      </c>
      <c r="M63" s="152">
        <f t="shared" si="21"/>
        <v>-41308.09267</v>
      </c>
      <c r="N63" s="152">
        <f t="shared" si="21"/>
        <v>-40867.10453</v>
      </c>
      <c r="O63" s="152">
        <f t="shared" si="21"/>
        <v>-40417.29662</v>
      </c>
      <c r="P63" s="152">
        <f t="shared" si="21"/>
        <v>-39958.49255</v>
      </c>
      <c r="Q63" s="152">
        <f t="shared" si="21"/>
        <v>-39490.5124</v>
      </c>
      <c r="R63" s="152">
        <f t="shared" si="21"/>
        <v>-39013.17265</v>
      </c>
      <c r="S63" s="152">
        <f t="shared" si="21"/>
        <v>-38570.9361</v>
      </c>
      <c r="T63" s="152">
        <f t="shared" si="21"/>
        <v>-38119.85483</v>
      </c>
      <c r="U63" s="152">
        <f t="shared" si="21"/>
        <v>-37659.75192</v>
      </c>
      <c r="V63" s="152">
        <f t="shared" si="21"/>
        <v>-37190.44696</v>
      </c>
      <c r="W63" s="152">
        <f t="shared" si="21"/>
        <v>-36746.5359</v>
      </c>
      <c r="X63" s="152">
        <f t="shared" si="21"/>
        <v>-36293.74662</v>
      </c>
      <c r="Y63" s="152">
        <f t="shared" si="21"/>
        <v>-35831.90155</v>
      </c>
      <c r="Z63" s="152">
        <f t="shared" si="21"/>
        <v>-35360.81958</v>
      </c>
      <c r="AA63" s="152">
        <f t="shared" si="21"/>
        <v>-34880.31597</v>
      </c>
      <c r="AB63" s="152">
        <f t="shared" si="21"/>
        <v>-34390.20229</v>
      </c>
      <c r="AC63" s="152">
        <f t="shared" si="21"/>
        <v>-33890.28634</v>
      </c>
      <c r="AD63" s="152">
        <f t="shared" si="21"/>
        <v>-33380.37206</v>
      </c>
      <c r="AE63" s="152">
        <f t="shared" si="21"/>
        <v>-32895.97951</v>
      </c>
      <c r="AF63" s="152">
        <f t="shared" si="21"/>
        <v>-32401.8991</v>
      </c>
      <c r="AG63" s="152">
        <f t="shared" si="21"/>
        <v>-31897.93708</v>
      </c>
      <c r="AH63" s="152">
        <f t="shared" si="21"/>
        <v>-31383.89582</v>
      </c>
      <c r="AI63" s="152">
        <f t="shared" si="21"/>
        <v>-30887.39774</v>
      </c>
      <c r="AJ63" s="152">
        <f t="shared" si="21"/>
        <v>-30380.96969</v>
      </c>
      <c r="AK63" s="152">
        <f t="shared" si="21"/>
        <v>-29864.41308</v>
      </c>
      <c r="AL63" s="152">
        <f t="shared" si="21"/>
        <v>-29337.52535</v>
      </c>
      <c r="AM63" s="152">
        <f t="shared" si="21"/>
        <v>-28800.09985</v>
      </c>
      <c r="AN63" s="152">
        <f t="shared" si="21"/>
        <v>-28251.92585</v>
      </c>
      <c r="AO63" s="152">
        <f t="shared" si="21"/>
        <v>-27692.78837</v>
      </c>
      <c r="AP63" s="152">
        <f t="shared" si="21"/>
        <v>-27122.46813</v>
      </c>
      <c r="AQ63" s="152">
        <f t="shared" si="21"/>
        <v>-26569.3175</v>
      </c>
      <c r="AR63" s="152">
        <f t="shared" si="21"/>
        <v>-26005.10385</v>
      </c>
      <c r="AS63" s="152">
        <f t="shared" si="21"/>
        <v>-25429.60592</v>
      </c>
      <c r="AT63" s="152">
        <f t="shared" si="21"/>
        <v>-24842.59804</v>
      </c>
      <c r="AU63" s="152">
        <f t="shared" si="21"/>
        <v>-24266.1092</v>
      </c>
      <c r="AV63" s="152">
        <f t="shared" si="21"/>
        <v>-23678.09059</v>
      </c>
      <c r="AW63" s="152">
        <f t="shared" si="21"/>
        <v>-23078.3116</v>
      </c>
      <c r="AX63" s="152">
        <f t="shared" si="21"/>
        <v>-22466.53703</v>
      </c>
      <c r="AY63" s="152">
        <f t="shared" si="21"/>
        <v>-21842.52697</v>
      </c>
      <c r="AZ63" s="152">
        <f t="shared" si="21"/>
        <v>-21206.03671</v>
      </c>
      <c r="BA63" s="152">
        <f t="shared" si="21"/>
        <v>-20556.81665</v>
      </c>
      <c r="BB63" s="152">
        <f t="shared" si="21"/>
        <v>-19894.61218</v>
      </c>
      <c r="BC63" s="152">
        <f t="shared" si="21"/>
        <v>-19242.02442</v>
      </c>
      <c r="BD63" s="152">
        <f t="shared" si="21"/>
        <v>-18576.38491</v>
      </c>
      <c r="BE63" s="152">
        <f t="shared" si="21"/>
        <v>-17897.43261</v>
      </c>
      <c r="BF63" s="152">
        <f t="shared" si="21"/>
        <v>-17204.90126</v>
      </c>
      <c r="BG63" s="152">
        <f t="shared" si="21"/>
        <v>-16516.32665</v>
      </c>
      <c r="BH63" s="152">
        <f t="shared" si="21"/>
        <v>-15813.98054</v>
      </c>
      <c r="BI63" s="152">
        <f t="shared" si="21"/>
        <v>-15097.58751</v>
      </c>
      <c r="BJ63" s="152">
        <f t="shared" si="21"/>
        <v>-14366.86662</v>
      </c>
      <c r="BK63" s="152">
        <f t="shared" si="21"/>
        <v>-13621.53131</v>
      </c>
      <c r="BL63" s="152">
        <f t="shared" si="21"/>
        <v>-12861.2893</v>
      </c>
      <c r="BM63" s="152">
        <f t="shared" si="21"/>
        <v>-12085.84244</v>
      </c>
      <c r="BN63" s="152"/>
    </row>
    <row r="64" outlineLevel="1">
      <c r="A64" s="152"/>
      <c r="B64" s="162" t="s">
        <v>148</v>
      </c>
      <c r="C64" s="152"/>
      <c r="D64" s="152"/>
      <c r="E64" s="152"/>
      <c r="F64" s="152">
        <f t="shared" ref="F64:BM64" si="22">E42-F42</f>
        <v>0</v>
      </c>
      <c r="G64" s="152">
        <f t="shared" si="22"/>
        <v>0</v>
      </c>
      <c r="H64" s="152">
        <f t="shared" si="22"/>
        <v>0</v>
      </c>
      <c r="I64" s="152">
        <f t="shared" si="22"/>
        <v>0</v>
      </c>
      <c r="J64" s="152">
        <f t="shared" si="22"/>
        <v>0</v>
      </c>
      <c r="K64" s="152">
        <f t="shared" si="22"/>
        <v>0</v>
      </c>
      <c r="L64" s="152">
        <f t="shared" si="22"/>
        <v>0</v>
      </c>
      <c r="M64" s="152">
        <f t="shared" si="22"/>
        <v>0</v>
      </c>
      <c r="N64" s="152">
        <f t="shared" si="22"/>
        <v>0</v>
      </c>
      <c r="O64" s="152">
        <f t="shared" si="22"/>
        <v>0</v>
      </c>
      <c r="P64" s="152">
        <f t="shared" si="22"/>
        <v>0</v>
      </c>
      <c r="Q64" s="152">
        <f t="shared" si="22"/>
        <v>0</v>
      </c>
      <c r="R64" s="152">
        <f t="shared" si="22"/>
        <v>0</v>
      </c>
      <c r="S64" s="152">
        <f t="shared" si="22"/>
        <v>0</v>
      </c>
      <c r="T64" s="152">
        <f t="shared" si="22"/>
        <v>0</v>
      </c>
      <c r="U64" s="152">
        <f t="shared" si="22"/>
        <v>0</v>
      </c>
      <c r="V64" s="152">
        <f t="shared" si="22"/>
        <v>0</v>
      </c>
      <c r="W64" s="152">
        <f t="shared" si="22"/>
        <v>0</v>
      </c>
      <c r="X64" s="152">
        <f t="shared" si="22"/>
        <v>0</v>
      </c>
      <c r="Y64" s="152">
        <f t="shared" si="22"/>
        <v>0</v>
      </c>
      <c r="Z64" s="152">
        <f t="shared" si="22"/>
        <v>0</v>
      </c>
      <c r="AA64" s="152">
        <f t="shared" si="22"/>
        <v>0</v>
      </c>
      <c r="AB64" s="152">
        <f t="shared" si="22"/>
        <v>0</v>
      </c>
      <c r="AC64" s="152">
        <f t="shared" si="22"/>
        <v>0</v>
      </c>
      <c r="AD64" s="152">
        <f t="shared" si="22"/>
        <v>0</v>
      </c>
      <c r="AE64" s="152">
        <f t="shared" si="22"/>
        <v>0</v>
      </c>
      <c r="AF64" s="152">
        <f t="shared" si="22"/>
        <v>0</v>
      </c>
      <c r="AG64" s="152">
        <f t="shared" si="22"/>
        <v>0</v>
      </c>
      <c r="AH64" s="152">
        <f t="shared" si="22"/>
        <v>0</v>
      </c>
      <c r="AI64" s="152">
        <f t="shared" si="22"/>
        <v>0</v>
      </c>
      <c r="AJ64" s="152">
        <f t="shared" si="22"/>
        <v>0</v>
      </c>
      <c r="AK64" s="152">
        <f t="shared" si="22"/>
        <v>0</v>
      </c>
      <c r="AL64" s="152">
        <f t="shared" si="22"/>
        <v>0</v>
      </c>
      <c r="AM64" s="152">
        <f t="shared" si="22"/>
        <v>0</v>
      </c>
      <c r="AN64" s="152">
        <f t="shared" si="22"/>
        <v>0</v>
      </c>
      <c r="AO64" s="152">
        <f t="shared" si="22"/>
        <v>0</v>
      </c>
      <c r="AP64" s="152">
        <f t="shared" si="22"/>
        <v>0</v>
      </c>
      <c r="AQ64" s="152">
        <f t="shared" si="22"/>
        <v>0</v>
      </c>
      <c r="AR64" s="152">
        <f t="shared" si="22"/>
        <v>0</v>
      </c>
      <c r="AS64" s="152">
        <f t="shared" si="22"/>
        <v>0</v>
      </c>
      <c r="AT64" s="152">
        <f t="shared" si="22"/>
        <v>0</v>
      </c>
      <c r="AU64" s="152">
        <f t="shared" si="22"/>
        <v>0</v>
      </c>
      <c r="AV64" s="152">
        <f t="shared" si="22"/>
        <v>0</v>
      </c>
      <c r="AW64" s="152">
        <f t="shared" si="22"/>
        <v>0</v>
      </c>
      <c r="AX64" s="152">
        <f t="shared" si="22"/>
        <v>0</v>
      </c>
      <c r="AY64" s="152">
        <f t="shared" si="22"/>
        <v>0</v>
      </c>
      <c r="AZ64" s="152">
        <f t="shared" si="22"/>
        <v>0</v>
      </c>
      <c r="BA64" s="152">
        <f t="shared" si="22"/>
        <v>0</v>
      </c>
      <c r="BB64" s="152">
        <f t="shared" si="22"/>
        <v>0</v>
      </c>
      <c r="BC64" s="152">
        <f t="shared" si="22"/>
        <v>0</v>
      </c>
      <c r="BD64" s="152">
        <f t="shared" si="22"/>
        <v>0</v>
      </c>
      <c r="BE64" s="152">
        <f t="shared" si="22"/>
        <v>0</v>
      </c>
      <c r="BF64" s="152">
        <f t="shared" si="22"/>
        <v>0</v>
      </c>
      <c r="BG64" s="152">
        <f t="shared" si="22"/>
        <v>0</v>
      </c>
      <c r="BH64" s="152">
        <f t="shared" si="22"/>
        <v>0</v>
      </c>
      <c r="BI64" s="152">
        <f t="shared" si="22"/>
        <v>0</v>
      </c>
      <c r="BJ64" s="152">
        <f t="shared" si="22"/>
        <v>0</v>
      </c>
      <c r="BK64" s="152">
        <f t="shared" si="22"/>
        <v>0</v>
      </c>
      <c r="BL64" s="152">
        <f t="shared" si="22"/>
        <v>0</v>
      </c>
      <c r="BM64" s="152">
        <f t="shared" si="22"/>
        <v>0</v>
      </c>
      <c r="BN64" s="152"/>
    </row>
    <row r="65" outlineLevel="1">
      <c r="A65" s="152"/>
      <c r="B65" s="162" t="s">
        <v>172</v>
      </c>
      <c r="C65" s="152"/>
      <c r="D65" s="152"/>
      <c r="E65" s="152"/>
      <c r="F65" s="152">
        <f t="shared" ref="F65:BM65" si="23">E38-F38</f>
        <v>0</v>
      </c>
      <c r="G65" s="152">
        <f t="shared" si="23"/>
        <v>-237.5</v>
      </c>
      <c r="H65" s="152">
        <f t="shared" si="23"/>
        <v>-242.25</v>
      </c>
      <c r="I65" s="152">
        <f t="shared" si="23"/>
        <v>-247.095</v>
      </c>
      <c r="J65" s="152">
        <f t="shared" si="23"/>
        <v>-252.0369</v>
      </c>
      <c r="K65" s="152">
        <f t="shared" si="23"/>
        <v>-442.077638</v>
      </c>
      <c r="L65" s="152">
        <f t="shared" si="23"/>
        <v>-450.9191908</v>
      </c>
      <c r="M65" s="152">
        <f t="shared" si="23"/>
        <v>-459.9375746</v>
      </c>
      <c r="N65" s="152">
        <f t="shared" si="23"/>
        <v>-469.1363261</v>
      </c>
      <c r="O65" s="152">
        <f t="shared" si="23"/>
        <v>-478.5190526</v>
      </c>
      <c r="P65" s="152">
        <f t="shared" si="23"/>
        <v>-488.0894336</v>
      </c>
      <c r="Q65" s="152">
        <f t="shared" si="23"/>
        <v>-497.8512223</v>
      </c>
      <c r="R65" s="152">
        <f t="shared" si="23"/>
        <v>-507.8082468</v>
      </c>
      <c r="S65" s="152">
        <f t="shared" si="23"/>
        <v>-470.4644117</v>
      </c>
      <c r="T65" s="152">
        <f t="shared" si="23"/>
        <v>-479.8736999</v>
      </c>
      <c r="U65" s="152">
        <f t="shared" si="23"/>
        <v>-489.4711739</v>
      </c>
      <c r="V65" s="152">
        <f t="shared" si="23"/>
        <v>-499.2605974</v>
      </c>
      <c r="W65" s="152">
        <f t="shared" si="23"/>
        <v>-472.2458094</v>
      </c>
      <c r="X65" s="152">
        <f t="shared" si="23"/>
        <v>-481.6907255</v>
      </c>
      <c r="Y65" s="152">
        <f t="shared" si="23"/>
        <v>-491.3245401</v>
      </c>
      <c r="Z65" s="152">
        <f t="shared" si="23"/>
        <v>-501.1510309</v>
      </c>
      <c r="AA65" s="152">
        <f t="shared" si="23"/>
        <v>-511.1740515</v>
      </c>
      <c r="AB65" s="152">
        <f t="shared" si="23"/>
        <v>-521.3975325</v>
      </c>
      <c r="AC65" s="152">
        <f t="shared" si="23"/>
        <v>-531.8254831</v>
      </c>
      <c r="AD65" s="152">
        <f t="shared" si="23"/>
        <v>-542.4619928</v>
      </c>
      <c r="AE65" s="152">
        <f t="shared" si="23"/>
        <v>-515.3112327</v>
      </c>
      <c r="AF65" s="152">
        <f t="shared" si="23"/>
        <v>-525.6174573</v>
      </c>
      <c r="AG65" s="152">
        <f t="shared" si="23"/>
        <v>-536.1298065</v>
      </c>
      <c r="AH65" s="152">
        <f t="shared" si="23"/>
        <v>-546.8524026</v>
      </c>
      <c r="AI65" s="152">
        <f t="shared" si="23"/>
        <v>-528.1894506</v>
      </c>
      <c r="AJ65" s="152">
        <f t="shared" si="23"/>
        <v>-538.7532397</v>
      </c>
      <c r="AK65" s="152">
        <f t="shared" si="23"/>
        <v>-549.5283045</v>
      </c>
      <c r="AL65" s="152">
        <f t="shared" si="23"/>
        <v>-560.5188705</v>
      </c>
      <c r="AM65" s="152">
        <f t="shared" si="23"/>
        <v>-571.729248</v>
      </c>
      <c r="AN65" s="152">
        <f t="shared" si="23"/>
        <v>-583.1638329</v>
      </c>
      <c r="AO65" s="152">
        <f t="shared" si="23"/>
        <v>-594.8271096</v>
      </c>
      <c r="AP65" s="152">
        <f t="shared" si="23"/>
        <v>-606.7236518</v>
      </c>
      <c r="AQ65" s="152">
        <f t="shared" si="23"/>
        <v>-588.4581248</v>
      </c>
      <c r="AR65" s="152">
        <f t="shared" si="23"/>
        <v>-600.2272873</v>
      </c>
      <c r="AS65" s="152">
        <f t="shared" si="23"/>
        <v>-612.231833</v>
      </c>
      <c r="AT65" s="152">
        <f t="shared" si="23"/>
        <v>-624.4764697</v>
      </c>
      <c r="AU65" s="152">
        <f t="shared" si="23"/>
        <v>-613.2859991</v>
      </c>
      <c r="AV65" s="152">
        <f t="shared" si="23"/>
        <v>-625.5517191</v>
      </c>
      <c r="AW65" s="152">
        <f t="shared" si="23"/>
        <v>-638.0627535</v>
      </c>
      <c r="AX65" s="152">
        <f t="shared" si="23"/>
        <v>-650.8240085</v>
      </c>
      <c r="AY65" s="152">
        <f t="shared" si="23"/>
        <v>-663.8404887</v>
      </c>
      <c r="AZ65" s="152">
        <f t="shared" si="23"/>
        <v>-677.1172985</v>
      </c>
      <c r="BA65" s="152">
        <f t="shared" si="23"/>
        <v>-690.6596444</v>
      </c>
      <c r="BB65" s="152">
        <f t="shared" si="23"/>
        <v>-704.4728373</v>
      </c>
      <c r="BC65" s="152">
        <f t="shared" si="23"/>
        <v>-694.2422941</v>
      </c>
      <c r="BD65" s="152">
        <f t="shared" si="23"/>
        <v>-708.12714</v>
      </c>
      <c r="BE65" s="152">
        <f t="shared" si="23"/>
        <v>-722.2896828</v>
      </c>
      <c r="BF65" s="152">
        <f t="shared" si="23"/>
        <v>-736.7354764</v>
      </c>
      <c r="BG65" s="152">
        <f t="shared" si="23"/>
        <v>-732.5261859</v>
      </c>
      <c r="BH65" s="152">
        <f t="shared" si="23"/>
        <v>-747.1767097</v>
      </c>
      <c r="BI65" s="152">
        <f t="shared" si="23"/>
        <v>-762.1202439</v>
      </c>
      <c r="BJ65" s="152">
        <f t="shared" si="23"/>
        <v>-777.3626487</v>
      </c>
      <c r="BK65" s="152">
        <f t="shared" si="23"/>
        <v>-792.9099017</v>
      </c>
      <c r="BL65" s="152">
        <f t="shared" si="23"/>
        <v>-808.7680997</v>
      </c>
      <c r="BM65" s="152">
        <f t="shared" si="23"/>
        <v>-824.9434617</v>
      </c>
      <c r="BN65" s="152"/>
    </row>
    <row r="66" outlineLevel="1">
      <c r="A66" s="152"/>
      <c r="B66" s="162" t="s">
        <v>173</v>
      </c>
      <c r="C66" s="152"/>
      <c r="D66" s="152"/>
      <c r="E66" s="152"/>
      <c r="F66" s="152">
        <f t="shared" ref="F66:BM66" si="24">F47-E47</f>
        <v>12750</v>
      </c>
      <c r="G66" s="152">
        <f t="shared" si="24"/>
        <v>106.875</v>
      </c>
      <c r="H66" s="152">
        <f t="shared" si="24"/>
        <v>109.0125</v>
      </c>
      <c r="I66" s="152">
        <f t="shared" si="24"/>
        <v>111.19275</v>
      </c>
      <c r="J66" s="152">
        <f t="shared" si="24"/>
        <v>113.416605</v>
      </c>
      <c r="K66" s="152">
        <f t="shared" si="24"/>
        <v>198.9349371</v>
      </c>
      <c r="L66" s="152">
        <f t="shared" si="24"/>
        <v>202.9136358</v>
      </c>
      <c r="M66" s="152">
        <f t="shared" si="24"/>
        <v>206.9719086</v>
      </c>
      <c r="N66" s="152">
        <f t="shared" si="24"/>
        <v>211.1113467</v>
      </c>
      <c r="O66" s="152">
        <f t="shared" si="24"/>
        <v>215.3335737</v>
      </c>
      <c r="P66" s="152">
        <f t="shared" si="24"/>
        <v>219.6402451</v>
      </c>
      <c r="Q66" s="152">
        <f t="shared" si="24"/>
        <v>224.03305</v>
      </c>
      <c r="R66" s="152">
        <f t="shared" si="24"/>
        <v>228.513711</v>
      </c>
      <c r="S66" s="152">
        <f t="shared" si="24"/>
        <v>211.7089853</v>
      </c>
      <c r="T66" s="152">
        <f t="shared" si="24"/>
        <v>215.943165</v>
      </c>
      <c r="U66" s="152">
        <f t="shared" si="24"/>
        <v>220.2620283</v>
      </c>
      <c r="V66" s="152">
        <f t="shared" si="24"/>
        <v>224.6672688</v>
      </c>
      <c r="W66" s="152">
        <f t="shared" si="24"/>
        <v>212.5106142</v>
      </c>
      <c r="X66" s="152">
        <f t="shared" si="24"/>
        <v>216.7608265</v>
      </c>
      <c r="Y66" s="152">
        <f t="shared" si="24"/>
        <v>221.096043</v>
      </c>
      <c r="Z66" s="152">
        <f t="shared" si="24"/>
        <v>225.5179639</v>
      </c>
      <c r="AA66" s="152">
        <f t="shared" si="24"/>
        <v>230.0283232</v>
      </c>
      <c r="AB66" s="152">
        <f t="shared" si="24"/>
        <v>234.6288896</v>
      </c>
      <c r="AC66" s="152">
        <f t="shared" si="24"/>
        <v>239.3214674</v>
      </c>
      <c r="AD66" s="152">
        <f t="shared" si="24"/>
        <v>244.1078968</v>
      </c>
      <c r="AE66" s="152">
        <f t="shared" si="24"/>
        <v>231.8900547</v>
      </c>
      <c r="AF66" s="152">
        <f t="shared" si="24"/>
        <v>236.5278558</v>
      </c>
      <c r="AG66" s="152">
        <f t="shared" si="24"/>
        <v>241.2584129</v>
      </c>
      <c r="AH66" s="152">
        <f t="shared" si="24"/>
        <v>246.0835812</v>
      </c>
      <c r="AI66" s="152">
        <f t="shared" si="24"/>
        <v>237.6852528</v>
      </c>
      <c r="AJ66" s="152">
        <f t="shared" si="24"/>
        <v>242.4389578</v>
      </c>
      <c r="AK66" s="152">
        <f t="shared" si="24"/>
        <v>247.287737</v>
      </c>
      <c r="AL66" s="152">
        <f t="shared" si="24"/>
        <v>252.2334917</v>
      </c>
      <c r="AM66" s="152">
        <f t="shared" si="24"/>
        <v>257.2781616</v>
      </c>
      <c r="AN66" s="152">
        <f t="shared" si="24"/>
        <v>262.4237248</v>
      </c>
      <c r="AO66" s="152">
        <f t="shared" si="24"/>
        <v>267.6721993</v>
      </c>
      <c r="AP66" s="152">
        <f t="shared" si="24"/>
        <v>273.0256433</v>
      </c>
      <c r="AQ66" s="152">
        <f t="shared" si="24"/>
        <v>264.8061562</v>
      </c>
      <c r="AR66" s="152">
        <f t="shared" si="24"/>
        <v>270.1022793</v>
      </c>
      <c r="AS66" s="152">
        <f t="shared" si="24"/>
        <v>275.5043249</v>
      </c>
      <c r="AT66" s="152">
        <f t="shared" si="24"/>
        <v>281.0144114</v>
      </c>
      <c r="AU66" s="152">
        <f t="shared" si="24"/>
        <v>275.9786996</v>
      </c>
      <c r="AV66" s="152">
        <f t="shared" si="24"/>
        <v>281.4982736</v>
      </c>
      <c r="AW66" s="152">
        <f t="shared" si="24"/>
        <v>287.1282391</v>
      </c>
      <c r="AX66" s="152">
        <f t="shared" si="24"/>
        <v>292.8708038</v>
      </c>
      <c r="AY66" s="152">
        <f t="shared" si="24"/>
        <v>298.7282199</v>
      </c>
      <c r="AZ66" s="152">
        <f t="shared" si="24"/>
        <v>304.7027843</v>
      </c>
      <c r="BA66" s="152">
        <f t="shared" si="24"/>
        <v>310.79684</v>
      </c>
      <c r="BB66" s="152">
        <f t="shared" si="24"/>
        <v>317.0127768</v>
      </c>
      <c r="BC66" s="152">
        <f t="shared" si="24"/>
        <v>312.4090323</v>
      </c>
      <c r="BD66" s="152">
        <f t="shared" si="24"/>
        <v>318.657213</v>
      </c>
      <c r="BE66" s="152">
        <f t="shared" si="24"/>
        <v>325.0303572</v>
      </c>
      <c r="BF66" s="152">
        <f t="shared" si="24"/>
        <v>331.5309644</v>
      </c>
      <c r="BG66" s="152">
        <f t="shared" si="24"/>
        <v>329.6367837</v>
      </c>
      <c r="BH66" s="152">
        <f t="shared" si="24"/>
        <v>336.2295193</v>
      </c>
      <c r="BI66" s="152">
        <f t="shared" si="24"/>
        <v>342.9541097</v>
      </c>
      <c r="BJ66" s="152">
        <f t="shared" si="24"/>
        <v>349.8131919</v>
      </c>
      <c r="BK66" s="152">
        <f t="shared" si="24"/>
        <v>356.8094558</v>
      </c>
      <c r="BL66" s="152">
        <f t="shared" si="24"/>
        <v>363.9456449</v>
      </c>
      <c r="BM66" s="152">
        <f t="shared" si="24"/>
        <v>371.2245578</v>
      </c>
      <c r="BN66" s="152"/>
    </row>
    <row r="67" outlineLevel="1">
      <c r="A67" s="105"/>
      <c r="B67" s="171" t="s">
        <v>174</v>
      </c>
      <c r="C67" s="105"/>
      <c r="D67" s="105"/>
      <c r="E67" s="105"/>
      <c r="F67" s="172">
        <f t="shared" ref="F67:BM67" si="25">F48-E48</f>
        <v>0</v>
      </c>
      <c r="G67" s="172">
        <f t="shared" si="25"/>
        <v>5225</v>
      </c>
      <c r="H67" s="172">
        <f t="shared" si="25"/>
        <v>4854.5</v>
      </c>
      <c r="I67" s="172">
        <f t="shared" si="25"/>
        <v>4476.59</v>
      </c>
      <c r="J67" s="172">
        <f t="shared" si="25"/>
        <v>4091.1218</v>
      </c>
      <c r="K67" s="172">
        <f t="shared" si="25"/>
        <v>7767.944236</v>
      </c>
      <c r="L67" s="172">
        <f t="shared" si="25"/>
        <v>7078.303121</v>
      </c>
      <c r="M67" s="172">
        <f t="shared" si="25"/>
        <v>6374.869183</v>
      </c>
      <c r="N67" s="172">
        <f t="shared" si="25"/>
        <v>5657.366567</v>
      </c>
      <c r="O67" s="172">
        <f t="shared" si="25"/>
        <v>4925.513898</v>
      </c>
      <c r="P67" s="172">
        <f t="shared" si="25"/>
        <v>4179.024176</v>
      </c>
      <c r="Q67" s="172">
        <f t="shared" si="25"/>
        <v>3417.60466</v>
      </c>
      <c r="R67" s="172">
        <f t="shared" si="25"/>
        <v>2640.956753</v>
      </c>
      <c r="S67" s="172">
        <f t="shared" si="25"/>
        <v>6503.775888</v>
      </c>
      <c r="T67" s="172">
        <f t="shared" si="25"/>
        <v>5883.851406</v>
      </c>
      <c r="U67" s="172">
        <f t="shared" si="25"/>
        <v>5251.528434</v>
      </c>
      <c r="V67" s="172">
        <f t="shared" si="25"/>
        <v>4606.559002</v>
      </c>
      <c r="W67" s="172">
        <f t="shared" si="25"/>
        <v>7574.690182</v>
      </c>
      <c r="X67" s="172">
        <f t="shared" si="25"/>
        <v>7050.183986</v>
      </c>
      <c r="Y67" s="172">
        <f t="shared" si="25"/>
        <v>6515.187666</v>
      </c>
      <c r="Z67" s="172">
        <f t="shared" si="25"/>
        <v>5969.491419</v>
      </c>
      <c r="AA67" s="172">
        <f t="shared" si="25"/>
        <v>5412.881248</v>
      </c>
      <c r="AB67" s="172">
        <f t="shared" si="25"/>
        <v>4845.138872</v>
      </c>
      <c r="AC67" s="172">
        <f t="shared" si="25"/>
        <v>4266.04165</v>
      </c>
      <c r="AD67" s="172">
        <f t="shared" si="25"/>
        <v>3675.362483</v>
      </c>
      <c r="AE67" s="172">
        <f t="shared" si="25"/>
        <v>6796.869733</v>
      </c>
      <c r="AF67" s="172">
        <f t="shared" si="25"/>
        <v>6332.807127</v>
      </c>
      <c r="AG67" s="172">
        <f t="shared" si="25"/>
        <v>5859.46327</v>
      </c>
      <c r="AH67" s="172">
        <f t="shared" si="25"/>
        <v>5376.652535</v>
      </c>
      <c r="AI67" s="172">
        <f t="shared" si="25"/>
        <v>7784.985586</v>
      </c>
      <c r="AJ67" s="172">
        <f t="shared" si="25"/>
        <v>7399.885298</v>
      </c>
      <c r="AK67" s="172">
        <f t="shared" si="25"/>
        <v>7007.083004</v>
      </c>
      <c r="AL67" s="172">
        <f t="shared" si="25"/>
        <v>6606.424664</v>
      </c>
      <c r="AM67" s="172">
        <f t="shared" si="25"/>
        <v>6197.753157</v>
      </c>
      <c r="AN67" s="172">
        <f t="shared" si="25"/>
        <v>5780.90822</v>
      </c>
      <c r="AO67" s="172">
        <f t="shared" si="25"/>
        <v>5355.726384</v>
      </c>
      <c r="AP67" s="172">
        <f t="shared" si="25"/>
        <v>4922.040912</v>
      </c>
      <c r="AQ67" s="172">
        <f t="shared" si="25"/>
        <v>7458.88173</v>
      </c>
      <c r="AR67" s="172">
        <f t="shared" si="25"/>
        <v>7128.059365</v>
      </c>
      <c r="AS67" s="172">
        <f t="shared" si="25"/>
        <v>6790.620552</v>
      </c>
      <c r="AT67" s="172">
        <f t="shared" si="25"/>
        <v>6446.432963</v>
      </c>
      <c r="AU67" s="172">
        <f t="shared" si="25"/>
        <v>8416.001623</v>
      </c>
      <c r="AV67" s="172">
        <f t="shared" si="25"/>
        <v>8151.681655</v>
      </c>
      <c r="AW67" s="172">
        <f t="shared" si="25"/>
        <v>7882.075288</v>
      </c>
      <c r="AX67" s="172">
        <f t="shared" si="25"/>
        <v>7607.076794</v>
      </c>
      <c r="AY67" s="172">
        <f t="shared" si="25"/>
        <v>7326.57833</v>
      </c>
      <c r="AZ67" s="172">
        <f t="shared" si="25"/>
        <v>7040.469896</v>
      </c>
      <c r="BA67" s="172">
        <f t="shared" si="25"/>
        <v>6748.639294</v>
      </c>
      <c r="BB67" s="172">
        <f t="shared" si="25"/>
        <v>6450.97208</v>
      </c>
      <c r="BC67" s="172">
        <f t="shared" si="25"/>
        <v>8530.711522</v>
      </c>
      <c r="BD67" s="172">
        <f t="shared" si="25"/>
        <v>8317.325752</v>
      </c>
      <c r="BE67" s="172">
        <f t="shared" si="25"/>
        <v>8099.672267</v>
      </c>
      <c r="BF67" s="172">
        <f t="shared" si="25"/>
        <v>7877.665713</v>
      </c>
      <c r="BG67" s="172">
        <f t="shared" si="25"/>
        <v>9507.731027</v>
      </c>
      <c r="BH67" s="172">
        <f t="shared" si="25"/>
        <v>9351.773647</v>
      </c>
      <c r="BI67" s="172">
        <f t="shared" si="25"/>
        <v>9192.69712</v>
      </c>
      <c r="BJ67" s="172">
        <f t="shared" si="25"/>
        <v>9030.439063</v>
      </c>
      <c r="BK67" s="172">
        <f t="shared" si="25"/>
        <v>8864.935844</v>
      </c>
      <c r="BL67" s="172">
        <f t="shared" si="25"/>
        <v>8696.122561</v>
      </c>
      <c r="BM67" s="172">
        <f t="shared" si="25"/>
        <v>8523.933012</v>
      </c>
      <c r="BN67" s="105"/>
    </row>
    <row r="68" outlineLevel="1">
      <c r="A68" s="152"/>
      <c r="B68" s="155" t="s">
        <v>175</v>
      </c>
      <c r="C68" s="156"/>
      <c r="D68" s="156"/>
      <c r="E68" s="156"/>
      <c r="F68" s="157">
        <f t="shared" ref="F68:BM68" si="26">sum(F63:F67)</f>
        <v>-22750</v>
      </c>
      <c r="G68" s="157">
        <f t="shared" si="26"/>
        <v>-30182.375</v>
      </c>
      <c r="H68" s="157">
        <f t="shared" si="26"/>
        <v>-30327.7725</v>
      </c>
      <c r="I68" s="157">
        <f t="shared" si="26"/>
        <v>-30476.07795</v>
      </c>
      <c r="J68" s="157">
        <f t="shared" si="26"/>
        <v>-30627.34951</v>
      </c>
      <c r="K68" s="157">
        <f t="shared" si="26"/>
        <v>-34639.4965</v>
      </c>
      <c r="L68" s="157">
        <f t="shared" si="26"/>
        <v>-34910.13643</v>
      </c>
      <c r="M68" s="157">
        <f t="shared" si="26"/>
        <v>-35186.18916</v>
      </c>
      <c r="N68" s="157">
        <f t="shared" si="26"/>
        <v>-35467.76294</v>
      </c>
      <c r="O68" s="157">
        <f t="shared" si="26"/>
        <v>-35754.9682</v>
      </c>
      <c r="P68" s="157">
        <f t="shared" si="26"/>
        <v>-36047.91756</v>
      </c>
      <c r="Q68" s="157">
        <f t="shared" si="26"/>
        <v>-36346.72591</v>
      </c>
      <c r="R68" s="157">
        <f t="shared" si="26"/>
        <v>-36651.51043</v>
      </c>
      <c r="S68" s="157">
        <f t="shared" si="26"/>
        <v>-32325.91564</v>
      </c>
      <c r="T68" s="157">
        <f t="shared" si="26"/>
        <v>-32499.93395</v>
      </c>
      <c r="U68" s="157">
        <f t="shared" si="26"/>
        <v>-32677.43263</v>
      </c>
      <c r="V68" s="157">
        <f t="shared" si="26"/>
        <v>-32858.48129</v>
      </c>
      <c r="W68" s="157">
        <f t="shared" si="26"/>
        <v>-29431.58091</v>
      </c>
      <c r="X68" s="157">
        <f t="shared" si="26"/>
        <v>-29508.49253</v>
      </c>
      <c r="Y68" s="157">
        <f t="shared" si="26"/>
        <v>-29586.94238</v>
      </c>
      <c r="Z68" s="157">
        <f t="shared" si="26"/>
        <v>-29666.96123</v>
      </c>
      <c r="AA68" s="157">
        <f t="shared" si="26"/>
        <v>-29748.58045</v>
      </c>
      <c r="AB68" s="157">
        <f t="shared" si="26"/>
        <v>-29831.83206</v>
      </c>
      <c r="AC68" s="157">
        <f t="shared" si="26"/>
        <v>-29916.7487</v>
      </c>
      <c r="AD68" s="157">
        <f t="shared" si="26"/>
        <v>-30003.36368</v>
      </c>
      <c r="AE68" s="157">
        <f t="shared" si="26"/>
        <v>-26382.53095</v>
      </c>
      <c r="AF68" s="157">
        <f t="shared" si="26"/>
        <v>-26358.18157</v>
      </c>
      <c r="AG68" s="157">
        <f t="shared" si="26"/>
        <v>-26333.3452</v>
      </c>
      <c r="AH68" s="157">
        <f t="shared" si="26"/>
        <v>-26308.01211</v>
      </c>
      <c r="AI68" s="157">
        <f t="shared" si="26"/>
        <v>-23392.91635</v>
      </c>
      <c r="AJ68" s="157">
        <f t="shared" si="26"/>
        <v>-23277.39867</v>
      </c>
      <c r="AK68" s="157">
        <f t="shared" si="26"/>
        <v>-23159.57065</v>
      </c>
      <c r="AL68" s="157">
        <f t="shared" si="26"/>
        <v>-23039.38606</v>
      </c>
      <c r="AM68" s="157">
        <f t="shared" si="26"/>
        <v>-22916.79778</v>
      </c>
      <c r="AN68" s="157">
        <f t="shared" si="26"/>
        <v>-22791.75774</v>
      </c>
      <c r="AO68" s="157">
        <f t="shared" si="26"/>
        <v>-22664.21689</v>
      </c>
      <c r="AP68" s="157">
        <f t="shared" si="26"/>
        <v>-22534.12523</v>
      </c>
      <c r="AQ68" s="157">
        <f t="shared" si="26"/>
        <v>-19434.08774</v>
      </c>
      <c r="AR68" s="157">
        <f t="shared" si="26"/>
        <v>-19207.16949</v>
      </c>
      <c r="AS68" s="157">
        <f t="shared" si="26"/>
        <v>-18975.71288</v>
      </c>
      <c r="AT68" s="157">
        <f t="shared" si="26"/>
        <v>-18739.62714</v>
      </c>
      <c r="AU68" s="157">
        <f t="shared" si="26"/>
        <v>-16187.41488</v>
      </c>
      <c r="AV68" s="157">
        <f t="shared" si="26"/>
        <v>-15870.46238</v>
      </c>
      <c r="AW68" s="157">
        <f t="shared" si="26"/>
        <v>-15547.17083</v>
      </c>
      <c r="AX68" s="157">
        <f t="shared" si="26"/>
        <v>-15217.41344</v>
      </c>
      <c r="AY68" s="157">
        <f t="shared" si="26"/>
        <v>-14881.06091</v>
      </c>
      <c r="AZ68" s="157">
        <f t="shared" si="26"/>
        <v>-14537.98133</v>
      </c>
      <c r="BA68" s="157">
        <f t="shared" si="26"/>
        <v>-14188.04016</v>
      </c>
      <c r="BB68" s="157">
        <f t="shared" si="26"/>
        <v>-13831.10016</v>
      </c>
      <c r="BC68" s="157">
        <f t="shared" si="26"/>
        <v>-11093.14616</v>
      </c>
      <c r="BD68" s="157">
        <f t="shared" si="26"/>
        <v>-10648.52909</v>
      </c>
      <c r="BE68" s="157">
        <f t="shared" si="26"/>
        <v>-10195.01967</v>
      </c>
      <c r="BF68" s="157">
        <f t="shared" si="26"/>
        <v>-9732.44006</v>
      </c>
      <c r="BG68" s="157">
        <f t="shared" si="26"/>
        <v>-7411.485021</v>
      </c>
      <c r="BH68" s="157">
        <f t="shared" si="26"/>
        <v>-6873.154082</v>
      </c>
      <c r="BI68" s="157">
        <f t="shared" si="26"/>
        <v>-6324.056523</v>
      </c>
      <c r="BJ68" s="157">
        <f t="shared" si="26"/>
        <v>-5763.977014</v>
      </c>
      <c r="BK68" s="157">
        <f t="shared" si="26"/>
        <v>-5192.695914</v>
      </c>
      <c r="BL68" s="157">
        <f t="shared" si="26"/>
        <v>-4609.989192</v>
      </c>
      <c r="BM68" s="157">
        <f t="shared" si="26"/>
        <v>-4015.628336</v>
      </c>
      <c r="BN68" s="152"/>
    </row>
    <row r="69" outlineLevel="1">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152"/>
      <c r="AH69" s="152"/>
      <c r="AI69" s="152"/>
      <c r="AJ69" s="152"/>
      <c r="AK69" s="152"/>
      <c r="AL69" s="152"/>
      <c r="AM69" s="152"/>
      <c r="AN69" s="152"/>
      <c r="AO69" s="152"/>
      <c r="AP69" s="152"/>
      <c r="AQ69" s="152"/>
      <c r="AR69" s="152"/>
      <c r="AS69" s="152"/>
      <c r="AT69" s="152"/>
      <c r="AU69" s="152"/>
      <c r="AV69" s="152"/>
      <c r="AW69" s="152"/>
      <c r="AX69" s="152"/>
      <c r="AY69" s="152"/>
      <c r="AZ69" s="152"/>
      <c r="BA69" s="152"/>
      <c r="BB69" s="152"/>
      <c r="BC69" s="152"/>
      <c r="BD69" s="152"/>
      <c r="BE69" s="152"/>
      <c r="BF69" s="152"/>
      <c r="BG69" s="152"/>
      <c r="BH69" s="152"/>
      <c r="BI69" s="152"/>
      <c r="BJ69" s="152"/>
      <c r="BK69" s="152"/>
      <c r="BL69" s="152"/>
      <c r="BM69" s="152"/>
      <c r="BN69" s="152"/>
    </row>
    <row r="70" outlineLevel="1">
      <c r="A70" s="152"/>
      <c r="B70" s="161" t="s">
        <v>176</v>
      </c>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2"/>
      <c r="AB70" s="152"/>
      <c r="AC70" s="152"/>
      <c r="AD70" s="152"/>
      <c r="AE70" s="152"/>
      <c r="AF70" s="152"/>
      <c r="AG70" s="152"/>
      <c r="AH70" s="152"/>
      <c r="AI70" s="152"/>
      <c r="AJ70" s="152"/>
      <c r="AK70" s="152"/>
      <c r="AL70" s="152"/>
      <c r="AM70" s="152"/>
      <c r="AN70" s="152"/>
      <c r="AO70" s="152"/>
      <c r="AP70" s="152"/>
      <c r="AQ70" s="152"/>
      <c r="AR70" s="152"/>
      <c r="AS70" s="152"/>
      <c r="AT70" s="152"/>
      <c r="AU70" s="152"/>
      <c r="AV70" s="152"/>
      <c r="AW70" s="152"/>
      <c r="AX70" s="152"/>
      <c r="AY70" s="152"/>
      <c r="AZ70" s="152"/>
      <c r="BA70" s="152"/>
      <c r="BB70" s="152"/>
      <c r="BC70" s="152"/>
      <c r="BD70" s="152"/>
      <c r="BE70" s="152"/>
      <c r="BF70" s="152"/>
      <c r="BG70" s="152"/>
      <c r="BH70" s="152"/>
      <c r="BI70" s="152"/>
      <c r="BJ70" s="152"/>
      <c r="BK70" s="152"/>
      <c r="BL70" s="152"/>
      <c r="BM70" s="152"/>
      <c r="BN70" s="152"/>
    </row>
    <row r="71" outlineLevel="1">
      <c r="A71" s="152"/>
      <c r="B71" s="162" t="s">
        <v>177</v>
      </c>
      <c r="C71" s="152"/>
      <c r="D71" s="152"/>
      <c r="E71" s="152"/>
      <c r="F71" s="152">
        <f t="shared" ref="F71:BM71" si="27">E41-F41</f>
        <v>0</v>
      </c>
      <c r="G71" s="152">
        <f t="shared" si="27"/>
        <v>0</v>
      </c>
      <c r="H71" s="152">
        <f t="shared" si="27"/>
        <v>0</v>
      </c>
      <c r="I71" s="152">
        <f t="shared" si="27"/>
        <v>0</v>
      </c>
      <c r="J71" s="152">
        <f t="shared" si="27"/>
        <v>0</v>
      </c>
      <c r="K71" s="152">
        <f t="shared" si="27"/>
        <v>0</v>
      </c>
      <c r="L71" s="152">
        <f t="shared" si="27"/>
        <v>0</v>
      </c>
      <c r="M71" s="152">
        <f t="shared" si="27"/>
        <v>0</v>
      </c>
      <c r="N71" s="152">
        <f t="shared" si="27"/>
        <v>0</v>
      </c>
      <c r="O71" s="152">
        <f t="shared" si="27"/>
        <v>0</v>
      </c>
      <c r="P71" s="152">
        <f t="shared" si="27"/>
        <v>0</v>
      </c>
      <c r="Q71" s="152">
        <f t="shared" si="27"/>
        <v>0</v>
      </c>
      <c r="R71" s="152">
        <f t="shared" si="27"/>
        <v>0</v>
      </c>
      <c r="S71" s="152">
        <f t="shared" si="27"/>
        <v>0</v>
      </c>
      <c r="T71" s="152">
        <f t="shared" si="27"/>
        <v>0</v>
      </c>
      <c r="U71" s="152">
        <f t="shared" si="27"/>
        <v>0</v>
      </c>
      <c r="V71" s="152">
        <f t="shared" si="27"/>
        <v>0</v>
      </c>
      <c r="W71" s="152">
        <f t="shared" si="27"/>
        <v>0</v>
      </c>
      <c r="X71" s="152">
        <f t="shared" si="27"/>
        <v>0</v>
      </c>
      <c r="Y71" s="152">
        <f t="shared" si="27"/>
        <v>0</v>
      </c>
      <c r="Z71" s="152">
        <f t="shared" si="27"/>
        <v>0</v>
      </c>
      <c r="AA71" s="152">
        <f t="shared" si="27"/>
        <v>0</v>
      </c>
      <c r="AB71" s="152">
        <f t="shared" si="27"/>
        <v>0</v>
      </c>
      <c r="AC71" s="152">
        <f t="shared" si="27"/>
        <v>0</v>
      </c>
      <c r="AD71" s="152">
        <f t="shared" si="27"/>
        <v>0</v>
      </c>
      <c r="AE71" s="152">
        <f t="shared" si="27"/>
        <v>0</v>
      </c>
      <c r="AF71" s="152">
        <f t="shared" si="27"/>
        <v>0</v>
      </c>
      <c r="AG71" s="152">
        <f t="shared" si="27"/>
        <v>0</v>
      </c>
      <c r="AH71" s="152">
        <f t="shared" si="27"/>
        <v>0</v>
      </c>
      <c r="AI71" s="152">
        <f t="shared" si="27"/>
        <v>0</v>
      </c>
      <c r="AJ71" s="152">
        <f t="shared" si="27"/>
        <v>0</v>
      </c>
      <c r="AK71" s="152">
        <f t="shared" si="27"/>
        <v>0</v>
      </c>
      <c r="AL71" s="152">
        <f t="shared" si="27"/>
        <v>0</v>
      </c>
      <c r="AM71" s="152">
        <f t="shared" si="27"/>
        <v>0</v>
      </c>
      <c r="AN71" s="152">
        <f t="shared" si="27"/>
        <v>0</v>
      </c>
      <c r="AO71" s="152">
        <f t="shared" si="27"/>
        <v>0</v>
      </c>
      <c r="AP71" s="152">
        <f t="shared" si="27"/>
        <v>0</v>
      </c>
      <c r="AQ71" s="152">
        <f t="shared" si="27"/>
        <v>0</v>
      </c>
      <c r="AR71" s="152">
        <f t="shared" si="27"/>
        <v>0</v>
      </c>
      <c r="AS71" s="152">
        <f t="shared" si="27"/>
        <v>0</v>
      </c>
      <c r="AT71" s="152">
        <f t="shared" si="27"/>
        <v>0</v>
      </c>
      <c r="AU71" s="152">
        <f t="shared" si="27"/>
        <v>0</v>
      </c>
      <c r="AV71" s="152">
        <f t="shared" si="27"/>
        <v>0</v>
      </c>
      <c r="AW71" s="152">
        <f t="shared" si="27"/>
        <v>0</v>
      </c>
      <c r="AX71" s="152">
        <f t="shared" si="27"/>
        <v>0</v>
      </c>
      <c r="AY71" s="152">
        <f t="shared" si="27"/>
        <v>0</v>
      </c>
      <c r="AZ71" s="152">
        <f t="shared" si="27"/>
        <v>0</v>
      </c>
      <c r="BA71" s="152">
        <f t="shared" si="27"/>
        <v>0</v>
      </c>
      <c r="BB71" s="152">
        <f t="shared" si="27"/>
        <v>0</v>
      </c>
      <c r="BC71" s="152">
        <f t="shared" si="27"/>
        <v>0</v>
      </c>
      <c r="BD71" s="152">
        <f t="shared" si="27"/>
        <v>0</v>
      </c>
      <c r="BE71" s="152">
        <f t="shared" si="27"/>
        <v>0</v>
      </c>
      <c r="BF71" s="152">
        <f t="shared" si="27"/>
        <v>0</v>
      </c>
      <c r="BG71" s="152">
        <f t="shared" si="27"/>
        <v>0</v>
      </c>
      <c r="BH71" s="152">
        <f t="shared" si="27"/>
        <v>0</v>
      </c>
      <c r="BI71" s="152">
        <f t="shared" si="27"/>
        <v>0</v>
      </c>
      <c r="BJ71" s="152">
        <f t="shared" si="27"/>
        <v>0</v>
      </c>
      <c r="BK71" s="152">
        <f t="shared" si="27"/>
        <v>0</v>
      </c>
      <c r="BL71" s="152">
        <f t="shared" si="27"/>
        <v>0</v>
      </c>
      <c r="BM71" s="152">
        <f t="shared" si="27"/>
        <v>0</v>
      </c>
      <c r="BN71" s="152"/>
    </row>
    <row r="72" outlineLevel="1">
      <c r="A72" s="152"/>
      <c r="B72" s="155" t="s">
        <v>178</v>
      </c>
      <c r="C72" s="156"/>
      <c r="D72" s="156"/>
      <c r="E72" s="156"/>
      <c r="F72" s="157">
        <f t="shared" ref="F72:BM72" si="28">F71</f>
        <v>0</v>
      </c>
      <c r="G72" s="157">
        <f t="shared" si="28"/>
        <v>0</v>
      </c>
      <c r="H72" s="157">
        <f t="shared" si="28"/>
        <v>0</v>
      </c>
      <c r="I72" s="157">
        <f t="shared" si="28"/>
        <v>0</v>
      </c>
      <c r="J72" s="157">
        <f t="shared" si="28"/>
        <v>0</v>
      </c>
      <c r="K72" s="157">
        <f t="shared" si="28"/>
        <v>0</v>
      </c>
      <c r="L72" s="157">
        <f t="shared" si="28"/>
        <v>0</v>
      </c>
      <c r="M72" s="157">
        <f t="shared" si="28"/>
        <v>0</v>
      </c>
      <c r="N72" s="157">
        <f t="shared" si="28"/>
        <v>0</v>
      </c>
      <c r="O72" s="157">
        <f t="shared" si="28"/>
        <v>0</v>
      </c>
      <c r="P72" s="157">
        <f t="shared" si="28"/>
        <v>0</v>
      </c>
      <c r="Q72" s="157">
        <f t="shared" si="28"/>
        <v>0</v>
      </c>
      <c r="R72" s="157">
        <f t="shared" si="28"/>
        <v>0</v>
      </c>
      <c r="S72" s="157">
        <f t="shared" si="28"/>
        <v>0</v>
      </c>
      <c r="T72" s="157">
        <f t="shared" si="28"/>
        <v>0</v>
      </c>
      <c r="U72" s="157">
        <f t="shared" si="28"/>
        <v>0</v>
      </c>
      <c r="V72" s="157">
        <f t="shared" si="28"/>
        <v>0</v>
      </c>
      <c r="W72" s="157">
        <f t="shared" si="28"/>
        <v>0</v>
      </c>
      <c r="X72" s="157">
        <f t="shared" si="28"/>
        <v>0</v>
      </c>
      <c r="Y72" s="157">
        <f t="shared" si="28"/>
        <v>0</v>
      </c>
      <c r="Z72" s="157">
        <f t="shared" si="28"/>
        <v>0</v>
      </c>
      <c r="AA72" s="157">
        <f t="shared" si="28"/>
        <v>0</v>
      </c>
      <c r="AB72" s="157">
        <f t="shared" si="28"/>
        <v>0</v>
      </c>
      <c r="AC72" s="157">
        <f t="shared" si="28"/>
        <v>0</v>
      </c>
      <c r="AD72" s="157">
        <f t="shared" si="28"/>
        <v>0</v>
      </c>
      <c r="AE72" s="157">
        <f t="shared" si="28"/>
        <v>0</v>
      </c>
      <c r="AF72" s="157">
        <f t="shared" si="28"/>
        <v>0</v>
      </c>
      <c r="AG72" s="157">
        <f t="shared" si="28"/>
        <v>0</v>
      </c>
      <c r="AH72" s="157">
        <f t="shared" si="28"/>
        <v>0</v>
      </c>
      <c r="AI72" s="157">
        <f t="shared" si="28"/>
        <v>0</v>
      </c>
      <c r="AJ72" s="157">
        <f t="shared" si="28"/>
        <v>0</v>
      </c>
      <c r="AK72" s="157">
        <f t="shared" si="28"/>
        <v>0</v>
      </c>
      <c r="AL72" s="157">
        <f t="shared" si="28"/>
        <v>0</v>
      </c>
      <c r="AM72" s="157">
        <f t="shared" si="28"/>
        <v>0</v>
      </c>
      <c r="AN72" s="157">
        <f t="shared" si="28"/>
        <v>0</v>
      </c>
      <c r="AO72" s="157">
        <f t="shared" si="28"/>
        <v>0</v>
      </c>
      <c r="AP72" s="157">
        <f t="shared" si="28"/>
        <v>0</v>
      </c>
      <c r="AQ72" s="157">
        <f t="shared" si="28"/>
        <v>0</v>
      </c>
      <c r="AR72" s="157">
        <f t="shared" si="28"/>
        <v>0</v>
      </c>
      <c r="AS72" s="157">
        <f t="shared" si="28"/>
        <v>0</v>
      </c>
      <c r="AT72" s="157">
        <f t="shared" si="28"/>
        <v>0</v>
      </c>
      <c r="AU72" s="157">
        <f t="shared" si="28"/>
        <v>0</v>
      </c>
      <c r="AV72" s="157">
        <f t="shared" si="28"/>
        <v>0</v>
      </c>
      <c r="AW72" s="157">
        <f t="shared" si="28"/>
        <v>0</v>
      </c>
      <c r="AX72" s="157">
        <f t="shared" si="28"/>
        <v>0</v>
      </c>
      <c r="AY72" s="157">
        <f t="shared" si="28"/>
        <v>0</v>
      </c>
      <c r="AZ72" s="157">
        <f t="shared" si="28"/>
        <v>0</v>
      </c>
      <c r="BA72" s="157">
        <f t="shared" si="28"/>
        <v>0</v>
      </c>
      <c r="BB72" s="157">
        <f t="shared" si="28"/>
        <v>0</v>
      </c>
      <c r="BC72" s="157">
        <f t="shared" si="28"/>
        <v>0</v>
      </c>
      <c r="BD72" s="157">
        <f t="shared" si="28"/>
        <v>0</v>
      </c>
      <c r="BE72" s="157">
        <f t="shared" si="28"/>
        <v>0</v>
      </c>
      <c r="BF72" s="157">
        <f t="shared" si="28"/>
        <v>0</v>
      </c>
      <c r="BG72" s="157">
        <f t="shared" si="28"/>
        <v>0</v>
      </c>
      <c r="BH72" s="157">
        <f t="shared" si="28"/>
        <v>0</v>
      </c>
      <c r="BI72" s="157">
        <f t="shared" si="28"/>
        <v>0</v>
      </c>
      <c r="BJ72" s="157">
        <f t="shared" si="28"/>
        <v>0</v>
      </c>
      <c r="BK72" s="157">
        <f t="shared" si="28"/>
        <v>0</v>
      </c>
      <c r="BL72" s="157">
        <f t="shared" si="28"/>
        <v>0</v>
      </c>
      <c r="BM72" s="157">
        <f t="shared" si="28"/>
        <v>0</v>
      </c>
      <c r="BN72" s="152"/>
    </row>
    <row r="73" outlineLevel="1">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c r="BM73" s="152"/>
      <c r="BN73" s="152"/>
    </row>
    <row r="74" outlineLevel="1">
      <c r="A74" s="152"/>
      <c r="B74" s="161" t="s">
        <v>179</v>
      </c>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c r="BM74" s="152"/>
      <c r="BN74" s="152"/>
    </row>
    <row r="75" outlineLevel="1">
      <c r="A75" s="152"/>
      <c r="B75" s="162" t="s">
        <v>180</v>
      </c>
      <c r="C75" s="152"/>
      <c r="D75" s="152"/>
      <c r="E75" s="152"/>
      <c r="F75" s="152">
        <f t="shared" ref="F75:BM75" si="29">F52-E52</f>
        <v>0</v>
      </c>
      <c r="G75" s="152">
        <f t="shared" si="29"/>
        <v>1000000</v>
      </c>
      <c r="H75" s="152">
        <f t="shared" si="29"/>
        <v>0</v>
      </c>
      <c r="I75" s="152">
        <f t="shared" si="29"/>
        <v>0</v>
      </c>
      <c r="J75" s="152">
        <f t="shared" si="29"/>
        <v>0</v>
      </c>
      <c r="K75" s="152">
        <f t="shared" si="29"/>
        <v>0</v>
      </c>
      <c r="L75" s="152">
        <f t="shared" si="29"/>
        <v>0</v>
      </c>
      <c r="M75" s="152">
        <f t="shared" si="29"/>
        <v>0</v>
      </c>
      <c r="N75" s="152">
        <f t="shared" si="29"/>
        <v>0</v>
      </c>
      <c r="O75" s="152">
        <f t="shared" si="29"/>
        <v>0</v>
      </c>
      <c r="P75" s="152">
        <f t="shared" si="29"/>
        <v>0</v>
      </c>
      <c r="Q75" s="152">
        <f t="shared" si="29"/>
        <v>0</v>
      </c>
      <c r="R75" s="152">
        <f t="shared" si="29"/>
        <v>0</v>
      </c>
      <c r="S75" s="152">
        <f t="shared" si="29"/>
        <v>0</v>
      </c>
      <c r="T75" s="152">
        <f t="shared" si="29"/>
        <v>0</v>
      </c>
      <c r="U75" s="152">
        <f t="shared" si="29"/>
        <v>0</v>
      </c>
      <c r="V75" s="152">
        <f t="shared" si="29"/>
        <v>0</v>
      </c>
      <c r="W75" s="152">
        <f t="shared" si="29"/>
        <v>0</v>
      </c>
      <c r="X75" s="152">
        <f t="shared" si="29"/>
        <v>0</v>
      </c>
      <c r="Y75" s="152">
        <f t="shared" si="29"/>
        <v>0</v>
      </c>
      <c r="Z75" s="152">
        <f t="shared" si="29"/>
        <v>0</v>
      </c>
      <c r="AA75" s="152">
        <f t="shared" si="29"/>
        <v>0</v>
      </c>
      <c r="AB75" s="152">
        <f t="shared" si="29"/>
        <v>0</v>
      </c>
      <c r="AC75" s="152">
        <f t="shared" si="29"/>
        <v>0</v>
      </c>
      <c r="AD75" s="152">
        <f t="shared" si="29"/>
        <v>0</v>
      </c>
      <c r="AE75" s="152">
        <f t="shared" si="29"/>
        <v>0</v>
      </c>
      <c r="AF75" s="152">
        <f t="shared" si="29"/>
        <v>0</v>
      </c>
      <c r="AG75" s="152">
        <f t="shared" si="29"/>
        <v>0</v>
      </c>
      <c r="AH75" s="152">
        <f t="shared" si="29"/>
        <v>0</v>
      </c>
      <c r="AI75" s="152">
        <f t="shared" si="29"/>
        <v>0</v>
      </c>
      <c r="AJ75" s="152">
        <f t="shared" si="29"/>
        <v>0</v>
      </c>
      <c r="AK75" s="152">
        <f t="shared" si="29"/>
        <v>0</v>
      </c>
      <c r="AL75" s="152">
        <f t="shared" si="29"/>
        <v>0</v>
      </c>
      <c r="AM75" s="152">
        <f t="shared" si="29"/>
        <v>0</v>
      </c>
      <c r="AN75" s="152">
        <f t="shared" si="29"/>
        <v>0</v>
      </c>
      <c r="AO75" s="152">
        <f t="shared" si="29"/>
        <v>0</v>
      </c>
      <c r="AP75" s="152">
        <f t="shared" si="29"/>
        <v>0</v>
      </c>
      <c r="AQ75" s="152">
        <f t="shared" si="29"/>
        <v>0</v>
      </c>
      <c r="AR75" s="152">
        <f t="shared" si="29"/>
        <v>0</v>
      </c>
      <c r="AS75" s="152">
        <f t="shared" si="29"/>
        <v>0</v>
      </c>
      <c r="AT75" s="152">
        <f t="shared" si="29"/>
        <v>0</v>
      </c>
      <c r="AU75" s="152">
        <f t="shared" si="29"/>
        <v>0</v>
      </c>
      <c r="AV75" s="152">
        <f t="shared" si="29"/>
        <v>0</v>
      </c>
      <c r="AW75" s="152">
        <f t="shared" si="29"/>
        <v>0</v>
      </c>
      <c r="AX75" s="152">
        <f t="shared" si="29"/>
        <v>0</v>
      </c>
      <c r="AY75" s="152">
        <f t="shared" si="29"/>
        <v>0</v>
      </c>
      <c r="AZ75" s="152">
        <f t="shared" si="29"/>
        <v>0</v>
      </c>
      <c r="BA75" s="152">
        <f t="shared" si="29"/>
        <v>0</v>
      </c>
      <c r="BB75" s="152">
        <f t="shared" si="29"/>
        <v>0</v>
      </c>
      <c r="BC75" s="152">
        <f t="shared" si="29"/>
        <v>0</v>
      </c>
      <c r="BD75" s="152">
        <f t="shared" si="29"/>
        <v>0</v>
      </c>
      <c r="BE75" s="152">
        <f t="shared" si="29"/>
        <v>0</v>
      </c>
      <c r="BF75" s="152">
        <f t="shared" si="29"/>
        <v>0</v>
      </c>
      <c r="BG75" s="152">
        <f t="shared" si="29"/>
        <v>0</v>
      </c>
      <c r="BH75" s="152">
        <f t="shared" si="29"/>
        <v>0</v>
      </c>
      <c r="BI75" s="152">
        <f t="shared" si="29"/>
        <v>0</v>
      </c>
      <c r="BJ75" s="152">
        <f t="shared" si="29"/>
        <v>0</v>
      </c>
      <c r="BK75" s="152">
        <f t="shared" si="29"/>
        <v>0</v>
      </c>
      <c r="BL75" s="152">
        <f t="shared" si="29"/>
        <v>0</v>
      </c>
      <c r="BM75" s="152">
        <f t="shared" si="29"/>
        <v>0</v>
      </c>
      <c r="BN75" s="152"/>
    </row>
    <row r="76" outlineLevel="1">
      <c r="A76" s="152"/>
      <c r="B76" s="155" t="s">
        <v>181</v>
      </c>
      <c r="C76" s="156"/>
      <c r="D76" s="156"/>
      <c r="E76" s="156"/>
      <c r="F76" s="157">
        <f t="shared" ref="F76:BM76" si="30">F75</f>
        <v>0</v>
      </c>
      <c r="G76" s="157">
        <f t="shared" si="30"/>
        <v>1000000</v>
      </c>
      <c r="H76" s="157">
        <f t="shared" si="30"/>
        <v>0</v>
      </c>
      <c r="I76" s="157">
        <f t="shared" si="30"/>
        <v>0</v>
      </c>
      <c r="J76" s="157">
        <f t="shared" si="30"/>
        <v>0</v>
      </c>
      <c r="K76" s="157">
        <f t="shared" si="30"/>
        <v>0</v>
      </c>
      <c r="L76" s="157">
        <f t="shared" si="30"/>
        <v>0</v>
      </c>
      <c r="M76" s="157">
        <f t="shared" si="30"/>
        <v>0</v>
      </c>
      <c r="N76" s="157">
        <f t="shared" si="30"/>
        <v>0</v>
      </c>
      <c r="O76" s="157">
        <f t="shared" si="30"/>
        <v>0</v>
      </c>
      <c r="P76" s="157">
        <f t="shared" si="30"/>
        <v>0</v>
      </c>
      <c r="Q76" s="157">
        <f t="shared" si="30"/>
        <v>0</v>
      </c>
      <c r="R76" s="157">
        <f t="shared" si="30"/>
        <v>0</v>
      </c>
      <c r="S76" s="157">
        <f t="shared" si="30"/>
        <v>0</v>
      </c>
      <c r="T76" s="157">
        <f t="shared" si="30"/>
        <v>0</v>
      </c>
      <c r="U76" s="157">
        <f t="shared" si="30"/>
        <v>0</v>
      </c>
      <c r="V76" s="157">
        <f t="shared" si="30"/>
        <v>0</v>
      </c>
      <c r="W76" s="157">
        <f t="shared" si="30"/>
        <v>0</v>
      </c>
      <c r="X76" s="157">
        <f t="shared" si="30"/>
        <v>0</v>
      </c>
      <c r="Y76" s="157">
        <f t="shared" si="30"/>
        <v>0</v>
      </c>
      <c r="Z76" s="157">
        <f t="shared" si="30"/>
        <v>0</v>
      </c>
      <c r="AA76" s="157">
        <f t="shared" si="30"/>
        <v>0</v>
      </c>
      <c r="AB76" s="157">
        <f t="shared" si="30"/>
        <v>0</v>
      </c>
      <c r="AC76" s="157">
        <f t="shared" si="30"/>
        <v>0</v>
      </c>
      <c r="AD76" s="157">
        <f t="shared" si="30"/>
        <v>0</v>
      </c>
      <c r="AE76" s="157">
        <f t="shared" si="30"/>
        <v>0</v>
      </c>
      <c r="AF76" s="157">
        <f t="shared" si="30"/>
        <v>0</v>
      </c>
      <c r="AG76" s="157">
        <f t="shared" si="30"/>
        <v>0</v>
      </c>
      <c r="AH76" s="157">
        <f t="shared" si="30"/>
        <v>0</v>
      </c>
      <c r="AI76" s="157">
        <f t="shared" si="30"/>
        <v>0</v>
      </c>
      <c r="AJ76" s="157">
        <f t="shared" si="30"/>
        <v>0</v>
      </c>
      <c r="AK76" s="157">
        <f t="shared" si="30"/>
        <v>0</v>
      </c>
      <c r="AL76" s="157">
        <f t="shared" si="30"/>
        <v>0</v>
      </c>
      <c r="AM76" s="157">
        <f t="shared" si="30"/>
        <v>0</v>
      </c>
      <c r="AN76" s="157">
        <f t="shared" si="30"/>
        <v>0</v>
      </c>
      <c r="AO76" s="157">
        <f t="shared" si="30"/>
        <v>0</v>
      </c>
      <c r="AP76" s="157">
        <f t="shared" si="30"/>
        <v>0</v>
      </c>
      <c r="AQ76" s="157">
        <f t="shared" si="30"/>
        <v>0</v>
      </c>
      <c r="AR76" s="157">
        <f t="shared" si="30"/>
        <v>0</v>
      </c>
      <c r="AS76" s="157">
        <f t="shared" si="30"/>
        <v>0</v>
      </c>
      <c r="AT76" s="157">
        <f t="shared" si="30"/>
        <v>0</v>
      </c>
      <c r="AU76" s="157">
        <f t="shared" si="30"/>
        <v>0</v>
      </c>
      <c r="AV76" s="157">
        <f t="shared" si="30"/>
        <v>0</v>
      </c>
      <c r="AW76" s="157">
        <f t="shared" si="30"/>
        <v>0</v>
      </c>
      <c r="AX76" s="157">
        <f t="shared" si="30"/>
        <v>0</v>
      </c>
      <c r="AY76" s="157">
        <f t="shared" si="30"/>
        <v>0</v>
      </c>
      <c r="AZ76" s="157">
        <f t="shared" si="30"/>
        <v>0</v>
      </c>
      <c r="BA76" s="157">
        <f t="shared" si="30"/>
        <v>0</v>
      </c>
      <c r="BB76" s="157">
        <f t="shared" si="30"/>
        <v>0</v>
      </c>
      <c r="BC76" s="157">
        <f t="shared" si="30"/>
        <v>0</v>
      </c>
      <c r="BD76" s="157">
        <f t="shared" si="30"/>
        <v>0</v>
      </c>
      <c r="BE76" s="157">
        <f t="shared" si="30"/>
        <v>0</v>
      </c>
      <c r="BF76" s="157">
        <f t="shared" si="30"/>
        <v>0</v>
      </c>
      <c r="BG76" s="157">
        <f t="shared" si="30"/>
        <v>0</v>
      </c>
      <c r="BH76" s="157">
        <f t="shared" si="30"/>
        <v>0</v>
      </c>
      <c r="BI76" s="157">
        <f t="shared" si="30"/>
        <v>0</v>
      </c>
      <c r="BJ76" s="157">
        <f t="shared" si="30"/>
        <v>0</v>
      </c>
      <c r="BK76" s="157">
        <f t="shared" si="30"/>
        <v>0</v>
      </c>
      <c r="BL76" s="157">
        <f t="shared" si="30"/>
        <v>0</v>
      </c>
      <c r="BM76" s="157">
        <f t="shared" si="30"/>
        <v>0</v>
      </c>
      <c r="BN76" s="152"/>
    </row>
    <row r="77" outlineLevel="1">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c r="BM77" s="152"/>
      <c r="BN77" s="152"/>
    </row>
    <row r="78" outlineLevel="1">
      <c r="A78" s="152"/>
      <c r="B78" s="161" t="s">
        <v>182</v>
      </c>
      <c r="C78" s="152"/>
      <c r="D78" s="152"/>
      <c r="E78" s="152"/>
      <c r="F78" s="164">
        <f>Assumptions!C153</f>
        <v>30000</v>
      </c>
      <c r="G78" s="164">
        <f t="shared" ref="G78:BM78" si="31">F82</f>
        <v>7250</v>
      </c>
      <c r="H78" s="164">
        <f t="shared" si="31"/>
        <v>977067.625</v>
      </c>
      <c r="I78" s="164">
        <f t="shared" si="31"/>
        <v>946739.8525</v>
      </c>
      <c r="J78" s="164">
        <f t="shared" si="31"/>
        <v>916263.7746</v>
      </c>
      <c r="K78" s="164">
        <f t="shared" si="31"/>
        <v>885636.425</v>
      </c>
      <c r="L78" s="164">
        <f t="shared" si="31"/>
        <v>850996.9285</v>
      </c>
      <c r="M78" s="164">
        <f t="shared" si="31"/>
        <v>816086.7921</v>
      </c>
      <c r="N78" s="164">
        <f t="shared" si="31"/>
        <v>780900.603</v>
      </c>
      <c r="O78" s="164">
        <f t="shared" si="31"/>
        <v>745432.84</v>
      </c>
      <c r="P78" s="164">
        <f t="shared" si="31"/>
        <v>709677.8718</v>
      </c>
      <c r="Q78" s="164">
        <f t="shared" si="31"/>
        <v>673629.9543</v>
      </c>
      <c r="R78" s="164">
        <f t="shared" si="31"/>
        <v>637283.2283</v>
      </c>
      <c r="S78" s="164">
        <f t="shared" si="31"/>
        <v>600631.7179</v>
      </c>
      <c r="T78" s="164">
        <f t="shared" si="31"/>
        <v>568305.8023</v>
      </c>
      <c r="U78" s="164">
        <f t="shared" si="31"/>
        <v>535805.8683</v>
      </c>
      <c r="V78" s="164">
        <f t="shared" si="31"/>
        <v>503128.4357</v>
      </c>
      <c r="W78" s="164">
        <f t="shared" si="31"/>
        <v>470269.9544</v>
      </c>
      <c r="X78" s="164">
        <f t="shared" si="31"/>
        <v>440838.3735</v>
      </c>
      <c r="Y78" s="164">
        <f t="shared" si="31"/>
        <v>411329.8809</v>
      </c>
      <c r="Z78" s="164">
        <f t="shared" si="31"/>
        <v>381742.9386</v>
      </c>
      <c r="AA78" s="164">
        <f t="shared" si="31"/>
        <v>352075.9773</v>
      </c>
      <c r="AB78" s="164">
        <f t="shared" si="31"/>
        <v>322327.3969</v>
      </c>
      <c r="AC78" s="164">
        <f t="shared" si="31"/>
        <v>292495.5648</v>
      </c>
      <c r="AD78" s="164">
        <f t="shared" si="31"/>
        <v>262578.8161</v>
      </c>
      <c r="AE78" s="164">
        <f t="shared" si="31"/>
        <v>232575.4524</v>
      </c>
      <c r="AF78" s="164">
        <f t="shared" si="31"/>
        <v>206192.9215</v>
      </c>
      <c r="AG78" s="164">
        <f t="shared" si="31"/>
        <v>179834.7399</v>
      </c>
      <c r="AH78" s="164">
        <f t="shared" si="31"/>
        <v>153501.3947</v>
      </c>
      <c r="AI78" s="164">
        <f t="shared" si="31"/>
        <v>127193.3826</v>
      </c>
      <c r="AJ78" s="164">
        <f t="shared" si="31"/>
        <v>103800.4663</v>
      </c>
      <c r="AK78" s="164">
        <f t="shared" si="31"/>
        <v>80523.06758</v>
      </c>
      <c r="AL78" s="164">
        <f t="shared" si="31"/>
        <v>57363.49693</v>
      </c>
      <c r="AM78" s="164">
        <f t="shared" si="31"/>
        <v>34324.11087</v>
      </c>
      <c r="AN78" s="164">
        <f t="shared" si="31"/>
        <v>11407.31309</v>
      </c>
      <c r="AO78" s="164">
        <f t="shared" si="31"/>
        <v>-11384.44465</v>
      </c>
      <c r="AP78" s="164">
        <f t="shared" si="31"/>
        <v>-34048.66154</v>
      </c>
      <c r="AQ78" s="164">
        <f t="shared" si="31"/>
        <v>-56582.78677</v>
      </c>
      <c r="AR78" s="164">
        <f t="shared" si="31"/>
        <v>-76016.87451</v>
      </c>
      <c r="AS78" s="164">
        <f t="shared" si="31"/>
        <v>-95224.044</v>
      </c>
      <c r="AT78" s="164">
        <f t="shared" si="31"/>
        <v>-114199.7569</v>
      </c>
      <c r="AU78" s="164">
        <f t="shared" si="31"/>
        <v>-132939.384</v>
      </c>
      <c r="AV78" s="164">
        <f t="shared" si="31"/>
        <v>-149126.7989</v>
      </c>
      <c r="AW78" s="164">
        <f t="shared" si="31"/>
        <v>-164997.2613</v>
      </c>
      <c r="AX78" s="164">
        <f t="shared" si="31"/>
        <v>-180544.4321</v>
      </c>
      <c r="AY78" s="164">
        <f t="shared" si="31"/>
        <v>-195761.8455</v>
      </c>
      <c r="AZ78" s="164">
        <f t="shared" si="31"/>
        <v>-210642.9065</v>
      </c>
      <c r="BA78" s="164">
        <f t="shared" si="31"/>
        <v>-225180.8878</v>
      </c>
      <c r="BB78" s="164">
        <f t="shared" si="31"/>
        <v>-239368.9279</v>
      </c>
      <c r="BC78" s="164">
        <f t="shared" si="31"/>
        <v>-253200.0281</v>
      </c>
      <c r="BD78" s="164">
        <f t="shared" si="31"/>
        <v>-264293.1743</v>
      </c>
      <c r="BE78" s="164">
        <f t="shared" si="31"/>
        <v>-274941.7033</v>
      </c>
      <c r="BF78" s="164">
        <f t="shared" si="31"/>
        <v>-285136.723</v>
      </c>
      <c r="BG78" s="164">
        <f t="shared" si="31"/>
        <v>-294869.1631</v>
      </c>
      <c r="BH78" s="164">
        <f t="shared" si="31"/>
        <v>-302280.6481</v>
      </c>
      <c r="BI78" s="164">
        <f t="shared" si="31"/>
        <v>-309153.8022</v>
      </c>
      <c r="BJ78" s="164">
        <f t="shared" si="31"/>
        <v>-315477.8587</v>
      </c>
      <c r="BK78" s="164">
        <f t="shared" si="31"/>
        <v>-321241.8357</v>
      </c>
      <c r="BL78" s="164">
        <f t="shared" si="31"/>
        <v>-326434.5316</v>
      </c>
      <c r="BM78" s="164">
        <f t="shared" si="31"/>
        <v>-331044.5208</v>
      </c>
      <c r="BN78" s="152"/>
    </row>
    <row r="79" outlineLevel="1">
      <c r="A79" s="152"/>
      <c r="B79" s="164"/>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2"/>
      <c r="AX79" s="152"/>
      <c r="AY79" s="152"/>
      <c r="AZ79" s="152"/>
      <c r="BA79" s="152"/>
      <c r="BB79" s="152"/>
      <c r="BC79" s="152"/>
      <c r="BD79" s="152"/>
      <c r="BE79" s="152"/>
      <c r="BF79" s="152"/>
      <c r="BG79" s="152"/>
      <c r="BH79" s="152"/>
      <c r="BI79" s="152"/>
      <c r="BJ79" s="152"/>
      <c r="BK79" s="152"/>
      <c r="BL79" s="152"/>
      <c r="BM79" s="152"/>
      <c r="BN79" s="152"/>
    </row>
    <row r="80" outlineLevel="1">
      <c r="A80" s="152"/>
      <c r="B80" s="161" t="s">
        <v>183</v>
      </c>
      <c r="C80" s="152"/>
      <c r="D80" s="152"/>
      <c r="E80" s="152"/>
      <c r="F80" s="164">
        <f t="shared" ref="F80:BM80" si="32">F76+F72+F68</f>
        <v>-22750</v>
      </c>
      <c r="G80" s="164">
        <f t="shared" si="32"/>
        <v>969817.625</v>
      </c>
      <c r="H80" s="164">
        <f t="shared" si="32"/>
        <v>-30327.7725</v>
      </c>
      <c r="I80" s="164">
        <f t="shared" si="32"/>
        <v>-30476.07795</v>
      </c>
      <c r="J80" s="164">
        <f t="shared" si="32"/>
        <v>-30627.34951</v>
      </c>
      <c r="K80" s="164">
        <f t="shared" si="32"/>
        <v>-34639.4965</v>
      </c>
      <c r="L80" s="164">
        <f t="shared" si="32"/>
        <v>-34910.13643</v>
      </c>
      <c r="M80" s="164">
        <f t="shared" si="32"/>
        <v>-35186.18916</v>
      </c>
      <c r="N80" s="164">
        <f t="shared" si="32"/>
        <v>-35467.76294</v>
      </c>
      <c r="O80" s="164">
        <f t="shared" si="32"/>
        <v>-35754.9682</v>
      </c>
      <c r="P80" s="164">
        <f t="shared" si="32"/>
        <v>-36047.91756</v>
      </c>
      <c r="Q80" s="164">
        <f t="shared" si="32"/>
        <v>-36346.72591</v>
      </c>
      <c r="R80" s="164">
        <f t="shared" si="32"/>
        <v>-36651.51043</v>
      </c>
      <c r="S80" s="164">
        <f t="shared" si="32"/>
        <v>-32325.91564</v>
      </c>
      <c r="T80" s="164">
        <f t="shared" si="32"/>
        <v>-32499.93395</v>
      </c>
      <c r="U80" s="164">
        <f t="shared" si="32"/>
        <v>-32677.43263</v>
      </c>
      <c r="V80" s="164">
        <f t="shared" si="32"/>
        <v>-32858.48129</v>
      </c>
      <c r="W80" s="164">
        <f t="shared" si="32"/>
        <v>-29431.58091</v>
      </c>
      <c r="X80" s="164">
        <f t="shared" si="32"/>
        <v>-29508.49253</v>
      </c>
      <c r="Y80" s="164">
        <f t="shared" si="32"/>
        <v>-29586.94238</v>
      </c>
      <c r="Z80" s="164">
        <f t="shared" si="32"/>
        <v>-29666.96123</v>
      </c>
      <c r="AA80" s="164">
        <f t="shared" si="32"/>
        <v>-29748.58045</v>
      </c>
      <c r="AB80" s="164">
        <f t="shared" si="32"/>
        <v>-29831.83206</v>
      </c>
      <c r="AC80" s="164">
        <f t="shared" si="32"/>
        <v>-29916.7487</v>
      </c>
      <c r="AD80" s="164">
        <f t="shared" si="32"/>
        <v>-30003.36368</v>
      </c>
      <c r="AE80" s="164">
        <f t="shared" si="32"/>
        <v>-26382.53095</v>
      </c>
      <c r="AF80" s="164">
        <f t="shared" si="32"/>
        <v>-26358.18157</v>
      </c>
      <c r="AG80" s="164">
        <f t="shared" si="32"/>
        <v>-26333.3452</v>
      </c>
      <c r="AH80" s="164">
        <f t="shared" si="32"/>
        <v>-26308.01211</v>
      </c>
      <c r="AI80" s="164">
        <f t="shared" si="32"/>
        <v>-23392.91635</v>
      </c>
      <c r="AJ80" s="164">
        <f t="shared" si="32"/>
        <v>-23277.39867</v>
      </c>
      <c r="AK80" s="164">
        <f t="shared" si="32"/>
        <v>-23159.57065</v>
      </c>
      <c r="AL80" s="164">
        <f t="shared" si="32"/>
        <v>-23039.38606</v>
      </c>
      <c r="AM80" s="164">
        <f t="shared" si="32"/>
        <v>-22916.79778</v>
      </c>
      <c r="AN80" s="164">
        <f t="shared" si="32"/>
        <v>-22791.75774</v>
      </c>
      <c r="AO80" s="164">
        <f t="shared" si="32"/>
        <v>-22664.21689</v>
      </c>
      <c r="AP80" s="164">
        <f t="shared" si="32"/>
        <v>-22534.12523</v>
      </c>
      <c r="AQ80" s="164">
        <f t="shared" si="32"/>
        <v>-19434.08774</v>
      </c>
      <c r="AR80" s="164">
        <f t="shared" si="32"/>
        <v>-19207.16949</v>
      </c>
      <c r="AS80" s="164">
        <f t="shared" si="32"/>
        <v>-18975.71288</v>
      </c>
      <c r="AT80" s="164">
        <f t="shared" si="32"/>
        <v>-18739.62714</v>
      </c>
      <c r="AU80" s="164">
        <f t="shared" si="32"/>
        <v>-16187.41488</v>
      </c>
      <c r="AV80" s="164">
        <f t="shared" si="32"/>
        <v>-15870.46238</v>
      </c>
      <c r="AW80" s="164">
        <f t="shared" si="32"/>
        <v>-15547.17083</v>
      </c>
      <c r="AX80" s="164">
        <f t="shared" si="32"/>
        <v>-15217.41344</v>
      </c>
      <c r="AY80" s="164">
        <f t="shared" si="32"/>
        <v>-14881.06091</v>
      </c>
      <c r="AZ80" s="164">
        <f t="shared" si="32"/>
        <v>-14537.98133</v>
      </c>
      <c r="BA80" s="164">
        <f t="shared" si="32"/>
        <v>-14188.04016</v>
      </c>
      <c r="BB80" s="164">
        <f t="shared" si="32"/>
        <v>-13831.10016</v>
      </c>
      <c r="BC80" s="164">
        <f t="shared" si="32"/>
        <v>-11093.14616</v>
      </c>
      <c r="BD80" s="164">
        <f t="shared" si="32"/>
        <v>-10648.52909</v>
      </c>
      <c r="BE80" s="164">
        <f t="shared" si="32"/>
        <v>-10195.01967</v>
      </c>
      <c r="BF80" s="164">
        <f t="shared" si="32"/>
        <v>-9732.44006</v>
      </c>
      <c r="BG80" s="164">
        <f t="shared" si="32"/>
        <v>-7411.485021</v>
      </c>
      <c r="BH80" s="164">
        <f t="shared" si="32"/>
        <v>-6873.154082</v>
      </c>
      <c r="BI80" s="164">
        <f t="shared" si="32"/>
        <v>-6324.056523</v>
      </c>
      <c r="BJ80" s="164">
        <f t="shared" si="32"/>
        <v>-5763.977014</v>
      </c>
      <c r="BK80" s="164">
        <f t="shared" si="32"/>
        <v>-5192.695914</v>
      </c>
      <c r="BL80" s="164">
        <f t="shared" si="32"/>
        <v>-4609.989192</v>
      </c>
      <c r="BM80" s="164">
        <f t="shared" si="32"/>
        <v>-4015.628336</v>
      </c>
      <c r="BN80" s="152"/>
    </row>
    <row r="81" outlineLevel="1">
      <c r="A81" s="152"/>
      <c r="B81" s="164"/>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2"/>
      <c r="BB81" s="152"/>
      <c r="BC81" s="152"/>
      <c r="BD81" s="152"/>
      <c r="BE81" s="152"/>
      <c r="BF81" s="152"/>
      <c r="BG81" s="152"/>
      <c r="BH81" s="152"/>
      <c r="BI81" s="152"/>
      <c r="BJ81" s="152"/>
      <c r="BK81" s="152"/>
      <c r="BL81" s="152"/>
      <c r="BM81" s="152"/>
      <c r="BN81" s="152"/>
    </row>
    <row r="82" outlineLevel="1">
      <c r="A82" s="152"/>
      <c r="B82" s="161" t="s">
        <v>184</v>
      </c>
      <c r="C82" s="152"/>
      <c r="D82" s="152"/>
      <c r="E82" s="164"/>
      <c r="F82" s="164">
        <f t="shared" ref="F82:BM82" si="33">F78+F80</f>
        <v>7250</v>
      </c>
      <c r="G82" s="164">
        <f t="shared" si="33"/>
        <v>977067.625</v>
      </c>
      <c r="H82" s="164">
        <f t="shared" si="33"/>
        <v>946739.8525</v>
      </c>
      <c r="I82" s="164">
        <f t="shared" si="33"/>
        <v>916263.7746</v>
      </c>
      <c r="J82" s="164">
        <f t="shared" si="33"/>
        <v>885636.425</v>
      </c>
      <c r="K82" s="164">
        <f t="shared" si="33"/>
        <v>850996.9285</v>
      </c>
      <c r="L82" s="164">
        <f t="shared" si="33"/>
        <v>816086.7921</v>
      </c>
      <c r="M82" s="164">
        <f t="shared" si="33"/>
        <v>780900.603</v>
      </c>
      <c r="N82" s="164">
        <f t="shared" si="33"/>
        <v>745432.84</v>
      </c>
      <c r="O82" s="164">
        <f t="shared" si="33"/>
        <v>709677.8718</v>
      </c>
      <c r="P82" s="164">
        <f t="shared" si="33"/>
        <v>673629.9543</v>
      </c>
      <c r="Q82" s="164">
        <f t="shared" si="33"/>
        <v>637283.2283</v>
      </c>
      <c r="R82" s="164">
        <f t="shared" si="33"/>
        <v>600631.7179</v>
      </c>
      <c r="S82" s="164">
        <f t="shared" si="33"/>
        <v>568305.8023</v>
      </c>
      <c r="T82" s="164">
        <f t="shared" si="33"/>
        <v>535805.8683</v>
      </c>
      <c r="U82" s="164">
        <f t="shared" si="33"/>
        <v>503128.4357</v>
      </c>
      <c r="V82" s="164">
        <f t="shared" si="33"/>
        <v>470269.9544</v>
      </c>
      <c r="W82" s="164">
        <f t="shared" si="33"/>
        <v>440838.3735</v>
      </c>
      <c r="X82" s="164">
        <f t="shared" si="33"/>
        <v>411329.8809</v>
      </c>
      <c r="Y82" s="164">
        <f t="shared" si="33"/>
        <v>381742.9386</v>
      </c>
      <c r="Z82" s="164">
        <f t="shared" si="33"/>
        <v>352075.9773</v>
      </c>
      <c r="AA82" s="164">
        <f t="shared" si="33"/>
        <v>322327.3969</v>
      </c>
      <c r="AB82" s="164">
        <f t="shared" si="33"/>
        <v>292495.5648</v>
      </c>
      <c r="AC82" s="164">
        <f t="shared" si="33"/>
        <v>262578.8161</v>
      </c>
      <c r="AD82" s="164">
        <f t="shared" si="33"/>
        <v>232575.4524</v>
      </c>
      <c r="AE82" s="164">
        <f t="shared" si="33"/>
        <v>206192.9215</v>
      </c>
      <c r="AF82" s="164">
        <f t="shared" si="33"/>
        <v>179834.7399</v>
      </c>
      <c r="AG82" s="164">
        <f t="shared" si="33"/>
        <v>153501.3947</v>
      </c>
      <c r="AH82" s="164">
        <f t="shared" si="33"/>
        <v>127193.3826</v>
      </c>
      <c r="AI82" s="164">
        <f t="shared" si="33"/>
        <v>103800.4663</v>
      </c>
      <c r="AJ82" s="164">
        <f t="shared" si="33"/>
        <v>80523.06758</v>
      </c>
      <c r="AK82" s="164">
        <f t="shared" si="33"/>
        <v>57363.49693</v>
      </c>
      <c r="AL82" s="164">
        <f t="shared" si="33"/>
        <v>34324.11087</v>
      </c>
      <c r="AM82" s="164">
        <f t="shared" si="33"/>
        <v>11407.31309</v>
      </c>
      <c r="AN82" s="164">
        <f t="shared" si="33"/>
        <v>-11384.44465</v>
      </c>
      <c r="AO82" s="164">
        <f t="shared" si="33"/>
        <v>-34048.66154</v>
      </c>
      <c r="AP82" s="164">
        <f t="shared" si="33"/>
        <v>-56582.78677</v>
      </c>
      <c r="AQ82" s="164">
        <f t="shared" si="33"/>
        <v>-76016.87451</v>
      </c>
      <c r="AR82" s="164">
        <f t="shared" si="33"/>
        <v>-95224.044</v>
      </c>
      <c r="AS82" s="164">
        <f t="shared" si="33"/>
        <v>-114199.7569</v>
      </c>
      <c r="AT82" s="164">
        <f t="shared" si="33"/>
        <v>-132939.384</v>
      </c>
      <c r="AU82" s="164">
        <f t="shared" si="33"/>
        <v>-149126.7989</v>
      </c>
      <c r="AV82" s="164">
        <f t="shared" si="33"/>
        <v>-164997.2613</v>
      </c>
      <c r="AW82" s="164">
        <f t="shared" si="33"/>
        <v>-180544.4321</v>
      </c>
      <c r="AX82" s="164">
        <f t="shared" si="33"/>
        <v>-195761.8455</v>
      </c>
      <c r="AY82" s="164">
        <f t="shared" si="33"/>
        <v>-210642.9065</v>
      </c>
      <c r="AZ82" s="164">
        <f t="shared" si="33"/>
        <v>-225180.8878</v>
      </c>
      <c r="BA82" s="164">
        <f t="shared" si="33"/>
        <v>-239368.9279</v>
      </c>
      <c r="BB82" s="164">
        <f t="shared" si="33"/>
        <v>-253200.0281</v>
      </c>
      <c r="BC82" s="164">
        <f t="shared" si="33"/>
        <v>-264293.1743</v>
      </c>
      <c r="BD82" s="164">
        <f t="shared" si="33"/>
        <v>-274941.7033</v>
      </c>
      <c r="BE82" s="164">
        <f t="shared" si="33"/>
        <v>-285136.723</v>
      </c>
      <c r="BF82" s="164">
        <f t="shared" si="33"/>
        <v>-294869.1631</v>
      </c>
      <c r="BG82" s="164">
        <f t="shared" si="33"/>
        <v>-302280.6481</v>
      </c>
      <c r="BH82" s="164">
        <f t="shared" si="33"/>
        <v>-309153.8022</v>
      </c>
      <c r="BI82" s="164">
        <f t="shared" si="33"/>
        <v>-315477.8587</v>
      </c>
      <c r="BJ82" s="164">
        <f t="shared" si="33"/>
        <v>-321241.8357</v>
      </c>
      <c r="BK82" s="164">
        <f t="shared" si="33"/>
        <v>-326434.5316</v>
      </c>
      <c r="BL82" s="164">
        <f t="shared" si="33"/>
        <v>-331044.5208</v>
      </c>
      <c r="BM82" s="164">
        <f t="shared" si="33"/>
        <v>-335060.1492</v>
      </c>
      <c r="BN82" s="152"/>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c r="BN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c r="BN1009" s="30"/>
    </row>
    <row r="1010">
      <c r="A1010" s="30"/>
      <c r="B1010" s="39" t="s">
        <v>138</v>
      </c>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0"/>
      <c r="AR1010" s="30"/>
      <c r="AS1010" s="30"/>
      <c r="AT1010" s="30"/>
      <c r="AU1010" s="30"/>
      <c r="AV1010" s="30"/>
      <c r="AW1010" s="30"/>
      <c r="AX1010" s="30"/>
      <c r="AY1010" s="30"/>
      <c r="AZ1010" s="30"/>
      <c r="BA1010" s="30"/>
      <c r="BB1010" s="30"/>
      <c r="BC1010" s="30"/>
      <c r="BD1010" s="30"/>
      <c r="BE1010" s="30"/>
      <c r="BF1010" s="30"/>
      <c r="BG1010" s="30"/>
      <c r="BH1010" s="30"/>
      <c r="BI1010" s="30"/>
      <c r="BJ1010" s="30"/>
      <c r="BK1010" s="30"/>
      <c r="BL1010" s="30"/>
      <c r="BM1010" s="30"/>
      <c r="BN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c r="AI1011" s="30"/>
      <c r="AJ1011" s="30"/>
      <c r="AK1011" s="30"/>
      <c r="AL1011" s="30"/>
      <c r="AM1011" s="30"/>
      <c r="AN1011" s="30"/>
      <c r="AO1011" s="30"/>
      <c r="AP1011" s="30"/>
      <c r="AQ1011" s="30"/>
      <c r="AR1011" s="30"/>
      <c r="AS1011" s="30"/>
      <c r="AT1011" s="30"/>
      <c r="AU1011" s="30"/>
      <c r="AV1011" s="30"/>
      <c r="AW1011" s="30"/>
      <c r="AX1011" s="30"/>
      <c r="AY1011" s="30"/>
      <c r="AZ1011" s="30"/>
      <c r="BA1011" s="30"/>
      <c r="BB1011" s="30"/>
      <c r="BC1011" s="30"/>
      <c r="BD1011" s="30"/>
      <c r="BE1011" s="30"/>
      <c r="BF1011" s="30"/>
      <c r="BG1011" s="30"/>
      <c r="BH1011" s="30"/>
      <c r="BI1011" s="30"/>
      <c r="BJ1011" s="30"/>
      <c r="BK1011" s="30"/>
      <c r="BL1011" s="30"/>
      <c r="BM1011" s="30"/>
      <c r="BN1011" s="30"/>
    </row>
  </sheetData>
  <conditionalFormatting sqref="F26:BM26 F28:BM28 F30:BM30 F37:BM37 F39:BM39">
    <cfRule type="cellIs" dxfId="0" priority="1" operator="lessThan">
      <formula>0</formula>
    </cfRule>
  </conditionalFormatting>
  <conditionalFormatting sqref="F82:BM82">
    <cfRule type="cellIs" dxfId="1" priority="2" operator="lessThan">
      <formula>0</formula>
    </cfRule>
  </conditionalFormatting>
  <drawing r:id="rId1"/>
</worksheet>
</file>