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<sst xmlns="http://schemas.openxmlformats.org/spreadsheetml/2006/main" count="254" uniqueCount="193">
  <si>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</si>
  <si>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</si>
  <si>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</si>
  <si>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</si>
  <si>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</si>
  <si>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</si>
  <si>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</si>
  <si>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</si>
  <si>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</si>
  <si>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</si>
  <si>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</si>
  <si>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</si>
  <si>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</si>
  <si>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</si>
  <si>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</si>
  <si>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Leads</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</si>
  <si>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</si>
  <si>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</si>
  <si>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</si>
  <si>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</si>
  <si>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</si>
  <si>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</si>
  <si>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</si>
  <si>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</si>
  <si>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</si>
  <si>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</si>
  <si>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</si>
  <si>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</si>
  <si>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</si>
  <si>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</si>
  <si>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</si>
  <si>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</si>
  <si>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</si>
  <si>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</si>
  <si>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</si>
  <si>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</si>
  <si>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</si>
  <si>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</si>
  <si>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</si>
  <si>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</si>
  <si>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</si>
  <si>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</si>
  <si>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</si>
  <si>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</si>
  <si>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</si>
  <si>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Sales Cycle</t>
  </si>
  <si>
    <t>Total New Customers</t>
  </si>
  <si>
    <t>Revenue - Monthly SaaS:</t>
  </si>
  <si>
    <t>Monthly SaaS Stream 1</t>
  </si>
  <si>
    <t>% of Total New Customers</t>
  </si>
  <si>
    <t>Churn Rate</t>
  </si>
  <si>
    <t>Churned Subscriptions</t>
  </si>
  <si>
    <t>Retained Subscriptions</t>
  </si>
  <si>
    <t>Active Subscriptions</t>
  </si>
  <si>
    <t>Previous Months Active Subsciptions</t>
  </si>
  <si>
    <t>Price</t>
  </si>
  <si>
    <t>Revenue</t>
  </si>
  <si>
    <t>Monthly SaaS Stream 2</t>
  </si>
  <si>
    <t>Monthly SaaS Stream 3</t>
  </si>
  <si>
    <t xml:space="preserve"> + ADD MORE </t>
  </si>
  <si>
    <t>People:</t>
  </si>
  <si>
    <t>Name</t>
  </si>
  <si>
    <t>Salary</t>
  </si>
  <si>
    <t>Benefits</t>
  </si>
  <si>
    <t>Start Date</t>
  </si>
  <si>
    <t>CEO</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</si>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</sst>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00"/>
    <numFmt numFmtId="168" formatCode="&quot;$&quot;#,##0"/>
    <numFmt numFmtId="169" formatCode="m/d/yyyy"/>
    <numFmt numFmtId="170"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434343"/>
      <name val="Montserrat"/>
    </font>
    <font>
      <b/>
      <sz val="11.0"/>
      <color theme="1"/>
      <name val="Montserrat"/>
    </font>
    <font>
      <b/>
      <i/>
      <color theme="1"/>
      <name val="Montserrat"/>
    </font>
    <font>
      <i/>
      <color theme="1"/>
      <name val="Montserrat"/>
    </font>
    <font>
      <color theme="1"/>
      <name val="Arial"/>
      <scheme val="minor"/>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0">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left style="medium">
        <color rgb="FFFFFFFF"/>
      </left>
      <right style="medium">
        <color rgb="FFFFFFFF"/>
      </right>
      <top style="medium">
        <color rgb="FFFFFFFF"/>
      </top>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right style="medium">
        <color rgb="FFFFFFFF"/>
      </right>
      <top style="medium">
        <color rgb="FFFFFFFF"/>
      </top>
      <bottom style="thick">
        <color rgb="FF000000"/>
      </bottom>
    </border>
    <border>
      <left style="medium">
        <color rgb="FFFFFFFF"/>
      </left>
      <top style="medium">
        <color rgb="FFFFFFFF"/>
      </top>
      <bottom style="thick">
        <color rgb="FF000000"/>
      </bottom>
    </border>
    <border>
      <bottom style="thick">
        <color rgb="FFCCCCCC"/>
      </bottom>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9" fillId="5" fontId="17" numFmtId="14" xfId="0" applyAlignment="1" applyBorder="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10" fillId="6" fontId="18" numFmtId="0" xfId="0" applyAlignment="1" applyBorder="1" applyFill="1" applyFont="1">
      <alignment readingOrder="0" vertical="center"/>
    </xf>
    <xf borderId="10" fillId="6" fontId="13" numFmtId="0" xfId="0" applyAlignment="1" applyBorder="1" applyFont="1">
      <alignment vertical="center"/>
    </xf>
    <xf borderId="10" fillId="6" fontId="13" numFmtId="0" xfId="0" applyAlignment="1" applyBorder="1" applyFont="1">
      <alignment horizontal="right" vertical="center"/>
    </xf>
    <xf borderId="11" fillId="7" fontId="13" numFmtId="0" xfId="0" applyAlignment="1" applyBorder="1" applyFill="1" applyFont="1">
      <alignment readingOrder="0" vertical="center"/>
    </xf>
    <xf borderId="12"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13" fillId="5" fontId="20" numFmtId="164" xfId="0" applyAlignment="1" applyBorder="1" applyFont="1" applyNumberFormat="1">
      <alignment horizontal="right" readingOrder="0" vertical="center"/>
    </xf>
    <xf borderId="0" fillId="0" fontId="20" numFmtId="164" xfId="0" applyAlignment="1" applyFont="1" applyNumberFormat="1">
      <alignment horizontal="right" readingOrder="0" vertical="center"/>
    </xf>
    <xf borderId="0" fillId="3" fontId="13" numFmtId="3" xfId="0" applyAlignment="1" applyFont="1" applyNumberFormat="1">
      <alignment horizontal="right" vertical="center"/>
    </xf>
    <xf borderId="14" fillId="0" fontId="13" numFmtId="0" xfId="0" applyAlignment="1" applyBorder="1" applyFont="1">
      <alignment vertical="center"/>
    </xf>
    <xf borderId="15" fillId="0" fontId="13" numFmtId="0" xfId="0" applyAlignment="1" applyBorder="1" applyFont="1">
      <alignment vertical="center"/>
    </xf>
    <xf borderId="16" fillId="5" fontId="17" numFmtId="10" xfId="0" applyAlignment="1" applyBorder="1" applyFont="1" applyNumberFormat="1">
      <alignment horizontal="right" readingOrder="0" vertical="center"/>
    </xf>
    <xf borderId="14" fillId="0" fontId="13" numFmtId="0" xfId="0" applyAlignment="1" applyBorder="1" applyFont="1">
      <alignment vertical="center"/>
    </xf>
    <xf borderId="15" fillId="0" fontId="13" numFmtId="10" xfId="0" applyAlignment="1" applyBorder="1" applyFont="1" applyNumberFormat="1">
      <alignment horizontal="right" vertical="center"/>
    </xf>
    <xf borderId="0" fillId="0" fontId="17" numFmtId="164" xfId="0" applyAlignment="1" applyFont="1" applyNumberFormat="1">
      <alignment horizontal="center" readingOrder="0" vertical="center"/>
    </xf>
    <xf borderId="0" fillId="0" fontId="17" numFmtId="164" xfId="0" applyAlignment="1" applyFont="1" applyNumberFormat="1">
      <alignment horizontal="right" readingOrder="0" vertical="center"/>
    </xf>
    <xf borderId="0" fillId="3" fontId="17" numFmtId="164" xfId="0" applyAlignment="1" applyFont="1" applyNumberFormat="1">
      <alignment horizontal="right"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7" fillId="5" fontId="20" numFmtId="165" xfId="0" applyAlignment="1" applyBorder="1" applyFont="1" applyNumberFormat="1">
      <alignment horizontal="right" readingOrder="0" vertical="center"/>
    </xf>
    <xf borderId="0" fillId="0" fontId="20" numFmtId="165" xfId="0" applyAlignment="1" applyFont="1" applyNumberFormat="1">
      <alignment horizontal="right" readingOrder="0" vertical="center"/>
    </xf>
    <xf borderId="18" fillId="0" fontId="21" numFmtId="165" xfId="0" applyAlignment="1" applyBorder="1" applyFont="1" applyNumberFormat="1">
      <alignment horizontal="right" readingOrder="0" vertical="center"/>
    </xf>
    <xf borderId="19" fillId="0" fontId="21" numFmtId="165" xfId="0" applyAlignment="1" applyBorder="1" applyFont="1" applyNumberFormat="1">
      <alignment horizontal="right" readingOrder="0" vertical="center"/>
    </xf>
    <xf borderId="0" fillId="0" fontId="21" numFmtId="165" xfId="0" applyAlignment="1" applyFont="1" applyNumberFormat="1">
      <alignment horizontal="right" readingOrder="0" vertical="center"/>
    </xf>
    <xf borderId="15" fillId="0" fontId="13" numFmtId="0" xfId="0" applyAlignment="1" applyBorder="1" applyFont="1">
      <alignment readingOrder="0" vertical="center"/>
    </xf>
    <xf borderId="20"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0" fontId="17" numFmtId="164" xfId="0" applyAlignment="1" applyFont="1" applyNumberFormat="1">
      <alignment horizontal="center" vertical="center"/>
    </xf>
    <xf borderId="0" fillId="0" fontId="17" numFmtId="164" xfId="0" applyAlignment="1" applyFont="1" applyNumberFormat="1">
      <alignment horizontal="right" vertical="center"/>
    </xf>
    <xf borderId="0" fillId="3" fontId="17" numFmtId="164" xfId="0" applyAlignment="1" applyFont="1" applyNumberFormat="1">
      <alignment horizontal="right" vertical="center"/>
    </xf>
    <xf borderId="17" fillId="5" fontId="20" numFmtId="164" xfId="0" applyAlignment="1" applyBorder="1" applyFont="1" applyNumberFormat="1">
      <alignment horizontal="right" readingOrder="0" vertical="center"/>
    </xf>
    <xf borderId="17"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15" fillId="0" fontId="13" numFmtId="10" xfId="0" applyAlignment="1" applyBorder="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0" fillId="0" fontId="3" numFmtId="164" xfId="0" applyAlignment="1" applyFont="1" applyNumberFormat="1">
      <alignment vertical="center"/>
    </xf>
    <xf borderId="15" fillId="0" fontId="3" numFmtId="0" xfId="0" applyAlignment="1" applyBorder="1" applyFont="1">
      <alignment vertical="center"/>
    </xf>
    <xf borderId="20" fillId="5" fontId="17" numFmtId="10" xfId="0" applyAlignment="1" applyBorder="1" applyFont="1" applyNumberFormat="1">
      <alignment horizontal="right" vertical="center"/>
    </xf>
    <xf borderId="14" fillId="0" fontId="3" numFmtId="0" xfId="0" applyAlignment="1" applyBorder="1" applyFont="1">
      <alignment vertical="center"/>
    </xf>
    <xf borderId="0" fillId="0" fontId="22" numFmtId="0" xfId="0" applyAlignment="1" applyFont="1">
      <alignment vertical="center"/>
    </xf>
    <xf borderId="17"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7"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4" fillId="0" fontId="25" numFmtId="0" xfId="0" applyAlignment="1" applyBorder="1" applyFont="1">
      <alignment readingOrder="0" vertical="center"/>
    </xf>
    <xf borderId="14" fillId="0" fontId="13" numFmtId="1" xfId="0" applyAlignment="1" applyBorder="1" applyFont="1" applyNumberFormat="1">
      <alignment horizontal="right" vertical="center"/>
    </xf>
    <xf borderId="0" fillId="0" fontId="7" numFmtId="0" xfId="0" applyAlignment="1" applyFont="1">
      <alignment vertical="center"/>
    </xf>
    <xf borderId="0" fillId="0" fontId="26" numFmtId="0" xfId="0" applyAlignment="1" applyFont="1">
      <alignment readingOrder="0" vertical="center"/>
    </xf>
    <xf borderId="0" fillId="0" fontId="27" numFmtId="0" xfId="0" applyAlignment="1" applyFont="1">
      <alignment horizontal="center" vertical="center"/>
    </xf>
    <xf borderId="0" fillId="0" fontId="27" numFmtId="1" xfId="0" applyAlignment="1" applyFont="1" applyNumberFormat="1">
      <alignment horizontal="right" vertical="center"/>
    </xf>
    <xf borderId="0" fillId="0" fontId="18" numFmtId="0" xfId="0" applyAlignment="1" applyFont="1">
      <alignment readingOrder="0" vertical="center"/>
    </xf>
    <xf borderId="0" fillId="0" fontId="17" numFmtId="0" xfId="0" applyAlignment="1" applyFont="1">
      <alignment horizontal="center" vertical="center"/>
    </xf>
    <xf borderId="0" fillId="5" fontId="17" numFmtId="10" xfId="0" applyAlignment="1" applyFont="1" applyNumberFormat="1">
      <alignment horizontal="right" readingOrder="0" vertical="center"/>
    </xf>
    <xf borderId="0" fillId="0" fontId="13" numFmtId="1" xfId="0" applyAlignment="1" applyFont="1" applyNumberFormat="1">
      <alignment vertical="center"/>
    </xf>
    <xf borderId="0" fillId="0" fontId="13" numFmtId="1" xfId="0" applyAlignment="1" applyFont="1" applyNumberFormat="1">
      <alignment horizontal="right" vertical="center"/>
    </xf>
    <xf borderId="15" fillId="5" fontId="17" numFmtId="167" xfId="0" applyAlignment="1" applyBorder="1" applyFont="1" applyNumberFormat="1">
      <alignment horizontal="right" readingOrder="0" vertical="center"/>
    </xf>
    <xf borderId="15" fillId="0" fontId="13" numFmtId="167" xfId="0" applyAlignment="1" applyBorder="1" applyFont="1" applyNumberFormat="1">
      <alignment horizontal="right" vertical="center"/>
    </xf>
    <xf borderId="0" fillId="3" fontId="17" numFmtId="165" xfId="0" applyAlignment="1" applyFont="1" applyNumberFormat="1">
      <alignment horizontal="right" vertical="center"/>
    </xf>
    <xf borderId="0" fillId="3" fontId="17" numFmtId="168" xfId="0" applyAlignment="1" applyFont="1" applyNumberFormat="1">
      <alignment horizontal="right" vertical="center"/>
    </xf>
    <xf borderId="21" fillId="7" fontId="13" numFmtId="0" xfId="0" applyAlignment="1" applyBorder="1" applyFont="1">
      <alignment readingOrder="0" vertical="center"/>
    </xf>
    <xf borderId="0" fillId="0" fontId="13" numFmtId="3" xfId="0" applyAlignment="1" applyFont="1" applyNumberFormat="1">
      <alignment vertical="center"/>
    </xf>
    <xf borderId="0" fillId="0" fontId="13" numFmtId="165" xfId="0" applyAlignment="1" applyFont="1" applyNumberFormat="1">
      <alignment horizontal="right" vertical="center"/>
    </xf>
    <xf borderId="0" fillId="0" fontId="28" numFmtId="0" xfId="0" applyAlignment="1" applyFont="1">
      <alignment readingOrder="0" vertical="center"/>
    </xf>
    <xf borderId="0" fillId="0" fontId="28" numFmtId="0" xfId="0" applyAlignment="1" applyFont="1">
      <alignment horizontal="center" readingOrder="0" vertical="center"/>
    </xf>
    <xf borderId="17" fillId="5" fontId="20" numFmtId="165" xfId="0" applyAlignment="1" applyBorder="1" applyFont="1" applyNumberFormat="1">
      <alignment horizontal="left" readingOrder="0" vertical="center"/>
    </xf>
    <xf borderId="17" fillId="5" fontId="20" numFmtId="165" xfId="0" applyAlignment="1" applyBorder="1" applyFont="1" applyNumberFormat="1">
      <alignment horizontal="center" readingOrder="0" vertical="center"/>
    </xf>
    <xf borderId="17" fillId="5" fontId="20" numFmtId="9" xfId="0" applyAlignment="1" applyBorder="1" applyFont="1" applyNumberFormat="1">
      <alignment horizontal="center" readingOrder="0" vertical="center"/>
    </xf>
    <xf borderId="22" fillId="5" fontId="20" numFmtId="169" xfId="0" applyAlignment="1" applyBorder="1" applyFont="1" applyNumberFormat="1">
      <alignment horizontal="center" readingOrder="0" vertical="center"/>
    </xf>
    <xf borderId="17" fillId="5" fontId="20" numFmtId="165" xfId="0" applyAlignment="1" applyBorder="1" applyFont="1" applyNumberFormat="1">
      <alignment horizontal="left" vertical="center"/>
    </xf>
    <xf borderId="17" fillId="5" fontId="20" numFmtId="170" xfId="0" applyAlignment="1" applyBorder="1" applyFont="1" applyNumberFormat="1">
      <alignment horizontal="left" vertical="center"/>
    </xf>
    <xf borderId="17" fillId="5" fontId="20" numFmtId="10" xfId="0" applyAlignment="1" applyBorder="1" applyFont="1" applyNumberFormat="1">
      <alignment horizontal="center" readingOrder="0" vertical="center"/>
    </xf>
    <xf borderId="17" fillId="5" fontId="20" numFmtId="170" xfId="0" applyAlignment="1" applyBorder="1" applyFont="1" applyNumberFormat="1">
      <alignment horizontal="left" readingOrder="0" vertical="center"/>
    </xf>
    <xf borderId="23" fillId="5" fontId="20" numFmtId="170" xfId="0" applyAlignment="1" applyBorder="1" applyFont="1" applyNumberFormat="1">
      <alignment horizontal="left" readingOrder="0" vertical="center"/>
    </xf>
    <xf borderId="23" fillId="5" fontId="20" numFmtId="10" xfId="0" applyAlignment="1" applyBorder="1" applyFont="1" applyNumberFormat="1">
      <alignment horizontal="center" readingOrder="0" vertical="center"/>
    </xf>
    <xf borderId="14"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22" fillId="5" fontId="20" numFmtId="165" xfId="0" applyAlignment="1" applyBorder="1" applyFont="1" applyNumberFormat="1">
      <alignment horizontal="center" readingOrder="0" vertical="center"/>
    </xf>
    <xf borderId="23" fillId="5" fontId="20" numFmtId="165" xfId="0" applyAlignment="1" applyBorder="1" applyFont="1" applyNumberFormat="1">
      <alignment horizontal="left" readingOrder="0" vertical="center"/>
    </xf>
    <xf borderId="24" fillId="5" fontId="20" numFmtId="165" xfId="0" applyAlignment="1" applyBorder="1" applyFont="1" applyNumberFormat="1">
      <alignment horizontal="center" readingOrder="0" vertical="center"/>
    </xf>
    <xf borderId="14" fillId="0" fontId="13" numFmtId="165" xfId="0" applyAlignment="1" applyBorder="1" applyFont="1" applyNumberFormat="1">
      <alignment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0" fillId="0" fontId="20" numFmtId="165" xfId="0" applyAlignment="1" applyFont="1" applyNumberFormat="1">
      <alignment horizontal="center" readingOrder="0" vertical="center"/>
    </xf>
    <xf borderId="25" fillId="0" fontId="17" numFmtId="0" xfId="0" applyAlignment="1" applyBorder="1" applyFont="1">
      <alignment readingOrder="0" vertical="center"/>
    </xf>
    <xf borderId="25"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9"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8" numFmtId="170" xfId="0" applyAlignment="1" applyFont="1" applyNumberFormat="1">
      <alignment readingOrder="0" vertical="center"/>
    </xf>
    <xf borderId="0" fillId="0" fontId="28" numFmtId="0" xfId="0" applyAlignment="1" applyFont="1">
      <alignment horizontal="center" readingOrder="0" vertical="center"/>
    </xf>
    <xf borderId="17" fillId="5" fontId="20" numFmtId="169" xfId="0" applyAlignment="1" applyBorder="1" applyFont="1" applyNumberFormat="1">
      <alignment horizontal="center" readingOrder="0" vertical="center"/>
    </xf>
    <xf borderId="22" fillId="5" fontId="20" numFmtId="3" xfId="0" applyAlignment="1" applyBorder="1" applyFont="1" applyNumberFormat="1">
      <alignment horizontal="center" readingOrder="0" vertical="center"/>
    </xf>
    <xf borderId="17" fillId="5" fontId="20" numFmtId="3" xfId="0" applyAlignment="1" applyBorder="1" applyFont="1" applyNumberFormat="1">
      <alignment horizontal="center" readingOrder="0" vertical="center"/>
    </xf>
    <xf borderId="26" fillId="0" fontId="29" numFmtId="0" xfId="0" applyAlignment="1" applyBorder="1" applyFont="1">
      <alignment readingOrder="0" vertical="center"/>
    </xf>
    <xf borderId="26" fillId="0" fontId="13" numFmtId="0" xfId="0" applyAlignment="1" applyBorder="1" applyFont="1">
      <alignment vertical="center"/>
    </xf>
    <xf borderId="0" fillId="0" fontId="13" numFmtId="170" xfId="0" applyAlignment="1" applyFont="1" applyNumberFormat="1">
      <alignment readingOrder="0" vertical="center"/>
    </xf>
    <xf borderId="0" fillId="0" fontId="30" numFmtId="0" xfId="0" applyAlignment="1" applyFont="1">
      <alignment vertical="center"/>
    </xf>
    <xf borderId="17" fillId="5" fontId="20" numFmtId="169" xfId="0" applyAlignment="1" applyBorder="1" applyFont="1" applyNumberFormat="1">
      <alignment horizontal="right" readingOrder="0" vertical="center"/>
    </xf>
    <xf borderId="0" fillId="0" fontId="30" numFmtId="165" xfId="0" applyAlignment="1" applyFont="1" applyNumberFormat="1">
      <alignment vertical="center"/>
    </xf>
    <xf borderId="0" fillId="0" fontId="17" numFmtId="165"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10" fillId="6" fontId="18" numFmtId="0" xfId="0" applyAlignment="1" applyBorder="1" applyFont="1">
      <alignment readingOrder="0"/>
    </xf>
    <xf borderId="10" fillId="6" fontId="13" numFmtId="0" xfId="0" applyBorder="1" applyFont="1"/>
    <xf borderId="0" fillId="0" fontId="13" numFmtId="165" xfId="0" applyFont="1" applyNumberFormat="1"/>
    <xf borderId="27" fillId="0" fontId="17" numFmtId="165" xfId="0" applyAlignment="1" applyBorder="1" applyFont="1" applyNumberFormat="1">
      <alignment readingOrder="0"/>
    </xf>
    <xf borderId="27" fillId="0" fontId="17" numFmtId="165" xfId="0" applyBorder="1" applyFont="1" applyNumberFormat="1"/>
    <xf borderId="28" fillId="0" fontId="17" numFmtId="165" xfId="0" applyAlignment="1" applyBorder="1" applyFont="1" applyNumberFormat="1">
      <alignment readingOrder="0"/>
    </xf>
    <xf borderId="28" fillId="0" fontId="13" numFmtId="165" xfId="0" applyBorder="1" applyFont="1" applyNumberFormat="1"/>
    <xf borderId="28" fillId="0" fontId="17" numFmtId="165" xfId="0" applyBorder="1" applyFont="1" applyNumberFormat="1"/>
    <xf borderId="0" fillId="0" fontId="13" numFmtId="10" xfId="0" applyFont="1" applyNumberFormat="1"/>
    <xf borderId="0" fillId="0" fontId="29" numFmtId="10" xfId="0" applyAlignment="1" applyFont="1" applyNumberFormat="1">
      <alignment readingOrder="0"/>
    </xf>
    <xf borderId="0" fillId="0" fontId="29"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7" fillId="0" fontId="13" numFmtId="165" xfId="0" applyBorder="1" applyFont="1" applyNumberFormat="1"/>
    <xf borderId="0" fillId="0" fontId="17" numFmtId="165" xfId="0" applyFont="1" applyNumberFormat="1"/>
    <xf borderId="27" fillId="0" fontId="13" numFmtId="165" xfId="0" applyAlignment="1" applyBorder="1" applyFont="1" applyNumberFormat="1">
      <alignment readingOrder="0"/>
    </xf>
    <xf borderId="0" fillId="0" fontId="29" numFmtId="0" xfId="0" applyAlignment="1" applyFont="1">
      <alignment readingOrder="0"/>
    </xf>
    <xf borderId="0" fillId="0" fontId="31" numFmtId="165" xfId="0" applyAlignment="1" applyFont="1" applyNumberFormat="1">
      <alignment readingOrder="0"/>
    </xf>
    <xf borderId="29" fillId="0" fontId="29" numFmtId="165" xfId="0" applyAlignment="1" applyBorder="1" applyFont="1" applyNumberFormat="1">
      <alignment readingOrder="0"/>
    </xf>
    <xf borderId="29" fillId="0" fontId="29" numFmtId="165" xfId="0" applyBorder="1" applyFont="1" applyNumberFormat="1"/>
    <xf borderId="29" fillId="0" fontId="13" numFmtId="165" xfId="0" applyBorder="1" applyFont="1" applyNumberFormat="1"/>
    <xf borderId="29" fillId="0" fontId="31" numFmtId="165" xfId="0" applyAlignment="1" applyBorder="1" applyFont="1" applyNumberFormat="1">
      <alignment readingOrder="0"/>
    </xf>
    <xf borderId="29"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2nDtdp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11"/>
      <c r="D16" s="11"/>
      <c r="E16" s="8"/>
      <c r="F16" s="10"/>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3.88"/>
    <col customWidth="1" min="3" max="3" width="12.38"/>
    <col customWidth="1" min="4" max="4" width="14.13"/>
  </cols>
  <sheetData>
    <row r="1">
      <c r="A1" s="39"/>
      <c r="B1" s="39" t="s">
        <v>8</v>
      </c>
      <c r="C1" s="40"/>
      <c r="D1" s="40"/>
      <c r="E1" s="41"/>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0"/>
      <c r="E2" s="43"/>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3"/>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4"/>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 r="A6" s="47"/>
      <c r="B6" s="48" t="s">
        <v>12</v>
      </c>
      <c r="C6" s="49"/>
      <c r="D6" s="4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outlineLevel="1">
      <c r="A7" s="47"/>
      <c r="B7" s="47"/>
      <c r="C7" s="47"/>
      <c r="D7" s="47"/>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outlineLevel="1">
      <c r="A8" s="47"/>
      <c r="B8" s="51" t="s">
        <v>13</v>
      </c>
      <c r="C8" s="52"/>
      <c r="D8" s="47"/>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outlineLevel="1">
      <c r="A9" s="47"/>
      <c r="B9" s="53"/>
      <c r="C9" s="47"/>
      <c r="D9" s="47"/>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row>
    <row r="10" outlineLevel="1">
      <c r="A10" s="47"/>
      <c r="B10" s="54" t="s">
        <v>14</v>
      </c>
      <c r="C10" s="47"/>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row>
    <row r="11" outlineLevel="1">
      <c r="A11" s="47"/>
      <c r="B11" s="39" t="s">
        <v>15</v>
      </c>
      <c r="C11" s="47"/>
      <c r="D11" s="55">
        <v>1000.0</v>
      </c>
      <c r="E11" s="56"/>
      <c r="F11" s="56"/>
      <c r="G11" s="57">
        <f t="shared" ref="G11:G12" si="6">D11</f>
        <v>1000</v>
      </c>
      <c r="H11" s="57">
        <f t="shared" ref="H11:H12" si="7">G11</f>
        <v>1000</v>
      </c>
      <c r="I11" s="57">
        <f t="shared" ref="I11:I12" si="8">G11</f>
        <v>1000</v>
      </c>
      <c r="J11" s="57">
        <f t="shared" ref="J11:BN11" si="5">I11</f>
        <v>1000</v>
      </c>
      <c r="K11" s="57">
        <f t="shared" si="5"/>
        <v>1000</v>
      </c>
      <c r="L11" s="57">
        <f t="shared" si="5"/>
        <v>1000</v>
      </c>
      <c r="M11" s="57">
        <f t="shared" si="5"/>
        <v>1000</v>
      </c>
      <c r="N11" s="57">
        <f t="shared" si="5"/>
        <v>1000</v>
      </c>
      <c r="O11" s="57">
        <f t="shared" si="5"/>
        <v>1000</v>
      </c>
      <c r="P11" s="57">
        <f t="shared" si="5"/>
        <v>1000</v>
      </c>
      <c r="Q11" s="57">
        <f t="shared" si="5"/>
        <v>1000</v>
      </c>
      <c r="R11" s="57">
        <f t="shared" si="5"/>
        <v>1000</v>
      </c>
      <c r="S11" s="57">
        <f t="shared" si="5"/>
        <v>1000</v>
      </c>
      <c r="T11" s="57">
        <f t="shared" si="5"/>
        <v>1000</v>
      </c>
      <c r="U11" s="57">
        <f t="shared" si="5"/>
        <v>1000</v>
      </c>
      <c r="V11" s="57">
        <f t="shared" si="5"/>
        <v>1000</v>
      </c>
      <c r="W11" s="57">
        <f t="shared" si="5"/>
        <v>1000</v>
      </c>
      <c r="X11" s="57">
        <f t="shared" si="5"/>
        <v>1000</v>
      </c>
      <c r="Y11" s="57">
        <f t="shared" si="5"/>
        <v>1000</v>
      </c>
      <c r="Z11" s="57">
        <f t="shared" si="5"/>
        <v>1000</v>
      </c>
      <c r="AA11" s="57">
        <f t="shared" si="5"/>
        <v>1000</v>
      </c>
      <c r="AB11" s="57">
        <f t="shared" si="5"/>
        <v>1000</v>
      </c>
      <c r="AC11" s="57">
        <f t="shared" si="5"/>
        <v>1000</v>
      </c>
      <c r="AD11" s="57">
        <f t="shared" si="5"/>
        <v>1000</v>
      </c>
      <c r="AE11" s="57">
        <f t="shared" si="5"/>
        <v>1000</v>
      </c>
      <c r="AF11" s="57">
        <f t="shared" si="5"/>
        <v>1000</v>
      </c>
      <c r="AG11" s="57">
        <f t="shared" si="5"/>
        <v>1000</v>
      </c>
      <c r="AH11" s="57">
        <f t="shared" si="5"/>
        <v>1000</v>
      </c>
      <c r="AI11" s="57">
        <f t="shared" si="5"/>
        <v>1000</v>
      </c>
      <c r="AJ11" s="57">
        <f t="shared" si="5"/>
        <v>1000</v>
      </c>
      <c r="AK11" s="57">
        <f t="shared" si="5"/>
        <v>1000</v>
      </c>
      <c r="AL11" s="57">
        <f t="shared" si="5"/>
        <v>1000</v>
      </c>
      <c r="AM11" s="57">
        <f t="shared" si="5"/>
        <v>1000</v>
      </c>
      <c r="AN11" s="57">
        <f t="shared" si="5"/>
        <v>1000</v>
      </c>
      <c r="AO11" s="57">
        <f t="shared" si="5"/>
        <v>1000</v>
      </c>
      <c r="AP11" s="57">
        <f t="shared" si="5"/>
        <v>1000</v>
      </c>
      <c r="AQ11" s="57">
        <f t="shared" si="5"/>
        <v>1000</v>
      </c>
      <c r="AR11" s="57">
        <f t="shared" si="5"/>
        <v>1000</v>
      </c>
      <c r="AS11" s="57">
        <f t="shared" si="5"/>
        <v>1000</v>
      </c>
      <c r="AT11" s="57">
        <f t="shared" si="5"/>
        <v>1000</v>
      </c>
      <c r="AU11" s="57">
        <f t="shared" si="5"/>
        <v>1000</v>
      </c>
      <c r="AV11" s="57">
        <f t="shared" si="5"/>
        <v>1000</v>
      </c>
      <c r="AW11" s="57">
        <f t="shared" si="5"/>
        <v>1000</v>
      </c>
      <c r="AX11" s="57">
        <f t="shared" si="5"/>
        <v>1000</v>
      </c>
      <c r="AY11" s="57">
        <f t="shared" si="5"/>
        <v>1000</v>
      </c>
      <c r="AZ11" s="57">
        <f t="shared" si="5"/>
        <v>1000</v>
      </c>
      <c r="BA11" s="57">
        <f t="shared" si="5"/>
        <v>1000</v>
      </c>
      <c r="BB11" s="57">
        <f t="shared" si="5"/>
        <v>1000</v>
      </c>
      <c r="BC11" s="57">
        <f t="shared" si="5"/>
        <v>1000</v>
      </c>
      <c r="BD11" s="57">
        <f t="shared" si="5"/>
        <v>1000</v>
      </c>
      <c r="BE11" s="57">
        <f t="shared" si="5"/>
        <v>1000</v>
      </c>
      <c r="BF11" s="57">
        <f t="shared" si="5"/>
        <v>1000</v>
      </c>
      <c r="BG11" s="57">
        <f t="shared" si="5"/>
        <v>1000</v>
      </c>
      <c r="BH11" s="57">
        <f t="shared" si="5"/>
        <v>1000</v>
      </c>
      <c r="BI11" s="57">
        <f t="shared" si="5"/>
        <v>1000</v>
      </c>
      <c r="BJ11" s="57">
        <f t="shared" si="5"/>
        <v>1000</v>
      </c>
      <c r="BK11" s="57">
        <f t="shared" si="5"/>
        <v>1000</v>
      </c>
      <c r="BL11" s="57">
        <f t="shared" si="5"/>
        <v>1000</v>
      </c>
      <c r="BM11" s="57">
        <f t="shared" si="5"/>
        <v>1000</v>
      </c>
      <c r="BN11" s="57">
        <f t="shared" si="5"/>
        <v>1000</v>
      </c>
    </row>
    <row r="12" outlineLevel="1">
      <c r="A12" s="47"/>
      <c r="B12" s="58" t="s">
        <v>16</v>
      </c>
      <c r="C12" s="59"/>
      <c r="D12" s="60">
        <v>0.1</v>
      </c>
      <c r="E12" s="61"/>
      <c r="F12" s="61"/>
      <c r="G12" s="62">
        <f t="shared" si="6"/>
        <v>0.1</v>
      </c>
      <c r="H12" s="62">
        <f t="shared" si="7"/>
        <v>0.1</v>
      </c>
      <c r="I12" s="62">
        <f t="shared" si="8"/>
        <v>0.1</v>
      </c>
      <c r="J12" s="62">
        <f t="shared" ref="J12:BN12" si="9">I12</f>
        <v>0.1</v>
      </c>
      <c r="K12" s="62">
        <f t="shared" si="9"/>
        <v>0.1</v>
      </c>
      <c r="L12" s="62">
        <f t="shared" si="9"/>
        <v>0.1</v>
      </c>
      <c r="M12" s="62">
        <f t="shared" si="9"/>
        <v>0.1</v>
      </c>
      <c r="N12" s="62">
        <f t="shared" si="9"/>
        <v>0.1</v>
      </c>
      <c r="O12" s="62">
        <f t="shared" si="9"/>
        <v>0.1</v>
      </c>
      <c r="P12" s="62">
        <f t="shared" si="9"/>
        <v>0.1</v>
      </c>
      <c r="Q12" s="62">
        <f t="shared" si="9"/>
        <v>0.1</v>
      </c>
      <c r="R12" s="62">
        <f t="shared" si="9"/>
        <v>0.1</v>
      </c>
      <c r="S12" s="62">
        <f t="shared" si="9"/>
        <v>0.1</v>
      </c>
      <c r="T12" s="62">
        <f t="shared" si="9"/>
        <v>0.1</v>
      </c>
      <c r="U12" s="62">
        <f t="shared" si="9"/>
        <v>0.1</v>
      </c>
      <c r="V12" s="62">
        <f t="shared" si="9"/>
        <v>0.1</v>
      </c>
      <c r="W12" s="62">
        <f t="shared" si="9"/>
        <v>0.1</v>
      </c>
      <c r="X12" s="62">
        <f t="shared" si="9"/>
        <v>0.1</v>
      </c>
      <c r="Y12" s="62">
        <f t="shared" si="9"/>
        <v>0.1</v>
      </c>
      <c r="Z12" s="62">
        <f t="shared" si="9"/>
        <v>0.1</v>
      </c>
      <c r="AA12" s="62">
        <f t="shared" si="9"/>
        <v>0.1</v>
      </c>
      <c r="AB12" s="62">
        <f t="shared" si="9"/>
        <v>0.1</v>
      </c>
      <c r="AC12" s="62">
        <f t="shared" si="9"/>
        <v>0.1</v>
      </c>
      <c r="AD12" s="62">
        <f t="shared" si="9"/>
        <v>0.1</v>
      </c>
      <c r="AE12" s="62">
        <f t="shared" si="9"/>
        <v>0.1</v>
      </c>
      <c r="AF12" s="62">
        <f t="shared" si="9"/>
        <v>0.1</v>
      </c>
      <c r="AG12" s="62">
        <f t="shared" si="9"/>
        <v>0.1</v>
      </c>
      <c r="AH12" s="62">
        <f t="shared" si="9"/>
        <v>0.1</v>
      </c>
      <c r="AI12" s="62">
        <f t="shared" si="9"/>
        <v>0.1</v>
      </c>
      <c r="AJ12" s="62">
        <f t="shared" si="9"/>
        <v>0.1</v>
      </c>
      <c r="AK12" s="62">
        <f t="shared" si="9"/>
        <v>0.1</v>
      </c>
      <c r="AL12" s="62">
        <f t="shared" si="9"/>
        <v>0.1</v>
      </c>
      <c r="AM12" s="62">
        <f t="shared" si="9"/>
        <v>0.1</v>
      </c>
      <c r="AN12" s="62">
        <f t="shared" si="9"/>
        <v>0.1</v>
      </c>
      <c r="AO12" s="62">
        <f t="shared" si="9"/>
        <v>0.1</v>
      </c>
      <c r="AP12" s="62">
        <f t="shared" si="9"/>
        <v>0.1</v>
      </c>
      <c r="AQ12" s="62">
        <f t="shared" si="9"/>
        <v>0.1</v>
      </c>
      <c r="AR12" s="62">
        <f t="shared" si="9"/>
        <v>0.1</v>
      </c>
      <c r="AS12" s="62">
        <f t="shared" si="9"/>
        <v>0.1</v>
      </c>
      <c r="AT12" s="62">
        <f t="shared" si="9"/>
        <v>0.1</v>
      </c>
      <c r="AU12" s="62">
        <f t="shared" si="9"/>
        <v>0.1</v>
      </c>
      <c r="AV12" s="62">
        <f t="shared" si="9"/>
        <v>0.1</v>
      </c>
      <c r="AW12" s="62">
        <f t="shared" si="9"/>
        <v>0.1</v>
      </c>
      <c r="AX12" s="62">
        <f t="shared" si="9"/>
        <v>0.1</v>
      </c>
      <c r="AY12" s="62">
        <f t="shared" si="9"/>
        <v>0.1</v>
      </c>
      <c r="AZ12" s="62">
        <f t="shared" si="9"/>
        <v>0.1</v>
      </c>
      <c r="BA12" s="62">
        <f t="shared" si="9"/>
        <v>0.1</v>
      </c>
      <c r="BB12" s="62">
        <f t="shared" si="9"/>
        <v>0.1</v>
      </c>
      <c r="BC12" s="62">
        <f t="shared" si="9"/>
        <v>0.1</v>
      </c>
      <c r="BD12" s="62">
        <f t="shared" si="9"/>
        <v>0.1</v>
      </c>
      <c r="BE12" s="62">
        <f t="shared" si="9"/>
        <v>0.1</v>
      </c>
      <c r="BF12" s="62">
        <f t="shared" si="9"/>
        <v>0.1</v>
      </c>
      <c r="BG12" s="62">
        <f t="shared" si="9"/>
        <v>0.1</v>
      </c>
      <c r="BH12" s="62">
        <f t="shared" si="9"/>
        <v>0.1</v>
      </c>
      <c r="BI12" s="62">
        <f t="shared" si="9"/>
        <v>0.1</v>
      </c>
      <c r="BJ12" s="62">
        <f t="shared" si="9"/>
        <v>0.1</v>
      </c>
      <c r="BK12" s="62">
        <f t="shared" si="9"/>
        <v>0.1</v>
      </c>
      <c r="BL12" s="62">
        <f t="shared" si="9"/>
        <v>0.1</v>
      </c>
      <c r="BM12" s="62">
        <f t="shared" si="9"/>
        <v>0.1</v>
      </c>
      <c r="BN12" s="62">
        <f t="shared" si="9"/>
        <v>0.1</v>
      </c>
    </row>
    <row r="13" outlineLevel="1">
      <c r="A13" s="47"/>
      <c r="B13" s="54" t="s">
        <v>17</v>
      </c>
      <c r="C13" s="47"/>
      <c r="D13" s="63"/>
      <c r="E13" s="64"/>
      <c r="F13" s="64"/>
      <c r="G13" s="65">
        <f t="shared" ref="G13:BN13" si="10">G11*G12</f>
        <v>100</v>
      </c>
      <c r="H13" s="65">
        <f t="shared" si="10"/>
        <v>100</v>
      </c>
      <c r="I13" s="65">
        <f t="shared" si="10"/>
        <v>100</v>
      </c>
      <c r="J13" s="65">
        <f t="shared" si="10"/>
        <v>100</v>
      </c>
      <c r="K13" s="65">
        <f t="shared" si="10"/>
        <v>100</v>
      </c>
      <c r="L13" s="65">
        <f t="shared" si="10"/>
        <v>100</v>
      </c>
      <c r="M13" s="65">
        <f t="shared" si="10"/>
        <v>100</v>
      </c>
      <c r="N13" s="65">
        <f t="shared" si="10"/>
        <v>100</v>
      </c>
      <c r="O13" s="65">
        <f t="shared" si="10"/>
        <v>100</v>
      </c>
      <c r="P13" s="65">
        <f t="shared" si="10"/>
        <v>100</v>
      </c>
      <c r="Q13" s="65">
        <f t="shared" si="10"/>
        <v>100</v>
      </c>
      <c r="R13" s="65">
        <f t="shared" si="10"/>
        <v>100</v>
      </c>
      <c r="S13" s="65">
        <f t="shared" si="10"/>
        <v>100</v>
      </c>
      <c r="T13" s="65">
        <f t="shared" si="10"/>
        <v>100</v>
      </c>
      <c r="U13" s="65">
        <f t="shared" si="10"/>
        <v>100</v>
      </c>
      <c r="V13" s="65">
        <f t="shared" si="10"/>
        <v>100</v>
      </c>
      <c r="W13" s="65">
        <f t="shared" si="10"/>
        <v>100</v>
      </c>
      <c r="X13" s="65">
        <f t="shared" si="10"/>
        <v>100</v>
      </c>
      <c r="Y13" s="65">
        <f t="shared" si="10"/>
        <v>100</v>
      </c>
      <c r="Z13" s="65">
        <f t="shared" si="10"/>
        <v>100</v>
      </c>
      <c r="AA13" s="65">
        <f t="shared" si="10"/>
        <v>100</v>
      </c>
      <c r="AB13" s="65">
        <f t="shared" si="10"/>
        <v>100</v>
      </c>
      <c r="AC13" s="65">
        <f t="shared" si="10"/>
        <v>100</v>
      </c>
      <c r="AD13" s="65">
        <f t="shared" si="10"/>
        <v>100</v>
      </c>
      <c r="AE13" s="65">
        <f t="shared" si="10"/>
        <v>100</v>
      </c>
      <c r="AF13" s="65">
        <f t="shared" si="10"/>
        <v>100</v>
      </c>
      <c r="AG13" s="65">
        <f t="shared" si="10"/>
        <v>100</v>
      </c>
      <c r="AH13" s="65">
        <f t="shared" si="10"/>
        <v>100</v>
      </c>
      <c r="AI13" s="65">
        <f t="shared" si="10"/>
        <v>100</v>
      </c>
      <c r="AJ13" s="65">
        <f t="shared" si="10"/>
        <v>100</v>
      </c>
      <c r="AK13" s="65">
        <f t="shared" si="10"/>
        <v>100</v>
      </c>
      <c r="AL13" s="65">
        <f t="shared" si="10"/>
        <v>100</v>
      </c>
      <c r="AM13" s="65">
        <f t="shared" si="10"/>
        <v>100</v>
      </c>
      <c r="AN13" s="65">
        <f t="shared" si="10"/>
        <v>100</v>
      </c>
      <c r="AO13" s="65">
        <f t="shared" si="10"/>
        <v>100</v>
      </c>
      <c r="AP13" s="65">
        <f t="shared" si="10"/>
        <v>100</v>
      </c>
      <c r="AQ13" s="65">
        <f t="shared" si="10"/>
        <v>100</v>
      </c>
      <c r="AR13" s="65">
        <f t="shared" si="10"/>
        <v>100</v>
      </c>
      <c r="AS13" s="65">
        <f t="shared" si="10"/>
        <v>100</v>
      </c>
      <c r="AT13" s="65">
        <f t="shared" si="10"/>
        <v>100</v>
      </c>
      <c r="AU13" s="65">
        <f t="shared" si="10"/>
        <v>100</v>
      </c>
      <c r="AV13" s="65">
        <f t="shared" si="10"/>
        <v>100</v>
      </c>
      <c r="AW13" s="65">
        <f t="shared" si="10"/>
        <v>100</v>
      </c>
      <c r="AX13" s="65">
        <f t="shared" si="10"/>
        <v>100</v>
      </c>
      <c r="AY13" s="65">
        <f t="shared" si="10"/>
        <v>100</v>
      </c>
      <c r="AZ13" s="65">
        <f t="shared" si="10"/>
        <v>100</v>
      </c>
      <c r="BA13" s="65">
        <f t="shared" si="10"/>
        <v>100</v>
      </c>
      <c r="BB13" s="65">
        <f t="shared" si="10"/>
        <v>100</v>
      </c>
      <c r="BC13" s="65">
        <f t="shared" si="10"/>
        <v>100</v>
      </c>
      <c r="BD13" s="65">
        <f t="shared" si="10"/>
        <v>100</v>
      </c>
      <c r="BE13" s="65">
        <f t="shared" si="10"/>
        <v>100</v>
      </c>
      <c r="BF13" s="65">
        <f t="shared" si="10"/>
        <v>100</v>
      </c>
      <c r="BG13" s="65">
        <f t="shared" si="10"/>
        <v>100</v>
      </c>
      <c r="BH13" s="65">
        <f t="shared" si="10"/>
        <v>100</v>
      </c>
      <c r="BI13" s="65">
        <f t="shared" si="10"/>
        <v>100</v>
      </c>
      <c r="BJ13" s="65">
        <f t="shared" si="10"/>
        <v>100</v>
      </c>
      <c r="BK13" s="65">
        <f t="shared" si="10"/>
        <v>100</v>
      </c>
      <c r="BL13" s="65">
        <f t="shared" si="10"/>
        <v>100</v>
      </c>
      <c r="BM13" s="65">
        <f t="shared" si="10"/>
        <v>100</v>
      </c>
      <c r="BN13" s="65">
        <f t="shared" si="10"/>
        <v>100</v>
      </c>
    </row>
    <row r="14" outlineLevel="1">
      <c r="A14" s="47"/>
      <c r="B14" s="47"/>
      <c r="C14" s="47"/>
      <c r="D14" s="47"/>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row>
    <row r="15" outlineLevel="1">
      <c r="A15" s="47"/>
      <c r="B15" s="66" t="s">
        <v>18</v>
      </c>
      <c r="C15" s="47"/>
      <c r="D15" s="47"/>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row>
    <row r="16" outlineLevel="1">
      <c r="A16" s="67"/>
      <c r="B16" s="68" t="s">
        <v>19</v>
      </c>
      <c r="C16" s="67"/>
      <c r="D16" s="69">
        <v>2500.0</v>
      </c>
      <c r="E16" s="70"/>
      <c r="F16" s="70"/>
      <c r="G16" s="71">
        <f t="shared" ref="G16:G18" si="13">D16</f>
        <v>2500</v>
      </c>
      <c r="H16" s="71">
        <f t="shared" ref="H16:L16" si="11">G16+(0.1*G16)</f>
        <v>2750</v>
      </c>
      <c r="I16" s="71">
        <f t="shared" si="11"/>
        <v>3025</v>
      </c>
      <c r="J16" s="71">
        <f t="shared" si="11"/>
        <v>3327.5</v>
      </c>
      <c r="K16" s="71">
        <f t="shared" si="11"/>
        <v>3660.25</v>
      </c>
      <c r="L16" s="71">
        <f t="shared" si="11"/>
        <v>4026.275</v>
      </c>
      <c r="M16" s="72">
        <f t="shared" ref="M16:BN16" si="12">L16</f>
        <v>4026.275</v>
      </c>
      <c r="N16" s="72">
        <f t="shared" si="12"/>
        <v>4026.275</v>
      </c>
      <c r="O16" s="72">
        <f t="shared" si="12"/>
        <v>4026.275</v>
      </c>
      <c r="P16" s="72">
        <f t="shared" si="12"/>
        <v>4026.275</v>
      </c>
      <c r="Q16" s="72">
        <f t="shared" si="12"/>
        <v>4026.275</v>
      </c>
      <c r="R16" s="72">
        <f t="shared" si="12"/>
        <v>4026.275</v>
      </c>
      <c r="S16" s="72">
        <f t="shared" si="12"/>
        <v>4026.275</v>
      </c>
      <c r="T16" s="72">
        <f t="shared" si="12"/>
        <v>4026.275</v>
      </c>
      <c r="U16" s="72">
        <f t="shared" si="12"/>
        <v>4026.275</v>
      </c>
      <c r="V16" s="72">
        <f t="shared" si="12"/>
        <v>4026.275</v>
      </c>
      <c r="W16" s="72">
        <f t="shared" si="12"/>
        <v>4026.275</v>
      </c>
      <c r="X16" s="72">
        <f t="shared" si="12"/>
        <v>4026.275</v>
      </c>
      <c r="Y16" s="72">
        <f t="shared" si="12"/>
        <v>4026.275</v>
      </c>
      <c r="Z16" s="72">
        <f t="shared" si="12"/>
        <v>4026.275</v>
      </c>
      <c r="AA16" s="72">
        <f t="shared" si="12"/>
        <v>4026.275</v>
      </c>
      <c r="AB16" s="72">
        <f t="shared" si="12"/>
        <v>4026.275</v>
      </c>
      <c r="AC16" s="72">
        <f t="shared" si="12"/>
        <v>4026.275</v>
      </c>
      <c r="AD16" s="72">
        <f t="shared" si="12"/>
        <v>4026.275</v>
      </c>
      <c r="AE16" s="72">
        <f t="shared" si="12"/>
        <v>4026.275</v>
      </c>
      <c r="AF16" s="72">
        <f t="shared" si="12"/>
        <v>4026.275</v>
      </c>
      <c r="AG16" s="72">
        <f t="shared" si="12"/>
        <v>4026.275</v>
      </c>
      <c r="AH16" s="72">
        <f t="shared" si="12"/>
        <v>4026.275</v>
      </c>
      <c r="AI16" s="72">
        <f t="shared" si="12"/>
        <v>4026.275</v>
      </c>
      <c r="AJ16" s="72">
        <f t="shared" si="12"/>
        <v>4026.275</v>
      </c>
      <c r="AK16" s="72">
        <f t="shared" si="12"/>
        <v>4026.275</v>
      </c>
      <c r="AL16" s="72">
        <f t="shared" si="12"/>
        <v>4026.275</v>
      </c>
      <c r="AM16" s="72">
        <f t="shared" si="12"/>
        <v>4026.275</v>
      </c>
      <c r="AN16" s="72">
        <f t="shared" si="12"/>
        <v>4026.275</v>
      </c>
      <c r="AO16" s="72">
        <f t="shared" si="12"/>
        <v>4026.275</v>
      </c>
      <c r="AP16" s="72">
        <f t="shared" si="12"/>
        <v>4026.275</v>
      </c>
      <c r="AQ16" s="72">
        <f t="shared" si="12"/>
        <v>4026.275</v>
      </c>
      <c r="AR16" s="72">
        <f t="shared" si="12"/>
        <v>4026.275</v>
      </c>
      <c r="AS16" s="72">
        <f t="shared" si="12"/>
        <v>4026.275</v>
      </c>
      <c r="AT16" s="72">
        <f t="shared" si="12"/>
        <v>4026.275</v>
      </c>
      <c r="AU16" s="72">
        <f t="shared" si="12"/>
        <v>4026.275</v>
      </c>
      <c r="AV16" s="72">
        <f t="shared" si="12"/>
        <v>4026.275</v>
      </c>
      <c r="AW16" s="72">
        <f t="shared" si="12"/>
        <v>4026.275</v>
      </c>
      <c r="AX16" s="72">
        <f t="shared" si="12"/>
        <v>4026.275</v>
      </c>
      <c r="AY16" s="72">
        <f t="shared" si="12"/>
        <v>4026.275</v>
      </c>
      <c r="AZ16" s="72">
        <f t="shared" si="12"/>
        <v>4026.275</v>
      </c>
      <c r="BA16" s="72">
        <f t="shared" si="12"/>
        <v>4026.275</v>
      </c>
      <c r="BB16" s="72">
        <f t="shared" si="12"/>
        <v>4026.275</v>
      </c>
      <c r="BC16" s="72">
        <f t="shared" si="12"/>
        <v>4026.275</v>
      </c>
      <c r="BD16" s="72">
        <f t="shared" si="12"/>
        <v>4026.275</v>
      </c>
      <c r="BE16" s="72">
        <f t="shared" si="12"/>
        <v>4026.275</v>
      </c>
      <c r="BF16" s="72">
        <f t="shared" si="12"/>
        <v>4026.275</v>
      </c>
      <c r="BG16" s="72">
        <f t="shared" si="12"/>
        <v>4026.275</v>
      </c>
      <c r="BH16" s="72">
        <f t="shared" si="12"/>
        <v>4026.275</v>
      </c>
      <c r="BI16" s="72">
        <f t="shared" si="12"/>
        <v>4026.275</v>
      </c>
      <c r="BJ16" s="72">
        <f t="shared" si="12"/>
        <v>4026.275</v>
      </c>
      <c r="BK16" s="72">
        <f t="shared" si="12"/>
        <v>4026.275</v>
      </c>
      <c r="BL16" s="72">
        <f t="shared" si="12"/>
        <v>4026.275</v>
      </c>
      <c r="BM16" s="72">
        <f t="shared" si="12"/>
        <v>4026.275</v>
      </c>
      <c r="BN16" s="72">
        <f t="shared" si="12"/>
        <v>4026.275</v>
      </c>
    </row>
    <row r="17" outlineLevel="1">
      <c r="A17" s="67"/>
      <c r="B17" s="68" t="s">
        <v>20</v>
      </c>
      <c r="C17" s="68"/>
      <c r="D17" s="69">
        <v>2.0</v>
      </c>
      <c r="E17" s="70"/>
      <c r="F17" s="70"/>
      <c r="G17" s="73">
        <f t="shared" si="13"/>
        <v>2</v>
      </c>
      <c r="H17" s="73">
        <f t="shared" ref="H17:BN17" si="14">G17</f>
        <v>2</v>
      </c>
      <c r="I17" s="73">
        <f t="shared" si="14"/>
        <v>2</v>
      </c>
      <c r="J17" s="73">
        <f t="shared" si="14"/>
        <v>2</v>
      </c>
      <c r="K17" s="73">
        <f t="shared" si="14"/>
        <v>2</v>
      </c>
      <c r="L17" s="73">
        <f t="shared" si="14"/>
        <v>2</v>
      </c>
      <c r="M17" s="73">
        <f t="shared" si="14"/>
        <v>2</v>
      </c>
      <c r="N17" s="73">
        <f t="shared" si="14"/>
        <v>2</v>
      </c>
      <c r="O17" s="73">
        <f t="shared" si="14"/>
        <v>2</v>
      </c>
      <c r="P17" s="73">
        <f t="shared" si="14"/>
        <v>2</v>
      </c>
      <c r="Q17" s="73">
        <f t="shared" si="14"/>
        <v>2</v>
      </c>
      <c r="R17" s="73">
        <f t="shared" si="14"/>
        <v>2</v>
      </c>
      <c r="S17" s="73">
        <f t="shared" si="14"/>
        <v>2</v>
      </c>
      <c r="T17" s="73">
        <f t="shared" si="14"/>
        <v>2</v>
      </c>
      <c r="U17" s="73">
        <f t="shared" si="14"/>
        <v>2</v>
      </c>
      <c r="V17" s="73">
        <f t="shared" si="14"/>
        <v>2</v>
      </c>
      <c r="W17" s="73">
        <f t="shared" si="14"/>
        <v>2</v>
      </c>
      <c r="X17" s="73">
        <f t="shared" si="14"/>
        <v>2</v>
      </c>
      <c r="Y17" s="73">
        <f t="shared" si="14"/>
        <v>2</v>
      </c>
      <c r="Z17" s="73">
        <f t="shared" si="14"/>
        <v>2</v>
      </c>
      <c r="AA17" s="73">
        <f t="shared" si="14"/>
        <v>2</v>
      </c>
      <c r="AB17" s="73">
        <f t="shared" si="14"/>
        <v>2</v>
      </c>
      <c r="AC17" s="73">
        <f t="shared" si="14"/>
        <v>2</v>
      </c>
      <c r="AD17" s="73">
        <f t="shared" si="14"/>
        <v>2</v>
      </c>
      <c r="AE17" s="73">
        <f t="shared" si="14"/>
        <v>2</v>
      </c>
      <c r="AF17" s="73">
        <f t="shared" si="14"/>
        <v>2</v>
      </c>
      <c r="AG17" s="73">
        <f t="shared" si="14"/>
        <v>2</v>
      </c>
      <c r="AH17" s="73">
        <f t="shared" si="14"/>
        <v>2</v>
      </c>
      <c r="AI17" s="73">
        <f t="shared" si="14"/>
        <v>2</v>
      </c>
      <c r="AJ17" s="73">
        <f t="shared" si="14"/>
        <v>2</v>
      </c>
      <c r="AK17" s="73">
        <f t="shared" si="14"/>
        <v>2</v>
      </c>
      <c r="AL17" s="73">
        <f t="shared" si="14"/>
        <v>2</v>
      </c>
      <c r="AM17" s="73">
        <f t="shared" si="14"/>
        <v>2</v>
      </c>
      <c r="AN17" s="73">
        <f t="shared" si="14"/>
        <v>2</v>
      </c>
      <c r="AO17" s="73">
        <f t="shared" si="14"/>
        <v>2</v>
      </c>
      <c r="AP17" s="73">
        <f t="shared" si="14"/>
        <v>2</v>
      </c>
      <c r="AQ17" s="73">
        <f t="shared" si="14"/>
        <v>2</v>
      </c>
      <c r="AR17" s="73">
        <f t="shared" si="14"/>
        <v>2</v>
      </c>
      <c r="AS17" s="73">
        <f t="shared" si="14"/>
        <v>2</v>
      </c>
      <c r="AT17" s="73">
        <f t="shared" si="14"/>
        <v>2</v>
      </c>
      <c r="AU17" s="73">
        <f t="shared" si="14"/>
        <v>2</v>
      </c>
      <c r="AV17" s="73">
        <f t="shared" si="14"/>
        <v>2</v>
      </c>
      <c r="AW17" s="73">
        <f t="shared" si="14"/>
        <v>2</v>
      </c>
      <c r="AX17" s="73">
        <f t="shared" si="14"/>
        <v>2</v>
      </c>
      <c r="AY17" s="73">
        <f t="shared" si="14"/>
        <v>2</v>
      </c>
      <c r="AZ17" s="73">
        <f t="shared" si="14"/>
        <v>2</v>
      </c>
      <c r="BA17" s="73">
        <f t="shared" si="14"/>
        <v>2</v>
      </c>
      <c r="BB17" s="73">
        <f t="shared" si="14"/>
        <v>2</v>
      </c>
      <c r="BC17" s="73">
        <f t="shared" si="14"/>
        <v>2</v>
      </c>
      <c r="BD17" s="73">
        <f t="shared" si="14"/>
        <v>2</v>
      </c>
      <c r="BE17" s="73">
        <f t="shared" si="14"/>
        <v>2</v>
      </c>
      <c r="BF17" s="73">
        <f t="shared" si="14"/>
        <v>2</v>
      </c>
      <c r="BG17" s="73">
        <f t="shared" si="14"/>
        <v>2</v>
      </c>
      <c r="BH17" s="73">
        <f t="shared" si="14"/>
        <v>2</v>
      </c>
      <c r="BI17" s="73">
        <f t="shared" si="14"/>
        <v>2</v>
      </c>
      <c r="BJ17" s="73">
        <f t="shared" si="14"/>
        <v>2</v>
      </c>
      <c r="BK17" s="73">
        <f t="shared" si="14"/>
        <v>2</v>
      </c>
      <c r="BL17" s="73">
        <f t="shared" si="14"/>
        <v>2</v>
      </c>
      <c r="BM17" s="73">
        <f t="shared" si="14"/>
        <v>2</v>
      </c>
      <c r="BN17" s="73">
        <f t="shared" si="14"/>
        <v>2</v>
      </c>
    </row>
    <row r="18" outlineLevel="1">
      <c r="A18" s="47"/>
      <c r="B18" s="74" t="s">
        <v>16</v>
      </c>
      <c r="C18" s="59"/>
      <c r="D18" s="75">
        <v>0.15</v>
      </c>
      <c r="E18" s="61"/>
      <c r="F18" s="61"/>
      <c r="G18" s="62">
        <f t="shared" si="13"/>
        <v>0.15</v>
      </c>
      <c r="H18" s="62">
        <f t="shared" ref="H18:BN18" si="15">G18</f>
        <v>0.15</v>
      </c>
      <c r="I18" s="62">
        <f t="shared" si="15"/>
        <v>0.15</v>
      </c>
      <c r="J18" s="62">
        <f t="shared" si="15"/>
        <v>0.15</v>
      </c>
      <c r="K18" s="62">
        <f t="shared" si="15"/>
        <v>0.15</v>
      </c>
      <c r="L18" s="62">
        <f t="shared" si="15"/>
        <v>0.15</v>
      </c>
      <c r="M18" s="62">
        <f t="shared" si="15"/>
        <v>0.15</v>
      </c>
      <c r="N18" s="62">
        <f t="shared" si="15"/>
        <v>0.15</v>
      </c>
      <c r="O18" s="62">
        <f t="shared" si="15"/>
        <v>0.15</v>
      </c>
      <c r="P18" s="62">
        <f t="shared" si="15"/>
        <v>0.15</v>
      </c>
      <c r="Q18" s="62">
        <f t="shared" si="15"/>
        <v>0.15</v>
      </c>
      <c r="R18" s="62">
        <f t="shared" si="15"/>
        <v>0.15</v>
      </c>
      <c r="S18" s="62">
        <f t="shared" si="15"/>
        <v>0.15</v>
      </c>
      <c r="T18" s="62">
        <f t="shared" si="15"/>
        <v>0.15</v>
      </c>
      <c r="U18" s="62">
        <f t="shared" si="15"/>
        <v>0.15</v>
      </c>
      <c r="V18" s="62">
        <f t="shared" si="15"/>
        <v>0.15</v>
      </c>
      <c r="W18" s="62">
        <f t="shared" si="15"/>
        <v>0.15</v>
      </c>
      <c r="X18" s="62">
        <f t="shared" si="15"/>
        <v>0.15</v>
      </c>
      <c r="Y18" s="62">
        <f t="shared" si="15"/>
        <v>0.15</v>
      </c>
      <c r="Z18" s="62">
        <f t="shared" si="15"/>
        <v>0.15</v>
      </c>
      <c r="AA18" s="62">
        <f t="shared" si="15"/>
        <v>0.15</v>
      </c>
      <c r="AB18" s="62">
        <f t="shared" si="15"/>
        <v>0.15</v>
      </c>
      <c r="AC18" s="62">
        <f t="shared" si="15"/>
        <v>0.15</v>
      </c>
      <c r="AD18" s="62">
        <f t="shared" si="15"/>
        <v>0.15</v>
      </c>
      <c r="AE18" s="62">
        <f t="shared" si="15"/>
        <v>0.15</v>
      </c>
      <c r="AF18" s="62">
        <f t="shared" si="15"/>
        <v>0.15</v>
      </c>
      <c r="AG18" s="62">
        <f t="shared" si="15"/>
        <v>0.15</v>
      </c>
      <c r="AH18" s="62">
        <f t="shared" si="15"/>
        <v>0.15</v>
      </c>
      <c r="AI18" s="62">
        <f t="shared" si="15"/>
        <v>0.15</v>
      </c>
      <c r="AJ18" s="62">
        <f t="shared" si="15"/>
        <v>0.15</v>
      </c>
      <c r="AK18" s="62">
        <f t="shared" si="15"/>
        <v>0.15</v>
      </c>
      <c r="AL18" s="62">
        <f t="shared" si="15"/>
        <v>0.15</v>
      </c>
      <c r="AM18" s="62">
        <f t="shared" si="15"/>
        <v>0.15</v>
      </c>
      <c r="AN18" s="62">
        <f t="shared" si="15"/>
        <v>0.15</v>
      </c>
      <c r="AO18" s="62">
        <f t="shared" si="15"/>
        <v>0.15</v>
      </c>
      <c r="AP18" s="62">
        <f t="shared" si="15"/>
        <v>0.15</v>
      </c>
      <c r="AQ18" s="62">
        <f t="shared" si="15"/>
        <v>0.15</v>
      </c>
      <c r="AR18" s="62">
        <f t="shared" si="15"/>
        <v>0.15</v>
      </c>
      <c r="AS18" s="62">
        <f t="shared" si="15"/>
        <v>0.15</v>
      </c>
      <c r="AT18" s="62">
        <f t="shared" si="15"/>
        <v>0.15</v>
      </c>
      <c r="AU18" s="62">
        <f t="shared" si="15"/>
        <v>0.15</v>
      </c>
      <c r="AV18" s="62">
        <f t="shared" si="15"/>
        <v>0.15</v>
      </c>
      <c r="AW18" s="62">
        <f t="shared" si="15"/>
        <v>0.15</v>
      </c>
      <c r="AX18" s="62">
        <f t="shared" si="15"/>
        <v>0.15</v>
      </c>
      <c r="AY18" s="62">
        <f t="shared" si="15"/>
        <v>0.15</v>
      </c>
      <c r="AZ18" s="62">
        <f t="shared" si="15"/>
        <v>0.15</v>
      </c>
      <c r="BA18" s="62">
        <f t="shared" si="15"/>
        <v>0.15</v>
      </c>
      <c r="BB18" s="62">
        <f t="shared" si="15"/>
        <v>0.15</v>
      </c>
      <c r="BC18" s="62">
        <f t="shared" si="15"/>
        <v>0.15</v>
      </c>
      <c r="BD18" s="62">
        <f t="shared" si="15"/>
        <v>0.15</v>
      </c>
      <c r="BE18" s="62">
        <f t="shared" si="15"/>
        <v>0.15</v>
      </c>
      <c r="BF18" s="62">
        <f t="shared" si="15"/>
        <v>0.15</v>
      </c>
      <c r="BG18" s="62">
        <f t="shared" si="15"/>
        <v>0.15</v>
      </c>
      <c r="BH18" s="62">
        <f t="shared" si="15"/>
        <v>0.15</v>
      </c>
      <c r="BI18" s="62">
        <f t="shared" si="15"/>
        <v>0.15</v>
      </c>
      <c r="BJ18" s="62">
        <f t="shared" si="15"/>
        <v>0.15</v>
      </c>
      <c r="BK18" s="62">
        <f t="shared" si="15"/>
        <v>0.15</v>
      </c>
      <c r="BL18" s="62">
        <f t="shared" si="15"/>
        <v>0.15</v>
      </c>
      <c r="BM18" s="62">
        <f t="shared" si="15"/>
        <v>0.15</v>
      </c>
      <c r="BN18" s="62">
        <f t="shared" si="15"/>
        <v>0.15</v>
      </c>
    </row>
    <row r="19" outlineLevel="1">
      <c r="A19" s="47"/>
      <c r="B19" s="76" t="s">
        <v>17</v>
      </c>
      <c r="C19" s="47"/>
      <c r="D19" s="77"/>
      <c r="E19" s="78"/>
      <c r="F19" s="78"/>
      <c r="G19" s="79">
        <f t="shared" ref="G19:BN19" si="16">iferror((G16/G17)*G18,0)</f>
        <v>187.5</v>
      </c>
      <c r="H19" s="79">
        <f t="shared" si="16"/>
        <v>206.25</v>
      </c>
      <c r="I19" s="79">
        <f t="shared" si="16"/>
        <v>226.875</v>
      </c>
      <c r="J19" s="79">
        <f t="shared" si="16"/>
        <v>249.5625</v>
      </c>
      <c r="K19" s="79">
        <f t="shared" si="16"/>
        <v>274.51875</v>
      </c>
      <c r="L19" s="79">
        <f t="shared" si="16"/>
        <v>301.970625</v>
      </c>
      <c r="M19" s="79">
        <f t="shared" si="16"/>
        <v>301.970625</v>
      </c>
      <c r="N19" s="79">
        <f t="shared" si="16"/>
        <v>301.970625</v>
      </c>
      <c r="O19" s="79">
        <f t="shared" si="16"/>
        <v>301.970625</v>
      </c>
      <c r="P19" s="79">
        <f t="shared" si="16"/>
        <v>301.970625</v>
      </c>
      <c r="Q19" s="79">
        <f t="shared" si="16"/>
        <v>301.970625</v>
      </c>
      <c r="R19" s="79">
        <f t="shared" si="16"/>
        <v>301.970625</v>
      </c>
      <c r="S19" s="79">
        <f t="shared" si="16"/>
        <v>301.970625</v>
      </c>
      <c r="T19" s="79">
        <f t="shared" si="16"/>
        <v>301.970625</v>
      </c>
      <c r="U19" s="79">
        <f t="shared" si="16"/>
        <v>301.970625</v>
      </c>
      <c r="V19" s="79">
        <f t="shared" si="16"/>
        <v>301.970625</v>
      </c>
      <c r="W19" s="79">
        <f t="shared" si="16"/>
        <v>301.970625</v>
      </c>
      <c r="X19" s="79">
        <f t="shared" si="16"/>
        <v>301.970625</v>
      </c>
      <c r="Y19" s="79">
        <f t="shared" si="16"/>
        <v>301.970625</v>
      </c>
      <c r="Z19" s="79">
        <f t="shared" si="16"/>
        <v>301.970625</v>
      </c>
      <c r="AA19" s="79">
        <f t="shared" si="16"/>
        <v>301.970625</v>
      </c>
      <c r="AB19" s="79">
        <f t="shared" si="16"/>
        <v>301.970625</v>
      </c>
      <c r="AC19" s="79">
        <f t="shared" si="16"/>
        <v>301.970625</v>
      </c>
      <c r="AD19" s="79">
        <f t="shared" si="16"/>
        <v>301.970625</v>
      </c>
      <c r="AE19" s="79">
        <f t="shared" si="16"/>
        <v>301.970625</v>
      </c>
      <c r="AF19" s="79">
        <f t="shared" si="16"/>
        <v>301.970625</v>
      </c>
      <c r="AG19" s="79">
        <f t="shared" si="16"/>
        <v>301.970625</v>
      </c>
      <c r="AH19" s="79">
        <f t="shared" si="16"/>
        <v>301.970625</v>
      </c>
      <c r="AI19" s="79">
        <f t="shared" si="16"/>
        <v>301.970625</v>
      </c>
      <c r="AJ19" s="79">
        <f t="shared" si="16"/>
        <v>301.970625</v>
      </c>
      <c r="AK19" s="79">
        <f t="shared" si="16"/>
        <v>301.970625</v>
      </c>
      <c r="AL19" s="79">
        <f t="shared" si="16"/>
        <v>301.970625</v>
      </c>
      <c r="AM19" s="79">
        <f t="shared" si="16"/>
        <v>301.970625</v>
      </c>
      <c r="AN19" s="79">
        <f t="shared" si="16"/>
        <v>301.970625</v>
      </c>
      <c r="AO19" s="79">
        <f t="shared" si="16"/>
        <v>301.970625</v>
      </c>
      <c r="AP19" s="79">
        <f t="shared" si="16"/>
        <v>301.970625</v>
      </c>
      <c r="AQ19" s="79">
        <f t="shared" si="16"/>
        <v>301.970625</v>
      </c>
      <c r="AR19" s="79">
        <f t="shared" si="16"/>
        <v>301.970625</v>
      </c>
      <c r="AS19" s="79">
        <f t="shared" si="16"/>
        <v>301.970625</v>
      </c>
      <c r="AT19" s="79">
        <f t="shared" si="16"/>
        <v>301.970625</v>
      </c>
      <c r="AU19" s="79">
        <f t="shared" si="16"/>
        <v>301.970625</v>
      </c>
      <c r="AV19" s="79">
        <f t="shared" si="16"/>
        <v>301.970625</v>
      </c>
      <c r="AW19" s="79">
        <f t="shared" si="16"/>
        <v>301.970625</v>
      </c>
      <c r="AX19" s="79">
        <f t="shared" si="16"/>
        <v>301.970625</v>
      </c>
      <c r="AY19" s="79">
        <f t="shared" si="16"/>
        <v>301.970625</v>
      </c>
      <c r="AZ19" s="79">
        <f t="shared" si="16"/>
        <v>301.970625</v>
      </c>
      <c r="BA19" s="79">
        <f t="shared" si="16"/>
        <v>301.970625</v>
      </c>
      <c r="BB19" s="79">
        <f t="shared" si="16"/>
        <v>301.970625</v>
      </c>
      <c r="BC19" s="79">
        <f t="shared" si="16"/>
        <v>301.970625</v>
      </c>
      <c r="BD19" s="79">
        <f t="shared" si="16"/>
        <v>301.970625</v>
      </c>
      <c r="BE19" s="79">
        <f t="shared" si="16"/>
        <v>301.970625</v>
      </c>
      <c r="BF19" s="79">
        <f t="shared" si="16"/>
        <v>301.970625</v>
      </c>
      <c r="BG19" s="79">
        <f t="shared" si="16"/>
        <v>301.970625</v>
      </c>
      <c r="BH19" s="79">
        <f t="shared" si="16"/>
        <v>301.970625</v>
      </c>
      <c r="BI19" s="79">
        <f t="shared" si="16"/>
        <v>301.970625</v>
      </c>
      <c r="BJ19" s="79">
        <f t="shared" si="16"/>
        <v>301.970625</v>
      </c>
      <c r="BK19" s="79">
        <f t="shared" si="16"/>
        <v>301.970625</v>
      </c>
      <c r="BL19" s="79">
        <f t="shared" si="16"/>
        <v>301.970625</v>
      </c>
      <c r="BM19" s="79">
        <f t="shared" si="16"/>
        <v>301.970625</v>
      </c>
      <c r="BN19" s="79">
        <f t="shared" si="16"/>
        <v>301.970625</v>
      </c>
    </row>
    <row r="20" outlineLevel="1">
      <c r="A20" s="47"/>
      <c r="B20" s="47"/>
      <c r="C20" s="47"/>
      <c r="D20" s="47"/>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row>
    <row r="21" outlineLevel="1">
      <c r="A21" s="47"/>
      <c r="B21" s="66" t="s">
        <v>21</v>
      </c>
      <c r="C21" s="47"/>
      <c r="D21" s="47"/>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outlineLevel="1">
      <c r="A22" s="47"/>
      <c r="B22" s="39" t="s">
        <v>22</v>
      </c>
      <c r="C22" s="47"/>
      <c r="D22" s="80">
        <v>5.0</v>
      </c>
      <c r="E22" s="56"/>
      <c r="F22" s="56"/>
      <c r="G22" s="57">
        <f t="shared" ref="G22:G24" si="18">D22</f>
        <v>5</v>
      </c>
      <c r="H22" s="57">
        <f t="shared" ref="H22:BN22" si="17">G22</f>
        <v>5</v>
      </c>
      <c r="I22" s="57">
        <f t="shared" si="17"/>
        <v>5</v>
      </c>
      <c r="J22" s="57">
        <f t="shared" si="17"/>
        <v>5</v>
      </c>
      <c r="K22" s="57">
        <f t="shared" si="17"/>
        <v>5</v>
      </c>
      <c r="L22" s="57">
        <f t="shared" si="17"/>
        <v>5</v>
      </c>
      <c r="M22" s="57">
        <f t="shared" si="17"/>
        <v>5</v>
      </c>
      <c r="N22" s="57">
        <f t="shared" si="17"/>
        <v>5</v>
      </c>
      <c r="O22" s="57">
        <f t="shared" si="17"/>
        <v>5</v>
      </c>
      <c r="P22" s="57">
        <f t="shared" si="17"/>
        <v>5</v>
      </c>
      <c r="Q22" s="57">
        <f t="shared" si="17"/>
        <v>5</v>
      </c>
      <c r="R22" s="57">
        <f t="shared" si="17"/>
        <v>5</v>
      </c>
      <c r="S22" s="57">
        <f t="shared" si="17"/>
        <v>5</v>
      </c>
      <c r="T22" s="57">
        <f t="shared" si="17"/>
        <v>5</v>
      </c>
      <c r="U22" s="57">
        <f t="shared" si="17"/>
        <v>5</v>
      </c>
      <c r="V22" s="57">
        <f t="shared" si="17"/>
        <v>5</v>
      </c>
      <c r="W22" s="57">
        <f t="shared" si="17"/>
        <v>5</v>
      </c>
      <c r="X22" s="57">
        <f t="shared" si="17"/>
        <v>5</v>
      </c>
      <c r="Y22" s="57">
        <f t="shared" si="17"/>
        <v>5</v>
      </c>
      <c r="Z22" s="57">
        <f t="shared" si="17"/>
        <v>5</v>
      </c>
      <c r="AA22" s="57">
        <f t="shared" si="17"/>
        <v>5</v>
      </c>
      <c r="AB22" s="57">
        <f t="shared" si="17"/>
        <v>5</v>
      </c>
      <c r="AC22" s="57">
        <f t="shared" si="17"/>
        <v>5</v>
      </c>
      <c r="AD22" s="57">
        <f t="shared" si="17"/>
        <v>5</v>
      </c>
      <c r="AE22" s="57">
        <f t="shared" si="17"/>
        <v>5</v>
      </c>
      <c r="AF22" s="57">
        <f t="shared" si="17"/>
        <v>5</v>
      </c>
      <c r="AG22" s="57">
        <f t="shared" si="17"/>
        <v>5</v>
      </c>
      <c r="AH22" s="57">
        <f t="shared" si="17"/>
        <v>5</v>
      </c>
      <c r="AI22" s="57">
        <f t="shared" si="17"/>
        <v>5</v>
      </c>
      <c r="AJ22" s="57">
        <f t="shared" si="17"/>
        <v>5</v>
      </c>
      <c r="AK22" s="57">
        <f t="shared" si="17"/>
        <v>5</v>
      </c>
      <c r="AL22" s="57">
        <f t="shared" si="17"/>
        <v>5</v>
      </c>
      <c r="AM22" s="57">
        <f t="shared" si="17"/>
        <v>5</v>
      </c>
      <c r="AN22" s="57">
        <f t="shared" si="17"/>
        <v>5</v>
      </c>
      <c r="AO22" s="57">
        <f t="shared" si="17"/>
        <v>5</v>
      </c>
      <c r="AP22" s="57">
        <f t="shared" si="17"/>
        <v>5</v>
      </c>
      <c r="AQ22" s="57">
        <f t="shared" si="17"/>
        <v>5</v>
      </c>
      <c r="AR22" s="57">
        <f t="shared" si="17"/>
        <v>5</v>
      </c>
      <c r="AS22" s="57">
        <f t="shared" si="17"/>
        <v>5</v>
      </c>
      <c r="AT22" s="57">
        <f t="shared" si="17"/>
        <v>5</v>
      </c>
      <c r="AU22" s="57">
        <f t="shared" si="17"/>
        <v>5</v>
      </c>
      <c r="AV22" s="57">
        <f t="shared" si="17"/>
        <v>5</v>
      </c>
      <c r="AW22" s="57">
        <f t="shared" si="17"/>
        <v>5</v>
      </c>
      <c r="AX22" s="57">
        <f t="shared" si="17"/>
        <v>5</v>
      </c>
      <c r="AY22" s="57">
        <f t="shared" si="17"/>
        <v>5</v>
      </c>
      <c r="AZ22" s="57">
        <f t="shared" si="17"/>
        <v>5</v>
      </c>
      <c r="BA22" s="57">
        <f t="shared" si="17"/>
        <v>5</v>
      </c>
      <c r="BB22" s="57">
        <f t="shared" si="17"/>
        <v>5</v>
      </c>
      <c r="BC22" s="57">
        <f t="shared" si="17"/>
        <v>5</v>
      </c>
      <c r="BD22" s="57">
        <f t="shared" si="17"/>
        <v>5</v>
      </c>
      <c r="BE22" s="57">
        <f t="shared" si="17"/>
        <v>5</v>
      </c>
      <c r="BF22" s="57">
        <f t="shared" si="17"/>
        <v>5</v>
      </c>
      <c r="BG22" s="57">
        <f t="shared" si="17"/>
        <v>5</v>
      </c>
      <c r="BH22" s="57">
        <f t="shared" si="17"/>
        <v>5</v>
      </c>
      <c r="BI22" s="57">
        <f t="shared" si="17"/>
        <v>5</v>
      </c>
      <c r="BJ22" s="57">
        <f t="shared" si="17"/>
        <v>5</v>
      </c>
      <c r="BK22" s="57">
        <f t="shared" si="17"/>
        <v>5</v>
      </c>
      <c r="BL22" s="57">
        <f t="shared" si="17"/>
        <v>5</v>
      </c>
      <c r="BM22" s="57">
        <f t="shared" si="17"/>
        <v>5</v>
      </c>
      <c r="BN22" s="57">
        <f t="shared" si="17"/>
        <v>5</v>
      </c>
    </row>
    <row r="23" outlineLevel="1">
      <c r="A23" s="47"/>
      <c r="B23" s="39" t="s">
        <v>23</v>
      </c>
      <c r="C23" s="47"/>
      <c r="D23" s="81">
        <v>50.0</v>
      </c>
      <c r="E23" s="64"/>
      <c r="F23" s="64"/>
      <c r="G23" s="82">
        <f t="shared" si="18"/>
        <v>50</v>
      </c>
      <c r="H23" s="82">
        <f t="shared" ref="H23:BN23" si="19">G23</f>
        <v>50</v>
      </c>
      <c r="I23" s="82">
        <f t="shared" si="19"/>
        <v>50</v>
      </c>
      <c r="J23" s="82">
        <f t="shared" si="19"/>
        <v>50</v>
      </c>
      <c r="K23" s="82">
        <f t="shared" si="19"/>
        <v>50</v>
      </c>
      <c r="L23" s="82">
        <f t="shared" si="19"/>
        <v>50</v>
      </c>
      <c r="M23" s="82">
        <f t="shared" si="19"/>
        <v>50</v>
      </c>
      <c r="N23" s="82">
        <f t="shared" si="19"/>
        <v>50</v>
      </c>
      <c r="O23" s="82">
        <f t="shared" si="19"/>
        <v>50</v>
      </c>
      <c r="P23" s="82">
        <f t="shared" si="19"/>
        <v>50</v>
      </c>
      <c r="Q23" s="82">
        <f t="shared" si="19"/>
        <v>50</v>
      </c>
      <c r="R23" s="82">
        <f t="shared" si="19"/>
        <v>50</v>
      </c>
      <c r="S23" s="82">
        <f t="shared" si="19"/>
        <v>50</v>
      </c>
      <c r="T23" s="82">
        <f t="shared" si="19"/>
        <v>50</v>
      </c>
      <c r="U23" s="82">
        <f t="shared" si="19"/>
        <v>50</v>
      </c>
      <c r="V23" s="82">
        <f t="shared" si="19"/>
        <v>50</v>
      </c>
      <c r="W23" s="82">
        <f t="shared" si="19"/>
        <v>50</v>
      </c>
      <c r="X23" s="82">
        <f t="shared" si="19"/>
        <v>50</v>
      </c>
      <c r="Y23" s="82">
        <f t="shared" si="19"/>
        <v>50</v>
      </c>
      <c r="Z23" s="82">
        <f t="shared" si="19"/>
        <v>50</v>
      </c>
      <c r="AA23" s="82">
        <f t="shared" si="19"/>
        <v>50</v>
      </c>
      <c r="AB23" s="82">
        <f t="shared" si="19"/>
        <v>50</v>
      </c>
      <c r="AC23" s="82">
        <f t="shared" si="19"/>
        <v>50</v>
      </c>
      <c r="AD23" s="82">
        <f t="shared" si="19"/>
        <v>50</v>
      </c>
      <c r="AE23" s="82">
        <f t="shared" si="19"/>
        <v>50</v>
      </c>
      <c r="AF23" s="82">
        <f t="shared" si="19"/>
        <v>50</v>
      </c>
      <c r="AG23" s="82">
        <f t="shared" si="19"/>
        <v>50</v>
      </c>
      <c r="AH23" s="82">
        <f t="shared" si="19"/>
        <v>50</v>
      </c>
      <c r="AI23" s="82">
        <f t="shared" si="19"/>
        <v>50</v>
      </c>
      <c r="AJ23" s="82">
        <f t="shared" si="19"/>
        <v>50</v>
      </c>
      <c r="AK23" s="82">
        <f t="shared" si="19"/>
        <v>50</v>
      </c>
      <c r="AL23" s="82">
        <f t="shared" si="19"/>
        <v>50</v>
      </c>
      <c r="AM23" s="82">
        <f t="shared" si="19"/>
        <v>50</v>
      </c>
      <c r="AN23" s="82">
        <f t="shared" si="19"/>
        <v>50</v>
      </c>
      <c r="AO23" s="82">
        <f t="shared" si="19"/>
        <v>50</v>
      </c>
      <c r="AP23" s="82">
        <f t="shared" si="19"/>
        <v>50</v>
      </c>
      <c r="AQ23" s="82">
        <f t="shared" si="19"/>
        <v>50</v>
      </c>
      <c r="AR23" s="82">
        <f t="shared" si="19"/>
        <v>50</v>
      </c>
      <c r="AS23" s="82">
        <f t="shared" si="19"/>
        <v>50</v>
      </c>
      <c r="AT23" s="82">
        <f t="shared" si="19"/>
        <v>50</v>
      </c>
      <c r="AU23" s="82">
        <f t="shared" si="19"/>
        <v>50</v>
      </c>
      <c r="AV23" s="82">
        <f t="shared" si="19"/>
        <v>50</v>
      </c>
      <c r="AW23" s="82">
        <f t="shared" si="19"/>
        <v>50</v>
      </c>
      <c r="AX23" s="82">
        <f t="shared" si="19"/>
        <v>50</v>
      </c>
      <c r="AY23" s="82">
        <f t="shared" si="19"/>
        <v>50</v>
      </c>
      <c r="AZ23" s="82">
        <f t="shared" si="19"/>
        <v>50</v>
      </c>
      <c r="BA23" s="82">
        <f t="shared" si="19"/>
        <v>50</v>
      </c>
      <c r="BB23" s="82">
        <f t="shared" si="19"/>
        <v>50</v>
      </c>
      <c r="BC23" s="82">
        <f t="shared" si="19"/>
        <v>50</v>
      </c>
      <c r="BD23" s="82">
        <f t="shared" si="19"/>
        <v>50</v>
      </c>
      <c r="BE23" s="82">
        <f t="shared" si="19"/>
        <v>50</v>
      </c>
      <c r="BF23" s="82">
        <f t="shared" si="19"/>
        <v>50</v>
      </c>
      <c r="BG23" s="82">
        <f t="shared" si="19"/>
        <v>50</v>
      </c>
      <c r="BH23" s="82">
        <f t="shared" si="19"/>
        <v>50</v>
      </c>
      <c r="BI23" s="82">
        <f t="shared" si="19"/>
        <v>50</v>
      </c>
      <c r="BJ23" s="82">
        <f t="shared" si="19"/>
        <v>50</v>
      </c>
      <c r="BK23" s="82">
        <f t="shared" si="19"/>
        <v>50</v>
      </c>
      <c r="BL23" s="82">
        <f t="shared" si="19"/>
        <v>50</v>
      </c>
      <c r="BM23" s="82">
        <f t="shared" si="19"/>
        <v>50</v>
      </c>
      <c r="BN23" s="82">
        <f t="shared" si="19"/>
        <v>50</v>
      </c>
    </row>
    <row r="24" outlineLevel="1">
      <c r="A24" s="47"/>
      <c r="B24" s="74" t="s">
        <v>16</v>
      </c>
      <c r="C24" s="59"/>
      <c r="D24" s="75">
        <v>0.05</v>
      </c>
      <c r="E24" s="61"/>
      <c r="F24" s="61"/>
      <c r="G24" s="62">
        <f t="shared" si="18"/>
        <v>0.05</v>
      </c>
      <c r="H24" s="62">
        <f t="shared" ref="H24:BN24" si="20">G24</f>
        <v>0.05</v>
      </c>
      <c r="I24" s="62">
        <f t="shared" si="20"/>
        <v>0.05</v>
      </c>
      <c r="J24" s="62">
        <f t="shared" si="20"/>
        <v>0.05</v>
      </c>
      <c r="K24" s="62">
        <f t="shared" si="20"/>
        <v>0.05</v>
      </c>
      <c r="L24" s="62">
        <f t="shared" si="20"/>
        <v>0.05</v>
      </c>
      <c r="M24" s="62">
        <f t="shared" si="20"/>
        <v>0.05</v>
      </c>
      <c r="N24" s="62">
        <f t="shared" si="20"/>
        <v>0.05</v>
      </c>
      <c r="O24" s="62">
        <f t="shared" si="20"/>
        <v>0.05</v>
      </c>
      <c r="P24" s="62">
        <f t="shared" si="20"/>
        <v>0.05</v>
      </c>
      <c r="Q24" s="62">
        <f t="shared" si="20"/>
        <v>0.05</v>
      </c>
      <c r="R24" s="62">
        <f t="shared" si="20"/>
        <v>0.05</v>
      </c>
      <c r="S24" s="62">
        <f t="shared" si="20"/>
        <v>0.05</v>
      </c>
      <c r="T24" s="62">
        <f t="shared" si="20"/>
        <v>0.05</v>
      </c>
      <c r="U24" s="62">
        <f t="shared" si="20"/>
        <v>0.05</v>
      </c>
      <c r="V24" s="62">
        <f t="shared" si="20"/>
        <v>0.05</v>
      </c>
      <c r="W24" s="62">
        <f t="shared" si="20"/>
        <v>0.05</v>
      </c>
      <c r="X24" s="62">
        <f t="shared" si="20"/>
        <v>0.05</v>
      </c>
      <c r="Y24" s="62">
        <f t="shared" si="20"/>
        <v>0.05</v>
      </c>
      <c r="Z24" s="62">
        <f t="shared" si="20"/>
        <v>0.05</v>
      </c>
      <c r="AA24" s="62">
        <f t="shared" si="20"/>
        <v>0.05</v>
      </c>
      <c r="AB24" s="62">
        <f t="shared" si="20"/>
        <v>0.05</v>
      </c>
      <c r="AC24" s="62">
        <f t="shared" si="20"/>
        <v>0.05</v>
      </c>
      <c r="AD24" s="62">
        <f t="shared" si="20"/>
        <v>0.05</v>
      </c>
      <c r="AE24" s="62">
        <f t="shared" si="20"/>
        <v>0.05</v>
      </c>
      <c r="AF24" s="62">
        <f t="shared" si="20"/>
        <v>0.05</v>
      </c>
      <c r="AG24" s="62">
        <f t="shared" si="20"/>
        <v>0.05</v>
      </c>
      <c r="AH24" s="62">
        <f t="shared" si="20"/>
        <v>0.05</v>
      </c>
      <c r="AI24" s="62">
        <f t="shared" si="20"/>
        <v>0.05</v>
      </c>
      <c r="AJ24" s="62">
        <f t="shared" si="20"/>
        <v>0.05</v>
      </c>
      <c r="AK24" s="62">
        <f t="shared" si="20"/>
        <v>0.05</v>
      </c>
      <c r="AL24" s="62">
        <f t="shared" si="20"/>
        <v>0.05</v>
      </c>
      <c r="AM24" s="62">
        <f t="shared" si="20"/>
        <v>0.05</v>
      </c>
      <c r="AN24" s="62">
        <f t="shared" si="20"/>
        <v>0.05</v>
      </c>
      <c r="AO24" s="62">
        <f t="shared" si="20"/>
        <v>0.05</v>
      </c>
      <c r="AP24" s="62">
        <f t="shared" si="20"/>
        <v>0.05</v>
      </c>
      <c r="AQ24" s="62">
        <f t="shared" si="20"/>
        <v>0.05</v>
      </c>
      <c r="AR24" s="62">
        <f t="shared" si="20"/>
        <v>0.05</v>
      </c>
      <c r="AS24" s="62">
        <f t="shared" si="20"/>
        <v>0.05</v>
      </c>
      <c r="AT24" s="62">
        <f t="shared" si="20"/>
        <v>0.05</v>
      </c>
      <c r="AU24" s="62">
        <f t="shared" si="20"/>
        <v>0.05</v>
      </c>
      <c r="AV24" s="62">
        <f t="shared" si="20"/>
        <v>0.05</v>
      </c>
      <c r="AW24" s="62">
        <f t="shared" si="20"/>
        <v>0.05</v>
      </c>
      <c r="AX24" s="62">
        <f t="shared" si="20"/>
        <v>0.05</v>
      </c>
      <c r="AY24" s="62">
        <f t="shared" si="20"/>
        <v>0.05</v>
      </c>
      <c r="AZ24" s="62">
        <f t="shared" si="20"/>
        <v>0.05</v>
      </c>
      <c r="BA24" s="62">
        <f t="shared" si="20"/>
        <v>0.05</v>
      </c>
      <c r="BB24" s="62">
        <f t="shared" si="20"/>
        <v>0.05</v>
      </c>
      <c r="BC24" s="62">
        <f t="shared" si="20"/>
        <v>0.05</v>
      </c>
      <c r="BD24" s="62">
        <f t="shared" si="20"/>
        <v>0.05</v>
      </c>
      <c r="BE24" s="62">
        <f t="shared" si="20"/>
        <v>0.05</v>
      </c>
      <c r="BF24" s="62">
        <f t="shared" si="20"/>
        <v>0.05</v>
      </c>
      <c r="BG24" s="62">
        <f t="shared" si="20"/>
        <v>0.05</v>
      </c>
      <c r="BH24" s="62">
        <f t="shared" si="20"/>
        <v>0.05</v>
      </c>
      <c r="BI24" s="62">
        <f t="shared" si="20"/>
        <v>0.05</v>
      </c>
      <c r="BJ24" s="62">
        <f t="shared" si="20"/>
        <v>0.05</v>
      </c>
      <c r="BK24" s="62">
        <f t="shared" si="20"/>
        <v>0.05</v>
      </c>
      <c r="BL24" s="62">
        <f t="shared" si="20"/>
        <v>0.05</v>
      </c>
      <c r="BM24" s="62">
        <f t="shared" si="20"/>
        <v>0.05</v>
      </c>
      <c r="BN24" s="62">
        <f t="shared" si="20"/>
        <v>0.05</v>
      </c>
    </row>
    <row r="25" outlineLevel="1">
      <c r="A25" s="47"/>
      <c r="B25" s="76" t="s">
        <v>17</v>
      </c>
      <c r="C25" s="47"/>
      <c r="D25" s="63"/>
      <c r="E25" s="64"/>
      <c r="F25" s="64"/>
      <c r="G25" s="65">
        <f t="shared" ref="G25:BN25" si="21">G22*G23*G24</f>
        <v>12.5</v>
      </c>
      <c r="H25" s="65">
        <f t="shared" si="21"/>
        <v>12.5</v>
      </c>
      <c r="I25" s="65">
        <f t="shared" si="21"/>
        <v>12.5</v>
      </c>
      <c r="J25" s="65">
        <f t="shared" si="21"/>
        <v>12.5</v>
      </c>
      <c r="K25" s="65">
        <f t="shared" si="21"/>
        <v>12.5</v>
      </c>
      <c r="L25" s="65">
        <f t="shared" si="21"/>
        <v>12.5</v>
      </c>
      <c r="M25" s="65">
        <f t="shared" si="21"/>
        <v>12.5</v>
      </c>
      <c r="N25" s="65">
        <f t="shared" si="21"/>
        <v>12.5</v>
      </c>
      <c r="O25" s="65">
        <f t="shared" si="21"/>
        <v>12.5</v>
      </c>
      <c r="P25" s="65">
        <f t="shared" si="21"/>
        <v>12.5</v>
      </c>
      <c r="Q25" s="65">
        <f t="shared" si="21"/>
        <v>12.5</v>
      </c>
      <c r="R25" s="65">
        <f t="shared" si="21"/>
        <v>12.5</v>
      </c>
      <c r="S25" s="65">
        <f t="shared" si="21"/>
        <v>12.5</v>
      </c>
      <c r="T25" s="65">
        <f t="shared" si="21"/>
        <v>12.5</v>
      </c>
      <c r="U25" s="65">
        <f t="shared" si="21"/>
        <v>12.5</v>
      </c>
      <c r="V25" s="65">
        <f t="shared" si="21"/>
        <v>12.5</v>
      </c>
      <c r="W25" s="65">
        <f t="shared" si="21"/>
        <v>12.5</v>
      </c>
      <c r="X25" s="65">
        <f t="shared" si="21"/>
        <v>12.5</v>
      </c>
      <c r="Y25" s="65">
        <f t="shared" si="21"/>
        <v>12.5</v>
      </c>
      <c r="Z25" s="65">
        <f t="shared" si="21"/>
        <v>12.5</v>
      </c>
      <c r="AA25" s="65">
        <f t="shared" si="21"/>
        <v>12.5</v>
      </c>
      <c r="AB25" s="65">
        <f t="shared" si="21"/>
        <v>12.5</v>
      </c>
      <c r="AC25" s="65">
        <f t="shared" si="21"/>
        <v>12.5</v>
      </c>
      <c r="AD25" s="65">
        <f t="shared" si="21"/>
        <v>12.5</v>
      </c>
      <c r="AE25" s="65">
        <f t="shared" si="21"/>
        <v>12.5</v>
      </c>
      <c r="AF25" s="65">
        <f t="shared" si="21"/>
        <v>12.5</v>
      </c>
      <c r="AG25" s="65">
        <f t="shared" si="21"/>
        <v>12.5</v>
      </c>
      <c r="AH25" s="65">
        <f t="shared" si="21"/>
        <v>12.5</v>
      </c>
      <c r="AI25" s="65">
        <f t="shared" si="21"/>
        <v>12.5</v>
      </c>
      <c r="AJ25" s="65">
        <f t="shared" si="21"/>
        <v>12.5</v>
      </c>
      <c r="AK25" s="65">
        <f t="shared" si="21"/>
        <v>12.5</v>
      </c>
      <c r="AL25" s="65">
        <f t="shared" si="21"/>
        <v>12.5</v>
      </c>
      <c r="AM25" s="65">
        <f t="shared" si="21"/>
        <v>12.5</v>
      </c>
      <c r="AN25" s="65">
        <f t="shared" si="21"/>
        <v>12.5</v>
      </c>
      <c r="AO25" s="65">
        <f t="shared" si="21"/>
        <v>12.5</v>
      </c>
      <c r="AP25" s="65">
        <f t="shared" si="21"/>
        <v>12.5</v>
      </c>
      <c r="AQ25" s="65">
        <f t="shared" si="21"/>
        <v>12.5</v>
      </c>
      <c r="AR25" s="65">
        <f t="shared" si="21"/>
        <v>12.5</v>
      </c>
      <c r="AS25" s="65">
        <f t="shared" si="21"/>
        <v>12.5</v>
      </c>
      <c r="AT25" s="65">
        <f t="shared" si="21"/>
        <v>12.5</v>
      </c>
      <c r="AU25" s="65">
        <f t="shared" si="21"/>
        <v>12.5</v>
      </c>
      <c r="AV25" s="65">
        <f t="shared" si="21"/>
        <v>12.5</v>
      </c>
      <c r="AW25" s="65">
        <f t="shared" si="21"/>
        <v>12.5</v>
      </c>
      <c r="AX25" s="65">
        <f t="shared" si="21"/>
        <v>12.5</v>
      </c>
      <c r="AY25" s="65">
        <f t="shared" si="21"/>
        <v>12.5</v>
      </c>
      <c r="AZ25" s="65">
        <f t="shared" si="21"/>
        <v>12.5</v>
      </c>
      <c r="BA25" s="65">
        <f t="shared" si="21"/>
        <v>12.5</v>
      </c>
      <c r="BB25" s="65">
        <f t="shared" si="21"/>
        <v>12.5</v>
      </c>
      <c r="BC25" s="65">
        <f t="shared" si="21"/>
        <v>12.5</v>
      </c>
      <c r="BD25" s="65">
        <f t="shared" si="21"/>
        <v>12.5</v>
      </c>
      <c r="BE25" s="65">
        <f t="shared" si="21"/>
        <v>12.5</v>
      </c>
      <c r="BF25" s="65">
        <f t="shared" si="21"/>
        <v>12.5</v>
      </c>
      <c r="BG25" s="65">
        <f t="shared" si="21"/>
        <v>12.5</v>
      </c>
      <c r="BH25" s="65">
        <f t="shared" si="21"/>
        <v>12.5</v>
      </c>
      <c r="BI25" s="65">
        <f t="shared" si="21"/>
        <v>12.5</v>
      </c>
      <c r="BJ25" s="65">
        <f t="shared" si="21"/>
        <v>12.5</v>
      </c>
      <c r="BK25" s="65">
        <f t="shared" si="21"/>
        <v>12.5</v>
      </c>
      <c r="BL25" s="65">
        <f t="shared" si="21"/>
        <v>12.5</v>
      </c>
      <c r="BM25" s="65">
        <f t="shared" si="21"/>
        <v>12.5</v>
      </c>
      <c r="BN25" s="65">
        <f t="shared" si="21"/>
        <v>12.5</v>
      </c>
    </row>
    <row r="26" outlineLevel="1">
      <c r="A26" s="47"/>
      <c r="B26" s="66"/>
      <c r="C26" s="47"/>
      <c r="D26" s="47"/>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row>
    <row r="27" outlineLevel="1">
      <c r="A27" s="47"/>
      <c r="B27" s="66" t="s">
        <v>24</v>
      </c>
      <c r="C27" s="47"/>
      <c r="D27" s="47"/>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row>
    <row r="28" outlineLevel="1">
      <c r="A28" s="47"/>
      <c r="B28" s="39" t="s">
        <v>25</v>
      </c>
      <c r="C28" s="47"/>
      <c r="D28" s="47"/>
      <c r="E28" s="56"/>
      <c r="F28" s="56"/>
      <c r="G28" s="80">
        <v>1.0</v>
      </c>
      <c r="H28" s="80"/>
      <c r="I28" s="80"/>
      <c r="J28" s="80"/>
      <c r="K28" s="80">
        <v>1.0</v>
      </c>
      <c r="L28" s="80">
        <v>1.0</v>
      </c>
      <c r="M28" s="80"/>
      <c r="N28" s="80"/>
      <c r="O28" s="80"/>
      <c r="P28" s="80"/>
      <c r="Q28" s="80">
        <v>1.0</v>
      </c>
      <c r="R28" s="80">
        <v>1.0</v>
      </c>
      <c r="S28" s="80">
        <v>1.0</v>
      </c>
      <c r="T28" s="80">
        <v>1.0</v>
      </c>
      <c r="U28" s="80">
        <v>1.0</v>
      </c>
      <c r="V28" s="80">
        <v>1.0</v>
      </c>
      <c r="W28" s="80">
        <v>1.0</v>
      </c>
      <c r="X28" s="80">
        <v>1.0</v>
      </c>
      <c r="Y28" s="80">
        <v>1.0</v>
      </c>
      <c r="Z28" s="80">
        <v>1.0</v>
      </c>
      <c r="AA28" s="80">
        <v>1.0</v>
      </c>
      <c r="AB28" s="80">
        <v>1.0</v>
      </c>
      <c r="AC28" s="80">
        <v>1.0</v>
      </c>
      <c r="AD28" s="80">
        <v>1.0</v>
      </c>
      <c r="AE28" s="80">
        <v>1.0</v>
      </c>
      <c r="AF28" s="80">
        <v>1.0</v>
      </c>
      <c r="AG28" s="80">
        <v>1.0</v>
      </c>
      <c r="AH28" s="80">
        <v>1.0</v>
      </c>
      <c r="AI28" s="80">
        <v>1.0</v>
      </c>
      <c r="AJ28" s="80">
        <v>1.0</v>
      </c>
      <c r="AK28" s="80">
        <v>1.0</v>
      </c>
      <c r="AL28" s="80">
        <v>1.0</v>
      </c>
      <c r="AM28" s="80">
        <v>1.0</v>
      </c>
      <c r="AN28" s="80">
        <v>1.0</v>
      </c>
      <c r="AO28" s="80">
        <v>1.0</v>
      </c>
      <c r="AP28" s="80">
        <v>1.0</v>
      </c>
      <c r="AQ28" s="80">
        <v>1.0</v>
      </c>
      <c r="AR28" s="80">
        <v>1.0</v>
      </c>
      <c r="AS28" s="80">
        <v>1.0</v>
      </c>
      <c r="AT28" s="80">
        <v>1.0</v>
      </c>
      <c r="AU28" s="80">
        <v>1.0</v>
      </c>
      <c r="AV28" s="80">
        <v>1.0</v>
      </c>
      <c r="AW28" s="80">
        <v>1.0</v>
      </c>
      <c r="AX28" s="80">
        <v>1.0</v>
      </c>
      <c r="AY28" s="80">
        <v>1.0</v>
      </c>
      <c r="AZ28" s="80">
        <v>1.0</v>
      </c>
      <c r="BA28" s="80">
        <v>1.0</v>
      </c>
      <c r="BB28" s="80">
        <v>1.0</v>
      </c>
      <c r="BC28" s="80">
        <v>1.0</v>
      </c>
      <c r="BD28" s="80">
        <v>1.0</v>
      </c>
      <c r="BE28" s="80">
        <v>1.0</v>
      </c>
      <c r="BF28" s="80">
        <v>1.0</v>
      </c>
      <c r="BG28" s="80">
        <v>1.0</v>
      </c>
      <c r="BH28" s="80">
        <v>1.0</v>
      </c>
      <c r="BI28" s="80">
        <v>1.0</v>
      </c>
      <c r="BJ28" s="80">
        <v>1.0</v>
      </c>
      <c r="BK28" s="80">
        <v>1.0</v>
      </c>
      <c r="BL28" s="80">
        <v>1.0</v>
      </c>
      <c r="BM28" s="80">
        <v>1.0</v>
      </c>
      <c r="BN28" s="80">
        <v>1.0</v>
      </c>
    </row>
    <row r="29" outlineLevel="1">
      <c r="A29" s="47"/>
      <c r="B29" s="39" t="s">
        <v>26</v>
      </c>
      <c r="C29" s="47"/>
      <c r="D29" s="80">
        <v>50.0</v>
      </c>
      <c r="E29" s="64"/>
      <c r="F29" s="64"/>
      <c r="G29" s="83">
        <f>D29</f>
        <v>50</v>
      </c>
      <c r="H29" s="83">
        <f t="shared" ref="H29:BN29" si="22">G29</f>
        <v>50</v>
      </c>
      <c r="I29" s="83">
        <f t="shared" si="22"/>
        <v>50</v>
      </c>
      <c r="J29" s="83">
        <f t="shared" si="22"/>
        <v>50</v>
      </c>
      <c r="K29" s="83">
        <f t="shared" si="22"/>
        <v>50</v>
      </c>
      <c r="L29" s="83">
        <f t="shared" si="22"/>
        <v>50</v>
      </c>
      <c r="M29" s="83">
        <f t="shared" si="22"/>
        <v>50</v>
      </c>
      <c r="N29" s="83">
        <f t="shared" si="22"/>
        <v>50</v>
      </c>
      <c r="O29" s="83">
        <f t="shared" si="22"/>
        <v>50</v>
      </c>
      <c r="P29" s="83">
        <f t="shared" si="22"/>
        <v>50</v>
      </c>
      <c r="Q29" s="83">
        <f t="shared" si="22"/>
        <v>50</v>
      </c>
      <c r="R29" s="83">
        <f t="shared" si="22"/>
        <v>50</v>
      </c>
      <c r="S29" s="83">
        <f t="shared" si="22"/>
        <v>50</v>
      </c>
      <c r="T29" s="83">
        <f t="shared" si="22"/>
        <v>50</v>
      </c>
      <c r="U29" s="83">
        <f t="shared" si="22"/>
        <v>50</v>
      </c>
      <c r="V29" s="83">
        <f t="shared" si="22"/>
        <v>50</v>
      </c>
      <c r="W29" s="83">
        <f t="shared" si="22"/>
        <v>50</v>
      </c>
      <c r="X29" s="83">
        <f t="shared" si="22"/>
        <v>50</v>
      </c>
      <c r="Y29" s="83">
        <f t="shared" si="22"/>
        <v>50</v>
      </c>
      <c r="Z29" s="83">
        <f t="shared" si="22"/>
        <v>50</v>
      </c>
      <c r="AA29" s="83">
        <f t="shared" si="22"/>
        <v>50</v>
      </c>
      <c r="AB29" s="83">
        <f t="shared" si="22"/>
        <v>50</v>
      </c>
      <c r="AC29" s="83">
        <f t="shared" si="22"/>
        <v>50</v>
      </c>
      <c r="AD29" s="83">
        <f t="shared" si="22"/>
        <v>50</v>
      </c>
      <c r="AE29" s="83">
        <f t="shared" si="22"/>
        <v>50</v>
      </c>
      <c r="AF29" s="83">
        <f t="shared" si="22"/>
        <v>50</v>
      </c>
      <c r="AG29" s="83">
        <f t="shared" si="22"/>
        <v>50</v>
      </c>
      <c r="AH29" s="83">
        <f t="shared" si="22"/>
        <v>50</v>
      </c>
      <c r="AI29" s="83">
        <f t="shared" si="22"/>
        <v>50</v>
      </c>
      <c r="AJ29" s="83">
        <f t="shared" si="22"/>
        <v>50</v>
      </c>
      <c r="AK29" s="83">
        <f t="shared" si="22"/>
        <v>50</v>
      </c>
      <c r="AL29" s="83">
        <f t="shared" si="22"/>
        <v>50</v>
      </c>
      <c r="AM29" s="83">
        <f t="shared" si="22"/>
        <v>50</v>
      </c>
      <c r="AN29" s="83">
        <f t="shared" si="22"/>
        <v>50</v>
      </c>
      <c r="AO29" s="83">
        <f t="shared" si="22"/>
        <v>50</v>
      </c>
      <c r="AP29" s="83">
        <f t="shared" si="22"/>
        <v>50</v>
      </c>
      <c r="AQ29" s="83">
        <f t="shared" si="22"/>
        <v>50</v>
      </c>
      <c r="AR29" s="83">
        <f t="shared" si="22"/>
        <v>50</v>
      </c>
      <c r="AS29" s="83">
        <f t="shared" si="22"/>
        <v>50</v>
      </c>
      <c r="AT29" s="83">
        <f t="shared" si="22"/>
        <v>50</v>
      </c>
      <c r="AU29" s="83">
        <f t="shared" si="22"/>
        <v>50</v>
      </c>
      <c r="AV29" s="83">
        <f t="shared" si="22"/>
        <v>50</v>
      </c>
      <c r="AW29" s="83">
        <f t="shared" si="22"/>
        <v>50</v>
      </c>
      <c r="AX29" s="83">
        <f t="shared" si="22"/>
        <v>50</v>
      </c>
      <c r="AY29" s="83">
        <f t="shared" si="22"/>
        <v>50</v>
      </c>
      <c r="AZ29" s="83">
        <f t="shared" si="22"/>
        <v>50</v>
      </c>
      <c r="BA29" s="83">
        <f t="shared" si="22"/>
        <v>50</v>
      </c>
      <c r="BB29" s="83">
        <f t="shared" si="22"/>
        <v>50</v>
      </c>
      <c r="BC29" s="83">
        <f t="shared" si="22"/>
        <v>50</v>
      </c>
      <c r="BD29" s="83">
        <f t="shared" si="22"/>
        <v>50</v>
      </c>
      <c r="BE29" s="83">
        <f t="shared" si="22"/>
        <v>50</v>
      </c>
      <c r="BF29" s="83">
        <f t="shared" si="22"/>
        <v>50</v>
      </c>
      <c r="BG29" s="83">
        <f t="shared" si="22"/>
        <v>50</v>
      </c>
      <c r="BH29" s="83">
        <f t="shared" si="22"/>
        <v>50</v>
      </c>
      <c r="BI29" s="83">
        <f t="shared" si="22"/>
        <v>50</v>
      </c>
      <c r="BJ29" s="83">
        <f t="shared" si="22"/>
        <v>50</v>
      </c>
      <c r="BK29" s="83">
        <f t="shared" si="22"/>
        <v>50</v>
      </c>
      <c r="BL29" s="83">
        <f t="shared" si="22"/>
        <v>50</v>
      </c>
      <c r="BM29" s="83">
        <f t="shared" si="22"/>
        <v>50</v>
      </c>
      <c r="BN29" s="83">
        <f t="shared" si="22"/>
        <v>50</v>
      </c>
    </row>
    <row r="30" outlineLevel="1">
      <c r="A30" s="47"/>
      <c r="B30" s="74" t="s">
        <v>16</v>
      </c>
      <c r="C30" s="59"/>
      <c r="D30" s="75">
        <v>0.05</v>
      </c>
      <c r="E30" s="61"/>
      <c r="F30" s="61"/>
      <c r="G30" s="84">
        <v>0.02</v>
      </c>
      <c r="H30" s="62">
        <f t="shared" ref="H30:BN30" si="23">G30</f>
        <v>0.02</v>
      </c>
      <c r="I30" s="62">
        <f t="shared" si="23"/>
        <v>0.02</v>
      </c>
      <c r="J30" s="62">
        <f t="shared" si="23"/>
        <v>0.02</v>
      </c>
      <c r="K30" s="62">
        <f t="shared" si="23"/>
        <v>0.02</v>
      </c>
      <c r="L30" s="62">
        <f t="shared" si="23"/>
        <v>0.02</v>
      </c>
      <c r="M30" s="62">
        <f t="shared" si="23"/>
        <v>0.02</v>
      </c>
      <c r="N30" s="62">
        <f t="shared" si="23"/>
        <v>0.02</v>
      </c>
      <c r="O30" s="62">
        <f t="shared" si="23"/>
        <v>0.02</v>
      </c>
      <c r="P30" s="62">
        <f t="shared" si="23"/>
        <v>0.02</v>
      </c>
      <c r="Q30" s="62">
        <f t="shared" si="23"/>
        <v>0.02</v>
      </c>
      <c r="R30" s="62">
        <f t="shared" si="23"/>
        <v>0.02</v>
      </c>
      <c r="S30" s="62">
        <f t="shared" si="23"/>
        <v>0.02</v>
      </c>
      <c r="T30" s="62">
        <f t="shared" si="23"/>
        <v>0.02</v>
      </c>
      <c r="U30" s="62">
        <f t="shared" si="23"/>
        <v>0.02</v>
      </c>
      <c r="V30" s="62">
        <f t="shared" si="23"/>
        <v>0.02</v>
      </c>
      <c r="W30" s="62">
        <f t="shared" si="23"/>
        <v>0.02</v>
      </c>
      <c r="X30" s="62">
        <f t="shared" si="23"/>
        <v>0.02</v>
      </c>
      <c r="Y30" s="62">
        <f t="shared" si="23"/>
        <v>0.02</v>
      </c>
      <c r="Z30" s="62">
        <f t="shared" si="23"/>
        <v>0.02</v>
      </c>
      <c r="AA30" s="62">
        <f t="shared" si="23"/>
        <v>0.02</v>
      </c>
      <c r="AB30" s="62">
        <f t="shared" si="23"/>
        <v>0.02</v>
      </c>
      <c r="AC30" s="62">
        <f t="shared" si="23"/>
        <v>0.02</v>
      </c>
      <c r="AD30" s="62">
        <f t="shared" si="23"/>
        <v>0.02</v>
      </c>
      <c r="AE30" s="62">
        <f t="shared" si="23"/>
        <v>0.02</v>
      </c>
      <c r="AF30" s="62">
        <f t="shared" si="23"/>
        <v>0.02</v>
      </c>
      <c r="AG30" s="62">
        <f t="shared" si="23"/>
        <v>0.02</v>
      </c>
      <c r="AH30" s="62">
        <f t="shared" si="23"/>
        <v>0.02</v>
      </c>
      <c r="AI30" s="62">
        <f t="shared" si="23"/>
        <v>0.02</v>
      </c>
      <c r="AJ30" s="62">
        <f t="shared" si="23"/>
        <v>0.02</v>
      </c>
      <c r="AK30" s="62">
        <f t="shared" si="23"/>
        <v>0.02</v>
      </c>
      <c r="AL30" s="62">
        <f t="shared" si="23"/>
        <v>0.02</v>
      </c>
      <c r="AM30" s="62">
        <f t="shared" si="23"/>
        <v>0.02</v>
      </c>
      <c r="AN30" s="62">
        <f t="shared" si="23"/>
        <v>0.02</v>
      </c>
      <c r="AO30" s="62">
        <f t="shared" si="23"/>
        <v>0.02</v>
      </c>
      <c r="AP30" s="62">
        <f t="shared" si="23"/>
        <v>0.02</v>
      </c>
      <c r="AQ30" s="62">
        <f t="shared" si="23"/>
        <v>0.02</v>
      </c>
      <c r="AR30" s="62">
        <f t="shared" si="23"/>
        <v>0.02</v>
      </c>
      <c r="AS30" s="62">
        <f t="shared" si="23"/>
        <v>0.02</v>
      </c>
      <c r="AT30" s="62">
        <f t="shared" si="23"/>
        <v>0.02</v>
      </c>
      <c r="AU30" s="62">
        <f t="shared" si="23"/>
        <v>0.02</v>
      </c>
      <c r="AV30" s="62">
        <f t="shared" si="23"/>
        <v>0.02</v>
      </c>
      <c r="AW30" s="62">
        <f t="shared" si="23"/>
        <v>0.02</v>
      </c>
      <c r="AX30" s="62">
        <f t="shared" si="23"/>
        <v>0.02</v>
      </c>
      <c r="AY30" s="62">
        <f t="shared" si="23"/>
        <v>0.02</v>
      </c>
      <c r="AZ30" s="62">
        <f t="shared" si="23"/>
        <v>0.02</v>
      </c>
      <c r="BA30" s="62">
        <f t="shared" si="23"/>
        <v>0.02</v>
      </c>
      <c r="BB30" s="62">
        <f t="shared" si="23"/>
        <v>0.02</v>
      </c>
      <c r="BC30" s="62">
        <f t="shared" si="23"/>
        <v>0.02</v>
      </c>
      <c r="BD30" s="62">
        <f t="shared" si="23"/>
        <v>0.02</v>
      </c>
      <c r="BE30" s="62">
        <f t="shared" si="23"/>
        <v>0.02</v>
      </c>
      <c r="BF30" s="62">
        <f t="shared" si="23"/>
        <v>0.02</v>
      </c>
      <c r="BG30" s="62">
        <f t="shared" si="23"/>
        <v>0.02</v>
      </c>
      <c r="BH30" s="62">
        <f t="shared" si="23"/>
        <v>0.02</v>
      </c>
      <c r="BI30" s="62">
        <f t="shared" si="23"/>
        <v>0.02</v>
      </c>
      <c r="BJ30" s="62">
        <f t="shared" si="23"/>
        <v>0.02</v>
      </c>
      <c r="BK30" s="62">
        <f t="shared" si="23"/>
        <v>0.02</v>
      </c>
      <c r="BL30" s="62">
        <f t="shared" si="23"/>
        <v>0.02</v>
      </c>
      <c r="BM30" s="62">
        <f t="shared" si="23"/>
        <v>0.02</v>
      </c>
      <c r="BN30" s="62">
        <f t="shared" si="23"/>
        <v>0.02</v>
      </c>
    </row>
    <row r="31" outlineLevel="1">
      <c r="A31" s="47"/>
      <c r="B31" s="76" t="s">
        <v>17</v>
      </c>
      <c r="C31" s="47"/>
      <c r="D31" s="63"/>
      <c r="E31" s="64"/>
      <c r="F31" s="64"/>
      <c r="G31" s="65">
        <f t="shared" ref="G31:BN31" si="24">G28*G29*G30</f>
        <v>1</v>
      </c>
      <c r="H31" s="65">
        <f t="shared" si="24"/>
        <v>0</v>
      </c>
      <c r="I31" s="65">
        <f t="shared" si="24"/>
        <v>0</v>
      </c>
      <c r="J31" s="65">
        <f t="shared" si="24"/>
        <v>0</v>
      </c>
      <c r="K31" s="65">
        <f t="shared" si="24"/>
        <v>1</v>
      </c>
      <c r="L31" s="65">
        <f t="shared" si="24"/>
        <v>1</v>
      </c>
      <c r="M31" s="65">
        <f t="shared" si="24"/>
        <v>0</v>
      </c>
      <c r="N31" s="65">
        <f t="shared" si="24"/>
        <v>0</v>
      </c>
      <c r="O31" s="65">
        <f t="shared" si="24"/>
        <v>0</v>
      </c>
      <c r="P31" s="65">
        <f t="shared" si="24"/>
        <v>0</v>
      </c>
      <c r="Q31" s="65">
        <f t="shared" si="24"/>
        <v>1</v>
      </c>
      <c r="R31" s="65">
        <f t="shared" si="24"/>
        <v>1</v>
      </c>
      <c r="S31" s="65">
        <f t="shared" si="24"/>
        <v>1</v>
      </c>
      <c r="T31" s="65">
        <f t="shared" si="24"/>
        <v>1</v>
      </c>
      <c r="U31" s="65">
        <f t="shared" si="24"/>
        <v>1</v>
      </c>
      <c r="V31" s="65">
        <f t="shared" si="24"/>
        <v>1</v>
      </c>
      <c r="W31" s="65">
        <f t="shared" si="24"/>
        <v>1</v>
      </c>
      <c r="X31" s="65">
        <f t="shared" si="24"/>
        <v>1</v>
      </c>
      <c r="Y31" s="65">
        <f t="shared" si="24"/>
        <v>1</v>
      </c>
      <c r="Z31" s="65">
        <f t="shared" si="24"/>
        <v>1</v>
      </c>
      <c r="AA31" s="65">
        <f t="shared" si="24"/>
        <v>1</v>
      </c>
      <c r="AB31" s="65">
        <f t="shared" si="24"/>
        <v>1</v>
      </c>
      <c r="AC31" s="65">
        <f t="shared" si="24"/>
        <v>1</v>
      </c>
      <c r="AD31" s="65">
        <f t="shared" si="24"/>
        <v>1</v>
      </c>
      <c r="AE31" s="65">
        <f t="shared" si="24"/>
        <v>1</v>
      </c>
      <c r="AF31" s="65">
        <f t="shared" si="24"/>
        <v>1</v>
      </c>
      <c r="AG31" s="65">
        <f t="shared" si="24"/>
        <v>1</v>
      </c>
      <c r="AH31" s="65">
        <f t="shared" si="24"/>
        <v>1</v>
      </c>
      <c r="AI31" s="65">
        <f t="shared" si="24"/>
        <v>1</v>
      </c>
      <c r="AJ31" s="65">
        <f t="shared" si="24"/>
        <v>1</v>
      </c>
      <c r="AK31" s="65">
        <f t="shared" si="24"/>
        <v>1</v>
      </c>
      <c r="AL31" s="65">
        <f t="shared" si="24"/>
        <v>1</v>
      </c>
      <c r="AM31" s="65">
        <f t="shared" si="24"/>
        <v>1</v>
      </c>
      <c r="AN31" s="65">
        <f t="shared" si="24"/>
        <v>1</v>
      </c>
      <c r="AO31" s="65">
        <f t="shared" si="24"/>
        <v>1</v>
      </c>
      <c r="AP31" s="65">
        <f t="shared" si="24"/>
        <v>1</v>
      </c>
      <c r="AQ31" s="65">
        <f t="shared" si="24"/>
        <v>1</v>
      </c>
      <c r="AR31" s="65">
        <f t="shared" si="24"/>
        <v>1</v>
      </c>
      <c r="AS31" s="65">
        <f t="shared" si="24"/>
        <v>1</v>
      </c>
      <c r="AT31" s="65">
        <f t="shared" si="24"/>
        <v>1</v>
      </c>
      <c r="AU31" s="65">
        <f t="shared" si="24"/>
        <v>1</v>
      </c>
      <c r="AV31" s="65">
        <f t="shared" si="24"/>
        <v>1</v>
      </c>
      <c r="AW31" s="65">
        <f t="shared" si="24"/>
        <v>1</v>
      </c>
      <c r="AX31" s="65">
        <f t="shared" si="24"/>
        <v>1</v>
      </c>
      <c r="AY31" s="65">
        <f t="shared" si="24"/>
        <v>1</v>
      </c>
      <c r="AZ31" s="65">
        <f t="shared" si="24"/>
        <v>1</v>
      </c>
      <c r="BA31" s="65">
        <f t="shared" si="24"/>
        <v>1</v>
      </c>
      <c r="BB31" s="65">
        <f t="shared" si="24"/>
        <v>1</v>
      </c>
      <c r="BC31" s="65">
        <f t="shared" si="24"/>
        <v>1</v>
      </c>
      <c r="BD31" s="65">
        <f t="shared" si="24"/>
        <v>1</v>
      </c>
      <c r="BE31" s="65">
        <f t="shared" si="24"/>
        <v>1</v>
      </c>
      <c r="BF31" s="65">
        <f t="shared" si="24"/>
        <v>1</v>
      </c>
      <c r="BG31" s="65">
        <f t="shared" si="24"/>
        <v>1</v>
      </c>
      <c r="BH31" s="65">
        <f t="shared" si="24"/>
        <v>1</v>
      </c>
      <c r="BI31" s="65">
        <f t="shared" si="24"/>
        <v>1</v>
      </c>
      <c r="BJ31" s="65">
        <f t="shared" si="24"/>
        <v>1</v>
      </c>
      <c r="BK31" s="65">
        <f t="shared" si="24"/>
        <v>1</v>
      </c>
      <c r="BL31" s="65">
        <f t="shared" si="24"/>
        <v>1</v>
      </c>
      <c r="BM31" s="65">
        <f t="shared" si="24"/>
        <v>1</v>
      </c>
      <c r="BN31" s="65">
        <f t="shared" si="24"/>
        <v>1</v>
      </c>
    </row>
    <row r="32" outlineLevel="1">
      <c r="A32" s="47"/>
      <c r="B32" s="66"/>
      <c r="C32" s="47"/>
      <c r="D32" s="47"/>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row>
    <row r="33" outlineLevel="1">
      <c r="A33" s="85"/>
      <c r="B33" s="86" t="s">
        <v>27</v>
      </c>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row>
    <row r="34" outlineLevel="1">
      <c r="A34" s="85"/>
      <c r="B34" s="47" t="s">
        <v>28</v>
      </c>
      <c r="C34" s="85"/>
      <c r="D34" s="80">
        <v>2.0</v>
      </c>
      <c r="E34" s="87"/>
      <c r="F34" s="87"/>
      <c r="G34" s="57">
        <f t="shared" ref="G34:G37" si="26">D34</f>
        <v>2</v>
      </c>
      <c r="H34" s="57">
        <f t="shared" ref="H34:BN34" si="25">G34</f>
        <v>2</v>
      </c>
      <c r="I34" s="57">
        <f t="shared" si="25"/>
        <v>2</v>
      </c>
      <c r="J34" s="57">
        <f t="shared" si="25"/>
        <v>2</v>
      </c>
      <c r="K34" s="57">
        <f t="shared" si="25"/>
        <v>2</v>
      </c>
      <c r="L34" s="57">
        <f t="shared" si="25"/>
        <v>2</v>
      </c>
      <c r="M34" s="57">
        <f t="shared" si="25"/>
        <v>2</v>
      </c>
      <c r="N34" s="57">
        <f t="shared" si="25"/>
        <v>2</v>
      </c>
      <c r="O34" s="57">
        <f t="shared" si="25"/>
        <v>2</v>
      </c>
      <c r="P34" s="57">
        <f t="shared" si="25"/>
        <v>2</v>
      </c>
      <c r="Q34" s="57">
        <f t="shared" si="25"/>
        <v>2</v>
      </c>
      <c r="R34" s="57">
        <f t="shared" si="25"/>
        <v>2</v>
      </c>
      <c r="S34" s="57">
        <f t="shared" si="25"/>
        <v>2</v>
      </c>
      <c r="T34" s="57">
        <f t="shared" si="25"/>
        <v>2</v>
      </c>
      <c r="U34" s="57">
        <f t="shared" si="25"/>
        <v>2</v>
      </c>
      <c r="V34" s="57">
        <f t="shared" si="25"/>
        <v>2</v>
      </c>
      <c r="W34" s="57">
        <f t="shared" si="25"/>
        <v>2</v>
      </c>
      <c r="X34" s="57">
        <f t="shared" si="25"/>
        <v>2</v>
      </c>
      <c r="Y34" s="57">
        <f t="shared" si="25"/>
        <v>2</v>
      </c>
      <c r="Z34" s="57">
        <f t="shared" si="25"/>
        <v>2</v>
      </c>
      <c r="AA34" s="57">
        <f t="shared" si="25"/>
        <v>2</v>
      </c>
      <c r="AB34" s="57">
        <f t="shared" si="25"/>
        <v>2</v>
      </c>
      <c r="AC34" s="57">
        <f t="shared" si="25"/>
        <v>2</v>
      </c>
      <c r="AD34" s="57">
        <f t="shared" si="25"/>
        <v>2</v>
      </c>
      <c r="AE34" s="57">
        <f t="shared" si="25"/>
        <v>2</v>
      </c>
      <c r="AF34" s="57">
        <f t="shared" si="25"/>
        <v>2</v>
      </c>
      <c r="AG34" s="57">
        <f t="shared" si="25"/>
        <v>2</v>
      </c>
      <c r="AH34" s="57">
        <f t="shared" si="25"/>
        <v>2</v>
      </c>
      <c r="AI34" s="57">
        <f t="shared" si="25"/>
        <v>2</v>
      </c>
      <c r="AJ34" s="57">
        <f t="shared" si="25"/>
        <v>2</v>
      </c>
      <c r="AK34" s="57">
        <f t="shared" si="25"/>
        <v>2</v>
      </c>
      <c r="AL34" s="57">
        <f t="shared" si="25"/>
        <v>2</v>
      </c>
      <c r="AM34" s="57">
        <f t="shared" si="25"/>
        <v>2</v>
      </c>
      <c r="AN34" s="57">
        <f t="shared" si="25"/>
        <v>2</v>
      </c>
      <c r="AO34" s="57">
        <f t="shared" si="25"/>
        <v>2</v>
      </c>
      <c r="AP34" s="57">
        <f t="shared" si="25"/>
        <v>2</v>
      </c>
      <c r="AQ34" s="57">
        <f t="shared" si="25"/>
        <v>2</v>
      </c>
      <c r="AR34" s="57">
        <f t="shared" si="25"/>
        <v>2</v>
      </c>
      <c r="AS34" s="57">
        <f t="shared" si="25"/>
        <v>2</v>
      </c>
      <c r="AT34" s="57">
        <f t="shared" si="25"/>
        <v>2</v>
      </c>
      <c r="AU34" s="57">
        <f t="shared" si="25"/>
        <v>2</v>
      </c>
      <c r="AV34" s="57">
        <f t="shared" si="25"/>
        <v>2</v>
      </c>
      <c r="AW34" s="57">
        <f t="shared" si="25"/>
        <v>2</v>
      </c>
      <c r="AX34" s="57">
        <f t="shared" si="25"/>
        <v>2</v>
      </c>
      <c r="AY34" s="57">
        <f t="shared" si="25"/>
        <v>2</v>
      </c>
      <c r="AZ34" s="57">
        <f t="shared" si="25"/>
        <v>2</v>
      </c>
      <c r="BA34" s="57">
        <f t="shared" si="25"/>
        <v>2</v>
      </c>
      <c r="BB34" s="57">
        <f t="shared" si="25"/>
        <v>2</v>
      </c>
      <c r="BC34" s="57">
        <f t="shared" si="25"/>
        <v>2</v>
      </c>
      <c r="BD34" s="57">
        <f t="shared" si="25"/>
        <v>2</v>
      </c>
      <c r="BE34" s="57">
        <f t="shared" si="25"/>
        <v>2</v>
      </c>
      <c r="BF34" s="57">
        <f t="shared" si="25"/>
        <v>2</v>
      </c>
      <c r="BG34" s="57">
        <f t="shared" si="25"/>
        <v>2</v>
      </c>
      <c r="BH34" s="57">
        <f t="shared" si="25"/>
        <v>2</v>
      </c>
      <c r="BI34" s="57">
        <f t="shared" si="25"/>
        <v>2</v>
      </c>
      <c r="BJ34" s="57">
        <f t="shared" si="25"/>
        <v>2</v>
      </c>
      <c r="BK34" s="57">
        <f t="shared" si="25"/>
        <v>2</v>
      </c>
      <c r="BL34" s="57">
        <f t="shared" si="25"/>
        <v>2</v>
      </c>
      <c r="BM34" s="57">
        <f t="shared" si="25"/>
        <v>2</v>
      </c>
      <c r="BN34" s="57">
        <f t="shared" si="25"/>
        <v>2</v>
      </c>
    </row>
    <row r="35" outlineLevel="1">
      <c r="A35" s="85"/>
      <c r="B35" s="47" t="s">
        <v>29</v>
      </c>
      <c r="C35" s="85"/>
      <c r="D35" s="80">
        <v>5.0</v>
      </c>
      <c r="E35" s="87"/>
      <c r="F35" s="87"/>
      <c r="G35" s="57">
        <f t="shared" si="26"/>
        <v>5</v>
      </c>
      <c r="H35" s="57">
        <f t="shared" ref="H35:BN35" si="27">G35</f>
        <v>5</v>
      </c>
      <c r="I35" s="57">
        <f t="shared" si="27"/>
        <v>5</v>
      </c>
      <c r="J35" s="57">
        <f t="shared" si="27"/>
        <v>5</v>
      </c>
      <c r="K35" s="57">
        <f t="shared" si="27"/>
        <v>5</v>
      </c>
      <c r="L35" s="57">
        <f t="shared" si="27"/>
        <v>5</v>
      </c>
      <c r="M35" s="57">
        <f t="shared" si="27"/>
        <v>5</v>
      </c>
      <c r="N35" s="57">
        <f t="shared" si="27"/>
        <v>5</v>
      </c>
      <c r="O35" s="57">
        <f t="shared" si="27"/>
        <v>5</v>
      </c>
      <c r="P35" s="57">
        <f t="shared" si="27"/>
        <v>5</v>
      </c>
      <c r="Q35" s="57">
        <f t="shared" si="27"/>
        <v>5</v>
      </c>
      <c r="R35" s="57">
        <f t="shared" si="27"/>
        <v>5</v>
      </c>
      <c r="S35" s="57">
        <f t="shared" si="27"/>
        <v>5</v>
      </c>
      <c r="T35" s="57">
        <f t="shared" si="27"/>
        <v>5</v>
      </c>
      <c r="U35" s="57">
        <f t="shared" si="27"/>
        <v>5</v>
      </c>
      <c r="V35" s="57">
        <f t="shared" si="27"/>
        <v>5</v>
      </c>
      <c r="W35" s="57">
        <f t="shared" si="27"/>
        <v>5</v>
      </c>
      <c r="X35" s="57">
        <f t="shared" si="27"/>
        <v>5</v>
      </c>
      <c r="Y35" s="57">
        <f t="shared" si="27"/>
        <v>5</v>
      </c>
      <c r="Z35" s="57">
        <f t="shared" si="27"/>
        <v>5</v>
      </c>
      <c r="AA35" s="57">
        <f t="shared" si="27"/>
        <v>5</v>
      </c>
      <c r="AB35" s="57">
        <f t="shared" si="27"/>
        <v>5</v>
      </c>
      <c r="AC35" s="57">
        <f t="shared" si="27"/>
        <v>5</v>
      </c>
      <c r="AD35" s="57">
        <f t="shared" si="27"/>
        <v>5</v>
      </c>
      <c r="AE35" s="57">
        <f t="shared" si="27"/>
        <v>5</v>
      </c>
      <c r="AF35" s="57">
        <f t="shared" si="27"/>
        <v>5</v>
      </c>
      <c r="AG35" s="57">
        <f t="shared" si="27"/>
        <v>5</v>
      </c>
      <c r="AH35" s="57">
        <f t="shared" si="27"/>
        <v>5</v>
      </c>
      <c r="AI35" s="57">
        <f t="shared" si="27"/>
        <v>5</v>
      </c>
      <c r="AJ35" s="57">
        <f t="shared" si="27"/>
        <v>5</v>
      </c>
      <c r="AK35" s="57">
        <f t="shared" si="27"/>
        <v>5</v>
      </c>
      <c r="AL35" s="57">
        <f t="shared" si="27"/>
        <v>5</v>
      </c>
      <c r="AM35" s="57">
        <f t="shared" si="27"/>
        <v>5</v>
      </c>
      <c r="AN35" s="57">
        <f t="shared" si="27"/>
        <v>5</v>
      </c>
      <c r="AO35" s="57">
        <f t="shared" si="27"/>
        <v>5</v>
      </c>
      <c r="AP35" s="57">
        <f t="shared" si="27"/>
        <v>5</v>
      </c>
      <c r="AQ35" s="57">
        <f t="shared" si="27"/>
        <v>5</v>
      </c>
      <c r="AR35" s="57">
        <f t="shared" si="27"/>
        <v>5</v>
      </c>
      <c r="AS35" s="57">
        <f t="shared" si="27"/>
        <v>5</v>
      </c>
      <c r="AT35" s="57">
        <f t="shared" si="27"/>
        <v>5</v>
      </c>
      <c r="AU35" s="57">
        <f t="shared" si="27"/>
        <v>5</v>
      </c>
      <c r="AV35" s="57">
        <f t="shared" si="27"/>
        <v>5</v>
      </c>
      <c r="AW35" s="57">
        <f t="shared" si="27"/>
        <v>5</v>
      </c>
      <c r="AX35" s="57">
        <f t="shared" si="27"/>
        <v>5</v>
      </c>
      <c r="AY35" s="57">
        <f t="shared" si="27"/>
        <v>5</v>
      </c>
      <c r="AZ35" s="57">
        <f t="shared" si="27"/>
        <v>5</v>
      </c>
      <c r="BA35" s="57">
        <f t="shared" si="27"/>
        <v>5</v>
      </c>
      <c r="BB35" s="57">
        <f t="shared" si="27"/>
        <v>5</v>
      </c>
      <c r="BC35" s="57">
        <f t="shared" si="27"/>
        <v>5</v>
      </c>
      <c r="BD35" s="57">
        <f t="shared" si="27"/>
        <v>5</v>
      </c>
      <c r="BE35" s="57">
        <f t="shared" si="27"/>
        <v>5</v>
      </c>
      <c r="BF35" s="57">
        <f t="shared" si="27"/>
        <v>5</v>
      </c>
      <c r="BG35" s="57">
        <f t="shared" si="27"/>
        <v>5</v>
      </c>
      <c r="BH35" s="57">
        <f t="shared" si="27"/>
        <v>5</v>
      </c>
      <c r="BI35" s="57">
        <f t="shared" si="27"/>
        <v>5</v>
      </c>
      <c r="BJ35" s="57">
        <f t="shared" si="27"/>
        <v>5</v>
      </c>
      <c r="BK35" s="57">
        <f t="shared" si="27"/>
        <v>5</v>
      </c>
      <c r="BL35" s="57">
        <f t="shared" si="27"/>
        <v>5</v>
      </c>
      <c r="BM35" s="57">
        <f t="shared" si="27"/>
        <v>5</v>
      </c>
      <c r="BN35" s="57">
        <f t="shared" si="27"/>
        <v>5</v>
      </c>
    </row>
    <row r="36" outlineLevel="1">
      <c r="A36" s="85"/>
      <c r="B36" s="47" t="s">
        <v>30</v>
      </c>
      <c r="C36" s="85"/>
      <c r="D36" s="80">
        <v>100.0</v>
      </c>
      <c r="E36" s="87"/>
      <c r="F36" s="87"/>
      <c r="G36" s="57">
        <f t="shared" si="26"/>
        <v>100</v>
      </c>
      <c r="H36" s="57">
        <f t="shared" ref="H36:BN36" si="28">G36</f>
        <v>100</v>
      </c>
      <c r="I36" s="57">
        <f t="shared" si="28"/>
        <v>100</v>
      </c>
      <c r="J36" s="57">
        <f t="shared" si="28"/>
        <v>100</v>
      </c>
      <c r="K36" s="57">
        <f t="shared" si="28"/>
        <v>100</v>
      </c>
      <c r="L36" s="57">
        <f t="shared" si="28"/>
        <v>100</v>
      </c>
      <c r="M36" s="57">
        <f t="shared" si="28"/>
        <v>100</v>
      </c>
      <c r="N36" s="57">
        <f t="shared" si="28"/>
        <v>100</v>
      </c>
      <c r="O36" s="57">
        <f t="shared" si="28"/>
        <v>100</v>
      </c>
      <c r="P36" s="57">
        <f t="shared" si="28"/>
        <v>100</v>
      </c>
      <c r="Q36" s="57">
        <f t="shared" si="28"/>
        <v>100</v>
      </c>
      <c r="R36" s="57">
        <f t="shared" si="28"/>
        <v>100</v>
      </c>
      <c r="S36" s="57">
        <f t="shared" si="28"/>
        <v>100</v>
      </c>
      <c r="T36" s="57">
        <f t="shared" si="28"/>
        <v>100</v>
      </c>
      <c r="U36" s="57">
        <f t="shared" si="28"/>
        <v>100</v>
      </c>
      <c r="V36" s="57">
        <f t="shared" si="28"/>
        <v>100</v>
      </c>
      <c r="W36" s="57">
        <f t="shared" si="28"/>
        <v>100</v>
      </c>
      <c r="X36" s="57">
        <f t="shared" si="28"/>
        <v>100</v>
      </c>
      <c r="Y36" s="57">
        <f t="shared" si="28"/>
        <v>100</v>
      </c>
      <c r="Z36" s="57">
        <f t="shared" si="28"/>
        <v>100</v>
      </c>
      <c r="AA36" s="57">
        <f t="shared" si="28"/>
        <v>100</v>
      </c>
      <c r="AB36" s="57">
        <f t="shared" si="28"/>
        <v>100</v>
      </c>
      <c r="AC36" s="57">
        <f t="shared" si="28"/>
        <v>100</v>
      </c>
      <c r="AD36" s="57">
        <f t="shared" si="28"/>
        <v>100</v>
      </c>
      <c r="AE36" s="57">
        <f t="shared" si="28"/>
        <v>100</v>
      </c>
      <c r="AF36" s="57">
        <f t="shared" si="28"/>
        <v>100</v>
      </c>
      <c r="AG36" s="57">
        <f t="shared" si="28"/>
        <v>100</v>
      </c>
      <c r="AH36" s="57">
        <f t="shared" si="28"/>
        <v>100</v>
      </c>
      <c r="AI36" s="57">
        <f t="shared" si="28"/>
        <v>100</v>
      </c>
      <c r="AJ36" s="57">
        <f t="shared" si="28"/>
        <v>100</v>
      </c>
      <c r="AK36" s="57">
        <f t="shared" si="28"/>
        <v>100</v>
      </c>
      <c r="AL36" s="57">
        <f t="shared" si="28"/>
        <v>100</v>
      </c>
      <c r="AM36" s="57">
        <f t="shared" si="28"/>
        <v>100</v>
      </c>
      <c r="AN36" s="57">
        <f t="shared" si="28"/>
        <v>100</v>
      </c>
      <c r="AO36" s="57">
        <f t="shared" si="28"/>
        <v>100</v>
      </c>
      <c r="AP36" s="57">
        <f t="shared" si="28"/>
        <v>100</v>
      </c>
      <c r="AQ36" s="57">
        <f t="shared" si="28"/>
        <v>100</v>
      </c>
      <c r="AR36" s="57">
        <f t="shared" si="28"/>
        <v>100</v>
      </c>
      <c r="AS36" s="57">
        <f t="shared" si="28"/>
        <v>100</v>
      </c>
      <c r="AT36" s="57">
        <f t="shared" si="28"/>
        <v>100</v>
      </c>
      <c r="AU36" s="57">
        <f t="shared" si="28"/>
        <v>100</v>
      </c>
      <c r="AV36" s="57">
        <f t="shared" si="28"/>
        <v>100</v>
      </c>
      <c r="AW36" s="57">
        <f t="shared" si="28"/>
        <v>100</v>
      </c>
      <c r="AX36" s="57">
        <f t="shared" si="28"/>
        <v>100</v>
      </c>
      <c r="AY36" s="57">
        <f t="shared" si="28"/>
        <v>100</v>
      </c>
      <c r="AZ36" s="57">
        <f t="shared" si="28"/>
        <v>100</v>
      </c>
      <c r="BA36" s="57">
        <f t="shared" si="28"/>
        <v>100</v>
      </c>
      <c r="BB36" s="57">
        <f t="shared" si="28"/>
        <v>100</v>
      </c>
      <c r="BC36" s="57">
        <f t="shared" si="28"/>
        <v>100</v>
      </c>
      <c r="BD36" s="57">
        <f t="shared" si="28"/>
        <v>100</v>
      </c>
      <c r="BE36" s="57">
        <f t="shared" si="28"/>
        <v>100</v>
      </c>
      <c r="BF36" s="57">
        <f t="shared" si="28"/>
        <v>100</v>
      </c>
      <c r="BG36" s="57">
        <f t="shared" si="28"/>
        <v>100</v>
      </c>
      <c r="BH36" s="57">
        <f t="shared" si="28"/>
        <v>100</v>
      </c>
      <c r="BI36" s="57">
        <f t="shared" si="28"/>
        <v>100</v>
      </c>
      <c r="BJ36" s="57">
        <f t="shared" si="28"/>
        <v>100</v>
      </c>
      <c r="BK36" s="57">
        <f t="shared" si="28"/>
        <v>100</v>
      </c>
      <c r="BL36" s="57">
        <f t="shared" si="28"/>
        <v>100</v>
      </c>
      <c r="BM36" s="57">
        <f t="shared" si="28"/>
        <v>100</v>
      </c>
      <c r="BN36" s="57">
        <f t="shared" si="28"/>
        <v>100</v>
      </c>
    </row>
    <row r="37" outlineLevel="1">
      <c r="A37" s="85"/>
      <c r="B37" s="59" t="s">
        <v>16</v>
      </c>
      <c r="C37" s="88"/>
      <c r="D37" s="89">
        <v>0.05</v>
      </c>
      <c r="E37" s="90"/>
      <c r="F37" s="90"/>
      <c r="G37" s="62">
        <f t="shared" si="26"/>
        <v>0.05</v>
      </c>
      <c r="H37" s="62">
        <f t="shared" ref="H37:BN37" si="29">G37</f>
        <v>0.05</v>
      </c>
      <c r="I37" s="62">
        <f t="shared" si="29"/>
        <v>0.05</v>
      </c>
      <c r="J37" s="62">
        <f t="shared" si="29"/>
        <v>0.05</v>
      </c>
      <c r="K37" s="62">
        <f t="shared" si="29"/>
        <v>0.05</v>
      </c>
      <c r="L37" s="62">
        <f t="shared" si="29"/>
        <v>0.05</v>
      </c>
      <c r="M37" s="62">
        <f t="shared" si="29"/>
        <v>0.05</v>
      </c>
      <c r="N37" s="62">
        <f t="shared" si="29"/>
        <v>0.05</v>
      </c>
      <c r="O37" s="62">
        <f t="shared" si="29"/>
        <v>0.05</v>
      </c>
      <c r="P37" s="62">
        <f t="shared" si="29"/>
        <v>0.05</v>
      </c>
      <c r="Q37" s="62">
        <f t="shared" si="29"/>
        <v>0.05</v>
      </c>
      <c r="R37" s="62">
        <f t="shared" si="29"/>
        <v>0.05</v>
      </c>
      <c r="S37" s="62">
        <f t="shared" si="29"/>
        <v>0.05</v>
      </c>
      <c r="T37" s="62">
        <f t="shared" si="29"/>
        <v>0.05</v>
      </c>
      <c r="U37" s="62">
        <f t="shared" si="29"/>
        <v>0.05</v>
      </c>
      <c r="V37" s="62">
        <f t="shared" si="29"/>
        <v>0.05</v>
      </c>
      <c r="W37" s="62">
        <f t="shared" si="29"/>
        <v>0.05</v>
      </c>
      <c r="X37" s="62">
        <f t="shared" si="29"/>
        <v>0.05</v>
      </c>
      <c r="Y37" s="62">
        <f t="shared" si="29"/>
        <v>0.05</v>
      </c>
      <c r="Z37" s="62">
        <f t="shared" si="29"/>
        <v>0.05</v>
      </c>
      <c r="AA37" s="62">
        <f t="shared" si="29"/>
        <v>0.05</v>
      </c>
      <c r="AB37" s="62">
        <f t="shared" si="29"/>
        <v>0.05</v>
      </c>
      <c r="AC37" s="62">
        <f t="shared" si="29"/>
        <v>0.05</v>
      </c>
      <c r="AD37" s="62">
        <f t="shared" si="29"/>
        <v>0.05</v>
      </c>
      <c r="AE37" s="62">
        <f t="shared" si="29"/>
        <v>0.05</v>
      </c>
      <c r="AF37" s="62">
        <f t="shared" si="29"/>
        <v>0.05</v>
      </c>
      <c r="AG37" s="62">
        <f t="shared" si="29"/>
        <v>0.05</v>
      </c>
      <c r="AH37" s="62">
        <f t="shared" si="29"/>
        <v>0.05</v>
      </c>
      <c r="AI37" s="62">
        <f t="shared" si="29"/>
        <v>0.05</v>
      </c>
      <c r="AJ37" s="62">
        <f t="shared" si="29"/>
        <v>0.05</v>
      </c>
      <c r="AK37" s="62">
        <f t="shared" si="29"/>
        <v>0.05</v>
      </c>
      <c r="AL37" s="62">
        <f t="shared" si="29"/>
        <v>0.05</v>
      </c>
      <c r="AM37" s="62">
        <f t="shared" si="29"/>
        <v>0.05</v>
      </c>
      <c r="AN37" s="62">
        <f t="shared" si="29"/>
        <v>0.05</v>
      </c>
      <c r="AO37" s="62">
        <f t="shared" si="29"/>
        <v>0.05</v>
      </c>
      <c r="AP37" s="62">
        <f t="shared" si="29"/>
        <v>0.05</v>
      </c>
      <c r="AQ37" s="62">
        <f t="shared" si="29"/>
        <v>0.05</v>
      </c>
      <c r="AR37" s="62">
        <f t="shared" si="29"/>
        <v>0.05</v>
      </c>
      <c r="AS37" s="62">
        <f t="shared" si="29"/>
        <v>0.05</v>
      </c>
      <c r="AT37" s="62">
        <f t="shared" si="29"/>
        <v>0.05</v>
      </c>
      <c r="AU37" s="62">
        <f t="shared" si="29"/>
        <v>0.05</v>
      </c>
      <c r="AV37" s="62">
        <f t="shared" si="29"/>
        <v>0.05</v>
      </c>
      <c r="AW37" s="62">
        <f t="shared" si="29"/>
        <v>0.05</v>
      </c>
      <c r="AX37" s="62">
        <f t="shared" si="29"/>
        <v>0.05</v>
      </c>
      <c r="AY37" s="62">
        <f t="shared" si="29"/>
        <v>0.05</v>
      </c>
      <c r="AZ37" s="62">
        <f t="shared" si="29"/>
        <v>0.05</v>
      </c>
      <c r="BA37" s="62">
        <f t="shared" si="29"/>
        <v>0.05</v>
      </c>
      <c r="BB37" s="62">
        <f t="shared" si="29"/>
        <v>0.05</v>
      </c>
      <c r="BC37" s="62">
        <f t="shared" si="29"/>
        <v>0.05</v>
      </c>
      <c r="BD37" s="62">
        <f t="shared" si="29"/>
        <v>0.05</v>
      </c>
      <c r="BE37" s="62">
        <f t="shared" si="29"/>
        <v>0.05</v>
      </c>
      <c r="BF37" s="62">
        <f t="shared" si="29"/>
        <v>0.05</v>
      </c>
      <c r="BG37" s="62">
        <f t="shared" si="29"/>
        <v>0.05</v>
      </c>
      <c r="BH37" s="62">
        <f t="shared" si="29"/>
        <v>0.05</v>
      </c>
      <c r="BI37" s="62">
        <f t="shared" si="29"/>
        <v>0.05</v>
      </c>
      <c r="BJ37" s="62">
        <f t="shared" si="29"/>
        <v>0.05</v>
      </c>
      <c r="BK37" s="62">
        <f t="shared" si="29"/>
        <v>0.05</v>
      </c>
      <c r="BL37" s="62">
        <f t="shared" si="29"/>
        <v>0.05</v>
      </c>
      <c r="BM37" s="62">
        <f t="shared" si="29"/>
        <v>0.05</v>
      </c>
      <c r="BN37" s="62">
        <f t="shared" si="29"/>
        <v>0.05</v>
      </c>
    </row>
    <row r="38" outlineLevel="1">
      <c r="A38" s="85"/>
      <c r="B38" s="91" t="s">
        <v>17</v>
      </c>
      <c r="C38" s="85"/>
      <c r="D38" s="87"/>
      <c r="E38" s="87"/>
      <c r="F38" s="87"/>
      <c r="G38" s="79">
        <f t="shared" ref="G38:BN38" si="30">G34*G35*G36*G37</f>
        <v>50</v>
      </c>
      <c r="H38" s="79">
        <f t="shared" si="30"/>
        <v>50</v>
      </c>
      <c r="I38" s="79">
        <f t="shared" si="30"/>
        <v>50</v>
      </c>
      <c r="J38" s="79">
        <f t="shared" si="30"/>
        <v>50</v>
      </c>
      <c r="K38" s="79">
        <f t="shared" si="30"/>
        <v>50</v>
      </c>
      <c r="L38" s="79">
        <f t="shared" si="30"/>
        <v>50</v>
      </c>
      <c r="M38" s="79">
        <f t="shared" si="30"/>
        <v>50</v>
      </c>
      <c r="N38" s="79">
        <f t="shared" si="30"/>
        <v>50</v>
      </c>
      <c r="O38" s="79">
        <f t="shared" si="30"/>
        <v>50</v>
      </c>
      <c r="P38" s="79">
        <f t="shared" si="30"/>
        <v>50</v>
      </c>
      <c r="Q38" s="79">
        <f t="shared" si="30"/>
        <v>50</v>
      </c>
      <c r="R38" s="79">
        <f t="shared" si="30"/>
        <v>50</v>
      </c>
      <c r="S38" s="79">
        <f t="shared" si="30"/>
        <v>50</v>
      </c>
      <c r="T38" s="79">
        <f t="shared" si="30"/>
        <v>50</v>
      </c>
      <c r="U38" s="79">
        <f t="shared" si="30"/>
        <v>50</v>
      </c>
      <c r="V38" s="79">
        <f t="shared" si="30"/>
        <v>50</v>
      </c>
      <c r="W38" s="79">
        <f t="shared" si="30"/>
        <v>50</v>
      </c>
      <c r="X38" s="79">
        <f t="shared" si="30"/>
        <v>50</v>
      </c>
      <c r="Y38" s="79">
        <f t="shared" si="30"/>
        <v>50</v>
      </c>
      <c r="Z38" s="79">
        <f t="shared" si="30"/>
        <v>50</v>
      </c>
      <c r="AA38" s="79">
        <f t="shared" si="30"/>
        <v>50</v>
      </c>
      <c r="AB38" s="79">
        <f t="shared" si="30"/>
        <v>50</v>
      </c>
      <c r="AC38" s="79">
        <f t="shared" si="30"/>
        <v>50</v>
      </c>
      <c r="AD38" s="79">
        <f t="shared" si="30"/>
        <v>50</v>
      </c>
      <c r="AE38" s="79">
        <f t="shared" si="30"/>
        <v>50</v>
      </c>
      <c r="AF38" s="79">
        <f t="shared" si="30"/>
        <v>50</v>
      </c>
      <c r="AG38" s="79">
        <f t="shared" si="30"/>
        <v>50</v>
      </c>
      <c r="AH38" s="79">
        <f t="shared" si="30"/>
        <v>50</v>
      </c>
      <c r="AI38" s="79">
        <f t="shared" si="30"/>
        <v>50</v>
      </c>
      <c r="AJ38" s="79">
        <f t="shared" si="30"/>
        <v>50</v>
      </c>
      <c r="AK38" s="79">
        <f t="shared" si="30"/>
        <v>50</v>
      </c>
      <c r="AL38" s="79">
        <f t="shared" si="30"/>
        <v>50</v>
      </c>
      <c r="AM38" s="79">
        <f t="shared" si="30"/>
        <v>50</v>
      </c>
      <c r="AN38" s="79">
        <f t="shared" si="30"/>
        <v>50</v>
      </c>
      <c r="AO38" s="79">
        <f t="shared" si="30"/>
        <v>50</v>
      </c>
      <c r="AP38" s="79">
        <f t="shared" si="30"/>
        <v>50</v>
      </c>
      <c r="AQ38" s="79">
        <f t="shared" si="30"/>
        <v>50</v>
      </c>
      <c r="AR38" s="79">
        <f t="shared" si="30"/>
        <v>50</v>
      </c>
      <c r="AS38" s="79">
        <f t="shared" si="30"/>
        <v>50</v>
      </c>
      <c r="AT38" s="79">
        <f t="shared" si="30"/>
        <v>50</v>
      </c>
      <c r="AU38" s="79">
        <f t="shared" si="30"/>
        <v>50</v>
      </c>
      <c r="AV38" s="79">
        <f t="shared" si="30"/>
        <v>50</v>
      </c>
      <c r="AW38" s="79">
        <f t="shared" si="30"/>
        <v>50</v>
      </c>
      <c r="AX38" s="79">
        <f t="shared" si="30"/>
        <v>50</v>
      </c>
      <c r="AY38" s="79">
        <f t="shared" si="30"/>
        <v>50</v>
      </c>
      <c r="AZ38" s="79">
        <f t="shared" si="30"/>
        <v>50</v>
      </c>
      <c r="BA38" s="79">
        <f t="shared" si="30"/>
        <v>50</v>
      </c>
      <c r="BB38" s="79">
        <f t="shared" si="30"/>
        <v>50</v>
      </c>
      <c r="BC38" s="79">
        <f t="shared" si="30"/>
        <v>50</v>
      </c>
      <c r="BD38" s="79">
        <f t="shared" si="30"/>
        <v>50</v>
      </c>
      <c r="BE38" s="79">
        <f t="shared" si="30"/>
        <v>50</v>
      </c>
      <c r="BF38" s="79">
        <f t="shared" si="30"/>
        <v>50</v>
      </c>
      <c r="BG38" s="79">
        <f t="shared" si="30"/>
        <v>50</v>
      </c>
      <c r="BH38" s="79">
        <f t="shared" si="30"/>
        <v>50</v>
      </c>
      <c r="BI38" s="79">
        <f t="shared" si="30"/>
        <v>50</v>
      </c>
      <c r="BJ38" s="79">
        <f t="shared" si="30"/>
        <v>50</v>
      </c>
      <c r="BK38" s="79">
        <f t="shared" si="30"/>
        <v>50</v>
      </c>
      <c r="BL38" s="79">
        <f t="shared" si="30"/>
        <v>50</v>
      </c>
      <c r="BM38" s="79">
        <f t="shared" si="30"/>
        <v>50</v>
      </c>
      <c r="BN38" s="79">
        <f t="shared" si="30"/>
        <v>50</v>
      </c>
    </row>
    <row r="39" outlineLevel="1">
      <c r="A39" s="47"/>
      <c r="B39" s="66"/>
      <c r="C39" s="47"/>
      <c r="D39" s="47"/>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row>
    <row r="40" outlineLevel="1">
      <c r="A40" s="47"/>
      <c r="B40" s="66" t="s">
        <v>31</v>
      </c>
      <c r="C40" s="47"/>
      <c r="D40" s="47"/>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row>
    <row r="41" outlineLevel="1">
      <c r="A41" s="47"/>
      <c r="B41" s="39" t="s">
        <v>32</v>
      </c>
      <c r="C41" s="47"/>
      <c r="D41" s="47"/>
      <c r="E41" s="56"/>
      <c r="F41" s="56"/>
      <c r="G41" s="57" t="str">
        <f t="shared" ref="G41:BN41" si="31">F71</f>
        <v/>
      </c>
      <c r="H41" s="57">
        <f t="shared" si="31"/>
        <v>378.5</v>
      </c>
      <c r="I41" s="57">
        <f t="shared" si="31"/>
        <v>406.9275</v>
      </c>
      <c r="J41" s="57">
        <f t="shared" si="31"/>
        <v>427.9789125</v>
      </c>
      <c r="K41" s="57">
        <f t="shared" si="31"/>
        <v>450.9821837</v>
      </c>
      <c r="L41" s="57">
        <f t="shared" si="31"/>
        <v>477.2834828</v>
      </c>
      <c r="M41" s="57">
        <f t="shared" si="31"/>
        <v>505.1298772</v>
      </c>
      <c r="N41" s="57">
        <f t="shared" si="31"/>
        <v>504.5475732</v>
      </c>
      <c r="O41" s="57">
        <f t="shared" si="31"/>
        <v>504.5388386</v>
      </c>
      <c r="P41" s="57">
        <f t="shared" si="31"/>
        <v>504.5387076</v>
      </c>
      <c r="Q41" s="57">
        <f t="shared" si="31"/>
        <v>504.5387056</v>
      </c>
      <c r="R41" s="57">
        <f t="shared" si="31"/>
        <v>505.5387056</v>
      </c>
      <c r="S41" s="57">
        <f t="shared" si="31"/>
        <v>505.5537056</v>
      </c>
      <c r="T41" s="57">
        <f t="shared" si="31"/>
        <v>505.5539306</v>
      </c>
      <c r="U41" s="57">
        <f t="shared" si="31"/>
        <v>505.553934</v>
      </c>
      <c r="V41" s="57">
        <f t="shared" si="31"/>
        <v>505.553934</v>
      </c>
      <c r="W41" s="57">
        <f t="shared" si="31"/>
        <v>505.553934</v>
      </c>
      <c r="X41" s="57">
        <f t="shared" si="31"/>
        <v>505.553934</v>
      </c>
      <c r="Y41" s="57">
        <f t="shared" si="31"/>
        <v>505.553934</v>
      </c>
      <c r="Z41" s="57">
        <f t="shared" si="31"/>
        <v>505.553934</v>
      </c>
      <c r="AA41" s="57">
        <f t="shared" si="31"/>
        <v>505.553934</v>
      </c>
      <c r="AB41" s="57">
        <f t="shared" si="31"/>
        <v>505.553934</v>
      </c>
      <c r="AC41" s="57">
        <f t="shared" si="31"/>
        <v>505.553934</v>
      </c>
      <c r="AD41" s="57">
        <f t="shared" si="31"/>
        <v>505.553934</v>
      </c>
      <c r="AE41" s="57">
        <f t="shared" si="31"/>
        <v>505.553934</v>
      </c>
      <c r="AF41" s="57">
        <f t="shared" si="31"/>
        <v>505.553934</v>
      </c>
      <c r="AG41" s="57">
        <f t="shared" si="31"/>
        <v>505.553934</v>
      </c>
      <c r="AH41" s="57">
        <f t="shared" si="31"/>
        <v>505.553934</v>
      </c>
      <c r="AI41" s="57">
        <f t="shared" si="31"/>
        <v>505.553934</v>
      </c>
      <c r="AJ41" s="57">
        <f t="shared" si="31"/>
        <v>505.553934</v>
      </c>
      <c r="AK41" s="57">
        <f t="shared" si="31"/>
        <v>505.553934</v>
      </c>
      <c r="AL41" s="57">
        <f t="shared" si="31"/>
        <v>505.553934</v>
      </c>
      <c r="AM41" s="57">
        <f t="shared" si="31"/>
        <v>505.553934</v>
      </c>
      <c r="AN41" s="57">
        <f t="shared" si="31"/>
        <v>505.553934</v>
      </c>
      <c r="AO41" s="57">
        <f t="shared" si="31"/>
        <v>505.553934</v>
      </c>
      <c r="AP41" s="57">
        <f t="shared" si="31"/>
        <v>505.553934</v>
      </c>
      <c r="AQ41" s="57">
        <f t="shared" si="31"/>
        <v>505.553934</v>
      </c>
      <c r="AR41" s="57">
        <f t="shared" si="31"/>
        <v>505.553934</v>
      </c>
      <c r="AS41" s="57">
        <f t="shared" si="31"/>
        <v>505.553934</v>
      </c>
      <c r="AT41" s="57">
        <f t="shared" si="31"/>
        <v>505.553934</v>
      </c>
      <c r="AU41" s="57">
        <f t="shared" si="31"/>
        <v>505.553934</v>
      </c>
      <c r="AV41" s="57">
        <f t="shared" si="31"/>
        <v>505.553934</v>
      </c>
      <c r="AW41" s="57">
        <f t="shared" si="31"/>
        <v>505.553934</v>
      </c>
      <c r="AX41" s="57">
        <f t="shared" si="31"/>
        <v>505.553934</v>
      </c>
      <c r="AY41" s="57">
        <f t="shared" si="31"/>
        <v>505.553934</v>
      </c>
      <c r="AZ41" s="57">
        <f t="shared" si="31"/>
        <v>505.553934</v>
      </c>
      <c r="BA41" s="57">
        <f t="shared" si="31"/>
        <v>505.553934</v>
      </c>
      <c r="BB41" s="57">
        <f t="shared" si="31"/>
        <v>505.553934</v>
      </c>
      <c r="BC41" s="57">
        <f t="shared" si="31"/>
        <v>505.553934</v>
      </c>
      <c r="BD41" s="57">
        <f t="shared" si="31"/>
        <v>505.553934</v>
      </c>
      <c r="BE41" s="57">
        <f t="shared" si="31"/>
        <v>505.553934</v>
      </c>
      <c r="BF41" s="57">
        <f t="shared" si="31"/>
        <v>505.553934</v>
      </c>
      <c r="BG41" s="57">
        <f t="shared" si="31"/>
        <v>505.553934</v>
      </c>
      <c r="BH41" s="57">
        <f t="shared" si="31"/>
        <v>505.553934</v>
      </c>
      <c r="BI41" s="57">
        <f t="shared" si="31"/>
        <v>505.553934</v>
      </c>
      <c r="BJ41" s="57">
        <f t="shared" si="31"/>
        <v>505.553934</v>
      </c>
      <c r="BK41" s="57">
        <f t="shared" si="31"/>
        <v>505.553934</v>
      </c>
      <c r="BL41" s="57">
        <f t="shared" si="31"/>
        <v>505.553934</v>
      </c>
      <c r="BM41" s="57">
        <f t="shared" si="31"/>
        <v>505.553934</v>
      </c>
      <c r="BN41" s="57">
        <f t="shared" si="31"/>
        <v>505.553934</v>
      </c>
    </row>
    <row r="42" outlineLevel="1">
      <c r="A42" s="47"/>
      <c r="B42" s="39" t="s">
        <v>33</v>
      </c>
      <c r="C42" s="47"/>
      <c r="D42" s="92">
        <v>0.3</v>
      </c>
      <c r="E42" s="64"/>
      <c r="F42" s="64"/>
      <c r="G42" s="93">
        <f t="shared" ref="G42:G43" si="33">D42</f>
        <v>0.3</v>
      </c>
      <c r="H42" s="93">
        <f t="shared" ref="H42:BN42" si="32">G42</f>
        <v>0.3</v>
      </c>
      <c r="I42" s="93">
        <f t="shared" si="32"/>
        <v>0.3</v>
      </c>
      <c r="J42" s="93">
        <f t="shared" si="32"/>
        <v>0.3</v>
      </c>
      <c r="K42" s="93">
        <f t="shared" si="32"/>
        <v>0.3</v>
      </c>
      <c r="L42" s="93">
        <f t="shared" si="32"/>
        <v>0.3</v>
      </c>
      <c r="M42" s="93">
        <f t="shared" si="32"/>
        <v>0.3</v>
      </c>
      <c r="N42" s="93">
        <f t="shared" si="32"/>
        <v>0.3</v>
      </c>
      <c r="O42" s="93">
        <f t="shared" si="32"/>
        <v>0.3</v>
      </c>
      <c r="P42" s="93">
        <f t="shared" si="32"/>
        <v>0.3</v>
      </c>
      <c r="Q42" s="93">
        <f t="shared" si="32"/>
        <v>0.3</v>
      </c>
      <c r="R42" s="93">
        <f t="shared" si="32"/>
        <v>0.3</v>
      </c>
      <c r="S42" s="93">
        <f t="shared" si="32"/>
        <v>0.3</v>
      </c>
      <c r="T42" s="93">
        <f t="shared" si="32"/>
        <v>0.3</v>
      </c>
      <c r="U42" s="93">
        <f t="shared" si="32"/>
        <v>0.3</v>
      </c>
      <c r="V42" s="93">
        <f t="shared" si="32"/>
        <v>0.3</v>
      </c>
      <c r="W42" s="93">
        <f t="shared" si="32"/>
        <v>0.3</v>
      </c>
      <c r="X42" s="93">
        <f t="shared" si="32"/>
        <v>0.3</v>
      </c>
      <c r="Y42" s="93">
        <f t="shared" si="32"/>
        <v>0.3</v>
      </c>
      <c r="Z42" s="93">
        <f t="shared" si="32"/>
        <v>0.3</v>
      </c>
      <c r="AA42" s="93">
        <f t="shared" si="32"/>
        <v>0.3</v>
      </c>
      <c r="AB42" s="93">
        <f t="shared" si="32"/>
        <v>0.3</v>
      </c>
      <c r="AC42" s="93">
        <f t="shared" si="32"/>
        <v>0.3</v>
      </c>
      <c r="AD42" s="93">
        <f t="shared" si="32"/>
        <v>0.3</v>
      </c>
      <c r="AE42" s="93">
        <f t="shared" si="32"/>
        <v>0.3</v>
      </c>
      <c r="AF42" s="93">
        <f t="shared" si="32"/>
        <v>0.3</v>
      </c>
      <c r="AG42" s="93">
        <f t="shared" si="32"/>
        <v>0.3</v>
      </c>
      <c r="AH42" s="93">
        <f t="shared" si="32"/>
        <v>0.3</v>
      </c>
      <c r="AI42" s="93">
        <f t="shared" si="32"/>
        <v>0.3</v>
      </c>
      <c r="AJ42" s="93">
        <f t="shared" si="32"/>
        <v>0.3</v>
      </c>
      <c r="AK42" s="93">
        <f t="shared" si="32"/>
        <v>0.3</v>
      </c>
      <c r="AL42" s="93">
        <f t="shared" si="32"/>
        <v>0.3</v>
      </c>
      <c r="AM42" s="93">
        <f t="shared" si="32"/>
        <v>0.3</v>
      </c>
      <c r="AN42" s="93">
        <f t="shared" si="32"/>
        <v>0.3</v>
      </c>
      <c r="AO42" s="93">
        <f t="shared" si="32"/>
        <v>0.3</v>
      </c>
      <c r="AP42" s="93">
        <f t="shared" si="32"/>
        <v>0.3</v>
      </c>
      <c r="AQ42" s="93">
        <f t="shared" si="32"/>
        <v>0.3</v>
      </c>
      <c r="AR42" s="93">
        <f t="shared" si="32"/>
        <v>0.3</v>
      </c>
      <c r="AS42" s="93">
        <f t="shared" si="32"/>
        <v>0.3</v>
      </c>
      <c r="AT42" s="93">
        <f t="shared" si="32"/>
        <v>0.3</v>
      </c>
      <c r="AU42" s="93">
        <f t="shared" si="32"/>
        <v>0.3</v>
      </c>
      <c r="AV42" s="93">
        <f t="shared" si="32"/>
        <v>0.3</v>
      </c>
      <c r="AW42" s="93">
        <f t="shared" si="32"/>
        <v>0.3</v>
      </c>
      <c r="AX42" s="93">
        <f t="shared" si="32"/>
        <v>0.3</v>
      </c>
      <c r="AY42" s="93">
        <f t="shared" si="32"/>
        <v>0.3</v>
      </c>
      <c r="AZ42" s="93">
        <f t="shared" si="32"/>
        <v>0.3</v>
      </c>
      <c r="BA42" s="93">
        <f t="shared" si="32"/>
        <v>0.3</v>
      </c>
      <c r="BB42" s="93">
        <f t="shared" si="32"/>
        <v>0.3</v>
      </c>
      <c r="BC42" s="93">
        <f t="shared" si="32"/>
        <v>0.3</v>
      </c>
      <c r="BD42" s="93">
        <f t="shared" si="32"/>
        <v>0.3</v>
      </c>
      <c r="BE42" s="93">
        <f t="shared" si="32"/>
        <v>0.3</v>
      </c>
      <c r="BF42" s="93">
        <f t="shared" si="32"/>
        <v>0.3</v>
      </c>
      <c r="BG42" s="93">
        <f t="shared" si="32"/>
        <v>0.3</v>
      </c>
      <c r="BH42" s="93">
        <f t="shared" si="32"/>
        <v>0.3</v>
      </c>
      <c r="BI42" s="93">
        <f t="shared" si="32"/>
        <v>0.3</v>
      </c>
      <c r="BJ42" s="93">
        <f t="shared" si="32"/>
        <v>0.3</v>
      </c>
      <c r="BK42" s="93">
        <f t="shared" si="32"/>
        <v>0.3</v>
      </c>
      <c r="BL42" s="93">
        <f t="shared" si="32"/>
        <v>0.3</v>
      </c>
      <c r="BM42" s="93">
        <f t="shared" si="32"/>
        <v>0.3</v>
      </c>
      <c r="BN42" s="93">
        <f t="shared" si="32"/>
        <v>0.3</v>
      </c>
    </row>
    <row r="43" outlineLevel="1">
      <c r="A43" s="47"/>
      <c r="B43" s="74" t="s">
        <v>16</v>
      </c>
      <c r="C43" s="59"/>
      <c r="D43" s="75">
        <v>0.05</v>
      </c>
      <c r="E43" s="90"/>
      <c r="F43" s="90"/>
      <c r="G43" s="62">
        <f t="shared" si="33"/>
        <v>0.05</v>
      </c>
      <c r="H43" s="62">
        <f t="shared" ref="H43:BN43" si="34">G43</f>
        <v>0.05</v>
      </c>
      <c r="I43" s="62">
        <f t="shared" si="34"/>
        <v>0.05</v>
      </c>
      <c r="J43" s="62">
        <f t="shared" si="34"/>
        <v>0.05</v>
      </c>
      <c r="K43" s="62">
        <f t="shared" si="34"/>
        <v>0.05</v>
      </c>
      <c r="L43" s="62">
        <f t="shared" si="34"/>
        <v>0.05</v>
      </c>
      <c r="M43" s="62">
        <f t="shared" si="34"/>
        <v>0.05</v>
      </c>
      <c r="N43" s="62">
        <f t="shared" si="34"/>
        <v>0.05</v>
      </c>
      <c r="O43" s="62">
        <f t="shared" si="34"/>
        <v>0.05</v>
      </c>
      <c r="P43" s="62">
        <f t="shared" si="34"/>
        <v>0.05</v>
      </c>
      <c r="Q43" s="62">
        <f t="shared" si="34"/>
        <v>0.05</v>
      </c>
      <c r="R43" s="62">
        <f t="shared" si="34"/>
        <v>0.05</v>
      </c>
      <c r="S43" s="62">
        <f t="shared" si="34"/>
        <v>0.05</v>
      </c>
      <c r="T43" s="62">
        <f t="shared" si="34"/>
        <v>0.05</v>
      </c>
      <c r="U43" s="62">
        <f t="shared" si="34"/>
        <v>0.05</v>
      </c>
      <c r="V43" s="62">
        <f t="shared" si="34"/>
        <v>0.05</v>
      </c>
      <c r="W43" s="62">
        <f t="shared" si="34"/>
        <v>0.05</v>
      </c>
      <c r="X43" s="62">
        <f t="shared" si="34"/>
        <v>0.05</v>
      </c>
      <c r="Y43" s="62">
        <f t="shared" si="34"/>
        <v>0.05</v>
      </c>
      <c r="Z43" s="62">
        <f t="shared" si="34"/>
        <v>0.05</v>
      </c>
      <c r="AA43" s="62">
        <f t="shared" si="34"/>
        <v>0.05</v>
      </c>
      <c r="AB43" s="62">
        <f t="shared" si="34"/>
        <v>0.05</v>
      </c>
      <c r="AC43" s="62">
        <f t="shared" si="34"/>
        <v>0.05</v>
      </c>
      <c r="AD43" s="62">
        <f t="shared" si="34"/>
        <v>0.05</v>
      </c>
      <c r="AE43" s="62">
        <f t="shared" si="34"/>
        <v>0.05</v>
      </c>
      <c r="AF43" s="62">
        <f t="shared" si="34"/>
        <v>0.05</v>
      </c>
      <c r="AG43" s="62">
        <f t="shared" si="34"/>
        <v>0.05</v>
      </c>
      <c r="AH43" s="62">
        <f t="shared" si="34"/>
        <v>0.05</v>
      </c>
      <c r="AI43" s="62">
        <f t="shared" si="34"/>
        <v>0.05</v>
      </c>
      <c r="AJ43" s="62">
        <f t="shared" si="34"/>
        <v>0.05</v>
      </c>
      <c r="AK43" s="62">
        <f t="shared" si="34"/>
        <v>0.05</v>
      </c>
      <c r="AL43" s="62">
        <f t="shared" si="34"/>
        <v>0.05</v>
      </c>
      <c r="AM43" s="62">
        <f t="shared" si="34"/>
        <v>0.05</v>
      </c>
      <c r="AN43" s="62">
        <f t="shared" si="34"/>
        <v>0.05</v>
      </c>
      <c r="AO43" s="62">
        <f t="shared" si="34"/>
        <v>0.05</v>
      </c>
      <c r="AP43" s="62">
        <f t="shared" si="34"/>
        <v>0.05</v>
      </c>
      <c r="AQ43" s="62">
        <f t="shared" si="34"/>
        <v>0.05</v>
      </c>
      <c r="AR43" s="62">
        <f t="shared" si="34"/>
        <v>0.05</v>
      </c>
      <c r="AS43" s="62">
        <f t="shared" si="34"/>
        <v>0.05</v>
      </c>
      <c r="AT43" s="62">
        <f t="shared" si="34"/>
        <v>0.05</v>
      </c>
      <c r="AU43" s="62">
        <f t="shared" si="34"/>
        <v>0.05</v>
      </c>
      <c r="AV43" s="62">
        <f t="shared" si="34"/>
        <v>0.05</v>
      </c>
      <c r="AW43" s="62">
        <f t="shared" si="34"/>
        <v>0.05</v>
      </c>
      <c r="AX43" s="62">
        <f t="shared" si="34"/>
        <v>0.05</v>
      </c>
      <c r="AY43" s="62">
        <f t="shared" si="34"/>
        <v>0.05</v>
      </c>
      <c r="AZ43" s="62">
        <f t="shared" si="34"/>
        <v>0.05</v>
      </c>
      <c r="BA43" s="62">
        <f t="shared" si="34"/>
        <v>0.05</v>
      </c>
      <c r="BB43" s="62">
        <f t="shared" si="34"/>
        <v>0.05</v>
      </c>
      <c r="BC43" s="62">
        <f t="shared" si="34"/>
        <v>0.05</v>
      </c>
      <c r="BD43" s="62">
        <f t="shared" si="34"/>
        <v>0.05</v>
      </c>
      <c r="BE43" s="62">
        <f t="shared" si="34"/>
        <v>0.05</v>
      </c>
      <c r="BF43" s="62">
        <f t="shared" si="34"/>
        <v>0.05</v>
      </c>
      <c r="BG43" s="62">
        <f t="shared" si="34"/>
        <v>0.05</v>
      </c>
      <c r="BH43" s="62">
        <f t="shared" si="34"/>
        <v>0.05</v>
      </c>
      <c r="BI43" s="62">
        <f t="shared" si="34"/>
        <v>0.05</v>
      </c>
      <c r="BJ43" s="62">
        <f t="shared" si="34"/>
        <v>0.05</v>
      </c>
      <c r="BK43" s="62">
        <f t="shared" si="34"/>
        <v>0.05</v>
      </c>
      <c r="BL43" s="62">
        <f t="shared" si="34"/>
        <v>0.05</v>
      </c>
      <c r="BM43" s="62">
        <f t="shared" si="34"/>
        <v>0.05</v>
      </c>
      <c r="BN43" s="62">
        <f t="shared" si="34"/>
        <v>0.05</v>
      </c>
    </row>
    <row r="44" outlineLevel="1">
      <c r="A44" s="47"/>
      <c r="B44" s="76" t="s">
        <v>17</v>
      </c>
      <c r="C44" s="47"/>
      <c r="D44" s="63"/>
      <c r="E44" s="64"/>
      <c r="F44" s="64"/>
      <c r="G44" s="65">
        <f t="shared" ref="G44:BN44" si="35">G41*G42*G43</f>
        <v>0</v>
      </c>
      <c r="H44" s="65">
        <f t="shared" si="35"/>
        <v>5.6775</v>
      </c>
      <c r="I44" s="65">
        <f t="shared" si="35"/>
        <v>6.1039125</v>
      </c>
      <c r="J44" s="65">
        <f t="shared" si="35"/>
        <v>6.419683688</v>
      </c>
      <c r="K44" s="65">
        <f t="shared" si="35"/>
        <v>6.764732755</v>
      </c>
      <c r="L44" s="65">
        <f t="shared" si="35"/>
        <v>7.159252241</v>
      </c>
      <c r="M44" s="65">
        <f t="shared" si="35"/>
        <v>7.576948159</v>
      </c>
      <c r="N44" s="65">
        <f t="shared" si="35"/>
        <v>7.568213597</v>
      </c>
      <c r="O44" s="65">
        <f t="shared" si="35"/>
        <v>7.568082579</v>
      </c>
      <c r="P44" s="65">
        <f t="shared" si="35"/>
        <v>7.568080614</v>
      </c>
      <c r="Q44" s="65">
        <f t="shared" si="35"/>
        <v>7.568080584</v>
      </c>
      <c r="R44" s="65">
        <f t="shared" si="35"/>
        <v>7.583080584</v>
      </c>
      <c r="S44" s="65">
        <f t="shared" si="35"/>
        <v>7.583305584</v>
      </c>
      <c r="T44" s="65">
        <f t="shared" si="35"/>
        <v>7.583308959</v>
      </c>
      <c r="U44" s="65">
        <f t="shared" si="35"/>
        <v>7.583309009</v>
      </c>
      <c r="V44" s="65">
        <f t="shared" si="35"/>
        <v>7.58330901</v>
      </c>
      <c r="W44" s="65">
        <f t="shared" si="35"/>
        <v>7.58330901</v>
      </c>
      <c r="X44" s="65">
        <f t="shared" si="35"/>
        <v>7.58330901</v>
      </c>
      <c r="Y44" s="65">
        <f t="shared" si="35"/>
        <v>7.58330901</v>
      </c>
      <c r="Z44" s="65">
        <f t="shared" si="35"/>
        <v>7.58330901</v>
      </c>
      <c r="AA44" s="65">
        <f t="shared" si="35"/>
        <v>7.58330901</v>
      </c>
      <c r="AB44" s="65">
        <f t="shared" si="35"/>
        <v>7.58330901</v>
      </c>
      <c r="AC44" s="65">
        <f t="shared" si="35"/>
        <v>7.58330901</v>
      </c>
      <c r="AD44" s="65">
        <f t="shared" si="35"/>
        <v>7.58330901</v>
      </c>
      <c r="AE44" s="65">
        <f t="shared" si="35"/>
        <v>7.58330901</v>
      </c>
      <c r="AF44" s="65">
        <f t="shared" si="35"/>
        <v>7.58330901</v>
      </c>
      <c r="AG44" s="65">
        <f t="shared" si="35"/>
        <v>7.58330901</v>
      </c>
      <c r="AH44" s="65">
        <f t="shared" si="35"/>
        <v>7.58330901</v>
      </c>
      <c r="AI44" s="65">
        <f t="shared" si="35"/>
        <v>7.58330901</v>
      </c>
      <c r="AJ44" s="65">
        <f t="shared" si="35"/>
        <v>7.58330901</v>
      </c>
      <c r="AK44" s="65">
        <f t="shared" si="35"/>
        <v>7.58330901</v>
      </c>
      <c r="AL44" s="65">
        <f t="shared" si="35"/>
        <v>7.58330901</v>
      </c>
      <c r="AM44" s="65">
        <f t="shared" si="35"/>
        <v>7.58330901</v>
      </c>
      <c r="AN44" s="65">
        <f t="shared" si="35"/>
        <v>7.58330901</v>
      </c>
      <c r="AO44" s="65">
        <f t="shared" si="35"/>
        <v>7.58330901</v>
      </c>
      <c r="AP44" s="65">
        <f t="shared" si="35"/>
        <v>7.58330901</v>
      </c>
      <c r="AQ44" s="65">
        <f t="shared" si="35"/>
        <v>7.58330901</v>
      </c>
      <c r="AR44" s="65">
        <f t="shared" si="35"/>
        <v>7.58330901</v>
      </c>
      <c r="AS44" s="65">
        <f t="shared" si="35"/>
        <v>7.58330901</v>
      </c>
      <c r="AT44" s="65">
        <f t="shared" si="35"/>
        <v>7.58330901</v>
      </c>
      <c r="AU44" s="65">
        <f t="shared" si="35"/>
        <v>7.58330901</v>
      </c>
      <c r="AV44" s="65">
        <f t="shared" si="35"/>
        <v>7.58330901</v>
      </c>
      <c r="AW44" s="65">
        <f t="shared" si="35"/>
        <v>7.58330901</v>
      </c>
      <c r="AX44" s="65">
        <f t="shared" si="35"/>
        <v>7.58330901</v>
      </c>
      <c r="AY44" s="65">
        <f t="shared" si="35"/>
        <v>7.58330901</v>
      </c>
      <c r="AZ44" s="65">
        <f t="shared" si="35"/>
        <v>7.58330901</v>
      </c>
      <c r="BA44" s="65">
        <f t="shared" si="35"/>
        <v>7.58330901</v>
      </c>
      <c r="BB44" s="65">
        <f t="shared" si="35"/>
        <v>7.58330901</v>
      </c>
      <c r="BC44" s="65">
        <f t="shared" si="35"/>
        <v>7.58330901</v>
      </c>
      <c r="BD44" s="65">
        <f t="shared" si="35"/>
        <v>7.58330901</v>
      </c>
      <c r="BE44" s="65">
        <f t="shared" si="35"/>
        <v>7.58330901</v>
      </c>
      <c r="BF44" s="65">
        <f t="shared" si="35"/>
        <v>7.58330901</v>
      </c>
      <c r="BG44" s="65">
        <f t="shared" si="35"/>
        <v>7.58330901</v>
      </c>
      <c r="BH44" s="65">
        <f t="shared" si="35"/>
        <v>7.58330901</v>
      </c>
      <c r="BI44" s="65">
        <f t="shared" si="35"/>
        <v>7.58330901</v>
      </c>
      <c r="BJ44" s="65">
        <f t="shared" si="35"/>
        <v>7.58330901</v>
      </c>
      <c r="BK44" s="65">
        <f t="shared" si="35"/>
        <v>7.58330901</v>
      </c>
      <c r="BL44" s="65">
        <f t="shared" si="35"/>
        <v>7.58330901</v>
      </c>
      <c r="BM44" s="65">
        <f t="shared" si="35"/>
        <v>7.58330901</v>
      </c>
      <c r="BN44" s="65">
        <f t="shared" si="35"/>
        <v>7.58330901</v>
      </c>
    </row>
    <row r="45" outlineLevel="1">
      <c r="A45" s="47"/>
      <c r="B45" s="66"/>
      <c r="C45" s="47"/>
      <c r="D45" s="47"/>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row>
    <row r="46" outlineLevel="1">
      <c r="A46" s="47"/>
      <c r="B46" s="66" t="s">
        <v>34</v>
      </c>
      <c r="C46" s="47"/>
      <c r="D46" s="47"/>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row>
    <row r="47" outlineLevel="1">
      <c r="A47" s="47"/>
      <c r="B47" s="39" t="s">
        <v>35</v>
      </c>
      <c r="C47" s="47"/>
      <c r="D47" s="80">
        <v>2.0</v>
      </c>
      <c r="E47" s="56"/>
      <c r="F47" s="56"/>
      <c r="G47" s="57">
        <f t="shared" ref="G47:G49" si="37">D47</f>
        <v>2</v>
      </c>
      <c r="H47" s="57">
        <f t="shared" ref="H47:BN47" si="36">G47</f>
        <v>2</v>
      </c>
      <c r="I47" s="57">
        <f t="shared" si="36"/>
        <v>2</v>
      </c>
      <c r="J47" s="57">
        <f t="shared" si="36"/>
        <v>2</v>
      </c>
      <c r="K47" s="57">
        <f t="shared" si="36"/>
        <v>2</v>
      </c>
      <c r="L47" s="57">
        <f t="shared" si="36"/>
        <v>2</v>
      </c>
      <c r="M47" s="57">
        <f t="shared" si="36"/>
        <v>2</v>
      </c>
      <c r="N47" s="57">
        <f t="shared" si="36"/>
        <v>2</v>
      </c>
      <c r="O47" s="57">
        <f t="shared" si="36"/>
        <v>2</v>
      </c>
      <c r="P47" s="57">
        <f t="shared" si="36"/>
        <v>2</v>
      </c>
      <c r="Q47" s="57">
        <f t="shared" si="36"/>
        <v>2</v>
      </c>
      <c r="R47" s="57">
        <f t="shared" si="36"/>
        <v>2</v>
      </c>
      <c r="S47" s="57">
        <f t="shared" si="36"/>
        <v>2</v>
      </c>
      <c r="T47" s="57">
        <f t="shared" si="36"/>
        <v>2</v>
      </c>
      <c r="U47" s="57">
        <f t="shared" si="36"/>
        <v>2</v>
      </c>
      <c r="V47" s="57">
        <f t="shared" si="36"/>
        <v>2</v>
      </c>
      <c r="W47" s="57">
        <f t="shared" si="36"/>
        <v>2</v>
      </c>
      <c r="X47" s="57">
        <f t="shared" si="36"/>
        <v>2</v>
      </c>
      <c r="Y47" s="57">
        <f t="shared" si="36"/>
        <v>2</v>
      </c>
      <c r="Z47" s="57">
        <f t="shared" si="36"/>
        <v>2</v>
      </c>
      <c r="AA47" s="57">
        <f t="shared" si="36"/>
        <v>2</v>
      </c>
      <c r="AB47" s="57">
        <f t="shared" si="36"/>
        <v>2</v>
      </c>
      <c r="AC47" s="57">
        <f t="shared" si="36"/>
        <v>2</v>
      </c>
      <c r="AD47" s="57">
        <f t="shared" si="36"/>
        <v>2</v>
      </c>
      <c r="AE47" s="57">
        <f t="shared" si="36"/>
        <v>2</v>
      </c>
      <c r="AF47" s="57">
        <f t="shared" si="36"/>
        <v>2</v>
      </c>
      <c r="AG47" s="57">
        <f t="shared" si="36"/>
        <v>2</v>
      </c>
      <c r="AH47" s="57">
        <f t="shared" si="36"/>
        <v>2</v>
      </c>
      <c r="AI47" s="57">
        <f t="shared" si="36"/>
        <v>2</v>
      </c>
      <c r="AJ47" s="57">
        <f t="shared" si="36"/>
        <v>2</v>
      </c>
      <c r="AK47" s="57">
        <f t="shared" si="36"/>
        <v>2</v>
      </c>
      <c r="AL47" s="57">
        <f t="shared" si="36"/>
        <v>2</v>
      </c>
      <c r="AM47" s="57">
        <f t="shared" si="36"/>
        <v>2</v>
      </c>
      <c r="AN47" s="57">
        <f t="shared" si="36"/>
        <v>2</v>
      </c>
      <c r="AO47" s="57">
        <f t="shared" si="36"/>
        <v>2</v>
      </c>
      <c r="AP47" s="57">
        <f t="shared" si="36"/>
        <v>2</v>
      </c>
      <c r="AQ47" s="57">
        <f t="shared" si="36"/>
        <v>2</v>
      </c>
      <c r="AR47" s="57">
        <f t="shared" si="36"/>
        <v>2</v>
      </c>
      <c r="AS47" s="57">
        <f t="shared" si="36"/>
        <v>2</v>
      </c>
      <c r="AT47" s="57">
        <f t="shared" si="36"/>
        <v>2</v>
      </c>
      <c r="AU47" s="57">
        <f t="shared" si="36"/>
        <v>2</v>
      </c>
      <c r="AV47" s="57">
        <f t="shared" si="36"/>
        <v>2</v>
      </c>
      <c r="AW47" s="57">
        <f t="shared" si="36"/>
        <v>2</v>
      </c>
      <c r="AX47" s="57">
        <f t="shared" si="36"/>
        <v>2</v>
      </c>
      <c r="AY47" s="57">
        <f t="shared" si="36"/>
        <v>2</v>
      </c>
      <c r="AZ47" s="57">
        <f t="shared" si="36"/>
        <v>2</v>
      </c>
      <c r="BA47" s="57">
        <f t="shared" si="36"/>
        <v>2</v>
      </c>
      <c r="BB47" s="57">
        <f t="shared" si="36"/>
        <v>2</v>
      </c>
      <c r="BC47" s="57">
        <f t="shared" si="36"/>
        <v>2</v>
      </c>
      <c r="BD47" s="57">
        <f t="shared" si="36"/>
        <v>2</v>
      </c>
      <c r="BE47" s="57">
        <f t="shared" si="36"/>
        <v>2</v>
      </c>
      <c r="BF47" s="57">
        <f t="shared" si="36"/>
        <v>2</v>
      </c>
      <c r="BG47" s="57">
        <f t="shared" si="36"/>
        <v>2</v>
      </c>
      <c r="BH47" s="57">
        <f t="shared" si="36"/>
        <v>2</v>
      </c>
      <c r="BI47" s="57">
        <f t="shared" si="36"/>
        <v>2</v>
      </c>
      <c r="BJ47" s="57">
        <f t="shared" si="36"/>
        <v>2</v>
      </c>
      <c r="BK47" s="57">
        <f t="shared" si="36"/>
        <v>2</v>
      </c>
      <c r="BL47" s="57">
        <f t="shared" si="36"/>
        <v>2</v>
      </c>
      <c r="BM47" s="57">
        <f t="shared" si="36"/>
        <v>2</v>
      </c>
      <c r="BN47" s="57">
        <f t="shared" si="36"/>
        <v>2</v>
      </c>
    </row>
    <row r="48" outlineLevel="1">
      <c r="A48" s="47"/>
      <c r="B48" s="39" t="s">
        <v>36</v>
      </c>
      <c r="C48" s="47"/>
      <c r="D48" s="80">
        <v>100.0</v>
      </c>
      <c r="E48" s="64"/>
      <c r="F48" s="64"/>
      <c r="G48" s="82">
        <f t="shared" si="37"/>
        <v>100</v>
      </c>
      <c r="H48" s="82">
        <f t="shared" ref="H48:BN48" si="38">G48</f>
        <v>100</v>
      </c>
      <c r="I48" s="82">
        <f t="shared" si="38"/>
        <v>100</v>
      </c>
      <c r="J48" s="82">
        <f t="shared" si="38"/>
        <v>100</v>
      </c>
      <c r="K48" s="82">
        <f t="shared" si="38"/>
        <v>100</v>
      </c>
      <c r="L48" s="82">
        <f t="shared" si="38"/>
        <v>100</v>
      </c>
      <c r="M48" s="82">
        <f t="shared" si="38"/>
        <v>100</v>
      </c>
      <c r="N48" s="82">
        <f t="shared" si="38"/>
        <v>100</v>
      </c>
      <c r="O48" s="82">
        <f t="shared" si="38"/>
        <v>100</v>
      </c>
      <c r="P48" s="82">
        <f t="shared" si="38"/>
        <v>100</v>
      </c>
      <c r="Q48" s="82">
        <f t="shared" si="38"/>
        <v>100</v>
      </c>
      <c r="R48" s="82">
        <f t="shared" si="38"/>
        <v>100</v>
      </c>
      <c r="S48" s="82">
        <f t="shared" si="38"/>
        <v>100</v>
      </c>
      <c r="T48" s="82">
        <f t="shared" si="38"/>
        <v>100</v>
      </c>
      <c r="U48" s="82">
        <f t="shared" si="38"/>
        <v>100</v>
      </c>
      <c r="V48" s="82">
        <f t="shared" si="38"/>
        <v>100</v>
      </c>
      <c r="W48" s="82">
        <f t="shared" si="38"/>
        <v>100</v>
      </c>
      <c r="X48" s="82">
        <f t="shared" si="38"/>
        <v>100</v>
      </c>
      <c r="Y48" s="82">
        <f t="shared" si="38"/>
        <v>100</v>
      </c>
      <c r="Z48" s="82">
        <f t="shared" si="38"/>
        <v>100</v>
      </c>
      <c r="AA48" s="82">
        <f t="shared" si="38"/>
        <v>100</v>
      </c>
      <c r="AB48" s="82">
        <f t="shared" si="38"/>
        <v>100</v>
      </c>
      <c r="AC48" s="82">
        <f t="shared" si="38"/>
        <v>100</v>
      </c>
      <c r="AD48" s="82">
        <f t="shared" si="38"/>
        <v>100</v>
      </c>
      <c r="AE48" s="82">
        <f t="shared" si="38"/>
        <v>100</v>
      </c>
      <c r="AF48" s="82">
        <f t="shared" si="38"/>
        <v>100</v>
      </c>
      <c r="AG48" s="82">
        <f t="shared" si="38"/>
        <v>100</v>
      </c>
      <c r="AH48" s="82">
        <f t="shared" si="38"/>
        <v>100</v>
      </c>
      <c r="AI48" s="82">
        <f t="shared" si="38"/>
        <v>100</v>
      </c>
      <c r="AJ48" s="82">
        <f t="shared" si="38"/>
        <v>100</v>
      </c>
      <c r="AK48" s="82">
        <f t="shared" si="38"/>
        <v>100</v>
      </c>
      <c r="AL48" s="82">
        <f t="shared" si="38"/>
        <v>100</v>
      </c>
      <c r="AM48" s="82">
        <f t="shared" si="38"/>
        <v>100</v>
      </c>
      <c r="AN48" s="82">
        <f t="shared" si="38"/>
        <v>100</v>
      </c>
      <c r="AO48" s="82">
        <f t="shared" si="38"/>
        <v>100</v>
      </c>
      <c r="AP48" s="82">
        <f t="shared" si="38"/>
        <v>100</v>
      </c>
      <c r="AQ48" s="82">
        <f t="shared" si="38"/>
        <v>100</v>
      </c>
      <c r="AR48" s="82">
        <f t="shared" si="38"/>
        <v>100</v>
      </c>
      <c r="AS48" s="82">
        <f t="shared" si="38"/>
        <v>100</v>
      </c>
      <c r="AT48" s="82">
        <f t="shared" si="38"/>
        <v>100</v>
      </c>
      <c r="AU48" s="82">
        <f t="shared" si="38"/>
        <v>100</v>
      </c>
      <c r="AV48" s="82">
        <f t="shared" si="38"/>
        <v>100</v>
      </c>
      <c r="AW48" s="82">
        <f t="shared" si="38"/>
        <v>100</v>
      </c>
      <c r="AX48" s="82">
        <f t="shared" si="38"/>
        <v>100</v>
      </c>
      <c r="AY48" s="82">
        <f t="shared" si="38"/>
        <v>100</v>
      </c>
      <c r="AZ48" s="82">
        <f t="shared" si="38"/>
        <v>100</v>
      </c>
      <c r="BA48" s="82">
        <f t="shared" si="38"/>
        <v>100</v>
      </c>
      <c r="BB48" s="82">
        <f t="shared" si="38"/>
        <v>100</v>
      </c>
      <c r="BC48" s="82">
        <f t="shared" si="38"/>
        <v>100</v>
      </c>
      <c r="BD48" s="82">
        <f t="shared" si="38"/>
        <v>100</v>
      </c>
      <c r="BE48" s="82">
        <f t="shared" si="38"/>
        <v>100</v>
      </c>
      <c r="BF48" s="82">
        <f t="shared" si="38"/>
        <v>100</v>
      </c>
      <c r="BG48" s="82">
        <f t="shared" si="38"/>
        <v>100</v>
      </c>
      <c r="BH48" s="82">
        <f t="shared" si="38"/>
        <v>100</v>
      </c>
      <c r="BI48" s="82">
        <f t="shared" si="38"/>
        <v>100</v>
      </c>
      <c r="BJ48" s="82">
        <f t="shared" si="38"/>
        <v>100</v>
      </c>
      <c r="BK48" s="82">
        <f t="shared" si="38"/>
        <v>100</v>
      </c>
      <c r="BL48" s="82">
        <f t="shared" si="38"/>
        <v>100</v>
      </c>
      <c r="BM48" s="82">
        <f t="shared" si="38"/>
        <v>100</v>
      </c>
      <c r="BN48" s="82">
        <f t="shared" si="38"/>
        <v>100</v>
      </c>
    </row>
    <row r="49" outlineLevel="1">
      <c r="A49" s="47"/>
      <c r="B49" s="74" t="s">
        <v>16</v>
      </c>
      <c r="C49" s="59"/>
      <c r="D49" s="75">
        <v>0.05</v>
      </c>
      <c r="E49" s="90"/>
      <c r="F49" s="90"/>
      <c r="G49" s="62">
        <f t="shared" si="37"/>
        <v>0.05</v>
      </c>
      <c r="H49" s="62">
        <f t="shared" ref="H49:BN49" si="39">G49</f>
        <v>0.05</v>
      </c>
      <c r="I49" s="62">
        <f t="shared" si="39"/>
        <v>0.05</v>
      </c>
      <c r="J49" s="62">
        <f t="shared" si="39"/>
        <v>0.05</v>
      </c>
      <c r="K49" s="62">
        <f t="shared" si="39"/>
        <v>0.05</v>
      </c>
      <c r="L49" s="62">
        <f t="shared" si="39"/>
        <v>0.05</v>
      </c>
      <c r="M49" s="62">
        <f t="shared" si="39"/>
        <v>0.05</v>
      </c>
      <c r="N49" s="62">
        <f t="shared" si="39"/>
        <v>0.05</v>
      </c>
      <c r="O49" s="62">
        <f t="shared" si="39"/>
        <v>0.05</v>
      </c>
      <c r="P49" s="62">
        <f t="shared" si="39"/>
        <v>0.05</v>
      </c>
      <c r="Q49" s="62">
        <f t="shared" si="39"/>
        <v>0.05</v>
      </c>
      <c r="R49" s="62">
        <f t="shared" si="39"/>
        <v>0.05</v>
      </c>
      <c r="S49" s="62">
        <f t="shared" si="39"/>
        <v>0.05</v>
      </c>
      <c r="T49" s="62">
        <f t="shared" si="39"/>
        <v>0.05</v>
      </c>
      <c r="U49" s="62">
        <f t="shared" si="39"/>
        <v>0.05</v>
      </c>
      <c r="V49" s="62">
        <f t="shared" si="39"/>
        <v>0.05</v>
      </c>
      <c r="W49" s="62">
        <f t="shared" si="39"/>
        <v>0.05</v>
      </c>
      <c r="X49" s="62">
        <f t="shared" si="39"/>
        <v>0.05</v>
      </c>
      <c r="Y49" s="62">
        <f t="shared" si="39"/>
        <v>0.05</v>
      </c>
      <c r="Z49" s="62">
        <f t="shared" si="39"/>
        <v>0.05</v>
      </c>
      <c r="AA49" s="62">
        <f t="shared" si="39"/>
        <v>0.05</v>
      </c>
      <c r="AB49" s="62">
        <f t="shared" si="39"/>
        <v>0.05</v>
      </c>
      <c r="AC49" s="62">
        <f t="shared" si="39"/>
        <v>0.05</v>
      </c>
      <c r="AD49" s="62">
        <f t="shared" si="39"/>
        <v>0.05</v>
      </c>
      <c r="AE49" s="62">
        <f t="shared" si="39"/>
        <v>0.05</v>
      </c>
      <c r="AF49" s="62">
        <f t="shared" si="39"/>
        <v>0.05</v>
      </c>
      <c r="AG49" s="62">
        <f t="shared" si="39"/>
        <v>0.05</v>
      </c>
      <c r="AH49" s="62">
        <f t="shared" si="39"/>
        <v>0.05</v>
      </c>
      <c r="AI49" s="62">
        <f t="shared" si="39"/>
        <v>0.05</v>
      </c>
      <c r="AJ49" s="62">
        <f t="shared" si="39"/>
        <v>0.05</v>
      </c>
      <c r="AK49" s="62">
        <f t="shared" si="39"/>
        <v>0.05</v>
      </c>
      <c r="AL49" s="62">
        <f t="shared" si="39"/>
        <v>0.05</v>
      </c>
      <c r="AM49" s="62">
        <f t="shared" si="39"/>
        <v>0.05</v>
      </c>
      <c r="AN49" s="62">
        <f t="shared" si="39"/>
        <v>0.05</v>
      </c>
      <c r="AO49" s="62">
        <f t="shared" si="39"/>
        <v>0.05</v>
      </c>
      <c r="AP49" s="62">
        <f t="shared" si="39"/>
        <v>0.05</v>
      </c>
      <c r="AQ49" s="62">
        <f t="shared" si="39"/>
        <v>0.05</v>
      </c>
      <c r="AR49" s="62">
        <f t="shared" si="39"/>
        <v>0.05</v>
      </c>
      <c r="AS49" s="62">
        <f t="shared" si="39"/>
        <v>0.05</v>
      </c>
      <c r="AT49" s="62">
        <f t="shared" si="39"/>
        <v>0.05</v>
      </c>
      <c r="AU49" s="62">
        <f t="shared" si="39"/>
        <v>0.05</v>
      </c>
      <c r="AV49" s="62">
        <f t="shared" si="39"/>
        <v>0.05</v>
      </c>
      <c r="AW49" s="62">
        <f t="shared" si="39"/>
        <v>0.05</v>
      </c>
      <c r="AX49" s="62">
        <f t="shared" si="39"/>
        <v>0.05</v>
      </c>
      <c r="AY49" s="62">
        <f t="shared" si="39"/>
        <v>0.05</v>
      </c>
      <c r="AZ49" s="62">
        <f t="shared" si="39"/>
        <v>0.05</v>
      </c>
      <c r="BA49" s="62">
        <f t="shared" si="39"/>
        <v>0.05</v>
      </c>
      <c r="BB49" s="62">
        <f t="shared" si="39"/>
        <v>0.05</v>
      </c>
      <c r="BC49" s="62">
        <f t="shared" si="39"/>
        <v>0.05</v>
      </c>
      <c r="BD49" s="62">
        <f t="shared" si="39"/>
        <v>0.05</v>
      </c>
      <c r="BE49" s="62">
        <f t="shared" si="39"/>
        <v>0.05</v>
      </c>
      <c r="BF49" s="62">
        <f t="shared" si="39"/>
        <v>0.05</v>
      </c>
      <c r="BG49" s="62">
        <f t="shared" si="39"/>
        <v>0.05</v>
      </c>
      <c r="BH49" s="62">
        <f t="shared" si="39"/>
        <v>0.05</v>
      </c>
      <c r="BI49" s="62">
        <f t="shared" si="39"/>
        <v>0.05</v>
      </c>
      <c r="BJ49" s="62">
        <f t="shared" si="39"/>
        <v>0.05</v>
      </c>
      <c r="BK49" s="62">
        <f t="shared" si="39"/>
        <v>0.05</v>
      </c>
      <c r="BL49" s="62">
        <f t="shared" si="39"/>
        <v>0.05</v>
      </c>
      <c r="BM49" s="62">
        <f t="shared" si="39"/>
        <v>0.05</v>
      </c>
      <c r="BN49" s="62">
        <f t="shared" si="39"/>
        <v>0.05</v>
      </c>
    </row>
    <row r="50" outlineLevel="1">
      <c r="A50" s="47"/>
      <c r="B50" s="76" t="s">
        <v>17</v>
      </c>
      <c r="C50" s="47"/>
      <c r="D50" s="63"/>
      <c r="E50" s="64"/>
      <c r="F50" s="64"/>
      <c r="G50" s="65">
        <f t="shared" ref="G50:BN50" si="40">G47*G48*G49</f>
        <v>10</v>
      </c>
      <c r="H50" s="65">
        <f t="shared" si="40"/>
        <v>10</v>
      </c>
      <c r="I50" s="65">
        <f t="shared" si="40"/>
        <v>10</v>
      </c>
      <c r="J50" s="65">
        <f t="shared" si="40"/>
        <v>10</v>
      </c>
      <c r="K50" s="65">
        <f t="shared" si="40"/>
        <v>10</v>
      </c>
      <c r="L50" s="65">
        <f t="shared" si="40"/>
        <v>10</v>
      </c>
      <c r="M50" s="65">
        <f t="shared" si="40"/>
        <v>10</v>
      </c>
      <c r="N50" s="65">
        <f t="shared" si="40"/>
        <v>10</v>
      </c>
      <c r="O50" s="65">
        <f t="shared" si="40"/>
        <v>10</v>
      </c>
      <c r="P50" s="65">
        <f t="shared" si="40"/>
        <v>10</v>
      </c>
      <c r="Q50" s="65">
        <f t="shared" si="40"/>
        <v>10</v>
      </c>
      <c r="R50" s="65">
        <f t="shared" si="40"/>
        <v>10</v>
      </c>
      <c r="S50" s="65">
        <f t="shared" si="40"/>
        <v>10</v>
      </c>
      <c r="T50" s="65">
        <f t="shared" si="40"/>
        <v>10</v>
      </c>
      <c r="U50" s="65">
        <f t="shared" si="40"/>
        <v>10</v>
      </c>
      <c r="V50" s="65">
        <f t="shared" si="40"/>
        <v>10</v>
      </c>
      <c r="W50" s="65">
        <f t="shared" si="40"/>
        <v>10</v>
      </c>
      <c r="X50" s="65">
        <f t="shared" si="40"/>
        <v>10</v>
      </c>
      <c r="Y50" s="65">
        <f t="shared" si="40"/>
        <v>10</v>
      </c>
      <c r="Z50" s="65">
        <f t="shared" si="40"/>
        <v>10</v>
      </c>
      <c r="AA50" s="65">
        <f t="shared" si="40"/>
        <v>10</v>
      </c>
      <c r="AB50" s="65">
        <f t="shared" si="40"/>
        <v>10</v>
      </c>
      <c r="AC50" s="65">
        <f t="shared" si="40"/>
        <v>10</v>
      </c>
      <c r="AD50" s="65">
        <f t="shared" si="40"/>
        <v>10</v>
      </c>
      <c r="AE50" s="65">
        <f t="shared" si="40"/>
        <v>10</v>
      </c>
      <c r="AF50" s="65">
        <f t="shared" si="40"/>
        <v>10</v>
      </c>
      <c r="AG50" s="65">
        <f t="shared" si="40"/>
        <v>10</v>
      </c>
      <c r="AH50" s="65">
        <f t="shared" si="40"/>
        <v>10</v>
      </c>
      <c r="AI50" s="65">
        <f t="shared" si="40"/>
        <v>10</v>
      </c>
      <c r="AJ50" s="65">
        <f t="shared" si="40"/>
        <v>10</v>
      </c>
      <c r="AK50" s="65">
        <f t="shared" si="40"/>
        <v>10</v>
      </c>
      <c r="AL50" s="65">
        <f t="shared" si="40"/>
        <v>10</v>
      </c>
      <c r="AM50" s="65">
        <f t="shared" si="40"/>
        <v>10</v>
      </c>
      <c r="AN50" s="65">
        <f t="shared" si="40"/>
        <v>10</v>
      </c>
      <c r="AO50" s="65">
        <f t="shared" si="40"/>
        <v>10</v>
      </c>
      <c r="AP50" s="65">
        <f t="shared" si="40"/>
        <v>10</v>
      </c>
      <c r="AQ50" s="65">
        <f t="shared" si="40"/>
        <v>10</v>
      </c>
      <c r="AR50" s="65">
        <f t="shared" si="40"/>
        <v>10</v>
      </c>
      <c r="AS50" s="65">
        <f t="shared" si="40"/>
        <v>10</v>
      </c>
      <c r="AT50" s="65">
        <f t="shared" si="40"/>
        <v>10</v>
      </c>
      <c r="AU50" s="65">
        <f t="shared" si="40"/>
        <v>10</v>
      </c>
      <c r="AV50" s="65">
        <f t="shared" si="40"/>
        <v>10</v>
      </c>
      <c r="AW50" s="65">
        <f t="shared" si="40"/>
        <v>10</v>
      </c>
      <c r="AX50" s="65">
        <f t="shared" si="40"/>
        <v>10</v>
      </c>
      <c r="AY50" s="65">
        <f t="shared" si="40"/>
        <v>10</v>
      </c>
      <c r="AZ50" s="65">
        <f t="shared" si="40"/>
        <v>10</v>
      </c>
      <c r="BA50" s="65">
        <f t="shared" si="40"/>
        <v>10</v>
      </c>
      <c r="BB50" s="65">
        <f t="shared" si="40"/>
        <v>10</v>
      </c>
      <c r="BC50" s="65">
        <f t="shared" si="40"/>
        <v>10</v>
      </c>
      <c r="BD50" s="65">
        <f t="shared" si="40"/>
        <v>10</v>
      </c>
      <c r="BE50" s="65">
        <f t="shared" si="40"/>
        <v>10</v>
      </c>
      <c r="BF50" s="65">
        <f t="shared" si="40"/>
        <v>10</v>
      </c>
      <c r="BG50" s="65">
        <f t="shared" si="40"/>
        <v>10</v>
      </c>
      <c r="BH50" s="65">
        <f t="shared" si="40"/>
        <v>10</v>
      </c>
      <c r="BI50" s="65">
        <f t="shared" si="40"/>
        <v>10</v>
      </c>
      <c r="BJ50" s="65">
        <f t="shared" si="40"/>
        <v>10</v>
      </c>
      <c r="BK50" s="65">
        <f t="shared" si="40"/>
        <v>10</v>
      </c>
      <c r="BL50" s="65">
        <f t="shared" si="40"/>
        <v>10</v>
      </c>
      <c r="BM50" s="65">
        <f t="shared" si="40"/>
        <v>10</v>
      </c>
      <c r="BN50" s="65">
        <f t="shared" si="40"/>
        <v>10</v>
      </c>
    </row>
    <row r="51" outlineLevel="1">
      <c r="A51" s="47"/>
      <c r="B51" s="76"/>
      <c r="C51" s="47"/>
      <c r="D51" s="47"/>
      <c r="E51" s="78"/>
      <c r="F51" s="78"/>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row>
    <row r="52" outlineLevel="1">
      <c r="A52" s="85"/>
      <c r="B52" s="66" t="s">
        <v>37</v>
      </c>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row>
    <row r="53" outlineLevel="1">
      <c r="A53" s="85"/>
      <c r="B53" s="39" t="s">
        <v>38</v>
      </c>
      <c r="C53" s="85"/>
      <c r="D53" s="80">
        <v>2000.0</v>
      </c>
      <c r="E53" s="87"/>
      <c r="F53" s="87"/>
      <c r="G53" s="57">
        <f t="shared" ref="G53:G56" si="42">D53</f>
        <v>2000</v>
      </c>
      <c r="H53" s="57">
        <f t="shared" ref="H53:BN53" si="41">G53</f>
        <v>2000</v>
      </c>
      <c r="I53" s="57">
        <f t="shared" si="41"/>
        <v>2000</v>
      </c>
      <c r="J53" s="57">
        <f t="shared" si="41"/>
        <v>2000</v>
      </c>
      <c r="K53" s="57">
        <f t="shared" si="41"/>
        <v>2000</v>
      </c>
      <c r="L53" s="57">
        <f t="shared" si="41"/>
        <v>2000</v>
      </c>
      <c r="M53" s="57">
        <f t="shared" si="41"/>
        <v>2000</v>
      </c>
      <c r="N53" s="57">
        <f t="shared" si="41"/>
        <v>2000</v>
      </c>
      <c r="O53" s="57">
        <f t="shared" si="41"/>
        <v>2000</v>
      </c>
      <c r="P53" s="57">
        <f t="shared" si="41"/>
        <v>2000</v>
      </c>
      <c r="Q53" s="57">
        <f t="shared" si="41"/>
        <v>2000</v>
      </c>
      <c r="R53" s="57">
        <f t="shared" si="41"/>
        <v>2000</v>
      </c>
      <c r="S53" s="57">
        <f t="shared" si="41"/>
        <v>2000</v>
      </c>
      <c r="T53" s="57">
        <f t="shared" si="41"/>
        <v>2000</v>
      </c>
      <c r="U53" s="57">
        <f t="shared" si="41"/>
        <v>2000</v>
      </c>
      <c r="V53" s="57">
        <f t="shared" si="41"/>
        <v>2000</v>
      </c>
      <c r="W53" s="57">
        <f t="shared" si="41"/>
        <v>2000</v>
      </c>
      <c r="X53" s="57">
        <f t="shared" si="41"/>
        <v>2000</v>
      </c>
      <c r="Y53" s="57">
        <f t="shared" si="41"/>
        <v>2000</v>
      </c>
      <c r="Z53" s="57">
        <f t="shared" si="41"/>
        <v>2000</v>
      </c>
      <c r="AA53" s="57">
        <f t="shared" si="41"/>
        <v>2000</v>
      </c>
      <c r="AB53" s="57">
        <f t="shared" si="41"/>
        <v>2000</v>
      </c>
      <c r="AC53" s="57">
        <f t="shared" si="41"/>
        <v>2000</v>
      </c>
      <c r="AD53" s="57">
        <f t="shared" si="41"/>
        <v>2000</v>
      </c>
      <c r="AE53" s="57">
        <f t="shared" si="41"/>
        <v>2000</v>
      </c>
      <c r="AF53" s="57">
        <f t="shared" si="41"/>
        <v>2000</v>
      </c>
      <c r="AG53" s="57">
        <f t="shared" si="41"/>
        <v>2000</v>
      </c>
      <c r="AH53" s="57">
        <f t="shared" si="41"/>
        <v>2000</v>
      </c>
      <c r="AI53" s="57">
        <f t="shared" si="41"/>
        <v>2000</v>
      </c>
      <c r="AJ53" s="57">
        <f t="shared" si="41"/>
        <v>2000</v>
      </c>
      <c r="AK53" s="57">
        <f t="shared" si="41"/>
        <v>2000</v>
      </c>
      <c r="AL53" s="57">
        <f t="shared" si="41"/>
        <v>2000</v>
      </c>
      <c r="AM53" s="57">
        <f t="shared" si="41"/>
        <v>2000</v>
      </c>
      <c r="AN53" s="57">
        <f t="shared" si="41"/>
        <v>2000</v>
      </c>
      <c r="AO53" s="57">
        <f t="shared" si="41"/>
        <v>2000</v>
      </c>
      <c r="AP53" s="57">
        <f t="shared" si="41"/>
        <v>2000</v>
      </c>
      <c r="AQ53" s="57">
        <f t="shared" si="41"/>
        <v>2000</v>
      </c>
      <c r="AR53" s="57">
        <f t="shared" si="41"/>
        <v>2000</v>
      </c>
      <c r="AS53" s="57">
        <f t="shared" si="41"/>
        <v>2000</v>
      </c>
      <c r="AT53" s="57">
        <f t="shared" si="41"/>
        <v>2000</v>
      </c>
      <c r="AU53" s="57">
        <f t="shared" si="41"/>
        <v>2000</v>
      </c>
      <c r="AV53" s="57">
        <f t="shared" si="41"/>
        <v>2000</v>
      </c>
      <c r="AW53" s="57">
        <f t="shared" si="41"/>
        <v>2000</v>
      </c>
      <c r="AX53" s="57">
        <f t="shared" si="41"/>
        <v>2000</v>
      </c>
      <c r="AY53" s="57">
        <f t="shared" si="41"/>
        <v>2000</v>
      </c>
      <c r="AZ53" s="57">
        <f t="shared" si="41"/>
        <v>2000</v>
      </c>
      <c r="BA53" s="57">
        <f t="shared" si="41"/>
        <v>2000</v>
      </c>
      <c r="BB53" s="57">
        <f t="shared" si="41"/>
        <v>2000</v>
      </c>
      <c r="BC53" s="57">
        <f t="shared" si="41"/>
        <v>2000</v>
      </c>
      <c r="BD53" s="57">
        <f t="shared" si="41"/>
        <v>2000</v>
      </c>
      <c r="BE53" s="57">
        <f t="shared" si="41"/>
        <v>2000</v>
      </c>
      <c r="BF53" s="57">
        <f t="shared" si="41"/>
        <v>2000</v>
      </c>
      <c r="BG53" s="57">
        <f t="shared" si="41"/>
        <v>2000</v>
      </c>
      <c r="BH53" s="57">
        <f t="shared" si="41"/>
        <v>2000</v>
      </c>
      <c r="BI53" s="57">
        <f t="shared" si="41"/>
        <v>2000</v>
      </c>
      <c r="BJ53" s="57">
        <f t="shared" si="41"/>
        <v>2000</v>
      </c>
      <c r="BK53" s="57">
        <f t="shared" si="41"/>
        <v>2000</v>
      </c>
      <c r="BL53" s="57">
        <f t="shared" si="41"/>
        <v>2000</v>
      </c>
      <c r="BM53" s="57">
        <f t="shared" si="41"/>
        <v>2000</v>
      </c>
      <c r="BN53" s="57">
        <f t="shared" si="41"/>
        <v>2000</v>
      </c>
    </row>
    <row r="54" outlineLevel="1">
      <c r="A54" s="47"/>
      <c r="B54" s="39" t="s">
        <v>39</v>
      </c>
      <c r="C54" s="47"/>
      <c r="D54" s="80">
        <v>2.0</v>
      </c>
      <c r="E54" s="64"/>
      <c r="F54" s="64"/>
      <c r="G54" s="82">
        <f t="shared" si="42"/>
        <v>2</v>
      </c>
      <c r="H54" s="82">
        <f t="shared" ref="H54:BN54" si="43">G54</f>
        <v>2</v>
      </c>
      <c r="I54" s="82">
        <f t="shared" si="43"/>
        <v>2</v>
      </c>
      <c r="J54" s="82">
        <f t="shared" si="43"/>
        <v>2</v>
      </c>
      <c r="K54" s="82">
        <f t="shared" si="43"/>
        <v>2</v>
      </c>
      <c r="L54" s="82">
        <f t="shared" si="43"/>
        <v>2</v>
      </c>
      <c r="M54" s="82">
        <f t="shared" si="43"/>
        <v>2</v>
      </c>
      <c r="N54" s="82">
        <f t="shared" si="43"/>
        <v>2</v>
      </c>
      <c r="O54" s="82">
        <f t="shared" si="43"/>
        <v>2</v>
      </c>
      <c r="P54" s="82">
        <f t="shared" si="43"/>
        <v>2</v>
      </c>
      <c r="Q54" s="82">
        <f t="shared" si="43"/>
        <v>2</v>
      </c>
      <c r="R54" s="82">
        <f t="shared" si="43"/>
        <v>2</v>
      </c>
      <c r="S54" s="82">
        <f t="shared" si="43"/>
        <v>2</v>
      </c>
      <c r="T54" s="82">
        <f t="shared" si="43"/>
        <v>2</v>
      </c>
      <c r="U54" s="82">
        <f t="shared" si="43"/>
        <v>2</v>
      </c>
      <c r="V54" s="82">
        <f t="shared" si="43"/>
        <v>2</v>
      </c>
      <c r="W54" s="82">
        <f t="shared" si="43"/>
        <v>2</v>
      </c>
      <c r="X54" s="82">
        <f t="shared" si="43"/>
        <v>2</v>
      </c>
      <c r="Y54" s="82">
        <f t="shared" si="43"/>
        <v>2</v>
      </c>
      <c r="Z54" s="82">
        <f t="shared" si="43"/>
        <v>2</v>
      </c>
      <c r="AA54" s="82">
        <f t="shared" si="43"/>
        <v>2</v>
      </c>
      <c r="AB54" s="82">
        <f t="shared" si="43"/>
        <v>2</v>
      </c>
      <c r="AC54" s="82">
        <f t="shared" si="43"/>
        <v>2</v>
      </c>
      <c r="AD54" s="82">
        <f t="shared" si="43"/>
        <v>2</v>
      </c>
      <c r="AE54" s="82">
        <f t="shared" si="43"/>
        <v>2</v>
      </c>
      <c r="AF54" s="82">
        <f t="shared" si="43"/>
        <v>2</v>
      </c>
      <c r="AG54" s="82">
        <f t="shared" si="43"/>
        <v>2</v>
      </c>
      <c r="AH54" s="82">
        <f t="shared" si="43"/>
        <v>2</v>
      </c>
      <c r="AI54" s="82">
        <f t="shared" si="43"/>
        <v>2</v>
      </c>
      <c r="AJ54" s="82">
        <f t="shared" si="43"/>
        <v>2</v>
      </c>
      <c r="AK54" s="82">
        <f t="shared" si="43"/>
        <v>2</v>
      </c>
      <c r="AL54" s="82">
        <f t="shared" si="43"/>
        <v>2</v>
      </c>
      <c r="AM54" s="82">
        <f t="shared" si="43"/>
        <v>2</v>
      </c>
      <c r="AN54" s="82">
        <f t="shared" si="43"/>
        <v>2</v>
      </c>
      <c r="AO54" s="82">
        <f t="shared" si="43"/>
        <v>2</v>
      </c>
      <c r="AP54" s="82">
        <f t="shared" si="43"/>
        <v>2</v>
      </c>
      <c r="AQ54" s="82">
        <f t="shared" si="43"/>
        <v>2</v>
      </c>
      <c r="AR54" s="82">
        <f t="shared" si="43"/>
        <v>2</v>
      </c>
      <c r="AS54" s="82">
        <f t="shared" si="43"/>
        <v>2</v>
      </c>
      <c r="AT54" s="82">
        <f t="shared" si="43"/>
        <v>2</v>
      </c>
      <c r="AU54" s="82">
        <f t="shared" si="43"/>
        <v>2</v>
      </c>
      <c r="AV54" s="82">
        <f t="shared" si="43"/>
        <v>2</v>
      </c>
      <c r="AW54" s="82">
        <f t="shared" si="43"/>
        <v>2</v>
      </c>
      <c r="AX54" s="82">
        <f t="shared" si="43"/>
        <v>2</v>
      </c>
      <c r="AY54" s="82">
        <f t="shared" si="43"/>
        <v>2</v>
      </c>
      <c r="AZ54" s="82">
        <f t="shared" si="43"/>
        <v>2</v>
      </c>
      <c r="BA54" s="82">
        <f t="shared" si="43"/>
        <v>2</v>
      </c>
      <c r="BB54" s="82">
        <f t="shared" si="43"/>
        <v>2</v>
      </c>
      <c r="BC54" s="82">
        <f t="shared" si="43"/>
        <v>2</v>
      </c>
      <c r="BD54" s="82">
        <f t="shared" si="43"/>
        <v>2</v>
      </c>
      <c r="BE54" s="82">
        <f t="shared" si="43"/>
        <v>2</v>
      </c>
      <c r="BF54" s="82">
        <f t="shared" si="43"/>
        <v>2</v>
      </c>
      <c r="BG54" s="82">
        <f t="shared" si="43"/>
        <v>2</v>
      </c>
      <c r="BH54" s="82">
        <f t="shared" si="43"/>
        <v>2</v>
      </c>
      <c r="BI54" s="82">
        <f t="shared" si="43"/>
        <v>2</v>
      </c>
      <c r="BJ54" s="82">
        <f t="shared" si="43"/>
        <v>2</v>
      </c>
      <c r="BK54" s="82">
        <f t="shared" si="43"/>
        <v>2</v>
      </c>
      <c r="BL54" s="82">
        <f t="shared" si="43"/>
        <v>2</v>
      </c>
      <c r="BM54" s="82">
        <f t="shared" si="43"/>
        <v>2</v>
      </c>
      <c r="BN54" s="82">
        <f t="shared" si="43"/>
        <v>2</v>
      </c>
    </row>
    <row r="55" outlineLevel="1">
      <c r="A55" s="47"/>
      <c r="B55" s="39" t="s">
        <v>40</v>
      </c>
      <c r="C55" s="47"/>
      <c r="D55" s="92">
        <v>0.05</v>
      </c>
      <c r="E55" s="64"/>
      <c r="F55" s="64"/>
      <c r="G55" s="93">
        <f t="shared" si="42"/>
        <v>0.05</v>
      </c>
      <c r="H55" s="93">
        <f t="shared" ref="H55:BN55" si="44">G55</f>
        <v>0.05</v>
      </c>
      <c r="I55" s="93">
        <f t="shared" si="44"/>
        <v>0.05</v>
      </c>
      <c r="J55" s="93">
        <f t="shared" si="44"/>
        <v>0.05</v>
      </c>
      <c r="K55" s="93">
        <f t="shared" si="44"/>
        <v>0.05</v>
      </c>
      <c r="L55" s="93">
        <f t="shared" si="44"/>
        <v>0.05</v>
      </c>
      <c r="M55" s="93">
        <f t="shared" si="44"/>
        <v>0.05</v>
      </c>
      <c r="N55" s="93">
        <f t="shared" si="44"/>
        <v>0.05</v>
      </c>
      <c r="O55" s="93">
        <f t="shared" si="44"/>
        <v>0.05</v>
      </c>
      <c r="P55" s="93">
        <f t="shared" si="44"/>
        <v>0.05</v>
      </c>
      <c r="Q55" s="93">
        <f t="shared" si="44"/>
        <v>0.05</v>
      </c>
      <c r="R55" s="93">
        <f t="shared" si="44"/>
        <v>0.05</v>
      </c>
      <c r="S55" s="93">
        <f t="shared" si="44"/>
        <v>0.05</v>
      </c>
      <c r="T55" s="93">
        <f t="shared" si="44"/>
        <v>0.05</v>
      </c>
      <c r="U55" s="93">
        <f t="shared" si="44"/>
        <v>0.05</v>
      </c>
      <c r="V55" s="93">
        <f t="shared" si="44"/>
        <v>0.05</v>
      </c>
      <c r="W55" s="93">
        <f t="shared" si="44"/>
        <v>0.05</v>
      </c>
      <c r="X55" s="93">
        <f t="shared" si="44"/>
        <v>0.05</v>
      </c>
      <c r="Y55" s="93">
        <f t="shared" si="44"/>
        <v>0.05</v>
      </c>
      <c r="Z55" s="93">
        <f t="shared" si="44"/>
        <v>0.05</v>
      </c>
      <c r="AA55" s="93">
        <f t="shared" si="44"/>
        <v>0.05</v>
      </c>
      <c r="AB55" s="93">
        <f t="shared" si="44"/>
        <v>0.05</v>
      </c>
      <c r="AC55" s="93">
        <f t="shared" si="44"/>
        <v>0.05</v>
      </c>
      <c r="AD55" s="93">
        <f t="shared" si="44"/>
        <v>0.05</v>
      </c>
      <c r="AE55" s="93">
        <f t="shared" si="44"/>
        <v>0.05</v>
      </c>
      <c r="AF55" s="93">
        <f t="shared" si="44"/>
        <v>0.05</v>
      </c>
      <c r="AG55" s="93">
        <f t="shared" si="44"/>
        <v>0.05</v>
      </c>
      <c r="AH55" s="93">
        <f t="shared" si="44"/>
        <v>0.05</v>
      </c>
      <c r="AI55" s="93">
        <f t="shared" si="44"/>
        <v>0.05</v>
      </c>
      <c r="AJ55" s="93">
        <f t="shared" si="44"/>
        <v>0.05</v>
      </c>
      <c r="AK55" s="93">
        <f t="shared" si="44"/>
        <v>0.05</v>
      </c>
      <c r="AL55" s="93">
        <f t="shared" si="44"/>
        <v>0.05</v>
      </c>
      <c r="AM55" s="93">
        <f t="shared" si="44"/>
        <v>0.05</v>
      </c>
      <c r="AN55" s="93">
        <f t="shared" si="44"/>
        <v>0.05</v>
      </c>
      <c r="AO55" s="93">
        <f t="shared" si="44"/>
        <v>0.05</v>
      </c>
      <c r="AP55" s="93">
        <f t="shared" si="44"/>
        <v>0.05</v>
      </c>
      <c r="AQ55" s="93">
        <f t="shared" si="44"/>
        <v>0.05</v>
      </c>
      <c r="AR55" s="93">
        <f t="shared" si="44"/>
        <v>0.05</v>
      </c>
      <c r="AS55" s="93">
        <f t="shared" si="44"/>
        <v>0.05</v>
      </c>
      <c r="AT55" s="93">
        <f t="shared" si="44"/>
        <v>0.05</v>
      </c>
      <c r="AU55" s="93">
        <f t="shared" si="44"/>
        <v>0.05</v>
      </c>
      <c r="AV55" s="93">
        <f t="shared" si="44"/>
        <v>0.05</v>
      </c>
      <c r="AW55" s="93">
        <f t="shared" si="44"/>
        <v>0.05</v>
      </c>
      <c r="AX55" s="93">
        <f t="shared" si="44"/>
        <v>0.05</v>
      </c>
      <c r="AY55" s="93">
        <f t="shared" si="44"/>
        <v>0.05</v>
      </c>
      <c r="AZ55" s="93">
        <f t="shared" si="44"/>
        <v>0.05</v>
      </c>
      <c r="BA55" s="93">
        <f t="shared" si="44"/>
        <v>0.05</v>
      </c>
      <c r="BB55" s="93">
        <f t="shared" si="44"/>
        <v>0.05</v>
      </c>
      <c r="BC55" s="93">
        <f t="shared" si="44"/>
        <v>0.05</v>
      </c>
      <c r="BD55" s="93">
        <f t="shared" si="44"/>
        <v>0.05</v>
      </c>
      <c r="BE55" s="93">
        <f t="shared" si="44"/>
        <v>0.05</v>
      </c>
      <c r="BF55" s="93">
        <f t="shared" si="44"/>
        <v>0.05</v>
      </c>
      <c r="BG55" s="93">
        <f t="shared" si="44"/>
        <v>0.05</v>
      </c>
      <c r="BH55" s="93">
        <f t="shared" si="44"/>
        <v>0.05</v>
      </c>
      <c r="BI55" s="93">
        <f t="shared" si="44"/>
        <v>0.05</v>
      </c>
      <c r="BJ55" s="93">
        <f t="shared" si="44"/>
        <v>0.05</v>
      </c>
      <c r="BK55" s="93">
        <f t="shared" si="44"/>
        <v>0.05</v>
      </c>
      <c r="BL55" s="93">
        <f t="shared" si="44"/>
        <v>0.05</v>
      </c>
      <c r="BM55" s="93">
        <f t="shared" si="44"/>
        <v>0.05</v>
      </c>
      <c r="BN55" s="93">
        <f t="shared" si="44"/>
        <v>0.05</v>
      </c>
    </row>
    <row r="56" outlineLevel="1">
      <c r="A56" s="85"/>
      <c r="B56" s="59" t="s">
        <v>16</v>
      </c>
      <c r="C56" s="88"/>
      <c r="D56" s="89">
        <v>0.05</v>
      </c>
      <c r="E56" s="90"/>
      <c r="F56" s="90"/>
      <c r="G56" s="62">
        <f t="shared" si="42"/>
        <v>0.05</v>
      </c>
      <c r="H56" s="62">
        <f t="shared" ref="H56:BN56" si="45">G56</f>
        <v>0.05</v>
      </c>
      <c r="I56" s="62">
        <f t="shared" si="45"/>
        <v>0.05</v>
      </c>
      <c r="J56" s="62">
        <f t="shared" si="45"/>
        <v>0.05</v>
      </c>
      <c r="K56" s="62">
        <f t="shared" si="45"/>
        <v>0.05</v>
      </c>
      <c r="L56" s="62">
        <f t="shared" si="45"/>
        <v>0.05</v>
      </c>
      <c r="M56" s="62">
        <f t="shared" si="45"/>
        <v>0.05</v>
      </c>
      <c r="N56" s="62">
        <f t="shared" si="45"/>
        <v>0.05</v>
      </c>
      <c r="O56" s="62">
        <f t="shared" si="45"/>
        <v>0.05</v>
      </c>
      <c r="P56" s="62">
        <f t="shared" si="45"/>
        <v>0.05</v>
      </c>
      <c r="Q56" s="62">
        <f t="shared" si="45"/>
        <v>0.05</v>
      </c>
      <c r="R56" s="62">
        <f t="shared" si="45"/>
        <v>0.05</v>
      </c>
      <c r="S56" s="62">
        <f t="shared" si="45"/>
        <v>0.05</v>
      </c>
      <c r="T56" s="62">
        <f t="shared" si="45"/>
        <v>0.05</v>
      </c>
      <c r="U56" s="62">
        <f t="shared" si="45"/>
        <v>0.05</v>
      </c>
      <c r="V56" s="62">
        <f t="shared" si="45"/>
        <v>0.05</v>
      </c>
      <c r="W56" s="62">
        <f t="shared" si="45"/>
        <v>0.05</v>
      </c>
      <c r="X56" s="62">
        <f t="shared" si="45"/>
        <v>0.05</v>
      </c>
      <c r="Y56" s="62">
        <f t="shared" si="45"/>
        <v>0.05</v>
      </c>
      <c r="Z56" s="62">
        <f t="shared" si="45"/>
        <v>0.05</v>
      </c>
      <c r="AA56" s="62">
        <f t="shared" si="45"/>
        <v>0.05</v>
      </c>
      <c r="AB56" s="62">
        <f t="shared" si="45"/>
        <v>0.05</v>
      </c>
      <c r="AC56" s="62">
        <f t="shared" si="45"/>
        <v>0.05</v>
      </c>
      <c r="AD56" s="62">
        <f t="shared" si="45"/>
        <v>0.05</v>
      </c>
      <c r="AE56" s="62">
        <f t="shared" si="45"/>
        <v>0.05</v>
      </c>
      <c r="AF56" s="62">
        <f t="shared" si="45"/>
        <v>0.05</v>
      </c>
      <c r="AG56" s="62">
        <f t="shared" si="45"/>
        <v>0.05</v>
      </c>
      <c r="AH56" s="62">
        <f t="shared" si="45"/>
        <v>0.05</v>
      </c>
      <c r="AI56" s="62">
        <f t="shared" si="45"/>
        <v>0.05</v>
      </c>
      <c r="AJ56" s="62">
        <f t="shared" si="45"/>
        <v>0.05</v>
      </c>
      <c r="AK56" s="62">
        <f t="shared" si="45"/>
        <v>0.05</v>
      </c>
      <c r="AL56" s="62">
        <f t="shared" si="45"/>
        <v>0.05</v>
      </c>
      <c r="AM56" s="62">
        <f t="shared" si="45"/>
        <v>0.05</v>
      </c>
      <c r="AN56" s="62">
        <f t="shared" si="45"/>
        <v>0.05</v>
      </c>
      <c r="AO56" s="62">
        <f t="shared" si="45"/>
        <v>0.05</v>
      </c>
      <c r="AP56" s="62">
        <f t="shared" si="45"/>
        <v>0.05</v>
      </c>
      <c r="AQ56" s="62">
        <f t="shared" si="45"/>
        <v>0.05</v>
      </c>
      <c r="AR56" s="62">
        <f t="shared" si="45"/>
        <v>0.05</v>
      </c>
      <c r="AS56" s="62">
        <f t="shared" si="45"/>
        <v>0.05</v>
      </c>
      <c r="AT56" s="62">
        <f t="shared" si="45"/>
        <v>0.05</v>
      </c>
      <c r="AU56" s="62">
        <f t="shared" si="45"/>
        <v>0.05</v>
      </c>
      <c r="AV56" s="62">
        <f t="shared" si="45"/>
        <v>0.05</v>
      </c>
      <c r="AW56" s="62">
        <f t="shared" si="45"/>
        <v>0.05</v>
      </c>
      <c r="AX56" s="62">
        <f t="shared" si="45"/>
        <v>0.05</v>
      </c>
      <c r="AY56" s="62">
        <f t="shared" si="45"/>
        <v>0.05</v>
      </c>
      <c r="AZ56" s="62">
        <f t="shared" si="45"/>
        <v>0.05</v>
      </c>
      <c r="BA56" s="62">
        <f t="shared" si="45"/>
        <v>0.05</v>
      </c>
      <c r="BB56" s="62">
        <f t="shared" si="45"/>
        <v>0.05</v>
      </c>
      <c r="BC56" s="62">
        <f t="shared" si="45"/>
        <v>0.05</v>
      </c>
      <c r="BD56" s="62">
        <f t="shared" si="45"/>
        <v>0.05</v>
      </c>
      <c r="BE56" s="62">
        <f t="shared" si="45"/>
        <v>0.05</v>
      </c>
      <c r="BF56" s="62">
        <f t="shared" si="45"/>
        <v>0.05</v>
      </c>
      <c r="BG56" s="62">
        <f t="shared" si="45"/>
        <v>0.05</v>
      </c>
      <c r="BH56" s="62">
        <f t="shared" si="45"/>
        <v>0.05</v>
      </c>
      <c r="BI56" s="62">
        <f t="shared" si="45"/>
        <v>0.05</v>
      </c>
      <c r="BJ56" s="62">
        <f t="shared" si="45"/>
        <v>0.05</v>
      </c>
      <c r="BK56" s="62">
        <f t="shared" si="45"/>
        <v>0.05</v>
      </c>
      <c r="BL56" s="62">
        <f t="shared" si="45"/>
        <v>0.05</v>
      </c>
      <c r="BM56" s="62">
        <f t="shared" si="45"/>
        <v>0.05</v>
      </c>
      <c r="BN56" s="62">
        <f t="shared" si="45"/>
        <v>0.05</v>
      </c>
    </row>
    <row r="57" outlineLevel="1">
      <c r="A57" s="85"/>
      <c r="B57" s="91" t="s">
        <v>17</v>
      </c>
      <c r="C57" s="85"/>
      <c r="D57" s="87"/>
      <c r="E57" s="87"/>
      <c r="F57" s="87"/>
      <c r="G57" s="79">
        <f t="shared" ref="G57:BN57" si="46">G53*G54*G55*G56</f>
        <v>10</v>
      </c>
      <c r="H57" s="79">
        <f t="shared" si="46"/>
        <v>10</v>
      </c>
      <c r="I57" s="79">
        <f t="shared" si="46"/>
        <v>10</v>
      </c>
      <c r="J57" s="79">
        <f t="shared" si="46"/>
        <v>10</v>
      </c>
      <c r="K57" s="79">
        <f t="shared" si="46"/>
        <v>10</v>
      </c>
      <c r="L57" s="79">
        <f t="shared" si="46"/>
        <v>10</v>
      </c>
      <c r="M57" s="79">
        <f t="shared" si="46"/>
        <v>10</v>
      </c>
      <c r="N57" s="79">
        <f t="shared" si="46"/>
        <v>10</v>
      </c>
      <c r="O57" s="79">
        <f t="shared" si="46"/>
        <v>10</v>
      </c>
      <c r="P57" s="79">
        <f t="shared" si="46"/>
        <v>10</v>
      </c>
      <c r="Q57" s="79">
        <f t="shared" si="46"/>
        <v>10</v>
      </c>
      <c r="R57" s="79">
        <f t="shared" si="46"/>
        <v>10</v>
      </c>
      <c r="S57" s="79">
        <f t="shared" si="46"/>
        <v>10</v>
      </c>
      <c r="T57" s="79">
        <f t="shared" si="46"/>
        <v>10</v>
      </c>
      <c r="U57" s="79">
        <f t="shared" si="46"/>
        <v>10</v>
      </c>
      <c r="V57" s="79">
        <f t="shared" si="46"/>
        <v>10</v>
      </c>
      <c r="W57" s="79">
        <f t="shared" si="46"/>
        <v>10</v>
      </c>
      <c r="X57" s="79">
        <f t="shared" si="46"/>
        <v>10</v>
      </c>
      <c r="Y57" s="79">
        <f t="shared" si="46"/>
        <v>10</v>
      </c>
      <c r="Z57" s="79">
        <f t="shared" si="46"/>
        <v>10</v>
      </c>
      <c r="AA57" s="79">
        <f t="shared" si="46"/>
        <v>10</v>
      </c>
      <c r="AB57" s="79">
        <f t="shared" si="46"/>
        <v>10</v>
      </c>
      <c r="AC57" s="79">
        <f t="shared" si="46"/>
        <v>10</v>
      </c>
      <c r="AD57" s="79">
        <f t="shared" si="46"/>
        <v>10</v>
      </c>
      <c r="AE57" s="79">
        <f t="shared" si="46"/>
        <v>10</v>
      </c>
      <c r="AF57" s="79">
        <f t="shared" si="46"/>
        <v>10</v>
      </c>
      <c r="AG57" s="79">
        <f t="shared" si="46"/>
        <v>10</v>
      </c>
      <c r="AH57" s="79">
        <f t="shared" si="46"/>
        <v>10</v>
      </c>
      <c r="AI57" s="79">
        <f t="shared" si="46"/>
        <v>10</v>
      </c>
      <c r="AJ57" s="79">
        <f t="shared" si="46"/>
        <v>10</v>
      </c>
      <c r="AK57" s="79">
        <f t="shared" si="46"/>
        <v>10</v>
      </c>
      <c r="AL57" s="79">
        <f t="shared" si="46"/>
        <v>10</v>
      </c>
      <c r="AM57" s="79">
        <f t="shared" si="46"/>
        <v>10</v>
      </c>
      <c r="AN57" s="79">
        <f t="shared" si="46"/>
        <v>10</v>
      </c>
      <c r="AO57" s="79">
        <f t="shared" si="46"/>
        <v>10</v>
      </c>
      <c r="AP57" s="79">
        <f t="shared" si="46"/>
        <v>10</v>
      </c>
      <c r="AQ57" s="79">
        <f t="shared" si="46"/>
        <v>10</v>
      </c>
      <c r="AR57" s="79">
        <f t="shared" si="46"/>
        <v>10</v>
      </c>
      <c r="AS57" s="79">
        <f t="shared" si="46"/>
        <v>10</v>
      </c>
      <c r="AT57" s="79">
        <f t="shared" si="46"/>
        <v>10</v>
      </c>
      <c r="AU57" s="79">
        <f t="shared" si="46"/>
        <v>10</v>
      </c>
      <c r="AV57" s="79">
        <f t="shared" si="46"/>
        <v>10</v>
      </c>
      <c r="AW57" s="79">
        <f t="shared" si="46"/>
        <v>10</v>
      </c>
      <c r="AX57" s="79">
        <f t="shared" si="46"/>
        <v>10</v>
      </c>
      <c r="AY57" s="79">
        <f t="shared" si="46"/>
        <v>10</v>
      </c>
      <c r="AZ57" s="79">
        <f t="shared" si="46"/>
        <v>10</v>
      </c>
      <c r="BA57" s="79">
        <f t="shared" si="46"/>
        <v>10</v>
      </c>
      <c r="BB57" s="79">
        <f t="shared" si="46"/>
        <v>10</v>
      </c>
      <c r="BC57" s="79">
        <f t="shared" si="46"/>
        <v>10</v>
      </c>
      <c r="BD57" s="79">
        <f t="shared" si="46"/>
        <v>10</v>
      </c>
      <c r="BE57" s="79">
        <f t="shared" si="46"/>
        <v>10</v>
      </c>
      <c r="BF57" s="79">
        <f t="shared" si="46"/>
        <v>10</v>
      </c>
      <c r="BG57" s="79">
        <f t="shared" si="46"/>
        <v>10</v>
      </c>
      <c r="BH57" s="79">
        <f t="shared" si="46"/>
        <v>10</v>
      </c>
      <c r="BI57" s="79">
        <f t="shared" si="46"/>
        <v>10</v>
      </c>
      <c r="BJ57" s="79">
        <f t="shared" si="46"/>
        <v>10</v>
      </c>
      <c r="BK57" s="79">
        <f t="shared" si="46"/>
        <v>10</v>
      </c>
      <c r="BL57" s="79">
        <f t="shared" si="46"/>
        <v>10</v>
      </c>
      <c r="BM57" s="79">
        <f t="shared" si="46"/>
        <v>10</v>
      </c>
      <c r="BN57" s="79">
        <f t="shared" si="46"/>
        <v>10</v>
      </c>
    </row>
    <row r="58" outlineLevel="1">
      <c r="A58" s="47"/>
      <c r="B58" s="66"/>
      <c r="C58" s="47"/>
      <c r="D58" s="47"/>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row>
    <row r="59" outlineLevel="1">
      <c r="A59" s="47"/>
      <c r="B59" s="66" t="s">
        <v>41</v>
      </c>
      <c r="C59" s="47"/>
      <c r="D59" s="47"/>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row>
    <row r="60" outlineLevel="1">
      <c r="A60" s="47"/>
      <c r="B60" s="39" t="s">
        <v>42</v>
      </c>
      <c r="C60" s="47"/>
      <c r="D60" s="80">
        <v>3.0</v>
      </c>
      <c r="E60" s="56"/>
      <c r="F60" s="56"/>
      <c r="G60" s="83">
        <f t="shared" ref="G60:G62" si="48">D60</f>
        <v>3</v>
      </c>
      <c r="H60" s="83">
        <f t="shared" ref="H60:BN60" si="47">G60</f>
        <v>3</v>
      </c>
      <c r="I60" s="83">
        <f t="shared" si="47"/>
        <v>3</v>
      </c>
      <c r="J60" s="83">
        <f t="shared" si="47"/>
        <v>3</v>
      </c>
      <c r="K60" s="83">
        <f t="shared" si="47"/>
        <v>3</v>
      </c>
      <c r="L60" s="83">
        <f t="shared" si="47"/>
        <v>3</v>
      </c>
      <c r="M60" s="83">
        <f t="shared" si="47"/>
        <v>3</v>
      </c>
      <c r="N60" s="83">
        <f t="shared" si="47"/>
        <v>3</v>
      </c>
      <c r="O60" s="83">
        <f t="shared" si="47"/>
        <v>3</v>
      </c>
      <c r="P60" s="83">
        <f t="shared" si="47"/>
        <v>3</v>
      </c>
      <c r="Q60" s="83">
        <f t="shared" si="47"/>
        <v>3</v>
      </c>
      <c r="R60" s="83">
        <f t="shared" si="47"/>
        <v>3</v>
      </c>
      <c r="S60" s="83">
        <f t="shared" si="47"/>
        <v>3</v>
      </c>
      <c r="T60" s="83">
        <f t="shared" si="47"/>
        <v>3</v>
      </c>
      <c r="U60" s="83">
        <f t="shared" si="47"/>
        <v>3</v>
      </c>
      <c r="V60" s="83">
        <f t="shared" si="47"/>
        <v>3</v>
      </c>
      <c r="W60" s="83">
        <f t="shared" si="47"/>
        <v>3</v>
      </c>
      <c r="X60" s="83">
        <f t="shared" si="47"/>
        <v>3</v>
      </c>
      <c r="Y60" s="83">
        <f t="shared" si="47"/>
        <v>3</v>
      </c>
      <c r="Z60" s="83">
        <f t="shared" si="47"/>
        <v>3</v>
      </c>
      <c r="AA60" s="83">
        <f t="shared" si="47"/>
        <v>3</v>
      </c>
      <c r="AB60" s="83">
        <f t="shared" si="47"/>
        <v>3</v>
      </c>
      <c r="AC60" s="83">
        <f t="shared" si="47"/>
        <v>3</v>
      </c>
      <c r="AD60" s="83">
        <f t="shared" si="47"/>
        <v>3</v>
      </c>
      <c r="AE60" s="83">
        <f t="shared" si="47"/>
        <v>3</v>
      </c>
      <c r="AF60" s="83">
        <f t="shared" si="47"/>
        <v>3</v>
      </c>
      <c r="AG60" s="83">
        <f t="shared" si="47"/>
        <v>3</v>
      </c>
      <c r="AH60" s="83">
        <f t="shared" si="47"/>
        <v>3</v>
      </c>
      <c r="AI60" s="83">
        <f t="shared" si="47"/>
        <v>3</v>
      </c>
      <c r="AJ60" s="83">
        <f t="shared" si="47"/>
        <v>3</v>
      </c>
      <c r="AK60" s="83">
        <f t="shared" si="47"/>
        <v>3</v>
      </c>
      <c r="AL60" s="83">
        <f t="shared" si="47"/>
        <v>3</v>
      </c>
      <c r="AM60" s="83">
        <f t="shared" si="47"/>
        <v>3</v>
      </c>
      <c r="AN60" s="83">
        <f t="shared" si="47"/>
        <v>3</v>
      </c>
      <c r="AO60" s="83">
        <f t="shared" si="47"/>
        <v>3</v>
      </c>
      <c r="AP60" s="83">
        <f t="shared" si="47"/>
        <v>3</v>
      </c>
      <c r="AQ60" s="83">
        <f t="shared" si="47"/>
        <v>3</v>
      </c>
      <c r="AR60" s="83">
        <f t="shared" si="47"/>
        <v>3</v>
      </c>
      <c r="AS60" s="83">
        <f t="shared" si="47"/>
        <v>3</v>
      </c>
      <c r="AT60" s="83">
        <f t="shared" si="47"/>
        <v>3</v>
      </c>
      <c r="AU60" s="83">
        <f t="shared" si="47"/>
        <v>3</v>
      </c>
      <c r="AV60" s="83">
        <f t="shared" si="47"/>
        <v>3</v>
      </c>
      <c r="AW60" s="83">
        <f t="shared" si="47"/>
        <v>3</v>
      </c>
      <c r="AX60" s="83">
        <f t="shared" si="47"/>
        <v>3</v>
      </c>
      <c r="AY60" s="83">
        <f t="shared" si="47"/>
        <v>3</v>
      </c>
      <c r="AZ60" s="83">
        <f t="shared" si="47"/>
        <v>3</v>
      </c>
      <c r="BA60" s="83">
        <f t="shared" si="47"/>
        <v>3</v>
      </c>
      <c r="BB60" s="83">
        <f t="shared" si="47"/>
        <v>3</v>
      </c>
      <c r="BC60" s="83">
        <f t="shared" si="47"/>
        <v>3</v>
      </c>
      <c r="BD60" s="83">
        <f t="shared" si="47"/>
        <v>3</v>
      </c>
      <c r="BE60" s="83">
        <f t="shared" si="47"/>
        <v>3</v>
      </c>
      <c r="BF60" s="83">
        <f t="shared" si="47"/>
        <v>3</v>
      </c>
      <c r="BG60" s="83">
        <f t="shared" si="47"/>
        <v>3</v>
      </c>
      <c r="BH60" s="83">
        <f t="shared" si="47"/>
        <v>3</v>
      </c>
      <c r="BI60" s="83">
        <f t="shared" si="47"/>
        <v>3</v>
      </c>
      <c r="BJ60" s="83">
        <f t="shared" si="47"/>
        <v>3</v>
      </c>
      <c r="BK60" s="83">
        <f t="shared" si="47"/>
        <v>3</v>
      </c>
      <c r="BL60" s="83">
        <f t="shared" si="47"/>
        <v>3</v>
      </c>
      <c r="BM60" s="83">
        <f t="shared" si="47"/>
        <v>3</v>
      </c>
      <c r="BN60" s="83">
        <f t="shared" si="47"/>
        <v>3</v>
      </c>
    </row>
    <row r="61" outlineLevel="1">
      <c r="A61" s="47"/>
      <c r="B61" s="39" t="s">
        <v>43</v>
      </c>
      <c r="C61" s="47"/>
      <c r="D61" s="80">
        <v>50.0</v>
      </c>
      <c r="E61" s="64"/>
      <c r="F61" s="64"/>
      <c r="G61" s="83">
        <f t="shared" si="48"/>
        <v>50</v>
      </c>
      <c r="H61" s="83">
        <f t="shared" ref="H61:BN61" si="49">G61</f>
        <v>50</v>
      </c>
      <c r="I61" s="83">
        <f t="shared" si="49"/>
        <v>50</v>
      </c>
      <c r="J61" s="83">
        <f t="shared" si="49"/>
        <v>50</v>
      </c>
      <c r="K61" s="83">
        <f t="shared" si="49"/>
        <v>50</v>
      </c>
      <c r="L61" s="83">
        <f t="shared" si="49"/>
        <v>50</v>
      </c>
      <c r="M61" s="83">
        <f t="shared" si="49"/>
        <v>50</v>
      </c>
      <c r="N61" s="83">
        <f t="shared" si="49"/>
        <v>50</v>
      </c>
      <c r="O61" s="83">
        <f t="shared" si="49"/>
        <v>50</v>
      </c>
      <c r="P61" s="83">
        <f t="shared" si="49"/>
        <v>50</v>
      </c>
      <c r="Q61" s="83">
        <f t="shared" si="49"/>
        <v>50</v>
      </c>
      <c r="R61" s="83">
        <f t="shared" si="49"/>
        <v>50</v>
      </c>
      <c r="S61" s="83">
        <f t="shared" si="49"/>
        <v>50</v>
      </c>
      <c r="T61" s="83">
        <f t="shared" si="49"/>
        <v>50</v>
      </c>
      <c r="U61" s="83">
        <f t="shared" si="49"/>
        <v>50</v>
      </c>
      <c r="V61" s="83">
        <f t="shared" si="49"/>
        <v>50</v>
      </c>
      <c r="W61" s="83">
        <f t="shared" si="49"/>
        <v>50</v>
      </c>
      <c r="X61" s="83">
        <f t="shared" si="49"/>
        <v>50</v>
      </c>
      <c r="Y61" s="83">
        <f t="shared" si="49"/>
        <v>50</v>
      </c>
      <c r="Z61" s="83">
        <f t="shared" si="49"/>
        <v>50</v>
      </c>
      <c r="AA61" s="83">
        <f t="shared" si="49"/>
        <v>50</v>
      </c>
      <c r="AB61" s="83">
        <f t="shared" si="49"/>
        <v>50</v>
      </c>
      <c r="AC61" s="83">
        <f t="shared" si="49"/>
        <v>50</v>
      </c>
      <c r="AD61" s="83">
        <f t="shared" si="49"/>
        <v>50</v>
      </c>
      <c r="AE61" s="83">
        <f t="shared" si="49"/>
        <v>50</v>
      </c>
      <c r="AF61" s="83">
        <f t="shared" si="49"/>
        <v>50</v>
      </c>
      <c r="AG61" s="83">
        <f t="shared" si="49"/>
        <v>50</v>
      </c>
      <c r="AH61" s="83">
        <f t="shared" si="49"/>
        <v>50</v>
      </c>
      <c r="AI61" s="83">
        <f t="shared" si="49"/>
        <v>50</v>
      </c>
      <c r="AJ61" s="83">
        <f t="shared" si="49"/>
        <v>50</v>
      </c>
      <c r="AK61" s="83">
        <f t="shared" si="49"/>
        <v>50</v>
      </c>
      <c r="AL61" s="83">
        <f t="shared" si="49"/>
        <v>50</v>
      </c>
      <c r="AM61" s="83">
        <f t="shared" si="49"/>
        <v>50</v>
      </c>
      <c r="AN61" s="83">
        <f t="shared" si="49"/>
        <v>50</v>
      </c>
      <c r="AO61" s="83">
        <f t="shared" si="49"/>
        <v>50</v>
      </c>
      <c r="AP61" s="83">
        <f t="shared" si="49"/>
        <v>50</v>
      </c>
      <c r="AQ61" s="83">
        <f t="shared" si="49"/>
        <v>50</v>
      </c>
      <c r="AR61" s="83">
        <f t="shared" si="49"/>
        <v>50</v>
      </c>
      <c r="AS61" s="83">
        <f t="shared" si="49"/>
        <v>50</v>
      </c>
      <c r="AT61" s="83">
        <f t="shared" si="49"/>
        <v>50</v>
      </c>
      <c r="AU61" s="83">
        <f t="shared" si="49"/>
        <v>50</v>
      </c>
      <c r="AV61" s="83">
        <f t="shared" si="49"/>
        <v>50</v>
      </c>
      <c r="AW61" s="83">
        <f t="shared" si="49"/>
        <v>50</v>
      </c>
      <c r="AX61" s="83">
        <f t="shared" si="49"/>
        <v>50</v>
      </c>
      <c r="AY61" s="83">
        <f t="shared" si="49"/>
        <v>50</v>
      </c>
      <c r="AZ61" s="83">
        <f t="shared" si="49"/>
        <v>50</v>
      </c>
      <c r="BA61" s="83">
        <f t="shared" si="49"/>
        <v>50</v>
      </c>
      <c r="BB61" s="83">
        <f t="shared" si="49"/>
        <v>50</v>
      </c>
      <c r="BC61" s="83">
        <f t="shared" si="49"/>
        <v>50</v>
      </c>
      <c r="BD61" s="83">
        <f t="shared" si="49"/>
        <v>50</v>
      </c>
      <c r="BE61" s="83">
        <f t="shared" si="49"/>
        <v>50</v>
      </c>
      <c r="BF61" s="83">
        <f t="shared" si="49"/>
        <v>50</v>
      </c>
      <c r="BG61" s="83">
        <f t="shared" si="49"/>
        <v>50</v>
      </c>
      <c r="BH61" s="83">
        <f t="shared" si="49"/>
        <v>50</v>
      </c>
      <c r="BI61" s="83">
        <f t="shared" si="49"/>
        <v>50</v>
      </c>
      <c r="BJ61" s="83">
        <f t="shared" si="49"/>
        <v>50</v>
      </c>
      <c r="BK61" s="83">
        <f t="shared" si="49"/>
        <v>50</v>
      </c>
      <c r="BL61" s="83">
        <f t="shared" si="49"/>
        <v>50</v>
      </c>
      <c r="BM61" s="83">
        <f t="shared" si="49"/>
        <v>50</v>
      </c>
      <c r="BN61" s="83">
        <f t="shared" si="49"/>
        <v>50</v>
      </c>
    </row>
    <row r="62" outlineLevel="1">
      <c r="A62" s="47"/>
      <c r="B62" s="74" t="s">
        <v>16</v>
      </c>
      <c r="C62" s="59"/>
      <c r="D62" s="75">
        <v>0.05</v>
      </c>
      <c r="E62" s="90"/>
      <c r="F62" s="90"/>
      <c r="G62" s="62">
        <f t="shared" si="48"/>
        <v>0.05</v>
      </c>
      <c r="H62" s="62">
        <f t="shared" ref="H62:BN62" si="50">G62</f>
        <v>0.05</v>
      </c>
      <c r="I62" s="62">
        <f t="shared" si="50"/>
        <v>0.05</v>
      </c>
      <c r="J62" s="62">
        <f t="shared" si="50"/>
        <v>0.05</v>
      </c>
      <c r="K62" s="62">
        <f t="shared" si="50"/>
        <v>0.05</v>
      </c>
      <c r="L62" s="62">
        <f t="shared" si="50"/>
        <v>0.05</v>
      </c>
      <c r="M62" s="62">
        <f t="shared" si="50"/>
        <v>0.05</v>
      </c>
      <c r="N62" s="62">
        <f t="shared" si="50"/>
        <v>0.05</v>
      </c>
      <c r="O62" s="62">
        <f t="shared" si="50"/>
        <v>0.05</v>
      </c>
      <c r="P62" s="62">
        <f t="shared" si="50"/>
        <v>0.05</v>
      </c>
      <c r="Q62" s="62">
        <f t="shared" si="50"/>
        <v>0.05</v>
      </c>
      <c r="R62" s="62">
        <f t="shared" si="50"/>
        <v>0.05</v>
      </c>
      <c r="S62" s="62">
        <f t="shared" si="50"/>
        <v>0.05</v>
      </c>
      <c r="T62" s="62">
        <f t="shared" si="50"/>
        <v>0.05</v>
      </c>
      <c r="U62" s="62">
        <f t="shared" si="50"/>
        <v>0.05</v>
      </c>
      <c r="V62" s="62">
        <f t="shared" si="50"/>
        <v>0.05</v>
      </c>
      <c r="W62" s="62">
        <f t="shared" si="50"/>
        <v>0.05</v>
      </c>
      <c r="X62" s="62">
        <f t="shared" si="50"/>
        <v>0.05</v>
      </c>
      <c r="Y62" s="62">
        <f t="shared" si="50"/>
        <v>0.05</v>
      </c>
      <c r="Z62" s="62">
        <f t="shared" si="50"/>
        <v>0.05</v>
      </c>
      <c r="AA62" s="62">
        <f t="shared" si="50"/>
        <v>0.05</v>
      </c>
      <c r="AB62" s="62">
        <f t="shared" si="50"/>
        <v>0.05</v>
      </c>
      <c r="AC62" s="62">
        <f t="shared" si="50"/>
        <v>0.05</v>
      </c>
      <c r="AD62" s="62">
        <f t="shared" si="50"/>
        <v>0.05</v>
      </c>
      <c r="AE62" s="62">
        <f t="shared" si="50"/>
        <v>0.05</v>
      </c>
      <c r="AF62" s="62">
        <f t="shared" si="50"/>
        <v>0.05</v>
      </c>
      <c r="AG62" s="62">
        <f t="shared" si="50"/>
        <v>0.05</v>
      </c>
      <c r="AH62" s="62">
        <f t="shared" si="50"/>
        <v>0.05</v>
      </c>
      <c r="AI62" s="62">
        <f t="shared" si="50"/>
        <v>0.05</v>
      </c>
      <c r="AJ62" s="62">
        <f t="shared" si="50"/>
        <v>0.05</v>
      </c>
      <c r="AK62" s="62">
        <f t="shared" si="50"/>
        <v>0.05</v>
      </c>
      <c r="AL62" s="62">
        <f t="shared" si="50"/>
        <v>0.05</v>
      </c>
      <c r="AM62" s="62">
        <f t="shared" si="50"/>
        <v>0.05</v>
      </c>
      <c r="AN62" s="62">
        <f t="shared" si="50"/>
        <v>0.05</v>
      </c>
      <c r="AO62" s="62">
        <f t="shared" si="50"/>
        <v>0.05</v>
      </c>
      <c r="AP62" s="62">
        <f t="shared" si="50"/>
        <v>0.05</v>
      </c>
      <c r="AQ62" s="62">
        <f t="shared" si="50"/>
        <v>0.05</v>
      </c>
      <c r="AR62" s="62">
        <f t="shared" si="50"/>
        <v>0.05</v>
      </c>
      <c r="AS62" s="62">
        <f t="shared" si="50"/>
        <v>0.05</v>
      </c>
      <c r="AT62" s="62">
        <f t="shared" si="50"/>
        <v>0.05</v>
      </c>
      <c r="AU62" s="62">
        <f t="shared" si="50"/>
        <v>0.05</v>
      </c>
      <c r="AV62" s="62">
        <f t="shared" si="50"/>
        <v>0.05</v>
      </c>
      <c r="AW62" s="62">
        <f t="shared" si="50"/>
        <v>0.05</v>
      </c>
      <c r="AX62" s="62">
        <f t="shared" si="50"/>
        <v>0.05</v>
      </c>
      <c r="AY62" s="62">
        <f t="shared" si="50"/>
        <v>0.05</v>
      </c>
      <c r="AZ62" s="62">
        <f t="shared" si="50"/>
        <v>0.05</v>
      </c>
      <c r="BA62" s="62">
        <f t="shared" si="50"/>
        <v>0.05</v>
      </c>
      <c r="BB62" s="62">
        <f t="shared" si="50"/>
        <v>0.05</v>
      </c>
      <c r="BC62" s="62">
        <f t="shared" si="50"/>
        <v>0.05</v>
      </c>
      <c r="BD62" s="62">
        <f t="shared" si="50"/>
        <v>0.05</v>
      </c>
      <c r="BE62" s="62">
        <f t="shared" si="50"/>
        <v>0.05</v>
      </c>
      <c r="BF62" s="62">
        <f t="shared" si="50"/>
        <v>0.05</v>
      </c>
      <c r="BG62" s="62">
        <f t="shared" si="50"/>
        <v>0.05</v>
      </c>
      <c r="BH62" s="62">
        <f t="shared" si="50"/>
        <v>0.05</v>
      </c>
      <c r="BI62" s="62">
        <f t="shared" si="50"/>
        <v>0.05</v>
      </c>
      <c r="BJ62" s="62">
        <f t="shared" si="50"/>
        <v>0.05</v>
      </c>
      <c r="BK62" s="62">
        <f t="shared" si="50"/>
        <v>0.05</v>
      </c>
      <c r="BL62" s="62">
        <f t="shared" si="50"/>
        <v>0.05</v>
      </c>
      <c r="BM62" s="62">
        <f t="shared" si="50"/>
        <v>0.05</v>
      </c>
      <c r="BN62" s="62">
        <f t="shared" si="50"/>
        <v>0.05</v>
      </c>
    </row>
    <row r="63" outlineLevel="1">
      <c r="A63" s="47"/>
      <c r="B63" s="76" t="s">
        <v>17</v>
      </c>
      <c r="C63" s="47"/>
      <c r="D63" s="63"/>
      <c r="E63" s="64"/>
      <c r="F63" s="64"/>
      <c r="G63" s="65">
        <f t="shared" ref="G63:BN63" si="51">G60*G61*G62</f>
        <v>7.5</v>
      </c>
      <c r="H63" s="65">
        <f t="shared" si="51"/>
        <v>7.5</v>
      </c>
      <c r="I63" s="65">
        <f t="shared" si="51"/>
        <v>7.5</v>
      </c>
      <c r="J63" s="65">
        <f t="shared" si="51"/>
        <v>7.5</v>
      </c>
      <c r="K63" s="65">
        <f t="shared" si="51"/>
        <v>7.5</v>
      </c>
      <c r="L63" s="65">
        <f t="shared" si="51"/>
        <v>7.5</v>
      </c>
      <c r="M63" s="65">
        <f t="shared" si="51"/>
        <v>7.5</v>
      </c>
      <c r="N63" s="65">
        <f t="shared" si="51"/>
        <v>7.5</v>
      </c>
      <c r="O63" s="65">
        <f t="shared" si="51"/>
        <v>7.5</v>
      </c>
      <c r="P63" s="65">
        <f t="shared" si="51"/>
        <v>7.5</v>
      </c>
      <c r="Q63" s="65">
        <f t="shared" si="51"/>
        <v>7.5</v>
      </c>
      <c r="R63" s="65">
        <f t="shared" si="51"/>
        <v>7.5</v>
      </c>
      <c r="S63" s="65">
        <f t="shared" si="51"/>
        <v>7.5</v>
      </c>
      <c r="T63" s="65">
        <f t="shared" si="51"/>
        <v>7.5</v>
      </c>
      <c r="U63" s="65">
        <f t="shared" si="51"/>
        <v>7.5</v>
      </c>
      <c r="V63" s="65">
        <f t="shared" si="51"/>
        <v>7.5</v>
      </c>
      <c r="W63" s="65">
        <f t="shared" si="51"/>
        <v>7.5</v>
      </c>
      <c r="X63" s="65">
        <f t="shared" si="51"/>
        <v>7.5</v>
      </c>
      <c r="Y63" s="65">
        <f t="shared" si="51"/>
        <v>7.5</v>
      </c>
      <c r="Z63" s="65">
        <f t="shared" si="51"/>
        <v>7.5</v>
      </c>
      <c r="AA63" s="65">
        <f t="shared" si="51"/>
        <v>7.5</v>
      </c>
      <c r="AB63" s="65">
        <f t="shared" si="51"/>
        <v>7.5</v>
      </c>
      <c r="AC63" s="65">
        <f t="shared" si="51"/>
        <v>7.5</v>
      </c>
      <c r="AD63" s="65">
        <f t="shared" si="51"/>
        <v>7.5</v>
      </c>
      <c r="AE63" s="65">
        <f t="shared" si="51"/>
        <v>7.5</v>
      </c>
      <c r="AF63" s="65">
        <f t="shared" si="51"/>
        <v>7.5</v>
      </c>
      <c r="AG63" s="65">
        <f t="shared" si="51"/>
        <v>7.5</v>
      </c>
      <c r="AH63" s="65">
        <f t="shared" si="51"/>
        <v>7.5</v>
      </c>
      <c r="AI63" s="65">
        <f t="shared" si="51"/>
        <v>7.5</v>
      </c>
      <c r="AJ63" s="65">
        <f t="shared" si="51"/>
        <v>7.5</v>
      </c>
      <c r="AK63" s="65">
        <f t="shared" si="51"/>
        <v>7.5</v>
      </c>
      <c r="AL63" s="65">
        <f t="shared" si="51"/>
        <v>7.5</v>
      </c>
      <c r="AM63" s="65">
        <f t="shared" si="51"/>
        <v>7.5</v>
      </c>
      <c r="AN63" s="65">
        <f t="shared" si="51"/>
        <v>7.5</v>
      </c>
      <c r="AO63" s="65">
        <f t="shared" si="51"/>
        <v>7.5</v>
      </c>
      <c r="AP63" s="65">
        <f t="shared" si="51"/>
        <v>7.5</v>
      </c>
      <c r="AQ63" s="65">
        <f t="shared" si="51"/>
        <v>7.5</v>
      </c>
      <c r="AR63" s="65">
        <f t="shared" si="51"/>
        <v>7.5</v>
      </c>
      <c r="AS63" s="65">
        <f t="shared" si="51"/>
        <v>7.5</v>
      </c>
      <c r="AT63" s="65">
        <f t="shared" si="51"/>
        <v>7.5</v>
      </c>
      <c r="AU63" s="65">
        <f t="shared" si="51"/>
        <v>7.5</v>
      </c>
      <c r="AV63" s="65">
        <f t="shared" si="51"/>
        <v>7.5</v>
      </c>
      <c r="AW63" s="65">
        <f t="shared" si="51"/>
        <v>7.5</v>
      </c>
      <c r="AX63" s="65">
        <f t="shared" si="51"/>
        <v>7.5</v>
      </c>
      <c r="AY63" s="65">
        <f t="shared" si="51"/>
        <v>7.5</v>
      </c>
      <c r="AZ63" s="65">
        <f t="shared" si="51"/>
        <v>7.5</v>
      </c>
      <c r="BA63" s="65">
        <f t="shared" si="51"/>
        <v>7.5</v>
      </c>
      <c r="BB63" s="65">
        <f t="shared" si="51"/>
        <v>7.5</v>
      </c>
      <c r="BC63" s="65">
        <f t="shared" si="51"/>
        <v>7.5</v>
      </c>
      <c r="BD63" s="65">
        <f t="shared" si="51"/>
        <v>7.5</v>
      </c>
      <c r="BE63" s="65">
        <f t="shared" si="51"/>
        <v>7.5</v>
      </c>
      <c r="BF63" s="65">
        <f t="shared" si="51"/>
        <v>7.5</v>
      </c>
      <c r="BG63" s="65">
        <f t="shared" si="51"/>
        <v>7.5</v>
      </c>
      <c r="BH63" s="65">
        <f t="shared" si="51"/>
        <v>7.5</v>
      </c>
      <c r="BI63" s="65">
        <f t="shared" si="51"/>
        <v>7.5</v>
      </c>
      <c r="BJ63" s="65">
        <f t="shared" si="51"/>
        <v>7.5</v>
      </c>
      <c r="BK63" s="65">
        <f t="shared" si="51"/>
        <v>7.5</v>
      </c>
      <c r="BL63" s="65">
        <f t="shared" si="51"/>
        <v>7.5</v>
      </c>
      <c r="BM63" s="65">
        <f t="shared" si="51"/>
        <v>7.5</v>
      </c>
      <c r="BN63" s="65">
        <f t="shared" si="51"/>
        <v>7.5</v>
      </c>
    </row>
    <row r="64" outlineLevel="1">
      <c r="A64" s="47"/>
      <c r="B64" s="66"/>
      <c r="C64" s="47"/>
      <c r="D64" s="47"/>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row>
    <row r="65" outlineLevel="1">
      <c r="A65" s="47"/>
      <c r="B65" s="66" t="s">
        <v>44</v>
      </c>
      <c r="C65" s="47"/>
      <c r="D65" s="47"/>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row>
    <row r="66" outlineLevel="1">
      <c r="A66" s="47"/>
      <c r="B66" s="39" t="s">
        <v>15</v>
      </c>
      <c r="C66" s="47"/>
      <c r="D66" s="80">
        <v>25.0</v>
      </c>
      <c r="E66" s="56"/>
      <c r="F66" s="56"/>
      <c r="G66" s="83">
        <f t="shared" ref="G66:G68" si="53">D66</f>
        <v>25</v>
      </c>
      <c r="H66" s="83">
        <f t="shared" ref="H66:BN66" si="52">G66</f>
        <v>25</v>
      </c>
      <c r="I66" s="83">
        <f t="shared" si="52"/>
        <v>25</v>
      </c>
      <c r="J66" s="83">
        <f t="shared" si="52"/>
        <v>25</v>
      </c>
      <c r="K66" s="83">
        <f t="shared" si="52"/>
        <v>25</v>
      </c>
      <c r="L66" s="83">
        <f t="shared" si="52"/>
        <v>25</v>
      </c>
      <c r="M66" s="83">
        <f t="shared" si="52"/>
        <v>25</v>
      </c>
      <c r="N66" s="83">
        <f t="shared" si="52"/>
        <v>25</v>
      </c>
      <c r="O66" s="83">
        <f t="shared" si="52"/>
        <v>25</v>
      </c>
      <c r="P66" s="83">
        <f t="shared" si="52"/>
        <v>25</v>
      </c>
      <c r="Q66" s="83">
        <f t="shared" si="52"/>
        <v>25</v>
      </c>
      <c r="R66" s="83">
        <f t="shared" si="52"/>
        <v>25</v>
      </c>
      <c r="S66" s="83">
        <f t="shared" si="52"/>
        <v>25</v>
      </c>
      <c r="T66" s="83">
        <f t="shared" si="52"/>
        <v>25</v>
      </c>
      <c r="U66" s="83">
        <f t="shared" si="52"/>
        <v>25</v>
      </c>
      <c r="V66" s="83">
        <f t="shared" si="52"/>
        <v>25</v>
      </c>
      <c r="W66" s="83">
        <f t="shared" si="52"/>
        <v>25</v>
      </c>
      <c r="X66" s="83">
        <f t="shared" si="52"/>
        <v>25</v>
      </c>
      <c r="Y66" s="83">
        <f t="shared" si="52"/>
        <v>25</v>
      </c>
      <c r="Z66" s="83">
        <f t="shared" si="52"/>
        <v>25</v>
      </c>
      <c r="AA66" s="83">
        <f t="shared" si="52"/>
        <v>25</v>
      </c>
      <c r="AB66" s="83">
        <f t="shared" si="52"/>
        <v>25</v>
      </c>
      <c r="AC66" s="83">
        <f t="shared" si="52"/>
        <v>25</v>
      </c>
      <c r="AD66" s="83">
        <f t="shared" si="52"/>
        <v>25</v>
      </c>
      <c r="AE66" s="83">
        <f t="shared" si="52"/>
        <v>25</v>
      </c>
      <c r="AF66" s="83">
        <f t="shared" si="52"/>
        <v>25</v>
      </c>
      <c r="AG66" s="83">
        <f t="shared" si="52"/>
        <v>25</v>
      </c>
      <c r="AH66" s="83">
        <f t="shared" si="52"/>
        <v>25</v>
      </c>
      <c r="AI66" s="83">
        <f t="shared" si="52"/>
        <v>25</v>
      </c>
      <c r="AJ66" s="83">
        <f t="shared" si="52"/>
        <v>25</v>
      </c>
      <c r="AK66" s="83">
        <f t="shared" si="52"/>
        <v>25</v>
      </c>
      <c r="AL66" s="83">
        <f t="shared" si="52"/>
        <v>25</v>
      </c>
      <c r="AM66" s="83">
        <f t="shared" si="52"/>
        <v>25</v>
      </c>
      <c r="AN66" s="83">
        <f t="shared" si="52"/>
        <v>25</v>
      </c>
      <c r="AO66" s="83">
        <f t="shared" si="52"/>
        <v>25</v>
      </c>
      <c r="AP66" s="83">
        <f t="shared" si="52"/>
        <v>25</v>
      </c>
      <c r="AQ66" s="83">
        <f t="shared" si="52"/>
        <v>25</v>
      </c>
      <c r="AR66" s="83">
        <f t="shared" si="52"/>
        <v>25</v>
      </c>
      <c r="AS66" s="83">
        <f t="shared" si="52"/>
        <v>25</v>
      </c>
      <c r="AT66" s="83">
        <f t="shared" si="52"/>
        <v>25</v>
      </c>
      <c r="AU66" s="83">
        <f t="shared" si="52"/>
        <v>25</v>
      </c>
      <c r="AV66" s="83">
        <f t="shared" si="52"/>
        <v>25</v>
      </c>
      <c r="AW66" s="83">
        <f t="shared" si="52"/>
        <v>25</v>
      </c>
      <c r="AX66" s="83">
        <f t="shared" si="52"/>
        <v>25</v>
      </c>
      <c r="AY66" s="83">
        <f t="shared" si="52"/>
        <v>25</v>
      </c>
      <c r="AZ66" s="83">
        <f t="shared" si="52"/>
        <v>25</v>
      </c>
      <c r="BA66" s="83">
        <f t="shared" si="52"/>
        <v>25</v>
      </c>
      <c r="BB66" s="83">
        <f t="shared" si="52"/>
        <v>25</v>
      </c>
      <c r="BC66" s="83">
        <f t="shared" si="52"/>
        <v>25</v>
      </c>
      <c r="BD66" s="83">
        <f t="shared" si="52"/>
        <v>25</v>
      </c>
      <c r="BE66" s="83">
        <f t="shared" si="52"/>
        <v>25</v>
      </c>
      <c r="BF66" s="83">
        <f t="shared" si="52"/>
        <v>25</v>
      </c>
      <c r="BG66" s="83">
        <f t="shared" si="52"/>
        <v>25</v>
      </c>
      <c r="BH66" s="83">
        <f t="shared" si="52"/>
        <v>25</v>
      </c>
      <c r="BI66" s="83">
        <f t="shared" si="52"/>
        <v>25</v>
      </c>
      <c r="BJ66" s="83">
        <f t="shared" si="52"/>
        <v>25</v>
      </c>
      <c r="BK66" s="83">
        <f t="shared" si="52"/>
        <v>25</v>
      </c>
      <c r="BL66" s="83">
        <f t="shared" si="52"/>
        <v>25</v>
      </c>
      <c r="BM66" s="83">
        <f t="shared" si="52"/>
        <v>25</v>
      </c>
      <c r="BN66" s="83">
        <f t="shared" si="52"/>
        <v>25</v>
      </c>
    </row>
    <row r="67" outlineLevel="1">
      <c r="A67" s="47"/>
      <c r="B67" s="39" t="s">
        <v>45</v>
      </c>
      <c r="C67" s="47"/>
      <c r="D67" s="94">
        <v>2.0</v>
      </c>
      <c r="E67" s="64"/>
      <c r="F67" s="64"/>
      <c r="G67" s="95">
        <f t="shared" si="53"/>
        <v>2</v>
      </c>
      <c r="H67" s="95">
        <f t="shared" ref="H67:BN67" si="54">G67</f>
        <v>2</v>
      </c>
      <c r="I67" s="95">
        <f t="shared" si="54"/>
        <v>2</v>
      </c>
      <c r="J67" s="95">
        <f t="shared" si="54"/>
        <v>2</v>
      </c>
      <c r="K67" s="95">
        <f t="shared" si="54"/>
        <v>2</v>
      </c>
      <c r="L67" s="95">
        <f t="shared" si="54"/>
        <v>2</v>
      </c>
      <c r="M67" s="95">
        <f t="shared" si="54"/>
        <v>2</v>
      </c>
      <c r="N67" s="95">
        <f t="shared" si="54"/>
        <v>2</v>
      </c>
      <c r="O67" s="95">
        <f t="shared" si="54"/>
        <v>2</v>
      </c>
      <c r="P67" s="95">
        <f t="shared" si="54"/>
        <v>2</v>
      </c>
      <c r="Q67" s="95">
        <f t="shared" si="54"/>
        <v>2</v>
      </c>
      <c r="R67" s="95">
        <f t="shared" si="54"/>
        <v>2</v>
      </c>
      <c r="S67" s="95">
        <f t="shared" si="54"/>
        <v>2</v>
      </c>
      <c r="T67" s="95">
        <f t="shared" si="54"/>
        <v>2</v>
      </c>
      <c r="U67" s="95">
        <f t="shared" si="54"/>
        <v>2</v>
      </c>
      <c r="V67" s="95">
        <f t="shared" si="54"/>
        <v>2</v>
      </c>
      <c r="W67" s="95">
        <f t="shared" si="54"/>
        <v>2</v>
      </c>
      <c r="X67" s="95">
        <f t="shared" si="54"/>
        <v>2</v>
      </c>
      <c r="Y67" s="95">
        <f t="shared" si="54"/>
        <v>2</v>
      </c>
      <c r="Z67" s="95">
        <f t="shared" si="54"/>
        <v>2</v>
      </c>
      <c r="AA67" s="95">
        <f t="shared" si="54"/>
        <v>2</v>
      </c>
      <c r="AB67" s="95">
        <f t="shared" si="54"/>
        <v>2</v>
      </c>
      <c r="AC67" s="95">
        <f t="shared" si="54"/>
        <v>2</v>
      </c>
      <c r="AD67" s="95">
        <f t="shared" si="54"/>
        <v>2</v>
      </c>
      <c r="AE67" s="95">
        <f t="shared" si="54"/>
        <v>2</v>
      </c>
      <c r="AF67" s="95">
        <f t="shared" si="54"/>
        <v>2</v>
      </c>
      <c r="AG67" s="95">
        <f t="shared" si="54"/>
        <v>2</v>
      </c>
      <c r="AH67" s="95">
        <f t="shared" si="54"/>
        <v>2</v>
      </c>
      <c r="AI67" s="95">
        <f t="shared" si="54"/>
        <v>2</v>
      </c>
      <c r="AJ67" s="95">
        <f t="shared" si="54"/>
        <v>2</v>
      </c>
      <c r="AK67" s="95">
        <f t="shared" si="54"/>
        <v>2</v>
      </c>
      <c r="AL67" s="95">
        <f t="shared" si="54"/>
        <v>2</v>
      </c>
      <c r="AM67" s="95">
        <f t="shared" si="54"/>
        <v>2</v>
      </c>
      <c r="AN67" s="95">
        <f t="shared" si="54"/>
        <v>2</v>
      </c>
      <c r="AO67" s="95">
        <f t="shared" si="54"/>
        <v>2</v>
      </c>
      <c r="AP67" s="95">
        <f t="shared" si="54"/>
        <v>2</v>
      </c>
      <c r="AQ67" s="95">
        <f t="shared" si="54"/>
        <v>2</v>
      </c>
      <c r="AR67" s="95">
        <f t="shared" si="54"/>
        <v>2</v>
      </c>
      <c r="AS67" s="95">
        <f t="shared" si="54"/>
        <v>2</v>
      </c>
      <c r="AT67" s="95">
        <f t="shared" si="54"/>
        <v>2</v>
      </c>
      <c r="AU67" s="95">
        <f t="shared" si="54"/>
        <v>2</v>
      </c>
      <c r="AV67" s="95">
        <f t="shared" si="54"/>
        <v>2</v>
      </c>
      <c r="AW67" s="95">
        <f t="shared" si="54"/>
        <v>2</v>
      </c>
      <c r="AX67" s="95">
        <f t="shared" si="54"/>
        <v>2</v>
      </c>
      <c r="AY67" s="95">
        <f t="shared" si="54"/>
        <v>2</v>
      </c>
      <c r="AZ67" s="95">
        <f t="shared" si="54"/>
        <v>2</v>
      </c>
      <c r="BA67" s="95">
        <f t="shared" si="54"/>
        <v>2</v>
      </c>
      <c r="BB67" s="95">
        <f t="shared" si="54"/>
        <v>2</v>
      </c>
      <c r="BC67" s="95">
        <f t="shared" si="54"/>
        <v>2</v>
      </c>
      <c r="BD67" s="95">
        <f t="shared" si="54"/>
        <v>2</v>
      </c>
      <c r="BE67" s="95">
        <f t="shared" si="54"/>
        <v>2</v>
      </c>
      <c r="BF67" s="95">
        <f t="shared" si="54"/>
        <v>2</v>
      </c>
      <c r="BG67" s="95">
        <f t="shared" si="54"/>
        <v>2</v>
      </c>
      <c r="BH67" s="95">
        <f t="shared" si="54"/>
        <v>2</v>
      </c>
      <c r="BI67" s="95">
        <f t="shared" si="54"/>
        <v>2</v>
      </c>
      <c r="BJ67" s="95">
        <f t="shared" si="54"/>
        <v>2</v>
      </c>
      <c r="BK67" s="95">
        <f t="shared" si="54"/>
        <v>2</v>
      </c>
      <c r="BL67" s="95">
        <f t="shared" si="54"/>
        <v>2</v>
      </c>
      <c r="BM67" s="95">
        <f t="shared" si="54"/>
        <v>2</v>
      </c>
      <c r="BN67" s="95">
        <f t="shared" si="54"/>
        <v>2</v>
      </c>
    </row>
    <row r="68" outlineLevel="1">
      <c r="A68" s="47"/>
      <c r="B68" s="74" t="s">
        <v>16</v>
      </c>
      <c r="C68" s="59"/>
      <c r="D68" s="75">
        <v>0.2</v>
      </c>
      <c r="E68" s="90"/>
      <c r="F68" s="90"/>
      <c r="G68" s="75">
        <f t="shared" si="53"/>
        <v>0.2</v>
      </c>
      <c r="H68" s="75">
        <f t="shared" ref="H68:BN68" si="55">G68</f>
        <v>0.2</v>
      </c>
      <c r="I68" s="75">
        <f t="shared" si="55"/>
        <v>0.2</v>
      </c>
      <c r="J68" s="75">
        <f t="shared" si="55"/>
        <v>0.2</v>
      </c>
      <c r="K68" s="75">
        <f t="shared" si="55"/>
        <v>0.2</v>
      </c>
      <c r="L68" s="75">
        <f t="shared" si="55"/>
        <v>0.2</v>
      </c>
      <c r="M68" s="75">
        <f t="shared" si="55"/>
        <v>0.2</v>
      </c>
      <c r="N68" s="62">
        <f t="shared" si="55"/>
        <v>0.2</v>
      </c>
      <c r="O68" s="62">
        <f t="shared" si="55"/>
        <v>0.2</v>
      </c>
      <c r="P68" s="62">
        <f t="shared" si="55"/>
        <v>0.2</v>
      </c>
      <c r="Q68" s="62">
        <f t="shared" si="55"/>
        <v>0.2</v>
      </c>
      <c r="R68" s="62">
        <f t="shared" si="55"/>
        <v>0.2</v>
      </c>
      <c r="S68" s="62">
        <f t="shared" si="55"/>
        <v>0.2</v>
      </c>
      <c r="T68" s="62">
        <f t="shared" si="55"/>
        <v>0.2</v>
      </c>
      <c r="U68" s="62">
        <f t="shared" si="55"/>
        <v>0.2</v>
      </c>
      <c r="V68" s="62">
        <f t="shared" si="55"/>
        <v>0.2</v>
      </c>
      <c r="W68" s="62">
        <f t="shared" si="55"/>
        <v>0.2</v>
      </c>
      <c r="X68" s="62">
        <f t="shared" si="55"/>
        <v>0.2</v>
      </c>
      <c r="Y68" s="62">
        <f t="shared" si="55"/>
        <v>0.2</v>
      </c>
      <c r="Z68" s="62">
        <f t="shared" si="55"/>
        <v>0.2</v>
      </c>
      <c r="AA68" s="62">
        <f t="shared" si="55"/>
        <v>0.2</v>
      </c>
      <c r="AB68" s="62">
        <f t="shared" si="55"/>
        <v>0.2</v>
      </c>
      <c r="AC68" s="62">
        <f t="shared" si="55"/>
        <v>0.2</v>
      </c>
      <c r="AD68" s="62">
        <f t="shared" si="55"/>
        <v>0.2</v>
      </c>
      <c r="AE68" s="62">
        <f t="shared" si="55"/>
        <v>0.2</v>
      </c>
      <c r="AF68" s="62">
        <f t="shared" si="55"/>
        <v>0.2</v>
      </c>
      <c r="AG68" s="62">
        <f t="shared" si="55"/>
        <v>0.2</v>
      </c>
      <c r="AH68" s="62">
        <f t="shared" si="55"/>
        <v>0.2</v>
      </c>
      <c r="AI68" s="62">
        <f t="shared" si="55"/>
        <v>0.2</v>
      </c>
      <c r="AJ68" s="62">
        <f t="shared" si="55"/>
        <v>0.2</v>
      </c>
      <c r="AK68" s="62">
        <f t="shared" si="55"/>
        <v>0.2</v>
      </c>
      <c r="AL68" s="62">
        <f t="shared" si="55"/>
        <v>0.2</v>
      </c>
      <c r="AM68" s="62">
        <f t="shared" si="55"/>
        <v>0.2</v>
      </c>
      <c r="AN68" s="62">
        <f t="shared" si="55"/>
        <v>0.2</v>
      </c>
      <c r="AO68" s="62">
        <f t="shared" si="55"/>
        <v>0.2</v>
      </c>
      <c r="AP68" s="62">
        <f t="shared" si="55"/>
        <v>0.2</v>
      </c>
      <c r="AQ68" s="62">
        <f t="shared" si="55"/>
        <v>0.2</v>
      </c>
      <c r="AR68" s="62">
        <f t="shared" si="55"/>
        <v>0.2</v>
      </c>
      <c r="AS68" s="62">
        <f t="shared" si="55"/>
        <v>0.2</v>
      </c>
      <c r="AT68" s="62">
        <f t="shared" si="55"/>
        <v>0.2</v>
      </c>
      <c r="AU68" s="62">
        <f t="shared" si="55"/>
        <v>0.2</v>
      </c>
      <c r="AV68" s="62">
        <f t="shared" si="55"/>
        <v>0.2</v>
      </c>
      <c r="AW68" s="62">
        <f t="shared" si="55"/>
        <v>0.2</v>
      </c>
      <c r="AX68" s="62">
        <f t="shared" si="55"/>
        <v>0.2</v>
      </c>
      <c r="AY68" s="62">
        <f t="shared" si="55"/>
        <v>0.2</v>
      </c>
      <c r="AZ68" s="62">
        <f t="shared" si="55"/>
        <v>0.2</v>
      </c>
      <c r="BA68" s="62">
        <f t="shared" si="55"/>
        <v>0.2</v>
      </c>
      <c r="BB68" s="62">
        <f t="shared" si="55"/>
        <v>0.2</v>
      </c>
      <c r="BC68" s="62">
        <f t="shared" si="55"/>
        <v>0.2</v>
      </c>
      <c r="BD68" s="62">
        <f t="shared" si="55"/>
        <v>0.2</v>
      </c>
      <c r="BE68" s="62">
        <f t="shared" si="55"/>
        <v>0.2</v>
      </c>
      <c r="BF68" s="62">
        <f t="shared" si="55"/>
        <v>0.2</v>
      </c>
      <c r="BG68" s="62">
        <f t="shared" si="55"/>
        <v>0.2</v>
      </c>
      <c r="BH68" s="62">
        <f t="shared" si="55"/>
        <v>0.2</v>
      </c>
      <c r="BI68" s="62">
        <f t="shared" si="55"/>
        <v>0.2</v>
      </c>
      <c r="BJ68" s="62">
        <f t="shared" si="55"/>
        <v>0.2</v>
      </c>
      <c r="BK68" s="62">
        <f t="shared" si="55"/>
        <v>0.2</v>
      </c>
      <c r="BL68" s="62">
        <f t="shared" si="55"/>
        <v>0.2</v>
      </c>
      <c r="BM68" s="62">
        <f t="shared" si="55"/>
        <v>0.2</v>
      </c>
      <c r="BN68" s="62">
        <f t="shared" si="55"/>
        <v>0.2</v>
      </c>
    </row>
    <row r="69" outlineLevel="1">
      <c r="A69" s="47"/>
      <c r="B69" s="76" t="s">
        <v>17</v>
      </c>
      <c r="C69" s="47"/>
      <c r="D69" s="63"/>
      <c r="E69" s="64"/>
      <c r="F69" s="64"/>
      <c r="G69" s="96">
        <f t="shared" ref="G69:BN69" si="56">IFERROR(offset(G66,,-G67+1)*G68,0)</f>
        <v>0</v>
      </c>
      <c r="H69" s="96">
        <f t="shared" si="56"/>
        <v>5</v>
      </c>
      <c r="I69" s="96">
        <f t="shared" si="56"/>
        <v>5</v>
      </c>
      <c r="J69" s="96">
        <f t="shared" si="56"/>
        <v>5</v>
      </c>
      <c r="K69" s="96">
        <f t="shared" si="56"/>
        <v>5</v>
      </c>
      <c r="L69" s="96">
        <f t="shared" si="56"/>
        <v>5</v>
      </c>
      <c r="M69" s="96">
        <f t="shared" si="56"/>
        <v>5</v>
      </c>
      <c r="N69" s="96">
        <f t="shared" si="56"/>
        <v>5</v>
      </c>
      <c r="O69" s="96">
        <f t="shared" si="56"/>
        <v>5</v>
      </c>
      <c r="P69" s="96">
        <f t="shared" si="56"/>
        <v>5</v>
      </c>
      <c r="Q69" s="96">
        <f t="shared" si="56"/>
        <v>5</v>
      </c>
      <c r="R69" s="96">
        <f t="shared" si="56"/>
        <v>5</v>
      </c>
      <c r="S69" s="96">
        <f t="shared" si="56"/>
        <v>5</v>
      </c>
      <c r="T69" s="96">
        <f t="shared" si="56"/>
        <v>5</v>
      </c>
      <c r="U69" s="96">
        <f t="shared" si="56"/>
        <v>5</v>
      </c>
      <c r="V69" s="96">
        <f t="shared" si="56"/>
        <v>5</v>
      </c>
      <c r="W69" s="96">
        <f t="shared" si="56"/>
        <v>5</v>
      </c>
      <c r="X69" s="96">
        <f t="shared" si="56"/>
        <v>5</v>
      </c>
      <c r="Y69" s="96">
        <f t="shared" si="56"/>
        <v>5</v>
      </c>
      <c r="Z69" s="96">
        <f t="shared" si="56"/>
        <v>5</v>
      </c>
      <c r="AA69" s="96">
        <f t="shared" si="56"/>
        <v>5</v>
      </c>
      <c r="AB69" s="96">
        <f t="shared" si="56"/>
        <v>5</v>
      </c>
      <c r="AC69" s="96">
        <f t="shared" si="56"/>
        <v>5</v>
      </c>
      <c r="AD69" s="96">
        <f t="shared" si="56"/>
        <v>5</v>
      </c>
      <c r="AE69" s="96">
        <f t="shared" si="56"/>
        <v>5</v>
      </c>
      <c r="AF69" s="96">
        <f t="shared" si="56"/>
        <v>5</v>
      </c>
      <c r="AG69" s="96">
        <f t="shared" si="56"/>
        <v>5</v>
      </c>
      <c r="AH69" s="96">
        <f t="shared" si="56"/>
        <v>5</v>
      </c>
      <c r="AI69" s="96">
        <f t="shared" si="56"/>
        <v>5</v>
      </c>
      <c r="AJ69" s="96">
        <f t="shared" si="56"/>
        <v>5</v>
      </c>
      <c r="AK69" s="96">
        <f t="shared" si="56"/>
        <v>5</v>
      </c>
      <c r="AL69" s="96">
        <f t="shared" si="56"/>
        <v>5</v>
      </c>
      <c r="AM69" s="96">
        <f t="shared" si="56"/>
        <v>5</v>
      </c>
      <c r="AN69" s="96">
        <f t="shared" si="56"/>
        <v>5</v>
      </c>
      <c r="AO69" s="96">
        <f t="shared" si="56"/>
        <v>5</v>
      </c>
      <c r="AP69" s="96">
        <f t="shared" si="56"/>
        <v>5</v>
      </c>
      <c r="AQ69" s="96">
        <f t="shared" si="56"/>
        <v>5</v>
      </c>
      <c r="AR69" s="96">
        <f t="shared" si="56"/>
        <v>5</v>
      </c>
      <c r="AS69" s="96">
        <f t="shared" si="56"/>
        <v>5</v>
      </c>
      <c r="AT69" s="96">
        <f t="shared" si="56"/>
        <v>5</v>
      </c>
      <c r="AU69" s="96">
        <f t="shared" si="56"/>
        <v>5</v>
      </c>
      <c r="AV69" s="96">
        <f t="shared" si="56"/>
        <v>5</v>
      </c>
      <c r="AW69" s="96">
        <f t="shared" si="56"/>
        <v>5</v>
      </c>
      <c r="AX69" s="96">
        <f t="shared" si="56"/>
        <v>5</v>
      </c>
      <c r="AY69" s="96">
        <f t="shared" si="56"/>
        <v>5</v>
      </c>
      <c r="AZ69" s="96">
        <f t="shared" si="56"/>
        <v>5</v>
      </c>
      <c r="BA69" s="96">
        <f t="shared" si="56"/>
        <v>5</v>
      </c>
      <c r="BB69" s="96">
        <f t="shared" si="56"/>
        <v>5</v>
      </c>
      <c r="BC69" s="96">
        <f t="shared" si="56"/>
        <v>5</v>
      </c>
      <c r="BD69" s="96">
        <f t="shared" si="56"/>
        <v>5</v>
      </c>
      <c r="BE69" s="96">
        <f t="shared" si="56"/>
        <v>5</v>
      </c>
      <c r="BF69" s="96">
        <f t="shared" si="56"/>
        <v>5</v>
      </c>
      <c r="BG69" s="96">
        <f t="shared" si="56"/>
        <v>5</v>
      </c>
      <c r="BH69" s="96">
        <f t="shared" si="56"/>
        <v>5</v>
      </c>
      <c r="BI69" s="96">
        <f t="shared" si="56"/>
        <v>5</v>
      </c>
      <c r="BJ69" s="96">
        <f t="shared" si="56"/>
        <v>5</v>
      </c>
      <c r="BK69" s="96">
        <f t="shared" si="56"/>
        <v>5</v>
      </c>
      <c r="BL69" s="96">
        <f t="shared" si="56"/>
        <v>5</v>
      </c>
      <c r="BM69" s="96">
        <f t="shared" si="56"/>
        <v>5</v>
      </c>
      <c r="BN69" s="96">
        <f t="shared" si="56"/>
        <v>5</v>
      </c>
    </row>
    <row r="70" outlineLevel="1">
      <c r="A70" s="47"/>
      <c r="B70" s="97"/>
      <c r="C70" s="61"/>
      <c r="D70" s="61"/>
      <c r="E70" s="90"/>
      <c r="F70" s="90"/>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row>
    <row r="71" outlineLevel="1">
      <c r="A71" s="99"/>
      <c r="B71" s="100" t="s">
        <v>46</v>
      </c>
      <c r="C71" s="99"/>
      <c r="D71" s="101"/>
      <c r="E71" s="102"/>
      <c r="F71" s="102"/>
      <c r="G71" s="102">
        <f t="shared" ref="G71:BN71" si="57">G13+G19+G25+G31+G38+G44+G50+G57+G63+G69</f>
        <v>378.5</v>
      </c>
      <c r="H71" s="102">
        <f t="shared" si="57"/>
        <v>406.9275</v>
      </c>
      <c r="I71" s="102">
        <f t="shared" si="57"/>
        <v>427.9789125</v>
      </c>
      <c r="J71" s="102">
        <f t="shared" si="57"/>
        <v>450.9821837</v>
      </c>
      <c r="K71" s="102">
        <f t="shared" si="57"/>
        <v>477.2834828</v>
      </c>
      <c r="L71" s="102">
        <f t="shared" si="57"/>
        <v>505.1298772</v>
      </c>
      <c r="M71" s="102">
        <f t="shared" si="57"/>
        <v>504.5475732</v>
      </c>
      <c r="N71" s="102">
        <f t="shared" si="57"/>
        <v>504.5388386</v>
      </c>
      <c r="O71" s="102">
        <f t="shared" si="57"/>
        <v>504.5387076</v>
      </c>
      <c r="P71" s="102">
        <f t="shared" si="57"/>
        <v>504.5387056</v>
      </c>
      <c r="Q71" s="102">
        <f t="shared" si="57"/>
        <v>505.5387056</v>
      </c>
      <c r="R71" s="102">
        <f t="shared" si="57"/>
        <v>505.5537056</v>
      </c>
      <c r="S71" s="102">
        <f t="shared" si="57"/>
        <v>505.5539306</v>
      </c>
      <c r="T71" s="102">
        <f t="shared" si="57"/>
        <v>505.553934</v>
      </c>
      <c r="U71" s="102">
        <f t="shared" si="57"/>
        <v>505.553934</v>
      </c>
      <c r="V71" s="102">
        <f t="shared" si="57"/>
        <v>505.553934</v>
      </c>
      <c r="W71" s="102">
        <f t="shared" si="57"/>
        <v>505.553934</v>
      </c>
      <c r="X71" s="102">
        <f t="shared" si="57"/>
        <v>505.553934</v>
      </c>
      <c r="Y71" s="102">
        <f t="shared" si="57"/>
        <v>505.553934</v>
      </c>
      <c r="Z71" s="102">
        <f t="shared" si="57"/>
        <v>505.553934</v>
      </c>
      <c r="AA71" s="102">
        <f t="shared" si="57"/>
        <v>505.553934</v>
      </c>
      <c r="AB71" s="102">
        <f t="shared" si="57"/>
        <v>505.553934</v>
      </c>
      <c r="AC71" s="102">
        <f t="shared" si="57"/>
        <v>505.553934</v>
      </c>
      <c r="AD71" s="102">
        <f t="shared" si="57"/>
        <v>505.553934</v>
      </c>
      <c r="AE71" s="102">
        <f t="shared" si="57"/>
        <v>505.553934</v>
      </c>
      <c r="AF71" s="102">
        <f t="shared" si="57"/>
        <v>505.553934</v>
      </c>
      <c r="AG71" s="102">
        <f t="shared" si="57"/>
        <v>505.553934</v>
      </c>
      <c r="AH71" s="102">
        <f t="shared" si="57"/>
        <v>505.553934</v>
      </c>
      <c r="AI71" s="102">
        <f t="shared" si="57"/>
        <v>505.553934</v>
      </c>
      <c r="AJ71" s="102">
        <f t="shared" si="57"/>
        <v>505.553934</v>
      </c>
      <c r="AK71" s="102">
        <f t="shared" si="57"/>
        <v>505.553934</v>
      </c>
      <c r="AL71" s="102">
        <f t="shared" si="57"/>
        <v>505.553934</v>
      </c>
      <c r="AM71" s="102">
        <f t="shared" si="57"/>
        <v>505.553934</v>
      </c>
      <c r="AN71" s="102">
        <f t="shared" si="57"/>
        <v>505.553934</v>
      </c>
      <c r="AO71" s="102">
        <f t="shared" si="57"/>
        <v>505.553934</v>
      </c>
      <c r="AP71" s="102">
        <f t="shared" si="57"/>
        <v>505.553934</v>
      </c>
      <c r="AQ71" s="102">
        <f t="shared" si="57"/>
        <v>505.553934</v>
      </c>
      <c r="AR71" s="102">
        <f t="shared" si="57"/>
        <v>505.553934</v>
      </c>
      <c r="AS71" s="102">
        <f t="shared" si="57"/>
        <v>505.553934</v>
      </c>
      <c r="AT71" s="102">
        <f t="shared" si="57"/>
        <v>505.553934</v>
      </c>
      <c r="AU71" s="102">
        <f t="shared" si="57"/>
        <v>505.553934</v>
      </c>
      <c r="AV71" s="102">
        <f t="shared" si="57"/>
        <v>505.553934</v>
      </c>
      <c r="AW71" s="102">
        <f t="shared" si="57"/>
        <v>505.553934</v>
      </c>
      <c r="AX71" s="102">
        <f t="shared" si="57"/>
        <v>505.553934</v>
      </c>
      <c r="AY71" s="102">
        <f t="shared" si="57"/>
        <v>505.553934</v>
      </c>
      <c r="AZ71" s="102">
        <f t="shared" si="57"/>
        <v>505.553934</v>
      </c>
      <c r="BA71" s="102">
        <f t="shared" si="57"/>
        <v>505.553934</v>
      </c>
      <c r="BB71" s="102">
        <f t="shared" si="57"/>
        <v>505.553934</v>
      </c>
      <c r="BC71" s="102">
        <f t="shared" si="57"/>
        <v>505.553934</v>
      </c>
      <c r="BD71" s="102">
        <f t="shared" si="57"/>
        <v>505.553934</v>
      </c>
      <c r="BE71" s="102">
        <f t="shared" si="57"/>
        <v>505.553934</v>
      </c>
      <c r="BF71" s="102">
        <f t="shared" si="57"/>
        <v>505.553934</v>
      </c>
      <c r="BG71" s="102">
        <f t="shared" si="57"/>
        <v>505.553934</v>
      </c>
      <c r="BH71" s="102">
        <f t="shared" si="57"/>
        <v>505.553934</v>
      </c>
      <c r="BI71" s="102">
        <f t="shared" si="57"/>
        <v>505.553934</v>
      </c>
      <c r="BJ71" s="102">
        <f t="shared" si="57"/>
        <v>505.553934</v>
      </c>
      <c r="BK71" s="102">
        <f t="shared" si="57"/>
        <v>505.553934</v>
      </c>
      <c r="BL71" s="102">
        <f t="shared" si="57"/>
        <v>505.553934</v>
      </c>
      <c r="BM71" s="102">
        <f t="shared" si="57"/>
        <v>505.553934</v>
      </c>
      <c r="BN71" s="102">
        <f t="shared" si="57"/>
        <v>505.553934</v>
      </c>
    </row>
    <row r="72">
      <c r="A72" s="47"/>
      <c r="B72" s="103"/>
      <c r="C72" s="47"/>
      <c r="D72" s="47"/>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row>
    <row r="73">
      <c r="A73" s="47"/>
      <c r="B73" s="48" t="s">
        <v>47</v>
      </c>
      <c r="C73" s="49"/>
      <c r="D73" s="49"/>
      <c r="E73" s="49"/>
      <c r="F73" s="49"/>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row>
    <row r="74" outlineLevel="1">
      <c r="A74" s="47"/>
      <c r="B74" s="47"/>
      <c r="C74" s="47"/>
      <c r="D74" s="47"/>
      <c r="E74" s="47"/>
      <c r="F74" s="47"/>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row>
    <row r="75" outlineLevel="1">
      <c r="A75" s="47"/>
      <c r="B75" s="66" t="s">
        <v>48</v>
      </c>
      <c r="C75" s="104"/>
      <c r="D75" s="47"/>
      <c r="E75" s="47"/>
      <c r="F75" s="47"/>
      <c r="G75" s="93"/>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row>
    <row r="76" outlineLevel="1">
      <c r="A76" s="47"/>
      <c r="B76" s="39" t="s">
        <v>49</v>
      </c>
      <c r="C76" s="104"/>
      <c r="D76" s="105">
        <v>0.5</v>
      </c>
      <c r="E76" s="47"/>
      <c r="F76" s="47"/>
      <c r="G76" s="93">
        <f>D76</f>
        <v>0.5</v>
      </c>
      <c r="H76" s="93">
        <f t="shared" ref="H76:BN76" si="58">G76</f>
        <v>0.5</v>
      </c>
      <c r="I76" s="93">
        <f t="shared" si="58"/>
        <v>0.5</v>
      </c>
      <c r="J76" s="93">
        <f t="shared" si="58"/>
        <v>0.5</v>
      </c>
      <c r="K76" s="93">
        <f t="shared" si="58"/>
        <v>0.5</v>
      </c>
      <c r="L76" s="93">
        <f t="shared" si="58"/>
        <v>0.5</v>
      </c>
      <c r="M76" s="93">
        <f t="shared" si="58"/>
        <v>0.5</v>
      </c>
      <c r="N76" s="93">
        <f t="shared" si="58"/>
        <v>0.5</v>
      </c>
      <c r="O76" s="93">
        <f t="shared" si="58"/>
        <v>0.5</v>
      </c>
      <c r="P76" s="93">
        <f t="shared" si="58"/>
        <v>0.5</v>
      </c>
      <c r="Q76" s="93">
        <f t="shared" si="58"/>
        <v>0.5</v>
      </c>
      <c r="R76" s="93">
        <f t="shared" si="58"/>
        <v>0.5</v>
      </c>
      <c r="S76" s="93">
        <f t="shared" si="58"/>
        <v>0.5</v>
      </c>
      <c r="T76" s="93">
        <f t="shared" si="58"/>
        <v>0.5</v>
      </c>
      <c r="U76" s="93">
        <f t="shared" si="58"/>
        <v>0.5</v>
      </c>
      <c r="V76" s="93">
        <f t="shared" si="58"/>
        <v>0.5</v>
      </c>
      <c r="W76" s="93">
        <f t="shared" si="58"/>
        <v>0.5</v>
      </c>
      <c r="X76" s="93">
        <f t="shared" si="58"/>
        <v>0.5</v>
      </c>
      <c r="Y76" s="93">
        <f t="shared" si="58"/>
        <v>0.5</v>
      </c>
      <c r="Z76" s="93">
        <f t="shared" si="58"/>
        <v>0.5</v>
      </c>
      <c r="AA76" s="93">
        <f t="shared" si="58"/>
        <v>0.5</v>
      </c>
      <c r="AB76" s="93">
        <f t="shared" si="58"/>
        <v>0.5</v>
      </c>
      <c r="AC76" s="93">
        <f t="shared" si="58"/>
        <v>0.5</v>
      </c>
      <c r="AD76" s="93">
        <f t="shared" si="58"/>
        <v>0.5</v>
      </c>
      <c r="AE76" s="93">
        <f t="shared" si="58"/>
        <v>0.5</v>
      </c>
      <c r="AF76" s="93">
        <f t="shared" si="58"/>
        <v>0.5</v>
      </c>
      <c r="AG76" s="93">
        <f t="shared" si="58"/>
        <v>0.5</v>
      </c>
      <c r="AH76" s="93">
        <f t="shared" si="58"/>
        <v>0.5</v>
      </c>
      <c r="AI76" s="93">
        <f t="shared" si="58"/>
        <v>0.5</v>
      </c>
      <c r="AJ76" s="93">
        <f t="shared" si="58"/>
        <v>0.5</v>
      </c>
      <c r="AK76" s="93">
        <f t="shared" si="58"/>
        <v>0.5</v>
      </c>
      <c r="AL76" s="93">
        <f t="shared" si="58"/>
        <v>0.5</v>
      </c>
      <c r="AM76" s="93">
        <f t="shared" si="58"/>
        <v>0.5</v>
      </c>
      <c r="AN76" s="93">
        <f t="shared" si="58"/>
        <v>0.5</v>
      </c>
      <c r="AO76" s="93">
        <f t="shared" si="58"/>
        <v>0.5</v>
      </c>
      <c r="AP76" s="93">
        <f t="shared" si="58"/>
        <v>0.5</v>
      </c>
      <c r="AQ76" s="93">
        <f t="shared" si="58"/>
        <v>0.5</v>
      </c>
      <c r="AR76" s="93">
        <f t="shared" si="58"/>
        <v>0.5</v>
      </c>
      <c r="AS76" s="93">
        <f t="shared" si="58"/>
        <v>0.5</v>
      </c>
      <c r="AT76" s="93">
        <f t="shared" si="58"/>
        <v>0.5</v>
      </c>
      <c r="AU76" s="93">
        <f t="shared" si="58"/>
        <v>0.5</v>
      </c>
      <c r="AV76" s="93">
        <f t="shared" si="58"/>
        <v>0.5</v>
      </c>
      <c r="AW76" s="93">
        <f t="shared" si="58"/>
        <v>0.5</v>
      </c>
      <c r="AX76" s="93">
        <f t="shared" si="58"/>
        <v>0.5</v>
      </c>
      <c r="AY76" s="93">
        <f t="shared" si="58"/>
        <v>0.5</v>
      </c>
      <c r="AZ76" s="93">
        <f t="shared" si="58"/>
        <v>0.5</v>
      </c>
      <c r="BA76" s="93">
        <f t="shared" si="58"/>
        <v>0.5</v>
      </c>
      <c r="BB76" s="93">
        <f t="shared" si="58"/>
        <v>0.5</v>
      </c>
      <c r="BC76" s="93">
        <f t="shared" si="58"/>
        <v>0.5</v>
      </c>
      <c r="BD76" s="93">
        <f t="shared" si="58"/>
        <v>0.5</v>
      </c>
      <c r="BE76" s="93">
        <f t="shared" si="58"/>
        <v>0.5</v>
      </c>
      <c r="BF76" s="93">
        <f t="shared" si="58"/>
        <v>0.5</v>
      </c>
      <c r="BG76" s="93">
        <f t="shared" si="58"/>
        <v>0.5</v>
      </c>
      <c r="BH76" s="93">
        <f t="shared" si="58"/>
        <v>0.5</v>
      </c>
      <c r="BI76" s="93">
        <f t="shared" si="58"/>
        <v>0.5</v>
      </c>
      <c r="BJ76" s="93">
        <f t="shared" si="58"/>
        <v>0.5</v>
      </c>
      <c r="BK76" s="93">
        <f t="shared" si="58"/>
        <v>0.5</v>
      </c>
      <c r="BL76" s="93">
        <f t="shared" si="58"/>
        <v>0.5</v>
      </c>
      <c r="BM76" s="93">
        <f t="shared" si="58"/>
        <v>0.5</v>
      </c>
      <c r="BN76" s="93">
        <f t="shared" si="58"/>
        <v>0.5</v>
      </c>
    </row>
    <row r="77" outlineLevel="1">
      <c r="A77" s="47"/>
      <c r="B77" s="39" t="s">
        <v>17</v>
      </c>
      <c r="C77" s="104"/>
      <c r="D77" s="106"/>
      <c r="E77" s="47"/>
      <c r="F77" s="47"/>
      <c r="G77" s="106">
        <f t="shared" ref="G77:BN77" si="59">G76*G$71</f>
        <v>189.25</v>
      </c>
      <c r="H77" s="106">
        <f t="shared" si="59"/>
        <v>203.46375</v>
      </c>
      <c r="I77" s="106">
        <f t="shared" si="59"/>
        <v>213.9894563</v>
      </c>
      <c r="J77" s="106">
        <f t="shared" si="59"/>
        <v>225.4910918</v>
      </c>
      <c r="K77" s="106">
        <f t="shared" si="59"/>
        <v>238.6417414</v>
      </c>
      <c r="L77" s="106">
        <f t="shared" si="59"/>
        <v>252.5649386</v>
      </c>
      <c r="M77" s="106">
        <f t="shared" si="59"/>
        <v>252.2737866</v>
      </c>
      <c r="N77" s="106">
        <f t="shared" si="59"/>
        <v>252.2694193</v>
      </c>
      <c r="O77" s="106">
        <f t="shared" si="59"/>
        <v>252.2693538</v>
      </c>
      <c r="P77" s="106">
        <f t="shared" si="59"/>
        <v>252.2693528</v>
      </c>
      <c r="Q77" s="106">
        <f t="shared" si="59"/>
        <v>252.7693528</v>
      </c>
      <c r="R77" s="106">
        <f t="shared" si="59"/>
        <v>252.7768528</v>
      </c>
      <c r="S77" s="106">
        <f t="shared" si="59"/>
        <v>252.7769653</v>
      </c>
      <c r="T77" s="106">
        <f t="shared" si="59"/>
        <v>252.776967</v>
      </c>
      <c r="U77" s="106">
        <f t="shared" si="59"/>
        <v>252.776967</v>
      </c>
      <c r="V77" s="106">
        <f t="shared" si="59"/>
        <v>252.776967</v>
      </c>
      <c r="W77" s="106">
        <f t="shared" si="59"/>
        <v>252.776967</v>
      </c>
      <c r="X77" s="106">
        <f t="shared" si="59"/>
        <v>252.776967</v>
      </c>
      <c r="Y77" s="106">
        <f t="shared" si="59"/>
        <v>252.776967</v>
      </c>
      <c r="Z77" s="106">
        <f t="shared" si="59"/>
        <v>252.776967</v>
      </c>
      <c r="AA77" s="106">
        <f t="shared" si="59"/>
        <v>252.776967</v>
      </c>
      <c r="AB77" s="106">
        <f t="shared" si="59"/>
        <v>252.776967</v>
      </c>
      <c r="AC77" s="106">
        <f t="shared" si="59"/>
        <v>252.776967</v>
      </c>
      <c r="AD77" s="106">
        <f t="shared" si="59"/>
        <v>252.776967</v>
      </c>
      <c r="AE77" s="106">
        <f t="shared" si="59"/>
        <v>252.776967</v>
      </c>
      <c r="AF77" s="106">
        <f t="shared" si="59"/>
        <v>252.776967</v>
      </c>
      <c r="AG77" s="106">
        <f t="shared" si="59"/>
        <v>252.776967</v>
      </c>
      <c r="AH77" s="106">
        <f t="shared" si="59"/>
        <v>252.776967</v>
      </c>
      <c r="AI77" s="106">
        <f t="shared" si="59"/>
        <v>252.776967</v>
      </c>
      <c r="AJ77" s="106">
        <f t="shared" si="59"/>
        <v>252.776967</v>
      </c>
      <c r="AK77" s="106">
        <f t="shared" si="59"/>
        <v>252.776967</v>
      </c>
      <c r="AL77" s="106">
        <f t="shared" si="59"/>
        <v>252.776967</v>
      </c>
      <c r="AM77" s="106">
        <f t="shared" si="59"/>
        <v>252.776967</v>
      </c>
      <c r="AN77" s="106">
        <f t="shared" si="59"/>
        <v>252.776967</v>
      </c>
      <c r="AO77" s="106">
        <f t="shared" si="59"/>
        <v>252.776967</v>
      </c>
      <c r="AP77" s="106">
        <f t="shared" si="59"/>
        <v>252.776967</v>
      </c>
      <c r="AQ77" s="106">
        <f t="shared" si="59"/>
        <v>252.776967</v>
      </c>
      <c r="AR77" s="106">
        <f t="shared" si="59"/>
        <v>252.776967</v>
      </c>
      <c r="AS77" s="106">
        <f t="shared" si="59"/>
        <v>252.776967</v>
      </c>
      <c r="AT77" s="106">
        <f t="shared" si="59"/>
        <v>252.776967</v>
      </c>
      <c r="AU77" s="106">
        <f t="shared" si="59"/>
        <v>252.776967</v>
      </c>
      <c r="AV77" s="106">
        <f t="shared" si="59"/>
        <v>252.776967</v>
      </c>
      <c r="AW77" s="106">
        <f t="shared" si="59"/>
        <v>252.776967</v>
      </c>
      <c r="AX77" s="106">
        <f t="shared" si="59"/>
        <v>252.776967</v>
      </c>
      <c r="AY77" s="106">
        <f t="shared" si="59"/>
        <v>252.776967</v>
      </c>
      <c r="AZ77" s="106">
        <f t="shared" si="59"/>
        <v>252.776967</v>
      </c>
      <c r="BA77" s="106">
        <f t="shared" si="59"/>
        <v>252.776967</v>
      </c>
      <c r="BB77" s="106">
        <f t="shared" si="59"/>
        <v>252.776967</v>
      </c>
      <c r="BC77" s="106">
        <f t="shared" si="59"/>
        <v>252.776967</v>
      </c>
      <c r="BD77" s="106">
        <f t="shared" si="59"/>
        <v>252.776967</v>
      </c>
      <c r="BE77" s="106">
        <f t="shared" si="59"/>
        <v>252.776967</v>
      </c>
      <c r="BF77" s="106">
        <f t="shared" si="59"/>
        <v>252.776967</v>
      </c>
      <c r="BG77" s="106">
        <f t="shared" si="59"/>
        <v>252.776967</v>
      </c>
      <c r="BH77" s="106">
        <f t="shared" si="59"/>
        <v>252.776967</v>
      </c>
      <c r="BI77" s="106">
        <f t="shared" si="59"/>
        <v>252.776967</v>
      </c>
      <c r="BJ77" s="106">
        <f t="shared" si="59"/>
        <v>252.776967</v>
      </c>
      <c r="BK77" s="106">
        <f t="shared" si="59"/>
        <v>252.776967</v>
      </c>
      <c r="BL77" s="106">
        <f t="shared" si="59"/>
        <v>252.776967</v>
      </c>
      <c r="BM77" s="106">
        <f t="shared" si="59"/>
        <v>252.776967</v>
      </c>
      <c r="BN77" s="106">
        <f t="shared" si="59"/>
        <v>252.776967</v>
      </c>
    </row>
    <row r="78" outlineLevel="1">
      <c r="A78" s="47"/>
      <c r="B78" s="39" t="s">
        <v>50</v>
      </c>
      <c r="C78" s="104"/>
      <c r="D78" s="105">
        <v>0.025</v>
      </c>
      <c r="E78" s="47"/>
      <c r="F78" s="47"/>
      <c r="G78" s="93">
        <f>D78</f>
        <v>0.025</v>
      </c>
      <c r="H78" s="93">
        <f t="shared" ref="H78:BN78" si="60">G78</f>
        <v>0.025</v>
      </c>
      <c r="I78" s="93">
        <f t="shared" si="60"/>
        <v>0.025</v>
      </c>
      <c r="J78" s="93">
        <f t="shared" si="60"/>
        <v>0.025</v>
      </c>
      <c r="K78" s="93">
        <f t="shared" si="60"/>
        <v>0.025</v>
      </c>
      <c r="L78" s="93">
        <f t="shared" si="60"/>
        <v>0.025</v>
      </c>
      <c r="M78" s="93">
        <f t="shared" si="60"/>
        <v>0.025</v>
      </c>
      <c r="N78" s="93">
        <f t="shared" si="60"/>
        <v>0.025</v>
      </c>
      <c r="O78" s="93">
        <f t="shared" si="60"/>
        <v>0.025</v>
      </c>
      <c r="P78" s="93">
        <f t="shared" si="60"/>
        <v>0.025</v>
      </c>
      <c r="Q78" s="93">
        <f t="shared" si="60"/>
        <v>0.025</v>
      </c>
      <c r="R78" s="93">
        <f t="shared" si="60"/>
        <v>0.025</v>
      </c>
      <c r="S78" s="93">
        <f t="shared" si="60"/>
        <v>0.025</v>
      </c>
      <c r="T78" s="93">
        <f t="shared" si="60"/>
        <v>0.025</v>
      </c>
      <c r="U78" s="93">
        <f t="shared" si="60"/>
        <v>0.025</v>
      </c>
      <c r="V78" s="93">
        <f t="shared" si="60"/>
        <v>0.025</v>
      </c>
      <c r="W78" s="93">
        <f t="shared" si="60"/>
        <v>0.025</v>
      </c>
      <c r="X78" s="93">
        <f t="shared" si="60"/>
        <v>0.025</v>
      </c>
      <c r="Y78" s="93">
        <f t="shared" si="60"/>
        <v>0.025</v>
      </c>
      <c r="Z78" s="93">
        <f t="shared" si="60"/>
        <v>0.025</v>
      </c>
      <c r="AA78" s="93">
        <f t="shared" si="60"/>
        <v>0.025</v>
      </c>
      <c r="AB78" s="93">
        <f t="shared" si="60"/>
        <v>0.025</v>
      </c>
      <c r="AC78" s="93">
        <f t="shared" si="60"/>
        <v>0.025</v>
      </c>
      <c r="AD78" s="93">
        <f t="shared" si="60"/>
        <v>0.025</v>
      </c>
      <c r="AE78" s="93">
        <f t="shared" si="60"/>
        <v>0.025</v>
      </c>
      <c r="AF78" s="93">
        <f t="shared" si="60"/>
        <v>0.025</v>
      </c>
      <c r="AG78" s="93">
        <f t="shared" si="60"/>
        <v>0.025</v>
      </c>
      <c r="AH78" s="93">
        <f t="shared" si="60"/>
        <v>0.025</v>
      </c>
      <c r="AI78" s="93">
        <f t="shared" si="60"/>
        <v>0.025</v>
      </c>
      <c r="AJ78" s="93">
        <f t="shared" si="60"/>
        <v>0.025</v>
      </c>
      <c r="AK78" s="93">
        <f t="shared" si="60"/>
        <v>0.025</v>
      </c>
      <c r="AL78" s="93">
        <f t="shared" si="60"/>
        <v>0.025</v>
      </c>
      <c r="AM78" s="93">
        <f t="shared" si="60"/>
        <v>0.025</v>
      </c>
      <c r="AN78" s="93">
        <f t="shared" si="60"/>
        <v>0.025</v>
      </c>
      <c r="AO78" s="93">
        <f t="shared" si="60"/>
        <v>0.025</v>
      </c>
      <c r="AP78" s="93">
        <f t="shared" si="60"/>
        <v>0.025</v>
      </c>
      <c r="AQ78" s="93">
        <f t="shared" si="60"/>
        <v>0.025</v>
      </c>
      <c r="AR78" s="93">
        <f t="shared" si="60"/>
        <v>0.025</v>
      </c>
      <c r="AS78" s="93">
        <f t="shared" si="60"/>
        <v>0.025</v>
      </c>
      <c r="AT78" s="93">
        <f t="shared" si="60"/>
        <v>0.025</v>
      </c>
      <c r="AU78" s="93">
        <f t="shared" si="60"/>
        <v>0.025</v>
      </c>
      <c r="AV78" s="93">
        <f t="shared" si="60"/>
        <v>0.025</v>
      </c>
      <c r="AW78" s="93">
        <f t="shared" si="60"/>
        <v>0.025</v>
      </c>
      <c r="AX78" s="93">
        <f t="shared" si="60"/>
        <v>0.025</v>
      </c>
      <c r="AY78" s="93">
        <f t="shared" si="60"/>
        <v>0.025</v>
      </c>
      <c r="AZ78" s="93">
        <f t="shared" si="60"/>
        <v>0.025</v>
      </c>
      <c r="BA78" s="93">
        <f t="shared" si="60"/>
        <v>0.025</v>
      </c>
      <c r="BB78" s="93">
        <f t="shared" si="60"/>
        <v>0.025</v>
      </c>
      <c r="BC78" s="93">
        <f t="shared" si="60"/>
        <v>0.025</v>
      </c>
      <c r="BD78" s="93">
        <f t="shared" si="60"/>
        <v>0.025</v>
      </c>
      <c r="BE78" s="93">
        <f t="shared" si="60"/>
        <v>0.025</v>
      </c>
      <c r="BF78" s="93">
        <f t="shared" si="60"/>
        <v>0.025</v>
      </c>
      <c r="BG78" s="93">
        <f t="shared" si="60"/>
        <v>0.025</v>
      </c>
      <c r="BH78" s="93">
        <f t="shared" si="60"/>
        <v>0.025</v>
      </c>
      <c r="BI78" s="93">
        <f t="shared" si="60"/>
        <v>0.025</v>
      </c>
      <c r="BJ78" s="93">
        <f t="shared" si="60"/>
        <v>0.025</v>
      </c>
      <c r="BK78" s="93">
        <f t="shared" si="60"/>
        <v>0.025</v>
      </c>
      <c r="BL78" s="93">
        <f t="shared" si="60"/>
        <v>0.025</v>
      </c>
      <c r="BM78" s="93">
        <f t="shared" si="60"/>
        <v>0.025</v>
      </c>
      <c r="BN78" s="93">
        <f t="shared" si="60"/>
        <v>0.025</v>
      </c>
    </row>
    <row r="79" outlineLevel="1">
      <c r="A79" s="47"/>
      <c r="B79" s="39" t="s">
        <v>51</v>
      </c>
      <c r="C79" s="104"/>
      <c r="D79" s="106"/>
      <c r="E79" s="47"/>
      <c r="F79" s="47"/>
      <c r="G79" s="106">
        <f t="shared" ref="G79:BN79" si="61">G82*G78</f>
        <v>0</v>
      </c>
      <c r="H79" s="106">
        <f t="shared" si="61"/>
        <v>4.73125</v>
      </c>
      <c r="I79" s="106">
        <f t="shared" si="61"/>
        <v>9.6995625</v>
      </c>
      <c r="J79" s="106">
        <f t="shared" si="61"/>
        <v>14.80680984</v>
      </c>
      <c r="K79" s="106">
        <f t="shared" si="61"/>
        <v>20.07391689</v>
      </c>
      <c r="L79" s="106">
        <f t="shared" si="61"/>
        <v>25.53811251</v>
      </c>
      <c r="M79" s="106">
        <f t="shared" si="61"/>
        <v>31.21378316</v>
      </c>
      <c r="N79" s="106">
        <f t="shared" si="61"/>
        <v>36.74028324</v>
      </c>
      <c r="O79" s="106">
        <f t="shared" si="61"/>
        <v>42.12851165</v>
      </c>
      <c r="P79" s="106">
        <f t="shared" si="61"/>
        <v>47.3820327</v>
      </c>
      <c r="Q79" s="106">
        <f t="shared" si="61"/>
        <v>52.5042157</v>
      </c>
      <c r="R79" s="106">
        <f t="shared" si="61"/>
        <v>57.51084413</v>
      </c>
      <c r="S79" s="106">
        <f t="shared" si="61"/>
        <v>62.39249435</v>
      </c>
      <c r="T79" s="106">
        <f t="shared" si="61"/>
        <v>67.15210612</v>
      </c>
      <c r="U79" s="106">
        <f t="shared" si="61"/>
        <v>71.79272764</v>
      </c>
      <c r="V79" s="106">
        <f t="shared" si="61"/>
        <v>76.31733362</v>
      </c>
      <c r="W79" s="106">
        <f t="shared" si="61"/>
        <v>80.72882446</v>
      </c>
      <c r="X79" s="106">
        <f t="shared" si="61"/>
        <v>85.03002802</v>
      </c>
      <c r="Y79" s="106">
        <f t="shared" si="61"/>
        <v>89.2237015</v>
      </c>
      <c r="Z79" s="106">
        <f t="shared" si="61"/>
        <v>93.31253314</v>
      </c>
      <c r="AA79" s="106">
        <f t="shared" si="61"/>
        <v>97.29914398</v>
      </c>
      <c r="AB79" s="106">
        <f t="shared" si="61"/>
        <v>101.1860896</v>
      </c>
      <c r="AC79" s="106">
        <f t="shared" si="61"/>
        <v>104.9758615</v>
      </c>
      <c r="AD79" s="106">
        <f t="shared" si="61"/>
        <v>108.6708891</v>
      </c>
      <c r="AE79" s="106">
        <f t="shared" si="61"/>
        <v>112.2735411</v>
      </c>
      <c r="AF79" s="106">
        <f t="shared" si="61"/>
        <v>115.7861267</v>
      </c>
      <c r="AG79" s="106">
        <f t="shared" si="61"/>
        <v>119.2108977</v>
      </c>
      <c r="AH79" s="106">
        <f t="shared" si="61"/>
        <v>122.5500495</v>
      </c>
      <c r="AI79" s="106">
        <f t="shared" si="61"/>
        <v>125.8057224</v>
      </c>
      <c r="AJ79" s="106">
        <f t="shared" si="61"/>
        <v>128.9800035</v>
      </c>
      <c r="AK79" s="106">
        <f t="shared" si="61"/>
        <v>132.0749276</v>
      </c>
      <c r="AL79" s="106">
        <f t="shared" si="61"/>
        <v>135.0924786</v>
      </c>
      <c r="AM79" s="106">
        <f t="shared" si="61"/>
        <v>138.0345908</v>
      </c>
      <c r="AN79" s="106">
        <f t="shared" si="61"/>
        <v>140.9031502</v>
      </c>
      <c r="AO79" s="106">
        <f t="shared" si="61"/>
        <v>143.6999956</v>
      </c>
      <c r="AP79" s="106">
        <f t="shared" si="61"/>
        <v>146.4269199</v>
      </c>
      <c r="AQ79" s="106">
        <f t="shared" si="61"/>
        <v>149.0856711</v>
      </c>
      <c r="AR79" s="106">
        <f t="shared" si="61"/>
        <v>151.6779535</v>
      </c>
      <c r="AS79" s="106">
        <f t="shared" si="61"/>
        <v>154.2054288</v>
      </c>
      <c r="AT79" s="106">
        <f t="shared" si="61"/>
        <v>156.6697173</v>
      </c>
      <c r="AU79" s="106">
        <f t="shared" si="61"/>
        <v>159.0723985</v>
      </c>
      <c r="AV79" s="106">
        <f t="shared" si="61"/>
        <v>161.4150127</v>
      </c>
      <c r="AW79" s="106">
        <f t="shared" si="61"/>
        <v>163.6990616</v>
      </c>
      <c r="AX79" s="106">
        <f t="shared" si="61"/>
        <v>165.9260092</v>
      </c>
      <c r="AY79" s="106">
        <f t="shared" si="61"/>
        <v>168.0972832</v>
      </c>
      <c r="AZ79" s="106">
        <f t="shared" si="61"/>
        <v>170.2142753</v>
      </c>
      <c r="BA79" s="106">
        <f t="shared" si="61"/>
        <v>172.2783426</v>
      </c>
      <c r="BB79" s="106">
        <f t="shared" si="61"/>
        <v>174.2908082</v>
      </c>
      <c r="BC79" s="106">
        <f t="shared" si="61"/>
        <v>176.2529621</v>
      </c>
      <c r="BD79" s="106">
        <f t="shared" si="61"/>
        <v>178.1660623</v>
      </c>
      <c r="BE79" s="106">
        <f t="shared" si="61"/>
        <v>180.0313349</v>
      </c>
      <c r="BF79" s="106">
        <f t="shared" si="61"/>
        <v>181.8499757</v>
      </c>
      <c r="BG79" s="106">
        <f t="shared" si="61"/>
        <v>183.6231505</v>
      </c>
      <c r="BH79" s="106">
        <f t="shared" si="61"/>
        <v>185.3519959</v>
      </c>
      <c r="BI79" s="106">
        <f t="shared" si="61"/>
        <v>187.0376202</v>
      </c>
      <c r="BJ79" s="106">
        <f t="shared" si="61"/>
        <v>188.6811038</v>
      </c>
      <c r="BK79" s="106">
        <f t="shared" si="61"/>
        <v>190.2835004</v>
      </c>
      <c r="BL79" s="106">
        <f t="shared" si="61"/>
        <v>191.8458371</v>
      </c>
      <c r="BM79" s="106">
        <f t="shared" si="61"/>
        <v>193.3691153</v>
      </c>
      <c r="BN79" s="106">
        <f t="shared" si="61"/>
        <v>194.8543116</v>
      </c>
    </row>
    <row r="80" outlineLevel="1">
      <c r="A80" s="47"/>
      <c r="B80" s="39" t="s">
        <v>52</v>
      </c>
      <c r="C80" s="104"/>
      <c r="D80" s="47"/>
      <c r="E80" s="47"/>
      <c r="F80" s="47"/>
      <c r="G80" s="106">
        <f t="shared" ref="G80:BN80" si="62">G82-G79</f>
        <v>0</v>
      </c>
      <c r="H80" s="106">
        <f t="shared" si="62"/>
        <v>184.51875</v>
      </c>
      <c r="I80" s="106">
        <f t="shared" si="62"/>
        <v>378.2829375</v>
      </c>
      <c r="J80" s="106">
        <f t="shared" si="62"/>
        <v>577.4655839</v>
      </c>
      <c r="K80" s="106">
        <f t="shared" si="62"/>
        <v>782.8827589</v>
      </c>
      <c r="L80" s="106">
        <f t="shared" si="62"/>
        <v>995.9863877</v>
      </c>
      <c r="M80" s="106">
        <f t="shared" si="62"/>
        <v>1217.337543</v>
      </c>
      <c r="N80" s="106">
        <f t="shared" si="62"/>
        <v>1432.871047</v>
      </c>
      <c r="O80" s="106">
        <f t="shared" si="62"/>
        <v>1643.011954</v>
      </c>
      <c r="P80" s="106">
        <f t="shared" si="62"/>
        <v>1847.899275</v>
      </c>
      <c r="Q80" s="106">
        <f t="shared" si="62"/>
        <v>2047.664412</v>
      </c>
      <c r="R80" s="106">
        <f t="shared" si="62"/>
        <v>2242.922921</v>
      </c>
      <c r="S80" s="106">
        <f t="shared" si="62"/>
        <v>2433.307279</v>
      </c>
      <c r="T80" s="106">
        <f t="shared" si="62"/>
        <v>2618.932139</v>
      </c>
      <c r="U80" s="106">
        <f t="shared" si="62"/>
        <v>2799.916378</v>
      </c>
      <c r="V80" s="106">
        <f t="shared" si="62"/>
        <v>2976.376011</v>
      </c>
      <c r="W80" s="106">
        <f t="shared" si="62"/>
        <v>3148.424154</v>
      </c>
      <c r="X80" s="106">
        <f t="shared" si="62"/>
        <v>3316.171093</v>
      </c>
      <c r="Y80" s="106">
        <f t="shared" si="62"/>
        <v>3479.724358</v>
      </c>
      <c r="Z80" s="106">
        <f t="shared" si="62"/>
        <v>3639.188792</v>
      </c>
      <c r="AA80" s="106">
        <f t="shared" si="62"/>
        <v>3794.666615</v>
      </c>
      <c r="AB80" s="106">
        <f t="shared" si="62"/>
        <v>3946.257493</v>
      </c>
      <c r="AC80" s="106">
        <f t="shared" si="62"/>
        <v>4094.058598</v>
      </c>
      <c r="AD80" s="106">
        <f t="shared" si="62"/>
        <v>4238.164676</v>
      </c>
      <c r="AE80" s="106">
        <f t="shared" si="62"/>
        <v>4378.668102</v>
      </c>
      <c r="AF80" s="106">
        <f t="shared" si="62"/>
        <v>4515.658942</v>
      </c>
      <c r="AG80" s="106">
        <f t="shared" si="62"/>
        <v>4649.225012</v>
      </c>
      <c r="AH80" s="106">
        <f t="shared" si="62"/>
        <v>4779.451929</v>
      </c>
      <c r="AI80" s="106">
        <f t="shared" si="62"/>
        <v>4906.423174</v>
      </c>
      <c r="AJ80" s="106">
        <f t="shared" si="62"/>
        <v>5030.220137</v>
      </c>
      <c r="AK80" s="106">
        <f t="shared" si="62"/>
        <v>5150.922177</v>
      </c>
      <c r="AL80" s="106">
        <f t="shared" si="62"/>
        <v>5268.606665</v>
      </c>
      <c r="AM80" s="106">
        <f t="shared" si="62"/>
        <v>5383.349041</v>
      </c>
      <c r="AN80" s="106">
        <f t="shared" si="62"/>
        <v>5495.222858</v>
      </c>
      <c r="AO80" s="106">
        <f t="shared" si="62"/>
        <v>5604.299829</v>
      </c>
      <c r="AP80" s="106">
        <f t="shared" si="62"/>
        <v>5710.649877</v>
      </c>
      <c r="AQ80" s="106">
        <f t="shared" si="62"/>
        <v>5814.341172</v>
      </c>
      <c r="AR80" s="106">
        <f t="shared" si="62"/>
        <v>5915.440186</v>
      </c>
      <c r="AS80" s="106">
        <f t="shared" si="62"/>
        <v>6014.011724</v>
      </c>
      <c r="AT80" s="106">
        <f t="shared" si="62"/>
        <v>6110.118974</v>
      </c>
      <c r="AU80" s="106">
        <f t="shared" si="62"/>
        <v>6203.823542</v>
      </c>
      <c r="AV80" s="106">
        <f t="shared" si="62"/>
        <v>6295.185497</v>
      </c>
      <c r="AW80" s="106">
        <f t="shared" si="62"/>
        <v>6384.263402</v>
      </c>
      <c r="AX80" s="106">
        <f t="shared" si="62"/>
        <v>6471.11436</v>
      </c>
      <c r="AY80" s="106">
        <f t="shared" si="62"/>
        <v>6555.794044</v>
      </c>
      <c r="AZ80" s="106">
        <f t="shared" si="62"/>
        <v>6638.356735</v>
      </c>
      <c r="BA80" s="106">
        <f t="shared" si="62"/>
        <v>6718.85536</v>
      </c>
      <c r="BB80" s="106">
        <f t="shared" si="62"/>
        <v>6797.341519</v>
      </c>
      <c r="BC80" s="106">
        <f t="shared" si="62"/>
        <v>6873.865524</v>
      </c>
      <c r="BD80" s="106">
        <f t="shared" si="62"/>
        <v>6948.476428</v>
      </c>
      <c r="BE80" s="106">
        <f t="shared" si="62"/>
        <v>7021.22206</v>
      </c>
      <c r="BF80" s="106">
        <f t="shared" si="62"/>
        <v>7092.149052</v>
      </c>
      <c r="BG80" s="106">
        <f t="shared" si="62"/>
        <v>7161.302868</v>
      </c>
      <c r="BH80" s="106">
        <f t="shared" si="62"/>
        <v>7228.727839</v>
      </c>
      <c r="BI80" s="106">
        <f t="shared" si="62"/>
        <v>7294.467186</v>
      </c>
      <c r="BJ80" s="106">
        <f t="shared" si="62"/>
        <v>7358.563049</v>
      </c>
      <c r="BK80" s="106">
        <f t="shared" si="62"/>
        <v>7421.056516</v>
      </c>
      <c r="BL80" s="106">
        <f t="shared" si="62"/>
        <v>7481.987646</v>
      </c>
      <c r="BM80" s="106">
        <f t="shared" si="62"/>
        <v>7541.395498</v>
      </c>
      <c r="BN80" s="106">
        <f t="shared" si="62"/>
        <v>7599.318153</v>
      </c>
    </row>
    <row r="81" outlineLevel="1">
      <c r="A81" s="47"/>
      <c r="B81" s="39" t="s">
        <v>53</v>
      </c>
      <c r="C81" s="104"/>
      <c r="D81" s="47"/>
      <c r="E81" s="47"/>
      <c r="F81" s="47"/>
      <c r="G81" s="106">
        <f t="shared" ref="G81:BN81" si="63">G77+G80</f>
        <v>189.25</v>
      </c>
      <c r="H81" s="106">
        <f t="shared" si="63"/>
        <v>387.9825</v>
      </c>
      <c r="I81" s="106">
        <f t="shared" si="63"/>
        <v>592.2723938</v>
      </c>
      <c r="J81" s="106">
        <f t="shared" si="63"/>
        <v>802.9566758</v>
      </c>
      <c r="K81" s="106">
        <f t="shared" si="63"/>
        <v>1021.5245</v>
      </c>
      <c r="L81" s="106">
        <f t="shared" si="63"/>
        <v>1248.551326</v>
      </c>
      <c r="M81" s="106">
        <f t="shared" si="63"/>
        <v>1469.61133</v>
      </c>
      <c r="N81" s="106">
        <f t="shared" si="63"/>
        <v>1685.140466</v>
      </c>
      <c r="O81" s="106">
        <f t="shared" si="63"/>
        <v>1895.281308</v>
      </c>
      <c r="P81" s="106">
        <f t="shared" si="63"/>
        <v>2100.168628</v>
      </c>
      <c r="Q81" s="106">
        <f t="shared" si="63"/>
        <v>2300.433765</v>
      </c>
      <c r="R81" s="106">
        <f t="shared" si="63"/>
        <v>2495.699774</v>
      </c>
      <c r="S81" s="106">
        <f t="shared" si="63"/>
        <v>2686.084245</v>
      </c>
      <c r="T81" s="106">
        <f t="shared" si="63"/>
        <v>2871.709106</v>
      </c>
      <c r="U81" s="106">
        <f t="shared" si="63"/>
        <v>3052.693345</v>
      </c>
      <c r="V81" s="106">
        <f t="shared" si="63"/>
        <v>3229.152978</v>
      </c>
      <c r="W81" s="106">
        <f t="shared" si="63"/>
        <v>3401.201121</v>
      </c>
      <c r="X81" s="106">
        <f t="shared" si="63"/>
        <v>3568.94806</v>
      </c>
      <c r="Y81" s="106">
        <f t="shared" si="63"/>
        <v>3732.501325</v>
      </c>
      <c r="Z81" s="106">
        <f t="shared" si="63"/>
        <v>3891.965759</v>
      </c>
      <c r="AA81" s="106">
        <f t="shared" si="63"/>
        <v>4047.443582</v>
      </c>
      <c r="AB81" s="106">
        <f t="shared" si="63"/>
        <v>4199.03446</v>
      </c>
      <c r="AC81" s="106">
        <f t="shared" si="63"/>
        <v>4346.835565</v>
      </c>
      <c r="AD81" s="106">
        <f t="shared" si="63"/>
        <v>4490.941643</v>
      </c>
      <c r="AE81" s="106">
        <f t="shared" si="63"/>
        <v>4631.445069</v>
      </c>
      <c r="AF81" s="106">
        <f t="shared" si="63"/>
        <v>4768.435909</v>
      </c>
      <c r="AG81" s="106">
        <f t="shared" si="63"/>
        <v>4902.001979</v>
      </c>
      <c r="AH81" s="106">
        <f t="shared" si="63"/>
        <v>5032.228896</v>
      </c>
      <c r="AI81" s="106">
        <f t="shared" si="63"/>
        <v>5159.200141</v>
      </c>
      <c r="AJ81" s="106">
        <f t="shared" si="63"/>
        <v>5282.997104</v>
      </c>
      <c r="AK81" s="106">
        <f t="shared" si="63"/>
        <v>5403.699144</v>
      </c>
      <c r="AL81" s="106">
        <f t="shared" si="63"/>
        <v>5521.383632</v>
      </c>
      <c r="AM81" s="106">
        <f t="shared" si="63"/>
        <v>5636.126008</v>
      </c>
      <c r="AN81" s="106">
        <f t="shared" si="63"/>
        <v>5747.999825</v>
      </c>
      <c r="AO81" s="106">
        <f t="shared" si="63"/>
        <v>5857.076796</v>
      </c>
      <c r="AP81" s="106">
        <f t="shared" si="63"/>
        <v>5963.426844</v>
      </c>
      <c r="AQ81" s="106">
        <f t="shared" si="63"/>
        <v>6067.118139</v>
      </c>
      <c r="AR81" s="106">
        <f t="shared" si="63"/>
        <v>6168.217153</v>
      </c>
      <c r="AS81" s="106">
        <f t="shared" si="63"/>
        <v>6266.788691</v>
      </c>
      <c r="AT81" s="106">
        <f t="shared" si="63"/>
        <v>6362.895941</v>
      </c>
      <c r="AU81" s="106">
        <f t="shared" si="63"/>
        <v>6456.600509</v>
      </c>
      <c r="AV81" s="106">
        <f t="shared" si="63"/>
        <v>6547.962464</v>
      </c>
      <c r="AW81" s="106">
        <f t="shared" si="63"/>
        <v>6637.040369</v>
      </c>
      <c r="AX81" s="106">
        <f t="shared" si="63"/>
        <v>6723.891327</v>
      </c>
      <c r="AY81" s="106">
        <f t="shared" si="63"/>
        <v>6808.571011</v>
      </c>
      <c r="AZ81" s="106">
        <f t="shared" si="63"/>
        <v>6891.133702</v>
      </c>
      <c r="BA81" s="106">
        <f t="shared" si="63"/>
        <v>6971.632327</v>
      </c>
      <c r="BB81" s="106">
        <f t="shared" si="63"/>
        <v>7050.118486</v>
      </c>
      <c r="BC81" s="106">
        <f t="shared" si="63"/>
        <v>7126.642491</v>
      </c>
      <c r="BD81" s="106">
        <f t="shared" si="63"/>
        <v>7201.253395</v>
      </c>
      <c r="BE81" s="106">
        <f t="shared" si="63"/>
        <v>7273.999027</v>
      </c>
      <c r="BF81" s="106">
        <f t="shared" si="63"/>
        <v>7344.926019</v>
      </c>
      <c r="BG81" s="106">
        <f t="shared" si="63"/>
        <v>7414.079835</v>
      </c>
      <c r="BH81" s="106">
        <f t="shared" si="63"/>
        <v>7481.504806</v>
      </c>
      <c r="BI81" s="106">
        <f t="shared" si="63"/>
        <v>7547.244153</v>
      </c>
      <c r="BJ81" s="106">
        <f t="shared" si="63"/>
        <v>7611.340016</v>
      </c>
      <c r="BK81" s="106">
        <f t="shared" si="63"/>
        <v>7673.833483</v>
      </c>
      <c r="BL81" s="106">
        <f t="shared" si="63"/>
        <v>7734.764613</v>
      </c>
      <c r="BM81" s="106">
        <f t="shared" si="63"/>
        <v>7794.172465</v>
      </c>
      <c r="BN81" s="106">
        <f t="shared" si="63"/>
        <v>7852.09512</v>
      </c>
    </row>
    <row r="82" outlineLevel="1">
      <c r="A82" s="47"/>
      <c r="B82" s="39" t="s">
        <v>54</v>
      </c>
      <c r="C82" s="47"/>
      <c r="D82" s="107"/>
      <c r="E82" s="47"/>
      <c r="F82" s="47"/>
      <c r="G82" s="107" t="str">
        <f>E81</f>
        <v/>
      </c>
      <c r="H82" s="107">
        <f t="shared" ref="H82:BN82" si="64">G81</f>
        <v>189.25</v>
      </c>
      <c r="I82" s="107">
        <f t="shared" si="64"/>
        <v>387.9825</v>
      </c>
      <c r="J82" s="107">
        <f t="shared" si="64"/>
        <v>592.2723938</v>
      </c>
      <c r="K82" s="107">
        <f t="shared" si="64"/>
        <v>802.9566758</v>
      </c>
      <c r="L82" s="107">
        <f t="shared" si="64"/>
        <v>1021.5245</v>
      </c>
      <c r="M82" s="107">
        <f t="shared" si="64"/>
        <v>1248.551326</v>
      </c>
      <c r="N82" s="107">
        <f t="shared" si="64"/>
        <v>1469.61133</v>
      </c>
      <c r="O82" s="107">
        <f t="shared" si="64"/>
        <v>1685.140466</v>
      </c>
      <c r="P82" s="107">
        <f t="shared" si="64"/>
        <v>1895.281308</v>
      </c>
      <c r="Q82" s="107">
        <f t="shared" si="64"/>
        <v>2100.168628</v>
      </c>
      <c r="R82" s="107">
        <f t="shared" si="64"/>
        <v>2300.433765</v>
      </c>
      <c r="S82" s="107">
        <f t="shared" si="64"/>
        <v>2495.699774</v>
      </c>
      <c r="T82" s="107">
        <f t="shared" si="64"/>
        <v>2686.084245</v>
      </c>
      <c r="U82" s="107">
        <f t="shared" si="64"/>
        <v>2871.709106</v>
      </c>
      <c r="V82" s="107">
        <f t="shared" si="64"/>
        <v>3052.693345</v>
      </c>
      <c r="W82" s="107">
        <f t="shared" si="64"/>
        <v>3229.152978</v>
      </c>
      <c r="X82" s="107">
        <f t="shared" si="64"/>
        <v>3401.201121</v>
      </c>
      <c r="Y82" s="107">
        <f t="shared" si="64"/>
        <v>3568.94806</v>
      </c>
      <c r="Z82" s="107">
        <f t="shared" si="64"/>
        <v>3732.501325</v>
      </c>
      <c r="AA82" s="107">
        <f t="shared" si="64"/>
        <v>3891.965759</v>
      </c>
      <c r="AB82" s="107">
        <f t="shared" si="64"/>
        <v>4047.443582</v>
      </c>
      <c r="AC82" s="107">
        <f t="shared" si="64"/>
        <v>4199.03446</v>
      </c>
      <c r="AD82" s="107">
        <f t="shared" si="64"/>
        <v>4346.835565</v>
      </c>
      <c r="AE82" s="107">
        <f t="shared" si="64"/>
        <v>4490.941643</v>
      </c>
      <c r="AF82" s="107">
        <f t="shared" si="64"/>
        <v>4631.445069</v>
      </c>
      <c r="AG82" s="107">
        <f t="shared" si="64"/>
        <v>4768.435909</v>
      </c>
      <c r="AH82" s="107">
        <f t="shared" si="64"/>
        <v>4902.001979</v>
      </c>
      <c r="AI82" s="107">
        <f t="shared" si="64"/>
        <v>5032.228896</v>
      </c>
      <c r="AJ82" s="107">
        <f t="shared" si="64"/>
        <v>5159.200141</v>
      </c>
      <c r="AK82" s="107">
        <f t="shared" si="64"/>
        <v>5282.997104</v>
      </c>
      <c r="AL82" s="107">
        <f t="shared" si="64"/>
        <v>5403.699144</v>
      </c>
      <c r="AM82" s="107">
        <f t="shared" si="64"/>
        <v>5521.383632</v>
      </c>
      <c r="AN82" s="107">
        <f t="shared" si="64"/>
        <v>5636.126008</v>
      </c>
      <c r="AO82" s="107">
        <f t="shared" si="64"/>
        <v>5747.999825</v>
      </c>
      <c r="AP82" s="107">
        <f t="shared" si="64"/>
        <v>5857.076796</v>
      </c>
      <c r="AQ82" s="107">
        <f t="shared" si="64"/>
        <v>5963.426844</v>
      </c>
      <c r="AR82" s="107">
        <f t="shared" si="64"/>
        <v>6067.118139</v>
      </c>
      <c r="AS82" s="107">
        <f t="shared" si="64"/>
        <v>6168.217153</v>
      </c>
      <c r="AT82" s="107">
        <f t="shared" si="64"/>
        <v>6266.788691</v>
      </c>
      <c r="AU82" s="107">
        <f t="shared" si="64"/>
        <v>6362.895941</v>
      </c>
      <c r="AV82" s="107">
        <f t="shared" si="64"/>
        <v>6456.600509</v>
      </c>
      <c r="AW82" s="107">
        <f t="shared" si="64"/>
        <v>6547.962464</v>
      </c>
      <c r="AX82" s="107">
        <f t="shared" si="64"/>
        <v>6637.040369</v>
      </c>
      <c r="AY82" s="107">
        <f t="shared" si="64"/>
        <v>6723.891327</v>
      </c>
      <c r="AZ82" s="107">
        <f t="shared" si="64"/>
        <v>6808.571011</v>
      </c>
      <c r="BA82" s="107">
        <f t="shared" si="64"/>
        <v>6891.133702</v>
      </c>
      <c r="BB82" s="107">
        <f t="shared" si="64"/>
        <v>6971.632327</v>
      </c>
      <c r="BC82" s="107">
        <f t="shared" si="64"/>
        <v>7050.118486</v>
      </c>
      <c r="BD82" s="107">
        <f t="shared" si="64"/>
        <v>7126.642491</v>
      </c>
      <c r="BE82" s="107">
        <f t="shared" si="64"/>
        <v>7201.253395</v>
      </c>
      <c r="BF82" s="107">
        <f t="shared" si="64"/>
        <v>7273.999027</v>
      </c>
      <c r="BG82" s="107">
        <f t="shared" si="64"/>
        <v>7344.926019</v>
      </c>
      <c r="BH82" s="107">
        <f t="shared" si="64"/>
        <v>7414.079835</v>
      </c>
      <c r="BI82" s="107">
        <f t="shared" si="64"/>
        <v>7481.504806</v>
      </c>
      <c r="BJ82" s="107">
        <f t="shared" si="64"/>
        <v>7547.244153</v>
      </c>
      <c r="BK82" s="107">
        <f t="shared" si="64"/>
        <v>7611.340016</v>
      </c>
      <c r="BL82" s="107">
        <f t="shared" si="64"/>
        <v>7673.833483</v>
      </c>
      <c r="BM82" s="107">
        <f t="shared" si="64"/>
        <v>7734.764613</v>
      </c>
      <c r="BN82" s="107">
        <f t="shared" si="64"/>
        <v>7794.172465</v>
      </c>
    </row>
    <row r="83" outlineLevel="1">
      <c r="A83" s="47"/>
      <c r="B83" s="74" t="s">
        <v>55</v>
      </c>
      <c r="C83" s="59"/>
      <c r="D83" s="108">
        <v>10.0</v>
      </c>
      <c r="E83" s="61"/>
      <c r="F83" s="61"/>
      <c r="G83" s="109">
        <f>D83</f>
        <v>10</v>
      </c>
      <c r="H83" s="109">
        <f t="shared" ref="H83:BN83" si="65">G83</f>
        <v>10</v>
      </c>
      <c r="I83" s="109">
        <f t="shared" si="65"/>
        <v>10</v>
      </c>
      <c r="J83" s="109">
        <f t="shared" si="65"/>
        <v>10</v>
      </c>
      <c r="K83" s="109">
        <f t="shared" si="65"/>
        <v>10</v>
      </c>
      <c r="L83" s="109">
        <f t="shared" si="65"/>
        <v>10</v>
      </c>
      <c r="M83" s="109">
        <f t="shared" si="65"/>
        <v>10</v>
      </c>
      <c r="N83" s="109">
        <f t="shared" si="65"/>
        <v>10</v>
      </c>
      <c r="O83" s="109">
        <f t="shared" si="65"/>
        <v>10</v>
      </c>
      <c r="P83" s="109">
        <f t="shared" si="65"/>
        <v>10</v>
      </c>
      <c r="Q83" s="109">
        <f t="shared" si="65"/>
        <v>10</v>
      </c>
      <c r="R83" s="109">
        <f t="shared" si="65"/>
        <v>10</v>
      </c>
      <c r="S83" s="109">
        <f t="shared" si="65"/>
        <v>10</v>
      </c>
      <c r="T83" s="109">
        <f t="shared" si="65"/>
        <v>10</v>
      </c>
      <c r="U83" s="109">
        <f t="shared" si="65"/>
        <v>10</v>
      </c>
      <c r="V83" s="109">
        <f t="shared" si="65"/>
        <v>10</v>
      </c>
      <c r="W83" s="109">
        <f t="shared" si="65"/>
        <v>10</v>
      </c>
      <c r="X83" s="109">
        <f t="shared" si="65"/>
        <v>10</v>
      </c>
      <c r="Y83" s="109">
        <f t="shared" si="65"/>
        <v>10</v>
      </c>
      <c r="Z83" s="109">
        <f t="shared" si="65"/>
        <v>10</v>
      </c>
      <c r="AA83" s="109">
        <f t="shared" si="65"/>
        <v>10</v>
      </c>
      <c r="AB83" s="109">
        <f t="shared" si="65"/>
        <v>10</v>
      </c>
      <c r="AC83" s="109">
        <f t="shared" si="65"/>
        <v>10</v>
      </c>
      <c r="AD83" s="109">
        <f t="shared" si="65"/>
        <v>10</v>
      </c>
      <c r="AE83" s="109">
        <f t="shared" si="65"/>
        <v>10</v>
      </c>
      <c r="AF83" s="109">
        <f t="shared" si="65"/>
        <v>10</v>
      </c>
      <c r="AG83" s="109">
        <f t="shared" si="65"/>
        <v>10</v>
      </c>
      <c r="AH83" s="109">
        <f t="shared" si="65"/>
        <v>10</v>
      </c>
      <c r="AI83" s="109">
        <f t="shared" si="65"/>
        <v>10</v>
      </c>
      <c r="AJ83" s="109">
        <f t="shared" si="65"/>
        <v>10</v>
      </c>
      <c r="AK83" s="109">
        <f t="shared" si="65"/>
        <v>10</v>
      </c>
      <c r="AL83" s="109">
        <f t="shared" si="65"/>
        <v>10</v>
      </c>
      <c r="AM83" s="109">
        <f t="shared" si="65"/>
        <v>10</v>
      </c>
      <c r="AN83" s="109">
        <f t="shared" si="65"/>
        <v>10</v>
      </c>
      <c r="AO83" s="109">
        <f t="shared" si="65"/>
        <v>10</v>
      </c>
      <c r="AP83" s="109">
        <f t="shared" si="65"/>
        <v>10</v>
      </c>
      <c r="AQ83" s="109">
        <f t="shared" si="65"/>
        <v>10</v>
      </c>
      <c r="AR83" s="109">
        <f t="shared" si="65"/>
        <v>10</v>
      </c>
      <c r="AS83" s="109">
        <f t="shared" si="65"/>
        <v>10</v>
      </c>
      <c r="AT83" s="109">
        <f t="shared" si="65"/>
        <v>10</v>
      </c>
      <c r="AU83" s="109">
        <f t="shared" si="65"/>
        <v>10</v>
      </c>
      <c r="AV83" s="109">
        <f t="shared" si="65"/>
        <v>10</v>
      </c>
      <c r="AW83" s="109">
        <f t="shared" si="65"/>
        <v>10</v>
      </c>
      <c r="AX83" s="109">
        <f t="shared" si="65"/>
        <v>10</v>
      </c>
      <c r="AY83" s="109">
        <f t="shared" si="65"/>
        <v>10</v>
      </c>
      <c r="AZ83" s="109">
        <f t="shared" si="65"/>
        <v>10</v>
      </c>
      <c r="BA83" s="109">
        <f t="shared" si="65"/>
        <v>10</v>
      </c>
      <c r="BB83" s="109">
        <f t="shared" si="65"/>
        <v>10</v>
      </c>
      <c r="BC83" s="109">
        <f t="shared" si="65"/>
        <v>10</v>
      </c>
      <c r="BD83" s="109">
        <f t="shared" si="65"/>
        <v>10</v>
      </c>
      <c r="BE83" s="109">
        <f t="shared" si="65"/>
        <v>10</v>
      </c>
      <c r="BF83" s="109">
        <f t="shared" si="65"/>
        <v>10</v>
      </c>
      <c r="BG83" s="109">
        <f t="shared" si="65"/>
        <v>10</v>
      </c>
      <c r="BH83" s="109">
        <f t="shared" si="65"/>
        <v>10</v>
      </c>
      <c r="BI83" s="109">
        <f t="shared" si="65"/>
        <v>10</v>
      </c>
      <c r="BJ83" s="109">
        <f t="shared" si="65"/>
        <v>10</v>
      </c>
      <c r="BK83" s="109">
        <f t="shared" si="65"/>
        <v>10</v>
      </c>
      <c r="BL83" s="109">
        <f t="shared" si="65"/>
        <v>10</v>
      </c>
      <c r="BM83" s="109">
        <f t="shared" si="65"/>
        <v>10</v>
      </c>
      <c r="BN83" s="109">
        <f t="shared" si="65"/>
        <v>10</v>
      </c>
    </row>
    <row r="84" outlineLevel="1">
      <c r="A84" s="47"/>
      <c r="B84" s="76" t="s">
        <v>56</v>
      </c>
      <c r="C84" s="47"/>
      <c r="D84" s="77"/>
      <c r="E84" s="77"/>
      <c r="F84" s="77"/>
      <c r="G84" s="110">
        <f t="shared" ref="G84:BN84" si="66">G81*G83</f>
        <v>1892.5</v>
      </c>
      <c r="H84" s="111">
        <f t="shared" si="66"/>
        <v>3879.825</v>
      </c>
      <c r="I84" s="111">
        <f t="shared" si="66"/>
        <v>5922.723938</v>
      </c>
      <c r="J84" s="111">
        <f t="shared" si="66"/>
        <v>8029.566758</v>
      </c>
      <c r="K84" s="111">
        <f t="shared" si="66"/>
        <v>10215.245</v>
      </c>
      <c r="L84" s="111">
        <f t="shared" si="66"/>
        <v>12485.51326</v>
      </c>
      <c r="M84" s="111">
        <f t="shared" si="66"/>
        <v>14696.1133</v>
      </c>
      <c r="N84" s="111">
        <f t="shared" si="66"/>
        <v>16851.40466</v>
      </c>
      <c r="O84" s="111">
        <f t="shared" si="66"/>
        <v>18952.81308</v>
      </c>
      <c r="P84" s="111">
        <f t="shared" si="66"/>
        <v>21001.68628</v>
      </c>
      <c r="Q84" s="111">
        <f t="shared" si="66"/>
        <v>23004.33765</v>
      </c>
      <c r="R84" s="111">
        <f t="shared" si="66"/>
        <v>24956.99774</v>
      </c>
      <c r="S84" s="111">
        <f t="shared" si="66"/>
        <v>26860.84245</v>
      </c>
      <c r="T84" s="111">
        <f t="shared" si="66"/>
        <v>28717.09106</v>
      </c>
      <c r="U84" s="111">
        <f t="shared" si="66"/>
        <v>30526.93345</v>
      </c>
      <c r="V84" s="111">
        <f t="shared" si="66"/>
        <v>32291.52978</v>
      </c>
      <c r="W84" s="111">
        <f t="shared" si="66"/>
        <v>34012.01121</v>
      </c>
      <c r="X84" s="111">
        <f t="shared" si="66"/>
        <v>35689.4806</v>
      </c>
      <c r="Y84" s="111">
        <f t="shared" si="66"/>
        <v>37325.01325</v>
      </c>
      <c r="Z84" s="111">
        <f t="shared" si="66"/>
        <v>38919.65759</v>
      </c>
      <c r="AA84" s="111">
        <f t="shared" si="66"/>
        <v>40474.43582</v>
      </c>
      <c r="AB84" s="111">
        <f t="shared" si="66"/>
        <v>41990.3446</v>
      </c>
      <c r="AC84" s="111">
        <f t="shared" si="66"/>
        <v>43468.35565</v>
      </c>
      <c r="AD84" s="111">
        <f t="shared" si="66"/>
        <v>44909.41643</v>
      </c>
      <c r="AE84" s="111">
        <f t="shared" si="66"/>
        <v>46314.45069</v>
      </c>
      <c r="AF84" s="111">
        <f t="shared" si="66"/>
        <v>47684.35909</v>
      </c>
      <c r="AG84" s="111">
        <f t="shared" si="66"/>
        <v>49020.01979</v>
      </c>
      <c r="AH84" s="111">
        <f t="shared" si="66"/>
        <v>50322.28896</v>
      </c>
      <c r="AI84" s="111">
        <f t="shared" si="66"/>
        <v>51592.00141</v>
      </c>
      <c r="AJ84" s="111">
        <f t="shared" si="66"/>
        <v>52829.97104</v>
      </c>
      <c r="AK84" s="111">
        <f t="shared" si="66"/>
        <v>54036.99144</v>
      </c>
      <c r="AL84" s="111">
        <f t="shared" si="66"/>
        <v>55213.83632</v>
      </c>
      <c r="AM84" s="111">
        <f t="shared" si="66"/>
        <v>56361.26008</v>
      </c>
      <c r="AN84" s="111">
        <f t="shared" si="66"/>
        <v>57479.99825</v>
      </c>
      <c r="AO84" s="111">
        <f t="shared" si="66"/>
        <v>58570.76796</v>
      </c>
      <c r="AP84" s="111">
        <f t="shared" si="66"/>
        <v>59634.26844</v>
      </c>
      <c r="AQ84" s="111">
        <f t="shared" si="66"/>
        <v>60671.18139</v>
      </c>
      <c r="AR84" s="111">
        <f t="shared" si="66"/>
        <v>61682.17153</v>
      </c>
      <c r="AS84" s="111">
        <f t="shared" si="66"/>
        <v>62667.88691</v>
      </c>
      <c r="AT84" s="111">
        <f t="shared" si="66"/>
        <v>63628.95941</v>
      </c>
      <c r="AU84" s="111">
        <f t="shared" si="66"/>
        <v>64566.00509</v>
      </c>
      <c r="AV84" s="111">
        <f t="shared" si="66"/>
        <v>65479.62464</v>
      </c>
      <c r="AW84" s="111">
        <f t="shared" si="66"/>
        <v>66370.40369</v>
      </c>
      <c r="AX84" s="111">
        <f t="shared" si="66"/>
        <v>67238.91327</v>
      </c>
      <c r="AY84" s="111">
        <f t="shared" si="66"/>
        <v>68085.71011</v>
      </c>
      <c r="AZ84" s="111">
        <f t="shared" si="66"/>
        <v>68911.33702</v>
      </c>
      <c r="BA84" s="111">
        <f t="shared" si="66"/>
        <v>69716.32327</v>
      </c>
      <c r="BB84" s="111">
        <f t="shared" si="66"/>
        <v>70501.18486</v>
      </c>
      <c r="BC84" s="111">
        <f t="shared" si="66"/>
        <v>71266.42491</v>
      </c>
      <c r="BD84" s="111">
        <f t="shared" si="66"/>
        <v>72012.53395</v>
      </c>
      <c r="BE84" s="111">
        <f t="shared" si="66"/>
        <v>72739.99027</v>
      </c>
      <c r="BF84" s="111">
        <f t="shared" si="66"/>
        <v>73449.26019</v>
      </c>
      <c r="BG84" s="111">
        <f t="shared" si="66"/>
        <v>74140.79835</v>
      </c>
      <c r="BH84" s="111">
        <f t="shared" si="66"/>
        <v>74815.04806</v>
      </c>
      <c r="BI84" s="111">
        <f t="shared" si="66"/>
        <v>75472.44153</v>
      </c>
      <c r="BJ84" s="111">
        <f t="shared" si="66"/>
        <v>76113.40016</v>
      </c>
      <c r="BK84" s="111">
        <f t="shared" si="66"/>
        <v>76738.33483</v>
      </c>
      <c r="BL84" s="111">
        <f t="shared" si="66"/>
        <v>77347.64613</v>
      </c>
      <c r="BM84" s="111">
        <f t="shared" si="66"/>
        <v>77941.72465</v>
      </c>
      <c r="BN84" s="111">
        <f t="shared" si="66"/>
        <v>78520.9512</v>
      </c>
    </row>
    <row r="85" outlineLevel="1">
      <c r="A85" s="47"/>
      <c r="B85" s="47"/>
      <c r="C85" s="47"/>
      <c r="D85" s="47"/>
      <c r="E85" s="47"/>
      <c r="F85" s="4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row>
    <row r="86" outlineLevel="1">
      <c r="A86" s="47"/>
      <c r="B86" s="66" t="s">
        <v>57</v>
      </c>
      <c r="C86" s="104"/>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row>
    <row r="87" outlineLevel="1">
      <c r="A87" s="47"/>
      <c r="B87" s="39" t="s">
        <v>49</v>
      </c>
      <c r="C87" s="104"/>
      <c r="D87" s="105">
        <v>0.3</v>
      </c>
      <c r="E87" s="47"/>
      <c r="F87" s="47"/>
      <c r="G87" s="93">
        <f>D87</f>
        <v>0.3</v>
      </c>
      <c r="H87" s="93">
        <f t="shared" ref="H87:BN87" si="67">G87</f>
        <v>0.3</v>
      </c>
      <c r="I87" s="93">
        <f t="shared" si="67"/>
        <v>0.3</v>
      </c>
      <c r="J87" s="93">
        <f t="shared" si="67"/>
        <v>0.3</v>
      </c>
      <c r="K87" s="93">
        <f t="shared" si="67"/>
        <v>0.3</v>
      </c>
      <c r="L87" s="93">
        <f t="shared" si="67"/>
        <v>0.3</v>
      </c>
      <c r="M87" s="93">
        <f t="shared" si="67"/>
        <v>0.3</v>
      </c>
      <c r="N87" s="93">
        <f t="shared" si="67"/>
        <v>0.3</v>
      </c>
      <c r="O87" s="93">
        <f t="shared" si="67"/>
        <v>0.3</v>
      </c>
      <c r="P87" s="93">
        <f t="shared" si="67"/>
        <v>0.3</v>
      </c>
      <c r="Q87" s="93">
        <f t="shared" si="67"/>
        <v>0.3</v>
      </c>
      <c r="R87" s="93">
        <f t="shared" si="67"/>
        <v>0.3</v>
      </c>
      <c r="S87" s="93">
        <f t="shared" si="67"/>
        <v>0.3</v>
      </c>
      <c r="T87" s="93">
        <f t="shared" si="67"/>
        <v>0.3</v>
      </c>
      <c r="U87" s="93">
        <f t="shared" si="67"/>
        <v>0.3</v>
      </c>
      <c r="V87" s="93">
        <f t="shared" si="67"/>
        <v>0.3</v>
      </c>
      <c r="W87" s="93">
        <f t="shared" si="67"/>
        <v>0.3</v>
      </c>
      <c r="X87" s="93">
        <f t="shared" si="67"/>
        <v>0.3</v>
      </c>
      <c r="Y87" s="93">
        <f t="shared" si="67"/>
        <v>0.3</v>
      </c>
      <c r="Z87" s="93">
        <f t="shared" si="67"/>
        <v>0.3</v>
      </c>
      <c r="AA87" s="93">
        <f t="shared" si="67"/>
        <v>0.3</v>
      </c>
      <c r="AB87" s="93">
        <f t="shared" si="67"/>
        <v>0.3</v>
      </c>
      <c r="AC87" s="93">
        <f t="shared" si="67"/>
        <v>0.3</v>
      </c>
      <c r="AD87" s="93">
        <f t="shared" si="67"/>
        <v>0.3</v>
      </c>
      <c r="AE87" s="93">
        <f t="shared" si="67"/>
        <v>0.3</v>
      </c>
      <c r="AF87" s="93">
        <f t="shared" si="67"/>
        <v>0.3</v>
      </c>
      <c r="AG87" s="93">
        <f t="shared" si="67"/>
        <v>0.3</v>
      </c>
      <c r="AH87" s="93">
        <f t="shared" si="67"/>
        <v>0.3</v>
      </c>
      <c r="AI87" s="93">
        <f t="shared" si="67"/>
        <v>0.3</v>
      </c>
      <c r="AJ87" s="93">
        <f t="shared" si="67"/>
        <v>0.3</v>
      </c>
      <c r="AK87" s="93">
        <f t="shared" si="67"/>
        <v>0.3</v>
      </c>
      <c r="AL87" s="93">
        <f t="shared" si="67"/>
        <v>0.3</v>
      </c>
      <c r="AM87" s="93">
        <f t="shared" si="67"/>
        <v>0.3</v>
      </c>
      <c r="AN87" s="93">
        <f t="shared" si="67"/>
        <v>0.3</v>
      </c>
      <c r="AO87" s="93">
        <f t="shared" si="67"/>
        <v>0.3</v>
      </c>
      <c r="AP87" s="93">
        <f t="shared" si="67"/>
        <v>0.3</v>
      </c>
      <c r="AQ87" s="93">
        <f t="shared" si="67"/>
        <v>0.3</v>
      </c>
      <c r="AR87" s="93">
        <f t="shared" si="67"/>
        <v>0.3</v>
      </c>
      <c r="AS87" s="93">
        <f t="shared" si="67"/>
        <v>0.3</v>
      </c>
      <c r="AT87" s="93">
        <f t="shared" si="67"/>
        <v>0.3</v>
      </c>
      <c r="AU87" s="93">
        <f t="shared" si="67"/>
        <v>0.3</v>
      </c>
      <c r="AV87" s="93">
        <f t="shared" si="67"/>
        <v>0.3</v>
      </c>
      <c r="AW87" s="93">
        <f t="shared" si="67"/>
        <v>0.3</v>
      </c>
      <c r="AX87" s="93">
        <f t="shared" si="67"/>
        <v>0.3</v>
      </c>
      <c r="AY87" s="93">
        <f t="shared" si="67"/>
        <v>0.3</v>
      </c>
      <c r="AZ87" s="93">
        <f t="shared" si="67"/>
        <v>0.3</v>
      </c>
      <c r="BA87" s="93">
        <f t="shared" si="67"/>
        <v>0.3</v>
      </c>
      <c r="BB87" s="93">
        <f t="shared" si="67"/>
        <v>0.3</v>
      </c>
      <c r="BC87" s="93">
        <f t="shared" si="67"/>
        <v>0.3</v>
      </c>
      <c r="BD87" s="93">
        <f t="shared" si="67"/>
        <v>0.3</v>
      </c>
      <c r="BE87" s="93">
        <f t="shared" si="67"/>
        <v>0.3</v>
      </c>
      <c r="BF87" s="93">
        <f t="shared" si="67"/>
        <v>0.3</v>
      </c>
      <c r="BG87" s="93">
        <f t="shared" si="67"/>
        <v>0.3</v>
      </c>
      <c r="BH87" s="93">
        <f t="shared" si="67"/>
        <v>0.3</v>
      </c>
      <c r="BI87" s="93">
        <f t="shared" si="67"/>
        <v>0.3</v>
      </c>
      <c r="BJ87" s="93">
        <f t="shared" si="67"/>
        <v>0.3</v>
      </c>
      <c r="BK87" s="93">
        <f t="shared" si="67"/>
        <v>0.3</v>
      </c>
      <c r="BL87" s="93">
        <f t="shared" si="67"/>
        <v>0.3</v>
      </c>
      <c r="BM87" s="93">
        <f t="shared" si="67"/>
        <v>0.3</v>
      </c>
      <c r="BN87" s="93">
        <f t="shared" si="67"/>
        <v>0.3</v>
      </c>
    </row>
    <row r="88" outlineLevel="1">
      <c r="A88" s="47"/>
      <c r="B88" s="39" t="s">
        <v>17</v>
      </c>
      <c r="C88" s="104"/>
      <c r="D88" s="106"/>
      <c r="E88" s="47"/>
      <c r="F88" s="47"/>
      <c r="G88" s="106">
        <f t="shared" ref="G88:BN88" si="68">G87*G$71</f>
        <v>113.55</v>
      </c>
      <c r="H88" s="106">
        <f t="shared" si="68"/>
        <v>122.07825</v>
      </c>
      <c r="I88" s="106">
        <f t="shared" si="68"/>
        <v>128.3936738</v>
      </c>
      <c r="J88" s="106">
        <f t="shared" si="68"/>
        <v>135.2946551</v>
      </c>
      <c r="K88" s="106">
        <f t="shared" si="68"/>
        <v>143.1850448</v>
      </c>
      <c r="L88" s="106">
        <f t="shared" si="68"/>
        <v>151.5389632</v>
      </c>
      <c r="M88" s="106">
        <f t="shared" si="68"/>
        <v>151.3642719</v>
      </c>
      <c r="N88" s="106">
        <f t="shared" si="68"/>
        <v>151.3616516</v>
      </c>
      <c r="O88" s="106">
        <f t="shared" si="68"/>
        <v>151.3616123</v>
      </c>
      <c r="P88" s="106">
        <f t="shared" si="68"/>
        <v>151.3616117</v>
      </c>
      <c r="Q88" s="106">
        <f t="shared" si="68"/>
        <v>151.6616117</v>
      </c>
      <c r="R88" s="106">
        <f t="shared" si="68"/>
        <v>151.6661117</v>
      </c>
      <c r="S88" s="106">
        <f t="shared" si="68"/>
        <v>151.6661792</v>
      </c>
      <c r="T88" s="106">
        <f t="shared" si="68"/>
        <v>151.6661802</v>
      </c>
      <c r="U88" s="106">
        <f t="shared" si="68"/>
        <v>151.6661802</v>
      </c>
      <c r="V88" s="106">
        <f t="shared" si="68"/>
        <v>151.6661802</v>
      </c>
      <c r="W88" s="106">
        <f t="shared" si="68"/>
        <v>151.6661802</v>
      </c>
      <c r="X88" s="106">
        <f t="shared" si="68"/>
        <v>151.6661802</v>
      </c>
      <c r="Y88" s="106">
        <f t="shared" si="68"/>
        <v>151.6661802</v>
      </c>
      <c r="Z88" s="106">
        <f t="shared" si="68"/>
        <v>151.6661802</v>
      </c>
      <c r="AA88" s="106">
        <f t="shared" si="68"/>
        <v>151.6661802</v>
      </c>
      <c r="AB88" s="106">
        <f t="shared" si="68"/>
        <v>151.6661802</v>
      </c>
      <c r="AC88" s="106">
        <f t="shared" si="68"/>
        <v>151.6661802</v>
      </c>
      <c r="AD88" s="106">
        <f t="shared" si="68"/>
        <v>151.6661802</v>
      </c>
      <c r="AE88" s="106">
        <f t="shared" si="68"/>
        <v>151.6661802</v>
      </c>
      <c r="AF88" s="106">
        <f t="shared" si="68"/>
        <v>151.6661802</v>
      </c>
      <c r="AG88" s="106">
        <f t="shared" si="68"/>
        <v>151.6661802</v>
      </c>
      <c r="AH88" s="106">
        <f t="shared" si="68"/>
        <v>151.6661802</v>
      </c>
      <c r="AI88" s="106">
        <f t="shared" si="68"/>
        <v>151.6661802</v>
      </c>
      <c r="AJ88" s="106">
        <f t="shared" si="68"/>
        <v>151.6661802</v>
      </c>
      <c r="AK88" s="106">
        <f t="shared" si="68"/>
        <v>151.6661802</v>
      </c>
      <c r="AL88" s="106">
        <f t="shared" si="68"/>
        <v>151.6661802</v>
      </c>
      <c r="AM88" s="106">
        <f t="shared" si="68"/>
        <v>151.6661802</v>
      </c>
      <c r="AN88" s="106">
        <f t="shared" si="68"/>
        <v>151.6661802</v>
      </c>
      <c r="AO88" s="106">
        <f t="shared" si="68"/>
        <v>151.6661802</v>
      </c>
      <c r="AP88" s="106">
        <f t="shared" si="68"/>
        <v>151.6661802</v>
      </c>
      <c r="AQ88" s="106">
        <f t="shared" si="68"/>
        <v>151.6661802</v>
      </c>
      <c r="AR88" s="106">
        <f t="shared" si="68"/>
        <v>151.6661802</v>
      </c>
      <c r="AS88" s="106">
        <f t="shared" si="68"/>
        <v>151.6661802</v>
      </c>
      <c r="AT88" s="106">
        <f t="shared" si="68"/>
        <v>151.6661802</v>
      </c>
      <c r="AU88" s="106">
        <f t="shared" si="68"/>
        <v>151.6661802</v>
      </c>
      <c r="AV88" s="106">
        <f t="shared" si="68"/>
        <v>151.6661802</v>
      </c>
      <c r="AW88" s="106">
        <f t="shared" si="68"/>
        <v>151.6661802</v>
      </c>
      <c r="AX88" s="106">
        <f t="shared" si="68"/>
        <v>151.6661802</v>
      </c>
      <c r="AY88" s="106">
        <f t="shared" si="68"/>
        <v>151.6661802</v>
      </c>
      <c r="AZ88" s="106">
        <f t="shared" si="68"/>
        <v>151.6661802</v>
      </c>
      <c r="BA88" s="106">
        <f t="shared" si="68"/>
        <v>151.6661802</v>
      </c>
      <c r="BB88" s="106">
        <f t="shared" si="68"/>
        <v>151.6661802</v>
      </c>
      <c r="BC88" s="106">
        <f t="shared" si="68"/>
        <v>151.6661802</v>
      </c>
      <c r="BD88" s="106">
        <f t="shared" si="68"/>
        <v>151.6661802</v>
      </c>
      <c r="BE88" s="106">
        <f t="shared" si="68"/>
        <v>151.6661802</v>
      </c>
      <c r="BF88" s="106">
        <f t="shared" si="68"/>
        <v>151.6661802</v>
      </c>
      <c r="BG88" s="106">
        <f t="shared" si="68"/>
        <v>151.6661802</v>
      </c>
      <c r="BH88" s="106">
        <f t="shared" si="68"/>
        <v>151.6661802</v>
      </c>
      <c r="BI88" s="106">
        <f t="shared" si="68"/>
        <v>151.6661802</v>
      </c>
      <c r="BJ88" s="106">
        <f t="shared" si="68"/>
        <v>151.6661802</v>
      </c>
      <c r="BK88" s="106">
        <f t="shared" si="68"/>
        <v>151.6661802</v>
      </c>
      <c r="BL88" s="106">
        <f t="shared" si="68"/>
        <v>151.6661802</v>
      </c>
      <c r="BM88" s="106">
        <f t="shared" si="68"/>
        <v>151.6661802</v>
      </c>
      <c r="BN88" s="106">
        <f t="shared" si="68"/>
        <v>151.6661802</v>
      </c>
    </row>
    <row r="89" outlineLevel="1">
      <c r="A89" s="47"/>
      <c r="B89" s="39" t="s">
        <v>50</v>
      </c>
      <c r="C89" s="104"/>
      <c r="D89" s="105">
        <v>0.0</v>
      </c>
      <c r="E89" s="47"/>
      <c r="F89" s="47"/>
      <c r="G89" s="93">
        <f>D89</f>
        <v>0</v>
      </c>
      <c r="H89" s="93">
        <f t="shared" ref="H89:BN89" si="69">G89</f>
        <v>0</v>
      </c>
      <c r="I89" s="93">
        <f t="shared" si="69"/>
        <v>0</v>
      </c>
      <c r="J89" s="93">
        <f t="shared" si="69"/>
        <v>0</v>
      </c>
      <c r="K89" s="93">
        <f t="shared" si="69"/>
        <v>0</v>
      </c>
      <c r="L89" s="93">
        <f t="shared" si="69"/>
        <v>0</v>
      </c>
      <c r="M89" s="93">
        <f t="shared" si="69"/>
        <v>0</v>
      </c>
      <c r="N89" s="93">
        <f t="shared" si="69"/>
        <v>0</v>
      </c>
      <c r="O89" s="93">
        <f t="shared" si="69"/>
        <v>0</v>
      </c>
      <c r="P89" s="93">
        <f t="shared" si="69"/>
        <v>0</v>
      </c>
      <c r="Q89" s="93">
        <f t="shared" si="69"/>
        <v>0</v>
      </c>
      <c r="R89" s="93">
        <f t="shared" si="69"/>
        <v>0</v>
      </c>
      <c r="S89" s="93">
        <f t="shared" si="69"/>
        <v>0</v>
      </c>
      <c r="T89" s="93">
        <f t="shared" si="69"/>
        <v>0</v>
      </c>
      <c r="U89" s="93">
        <f t="shared" si="69"/>
        <v>0</v>
      </c>
      <c r="V89" s="93">
        <f t="shared" si="69"/>
        <v>0</v>
      </c>
      <c r="W89" s="93">
        <f t="shared" si="69"/>
        <v>0</v>
      </c>
      <c r="X89" s="93">
        <f t="shared" si="69"/>
        <v>0</v>
      </c>
      <c r="Y89" s="93">
        <f t="shared" si="69"/>
        <v>0</v>
      </c>
      <c r="Z89" s="93">
        <f t="shared" si="69"/>
        <v>0</v>
      </c>
      <c r="AA89" s="93">
        <f t="shared" si="69"/>
        <v>0</v>
      </c>
      <c r="AB89" s="93">
        <f t="shared" si="69"/>
        <v>0</v>
      </c>
      <c r="AC89" s="93">
        <f t="shared" si="69"/>
        <v>0</v>
      </c>
      <c r="AD89" s="93">
        <f t="shared" si="69"/>
        <v>0</v>
      </c>
      <c r="AE89" s="93">
        <f t="shared" si="69"/>
        <v>0</v>
      </c>
      <c r="AF89" s="93">
        <f t="shared" si="69"/>
        <v>0</v>
      </c>
      <c r="AG89" s="93">
        <f t="shared" si="69"/>
        <v>0</v>
      </c>
      <c r="AH89" s="93">
        <f t="shared" si="69"/>
        <v>0</v>
      </c>
      <c r="AI89" s="93">
        <f t="shared" si="69"/>
        <v>0</v>
      </c>
      <c r="AJ89" s="93">
        <f t="shared" si="69"/>
        <v>0</v>
      </c>
      <c r="AK89" s="93">
        <f t="shared" si="69"/>
        <v>0</v>
      </c>
      <c r="AL89" s="93">
        <f t="shared" si="69"/>
        <v>0</v>
      </c>
      <c r="AM89" s="93">
        <f t="shared" si="69"/>
        <v>0</v>
      </c>
      <c r="AN89" s="93">
        <f t="shared" si="69"/>
        <v>0</v>
      </c>
      <c r="AO89" s="93">
        <f t="shared" si="69"/>
        <v>0</v>
      </c>
      <c r="AP89" s="93">
        <f t="shared" si="69"/>
        <v>0</v>
      </c>
      <c r="AQ89" s="93">
        <f t="shared" si="69"/>
        <v>0</v>
      </c>
      <c r="AR89" s="93">
        <f t="shared" si="69"/>
        <v>0</v>
      </c>
      <c r="AS89" s="93">
        <f t="shared" si="69"/>
        <v>0</v>
      </c>
      <c r="AT89" s="93">
        <f t="shared" si="69"/>
        <v>0</v>
      </c>
      <c r="AU89" s="93">
        <f t="shared" si="69"/>
        <v>0</v>
      </c>
      <c r="AV89" s="93">
        <f t="shared" si="69"/>
        <v>0</v>
      </c>
      <c r="AW89" s="93">
        <f t="shared" si="69"/>
        <v>0</v>
      </c>
      <c r="AX89" s="93">
        <f t="shared" si="69"/>
        <v>0</v>
      </c>
      <c r="AY89" s="93">
        <f t="shared" si="69"/>
        <v>0</v>
      </c>
      <c r="AZ89" s="93">
        <f t="shared" si="69"/>
        <v>0</v>
      </c>
      <c r="BA89" s="93">
        <f t="shared" si="69"/>
        <v>0</v>
      </c>
      <c r="BB89" s="93">
        <f t="shared" si="69"/>
        <v>0</v>
      </c>
      <c r="BC89" s="93">
        <f t="shared" si="69"/>
        <v>0</v>
      </c>
      <c r="BD89" s="93">
        <f t="shared" si="69"/>
        <v>0</v>
      </c>
      <c r="BE89" s="93">
        <f t="shared" si="69"/>
        <v>0</v>
      </c>
      <c r="BF89" s="93">
        <f t="shared" si="69"/>
        <v>0</v>
      </c>
      <c r="BG89" s="93">
        <f t="shared" si="69"/>
        <v>0</v>
      </c>
      <c r="BH89" s="93">
        <f t="shared" si="69"/>
        <v>0</v>
      </c>
      <c r="BI89" s="93">
        <f t="shared" si="69"/>
        <v>0</v>
      </c>
      <c r="BJ89" s="93">
        <f t="shared" si="69"/>
        <v>0</v>
      </c>
      <c r="BK89" s="93">
        <f t="shared" si="69"/>
        <v>0</v>
      </c>
      <c r="BL89" s="93">
        <f t="shared" si="69"/>
        <v>0</v>
      </c>
      <c r="BM89" s="93">
        <f t="shared" si="69"/>
        <v>0</v>
      </c>
      <c r="BN89" s="93">
        <f t="shared" si="69"/>
        <v>0</v>
      </c>
    </row>
    <row r="90" outlineLevel="1">
      <c r="A90" s="47"/>
      <c r="B90" s="39" t="s">
        <v>51</v>
      </c>
      <c r="C90" s="104"/>
      <c r="D90" s="106"/>
      <c r="E90" s="47"/>
      <c r="F90" s="47"/>
      <c r="G90" s="106">
        <f t="shared" ref="G90:BN90" si="70">G93*G89</f>
        <v>0</v>
      </c>
      <c r="H90" s="106">
        <f t="shared" si="70"/>
        <v>0</v>
      </c>
      <c r="I90" s="106">
        <f t="shared" si="70"/>
        <v>0</v>
      </c>
      <c r="J90" s="106">
        <f t="shared" si="70"/>
        <v>0</v>
      </c>
      <c r="K90" s="106">
        <f t="shared" si="70"/>
        <v>0</v>
      </c>
      <c r="L90" s="106">
        <f t="shared" si="70"/>
        <v>0</v>
      </c>
      <c r="M90" s="106">
        <f t="shared" si="70"/>
        <v>0</v>
      </c>
      <c r="N90" s="106">
        <f t="shared" si="70"/>
        <v>0</v>
      </c>
      <c r="O90" s="106">
        <f t="shared" si="70"/>
        <v>0</v>
      </c>
      <c r="P90" s="106">
        <f t="shared" si="70"/>
        <v>0</v>
      </c>
      <c r="Q90" s="106">
        <f t="shared" si="70"/>
        <v>0</v>
      </c>
      <c r="R90" s="106">
        <f t="shared" si="70"/>
        <v>0</v>
      </c>
      <c r="S90" s="106">
        <f t="shared" si="70"/>
        <v>0</v>
      </c>
      <c r="T90" s="106">
        <f t="shared" si="70"/>
        <v>0</v>
      </c>
      <c r="U90" s="106">
        <f t="shared" si="70"/>
        <v>0</v>
      </c>
      <c r="V90" s="106">
        <f t="shared" si="70"/>
        <v>0</v>
      </c>
      <c r="W90" s="106">
        <f t="shared" si="70"/>
        <v>0</v>
      </c>
      <c r="X90" s="106">
        <f t="shared" si="70"/>
        <v>0</v>
      </c>
      <c r="Y90" s="106">
        <f t="shared" si="70"/>
        <v>0</v>
      </c>
      <c r="Z90" s="106">
        <f t="shared" si="70"/>
        <v>0</v>
      </c>
      <c r="AA90" s="106">
        <f t="shared" si="70"/>
        <v>0</v>
      </c>
      <c r="AB90" s="106">
        <f t="shared" si="70"/>
        <v>0</v>
      </c>
      <c r="AC90" s="106">
        <f t="shared" si="70"/>
        <v>0</v>
      </c>
      <c r="AD90" s="106">
        <f t="shared" si="70"/>
        <v>0</v>
      </c>
      <c r="AE90" s="106">
        <f t="shared" si="70"/>
        <v>0</v>
      </c>
      <c r="AF90" s="106">
        <f t="shared" si="70"/>
        <v>0</v>
      </c>
      <c r="AG90" s="106">
        <f t="shared" si="70"/>
        <v>0</v>
      </c>
      <c r="AH90" s="106">
        <f t="shared" si="70"/>
        <v>0</v>
      </c>
      <c r="AI90" s="106">
        <f t="shared" si="70"/>
        <v>0</v>
      </c>
      <c r="AJ90" s="106">
        <f t="shared" si="70"/>
        <v>0</v>
      </c>
      <c r="AK90" s="106">
        <f t="shared" si="70"/>
        <v>0</v>
      </c>
      <c r="AL90" s="106">
        <f t="shared" si="70"/>
        <v>0</v>
      </c>
      <c r="AM90" s="106">
        <f t="shared" si="70"/>
        <v>0</v>
      </c>
      <c r="AN90" s="106">
        <f t="shared" si="70"/>
        <v>0</v>
      </c>
      <c r="AO90" s="106">
        <f t="shared" si="70"/>
        <v>0</v>
      </c>
      <c r="AP90" s="106">
        <f t="shared" si="70"/>
        <v>0</v>
      </c>
      <c r="AQ90" s="106">
        <f t="shared" si="70"/>
        <v>0</v>
      </c>
      <c r="AR90" s="106">
        <f t="shared" si="70"/>
        <v>0</v>
      </c>
      <c r="AS90" s="106">
        <f t="shared" si="70"/>
        <v>0</v>
      </c>
      <c r="AT90" s="106">
        <f t="shared" si="70"/>
        <v>0</v>
      </c>
      <c r="AU90" s="106">
        <f t="shared" si="70"/>
        <v>0</v>
      </c>
      <c r="AV90" s="106">
        <f t="shared" si="70"/>
        <v>0</v>
      </c>
      <c r="AW90" s="106">
        <f t="shared" si="70"/>
        <v>0</v>
      </c>
      <c r="AX90" s="106">
        <f t="shared" si="70"/>
        <v>0</v>
      </c>
      <c r="AY90" s="106">
        <f t="shared" si="70"/>
        <v>0</v>
      </c>
      <c r="AZ90" s="106">
        <f t="shared" si="70"/>
        <v>0</v>
      </c>
      <c r="BA90" s="106">
        <f t="shared" si="70"/>
        <v>0</v>
      </c>
      <c r="BB90" s="106">
        <f t="shared" si="70"/>
        <v>0</v>
      </c>
      <c r="BC90" s="106">
        <f t="shared" si="70"/>
        <v>0</v>
      </c>
      <c r="BD90" s="106">
        <f t="shared" si="70"/>
        <v>0</v>
      </c>
      <c r="BE90" s="106">
        <f t="shared" si="70"/>
        <v>0</v>
      </c>
      <c r="BF90" s="106">
        <f t="shared" si="70"/>
        <v>0</v>
      </c>
      <c r="BG90" s="106">
        <f t="shared" si="70"/>
        <v>0</v>
      </c>
      <c r="BH90" s="106">
        <f t="shared" si="70"/>
        <v>0</v>
      </c>
      <c r="BI90" s="106">
        <f t="shared" si="70"/>
        <v>0</v>
      </c>
      <c r="BJ90" s="106">
        <f t="shared" si="70"/>
        <v>0</v>
      </c>
      <c r="BK90" s="106">
        <f t="shared" si="70"/>
        <v>0</v>
      </c>
      <c r="BL90" s="106">
        <f t="shared" si="70"/>
        <v>0</v>
      </c>
      <c r="BM90" s="106">
        <f t="shared" si="70"/>
        <v>0</v>
      </c>
      <c r="BN90" s="106">
        <f t="shared" si="70"/>
        <v>0</v>
      </c>
    </row>
    <row r="91" outlineLevel="1">
      <c r="A91" s="47"/>
      <c r="B91" s="39" t="s">
        <v>52</v>
      </c>
      <c r="C91" s="104"/>
      <c r="D91" s="47"/>
      <c r="E91" s="47"/>
      <c r="F91" s="47"/>
      <c r="G91" s="106">
        <f t="shared" ref="G91:BN91" si="71">G93-G90</f>
        <v>0</v>
      </c>
      <c r="H91" s="106">
        <f t="shared" si="71"/>
        <v>113.55</v>
      </c>
      <c r="I91" s="106">
        <f t="shared" si="71"/>
        <v>235.62825</v>
      </c>
      <c r="J91" s="106">
        <f t="shared" si="71"/>
        <v>364.0219238</v>
      </c>
      <c r="K91" s="106">
        <f t="shared" si="71"/>
        <v>499.3165789</v>
      </c>
      <c r="L91" s="106">
        <f t="shared" si="71"/>
        <v>642.5016237</v>
      </c>
      <c r="M91" s="106">
        <f t="shared" si="71"/>
        <v>794.0405869</v>
      </c>
      <c r="N91" s="106">
        <f t="shared" si="71"/>
        <v>945.4048588</v>
      </c>
      <c r="O91" s="106">
        <f t="shared" si="71"/>
        <v>1096.76651</v>
      </c>
      <c r="P91" s="106">
        <f t="shared" si="71"/>
        <v>1248.128123</v>
      </c>
      <c r="Q91" s="106">
        <f t="shared" si="71"/>
        <v>1399.489734</v>
      </c>
      <c r="R91" s="106">
        <f t="shared" si="71"/>
        <v>1551.151346</v>
      </c>
      <c r="S91" s="106">
        <f t="shared" si="71"/>
        <v>1702.817458</v>
      </c>
      <c r="T91" s="106">
        <f t="shared" si="71"/>
        <v>1854.483637</v>
      </c>
      <c r="U91" s="106">
        <f t="shared" si="71"/>
        <v>2006.149817</v>
      </c>
      <c r="V91" s="106">
        <f t="shared" si="71"/>
        <v>2157.815997</v>
      </c>
      <c r="W91" s="106">
        <f t="shared" si="71"/>
        <v>2309.482177</v>
      </c>
      <c r="X91" s="106">
        <f t="shared" si="71"/>
        <v>2461.148358</v>
      </c>
      <c r="Y91" s="106">
        <f t="shared" si="71"/>
        <v>2612.814538</v>
      </c>
      <c r="Z91" s="106">
        <f t="shared" si="71"/>
        <v>2764.480718</v>
      </c>
      <c r="AA91" s="106">
        <f t="shared" si="71"/>
        <v>2916.146898</v>
      </c>
      <c r="AB91" s="106">
        <f t="shared" si="71"/>
        <v>3067.813078</v>
      </c>
      <c r="AC91" s="106">
        <f t="shared" si="71"/>
        <v>3219.479259</v>
      </c>
      <c r="AD91" s="106">
        <f t="shared" si="71"/>
        <v>3371.145439</v>
      </c>
      <c r="AE91" s="106">
        <f t="shared" si="71"/>
        <v>3522.811619</v>
      </c>
      <c r="AF91" s="106">
        <f t="shared" si="71"/>
        <v>3674.477799</v>
      </c>
      <c r="AG91" s="106">
        <f t="shared" si="71"/>
        <v>3826.143979</v>
      </c>
      <c r="AH91" s="106">
        <f t="shared" si="71"/>
        <v>3977.81016</v>
      </c>
      <c r="AI91" s="106">
        <f t="shared" si="71"/>
        <v>4129.47634</v>
      </c>
      <c r="AJ91" s="106">
        <f t="shared" si="71"/>
        <v>4281.14252</v>
      </c>
      <c r="AK91" s="106">
        <f t="shared" si="71"/>
        <v>4432.8087</v>
      </c>
      <c r="AL91" s="106">
        <f t="shared" si="71"/>
        <v>4584.474881</v>
      </c>
      <c r="AM91" s="106">
        <f t="shared" si="71"/>
        <v>4736.141061</v>
      </c>
      <c r="AN91" s="106">
        <f t="shared" si="71"/>
        <v>4887.807241</v>
      </c>
      <c r="AO91" s="106">
        <f t="shared" si="71"/>
        <v>5039.473421</v>
      </c>
      <c r="AP91" s="106">
        <f t="shared" si="71"/>
        <v>5191.139601</v>
      </c>
      <c r="AQ91" s="106">
        <f t="shared" si="71"/>
        <v>5342.805782</v>
      </c>
      <c r="AR91" s="106">
        <f t="shared" si="71"/>
        <v>5494.471962</v>
      </c>
      <c r="AS91" s="106">
        <f t="shared" si="71"/>
        <v>5646.138142</v>
      </c>
      <c r="AT91" s="106">
        <f t="shared" si="71"/>
        <v>5797.804322</v>
      </c>
      <c r="AU91" s="106">
        <f t="shared" si="71"/>
        <v>5949.470502</v>
      </c>
      <c r="AV91" s="106">
        <f t="shared" si="71"/>
        <v>6101.136683</v>
      </c>
      <c r="AW91" s="106">
        <f t="shared" si="71"/>
        <v>6252.802863</v>
      </c>
      <c r="AX91" s="106">
        <f t="shared" si="71"/>
        <v>6404.469043</v>
      </c>
      <c r="AY91" s="106">
        <f t="shared" si="71"/>
        <v>6556.135223</v>
      </c>
      <c r="AZ91" s="106">
        <f t="shared" si="71"/>
        <v>6707.801403</v>
      </c>
      <c r="BA91" s="106">
        <f t="shared" si="71"/>
        <v>6859.467584</v>
      </c>
      <c r="BB91" s="106">
        <f t="shared" si="71"/>
        <v>7011.133764</v>
      </c>
      <c r="BC91" s="106">
        <f t="shared" si="71"/>
        <v>7162.799944</v>
      </c>
      <c r="BD91" s="106">
        <f t="shared" si="71"/>
        <v>7314.466124</v>
      </c>
      <c r="BE91" s="106">
        <f t="shared" si="71"/>
        <v>7466.132304</v>
      </c>
      <c r="BF91" s="106">
        <f t="shared" si="71"/>
        <v>7617.798485</v>
      </c>
      <c r="BG91" s="106">
        <f t="shared" si="71"/>
        <v>7769.464665</v>
      </c>
      <c r="BH91" s="106">
        <f t="shared" si="71"/>
        <v>7921.130845</v>
      </c>
      <c r="BI91" s="106">
        <f t="shared" si="71"/>
        <v>8072.797025</v>
      </c>
      <c r="BJ91" s="106">
        <f t="shared" si="71"/>
        <v>8224.463205</v>
      </c>
      <c r="BK91" s="106">
        <f t="shared" si="71"/>
        <v>8376.129386</v>
      </c>
      <c r="BL91" s="106">
        <f t="shared" si="71"/>
        <v>8527.795566</v>
      </c>
      <c r="BM91" s="106">
        <f t="shared" si="71"/>
        <v>8679.461746</v>
      </c>
      <c r="BN91" s="106">
        <f t="shared" si="71"/>
        <v>8831.127926</v>
      </c>
    </row>
    <row r="92" outlineLevel="1">
      <c r="A92" s="47"/>
      <c r="B92" s="39" t="s">
        <v>53</v>
      </c>
      <c r="C92" s="104"/>
      <c r="D92" s="47"/>
      <c r="E92" s="47"/>
      <c r="F92" s="47"/>
      <c r="G92" s="106">
        <f t="shared" ref="G92:BN92" si="72">G88+G91</f>
        <v>113.55</v>
      </c>
      <c r="H92" s="106">
        <f t="shared" si="72"/>
        <v>235.62825</v>
      </c>
      <c r="I92" s="106">
        <f t="shared" si="72"/>
        <v>364.0219238</v>
      </c>
      <c r="J92" s="106">
        <f t="shared" si="72"/>
        <v>499.3165789</v>
      </c>
      <c r="K92" s="106">
        <f t="shared" si="72"/>
        <v>642.5016237</v>
      </c>
      <c r="L92" s="106">
        <f t="shared" si="72"/>
        <v>794.0405869</v>
      </c>
      <c r="M92" s="106">
        <f t="shared" si="72"/>
        <v>945.4048588</v>
      </c>
      <c r="N92" s="106">
        <f t="shared" si="72"/>
        <v>1096.76651</v>
      </c>
      <c r="O92" s="106">
        <f t="shared" si="72"/>
        <v>1248.128123</v>
      </c>
      <c r="P92" s="106">
        <f t="shared" si="72"/>
        <v>1399.489734</v>
      </c>
      <c r="Q92" s="106">
        <f t="shared" si="72"/>
        <v>1551.151346</v>
      </c>
      <c r="R92" s="106">
        <f t="shared" si="72"/>
        <v>1702.817458</v>
      </c>
      <c r="S92" s="106">
        <f t="shared" si="72"/>
        <v>1854.483637</v>
      </c>
      <c r="T92" s="106">
        <f t="shared" si="72"/>
        <v>2006.149817</v>
      </c>
      <c r="U92" s="106">
        <f t="shared" si="72"/>
        <v>2157.815997</v>
      </c>
      <c r="V92" s="106">
        <f t="shared" si="72"/>
        <v>2309.482177</v>
      </c>
      <c r="W92" s="106">
        <f t="shared" si="72"/>
        <v>2461.148358</v>
      </c>
      <c r="X92" s="106">
        <f t="shared" si="72"/>
        <v>2612.814538</v>
      </c>
      <c r="Y92" s="106">
        <f t="shared" si="72"/>
        <v>2764.480718</v>
      </c>
      <c r="Z92" s="106">
        <f t="shared" si="72"/>
        <v>2916.146898</v>
      </c>
      <c r="AA92" s="106">
        <f t="shared" si="72"/>
        <v>3067.813078</v>
      </c>
      <c r="AB92" s="106">
        <f t="shared" si="72"/>
        <v>3219.479259</v>
      </c>
      <c r="AC92" s="106">
        <f t="shared" si="72"/>
        <v>3371.145439</v>
      </c>
      <c r="AD92" s="106">
        <f t="shared" si="72"/>
        <v>3522.811619</v>
      </c>
      <c r="AE92" s="106">
        <f t="shared" si="72"/>
        <v>3674.477799</v>
      </c>
      <c r="AF92" s="106">
        <f t="shared" si="72"/>
        <v>3826.143979</v>
      </c>
      <c r="AG92" s="106">
        <f t="shared" si="72"/>
        <v>3977.81016</v>
      </c>
      <c r="AH92" s="106">
        <f t="shared" si="72"/>
        <v>4129.47634</v>
      </c>
      <c r="AI92" s="106">
        <f t="shared" si="72"/>
        <v>4281.14252</v>
      </c>
      <c r="AJ92" s="106">
        <f t="shared" si="72"/>
        <v>4432.8087</v>
      </c>
      <c r="AK92" s="106">
        <f t="shared" si="72"/>
        <v>4584.474881</v>
      </c>
      <c r="AL92" s="106">
        <f t="shared" si="72"/>
        <v>4736.141061</v>
      </c>
      <c r="AM92" s="106">
        <f t="shared" si="72"/>
        <v>4887.807241</v>
      </c>
      <c r="AN92" s="106">
        <f t="shared" si="72"/>
        <v>5039.473421</v>
      </c>
      <c r="AO92" s="106">
        <f t="shared" si="72"/>
        <v>5191.139601</v>
      </c>
      <c r="AP92" s="106">
        <f t="shared" si="72"/>
        <v>5342.805782</v>
      </c>
      <c r="AQ92" s="106">
        <f t="shared" si="72"/>
        <v>5494.471962</v>
      </c>
      <c r="AR92" s="106">
        <f t="shared" si="72"/>
        <v>5646.138142</v>
      </c>
      <c r="AS92" s="106">
        <f t="shared" si="72"/>
        <v>5797.804322</v>
      </c>
      <c r="AT92" s="106">
        <f t="shared" si="72"/>
        <v>5949.470502</v>
      </c>
      <c r="AU92" s="106">
        <f t="shared" si="72"/>
        <v>6101.136683</v>
      </c>
      <c r="AV92" s="106">
        <f t="shared" si="72"/>
        <v>6252.802863</v>
      </c>
      <c r="AW92" s="106">
        <f t="shared" si="72"/>
        <v>6404.469043</v>
      </c>
      <c r="AX92" s="106">
        <f t="shared" si="72"/>
        <v>6556.135223</v>
      </c>
      <c r="AY92" s="106">
        <f t="shared" si="72"/>
        <v>6707.801403</v>
      </c>
      <c r="AZ92" s="106">
        <f t="shared" si="72"/>
        <v>6859.467584</v>
      </c>
      <c r="BA92" s="106">
        <f t="shared" si="72"/>
        <v>7011.133764</v>
      </c>
      <c r="BB92" s="106">
        <f t="shared" si="72"/>
        <v>7162.799944</v>
      </c>
      <c r="BC92" s="106">
        <f t="shared" si="72"/>
        <v>7314.466124</v>
      </c>
      <c r="BD92" s="106">
        <f t="shared" si="72"/>
        <v>7466.132304</v>
      </c>
      <c r="BE92" s="106">
        <f t="shared" si="72"/>
        <v>7617.798485</v>
      </c>
      <c r="BF92" s="106">
        <f t="shared" si="72"/>
        <v>7769.464665</v>
      </c>
      <c r="BG92" s="106">
        <f t="shared" si="72"/>
        <v>7921.130845</v>
      </c>
      <c r="BH92" s="106">
        <f t="shared" si="72"/>
        <v>8072.797025</v>
      </c>
      <c r="BI92" s="106">
        <f t="shared" si="72"/>
        <v>8224.463205</v>
      </c>
      <c r="BJ92" s="106">
        <f t="shared" si="72"/>
        <v>8376.129386</v>
      </c>
      <c r="BK92" s="106">
        <f t="shared" si="72"/>
        <v>8527.795566</v>
      </c>
      <c r="BL92" s="106">
        <f t="shared" si="72"/>
        <v>8679.461746</v>
      </c>
      <c r="BM92" s="106">
        <f t="shared" si="72"/>
        <v>8831.127926</v>
      </c>
      <c r="BN92" s="106">
        <f t="shared" si="72"/>
        <v>8982.794106</v>
      </c>
    </row>
    <row r="93" outlineLevel="1">
      <c r="A93" s="47"/>
      <c r="B93" s="39" t="s">
        <v>54</v>
      </c>
      <c r="C93" s="47"/>
      <c r="D93" s="107"/>
      <c r="E93" s="47"/>
      <c r="F93" s="47"/>
      <c r="G93" s="107" t="str">
        <f>E92</f>
        <v/>
      </c>
      <c r="H93" s="107">
        <f t="shared" ref="H93:BN93" si="73">G92</f>
        <v>113.55</v>
      </c>
      <c r="I93" s="107">
        <f t="shared" si="73"/>
        <v>235.62825</v>
      </c>
      <c r="J93" s="107">
        <f t="shared" si="73"/>
        <v>364.0219238</v>
      </c>
      <c r="K93" s="107">
        <f t="shared" si="73"/>
        <v>499.3165789</v>
      </c>
      <c r="L93" s="107">
        <f t="shared" si="73"/>
        <v>642.5016237</v>
      </c>
      <c r="M93" s="107">
        <f t="shared" si="73"/>
        <v>794.0405869</v>
      </c>
      <c r="N93" s="107">
        <f t="shared" si="73"/>
        <v>945.4048588</v>
      </c>
      <c r="O93" s="107">
        <f t="shared" si="73"/>
        <v>1096.76651</v>
      </c>
      <c r="P93" s="107">
        <f t="shared" si="73"/>
        <v>1248.128123</v>
      </c>
      <c r="Q93" s="107">
        <f t="shared" si="73"/>
        <v>1399.489734</v>
      </c>
      <c r="R93" s="107">
        <f t="shared" si="73"/>
        <v>1551.151346</v>
      </c>
      <c r="S93" s="107">
        <f t="shared" si="73"/>
        <v>1702.817458</v>
      </c>
      <c r="T93" s="107">
        <f t="shared" si="73"/>
        <v>1854.483637</v>
      </c>
      <c r="U93" s="107">
        <f t="shared" si="73"/>
        <v>2006.149817</v>
      </c>
      <c r="V93" s="107">
        <f t="shared" si="73"/>
        <v>2157.815997</v>
      </c>
      <c r="W93" s="107">
        <f t="shared" si="73"/>
        <v>2309.482177</v>
      </c>
      <c r="X93" s="107">
        <f t="shared" si="73"/>
        <v>2461.148358</v>
      </c>
      <c r="Y93" s="107">
        <f t="shared" si="73"/>
        <v>2612.814538</v>
      </c>
      <c r="Z93" s="107">
        <f t="shared" si="73"/>
        <v>2764.480718</v>
      </c>
      <c r="AA93" s="107">
        <f t="shared" si="73"/>
        <v>2916.146898</v>
      </c>
      <c r="AB93" s="107">
        <f t="shared" si="73"/>
        <v>3067.813078</v>
      </c>
      <c r="AC93" s="107">
        <f t="shared" si="73"/>
        <v>3219.479259</v>
      </c>
      <c r="AD93" s="107">
        <f t="shared" si="73"/>
        <v>3371.145439</v>
      </c>
      <c r="AE93" s="107">
        <f t="shared" si="73"/>
        <v>3522.811619</v>
      </c>
      <c r="AF93" s="107">
        <f t="shared" si="73"/>
        <v>3674.477799</v>
      </c>
      <c r="AG93" s="107">
        <f t="shared" si="73"/>
        <v>3826.143979</v>
      </c>
      <c r="AH93" s="107">
        <f t="shared" si="73"/>
        <v>3977.81016</v>
      </c>
      <c r="AI93" s="107">
        <f t="shared" si="73"/>
        <v>4129.47634</v>
      </c>
      <c r="AJ93" s="107">
        <f t="shared" si="73"/>
        <v>4281.14252</v>
      </c>
      <c r="AK93" s="107">
        <f t="shared" si="73"/>
        <v>4432.8087</v>
      </c>
      <c r="AL93" s="107">
        <f t="shared" si="73"/>
        <v>4584.474881</v>
      </c>
      <c r="AM93" s="107">
        <f t="shared" si="73"/>
        <v>4736.141061</v>
      </c>
      <c r="AN93" s="107">
        <f t="shared" si="73"/>
        <v>4887.807241</v>
      </c>
      <c r="AO93" s="107">
        <f t="shared" si="73"/>
        <v>5039.473421</v>
      </c>
      <c r="AP93" s="107">
        <f t="shared" si="73"/>
        <v>5191.139601</v>
      </c>
      <c r="AQ93" s="107">
        <f t="shared" si="73"/>
        <v>5342.805782</v>
      </c>
      <c r="AR93" s="107">
        <f t="shared" si="73"/>
        <v>5494.471962</v>
      </c>
      <c r="AS93" s="107">
        <f t="shared" si="73"/>
        <v>5646.138142</v>
      </c>
      <c r="AT93" s="107">
        <f t="shared" si="73"/>
        <v>5797.804322</v>
      </c>
      <c r="AU93" s="107">
        <f t="shared" si="73"/>
        <v>5949.470502</v>
      </c>
      <c r="AV93" s="107">
        <f t="shared" si="73"/>
        <v>6101.136683</v>
      </c>
      <c r="AW93" s="107">
        <f t="shared" si="73"/>
        <v>6252.802863</v>
      </c>
      <c r="AX93" s="107">
        <f t="shared" si="73"/>
        <v>6404.469043</v>
      </c>
      <c r="AY93" s="107">
        <f t="shared" si="73"/>
        <v>6556.135223</v>
      </c>
      <c r="AZ93" s="107">
        <f t="shared" si="73"/>
        <v>6707.801403</v>
      </c>
      <c r="BA93" s="107">
        <f t="shared" si="73"/>
        <v>6859.467584</v>
      </c>
      <c r="BB93" s="107">
        <f t="shared" si="73"/>
        <v>7011.133764</v>
      </c>
      <c r="BC93" s="107">
        <f t="shared" si="73"/>
        <v>7162.799944</v>
      </c>
      <c r="BD93" s="107">
        <f t="shared" si="73"/>
        <v>7314.466124</v>
      </c>
      <c r="BE93" s="107">
        <f t="shared" si="73"/>
        <v>7466.132304</v>
      </c>
      <c r="BF93" s="107">
        <f t="shared" si="73"/>
        <v>7617.798485</v>
      </c>
      <c r="BG93" s="107">
        <f t="shared" si="73"/>
        <v>7769.464665</v>
      </c>
      <c r="BH93" s="107">
        <f t="shared" si="73"/>
        <v>7921.130845</v>
      </c>
      <c r="BI93" s="107">
        <f t="shared" si="73"/>
        <v>8072.797025</v>
      </c>
      <c r="BJ93" s="107">
        <f t="shared" si="73"/>
        <v>8224.463205</v>
      </c>
      <c r="BK93" s="107">
        <f t="shared" si="73"/>
        <v>8376.129386</v>
      </c>
      <c r="BL93" s="107">
        <f t="shared" si="73"/>
        <v>8527.795566</v>
      </c>
      <c r="BM93" s="107">
        <f t="shared" si="73"/>
        <v>8679.461746</v>
      </c>
      <c r="BN93" s="107">
        <f t="shared" si="73"/>
        <v>8831.127926</v>
      </c>
    </row>
    <row r="94" outlineLevel="1">
      <c r="A94" s="47"/>
      <c r="B94" s="74" t="s">
        <v>55</v>
      </c>
      <c r="C94" s="59"/>
      <c r="D94" s="108">
        <v>25.0</v>
      </c>
      <c r="E94" s="61"/>
      <c r="F94" s="61"/>
      <c r="G94" s="109">
        <f>D94</f>
        <v>25</v>
      </c>
      <c r="H94" s="109">
        <f t="shared" ref="H94:BN94" si="74">G94</f>
        <v>25</v>
      </c>
      <c r="I94" s="109">
        <f t="shared" si="74"/>
        <v>25</v>
      </c>
      <c r="J94" s="109">
        <f t="shared" si="74"/>
        <v>25</v>
      </c>
      <c r="K94" s="109">
        <f t="shared" si="74"/>
        <v>25</v>
      </c>
      <c r="L94" s="109">
        <f t="shared" si="74"/>
        <v>25</v>
      </c>
      <c r="M94" s="109">
        <f t="shared" si="74"/>
        <v>25</v>
      </c>
      <c r="N94" s="109">
        <f t="shared" si="74"/>
        <v>25</v>
      </c>
      <c r="O94" s="109">
        <f t="shared" si="74"/>
        <v>25</v>
      </c>
      <c r="P94" s="109">
        <f t="shared" si="74"/>
        <v>25</v>
      </c>
      <c r="Q94" s="109">
        <f t="shared" si="74"/>
        <v>25</v>
      </c>
      <c r="R94" s="109">
        <f t="shared" si="74"/>
        <v>25</v>
      </c>
      <c r="S94" s="109">
        <f t="shared" si="74"/>
        <v>25</v>
      </c>
      <c r="T94" s="109">
        <f t="shared" si="74"/>
        <v>25</v>
      </c>
      <c r="U94" s="109">
        <f t="shared" si="74"/>
        <v>25</v>
      </c>
      <c r="V94" s="109">
        <f t="shared" si="74"/>
        <v>25</v>
      </c>
      <c r="W94" s="109">
        <f t="shared" si="74"/>
        <v>25</v>
      </c>
      <c r="X94" s="109">
        <f t="shared" si="74"/>
        <v>25</v>
      </c>
      <c r="Y94" s="109">
        <f t="shared" si="74"/>
        <v>25</v>
      </c>
      <c r="Z94" s="109">
        <f t="shared" si="74"/>
        <v>25</v>
      </c>
      <c r="AA94" s="109">
        <f t="shared" si="74"/>
        <v>25</v>
      </c>
      <c r="AB94" s="109">
        <f t="shared" si="74"/>
        <v>25</v>
      </c>
      <c r="AC94" s="109">
        <f t="shared" si="74"/>
        <v>25</v>
      </c>
      <c r="AD94" s="109">
        <f t="shared" si="74"/>
        <v>25</v>
      </c>
      <c r="AE94" s="109">
        <f t="shared" si="74"/>
        <v>25</v>
      </c>
      <c r="AF94" s="109">
        <f t="shared" si="74"/>
        <v>25</v>
      </c>
      <c r="AG94" s="109">
        <f t="shared" si="74"/>
        <v>25</v>
      </c>
      <c r="AH94" s="109">
        <f t="shared" si="74"/>
        <v>25</v>
      </c>
      <c r="AI94" s="109">
        <f t="shared" si="74"/>
        <v>25</v>
      </c>
      <c r="AJ94" s="109">
        <f t="shared" si="74"/>
        <v>25</v>
      </c>
      <c r="AK94" s="109">
        <f t="shared" si="74"/>
        <v>25</v>
      </c>
      <c r="AL94" s="109">
        <f t="shared" si="74"/>
        <v>25</v>
      </c>
      <c r="AM94" s="109">
        <f t="shared" si="74"/>
        <v>25</v>
      </c>
      <c r="AN94" s="109">
        <f t="shared" si="74"/>
        <v>25</v>
      </c>
      <c r="AO94" s="109">
        <f t="shared" si="74"/>
        <v>25</v>
      </c>
      <c r="AP94" s="109">
        <f t="shared" si="74"/>
        <v>25</v>
      </c>
      <c r="AQ94" s="109">
        <f t="shared" si="74"/>
        <v>25</v>
      </c>
      <c r="AR94" s="109">
        <f t="shared" si="74"/>
        <v>25</v>
      </c>
      <c r="AS94" s="109">
        <f t="shared" si="74"/>
        <v>25</v>
      </c>
      <c r="AT94" s="109">
        <f t="shared" si="74"/>
        <v>25</v>
      </c>
      <c r="AU94" s="109">
        <f t="shared" si="74"/>
        <v>25</v>
      </c>
      <c r="AV94" s="109">
        <f t="shared" si="74"/>
        <v>25</v>
      </c>
      <c r="AW94" s="109">
        <f t="shared" si="74"/>
        <v>25</v>
      </c>
      <c r="AX94" s="109">
        <f t="shared" si="74"/>
        <v>25</v>
      </c>
      <c r="AY94" s="109">
        <f t="shared" si="74"/>
        <v>25</v>
      </c>
      <c r="AZ94" s="109">
        <f t="shared" si="74"/>
        <v>25</v>
      </c>
      <c r="BA94" s="109">
        <f t="shared" si="74"/>
        <v>25</v>
      </c>
      <c r="BB94" s="109">
        <f t="shared" si="74"/>
        <v>25</v>
      </c>
      <c r="BC94" s="109">
        <f t="shared" si="74"/>
        <v>25</v>
      </c>
      <c r="BD94" s="109">
        <f t="shared" si="74"/>
        <v>25</v>
      </c>
      <c r="BE94" s="109">
        <f t="shared" si="74"/>
        <v>25</v>
      </c>
      <c r="BF94" s="109">
        <f t="shared" si="74"/>
        <v>25</v>
      </c>
      <c r="BG94" s="109">
        <f t="shared" si="74"/>
        <v>25</v>
      </c>
      <c r="BH94" s="109">
        <f t="shared" si="74"/>
        <v>25</v>
      </c>
      <c r="BI94" s="109">
        <f t="shared" si="74"/>
        <v>25</v>
      </c>
      <c r="BJ94" s="109">
        <f t="shared" si="74"/>
        <v>25</v>
      </c>
      <c r="BK94" s="109">
        <f t="shared" si="74"/>
        <v>25</v>
      </c>
      <c r="BL94" s="109">
        <f t="shared" si="74"/>
        <v>25</v>
      </c>
      <c r="BM94" s="109">
        <f t="shared" si="74"/>
        <v>25</v>
      </c>
      <c r="BN94" s="109">
        <f t="shared" si="74"/>
        <v>25</v>
      </c>
    </row>
    <row r="95" outlineLevel="1">
      <c r="A95" s="47"/>
      <c r="B95" s="76" t="s">
        <v>56</v>
      </c>
      <c r="C95" s="47"/>
      <c r="D95" s="77"/>
      <c r="E95" s="77"/>
      <c r="F95" s="77"/>
      <c r="G95" s="110">
        <f t="shared" ref="G95:BN95" si="75">G92*G94</f>
        <v>2838.75</v>
      </c>
      <c r="H95" s="111">
        <f t="shared" si="75"/>
        <v>5890.70625</v>
      </c>
      <c r="I95" s="111">
        <f t="shared" si="75"/>
        <v>9100.548094</v>
      </c>
      <c r="J95" s="111">
        <f t="shared" si="75"/>
        <v>12482.91447</v>
      </c>
      <c r="K95" s="111">
        <f t="shared" si="75"/>
        <v>16062.54059</v>
      </c>
      <c r="L95" s="111">
        <f t="shared" si="75"/>
        <v>19851.01467</v>
      </c>
      <c r="M95" s="111">
        <f t="shared" si="75"/>
        <v>23635.12147</v>
      </c>
      <c r="N95" s="111">
        <f t="shared" si="75"/>
        <v>27419.16276</v>
      </c>
      <c r="O95" s="111">
        <f t="shared" si="75"/>
        <v>31203.20307</v>
      </c>
      <c r="P95" s="111">
        <f t="shared" si="75"/>
        <v>34987.24336</v>
      </c>
      <c r="Q95" s="111">
        <f t="shared" si="75"/>
        <v>38778.78365</v>
      </c>
      <c r="R95" s="111">
        <f t="shared" si="75"/>
        <v>42570.43644</v>
      </c>
      <c r="S95" s="111">
        <f t="shared" si="75"/>
        <v>46362.09092</v>
      </c>
      <c r="T95" s="111">
        <f t="shared" si="75"/>
        <v>50153.74543</v>
      </c>
      <c r="U95" s="111">
        <f t="shared" si="75"/>
        <v>53945.39993</v>
      </c>
      <c r="V95" s="111">
        <f t="shared" si="75"/>
        <v>57737.05444</v>
      </c>
      <c r="W95" s="111">
        <f t="shared" si="75"/>
        <v>61528.70894</v>
      </c>
      <c r="X95" s="111">
        <f t="shared" si="75"/>
        <v>65320.36345</v>
      </c>
      <c r="Y95" s="111">
        <f t="shared" si="75"/>
        <v>69112.01795</v>
      </c>
      <c r="Z95" s="111">
        <f t="shared" si="75"/>
        <v>72903.67246</v>
      </c>
      <c r="AA95" s="111">
        <f t="shared" si="75"/>
        <v>76695.32696</v>
      </c>
      <c r="AB95" s="111">
        <f t="shared" si="75"/>
        <v>80486.98147</v>
      </c>
      <c r="AC95" s="111">
        <f t="shared" si="75"/>
        <v>84278.63597</v>
      </c>
      <c r="AD95" s="111">
        <f t="shared" si="75"/>
        <v>88070.29048</v>
      </c>
      <c r="AE95" s="111">
        <f t="shared" si="75"/>
        <v>91861.94498</v>
      </c>
      <c r="AF95" s="111">
        <f t="shared" si="75"/>
        <v>95653.59949</v>
      </c>
      <c r="AG95" s="111">
        <f t="shared" si="75"/>
        <v>99445.25399</v>
      </c>
      <c r="AH95" s="111">
        <f t="shared" si="75"/>
        <v>103236.9085</v>
      </c>
      <c r="AI95" s="111">
        <f t="shared" si="75"/>
        <v>107028.563</v>
      </c>
      <c r="AJ95" s="111">
        <f t="shared" si="75"/>
        <v>110820.2175</v>
      </c>
      <c r="AK95" s="111">
        <f t="shared" si="75"/>
        <v>114611.872</v>
      </c>
      <c r="AL95" s="111">
        <f t="shared" si="75"/>
        <v>118403.5265</v>
      </c>
      <c r="AM95" s="111">
        <f t="shared" si="75"/>
        <v>122195.181</v>
      </c>
      <c r="AN95" s="111">
        <f t="shared" si="75"/>
        <v>125986.8355</v>
      </c>
      <c r="AO95" s="111">
        <f t="shared" si="75"/>
        <v>129778.49</v>
      </c>
      <c r="AP95" s="111">
        <f t="shared" si="75"/>
        <v>133570.1445</v>
      </c>
      <c r="AQ95" s="111">
        <f t="shared" si="75"/>
        <v>137361.799</v>
      </c>
      <c r="AR95" s="111">
        <f t="shared" si="75"/>
        <v>141153.4535</v>
      </c>
      <c r="AS95" s="111">
        <f t="shared" si="75"/>
        <v>144945.1081</v>
      </c>
      <c r="AT95" s="111">
        <f t="shared" si="75"/>
        <v>148736.7626</v>
      </c>
      <c r="AU95" s="111">
        <f t="shared" si="75"/>
        <v>152528.4171</v>
      </c>
      <c r="AV95" s="111">
        <f t="shared" si="75"/>
        <v>156320.0716</v>
      </c>
      <c r="AW95" s="111">
        <f t="shared" si="75"/>
        <v>160111.7261</v>
      </c>
      <c r="AX95" s="111">
        <f t="shared" si="75"/>
        <v>163903.3806</v>
      </c>
      <c r="AY95" s="111">
        <f t="shared" si="75"/>
        <v>167695.0351</v>
      </c>
      <c r="AZ95" s="111">
        <f t="shared" si="75"/>
        <v>171486.6896</v>
      </c>
      <c r="BA95" s="111">
        <f t="shared" si="75"/>
        <v>175278.3441</v>
      </c>
      <c r="BB95" s="111">
        <f t="shared" si="75"/>
        <v>179069.9986</v>
      </c>
      <c r="BC95" s="111">
        <f t="shared" si="75"/>
        <v>182861.6531</v>
      </c>
      <c r="BD95" s="111">
        <f t="shared" si="75"/>
        <v>186653.3076</v>
      </c>
      <c r="BE95" s="111">
        <f t="shared" si="75"/>
        <v>190444.9621</v>
      </c>
      <c r="BF95" s="111">
        <f t="shared" si="75"/>
        <v>194236.6166</v>
      </c>
      <c r="BG95" s="111">
        <f t="shared" si="75"/>
        <v>198028.2711</v>
      </c>
      <c r="BH95" s="111">
        <f t="shared" si="75"/>
        <v>201819.9256</v>
      </c>
      <c r="BI95" s="111">
        <f t="shared" si="75"/>
        <v>205611.5801</v>
      </c>
      <c r="BJ95" s="111">
        <f t="shared" si="75"/>
        <v>209403.2346</v>
      </c>
      <c r="BK95" s="111">
        <f t="shared" si="75"/>
        <v>213194.8891</v>
      </c>
      <c r="BL95" s="111">
        <f t="shared" si="75"/>
        <v>216986.5436</v>
      </c>
      <c r="BM95" s="111">
        <f t="shared" si="75"/>
        <v>220778.1982</v>
      </c>
      <c r="BN95" s="111">
        <f t="shared" si="75"/>
        <v>224569.8527</v>
      </c>
    </row>
    <row r="96" outlineLevel="1">
      <c r="A96" s="47"/>
      <c r="B96" s="47"/>
      <c r="C96" s="47"/>
      <c r="D96" s="47"/>
      <c r="E96" s="47"/>
      <c r="F96" s="4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row>
    <row r="97" outlineLevel="1">
      <c r="A97" s="47"/>
      <c r="B97" s="66" t="s">
        <v>58</v>
      </c>
      <c r="C97" s="104"/>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c r="BN97" s="47"/>
    </row>
    <row r="98" outlineLevel="1">
      <c r="A98" s="47"/>
      <c r="B98" s="39" t="s">
        <v>49</v>
      </c>
      <c r="C98" s="104"/>
      <c r="D98" s="105">
        <v>0.2</v>
      </c>
      <c r="E98" s="47"/>
      <c r="F98" s="47"/>
      <c r="G98" s="93">
        <f>D98</f>
        <v>0.2</v>
      </c>
      <c r="H98" s="93">
        <f t="shared" ref="H98:BN98" si="76">G98</f>
        <v>0.2</v>
      </c>
      <c r="I98" s="93">
        <f t="shared" si="76"/>
        <v>0.2</v>
      </c>
      <c r="J98" s="93">
        <f t="shared" si="76"/>
        <v>0.2</v>
      </c>
      <c r="K98" s="93">
        <f t="shared" si="76"/>
        <v>0.2</v>
      </c>
      <c r="L98" s="93">
        <f t="shared" si="76"/>
        <v>0.2</v>
      </c>
      <c r="M98" s="93">
        <f t="shared" si="76"/>
        <v>0.2</v>
      </c>
      <c r="N98" s="93">
        <f t="shared" si="76"/>
        <v>0.2</v>
      </c>
      <c r="O98" s="93">
        <f t="shared" si="76"/>
        <v>0.2</v>
      </c>
      <c r="P98" s="93">
        <f t="shared" si="76"/>
        <v>0.2</v>
      </c>
      <c r="Q98" s="93">
        <f t="shared" si="76"/>
        <v>0.2</v>
      </c>
      <c r="R98" s="93">
        <f t="shared" si="76"/>
        <v>0.2</v>
      </c>
      <c r="S98" s="93">
        <f t="shared" si="76"/>
        <v>0.2</v>
      </c>
      <c r="T98" s="93">
        <f t="shared" si="76"/>
        <v>0.2</v>
      </c>
      <c r="U98" s="93">
        <f t="shared" si="76"/>
        <v>0.2</v>
      </c>
      <c r="V98" s="93">
        <f t="shared" si="76"/>
        <v>0.2</v>
      </c>
      <c r="W98" s="93">
        <f t="shared" si="76"/>
        <v>0.2</v>
      </c>
      <c r="X98" s="93">
        <f t="shared" si="76"/>
        <v>0.2</v>
      </c>
      <c r="Y98" s="93">
        <f t="shared" si="76"/>
        <v>0.2</v>
      </c>
      <c r="Z98" s="93">
        <f t="shared" si="76"/>
        <v>0.2</v>
      </c>
      <c r="AA98" s="93">
        <f t="shared" si="76"/>
        <v>0.2</v>
      </c>
      <c r="AB98" s="93">
        <f t="shared" si="76"/>
        <v>0.2</v>
      </c>
      <c r="AC98" s="93">
        <f t="shared" si="76"/>
        <v>0.2</v>
      </c>
      <c r="AD98" s="93">
        <f t="shared" si="76"/>
        <v>0.2</v>
      </c>
      <c r="AE98" s="93">
        <f t="shared" si="76"/>
        <v>0.2</v>
      </c>
      <c r="AF98" s="93">
        <f t="shared" si="76"/>
        <v>0.2</v>
      </c>
      <c r="AG98" s="93">
        <f t="shared" si="76"/>
        <v>0.2</v>
      </c>
      <c r="AH98" s="93">
        <f t="shared" si="76"/>
        <v>0.2</v>
      </c>
      <c r="AI98" s="93">
        <f t="shared" si="76"/>
        <v>0.2</v>
      </c>
      <c r="AJ98" s="93">
        <f t="shared" si="76"/>
        <v>0.2</v>
      </c>
      <c r="AK98" s="93">
        <f t="shared" si="76"/>
        <v>0.2</v>
      </c>
      <c r="AL98" s="93">
        <f t="shared" si="76"/>
        <v>0.2</v>
      </c>
      <c r="AM98" s="93">
        <f t="shared" si="76"/>
        <v>0.2</v>
      </c>
      <c r="AN98" s="93">
        <f t="shared" si="76"/>
        <v>0.2</v>
      </c>
      <c r="AO98" s="93">
        <f t="shared" si="76"/>
        <v>0.2</v>
      </c>
      <c r="AP98" s="93">
        <f t="shared" si="76"/>
        <v>0.2</v>
      </c>
      <c r="AQ98" s="93">
        <f t="shared" si="76"/>
        <v>0.2</v>
      </c>
      <c r="AR98" s="93">
        <f t="shared" si="76"/>
        <v>0.2</v>
      </c>
      <c r="AS98" s="93">
        <f t="shared" si="76"/>
        <v>0.2</v>
      </c>
      <c r="AT98" s="93">
        <f t="shared" si="76"/>
        <v>0.2</v>
      </c>
      <c r="AU98" s="93">
        <f t="shared" si="76"/>
        <v>0.2</v>
      </c>
      <c r="AV98" s="93">
        <f t="shared" si="76"/>
        <v>0.2</v>
      </c>
      <c r="AW98" s="93">
        <f t="shared" si="76"/>
        <v>0.2</v>
      </c>
      <c r="AX98" s="93">
        <f t="shared" si="76"/>
        <v>0.2</v>
      </c>
      <c r="AY98" s="93">
        <f t="shared" si="76"/>
        <v>0.2</v>
      </c>
      <c r="AZ98" s="93">
        <f t="shared" si="76"/>
        <v>0.2</v>
      </c>
      <c r="BA98" s="93">
        <f t="shared" si="76"/>
        <v>0.2</v>
      </c>
      <c r="BB98" s="93">
        <f t="shared" si="76"/>
        <v>0.2</v>
      </c>
      <c r="BC98" s="93">
        <f t="shared" si="76"/>
        <v>0.2</v>
      </c>
      <c r="BD98" s="93">
        <f t="shared" si="76"/>
        <v>0.2</v>
      </c>
      <c r="BE98" s="93">
        <f t="shared" si="76"/>
        <v>0.2</v>
      </c>
      <c r="BF98" s="93">
        <f t="shared" si="76"/>
        <v>0.2</v>
      </c>
      <c r="BG98" s="93">
        <f t="shared" si="76"/>
        <v>0.2</v>
      </c>
      <c r="BH98" s="93">
        <f t="shared" si="76"/>
        <v>0.2</v>
      </c>
      <c r="BI98" s="93">
        <f t="shared" si="76"/>
        <v>0.2</v>
      </c>
      <c r="BJ98" s="93">
        <f t="shared" si="76"/>
        <v>0.2</v>
      </c>
      <c r="BK98" s="93">
        <f t="shared" si="76"/>
        <v>0.2</v>
      </c>
      <c r="BL98" s="93">
        <f t="shared" si="76"/>
        <v>0.2</v>
      </c>
      <c r="BM98" s="93">
        <f t="shared" si="76"/>
        <v>0.2</v>
      </c>
      <c r="BN98" s="93">
        <f t="shared" si="76"/>
        <v>0.2</v>
      </c>
    </row>
    <row r="99" outlineLevel="1">
      <c r="A99" s="47"/>
      <c r="B99" s="39" t="s">
        <v>17</v>
      </c>
      <c r="C99" s="104"/>
      <c r="D99" s="106"/>
      <c r="E99" s="47"/>
      <c r="F99" s="47"/>
      <c r="G99" s="106">
        <f t="shared" ref="G99:BN99" si="77">G98*G$71</f>
        <v>75.7</v>
      </c>
      <c r="H99" s="106">
        <f t="shared" si="77"/>
        <v>81.3855</v>
      </c>
      <c r="I99" s="106">
        <f t="shared" si="77"/>
        <v>85.5957825</v>
      </c>
      <c r="J99" s="106">
        <f t="shared" si="77"/>
        <v>90.19643674</v>
      </c>
      <c r="K99" s="106">
        <f t="shared" si="77"/>
        <v>95.45669655</v>
      </c>
      <c r="L99" s="106">
        <f t="shared" si="77"/>
        <v>101.0259754</v>
      </c>
      <c r="M99" s="106">
        <f t="shared" si="77"/>
        <v>100.9095146</v>
      </c>
      <c r="N99" s="106">
        <f t="shared" si="77"/>
        <v>100.9077677</v>
      </c>
      <c r="O99" s="106">
        <f t="shared" si="77"/>
        <v>100.9077415</v>
      </c>
      <c r="P99" s="106">
        <f t="shared" si="77"/>
        <v>100.9077411</v>
      </c>
      <c r="Q99" s="106">
        <f t="shared" si="77"/>
        <v>101.1077411</v>
      </c>
      <c r="R99" s="106">
        <f t="shared" si="77"/>
        <v>101.1107411</v>
      </c>
      <c r="S99" s="106">
        <f t="shared" si="77"/>
        <v>101.1107861</v>
      </c>
      <c r="T99" s="106">
        <f t="shared" si="77"/>
        <v>101.1107868</v>
      </c>
      <c r="U99" s="106">
        <f t="shared" si="77"/>
        <v>101.1107868</v>
      </c>
      <c r="V99" s="106">
        <f t="shared" si="77"/>
        <v>101.1107868</v>
      </c>
      <c r="W99" s="106">
        <f t="shared" si="77"/>
        <v>101.1107868</v>
      </c>
      <c r="X99" s="106">
        <f t="shared" si="77"/>
        <v>101.1107868</v>
      </c>
      <c r="Y99" s="106">
        <f t="shared" si="77"/>
        <v>101.1107868</v>
      </c>
      <c r="Z99" s="106">
        <f t="shared" si="77"/>
        <v>101.1107868</v>
      </c>
      <c r="AA99" s="106">
        <f t="shared" si="77"/>
        <v>101.1107868</v>
      </c>
      <c r="AB99" s="106">
        <f t="shared" si="77"/>
        <v>101.1107868</v>
      </c>
      <c r="AC99" s="106">
        <f t="shared" si="77"/>
        <v>101.1107868</v>
      </c>
      <c r="AD99" s="106">
        <f t="shared" si="77"/>
        <v>101.1107868</v>
      </c>
      <c r="AE99" s="106">
        <f t="shared" si="77"/>
        <v>101.1107868</v>
      </c>
      <c r="AF99" s="106">
        <f t="shared" si="77"/>
        <v>101.1107868</v>
      </c>
      <c r="AG99" s="106">
        <f t="shared" si="77"/>
        <v>101.1107868</v>
      </c>
      <c r="AH99" s="106">
        <f t="shared" si="77"/>
        <v>101.1107868</v>
      </c>
      <c r="AI99" s="106">
        <f t="shared" si="77"/>
        <v>101.1107868</v>
      </c>
      <c r="AJ99" s="106">
        <f t="shared" si="77"/>
        <v>101.1107868</v>
      </c>
      <c r="AK99" s="106">
        <f t="shared" si="77"/>
        <v>101.1107868</v>
      </c>
      <c r="AL99" s="106">
        <f t="shared" si="77"/>
        <v>101.1107868</v>
      </c>
      <c r="AM99" s="106">
        <f t="shared" si="77"/>
        <v>101.1107868</v>
      </c>
      <c r="AN99" s="106">
        <f t="shared" si="77"/>
        <v>101.1107868</v>
      </c>
      <c r="AO99" s="106">
        <f t="shared" si="77"/>
        <v>101.1107868</v>
      </c>
      <c r="AP99" s="106">
        <f t="shared" si="77"/>
        <v>101.1107868</v>
      </c>
      <c r="AQ99" s="106">
        <f t="shared" si="77"/>
        <v>101.1107868</v>
      </c>
      <c r="AR99" s="106">
        <f t="shared" si="77"/>
        <v>101.1107868</v>
      </c>
      <c r="AS99" s="106">
        <f t="shared" si="77"/>
        <v>101.1107868</v>
      </c>
      <c r="AT99" s="106">
        <f t="shared" si="77"/>
        <v>101.1107868</v>
      </c>
      <c r="AU99" s="106">
        <f t="shared" si="77"/>
        <v>101.1107868</v>
      </c>
      <c r="AV99" s="106">
        <f t="shared" si="77"/>
        <v>101.1107868</v>
      </c>
      <c r="AW99" s="106">
        <f t="shared" si="77"/>
        <v>101.1107868</v>
      </c>
      <c r="AX99" s="106">
        <f t="shared" si="77"/>
        <v>101.1107868</v>
      </c>
      <c r="AY99" s="106">
        <f t="shared" si="77"/>
        <v>101.1107868</v>
      </c>
      <c r="AZ99" s="106">
        <f t="shared" si="77"/>
        <v>101.1107868</v>
      </c>
      <c r="BA99" s="106">
        <f t="shared" si="77"/>
        <v>101.1107868</v>
      </c>
      <c r="BB99" s="106">
        <f t="shared" si="77"/>
        <v>101.1107868</v>
      </c>
      <c r="BC99" s="106">
        <f t="shared" si="77"/>
        <v>101.1107868</v>
      </c>
      <c r="BD99" s="106">
        <f t="shared" si="77"/>
        <v>101.1107868</v>
      </c>
      <c r="BE99" s="106">
        <f t="shared" si="77"/>
        <v>101.1107868</v>
      </c>
      <c r="BF99" s="106">
        <f t="shared" si="77"/>
        <v>101.1107868</v>
      </c>
      <c r="BG99" s="106">
        <f t="shared" si="77"/>
        <v>101.1107868</v>
      </c>
      <c r="BH99" s="106">
        <f t="shared" si="77"/>
        <v>101.1107868</v>
      </c>
      <c r="BI99" s="106">
        <f t="shared" si="77"/>
        <v>101.1107868</v>
      </c>
      <c r="BJ99" s="106">
        <f t="shared" si="77"/>
        <v>101.1107868</v>
      </c>
      <c r="BK99" s="106">
        <f t="shared" si="77"/>
        <v>101.1107868</v>
      </c>
      <c r="BL99" s="106">
        <f t="shared" si="77"/>
        <v>101.1107868</v>
      </c>
      <c r="BM99" s="106">
        <f t="shared" si="77"/>
        <v>101.1107868</v>
      </c>
      <c r="BN99" s="106">
        <f t="shared" si="77"/>
        <v>101.1107868</v>
      </c>
    </row>
    <row r="100" outlineLevel="1">
      <c r="A100" s="47"/>
      <c r="B100" s="39" t="s">
        <v>50</v>
      </c>
      <c r="C100" s="104"/>
      <c r="D100" s="105">
        <v>0.0</v>
      </c>
      <c r="E100" s="47"/>
      <c r="F100" s="47"/>
      <c r="G100" s="93">
        <f>D100</f>
        <v>0</v>
      </c>
      <c r="H100" s="93">
        <f t="shared" ref="H100:BN100" si="78">G100</f>
        <v>0</v>
      </c>
      <c r="I100" s="93">
        <f t="shared" si="78"/>
        <v>0</v>
      </c>
      <c r="J100" s="93">
        <f t="shared" si="78"/>
        <v>0</v>
      </c>
      <c r="K100" s="93">
        <f t="shared" si="78"/>
        <v>0</v>
      </c>
      <c r="L100" s="93">
        <f t="shared" si="78"/>
        <v>0</v>
      </c>
      <c r="M100" s="93">
        <f t="shared" si="78"/>
        <v>0</v>
      </c>
      <c r="N100" s="93">
        <f t="shared" si="78"/>
        <v>0</v>
      </c>
      <c r="O100" s="93">
        <f t="shared" si="78"/>
        <v>0</v>
      </c>
      <c r="P100" s="93">
        <f t="shared" si="78"/>
        <v>0</v>
      </c>
      <c r="Q100" s="93">
        <f t="shared" si="78"/>
        <v>0</v>
      </c>
      <c r="R100" s="93">
        <f t="shared" si="78"/>
        <v>0</v>
      </c>
      <c r="S100" s="93">
        <f t="shared" si="78"/>
        <v>0</v>
      </c>
      <c r="T100" s="93">
        <f t="shared" si="78"/>
        <v>0</v>
      </c>
      <c r="U100" s="93">
        <f t="shared" si="78"/>
        <v>0</v>
      </c>
      <c r="V100" s="93">
        <f t="shared" si="78"/>
        <v>0</v>
      </c>
      <c r="W100" s="93">
        <f t="shared" si="78"/>
        <v>0</v>
      </c>
      <c r="X100" s="93">
        <f t="shared" si="78"/>
        <v>0</v>
      </c>
      <c r="Y100" s="93">
        <f t="shared" si="78"/>
        <v>0</v>
      </c>
      <c r="Z100" s="93">
        <f t="shared" si="78"/>
        <v>0</v>
      </c>
      <c r="AA100" s="93">
        <f t="shared" si="78"/>
        <v>0</v>
      </c>
      <c r="AB100" s="93">
        <f t="shared" si="78"/>
        <v>0</v>
      </c>
      <c r="AC100" s="93">
        <f t="shared" si="78"/>
        <v>0</v>
      </c>
      <c r="AD100" s="93">
        <f t="shared" si="78"/>
        <v>0</v>
      </c>
      <c r="AE100" s="93">
        <f t="shared" si="78"/>
        <v>0</v>
      </c>
      <c r="AF100" s="93">
        <f t="shared" si="78"/>
        <v>0</v>
      </c>
      <c r="AG100" s="93">
        <f t="shared" si="78"/>
        <v>0</v>
      </c>
      <c r="AH100" s="93">
        <f t="shared" si="78"/>
        <v>0</v>
      </c>
      <c r="AI100" s="93">
        <f t="shared" si="78"/>
        <v>0</v>
      </c>
      <c r="AJ100" s="93">
        <f t="shared" si="78"/>
        <v>0</v>
      </c>
      <c r="AK100" s="93">
        <f t="shared" si="78"/>
        <v>0</v>
      </c>
      <c r="AL100" s="93">
        <f t="shared" si="78"/>
        <v>0</v>
      </c>
      <c r="AM100" s="93">
        <f t="shared" si="78"/>
        <v>0</v>
      </c>
      <c r="AN100" s="93">
        <f t="shared" si="78"/>
        <v>0</v>
      </c>
      <c r="AO100" s="93">
        <f t="shared" si="78"/>
        <v>0</v>
      </c>
      <c r="AP100" s="93">
        <f t="shared" si="78"/>
        <v>0</v>
      </c>
      <c r="AQ100" s="93">
        <f t="shared" si="78"/>
        <v>0</v>
      </c>
      <c r="AR100" s="93">
        <f t="shared" si="78"/>
        <v>0</v>
      </c>
      <c r="AS100" s="93">
        <f t="shared" si="78"/>
        <v>0</v>
      </c>
      <c r="AT100" s="93">
        <f t="shared" si="78"/>
        <v>0</v>
      </c>
      <c r="AU100" s="93">
        <f t="shared" si="78"/>
        <v>0</v>
      </c>
      <c r="AV100" s="93">
        <f t="shared" si="78"/>
        <v>0</v>
      </c>
      <c r="AW100" s="93">
        <f t="shared" si="78"/>
        <v>0</v>
      </c>
      <c r="AX100" s="93">
        <f t="shared" si="78"/>
        <v>0</v>
      </c>
      <c r="AY100" s="93">
        <f t="shared" si="78"/>
        <v>0</v>
      </c>
      <c r="AZ100" s="93">
        <f t="shared" si="78"/>
        <v>0</v>
      </c>
      <c r="BA100" s="93">
        <f t="shared" si="78"/>
        <v>0</v>
      </c>
      <c r="BB100" s="93">
        <f t="shared" si="78"/>
        <v>0</v>
      </c>
      <c r="BC100" s="93">
        <f t="shared" si="78"/>
        <v>0</v>
      </c>
      <c r="BD100" s="93">
        <f t="shared" si="78"/>
        <v>0</v>
      </c>
      <c r="BE100" s="93">
        <f t="shared" si="78"/>
        <v>0</v>
      </c>
      <c r="BF100" s="93">
        <f t="shared" si="78"/>
        <v>0</v>
      </c>
      <c r="BG100" s="93">
        <f t="shared" si="78"/>
        <v>0</v>
      </c>
      <c r="BH100" s="93">
        <f t="shared" si="78"/>
        <v>0</v>
      </c>
      <c r="BI100" s="93">
        <f t="shared" si="78"/>
        <v>0</v>
      </c>
      <c r="BJ100" s="93">
        <f t="shared" si="78"/>
        <v>0</v>
      </c>
      <c r="BK100" s="93">
        <f t="shared" si="78"/>
        <v>0</v>
      </c>
      <c r="BL100" s="93">
        <f t="shared" si="78"/>
        <v>0</v>
      </c>
      <c r="BM100" s="93">
        <f t="shared" si="78"/>
        <v>0</v>
      </c>
      <c r="BN100" s="93">
        <f t="shared" si="78"/>
        <v>0</v>
      </c>
    </row>
    <row r="101" outlineLevel="1">
      <c r="A101" s="47"/>
      <c r="B101" s="39" t="s">
        <v>51</v>
      </c>
      <c r="C101" s="104"/>
      <c r="D101" s="106"/>
      <c r="E101" s="47"/>
      <c r="F101" s="47"/>
      <c r="G101" s="106">
        <f t="shared" ref="G101:BN101" si="79">G104*G100</f>
        <v>0</v>
      </c>
      <c r="H101" s="106">
        <f t="shared" si="79"/>
        <v>0</v>
      </c>
      <c r="I101" s="106">
        <f t="shared" si="79"/>
        <v>0</v>
      </c>
      <c r="J101" s="106">
        <f t="shared" si="79"/>
        <v>0</v>
      </c>
      <c r="K101" s="106">
        <f t="shared" si="79"/>
        <v>0</v>
      </c>
      <c r="L101" s="106">
        <f t="shared" si="79"/>
        <v>0</v>
      </c>
      <c r="M101" s="106">
        <f t="shared" si="79"/>
        <v>0</v>
      </c>
      <c r="N101" s="106">
        <f t="shared" si="79"/>
        <v>0</v>
      </c>
      <c r="O101" s="106">
        <f t="shared" si="79"/>
        <v>0</v>
      </c>
      <c r="P101" s="106">
        <f t="shared" si="79"/>
        <v>0</v>
      </c>
      <c r="Q101" s="106">
        <f t="shared" si="79"/>
        <v>0</v>
      </c>
      <c r="R101" s="106">
        <f t="shared" si="79"/>
        <v>0</v>
      </c>
      <c r="S101" s="106">
        <f t="shared" si="79"/>
        <v>0</v>
      </c>
      <c r="T101" s="106">
        <f t="shared" si="79"/>
        <v>0</v>
      </c>
      <c r="U101" s="106">
        <f t="shared" si="79"/>
        <v>0</v>
      </c>
      <c r="V101" s="106">
        <f t="shared" si="79"/>
        <v>0</v>
      </c>
      <c r="W101" s="106">
        <f t="shared" si="79"/>
        <v>0</v>
      </c>
      <c r="X101" s="106">
        <f t="shared" si="79"/>
        <v>0</v>
      </c>
      <c r="Y101" s="106">
        <f t="shared" si="79"/>
        <v>0</v>
      </c>
      <c r="Z101" s="106">
        <f t="shared" si="79"/>
        <v>0</v>
      </c>
      <c r="AA101" s="106">
        <f t="shared" si="79"/>
        <v>0</v>
      </c>
      <c r="AB101" s="106">
        <f t="shared" si="79"/>
        <v>0</v>
      </c>
      <c r="AC101" s="106">
        <f t="shared" si="79"/>
        <v>0</v>
      </c>
      <c r="AD101" s="106">
        <f t="shared" si="79"/>
        <v>0</v>
      </c>
      <c r="AE101" s="106">
        <f t="shared" si="79"/>
        <v>0</v>
      </c>
      <c r="AF101" s="106">
        <f t="shared" si="79"/>
        <v>0</v>
      </c>
      <c r="AG101" s="106">
        <f t="shared" si="79"/>
        <v>0</v>
      </c>
      <c r="AH101" s="106">
        <f t="shared" si="79"/>
        <v>0</v>
      </c>
      <c r="AI101" s="106">
        <f t="shared" si="79"/>
        <v>0</v>
      </c>
      <c r="AJ101" s="106">
        <f t="shared" si="79"/>
        <v>0</v>
      </c>
      <c r="AK101" s="106">
        <f t="shared" si="79"/>
        <v>0</v>
      </c>
      <c r="AL101" s="106">
        <f t="shared" si="79"/>
        <v>0</v>
      </c>
      <c r="AM101" s="106">
        <f t="shared" si="79"/>
        <v>0</v>
      </c>
      <c r="AN101" s="106">
        <f t="shared" si="79"/>
        <v>0</v>
      </c>
      <c r="AO101" s="106">
        <f t="shared" si="79"/>
        <v>0</v>
      </c>
      <c r="AP101" s="106">
        <f t="shared" si="79"/>
        <v>0</v>
      </c>
      <c r="AQ101" s="106">
        <f t="shared" si="79"/>
        <v>0</v>
      </c>
      <c r="AR101" s="106">
        <f t="shared" si="79"/>
        <v>0</v>
      </c>
      <c r="AS101" s="106">
        <f t="shared" si="79"/>
        <v>0</v>
      </c>
      <c r="AT101" s="106">
        <f t="shared" si="79"/>
        <v>0</v>
      </c>
      <c r="AU101" s="106">
        <f t="shared" si="79"/>
        <v>0</v>
      </c>
      <c r="AV101" s="106">
        <f t="shared" si="79"/>
        <v>0</v>
      </c>
      <c r="AW101" s="106">
        <f t="shared" si="79"/>
        <v>0</v>
      </c>
      <c r="AX101" s="106">
        <f t="shared" si="79"/>
        <v>0</v>
      </c>
      <c r="AY101" s="106">
        <f t="shared" si="79"/>
        <v>0</v>
      </c>
      <c r="AZ101" s="106">
        <f t="shared" si="79"/>
        <v>0</v>
      </c>
      <c r="BA101" s="106">
        <f t="shared" si="79"/>
        <v>0</v>
      </c>
      <c r="BB101" s="106">
        <f t="shared" si="79"/>
        <v>0</v>
      </c>
      <c r="BC101" s="106">
        <f t="shared" si="79"/>
        <v>0</v>
      </c>
      <c r="BD101" s="106">
        <f t="shared" si="79"/>
        <v>0</v>
      </c>
      <c r="BE101" s="106">
        <f t="shared" si="79"/>
        <v>0</v>
      </c>
      <c r="BF101" s="106">
        <f t="shared" si="79"/>
        <v>0</v>
      </c>
      <c r="BG101" s="106">
        <f t="shared" si="79"/>
        <v>0</v>
      </c>
      <c r="BH101" s="106">
        <f t="shared" si="79"/>
        <v>0</v>
      </c>
      <c r="BI101" s="106">
        <f t="shared" si="79"/>
        <v>0</v>
      </c>
      <c r="BJ101" s="106">
        <f t="shared" si="79"/>
        <v>0</v>
      </c>
      <c r="BK101" s="106">
        <f t="shared" si="79"/>
        <v>0</v>
      </c>
      <c r="BL101" s="106">
        <f t="shared" si="79"/>
        <v>0</v>
      </c>
      <c r="BM101" s="106">
        <f t="shared" si="79"/>
        <v>0</v>
      </c>
      <c r="BN101" s="106">
        <f t="shared" si="79"/>
        <v>0</v>
      </c>
    </row>
    <row r="102" outlineLevel="1">
      <c r="A102" s="47"/>
      <c r="B102" s="39" t="s">
        <v>52</v>
      </c>
      <c r="C102" s="104"/>
      <c r="D102" s="47"/>
      <c r="E102" s="47"/>
      <c r="F102" s="47"/>
      <c r="G102" s="106">
        <f t="shared" ref="G102:BN102" si="80">G104-G101</f>
        <v>0</v>
      </c>
      <c r="H102" s="106">
        <f t="shared" si="80"/>
        <v>75.7</v>
      </c>
      <c r="I102" s="106">
        <f t="shared" si="80"/>
        <v>157.0855</v>
      </c>
      <c r="J102" s="106">
        <f t="shared" si="80"/>
        <v>242.6812825</v>
      </c>
      <c r="K102" s="106">
        <f t="shared" si="80"/>
        <v>332.8777192</v>
      </c>
      <c r="L102" s="106">
        <f t="shared" si="80"/>
        <v>428.3344158</v>
      </c>
      <c r="M102" s="106">
        <f t="shared" si="80"/>
        <v>529.3603912</v>
      </c>
      <c r="N102" s="106">
        <f t="shared" si="80"/>
        <v>630.2699059</v>
      </c>
      <c r="O102" s="106">
        <f t="shared" si="80"/>
        <v>731.1776736</v>
      </c>
      <c r="P102" s="106">
        <f t="shared" si="80"/>
        <v>832.0854151</v>
      </c>
      <c r="Q102" s="106">
        <f t="shared" si="80"/>
        <v>932.9931562</v>
      </c>
      <c r="R102" s="106">
        <f t="shared" si="80"/>
        <v>1034.100897</v>
      </c>
      <c r="S102" s="106">
        <f t="shared" si="80"/>
        <v>1135.211638</v>
      </c>
      <c r="T102" s="106">
        <f t="shared" si="80"/>
        <v>1236.322425</v>
      </c>
      <c r="U102" s="106">
        <f t="shared" si="80"/>
        <v>1337.433211</v>
      </c>
      <c r="V102" s="106">
        <f t="shared" si="80"/>
        <v>1438.543998</v>
      </c>
      <c r="W102" s="106">
        <f t="shared" si="80"/>
        <v>1539.654785</v>
      </c>
      <c r="X102" s="106">
        <f t="shared" si="80"/>
        <v>1640.765572</v>
      </c>
      <c r="Y102" s="106">
        <f t="shared" si="80"/>
        <v>1741.876359</v>
      </c>
      <c r="Z102" s="106">
        <f t="shared" si="80"/>
        <v>1842.987145</v>
      </c>
      <c r="AA102" s="106">
        <f t="shared" si="80"/>
        <v>1944.097932</v>
      </c>
      <c r="AB102" s="106">
        <f t="shared" si="80"/>
        <v>2045.208719</v>
      </c>
      <c r="AC102" s="106">
        <f t="shared" si="80"/>
        <v>2146.319506</v>
      </c>
      <c r="AD102" s="106">
        <f t="shared" si="80"/>
        <v>2247.430293</v>
      </c>
      <c r="AE102" s="106">
        <f t="shared" si="80"/>
        <v>2348.541079</v>
      </c>
      <c r="AF102" s="106">
        <f t="shared" si="80"/>
        <v>2449.651866</v>
      </c>
      <c r="AG102" s="106">
        <f t="shared" si="80"/>
        <v>2550.762653</v>
      </c>
      <c r="AH102" s="106">
        <f t="shared" si="80"/>
        <v>2651.87344</v>
      </c>
      <c r="AI102" s="106">
        <f t="shared" si="80"/>
        <v>2752.984227</v>
      </c>
      <c r="AJ102" s="106">
        <f t="shared" si="80"/>
        <v>2854.095013</v>
      </c>
      <c r="AK102" s="106">
        <f t="shared" si="80"/>
        <v>2955.2058</v>
      </c>
      <c r="AL102" s="106">
        <f t="shared" si="80"/>
        <v>3056.316587</v>
      </c>
      <c r="AM102" s="106">
        <f t="shared" si="80"/>
        <v>3157.427374</v>
      </c>
      <c r="AN102" s="106">
        <f t="shared" si="80"/>
        <v>3258.538161</v>
      </c>
      <c r="AO102" s="106">
        <f t="shared" si="80"/>
        <v>3359.648947</v>
      </c>
      <c r="AP102" s="106">
        <f t="shared" si="80"/>
        <v>3460.759734</v>
      </c>
      <c r="AQ102" s="106">
        <f t="shared" si="80"/>
        <v>3561.870521</v>
      </c>
      <c r="AR102" s="106">
        <f t="shared" si="80"/>
        <v>3662.981308</v>
      </c>
      <c r="AS102" s="106">
        <f t="shared" si="80"/>
        <v>3764.092095</v>
      </c>
      <c r="AT102" s="106">
        <f t="shared" si="80"/>
        <v>3865.202881</v>
      </c>
      <c r="AU102" s="106">
        <f t="shared" si="80"/>
        <v>3966.313668</v>
      </c>
      <c r="AV102" s="106">
        <f t="shared" si="80"/>
        <v>4067.424455</v>
      </c>
      <c r="AW102" s="106">
        <f t="shared" si="80"/>
        <v>4168.535242</v>
      </c>
      <c r="AX102" s="106">
        <f t="shared" si="80"/>
        <v>4269.646029</v>
      </c>
      <c r="AY102" s="106">
        <f t="shared" si="80"/>
        <v>4370.756815</v>
      </c>
      <c r="AZ102" s="106">
        <f t="shared" si="80"/>
        <v>4471.867602</v>
      </c>
      <c r="BA102" s="106">
        <f t="shared" si="80"/>
        <v>4572.978389</v>
      </c>
      <c r="BB102" s="106">
        <f t="shared" si="80"/>
        <v>4674.089176</v>
      </c>
      <c r="BC102" s="106">
        <f t="shared" si="80"/>
        <v>4775.199963</v>
      </c>
      <c r="BD102" s="106">
        <f t="shared" si="80"/>
        <v>4876.310749</v>
      </c>
      <c r="BE102" s="106">
        <f t="shared" si="80"/>
        <v>4977.421536</v>
      </c>
      <c r="BF102" s="106">
        <f t="shared" si="80"/>
        <v>5078.532323</v>
      </c>
      <c r="BG102" s="106">
        <f t="shared" si="80"/>
        <v>5179.64311</v>
      </c>
      <c r="BH102" s="106">
        <f t="shared" si="80"/>
        <v>5280.753897</v>
      </c>
      <c r="BI102" s="106">
        <f t="shared" si="80"/>
        <v>5381.864683</v>
      </c>
      <c r="BJ102" s="106">
        <f t="shared" si="80"/>
        <v>5482.97547</v>
      </c>
      <c r="BK102" s="106">
        <f t="shared" si="80"/>
        <v>5584.086257</v>
      </c>
      <c r="BL102" s="106">
        <f t="shared" si="80"/>
        <v>5685.197044</v>
      </c>
      <c r="BM102" s="106">
        <f t="shared" si="80"/>
        <v>5786.307831</v>
      </c>
      <c r="BN102" s="106">
        <f t="shared" si="80"/>
        <v>5887.418617</v>
      </c>
    </row>
    <row r="103" outlineLevel="1">
      <c r="A103" s="47"/>
      <c r="B103" s="39" t="s">
        <v>53</v>
      </c>
      <c r="C103" s="104"/>
      <c r="D103" s="47"/>
      <c r="E103" s="47"/>
      <c r="F103" s="47"/>
      <c r="G103" s="106">
        <f t="shared" ref="G103:BN103" si="81">G99+G102</f>
        <v>75.7</v>
      </c>
      <c r="H103" s="106">
        <f t="shared" si="81"/>
        <v>157.0855</v>
      </c>
      <c r="I103" s="106">
        <f t="shared" si="81"/>
        <v>242.6812825</v>
      </c>
      <c r="J103" s="106">
        <f t="shared" si="81"/>
        <v>332.8777192</v>
      </c>
      <c r="K103" s="106">
        <f t="shared" si="81"/>
        <v>428.3344158</v>
      </c>
      <c r="L103" s="106">
        <f t="shared" si="81"/>
        <v>529.3603912</v>
      </c>
      <c r="M103" s="106">
        <f t="shared" si="81"/>
        <v>630.2699059</v>
      </c>
      <c r="N103" s="106">
        <f t="shared" si="81"/>
        <v>731.1776736</v>
      </c>
      <c r="O103" s="106">
        <f t="shared" si="81"/>
        <v>832.0854151</v>
      </c>
      <c r="P103" s="106">
        <f t="shared" si="81"/>
        <v>932.9931562</v>
      </c>
      <c r="Q103" s="106">
        <f t="shared" si="81"/>
        <v>1034.100897</v>
      </c>
      <c r="R103" s="106">
        <f t="shared" si="81"/>
        <v>1135.211638</v>
      </c>
      <c r="S103" s="106">
        <f t="shared" si="81"/>
        <v>1236.322425</v>
      </c>
      <c r="T103" s="106">
        <f t="shared" si="81"/>
        <v>1337.433211</v>
      </c>
      <c r="U103" s="106">
        <f t="shared" si="81"/>
        <v>1438.543998</v>
      </c>
      <c r="V103" s="106">
        <f t="shared" si="81"/>
        <v>1539.654785</v>
      </c>
      <c r="W103" s="106">
        <f t="shared" si="81"/>
        <v>1640.765572</v>
      </c>
      <c r="X103" s="106">
        <f t="shared" si="81"/>
        <v>1741.876359</v>
      </c>
      <c r="Y103" s="106">
        <f t="shared" si="81"/>
        <v>1842.987145</v>
      </c>
      <c r="Z103" s="106">
        <f t="shared" si="81"/>
        <v>1944.097932</v>
      </c>
      <c r="AA103" s="106">
        <f t="shared" si="81"/>
        <v>2045.208719</v>
      </c>
      <c r="AB103" s="106">
        <f t="shared" si="81"/>
        <v>2146.319506</v>
      </c>
      <c r="AC103" s="106">
        <f t="shared" si="81"/>
        <v>2247.430293</v>
      </c>
      <c r="AD103" s="106">
        <f t="shared" si="81"/>
        <v>2348.541079</v>
      </c>
      <c r="AE103" s="106">
        <f t="shared" si="81"/>
        <v>2449.651866</v>
      </c>
      <c r="AF103" s="106">
        <f t="shared" si="81"/>
        <v>2550.762653</v>
      </c>
      <c r="AG103" s="106">
        <f t="shared" si="81"/>
        <v>2651.87344</v>
      </c>
      <c r="AH103" s="106">
        <f t="shared" si="81"/>
        <v>2752.984227</v>
      </c>
      <c r="AI103" s="106">
        <f t="shared" si="81"/>
        <v>2854.095013</v>
      </c>
      <c r="AJ103" s="106">
        <f t="shared" si="81"/>
        <v>2955.2058</v>
      </c>
      <c r="AK103" s="106">
        <f t="shared" si="81"/>
        <v>3056.316587</v>
      </c>
      <c r="AL103" s="106">
        <f t="shared" si="81"/>
        <v>3157.427374</v>
      </c>
      <c r="AM103" s="106">
        <f t="shared" si="81"/>
        <v>3258.538161</v>
      </c>
      <c r="AN103" s="106">
        <f t="shared" si="81"/>
        <v>3359.648947</v>
      </c>
      <c r="AO103" s="106">
        <f t="shared" si="81"/>
        <v>3460.759734</v>
      </c>
      <c r="AP103" s="106">
        <f t="shared" si="81"/>
        <v>3561.870521</v>
      </c>
      <c r="AQ103" s="106">
        <f t="shared" si="81"/>
        <v>3662.981308</v>
      </c>
      <c r="AR103" s="106">
        <f t="shared" si="81"/>
        <v>3764.092095</v>
      </c>
      <c r="AS103" s="106">
        <f t="shared" si="81"/>
        <v>3865.202881</v>
      </c>
      <c r="AT103" s="106">
        <f t="shared" si="81"/>
        <v>3966.313668</v>
      </c>
      <c r="AU103" s="106">
        <f t="shared" si="81"/>
        <v>4067.424455</v>
      </c>
      <c r="AV103" s="106">
        <f t="shared" si="81"/>
        <v>4168.535242</v>
      </c>
      <c r="AW103" s="106">
        <f t="shared" si="81"/>
        <v>4269.646029</v>
      </c>
      <c r="AX103" s="106">
        <f t="shared" si="81"/>
        <v>4370.756815</v>
      </c>
      <c r="AY103" s="106">
        <f t="shared" si="81"/>
        <v>4471.867602</v>
      </c>
      <c r="AZ103" s="106">
        <f t="shared" si="81"/>
        <v>4572.978389</v>
      </c>
      <c r="BA103" s="106">
        <f t="shared" si="81"/>
        <v>4674.089176</v>
      </c>
      <c r="BB103" s="106">
        <f t="shared" si="81"/>
        <v>4775.199963</v>
      </c>
      <c r="BC103" s="106">
        <f t="shared" si="81"/>
        <v>4876.310749</v>
      </c>
      <c r="BD103" s="106">
        <f t="shared" si="81"/>
        <v>4977.421536</v>
      </c>
      <c r="BE103" s="106">
        <f t="shared" si="81"/>
        <v>5078.532323</v>
      </c>
      <c r="BF103" s="106">
        <f t="shared" si="81"/>
        <v>5179.64311</v>
      </c>
      <c r="BG103" s="106">
        <f t="shared" si="81"/>
        <v>5280.753897</v>
      </c>
      <c r="BH103" s="106">
        <f t="shared" si="81"/>
        <v>5381.864683</v>
      </c>
      <c r="BI103" s="106">
        <f t="shared" si="81"/>
        <v>5482.97547</v>
      </c>
      <c r="BJ103" s="106">
        <f t="shared" si="81"/>
        <v>5584.086257</v>
      </c>
      <c r="BK103" s="106">
        <f t="shared" si="81"/>
        <v>5685.197044</v>
      </c>
      <c r="BL103" s="106">
        <f t="shared" si="81"/>
        <v>5786.307831</v>
      </c>
      <c r="BM103" s="106">
        <f t="shared" si="81"/>
        <v>5887.418617</v>
      </c>
      <c r="BN103" s="106">
        <f t="shared" si="81"/>
        <v>5988.529404</v>
      </c>
    </row>
    <row r="104" outlineLevel="1">
      <c r="A104" s="47"/>
      <c r="B104" s="39" t="s">
        <v>54</v>
      </c>
      <c r="C104" s="47"/>
      <c r="D104" s="107"/>
      <c r="E104" s="47"/>
      <c r="F104" s="47"/>
      <c r="G104" s="107" t="str">
        <f>E103</f>
        <v/>
      </c>
      <c r="H104" s="107">
        <f t="shared" ref="H104:BN104" si="82">G103</f>
        <v>75.7</v>
      </c>
      <c r="I104" s="107">
        <f t="shared" si="82"/>
        <v>157.0855</v>
      </c>
      <c r="J104" s="107">
        <f t="shared" si="82"/>
        <v>242.6812825</v>
      </c>
      <c r="K104" s="107">
        <f t="shared" si="82"/>
        <v>332.8777192</v>
      </c>
      <c r="L104" s="107">
        <f t="shared" si="82"/>
        <v>428.3344158</v>
      </c>
      <c r="M104" s="107">
        <f t="shared" si="82"/>
        <v>529.3603912</v>
      </c>
      <c r="N104" s="107">
        <f t="shared" si="82"/>
        <v>630.2699059</v>
      </c>
      <c r="O104" s="107">
        <f t="shared" si="82"/>
        <v>731.1776736</v>
      </c>
      <c r="P104" s="107">
        <f t="shared" si="82"/>
        <v>832.0854151</v>
      </c>
      <c r="Q104" s="107">
        <f t="shared" si="82"/>
        <v>932.9931562</v>
      </c>
      <c r="R104" s="107">
        <f t="shared" si="82"/>
        <v>1034.100897</v>
      </c>
      <c r="S104" s="107">
        <f t="shared" si="82"/>
        <v>1135.211638</v>
      </c>
      <c r="T104" s="107">
        <f t="shared" si="82"/>
        <v>1236.322425</v>
      </c>
      <c r="U104" s="107">
        <f t="shared" si="82"/>
        <v>1337.433211</v>
      </c>
      <c r="V104" s="107">
        <f t="shared" si="82"/>
        <v>1438.543998</v>
      </c>
      <c r="W104" s="107">
        <f t="shared" si="82"/>
        <v>1539.654785</v>
      </c>
      <c r="X104" s="107">
        <f t="shared" si="82"/>
        <v>1640.765572</v>
      </c>
      <c r="Y104" s="107">
        <f t="shared" si="82"/>
        <v>1741.876359</v>
      </c>
      <c r="Z104" s="107">
        <f t="shared" si="82"/>
        <v>1842.987145</v>
      </c>
      <c r="AA104" s="107">
        <f t="shared" si="82"/>
        <v>1944.097932</v>
      </c>
      <c r="AB104" s="107">
        <f t="shared" si="82"/>
        <v>2045.208719</v>
      </c>
      <c r="AC104" s="107">
        <f t="shared" si="82"/>
        <v>2146.319506</v>
      </c>
      <c r="AD104" s="107">
        <f t="shared" si="82"/>
        <v>2247.430293</v>
      </c>
      <c r="AE104" s="107">
        <f t="shared" si="82"/>
        <v>2348.541079</v>
      </c>
      <c r="AF104" s="107">
        <f t="shared" si="82"/>
        <v>2449.651866</v>
      </c>
      <c r="AG104" s="107">
        <f t="shared" si="82"/>
        <v>2550.762653</v>
      </c>
      <c r="AH104" s="107">
        <f t="shared" si="82"/>
        <v>2651.87344</v>
      </c>
      <c r="AI104" s="107">
        <f t="shared" si="82"/>
        <v>2752.984227</v>
      </c>
      <c r="AJ104" s="107">
        <f t="shared" si="82"/>
        <v>2854.095013</v>
      </c>
      <c r="AK104" s="107">
        <f t="shared" si="82"/>
        <v>2955.2058</v>
      </c>
      <c r="AL104" s="107">
        <f t="shared" si="82"/>
        <v>3056.316587</v>
      </c>
      <c r="AM104" s="107">
        <f t="shared" si="82"/>
        <v>3157.427374</v>
      </c>
      <c r="AN104" s="107">
        <f t="shared" si="82"/>
        <v>3258.538161</v>
      </c>
      <c r="AO104" s="107">
        <f t="shared" si="82"/>
        <v>3359.648947</v>
      </c>
      <c r="AP104" s="107">
        <f t="shared" si="82"/>
        <v>3460.759734</v>
      </c>
      <c r="AQ104" s="107">
        <f t="shared" si="82"/>
        <v>3561.870521</v>
      </c>
      <c r="AR104" s="107">
        <f t="shared" si="82"/>
        <v>3662.981308</v>
      </c>
      <c r="AS104" s="107">
        <f t="shared" si="82"/>
        <v>3764.092095</v>
      </c>
      <c r="AT104" s="107">
        <f t="shared" si="82"/>
        <v>3865.202881</v>
      </c>
      <c r="AU104" s="107">
        <f t="shared" si="82"/>
        <v>3966.313668</v>
      </c>
      <c r="AV104" s="107">
        <f t="shared" si="82"/>
        <v>4067.424455</v>
      </c>
      <c r="AW104" s="107">
        <f t="shared" si="82"/>
        <v>4168.535242</v>
      </c>
      <c r="AX104" s="107">
        <f t="shared" si="82"/>
        <v>4269.646029</v>
      </c>
      <c r="AY104" s="107">
        <f t="shared" si="82"/>
        <v>4370.756815</v>
      </c>
      <c r="AZ104" s="107">
        <f t="shared" si="82"/>
        <v>4471.867602</v>
      </c>
      <c r="BA104" s="107">
        <f t="shared" si="82"/>
        <v>4572.978389</v>
      </c>
      <c r="BB104" s="107">
        <f t="shared" si="82"/>
        <v>4674.089176</v>
      </c>
      <c r="BC104" s="107">
        <f t="shared" si="82"/>
        <v>4775.199963</v>
      </c>
      <c r="BD104" s="107">
        <f t="shared" si="82"/>
        <v>4876.310749</v>
      </c>
      <c r="BE104" s="107">
        <f t="shared" si="82"/>
        <v>4977.421536</v>
      </c>
      <c r="BF104" s="107">
        <f t="shared" si="82"/>
        <v>5078.532323</v>
      </c>
      <c r="BG104" s="107">
        <f t="shared" si="82"/>
        <v>5179.64311</v>
      </c>
      <c r="BH104" s="107">
        <f t="shared" si="82"/>
        <v>5280.753897</v>
      </c>
      <c r="BI104" s="107">
        <f t="shared" si="82"/>
        <v>5381.864683</v>
      </c>
      <c r="BJ104" s="107">
        <f t="shared" si="82"/>
        <v>5482.97547</v>
      </c>
      <c r="BK104" s="107">
        <f t="shared" si="82"/>
        <v>5584.086257</v>
      </c>
      <c r="BL104" s="107">
        <f t="shared" si="82"/>
        <v>5685.197044</v>
      </c>
      <c r="BM104" s="107">
        <f t="shared" si="82"/>
        <v>5786.307831</v>
      </c>
      <c r="BN104" s="107">
        <f t="shared" si="82"/>
        <v>5887.418617</v>
      </c>
    </row>
    <row r="105" outlineLevel="1">
      <c r="A105" s="47"/>
      <c r="B105" s="74" t="s">
        <v>55</v>
      </c>
      <c r="C105" s="59"/>
      <c r="D105" s="108">
        <v>50.0</v>
      </c>
      <c r="E105" s="61"/>
      <c r="F105" s="61"/>
      <c r="G105" s="109">
        <f>D105</f>
        <v>50</v>
      </c>
      <c r="H105" s="109">
        <f t="shared" ref="H105:BN105" si="83">G105</f>
        <v>50</v>
      </c>
      <c r="I105" s="109">
        <f t="shared" si="83"/>
        <v>50</v>
      </c>
      <c r="J105" s="109">
        <f t="shared" si="83"/>
        <v>50</v>
      </c>
      <c r="K105" s="109">
        <f t="shared" si="83"/>
        <v>50</v>
      </c>
      <c r="L105" s="109">
        <f t="shared" si="83"/>
        <v>50</v>
      </c>
      <c r="M105" s="109">
        <f t="shared" si="83"/>
        <v>50</v>
      </c>
      <c r="N105" s="109">
        <f t="shared" si="83"/>
        <v>50</v>
      </c>
      <c r="O105" s="109">
        <f t="shared" si="83"/>
        <v>50</v>
      </c>
      <c r="P105" s="109">
        <f t="shared" si="83"/>
        <v>50</v>
      </c>
      <c r="Q105" s="109">
        <f t="shared" si="83"/>
        <v>50</v>
      </c>
      <c r="R105" s="109">
        <f t="shared" si="83"/>
        <v>50</v>
      </c>
      <c r="S105" s="109">
        <f t="shared" si="83"/>
        <v>50</v>
      </c>
      <c r="T105" s="109">
        <f t="shared" si="83"/>
        <v>50</v>
      </c>
      <c r="U105" s="109">
        <f t="shared" si="83"/>
        <v>50</v>
      </c>
      <c r="V105" s="109">
        <f t="shared" si="83"/>
        <v>50</v>
      </c>
      <c r="W105" s="109">
        <f t="shared" si="83"/>
        <v>50</v>
      </c>
      <c r="X105" s="109">
        <f t="shared" si="83"/>
        <v>50</v>
      </c>
      <c r="Y105" s="109">
        <f t="shared" si="83"/>
        <v>50</v>
      </c>
      <c r="Z105" s="109">
        <f t="shared" si="83"/>
        <v>50</v>
      </c>
      <c r="AA105" s="109">
        <f t="shared" si="83"/>
        <v>50</v>
      </c>
      <c r="AB105" s="109">
        <f t="shared" si="83"/>
        <v>50</v>
      </c>
      <c r="AC105" s="109">
        <f t="shared" si="83"/>
        <v>50</v>
      </c>
      <c r="AD105" s="109">
        <f t="shared" si="83"/>
        <v>50</v>
      </c>
      <c r="AE105" s="109">
        <f t="shared" si="83"/>
        <v>50</v>
      </c>
      <c r="AF105" s="109">
        <f t="shared" si="83"/>
        <v>50</v>
      </c>
      <c r="AG105" s="109">
        <f t="shared" si="83"/>
        <v>50</v>
      </c>
      <c r="AH105" s="109">
        <f t="shared" si="83"/>
        <v>50</v>
      </c>
      <c r="AI105" s="109">
        <f t="shared" si="83"/>
        <v>50</v>
      </c>
      <c r="AJ105" s="109">
        <f t="shared" si="83"/>
        <v>50</v>
      </c>
      <c r="AK105" s="109">
        <f t="shared" si="83"/>
        <v>50</v>
      </c>
      <c r="AL105" s="109">
        <f t="shared" si="83"/>
        <v>50</v>
      </c>
      <c r="AM105" s="109">
        <f t="shared" si="83"/>
        <v>50</v>
      </c>
      <c r="AN105" s="109">
        <f t="shared" si="83"/>
        <v>50</v>
      </c>
      <c r="AO105" s="109">
        <f t="shared" si="83"/>
        <v>50</v>
      </c>
      <c r="AP105" s="109">
        <f t="shared" si="83"/>
        <v>50</v>
      </c>
      <c r="AQ105" s="109">
        <f t="shared" si="83"/>
        <v>50</v>
      </c>
      <c r="AR105" s="109">
        <f t="shared" si="83"/>
        <v>50</v>
      </c>
      <c r="AS105" s="109">
        <f t="shared" si="83"/>
        <v>50</v>
      </c>
      <c r="AT105" s="109">
        <f t="shared" si="83"/>
        <v>50</v>
      </c>
      <c r="AU105" s="109">
        <f t="shared" si="83"/>
        <v>50</v>
      </c>
      <c r="AV105" s="109">
        <f t="shared" si="83"/>
        <v>50</v>
      </c>
      <c r="AW105" s="109">
        <f t="shared" si="83"/>
        <v>50</v>
      </c>
      <c r="AX105" s="109">
        <f t="shared" si="83"/>
        <v>50</v>
      </c>
      <c r="AY105" s="109">
        <f t="shared" si="83"/>
        <v>50</v>
      </c>
      <c r="AZ105" s="109">
        <f t="shared" si="83"/>
        <v>50</v>
      </c>
      <c r="BA105" s="109">
        <f t="shared" si="83"/>
        <v>50</v>
      </c>
      <c r="BB105" s="109">
        <f t="shared" si="83"/>
        <v>50</v>
      </c>
      <c r="BC105" s="109">
        <f t="shared" si="83"/>
        <v>50</v>
      </c>
      <c r="BD105" s="109">
        <f t="shared" si="83"/>
        <v>50</v>
      </c>
      <c r="BE105" s="109">
        <f t="shared" si="83"/>
        <v>50</v>
      </c>
      <c r="BF105" s="109">
        <f t="shared" si="83"/>
        <v>50</v>
      </c>
      <c r="BG105" s="109">
        <f t="shared" si="83"/>
        <v>50</v>
      </c>
      <c r="BH105" s="109">
        <f t="shared" si="83"/>
        <v>50</v>
      </c>
      <c r="BI105" s="109">
        <f t="shared" si="83"/>
        <v>50</v>
      </c>
      <c r="BJ105" s="109">
        <f t="shared" si="83"/>
        <v>50</v>
      </c>
      <c r="BK105" s="109">
        <f t="shared" si="83"/>
        <v>50</v>
      </c>
      <c r="BL105" s="109">
        <f t="shared" si="83"/>
        <v>50</v>
      </c>
      <c r="BM105" s="109">
        <f t="shared" si="83"/>
        <v>50</v>
      </c>
      <c r="BN105" s="109">
        <f t="shared" si="83"/>
        <v>50</v>
      </c>
    </row>
    <row r="106" outlineLevel="1">
      <c r="A106" s="47"/>
      <c r="B106" s="76" t="s">
        <v>56</v>
      </c>
      <c r="C106" s="47"/>
      <c r="D106" s="77"/>
      <c r="E106" s="77"/>
      <c r="F106" s="77"/>
      <c r="G106" s="110">
        <f t="shared" ref="G106:BN106" si="84">G103*G105</f>
        <v>3785</v>
      </c>
      <c r="H106" s="111">
        <f t="shared" si="84"/>
        <v>7854.275</v>
      </c>
      <c r="I106" s="111">
        <f t="shared" si="84"/>
        <v>12134.06413</v>
      </c>
      <c r="J106" s="111">
        <f t="shared" si="84"/>
        <v>16643.88596</v>
      </c>
      <c r="K106" s="111">
        <f t="shared" si="84"/>
        <v>21416.72079</v>
      </c>
      <c r="L106" s="111">
        <f t="shared" si="84"/>
        <v>26468.01956</v>
      </c>
      <c r="M106" s="111">
        <f t="shared" si="84"/>
        <v>31513.49529</v>
      </c>
      <c r="N106" s="111">
        <f t="shared" si="84"/>
        <v>36558.88368</v>
      </c>
      <c r="O106" s="111">
        <f t="shared" si="84"/>
        <v>41604.27076</v>
      </c>
      <c r="P106" s="111">
        <f t="shared" si="84"/>
        <v>46649.65781</v>
      </c>
      <c r="Q106" s="111">
        <f t="shared" si="84"/>
        <v>51705.04487</v>
      </c>
      <c r="R106" s="111">
        <f t="shared" si="84"/>
        <v>56760.58192</v>
      </c>
      <c r="S106" s="111">
        <f t="shared" si="84"/>
        <v>61816.12123</v>
      </c>
      <c r="T106" s="111">
        <f t="shared" si="84"/>
        <v>66871.66057</v>
      </c>
      <c r="U106" s="111">
        <f t="shared" si="84"/>
        <v>71927.19991</v>
      </c>
      <c r="V106" s="111">
        <f t="shared" si="84"/>
        <v>76982.73925</v>
      </c>
      <c r="W106" s="111">
        <f t="shared" si="84"/>
        <v>82038.27859</v>
      </c>
      <c r="X106" s="111">
        <f t="shared" si="84"/>
        <v>87093.81793</v>
      </c>
      <c r="Y106" s="111">
        <f t="shared" si="84"/>
        <v>92149.35727</v>
      </c>
      <c r="Z106" s="111">
        <f t="shared" si="84"/>
        <v>97204.89661</v>
      </c>
      <c r="AA106" s="111">
        <f t="shared" si="84"/>
        <v>102260.4359</v>
      </c>
      <c r="AB106" s="111">
        <f t="shared" si="84"/>
        <v>107315.9753</v>
      </c>
      <c r="AC106" s="111">
        <f t="shared" si="84"/>
        <v>112371.5146</v>
      </c>
      <c r="AD106" s="111">
        <f t="shared" si="84"/>
        <v>117427.054</v>
      </c>
      <c r="AE106" s="111">
        <f t="shared" si="84"/>
        <v>122482.5933</v>
      </c>
      <c r="AF106" s="111">
        <f t="shared" si="84"/>
        <v>127538.1326</v>
      </c>
      <c r="AG106" s="111">
        <f t="shared" si="84"/>
        <v>132593.672</v>
      </c>
      <c r="AH106" s="111">
        <f t="shared" si="84"/>
        <v>137649.2113</v>
      </c>
      <c r="AI106" s="111">
        <f t="shared" si="84"/>
        <v>142704.7507</v>
      </c>
      <c r="AJ106" s="111">
        <f t="shared" si="84"/>
        <v>147760.29</v>
      </c>
      <c r="AK106" s="111">
        <f t="shared" si="84"/>
        <v>152815.8294</v>
      </c>
      <c r="AL106" s="111">
        <f t="shared" si="84"/>
        <v>157871.3687</v>
      </c>
      <c r="AM106" s="111">
        <f t="shared" si="84"/>
        <v>162926.908</v>
      </c>
      <c r="AN106" s="111">
        <f t="shared" si="84"/>
        <v>167982.4474</v>
      </c>
      <c r="AO106" s="111">
        <f t="shared" si="84"/>
        <v>173037.9867</v>
      </c>
      <c r="AP106" s="111">
        <f t="shared" si="84"/>
        <v>178093.5261</v>
      </c>
      <c r="AQ106" s="111">
        <f t="shared" si="84"/>
        <v>183149.0654</v>
      </c>
      <c r="AR106" s="111">
        <f t="shared" si="84"/>
        <v>188204.6047</v>
      </c>
      <c r="AS106" s="111">
        <f t="shared" si="84"/>
        <v>193260.1441</v>
      </c>
      <c r="AT106" s="111">
        <f t="shared" si="84"/>
        <v>198315.6834</v>
      </c>
      <c r="AU106" s="111">
        <f t="shared" si="84"/>
        <v>203371.2228</v>
      </c>
      <c r="AV106" s="111">
        <f t="shared" si="84"/>
        <v>208426.7621</v>
      </c>
      <c r="AW106" s="111">
        <f t="shared" si="84"/>
        <v>213482.3014</v>
      </c>
      <c r="AX106" s="111">
        <f t="shared" si="84"/>
        <v>218537.8408</v>
      </c>
      <c r="AY106" s="111">
        <f t="shared" si="84"/>
        <v>223593.3801</v>
      </c>
      <c r="AZ106" s="111">
        <f t="shared" si="84"/>
        <v>228648.9195</v>
      </c>
      <c r="BA106" s="111">
        <f t="shared" si="84"/>
        <v>233704.4588</v>
      </c>
      <c r="BB106" s="111">
        <f t="shared" si="84"/>
        <v>238759.9981</v>
      </c>
      <c r="BC106" s="111">
        <f t="shared" si="84"/>
        <v>243815.5375</v>
      </c>
      <c r="BD106" s="111">
        <f t="shared" si="84"/>
        <v>248871.0768</v>
      </c>
      <c r="BE106" s="111">
        <f t="shared" si="84"/>
        <v>253926.6162</v>
      </c>
      <c r="BF106" s="111">
        <f t="shared" si="84"/>
        <v>258982.1555</v>
      </c>
      <c r="BG106" s="111">
        <f t="shared" si="84"/>
        <v>264037.6948</v>
      </c>
      <c r="BH106" s="111">
        <f t="shared" si="84"/>
        <v>269093.2342</v>
      </c>
      <c r="BI106" s="111">
        <f t="shared" si="84"/>
        <v>274148.7735</v>
      </c>
      <c r="BJ106" s="111">
        <f t="shared" si="84"/>
        <v>279204.3129</v>
      </c>
      <c r="BK106" s="111">
        <f t="shared" si="84"/>
        <v>284259.8522</v>
      </c>
      <c r="BL106" s="111">
        <f t="shared" si="84"/>
        <v>289315.3915</v>
      </c>
      <c r="BM106" s="111">
        <f t="shared" si="84"/>
        <v>294370.9309</v>
      </c>
      <c r="BN106" s="111">
        <f t="shared" si="84"/>
        <v>299426.4702</v>
      </c>
    </row>
    <row r="107" outlineLevel="1">
      <c r="A107" s="47"/>
      <c r="B107" s="47"/>
      <c r="C107" s="47"/>
      <c r="D107" s="47"/>
      <c r="E107" s="47"/>
      <c r="F107" s="4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row>
    <row r="108" outlineLevel="1">
      <c r="A108" s="47"/>
      <c r="B108" s="112" t="s">
        <v>59</v>
      </c>
      <c r="C108" s="47"/>
      <c r="D108" s="47"/>
      <c r="E108" s="47"/>
      <c r="F108" s="4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row>
    <row r="109">
      <c r="A109" s="47"/>
      <c r="B109" s="113"/>
      <c r="C109" s="47"/>
      <c r="D109" s="47"/>
      <c r="E109" s="47"/>
      <c r="F109" s="47"/>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row>
    <row r="110" collapsed="1">
      <c r="A110" s="47"/>
      <c r="B110" s="48" t="s">
        <v>60</v>
      </c>
      <c r="C110" s="49"/>
      <c r="D110" s="49"/>
      <c r="E110" s="49"/>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row>
    <row r="111" hidden="1" outlineLevel="1">
      <c r="A111" s="47"/>
      <c r="B111" s="47"/>
      <c r="C111" s="47"/>
      <c r="D111" s="47"/>
      <c r="E111" s="47"/>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row>
    <row r="112" hidden="1" outlineLevel="1">
      <c r="A112" s="47"/>
      <c r="B112" s="115" t="s">
        <v>61</v>
      </c>
      <c r="C112" s="116" t="s">
        <v>62</v>
      </c>
      <c r="D112" s="116" t="s">
        <v>63</v>
      </c>
      <c r="E112" s="116" t="s">
        <v>64</v>
      </c>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c r="AH112" s="114"/>
      <c r="AI112" s="114"/>
      <c r="AJ112" s="114"/>
      <c r="AK112" s="114"/>
      <c r="AL112" s="114"/>
      <c r="AM112" s="114"/>
      <c r="AN112" s="114"/>
      <c r="AO112" s="114"/>
      <c r="AP112" s="114"/>
      <c r="AQ112" s="114"/>
      <c r="AR112" s="114"/>
      <c r="AS112" s="114"/>
      <c r="AT112" s="114"/>
      <c r="AU112" s="114"/>
      <c r="AV112" s="114"/>
      <c r="AW112" s="114"/>
      <c r="AX112" s="114"/>
      <c r="AY112" s="114"/>
      <c r="AZ112" s="114"/>
      <c r="BA112" s="114"/>
      <c r="BB112" s="114"/>
      <c r="BC112" s="114"/>
      <c r="BD112" s="114"/>
      <c r="BE112" s="114"/>
      <c r="BF112" s="114"/>
      <c r="BG112" s="114"/>
      <c r="BH112" s="114"/>
      <c r="BI112" s="114"/>
      <c r="BJ112" s="114"/>
      <c r="BK112" s="114"/>
      <c r="BL112" s="114"/>
      <c r="BM112" s="114"/>
      <c r="BN112" s="114"/>
    </row>
    <row r="113" hidden="1" outlineLevel="1">
      <c r="A113" s="47"/>
      <c r="B113" s="117" t="s">
        <v>65</v>
      </c>
      <c r="C113" s="118">
        <v>100000.0</v>
      </c>
      <c r="D113" s="119">
        <v>0.2</v>
      </c>
      <c r="E113" s="120">
        <v>45658.0</v>
      </c>
      <c r="F113" s="114"/>
      <c r="G113" s="114">
        <f t="shared" ref="G113:BB113" si="85">IF(G$4&gt;=$E113,($C113/12)*(1+$D113),0)</f>
        <v>10000</v>
      </c>
      <c r="H113" s="114">
        <f t="shared" si="85"/>
        <v>10000</v>
      </c>
      <c r="I113" s="114">
        <f t="shared" si="85"/>
        <v>10000</v>
      </c>
      <c r="J113" s="114">
        <f t="shared" si="85"/>
        <v>10000</v>
      </c>
      <c r="K113" s="114">
        <f t="shared" si="85"/>
        <v>10000</v>
      </c>
      <c r="L113" s="114">
        <f t="shared" si="85"/>
        <v>10000</v>
      </c>
      <c r="M113" s="114">
        <f t="shared" si="85"/>
        <v>10000</v>
      </c>
      <c r="N113" s="114">
        <f t="shared" si="85"/>
        <v>10000</v>
      </c>
      <c r="O113" s="114">
        <f t="shared" si="85"/>
        <v>10000</v>
      </c>
      <c r="P113" s="114">
        <f t="shared" si="85"/>
        <v>10000</v>
      </c>
      <c r="Q113" s="114">
        <f t="shared" si="85"/>
        <v>10000</v>
      </c>
      <c r="R113" s="114">
        <f t="shared" si="85"/>
        <v>10000</v>
      </c>
      <c r="S113" s="114">
        <f t="shared" si="85"/>
        <v>10000</v>
      </c>
      <c r="T113" s="114">
        <f t="shared" si="85"/>
        <v>10000</v>
      </c>
      <c r="U113" s="114">
        <f t="shared" si="85"/>
        <v>10000</v>
      </c>
      <c r="V113" s="114">
        <f t="shared" si="85"/>
        <v>10000</v>
      </c>
      <c r="W113" s="114">
        <f t="shared" si="85"/>
        <v>10000</v>
      </c>
      <c r="X113" s="114">
        <f t="shared" si="85"/>
        <v>10000</v>
      </c>
      <c r="Y113" s="114">
        <f t="shared" si="85"/>
        <v>10000</v>
      </c>
      <c r="Z113" s="114">
        <f t="shared" si="85"/>
        <v>10000</v>
      </c>
      <c r="AA113" s="114">
        <f t="shared" si="85"/>
        <v>10000</v>
      </c>
      <c r="AB113" s="114">
        <f t="shared" si="85"/>
        <v>10000</v>
      </c>
      <c r="AC113" s="114">
        <f t="shared" si="85"/>
        <v>10000</v>
      </c>
      <c r="AD113" s="114">
        <f t="shared" si="85"/>
        <v>10000</v>
      </c>
      <c r="AE113" s="114">
        <f t="shared" si="85"/>
        <v>10000</v>
      </c>
      <c r="AF113" s="114">
        <f t="shared" si="85"/>
        <v>10000</v>
      </c>
      <c r="AG113" s="114">
        <f t="shared" si="85"/>
        <v>10000</v>
      </c>
      <c r="AH113" s="114">
        <f t="shared" si="85"/>
        <v>10000</v>
      </c>
      <c r="AI113" s="114">
        <f t="shared" si="85"/>
        <v>10000</v>
      </c>
      <c r="AJ113" s="114">
        <f t="shared" si="85"/>
        <v>10000</v>
      </c>
      <c r="AK113" s="114">
        <f t="shared" si="85"/>
        <v>10000</v>
      </c>
      <c r="AL113" s="114">
        <f t="shared" si="85"/>
        <v>10000</v>
      </c>
      <c r="AM113" s="114">
        <f t="shared" si="85"/>
        <v>10000</v>
      </c>
      <c r="AN113" s="114">
        <f t="shared" si="85"/>
        <v>10000</v>
      </c>
      <c r="AO113" s="114">
        <f t="shared" si="85"/>
        <v>10000</v>
      </c>
      <c r="AP113" s="114">
        <f t="shared" si="85"/>
        <v>10000</v>
      </c>
      <c r="AQ113" s="114">
        <f t="shared" si="85"/>
        <v>10000</v>
      </c>
      <c r="AR113" s="114">
        <f t="shared" si="85"/>
        <v>10000</v>
      </c>
      <c r="AS113" s="114">
        <f t="shared" si="85"/>
        <v>10000</v>
      </c>
      <c r="AT113" s="114">
        <f t="shared" si="85"/>
        <v>10000</v>
      </c>
      <c r="AU113" s="114">
        <f t="shared" si="85"/>
        <v>10000</v>
      </c>
      <c r="AV113" s="114">
        <f t="shared" si="85"/>
        <v>10000</v>
      </c>
      <c r="AW113" s="114">
        <f t="shared" si="85"/>
        <v>10000</v>
      </c>
      <c r="AX113" s="114">
        <f t="shared" si="85"/>
        <v>10000</v>
      </c>
      <c r="AY113" s="114">
        <f t="shared" si="85"/>
        <v>10000</v>
      </c>
      <c r="AZ113" s="114">
        <f t="shared" si="85"/>
        <v>10000</v>
      </c>
      <c r="BA113" s="114">
        <f t="shared" si="85"/>
        <v>10000</v>
      </c>
      <c r="BB113" s="114">
        <f t="shared" si="85"/>
        <v>10000</v>
      </c>
      <c r="BC113" s="114">
        <v>10000.0</v>
      </c>
      <c r="BD113" s="114">
        <v>10000.0</v>
      </c>
      <c r="BE113" s="114">
        <v>10000.0</v>
      </c>
      <c r="BF113" s="114">
        <v>10000.0</v>
      </c>
      <c r="BG113" s="114">
        <v>10000.0</v>
      </c>
      <c r="BH113" s="114">
        <v>10000.0</v>
      </c>
      <c r="BI113" s="114">
        <v>10000.0</v>
      </c>
      <c r="BJ113" s="114">
        <v>10000.0</v>
      </c>
      <c r="BK113" s="114">
        <v>10000.0</v>
      </c>
      <c r="BL113" s="114">
        <v>10000.0</v>
      </c>
      <c r="BM113" s="114">
        <v>10000.0</v>
      </c>
      <c r="BN113" s="114">
        <v>10000.0</v>
      </c>
    </row>
    <row r="114" hidden="1" outlineLevel="1">
      <c r="A114" s="47"/>
      <c r="B114" s="121" t="s">
        <v>66</v>
      </c>
      <c r="C114" s="118">
        <v>100000.0</v>
      </c>
      <c r="D114" s="119">
        <v>0.2</v>
      </c>
      <c r="E114" s="120">
        <v>43831.0</v>
      </c>
      <c r="F114" s="114"/>
      <c r="G114" s="114">
        <f t="shared" ref="G114:BB114" si="86">IF(G$4&gt;=$E114,($C114/12)*(1+$D114),0)</f>
        <v>10000</v>
      </c>
      <c r="H114" s="114">
        <f t="shared" si="86"/>
        <v>10000</v>
      </c>
      <c r="I114" s="114">
        <f t="shared" si="86"/>
        <v>10000</v>
      </c>
      <c r="J114" s="114">
        <f t="shared" si="86"/>
        <v>10000</v>
      </c>
      <c r="K114" s="114">
        <f t="shared" si="86"/>
        <v>10000</v>
      </c>
      <c r="L114" s="114">
        <f t="shared" si="86"/>
        <v>10000</v>
      </c>
      <c r="M114" s="114">
        <f t="shared" si="86"/>
        <v>10000</v>
      </c>
      <c r="N114" s="114">
        <f t="shared" si="86"/>
        <v>10000</v>
      </c>
      <c r="O114" s="114">
        <f t="shared" si="86"/>
        <v>10000</v>
      </c>
      <c r="P114" s="114">
        <f t="shared" si="86"/>
        <v>10000</v>
      </c>
      <c r="Q114" s="114">
        <f t="shared" si="86"/>
        <v>10000</v>
      </c>
      <c r="R114" s="114">
        <f t="shared" si="86"/>
        <v>10000</v>
      </c>
      <c r="S114" s="114">
        <f t="shared" si="86"/>
        <v>10000</v>
      </c>
      <c r="T114" s="114">
        <f t="shared" si="86"/>
        <v>10000</v>
      </c>
      <c r="U114" s="114">
        <f t="shared" si="86"/>
        <v>10000</v>
      </c>
      <c r="V114" s="114">
        <f t="shared" si="86"/>
        <v>10000</v>
      </c>
      <c r="W114" s="114">
        <f t="shared" si="86"/>
        <v>10000</v>
      </c>
      <c r="X114" s="114">
        <f t="shared" si="86"/>
        <v>10000</v>
      </c>
      <c r="Y114" s="114">
        <f t="shared" si="86"/>
        <v>10000</v>
      </c>
      <c r="Z114" s="114">
        <f t="shared" si="86"/>
        <v>10000</v>
      </c>
      <c r="AA114" s="114">
        <f t="shared" si="86"/>
        <v>10000</v>
      </c>
      <c r="AB114" s="114">
        <f t="shared" si="86"/>
        <v>10000</v>
      </c>
      <c r="AC114" s="114">
        <f t="shared" si="86"/>
        <v>10000</v>
      </c>
      <c r="AD114" s="114">
        <f t="shared" si="86"/>
        <v>10000</v>
      </c>
      <c r="AE114" s="114">
        <f t="shared" si="86"/>
        <v>10000</v>
      </c>
      <c r="AF114" s="114">
        <f t="shared" si="86"/>
        <v>10000</v>
      </c>
      <c r="AG114" s="114">
        <f t="shared" si="86"/>
        <v>10000</v>
      </c>
      <c r="AH114" s="114">
        <f t="shared" si="86"/>
        <v>10000</v>
      </c>
      <c r="AI114" s="114">
        <f t="shared" si="86"/>
        <v>10000</v>
      </c>
      <c r="AJ114" s="114">
        <f t="shared" si="86"/>
        <v>10000</v>
      </c>
      <c r="AK114" s="114">
        <f t="shared" si="86"/>
        <v>10000</v>
      </c>
      <c r="AL114" s="114">
        <f t="shared" si="86"/>
        <v>10000</v>
      </c>
      <c r="AM114" s="114">
        <f t="shared" si="86"/>
        <v>10000</v>
      </c>
      <c r="AN114" s="114">
        <f t="shared" si="86"/>
        <v>10000</v>
      </c>
      <c r="AO114" s="114">
        <f t="shared" si="86"/>
        <v>10000</v>
      </c>
      <c r="AP114" s="114">
        <f t="shared" si="86"/>
        <v>10000</v>
      </c>
      <c r="AQ114" s="114">
        <f t="shared" si="86"/>
        <v>10000</v>
      </c>
      <c r="AR114" s="114">
        <f t="shared" si="86"/>
        <v>10000</v>
      </c>
      <c r="AS114" s="114">
        <f t="shared" si="86"/>
        <v>10000</v>
      </c>
      <c r="AT114" s="114">
        <f t="shared" si="86"/>
        <v>10000</v>
      </c>
      <c r="AU114" s="114">
        <f t="shared" si="86"/>
        <v>10000</v>
      </c>
      <c r="AV114" s="114">
        <f t="shared" si="86"/>
        <v>10000</v>
      </c>
      <c r="AW114" s="114">
        <f t="shared" si="86"/>
        <v>10000</v>
      </c>
      <c r="AX114" s="114">
        <f t="shared" si="86"/>
        <v>10000</v>
      </c>
      <c r="AY114" s="114">
        <f t="shared" si="86"/>
        <v>10000</v>
      </c>
      <c r="AZ114" s="114">
        <f t="shared" si="86"/>
        <v>10000</v>
      </c>
      <c r="BA114" s="114">
        <f t="shared" si="86"/>
        <v>10000</v>
      </c>
      <c r="BB114" s="114">
        <f t="shared" si="86"/>
        <v>10000</v>
      </c>
      <c r="BC114" s="114">
        <v>10000.0</v>
      </c>
      <c r="BD114" s="114">
        <v>10000.0</v>
      </c>
      <c r="BE114" s="114">
        <v>10000.0</v>
      </c>
      <c r="BF114" s="114">
        <v>10000.0</v>
      </c>
      <c r="BG114" s="114">
        <v>10000.0</v>
      </c>
      <c r="BH114" s="114">
        <v>10000.0</v>
      </c>
      <c r="BI114" s="114">
        <v>10000.0</v>
      </c>
      <c r="BJ114" s="114">
        <v>10000.0</v>
      </c>
      <c r="BK114" s="114">
        <v>10000.0</v>
      </c>
      <c r="BL114" s="114">
        <v>10000.0</v>
      </c>
      <c r="BM114" s="114">
        <v>10000.0</v>
      </c>
      <c r="BN114" s="114">
        <v>10000.0</v>
      </c>
    </row>
    <row r="115" hidden="1" outlineLevel="1">
      <c r="A115" s="47"/>
      <c r="B115" s="121" t="s">
        <v>67</v>
      </c>
      <c r="C115" s="118">
        <v>100000.0</v>
      </c>
      <c r="D115" s="119">
        <v>0.2</v>
      </c>
      <c r="E115" s="120">
        <v>44075.0</v>
      </c>
      <c r="F115" s="114"/>
      <c r="G115" s="114">
        <f t="shared" ref="G115:BB115" si="87">IF(G$4&gt;=$E115,($C115/12)*(1+$D115),0)</f>
        <v>10000</v>
      </c>
      <c r="H115" s="114">
        <f t="shared" si="87"/>
        <v>10000</v>
      </c>
      <c r="I115" s="114">
        <f t="shared" si="87"/>
        <v>10000</v>
      </c>
      <c r="J115" s="114">
        <f t="shared" si="87"/>
        <v>10000</v>
      </c>
      <c r="K115" s="114">
        <f t="shared" si="87"/>
        <v>10000</v>
      </c>
      <c r="L115" s="114">
        <f t="shared" si="87"/>
        <v>10000</v>
      </c>
      <c r="M115" s="114">
        <f t="shared" si="87"/>
        <v>10000</v>
      </c>
      <c r="N115" s="114">
        <f t="shared" si="87"/>
        <v>10000</v>
      </c>
      <c r="O115" s="114">
        <f t="shared" si="87"/>
        <v>10000</v>
      </c>
      <c r="P115" s="114">
        <f t="shared" si="87"/>
        <v>10000</v>
      </c>
      <c r="Q115" s="114">
        <f t="shared" si="87"/>
        <v>10000</v>
      </c>
      <c r="R115" s="114">
        <f t="shared" si="87"/>
        <v>10000</v>
      </c>
      <c r="S115" s="114">
        <f t="shared" si="87"/>
        <v>10000</v>
      </c>
      <c r="T115" s="114">
        <f t="shared" si="87"/>
        <v>10000</v>
      </c>
      <c r="U115" s="114">
        <f t="shared" si="87"/>
        <v>10000</v>
      </c>
      <c r="V115" s="114">
        <f t="shared" si="87"/>
        <v>10000</v>
      </c>
      <c r="W115" s="114">
        <f t="shared" si="87"/>
        <v>10000</v>
      </c>
      <c r="X115" s="114">
        <f t="shared" si="87"/>
        <v>10000</v>
      </c>
      <c r="Y115" s="114">
        <f t="shared" si="87"/>
        <v>10000</v>
      </c>
      <c r="Z115" s="114">
        <f t="shared" si="87"/>
        <v>10000</v>
      </c>
      <c r="AA115" s="114">
        <f t="shared" si="87"/>
        <v>10000</v>
      </c>
      <c r="AB115" s="114">
        <f t="shared" si="87"/>
        <v>10000</v>
      </c>
      <c r="AC115" s="114">
        <f t="shared" si="87"/>
        <v>10000</v>
      </c>
      <c r="AD115" s="114">
        <f t="shared" si="87"/>
        <v>10000</v>
      </c>
      <c r="AE115" s="114">
        <f t="shared" si="87"/>
        <v>10000</v>
      </c>
      <c r="AF115" s="114">
        <f t="shared" si="87"/>
        <v>10000</v>
      </c>
      <c r="AG115" s="114">
        <f t="shared" si="87"/>
        <v>10000</v>
      </c>
      <c r="AH115" s="114">
        <f t="shared" si="87"/>
        <v>10000</v>
      </c>
      <c r="AI115" s="114">
        <f t="shared" si="87"/>
        <v>10000</v>
      </c>
      <c r="AJ115" s="114">
        <f t="shared" si="87"/>
        <v>10000</v>
      </c>
      <c r="AK115" s="114">
        <f t="shared" si="87"/>
        <v>10000</v>
      </c>
      <c r="AL115" s="114">
        <f t="shared" si="87"/>
        <v>10000</v>
      </c>
      <c r="AM115" s="114">
        <f t="shared" si="87"/>
        <v>10000</v>
      </c>
      <c r="AN115" s="114">
        <f t="shared" si="87"/>
        <v>10000</v>
      </c>
      <c r="AO115" s="114">
        <f t="shared" si="87"/>
        <v>10000</v>
      </c>
      <c r="AP115" s="114">
        <f t="shared" si="87"/>
        <v>10000</v>
      </c>
      <c r="AQ115" s="114">
        <f t="shared" si="87"/>
        <v>10000</v>
      </c>
      <c r="AR115" s="114">
        <f t="shared" si="87"/>
        <v>10000</v>
      </c>
      <c r="AS115" s="114">
        <f t="shared" si="87"/>
        <v>10000</v>
      </c>
      <c r="AT115" s="114">
        <f t="shared" si="87"/>
        <v>10000</v>
      </c>
      <c r="AU115" s="114">
        <f t="shared" si="87"/>
        <v>10000</v>
      </c>
      <c r="AV115" s="114">
        <f t="shared" si="87"/>
        <v>10000</v>
      </c>
      <c r="AW115" s="114">
        <f t="shared" si="87"/>
        <v>10000</v>
      </c>
      <c r="AX115" s="114">
        <f t="shared" si="87"/>
        <v>10000</v>
      </c>
      <c r="AY115" s="114">
        <f t="shared" si="87"/>
        <v>10000</v>
      </c>
      <c r="AZ115" s="114">
        <f t="shared" si="87"/>
        <v>10000</v>
      </c>
      <c r="BA115" s="114">
        <f t="shared" si="87"/>
        <v>10000</v>
      </c>
      <c r="BB115" s="114">
        <f t="shared" si="87"/>
        <v>10000</v>
      </c>
      <c r="BC115" s="114">
        <v>10000.0</v>
      </c>
      <c r="BD115" s="114">
        <v>10000.0</v>
      </c>
      <c r="BE115" s="114">
        <v>10000.0</v>
      </c>
      <c r="BF115" s="114">
        <v>10000.0</v>
      </c>
      <c r="BG115" s="114">
        <v>10000.0</v>
      </c>
      <c r="BH115" s="114">
        <v>10000.0</v>
      </c>
      <c r="BI115" s="114">
        <v>10000.0</v>
      </c>
      <c r="BJ115" s="114">
        <v>10000.0</v>
      </c>
      <c r="BK115" s="114">
        <v>10000.0</v>
      </c>
      <c r="BL115" s="114">
        <v>10000.0</v>
      </c>
      <c r="BM115" s="114">
        <v>10000.0</v>
      </c>
      <c r="BN115" s="114">
        <v>10000.0</v>
      </c>
    </row>
    <row r="116" hidden="1" outlineLevel="1">
      <c r="A116" s="47"/>
      <c r="B116" s="121" t="s">
        <v>68</v>
      </c>
      <c r="C116" s="118">
        <v>100000.0</v>
      </c>
      <c r="D116" s="119">
        <v>0.2</v>
      </c>
      <c r="E116" s="120">
        <v>43831.0</v>
      </c>
      <c r="F116" s="114"/>
      <c r="G116" s="114">
        <f t="shared" ref="G116:BB116" si="88">IF(G$4&gt;=$E116,($C116/12)*(1+$D116),0)</f>
        <v>10000</v>
      </c>
      <c r="H116" s="114">
        <f t="shared" si="88"/>
        <v>10000</v>
      </c>
      <c r="I116" s="114">
        <f t="shared" si="88"/>
        <v>10000</v>
      </c>
      <c r="J116" s="114">
        <f t="shared" si="88"/>
        <v>10000</v>
      </c>
      <c r="K116" s="114">
        <f t="shared" si="88"/>
        <v>10000</v>
      </c>
      <c r="L116" s="114">
        <f t="shared" si="88"/>
        <v>10000</v>
      </c>
      <c r="M116" s="114">
        <f t="shared" si="88"/>
        <v>10000</v>
      </c>
      <c r="N116" s="114">
        <f t="shared" si="88"/>
        <v>10000</v>
      </c>
      <c r="O116" s="114">
        <f t="shared" si="88"/>
        <v>10000</v>
      </c>
      <c r="P116" s="114">
        <f t="shared" si="88"/>
        <v>10000</v>
      </c>
      <c r="Q116" s="114">
        <f t="shared" si="88"/>
        <v>10000</v>
      </c>
      <c r="R116" s="114">
        <f t="shared" si="88"/>
        <v>10000</v>
      </c>
      <c r="S116" s="114">
        <f t="shared" si="88"/>
        <v>10000</v>
      </c>
      <c r="T116" s="114">
        <f t="shared" si="88"/>
        <v>10000</v>
      </c>
      <c r="U116" s="114">
        <f t="shared" si="88"/>
        <v>10000</v>
      </c>
      <c r="V116" s="114">
        <f t="shared" si="88"/>
        <v>10000</v>
      </c>
      <c r="W116" s="114">
        <f t="shared" si="88"/>
        <v>10000</v>
      </c>
      <c r="X116" s="114">
        <f t="shared" si="88"/>
        <v>10000</v>
      </c>
      <c r="Y116" s="114">
        <f t="shared" si="88"/>
        <v>10000</v>
      </c>
      <c r="Z116" s="114">
        <f t="shared" si="88"/>
        <v>10000</v>
      </c>
      <c r="AA116" s="114">
        <f t="shared" si="88"/>
        <v>10000</v>
      </c>
      <c r="AB116" s="114">
        <f t="shared" si="88"/>
        <v>10000</v>
      </c>
      <c r="AC116" s="114">
        <f t="shared" si="88"/>
        <v>10000</v>
      </c>
      <c r="AD116" s="114">
        <f t="shared" si="88"/>
        <v>10000</v>
      </c>
      <c r="AE116" s="114">
        <f t="shared" si="88"/>
        <v>10000</v>
      </c>
      <c r="AF116" s="114">
        <f t="shared" si="88"/>
        <v>10000</v>
      </c>
      <c r="AG116" s="114">
        <f t="shared" si="88"/>
        <v>10000</v>
      </c>
      <c r="AH116" s="114">
        <f t="shared" si="88"/>
        <v>10000</v>
      </c>
      <c r="AI116" s="114">
        <f t="shared" si="88"/>
        <v>10000</v>
      </c>
      <c r="AJ116" s="114">
        <f t="shared" si="88"/>
        <v>10000</v>
      </c>
      <c r="AK116" s="114">
        <f t="shared" si="88"/>
        <v>10000</v>
      </c>
      <c r="AL116" s="114">
        <f t="shared" si="88"/>
        <v>10000</v>
      </c>
      <c r="AM116" s="114">
        <f t="shared" si="88"/>
        <v>10000</v>
      </c>
      <c r="AN116" s="114">
        <f t="shared" si="88"/>
        <v>10000</v>
      </c>
      <c r="AO116" s="114">
        <f t="shared" si="88"/>
        <v>10000</v>
      </c>
      <c r="AP116" s="114">
        <f t="shared" si="88"/>
        <v>10000</v>
      </c>
      <c r="AQ116" s="114">
        <f t="shared" si="88"/>
        <v>10000</v>
      </c>
      <c r="AR116" s="114">
        <f t="shared" si="88"/>
        <v>10000</v>
      </c>
      <c r="AS116" s="114">
        <f t="shared" si="88"/>
        <v>10000</v>
      </c>
      <c r="AT116" s="114">
        <f t="shared" si="88"/>
        <v>10000</v>
      </c>
      <c r="AU116" s="114">
        <f t="shared" si="88"/>
        <v>10000</v>
      </c>
      <c r="AV116" s="114">
        <f t="shared" si="88"/>
        <v>10000</v>
      </c>
      <c r="AW116" s="114">
        <f t="shared" si="88"/>
        <v>10000</v>
      </c>
      <c r="AX116" s="114">
        <f t="shared" si="88"/>
        <v>10000</v>
      </c>
      <c r="AY116" s="114">
        <f t="shared" si="88"/>
        <v>10000</v>
      </c>
      <c r="AZ116" s="114">
        <f t="shared" si="88"/>
        <v>10000</v>
      </c>
      <c r="BA116" s="114">
        <f t="shared" si="88"/>
        <v>10000</v>
      </c>
      <c r="BB116" s="114">
        <f t="shared" si="88"/>
        <v>10000</v>
      </c>
      <c r="BC116" s="114">
        <v>10000.0</v>
      </c>
      <c r="BD116" s="114">
        <v>10000.0</v>
      </c>
      <c r="BE116" s="114">
        <v>10000.0</v>
      </c>
      <c r="BF116" s="114">
        <v>10000.0</v>
      </c>
      <c r="BG116" s="114">
        <v>10000.0</v>
      </c>
      <c r="BH116" s="114">
        <v>10000.0</v>
      </c>
      <c r="BI116" s="114">
        <v>10000.0</v>
      </c>
      <c r="BJ116" s="114">
        <v>10000.0</v>
      </c>
      <c r="BK116" s="114">
        <v>10000.0</v>
      </c>
      <c r="BL116" s="114">
        <v>10000.0</v>
      </c>
      <c r="BM116" s="114">
        <v>10000.0</v>
      </c>
      <c r="BN116" s="114">
        <v>10000.0</v>
      </c>
    </row>
    <row r="117" hidden="1" outlineLevel="1">
      <c r="A117" s="47"/>
      <c r="B117" s="121" t="s">
        <v>69</v>
      </c>
      <c r="C117" s="118">
        <v>100000.0</v>
      </c>
      <c r="D117" s="119">
        <v>0.2</v>
      </c>
      <c r="E117" s="120">
        <v>43891.0</v>
      </c>
      <c r="F117" s="114"/>
      <c r="G117" s="114">
        <f t="shared" ref="G117:BB117" si="89">IF(G$4&gt;=$E117,($C117/12)*(1+$D117),0)</f>
        <v>10000</v>
      </c>
      <c r="H117" s="114">
        <f t="shared" si="89"/>
        <v>10000</v>
      </c>
      <c r="I117" s="114">
        <f t="shared" si="89"/>
        <v>10000</v>
      </c>
      <c r="J117" s="114">
        <f t="shared" si="89"/>
        <v>10000</v>
      </c>
      <c r="K117" s="114">
        <f t="shared" si="89"/>
        <v>10000</v>
      </c>
      <c r="L117" s="114">
        <f t="shared" si="89"/>
        <v>10000</v>
      </c>
      <c r="M117" s="114">
        <f t="shared" si="89"/>
        <v>10000</v>
      </c>
      <c r="N117" s="114">
        <f t="shared" si="89"/>
        <v>10000</v>
      </c>
      <c r="O117" s="114">
        <f t="shared" si="89"/>
        <v>10000</v>
      </c>
      <c r="P117" s="114">
        <f t="shared" si="89"/>
        <v>10000</v>
      </c>
      <c r="Q117" s="114">
        <f t="shared" si="89"/>
        <v>10000</v>
      </c>
      <c r="R117" s="114">
        <f t="shared" si="89"/>
        <v>10000</v>
      </c>
      <c r="S117" s="114">
        <f t="shared" si="89"/>
        <v>10000</v>
      </c>
      <c r="T117" s="114">
        <f t="shared" si="89"/>
        <v>10000</v>
      </c>
      <c r="U117" s="114">
        <f t="shared" si="89"/>
        <v>10000</v>
      </c>
      <c r="V117" s="114">
        <f t="shared" si="89"/>
        <v>10000</v>
      </c>
      <c r="W117" s="114">
        <f t="shared" si="89"/>
        <v>10000</v>
      </c>
      <c r="X117" s="114">
        <f t="shared" si="89"/>
        <v>10000</v>
      </c>
      <c r="Y117" s="114">
        <f t="shared" si="89"/>
        <v>10000</v>
      </c>
      <c r="Z117" s="114">
        <f t="shared" si="89"/>
        <v>10000</v>
      </c>
      <c r="AA117" s="114">
        <f t="shared" si="89"/>
        <v>10000</v>
      </c>
      <c r="AB117" s="114">
        <f t="shared" si="89"/>
        <v>10000</v>
      </c>
      <c r="AC117" s="114">
        <f t="shared" si="89"/>
        <v>10000</v>
      </c>
      <c r="AD117" s="114">
        <f t="shared" si="89"/>
        <v>10000</v>
      </c>
      <c r="AE117" s="114">
        <f t="shared" si="89"/>
        <v>10000</v>
      </c>
      <c r="AF117" s="114">
        <f t="shared" si="89"/>
        <v>10000</v>
      </c>
      <c r="AG117" s="114">
        <f t="shared" si="89"/>
        <v>10000</v>
      </c>
      <c r="AH117" s="114">
        <f t="shared" si="89"/>
        <v>10000</v>
      </c>
      <c r="AI117" s="114">
        <f t="shared" si="89"/>
        <v>10000</v>
      </c>
      <c r="AJ117" s="114">
        <f t="shared" si="89"/>
        <v>10000</v>
      </c>
      <c r="AK117" s="114">
        <f t="shared" si="89"/>
        <v>10000</v>
      </c>
      <c r="AL117" s="114">
        <f t="shared" si="89"/>
        <v>10000</v>
      </c>
      <c r="AM117" s="114">
        <f t="shared" si="89"/>
        <v>10000</v>
      </c>
      <c r="AN117" s="114">
        <f t="shared" si="89"/>
        <v>10000</v>
      </c>
      <c r="AO117" s="114">
        <f t="shared" si="89"/>
        <v>10000</v>
      </c>
      <c r="AP117" s="114">
        <f t="shared" si="89"/>
        <v>10000</v>
      </c>
      <c r="AQ117" s="114">
        <f t="shared" si="89"/>
        <v>10000</v>
      </c>
      <c r="AR117" s="114">
        <f t="shared" si="89"/>
        <v>10000</v>
      </c>
      <c r="AS117" s="114">
        <f t="shared" si="89"/>
        <v>10000</v>
      </c>
      <c r="AT117" s="114">
        <f t="shared" si="89"/>
        <v>10000</v>
      </c>
      <c r="AU117" s="114">
        <f t="shared" si="89"/>
        <v>10000</v>
      </c>
      <c r="AV117" s="114">
        <f t="shared" si="89"/>
        <v>10000</v>
      </c>
      <c r="AW117" s="114">
        <f t="shared" si="89"/>
        <v>10000</v>
      </c>
      <c r="AX117" s="114">
        <f t="shared" si="89"/>
        <v>10000</v>
      </c>
      <c r="AY117" s="114">
        <f t="shared" si="89"/>
        <v>10000</v>
      </c>
      <c r="AZ117" s="114">
        <f t="shared" si="89"/>
        <v>10000</v>
      </c>
      <c r="BA117" s="114">
        <f t="shared" si="89"/>
        <v>10000</v>
      </c>
      <c r="BB117" s="114">
        <f t="shared" si="89"/>
        <v>10000</v>
      </c>
      <c r="BC117" s="114">
        <v>10000.0</v>
      </c>
      <c r="BD117" s="114">
        <v>10000.0</v>
      </c>
      <c r="BE117" s="114">
        <v>10000.0</v>
      </c>
      <c r="BF117" s="114">
        <v>10000.0</v>
      </c>
      <c r="BG117" s="114">
        <v>10000.0</v>
      </c>
      <c r="BH117" s="114">
        <v>10000.0</v>
      </c>
      <c r="BI117" s="114">
        <v>10000.0</v>
      </c>
      <c r="BJ117" s="114">
        <v>10000.0</v>
      </c>
      <c r="BK117" s="114">
        <v>10000.0</v>
      </c>
      <c r="BL117" s="114">
        <v>10000.0</v>
      </c>
      <c r="BM117" s="114">
        <v>10000.0</v>
      </c>
      <c r="BN117" s="114">
        <v>10000.0</v>
      </c>
    </row>
    <row r="118" hidden="1" outlineLevel="1">
      <c r="A118" s="47"/>
      <c r="B118" s="121" t="s">
        <v>70</v>
      </c>
      <c r="C118" s="118">
        <v>75000.0</v>
      </c>
      <c r="D118" s="119">
        <v>0.2</v>
      </c>
      <c r="E118" s="120">
        <v>43983.0</v>
      </c>
      <c r="F118" s="114"/>
      <c r="G118" s="114">
        <f t="shared" ref="G118:BB118" si="90">IF(G$4&gt;=$E118,($C118/12)*(1+$D118),0)</f>
        <v>7500</v>
      </c>
      <c r="H118" s="114">
        <f t="shared" si="90"/>
        <v>7500</v>
      </c>
      <c r="I118" s="114">
        <f t="shared" si="90"/>
        <v>7500</v>
      </c>
      <c r="J118" s="114">
        <f t="shared" si="90"/>
        <v>7500</v>
      </c>
      <c r="K118" s="114">
        <f t="shared" si="90"/>
        <v>7500</v>
      </c>
      <c r="L118" s="114">
        <f t="shared" si="90"/>
        <v>7500</v>
      </c>
      <c r="M118" s="114">
        <f t="shared" si="90"/>
        <v>7500</v>
      </c>
      <c r="N118" s="114">
        <f t="shared" si="90"/>
        <v>7500</v>
      </c>
      <c r="O118" s="114">
        <f t="shared" si="90"/>
        <v>7500</v>
      </c>
      <c r="P118" s="114">
        <f t="shared" si="90"/>
        <v>7500</v>
      </c>
      <c r="Q118" s="114">
        <f t="shared" si="90"/>
        <v>7500</v>
      </c>
      <c r="R118" s="114">
        <f t="shared" si="90"/>
        <v>7500</v>
      </c>
      <c r="S118" s="114">
        <f t="shared" si="90"/>
        <v>7500</v>
      </c>
      <c r="T118" s="114">
        <f t="shared" si="90"/>
        <v>7500</v>
      </c>
      <c r="U118" s="114">
        <f t="shared" si="90"/>
        <v>7500</v>
      </c>
      <c r="V118" s="114">
        <f t="shared" si="90"/>
        <v>7500</v>
      </c>
      <c r="W118" s="114">
        <f t="shared" si="90"/>
        <v>7500</v>
      </c>
      <c r="X118" s="114">
        <f t="shared" si="90"/>
        <v>7500</v>
      </c>
      <c r="Y118" s="114">
        <f t="shared" si="90"/>
        <v>7500</v>
      </c>
      <c r="Z118" s="114">
        <f t="shared" si="90"/>
        <v>7500</v>
      </c>
      <c r="AA118" s="114">
        <f t="shared" si="90"/>
        <v>7500</v>
      </c>
      <c r="AB118" s="114">
        <f t="shared" si="90"/>
        <v>7500</v>
      </c>
      <c r="AC118" s="114">
        <f t="shared" si="90"/>
        <v>7500</v>
      </c>
      <c r="AD118" s="114">
        <f t="shared" si="90"/>
        <v>7500</v>
      </c>
      <c r="AE118" s="114">
        <f t="shared" si="90"/>
        <v>7500</v>
      </c>
      <c r="AF118" s="114">
        <f t="shared" si="90"/>
        <v>7500</v>
      </c>
      <c r="AG118" s="114">
        <f t="shared" si="90"/>
        <v>7500</v>
      </c>
      <c r="AH118" s="114">
        <f t="shared" si="90"/>
        <v>7500</v>
      </c>
      <c r="AI118" s="114">
        <f t="shared" si="90"/>
        <v>7500</v>
      </c>
      <c r="AJ118" s="114">
        <f t="shared" si="90"/>
        <v>7500</v>
      </c>
      <c r="AK118" s="114">
        <f t="shared" si="90"/>
        <v>7500</v>
      </c>
      <c r="AL118" s="114">
        <f t="shared" si="90"/>
        <v>7500</v>
      </c>
      <c r="AM118" s="114">
        <f t="shared" si="90"/>
        <v>7500</v>
      </c>
      <c r="AN118" s="114">
        <f t="shared" si="90"/>
        <v>7500</v>
      </c>
      <c r="AO118" s="114">
        <f t="shared" si="90"/>
        <v>7500</v>
      </c>
      <c r="AP118" s="114">
        <f t="shared" si="90"/>
        <v>7500</v>
      </c>
      <c r="AQ118" s="114">
        <f t="shared" si="90"/>
        <v>7500</v>
      </c>
      <c r="AR118" s="114">
        <f t="shared" si="90"/>
        <v>7500</v>
      </c>
      <c r="AS118" s="114">
        <f t="shared" si="90"/>
        <v>7500</v>
      </c>
      <c r="AT118" s="114">
        <f t="shared" si="90"/>
        <v>7500</v>
      </c>
      <c r="AU118" s="114">
        <f t="shared" si="90"/>
        <v>7500</v>
      </c>
      <c r="AV118" s="114">
        <f t="shared" si="90"/>
        <v>7500</v>
      </c>
      <c r="AW118" s="114">
        <f t="shared" si="90"/>
        <v>7500</v>
      </c>
      <c r="AX118" s="114">
        <f t="shared" si="90"/>
        <v>7500</v>
      </c>
      <c r="AY118" s="114">
        <f t="shared" si="90"/>
        <v>7500</v>
      </c>
      <c r="AZ118" s="114">
        <f t="shared" si="90"/>
        <v>7500</v>
      </c>
      <c r="BA118" s="114">
        <f t="shared" si="90"/>
        <v>7500</v>
      </c>
      <c r="BB118" s="114">
        <f t="shared" si="90"/>
        <v>7500</v>
      </c>
      <c r="BC118" s="114">
        <v>7500.0</v>
      </c>
      <c r="BD118" s="114">
        <v>7500.0</v>
      </c>
      <c r="BE118" s="114">
        <v>7500.0</v>
      </c>
      <c r="BF118" s="114">
        <v>7500.0</v>
      </c>
      <c r="BG118" s="114">
        <v>7500.0</v>
      </c>
      <c r="BH118" s="114">
        <v>7500.0</v>
      </c>
      <c r="BI118" s="114">
        <v>7500.0</v>
      </c>
      <c r="BJ118" s="114">
        <v>7500.0</v>
      </c>
      <c r="BK118" s="114">
        <v>7500.0</v>
      </c>
      <c r="BL118" s="114">
        <v>7500.0</v>
      </c>
      <c r="BM118" s="114">
        <v>7500.0</v>
      </c>
      <c r="BN118" s="114">
        <v>7500.0</v>
      </c>
    </row>
    <row r="119" hidden="1" outlineLevel="1">
      <c r="A119" s="47"/>
      <c r="B119" s="121" t="s">
        <v>71</v>
      </c>
      <c r="C119" s="118">
        <v>50000.0</v>
      </c>
      <c r="D119" s="119">
        <v>0.2</v>
      </c>
      <c r="E119" s="120">
        <v>44075.0</v>
      </c>
      <c r="F119" s="114"/>
      <c r="G119" s="114">
        <f t="shared" ref="G119:BB119" si="91">IF(G$4&gt;=$E119,($C119/12)*(1+$D119),0)</f>
        <v>5000</v>
      </c>
      <c r="H119" s="114">
        <f t="shared" si="91"/>
        <v>5000</v>
      </c>
      <c r="I119" s="114">
        <f t="shared" si="91"/>
        <v>5000</v>
      </c>
      <c r="J119" s="114">
        <f t="shared" si="91"/>
        <v>5000</v>
      </c>
      <c r="K119" s="114">
        <f t="shared" si="91"/>
        <v>5000</v>
      </c>
      <c r="L119" s="114">
        <f t="shared" si="91"/>
        <v>5000</v>
      </c>
      <c r="M119" s="114">
        <f t="shared" si="91"/>
        <v>5000</v>
      </c>
      <c r="N119" s="114">
        <f t="shared" si="91"/>
        <v>5000</v>
      </c>
      <c r="O119" s="114">
        <f t="shared" si="91"/>
        <v>5000</v>
      </c>
      <c r="P119" s="114">
        <f t="shared" si="91"/>
        <v>5000</v>
      </c>
      <c r="Q119" s="114">
        <f t="shared" si="91"/>
        <v>5000</v>
      </c>
      <c r="R119" s="114">
        <f t="shared" si="91"/>
        <v>5000</v>
      </c>
      <c r="S119" s="114">
        <f t="shared" si="91"/>
        <v>5000</v>
      </c>
      <c r="T119" s="114">
        <f t="shared" si="91"/>
        <v>5000</v>
      </c>
      <c r="U119" s="114">
        <f t="shared" si="91"/>
        <v>5000</v>
      </c>
      <c r="V119" s="114">
        <f t="shared" si="91"/>
        <v>5000</v>
      </c>
      <c r="W119" s="114">
        <f t="shared" si="91"/>
        <v>5000</v>
      </c>
      <c r="X119" s="114">
        <f t="shared" si="91"/>
        <v>5000</v>
      </c>
      <c r="Y119" s="114">
        <f t="shared" si="91"/>
        <v>5000</v>
      </c>
      <c r="Z119" s="114">
        <f t="shared" si="91"/>
        <v>5000</v>
      </c>
      <c r="AA119" s="114">
        <f t="shared" si="91"/>
        <v>5000</v>
      </c>
      <c r="AB119" s="114">
        <f t="shared" si="91"/>
        <v>5000</v>
      </c>
      <c r="AC119" s="114">
        <f t="shared" si="91"/>
        <v>5000</v>
      </c>
      <c r="AD119" s="114">
        <f t="shared" si="91"/>
        <v>5000</v>
      </c>
      <c r="AE119" s="114">
        <f t="shared" si="91"/>
        <v>5000</v>
      </c>
      <c r="AF119" s="114">
        <f t="shared" si="91"/>
        <v>5000</v>
      </c>
      <c r="AG119" s="114">
        <f t="shared" si="91"/>
        <v>5000</v>
      </c>
      <c r="AH119" s="114">
        <f t="shared" si="91"/>
        <v>5000</v>
      </c>
      <c r="AI119" s="114">
        <f t="shared" si="91"/>
        <v>5000</v>
      </c>
      <c r="AJ119" s="114">
        <f t="shared" si="91"/>
        <v>5000</v>
      </c>
      <c r="AK119" s="114">
        <f t="shared" si="91"/>
        <v>5000</v>
      </c>
      <c r="AL119" s="114">
        <f t="shared" si="91"/>
        <v>5000</v>
      </c>
      <c r="AM119" s="114">
        <f t="shared" si="91"/>
        <v>5000</v>
      </c>
      <c r="AN119" s="114">
        <f t="shared" si="91"/>
        <v>5000</v>
      </c>
      <c r="AO119" s="114">
        <f t="shared" si="91"/>
        <v>5000</v>
      </c>
      <c r="AP119" s="114">
        <f t="shared" si="91"/>
        <v>5000</v>
      </c>
      <c r="AQ119" s="114">
        <f t="shared" si="91"/>
        <v>5000</v>
      </c>
      <c r="AR119" s="114">
        <f t="shared" si="91"/>
        <v>5000</v>
      </c>
      <c r="AS119" s="114">
        <f t="shared" si="91"/>
        <v>5000</v>
      </c>
      <c r="AT119" s="114">
        <f t="shared" si="91"/>
        <v>5000</v>
      </c>
      <c r="AU119" s="114">
        <f t="shared" si="91"/>
        <v>5000</v>
      </c>
      <c r="AV119" s="114">
        <f t="shared" si="91"/>
        <v>5000</v>
      </c>
      <c r="AW119" s="114">
        <f t="shared" si="91"/>
        <v>5000</v>
      </c>
      <c r="AX119" s="114">
        <f t="shared" si="91"/>
        <v>5000</v>
      </c>
      <c r="AY119" s="114">
        <f t="shared" si="91"/>
        <v>5000</v>
      </c>
      <c r="AZ119" s="114">
        <f t="shared" si="91"/>
        <v>5000</v>
      </c>
      <c r="BA119" s="114">
        <f t="shared" si="91"/>
        <v>5000</v>
      </c>
      <c r="BB119" s="114">
        <f t="shared" si="91"/>
        <v>5000</v>
      </c>
      <c r="BC119" s="114">
        <v>5000.0</v>
      </c>
      <c r="BD119" s="114">
        <v>5000.0</v>
      </c>
      <c r="BE119" s="114">
        <v>5000.0</v>
      </c>
      <c r="BF119" s="114">
        <v>5000.0</v>
      </c>
      <c r="BG119" s="114">
        <v>5000.0</v>
      </c>
      <c r="BH119" s="114">
        <v>5000.0</v>
      </c>
      <c r="BI119" s="114">
        <v>5000.0</v>
      </c>
      <c r="BJ119" s="114">
        <v>5000.0</v>
      </c>
      <c r="BK119" s="114">
        <v>5000.0</v>
      </c>
      <c r="BL119" s="114">
        <v>5000.0</v>
      </c>
      <c r="BM119" s="114">
        <v>5000.0</v>
      </c>
      <c r="BN119" s="114">
        <v>5000.0</v>
      </c>
    </row>
    <row r="120" hidden="1" outlineLevel="1">
      <c r="A120" s="47"/>
      <c r="B120" s="121" t="s">
        <v>72</v>
      </c>
      <c r="C120" s="118">
        <v>80000.0</v>
      </c>
      <c r="D120" s="119">
        <v>0.2</v>
      </c>
      <c r="E120" s="120">
        <v>44166.0</v>
      </c>
      <c r="F120" s="114"/>
      <c r="G120" s="114">
        <f t="shared" ref="G120:BB120" si="92">IF(G$4&gt;=$E120,($C120/12)*(1+$D120),0)</f>
        <v>8000</v>
      </c>
      <c r="H120" s="114">
        <f t="shared" si="92"/>
        <v>8000</v>
      </c>
      <c r="I120" s="114">
        <f t="shared" si="92"/>
        <v>8000</v>
      </c>
      <c r="J120" s="114">
        <f t="shared" si="92"/>
        <v>8000</v>
      </c>
      <c r="K120" s="114">
        <f t="shared" si="92"/>
        <v>8000</v>
      </c>
      <c r="L120" s="114">
        <f t="shared" si="92"/>
        <v>8000</v>
      </c>
      <c r="M120" s="114">
        <f t="shared" si="92"/>
        <v>8000</v>
      </c>
      <c r="N120" s="114">
        <f t="shared" si="92"/>
        <v>8000</v>
      </c>
      <c r="O120" s="114">
        <f t="shared" si="92"/>
        <v>8000</v>
      </c>
      <c r="P120" s="114">
        <f t="shared" si="92"/>
        <v>8000</v>
      </c>
      <c r="Q120" s="114">
        <f t="shared" si="92"/>
        <v>8000</v>
      </c>
      <c r="R120" s="114">
        <f t="shared" si="92"/>
        <v>8000</v>
      </c>
      <c r="S120" s="114">
        <f t="shared" si="92"/>
        <v>8000</v>
      </c>
      <c r="T120" s="114">
        <f t="shared" si="92"/>
        <v>8000</v>
      </c>
      <c r="U120" s="114">
        <f t="shared" si="92"/>
        <v>8000</v>
      </c>
      <c r="V120" s="114">
        <f t="shared" si="92"/>
        <v>8000</v>
      </c>
      <c r="W120" s="114">
        <f t="shared" si="92"/>
        <v>8000</v>
      </c>
      <c r="X120" s="114">
        <f t="shared" si="92"/>
        <v>8000</v>
      </c>
      <c r="Y120" s="114">
        <f t="shared" si="92"/>
        <v>8000</v>
      </c>
      <c r="Z120" s="114">
        <f t="shared" si="92"/>
        <v>8000</v>
      </c>
      <c r="AA120" s="114">
        <f t="shared" si="92"/>
        <v>8000</v>
      </c>
      <c r="AB120" s="114">
        <f t="shared" si="92"/>
        <v>8000</v>
      </c>
      <c r="AC120" s="114">
        <f t="shared" si="92"/>
        <v>8000</v>
      </c>
      <c r="AD120" s="114">
        <f t="shared" si="92"/>
        <v>8000</v>
      </c>
      <c r="AE120" s="114">
        <f t="shared" si="92"/>
        <v>8000</v>
      </c>
      <c r="AF120" s="114">
        <f t="shared" si="92"/>
        <v>8000</v>
      </c>
      <c r="AG120" s="114">
        <f t="shared" si="92"/>
        <v>8000</v>
      </c>
      <c r="AH120" s="114">
        <f t="shared" si="92"/>
        <v>8000</v>
      </c>
      <c r="AI120" s="114">
        <f t="shared" si="92"/>
        <v>8000</v>
      </c>
      <c r="AJ120" s="114">
        <f t="shared" si="92"/>
        <v>8000</v>
      </c>
      <c r="AK120" s="114">
        <f t="shared" si="92"/>
        <v>8000</v>
      </c>
      <c r="AL120" s="114">
        <f t="shared" si="92"/>
        <v>8000</v>
      </c>
      <c r="AM120" s="114">
        <f t="shared" si="92"/>
        <v>8000</v>
      </c>
      <c r="AN120" s="114">
        <f t="shared" si="92"/>
        <v>8000</v>
      </c>
      <c r="AO120" s="114">
        <f t="shared" si="92"/>
        <v>8000</v>
      </c>
      <c r="AP120" s="114">
        <f t="shared" si="92"/>
        <v>8000</v>
      </c>
      <c r="AQ120" s="114">
        <f t="shared" si="92"/>
        <v>8000</v>
      </c>
      <c r="AR120" s="114">
        <f t="shared" si="92"/>
        <v>8000</v>
      </c>
      <c r="AS120" s="114">
        <f t="shared" si="92"/>
        <v>8000</v>
      </c>
      <c r="AT120" s="114">
        <f t="shared" si="92"/>
        <v>8000</v>
      </c>
      <c r="AU120" s="114">
        <f t="shared" si="92"/>
        <v>8000</v>
      </c>
      <c r="AV120" s="114">
        <f t="shared" si="92"/>
        <v>8000</v>
      </c>
      <c r="AW120" s="114">
        <f t="shared" si="92"/>
        <v>8000</v>
      </c>
      <c r="AX120" s="114">
        <f t="shared" si="92"/>
        <v>8000</v>
      </c>
      <c r="AY120" s="114">
        <f t="shared" si="92"/>
        <v>8000</v>
      </c>
      <c r="AZ120" s="114">
        <f t="shared" si="92"/>
        <v>8000</v>
      </c>
      <c r="BA120" s="114">
        <f t="shared" si="92"/>
        <v>8000</v>
      </c>
      <c r="BB120" s="114">
        <f t="shared" si="92"/>
        <v>8000</v>
      </c>
      <c r="BC120" s="114">
        <v>8000.0</v>
      </c>
      <c r="BD120" s="114">
        <v>8000.0</v>
      </c>
      <c r="BE120" s="114">
        <v>8000.0</v>
      </c>
      <c r="BF120" s="114">
        <v>8000.0</v>
      </c>
      <c r="BG120" s="114">
        <v>8000.0</v>
      </c>
      <c r="BH120" s="114">
        <v>8000.0</v>
      </c>
      <c r="BI120" s="114">
        <v>8000.0</v>
      </c>
      <c r="BJ120" s="114">
        <v>8000.0</v>
      </c>
      <c r="BK120" s="114">
        <v>8000.0</v>
      </c>
      <c r="BL120" s="114">
        <v>8000.0</v>
      </c>
      <c r="BM120" s="114">
        <v>8000.0</v>
      </c>
      <c r="BN120" s="114">
        <v>8000.0</v>
      </c>
    </row>
    <row r="121" hidden="1" outlineLevel="1">
      <c r="A121" s="47"/>
      <c r="B121" s="121" t="s">
        <v>73</v>
      </c>
      <c r="C121" s="118">
        <v>90000.0</v>
      </c>
      <c r="D121" s="119">
        <v>0.2</v>
      </c>
      <c r="E121" s="120">
        <v>44256.0</v>
      </c>
      <c r="F121" s="114"/>
      <c r="G121" s="114">
        <f t="shared" ref="G121:BB121" si="93">IF(G$4&gt;=$E121,($C121/12)*(1+$D121),0)</f>
        <v>9000</v>
      </c>
      <c r="H121" s="114">
        <f t="shared" si="93"/>
        <v>9000</v>
      </c>
      <c r="I121" s="114">
        <f t="shared" si="93"/>
        <v>9000</v>
      </c>
      <c r="J121" s="114">
        <f t="shared" si="93"/>
        <v>9000</v>
      </c>
      <c r="K121" s="114">
        <f t="shared" si="93"/>
        <v>9000</v>
      </c>
      <c r="L121" s="114">
        <f t="shared" si="93"/>
        <v>9000</v>
      </c>
      <c r="M121" s="114">
        <f t="shared" si="93"/>
        <v>9000</v>
      </c>
      <c r="N121" s="114">
        <f t="shared" si="93"/>
        <v>9000</v>
      </c>
      <c r="O121" s="114">
        <f t="shared" si="93"/>
        <v>9000</v>
      </c>
      <c r="P121" s="114">
        <f t="shared" si="93"/>
        <v>9000</v>
      </c>
      <c r="Q121" s="114">
        <f t="shared" si="93"/>
        <v>9000</v>
      </c>
      <c r="R121" s="114">
        <f t="shared" si="93"/>
        <v>9000</v>
      </c>
      <c r="S121" s="114">
        <f t="shared" si="93"/>
        <v>9000</v>
      </c>
      <c r="T121" s="114">
        <f t="shared" si="93"/>
        <v>9000</v>
      </c>
      <c r="U121" s="114">
        <f t="shared" si="93"/>
        <v>9000</v>
      </c>
      <c r="V121" s="114">
        <f t="shared" si="93"/>
        <v>9000</v>
      </c>
      <c r="W121" s="114">
        <f t="shared" si="93"/>
        <v>9000</v>
      </c>
      <c r="X121" s="114">
        <f t="shared" si="93"/>
        <v>9000</v>
      </c>
      <c r="Y121" s="114">
        <f t="shared" si="93"/>
        <v>9000</v>
      </c>
      <c r="Z121" s="114">
        <f t="shared" si="93"/>
        <v>9000</v>
      </c>
      <c r="AA121" s="114">
        <f t="shared" si="93"/>
        <v>9000</v>
      </c>
      <c r="AB121" s="114">
        <f t="shared" si="93"/>
        <v>9000</v>
      </c>
      <c r="AC121" s="114">
        <f t="shared" si="93"/>
        <v>9000</v>
      </c>
      <c r="AD121" s="114">
        <f t="shared" si="93"/>
        <v>9000</v>
      </c>
      <c r="AE121" s="114">
        <f t="shared" si="93"/>
        <v>9000</v>
      </c>
      <c r="AF121" s="114">
        <f t="shared" si="93"/>
        <v>9000</v>
      </c>
      <c r="AG121" s="114">
        <f t="shared" si="93"/>
        <v>9000</v>
      </c>
      <c r="AH121" s="114">
        <f t="shared" si="93"/>
        <v>9000</v>
      </c>
      <c r="AI121" s="114">
        <f t="shared" si="93"/>
        <v>9000</v>
      </c>
      <c r="AJ121" s="114">
        <f t="shared" si="93"/>
        <v>9000</v>
      </c>
      <c r="AK121" s="114">
        <f t="shared" si="93"/>
        <v>9000</v>
      </c>
      <c r="AL121" s="114">
        <f t="shared" si="93"/>
        <v>9000</v>
      </c>
      <c r="AM121" s="114">
        <f t="shared" si="93"/>
        <v>9000</v>
      </c>
      <c r="AN121" s="114">
        <f t="shared" si="93"/>
        <v>9000</v>
      </c>
      <c r="AO121" s="114">
        <f t="shared" si="93"/>
        <v>9000</v>
      </c>
      <c r="AP121" s="114">
        <f t="shared" si="93"/>
        <v>9000</v>
      </c>
      <c r="AQ121" s="114">
        <f t="shared" si="93"/>
        <v>9000</v>
      </c>
      <c r="AR121" s="114">
        <f t="shared" si="93"/>
        <v>9000</v>
      </c>
      <c r="AS121" s="114">
        <f t="shared" si="93"/>
        <v>9000</v>
      </c>
      <c r="AT121" s="114">
        <f t="shared" si="93"/>
        <v>9000</v>
      </c>
      <c r="AU121" s="114">
        <f t="shared" si="93"/>
        <v>9000</v>
      </c>
      <c r="AV121" s="114">
        <f t="shared" si="93"/>
        <v>9000</v>
      </c>
      <c r="AW121" s="114">
        <f t="shared" si="93"/>
        <v>9000</v>
      </c>
      <c r="AX121" s="114">
        <f t="shared" si="93"/>
        <v>9000</v>
      </c>
      <c r="AY121" s="114">
        <f t="shared" si="93"/>
        <v>9000</v>
      </c>
      <c r="AZ121" s="114">
        <f t="shared" si="93"/>
        <v>9000</v>
      </c>
      <c r="BA121" s="114">
        <f t="shared" si="93"/>
        <v>9000</v>
      </c>
      <c r="BB121" s="114">
        <f t="shared" si="93"/>
        <v>9000</v>
      </c>
      <c r="BC121" s="114">
        <v>9000.0</v>
      </c>
      <c r="BD121" s="114">
        <v>9000.0</v>
      </c>
      <c r="BE121" s="114">
        <v>9000.0</v>
      </c>
      <c r="BF121" s="114">
        <v>9000.0</v>
      </c>
      <c r="BG121" s="114">
        <v>9000.0</v>
      </c>
      <c r="BH121" s="114">
        <v>9000.0</v>
      </c>
      <c r="BI121" s="114">
        <v>9000.0</v>
      </c>
      <c r="BJ121" s="114">
        <v>9000.0</v>
      </c>
      <c r="BK121" s="114">
        <v>9000.0</v>
      </c>
      <c r="BL121" s="114">
        <v>9000.0</v>
      </c>
      <c r="BM121" s="114">
        <v>9000.0</v>
      </c>
      <c r="BN121" s="114">
        <v>9000.0</v>
      </c>
    </row>
    <row r="122" hidden="1" outlineLevel="1">
      <c r="A122" s="47"/>
      <c r="B122" s="121" t="s">
        <v>74</v>
      </c>
      <c r="C122" s="118">
        <v>45000.0</v>
      </c>
      <c r="D122" s="119">
        <v>0.2</v>
      </c>
      <c r="E122" s="120">
        <v>44348.0</v>
      </c>
      <c r="F122" s="114"/>
      <c r="G122" s="114">
        <f t="shared" ref="G122:BB122" si="94">IF(G$4&gt;=$E122,($C122/12)*(1+$D122),0)</f>
        <v>4500</v>
      </c>
      <c r="H122" s="114">
        <f t="shared" si="94"/>
        <v>4500</v>
      </c>
      <c r="I122" s="114">
        <f t="shared" si="94"/>
        <v>4500</v>
      </c>
      <c r="J122" s="114">
        <f t="shared" si="94"/>
        <v>4500</v>
      </c>
      <c r="K122" s="114">
        <f t="shared" si="94"/>
        <v>4500</v>
      </c>
      <c r="L122" s="114">
        <f t="shared" si="94"/>
        <v>4500</v>
      </c>
      <c r="M122" s="114">
        <f t="shared" si="94"/>
        <v>4500</v>
      </c>
      <c r="N122" s="114">
        <f t="shared" si="94"/>
        <v>4500</v>
      </c>
      <c r="O122" s="114">
        <f t="shared" si="94"/>
        <v>4500</v>
      </c>
      <c r="P122" s="114">
        <f t="shared" si="94"/>
        <v>4500</v>
      </c>
      <c r="Q122" s="114">
        <f t="shared" si="94"/>
        <v>4500</v>
      </c>
      <c r="R122" s="114">
        <f t="shared" si="94"/>
        <v>4500</v>
      </c>
      <c r="S122" s="114">
        <f t="shared" si="94"/>
        <v>4500</v>
      </c>
      <c r="T122" s="114">
        <f t="shared" si="94"/>
        <v>4500</v>
      </c>
      <c r="U122" s="114">
        <f t="shared" si="94"/>
        <v>4500</v>
      </c>
      <c r="V122" s="114">
        <f t="shared" si="94"/>
        <v>4500</v>
      </c>
      <c r="W122" s="114">
        <f t="shared" si="94"/>
        <v>4500</v>
      </c>
      <c r="X122" s="114">
        <f t="shared" si="94"/>
        <v>4500</v>
      </c>
      <c r="Y122" s="114">
        <f t="shared" si="94"/>
        <v>4500</v>
      </c>
      <c r="Z122" s="114">
        <f t="shared" si="94"/>
        <v>4500</v>
      </c>
      <c r="AA122" s="114">
        <f t="shared" si="94"/>
        <v>4500</v>
      </c>
      <c r="AB122" s="114">
        <f t="shared" si="94"/>
        <v>4500</v>
      </c>
      <c r="AC122" s="114">
        <f t="shared" si="94"/>
        <v>4500</v>
      </c>
      <c r="AD122" s="114">
        <f t="shared" si="94"/>
        <v>4500</v>
      </c>
      <c r="AE122" s="114">
        <f t="shared" si="94"/>
        <v>4500</v>
      </c>
      <c r="AF122" s="114">
        <f t="shared" si="94"/>
        <v>4500</v>
      </c>
      <c r="AG122" s="114">
        <f t="shared" si="94"/>
        <v>4500</v>
      </c>
      <c r="AH122" s="114">
        <f t="shared" si="94"/>
        <v>4500</v>
      </c>
      <c r="AI122" s="114">
        <f t="shared" si="94"/>
        <v>4500</v>
      </c>
      <c r="AJ122" s="114">
        <f t="shared" si="94"/>
        <v>4500</v>
      </c>
      <c r="AK122" s="114">
        <f t="shared" si="94"/>
        <v>4500</v>
      </c>
      <c r="AL122" s="114">
        <f t="shared" si="94"/>
        <v>4500</v>
      </c>
      <c r="AM122" s="114">
        <f t="shared" si="94"/>
        <v>4500</v>
      </c>
      <c r="AN122" s="114">
        <f t="shared" si="94"/>
        <v>4500</v>
      </c>
      <c r="AO122" s="114">
        <f t="shared" si="94"/>
        <v>4500</v>
      </c>
      <c r="AP122" s="114">
        <f t="shared" si="94"/>
        <v>4500</v>
      </c>
      <c r="AQ122" s="114">
        <f t="shared" si="94"/>
        <v>4500</v>
      </c>
      <c r="AR122" s="114">
        <f t="shared" si="94"/>
        <v>4500</v>
      </c>
      <c r="AS122" s="114">
        <f t="shared" si="94"/>
        <v>4500</v>
      </c>
      <c r="AT122" s="114">
        <f t="shared" si="94"/>
        <v>4500</v>
      </c>
      <c r="AU122" s="114">
        <f t="shared" si="94"/>
        <v>4500</v>
      </c>
      <c r="AV122" s="114">
        <f t="shared" si="94"/>
        <v>4500</v>
      </c>
      <c r="AW122" s="114">
        <f t="shared" si="94"/>
        <v>4500</v>
      </c>
      <c r="AX122" s="114">
        <f t="shared" si="94"/>
        <v>4500</v>
      </c>
      <c r="AY122" s="114">
        <f t="shared" si="94"/>
        <v>4500</v>
      </c>
      <c r="AZ122" s="114">
        <f t="shared" si="94"/>
        <v>4500</v>
      </c>
      <c r="BA122" s="114">
        <f t="shared" si="94"/>
        <v>4500</v>
      </c>
      <c r="BB122" s="114">
        <f t="shared" si="94"/>
        <v>4500</v>
      </c>
      <c r="BC122" s="114">
        <v>4500.0</v>
      </c>
      <c r="BD122" s="114">
        <v>4500.0</v>
      </c>
      <c r="BE122" s="114">
        <v>4500.0</v>
      </c>
      <c r="BF122" s="114">
        <v>4500.0</v>
      </c>
      <c r="BG122" s="114">
        <v>4500.0</v>
      </c>
      <c r="BH122" s="114">
        <v>4500.0</v>
      </c>
      <c r="BI122" s="114">
        <v>4500.0</v>
      </c>
      <c r="BJ122" s="114">
        <v>4500.0</v>
      </c>
      <c r="BK122" s="114">
        <v>4500.0</v>
      </c>
      <c r="BL122" s="114">
        <v>4500.0</v>
      </c>
      <c r="BM122" s="114">
        <v>4500.0</v>
      </c>
      <c r="BN122" s="114">
        <v>4500.0</v>
      </c>
    </row>
    <row r="123" hidden="1" outlineLevel="1">
      <c r="A123" s="47"/>
      <c r="B123" s="121" t="s">
        <v>75</v>
      </c>
      <c r="C123" s="118">
        <v>100000.0</v>
      </c>
      <c r="D123" s="119">
        <v>0.2</v>
      </c>
      <c r="E123" s="120">
        <v>43831.0</v>
      </c>
      <c r="F123" s="114"/>
      <c r="G123" s="114">
        <f t="shared" ref="G123:BN123" si="95">IF(G$4&gt;=$E123,($C123/12)*(1+$D123),0)</f>
        <v>10000</v>
      </c>
      <c r="H123" s="114">
        <f t="shared" si="95"/>
        <v>10000</v>
      </c>
      <c r="I123" s="114">
        <f t="shared" si="95"/>
        <v>10000</v>
      </c>
      <c r="J123" s="114">
        <f t="shared" si="95"/>
        <v>10000</v>
      </c>
      <c r="K123" s="114">
        <f t="shared" si="95"/>
        <v>10000</v>
      </c>
      <c r="L123" s="114">
        <f t="shared" si="95"/>
        <v>10000</v>
      </c>
      <c r="M123" s="114">
        <f t="shared" si="95"/>
        <v>10000</v>
      </c>
      <c r="N123" s="114">
        <f t="shared" si="95"/>
        <v>10000</v>
      </c>
      <c r="O123" s="114">
        <f t="shared" si="95"/>
        <v>10000</v>
      </c>
      <c r="P123" s="114">
        <f t="shared" si="95"/>
        <v>10000</v>
      </c>
      <c r="Q123" s="114">
        <f t="shared" si="95"/>
        <v>10000</v>
      </c>
      <c r="R123" s="114">
        <f t="shared" si="95"/>
        <v>10000</v>
      </c>
      <c r="S123" s="114">
        <f t="shared" si="95"/>
        <v>10000</v>
      </c>
      <c r="T123" s="114">
        <f t="shared" si="95"/>
        <v>10000</v>
      </c>
      <c r="U123" s="114">
        <f t="shared" si="95"/>
        <v>10000</v>
      </c>
      <c r="V123" s="114">
        <f t="shared" si="95"/>
        <v>10000</v>
      </c>
      <c r="W123" s="114">
        <f t="shared" si="95"/>
        <v>10000</v>
      </c>
      <c r="X123" s="114">
        <f t="shared" si="95"/>
        <v>10000</v>
      </c>
      <c r="Y123" s="114">
        <f t="shared" si="95"/>
        <v>10000</v>
      </c>
      <c r="Z123" s="114">
        <f t="shared" si="95"/>
        <v>10000</v>
      </c>
      <c r="AA123" s="114">
        <f t="shared" si="95"/>
        <v>10000</v>
      </c>
      <c r="AB123" s="114">
        <f t="shared" si="95"/>
        <v>10000</v>
      </c>
      <c r="AC123" s="114">
        <f t="shared" si="95"/>
        <v>10000</v>
      </c>
      <c r="AD123" s="114">
        <f t="shared" si="95"/>
        <v>10000</v>
      </c>
      <c r="AE123" s="114">
        <f t="shared" si="95"/>
        <v>10000</v>
      </c>
      <c r="AF123" s="114">
        <f t="shared" si="95"/>
        <v>10000</v>
      </c>
      <c r="AG123" s="114">
        <f t="shared" si="95"/>
        <v>10000</v>
      </c>
      <c r="AH123" s="114">
        <f t="shared" si="95"/>
        <v>10000</v>
      </c>
      <c r="AI123" s="114">
        <f t="shared" si="95"/>
        <v>10000</v>
      </c>
      <c r="AJ123" s="114">
        <f t="shared" si="95"/>
        <v>10000</v>
      </c>
      <c r="AK123" s="114">
        <f t="shared" si="95"/>
        <v>10000</v>
      </c>
      <c r="AL123" s="114">
        <f t="shared" si="95"/>
        <v>10000</v>
      </c>
      <c r="AM123" s="114">
        <f t="shared" si="95"/>
        <v>10000</v>
      </c>
      <c r="AN123" s="114">
        <f t="shared" si="95"/>
        <v>10000</v>
      </c>
      <c r="AO123" s="114">
        <f t="shared" si="95"/>
        <v>10000</v>
      </c>
      <c r="AP123" s="114">
        <f t="shared" si="95"/>
        <v>10000</v>
      </c>
      <c r="AQ123" s="114">
        <f t="shared" si="95"/>
        <v>10000</v>
      </c>
      <c r="AR123" s="114">
        <f t="shared" si="95"/>
        <v>10000</v>
      </c>
      <c r="AS123" s="114">
        <f t="shared" si="95"/>
        <v>10000</v>
      </c>
      <c r="AT123" s="114">
        <f t="shared" si="95"/>
        <v>10000</v>
      </c>
      <c r="AU123" s="114">
        <f t="shared" si="95"/>
        <v>10000</v>
      </c>
      <c r="AV123" s="114">
        <f t="shared" si="95"/>
        <v>10000</v>
      </c>
      <c r="AW123" s="114">
        <f t="shared" si="95"/>
        <v>10000</v>
      </c>
      <c r="AX123" s="114">
        <f t="shared" si="95"/>
        <v>10000</v>
      </c>
      <c r="AY123" s="114">
        <f t="shared" si="95"/>
        <v>10000</v>
      </c>
      <c r="AZ123" s="114">
        <f t="shared" si="95"/>
        <v>10000</v>
      </c>
      <c r="BA123" s="114">
        <f t="shared" si="95"/>
        <v>10000</v>
      </c>
      <c r="BB123" s="114">
        <f t="shared" si="95"/>
        <v>10000</v>
      </c>
      <c r="BC123" s="114">
        <f t="shared" si="95"/>
        <v>10000</v>
      </c>
      <c r="BD123" s="114">
        <f t="shared" si="95"/>
        <v>10000</v>
      </c>
      <c r="BE123" s="114">
        <f t="shared" si="95"/>
        <v>10000</v>
      </c>
      <c r="BF123" s="114">
        <f t="shared" si="95"/>
        <v>10000</v>
      </c>
      <c r="BG123" s="114">
        <f t="shared" si="95"/>
        <v>10000</v>
      </c>
      <c r="BH123" s="114">
        <f t="shared" si="95"/>
        <v>10000</v>
      </c>
      <c r="BI123" s="114">
        <f t="shared" si="95"/>
        <v>10000</v>
      </c>
      <c r="BJ123" s="114">
        <f t="shared" si="95"/>
        <v>10000</v>
      </c>
      <c r="BK123" s="114">
        <f t="shared" si="95"/>
        <v>10000</v>
      </c>
      <c r="BL123" s="114">
        <f t="shared" si="95"/>
        <v>10000</v>
      </c>
      <c r="BM123" s="114">
        <f t="shared" si="95"/>
        <v>10000</v>
      </c>
      <c r="BN123" s="114">
        <f t="shared" si="95"/>
        <v>10000</v>
      </c>
    </row>
    <row r="124" hidden="1" outlineLevel="1">
      <c r="A124" s="47"/>
      <c r="B124" s="121" t="s">
        <v>76</v>
      </c>
      <c r="C124" s="118">
        <v>100000.0</v>
      </c>
      <c r="D124" s="119">
        <v>0.2</v>
      </c>
      <c r="E124" s="120">
        <v>43831.0</v>
      </c>
      <c r="F124" s="114"/>
      <c r="G124" s="114">
        <f t="shared" ref="G124:BN124" si="96">IF(G$4&gt;=$E124,($C124/12)*(1+$D124),0)</f>
        <v>10000</v>
      </c>
      <c r="H124" s="114">
        <f t="shared" si="96"/>
        <v>10000</v>
      </c>
      <c r="I124" s="114">
        <f t="shared" si="96"/>
        <v>10000</v>
      </c>
      <c r="J124" s="114">
        <f t="shared" si="96"/>
        <v>10000</v>
      </c>
      <c r="K124" s="114">
        <f t="shared" si="96"/>
        <v>10000</v>
      </c>
      <c r="L124" s="114">
        <f t="shared" si="96"/>
        <v>10000</v>
      </c>
      <c r="M124" s="114">
        <f t="shared" si="96"/>
        <v>10000</v>
      </c>
      <c r="N124" s="114">
        <f t="shared" si="96"/>
        <v>10000</v>
      </c>
      <c r="O124" s="114">
        <f t="shared" si="96"/>
        <v>10000</v>
      </c>
      <c r="P124" s="114">
        <f t="shared" si="96"/>
        <v>10000</v>
      </c>
      <c r="Q124" s="114">
        <f t="shared" si="96"/>
        <v>10000</v>
      </c>
      <c r="R124" s="114">
        <f t="shared" si="96"/>
        <v>10000</v>
      </c>
      <c r="S124" s="114">
        <f t="shared" si="96"/>
        <v>10000</v>
      </c>
      <c r="T124" s="114">
        <f t="shared" si="96"/>
        <v>10000</v>
      </c>
      <c r="U124" s="114">
        <f t="shared" si="96"/>
        <v>10000</v>
      </c>
      <c r="V124" s="114">
        <f t="shared" si="96"/>
        <v>10000</v>
      </c>
      <c r="W124" s="114">
        <f t="shared" si="96"/>
        <v>10000</v>
      </c>
      <c r="X124" s="114">
        <f t="shared" si="96"/>
        <v>10000</v>
      </c>
      <c r="Y124" s="114">
        <f t="shared" si="96"/>
        <v>10000</v>
      </c>
      <c r="Z124" s="114">
        <f t="shared" si="96"/>
        <v>10000</v>
      </c>
      <c r="AA124" s="114">
        <f t="shared" si="96"/>
        <v>10000</v>
      </c>
      <c r="AB124" s="114">
        <f t="shared" si="96"/>
        <v>10000</v>
      </c>
      <c r="AC124" s="114">
        <f t="shared" si="96"/>
        <v>10000</v>
      </c>
      <c r="AD124" s="114">
        <f t="shared" si="96"/>
        <v>10000</v>
      </c>
      <c r="AE124" s="114">
        <f t="shared" si="96"/>
        <v>10000</v>
      </c>
      <c r="AF124" s="114">
        <f t="shared" si="96"/>
        <v>10000</v>
      </c>
      <c r="AG124" s="114">
        <f t="shared" si="96"/>
        <v>10000</v>
      </c>
      <c r="AH124" s="114">
        <f t="shared" si="96"/>
        <v>10000</v>
      </c>
      <c r="AI124" s="114">
        <f t="shared" si="96"/>
        <v>10000</v>
      </c>
      <c r="AJ124" s="114">
        <f t="shared" si="96"/>
        <v>10000</v>
      </c>
      <c r="AK124" s="114">
        <f t="shared" si="96"/>
        <v>10000</v>
      </c>
      <c r="AL124" s="114">
        <f t="shared" si="96"/>
        <v>10000</v>
      </c>
      <c r="AM124" s="114">
        <f t="shared" si="96"/>
        <v>10000</v>
      </c>
      <c r="AN124" s="114">
        <f t="shared" si="96"/>
        <v>10000</v>
      </c>
      <c r="AO124" s="114">
        <f t="shared" si="96"/>
        <v>10000</v>
      </c>
      <c r="AP124" s="114">
        <f t="shared" si="96"/>
        <v>10000</v>
      </c>
      <c r="AQ124" s="114">
        <f t="shared" si="96"/>
        <v>10000</v>
      </c>
      <c r="AR124" s="114">
        <f t="shared" si="96"/>
        <v>10000</v>
      </c>
      <c r="AS124" s="114">
        <f t="shared" si="96"/>
        <v>10000</v>
      </c>
      <c r="AT124" s="114">
        <f t="shared" si="96"/>
        <v>10000</v>
      </c>
      <c r="AU124" s="114">
        <f t="shared" si="96"/>
        <v>10000</v>
      </c>
      <c r="AV124" s="114">
        <f t="shared" si="96"/>
        <v>10000</v>
      </c>
      <c r="AW124" s="114">
        <f t="shared" si="96"/>
        <v>10000</v>
      </c>
      <c r="AX124" s="114">
        <f t="shared" si="96"/>
        <v>10000</v>
      </c>
      <c r="AY124" s="114">
        <f t="shared" si="96"/>
        <v>10000</v>
      </c>
      <c r="AZ124" s="114">
        <f t="shared" si="96"/>
        <v>10000</v>
      </c>
      <c r="BA124" s="114">
        <f t="shared" si="96"/>
        <v>10000</v>
      </c>
      <c r="BB124" s="114">
        <f t="shared" si="96"/>
        <v>10000</v>
      </c>
      <c r="BC124" s="114">
        <f t="shared" si="96"/>
        <v>10000</v>
      </c>
      <c r="BD124" s="114">
        <f t="shared" si="96"/>
        <v>10000</v>
      </c>
      <c r="BE124" s="114">
        <f t="shared" si="96"/>
        <v>10000</v>
      </c>
      <c r="BF124" s="114">
        <f t="shared" si="96"/>
        <v>10000</v>
      </c>
      <c r="BG124" s="114">
        <f t="shared" si="96"/>
        <v>10000</v>
      </c>
      <c r="BH124" s="114">
        <f t="shared" si="96"/>
        <v>10000</v>
      </c>
      <c r="BI124" s="114">
        <f t="shared" si="96"/>
        <v>10000</v>
      </c>
      <c r="BJ124" s="114">
        <f t="shared" si="96"/>
        <v>10000</v>
      </c>
      <c r="BK124" s="114">
        <f t="shared" si="96"/>
        <v>10000</v>
      </c>
      <c r="BL124" s="114">
        <f t="shared" si="96"/>
        <v>10000</v>
      </c>
      <c r="BM124" s="114">
        <f t="shared" si="96"/>
        <v>10000</v>
      </c>
      <c r="BN124" s="114">
        <f t="shared" si="96"/>
        <v>10000</v>
      </c>
    </row>
    <row r="125" hidden="1" outlineLevel="1">
      <c r="A125" s="47"/>
      <c r="B125" s="121" t="s">
        <v>77</v>
      </c>
      <c r="C125" s="118">
        <v>100000.0</v>
      </c>
      <c r="D125" s="119">
        <v>0.2</v>
      </c>
      <c r="E125" s="120">
        <v>44075.0</v>
      </c>
      <c r="F125" s="114"/>
      <c r="G125" s="114">
        <f t="shared" ref="G125:BN125" si="97">IF(G$4&gt;=$E125,($C125/12)*(1+$D125),0)</f>
        <v>10000</v>
      </c>
      <c r="H125" s="114">
        <f t="shared" si="97"/>
        <v>10000</v>
      </c>
      <c r="I125" s="114">
        <f t="shared" si="97"/>
        <v>10000</v>
      </c>
      <c r="J125" s="114">
        <f t="shared" si="97"/>
        <v>10000</v>
      </c>
      <c r="K125" s="114">
        <f t="shared" si="97"/>
        <v>10000</v>
      </c>
      <c r="L125" s="114">
        <f t="shared" si="97"/>
        <v>10000</v>
      </c>
      <c r="M125" s="114">
        <f t="shared" si="97"/>
        <v>10000</v>
      </c>
      <c r="N125" s="114">
        <f t="shared" si="97"/>
        <v>10000</v>
      </c>
      <c r="O125" s="114">
        <f t="shared" si="97"/>
        <v>10000</v>
      </c>
      <c r="P125" s="114">
        <f t="shared" si="97"/>
        <v>10000</v>
      </c>
      <c r="Q125" s="114">
        <f t="shared" si="97"/>
        <v>10000</v>
      </c>
      <c r="R125" s="114">
        <f t="shared" si="97"/>
        <v>10000</v>
      </c>
      <c r="S125" s="114">
        <f t="shared" si="97"/>
        <v>10000</v>
      </c>
      <c r="T125" s="114">
        <f t="shared" si="97"/>
        <v>10000</v>
      </c>
      <c r="U125" s="114">
        <f t="shared" si="97"/>
        <v>10000</v>
      </c>
      <c r="V125" s="114">
        <f t="shared" si="97"/>
        <v>10000</v>
      </c>
      <c r="W125" s="114">
        <f t="shared" si="97"/>
        <v>10000</v>
      </c>
      <c r="X125" s="114">
        <f t="shared" si="97"/>
        <v>10000</v>
      </c>
      <c r="Y125" s="114">
        <f t="shared" si="97"/>
        <v>10000</v>
      </c>
      <c r="Z125" s="114">
        <f t="shared" si="97"/>
        <v>10000</v>
      </c>
      <c r="AA125" s="114">
        <f t="shared" si="97"/>
        <v>10000</v>
      </c>
      <c r="AB125" s="114">
        <f t="shared" si="97"/>
        <v>10000</v>
      </c>
      <c r="AC125" s="114">
        <f t="shared" si="97"/>
        <v>10000</v>
      </c>
      <c r="AD125" s="114">
        <f t="shared" si="97"/>
        <v>10000</v>
      </c>
      <c r="AE125" s="114">
        <f t="shared" si="97"/>
        <v>10000</v>
      </c>
      <c r="AF125" s="114">
        <f t="shared" si="97"/>
        <v>10000</v>
      </c>
      <c r="AG125" s="114">
        <f t="shared" si="97"/>
        <v>10000</v>
      </c>
      <c r="AH125" s="114">
        <f t="shared" si="97"/>
        <v>10000</v>
      </c>
      <c r="AI125" s="114">
        <f t="shared" si="97"/>
        <v>10000</v>
      </c>
      <c r="AJ125" s="114">
        <f t="shared" si="97"/>
        <v>10000</v>
      </c>
      <c r="AK125" s="114">
        <f t="shared" si="97"/>
        <v>10000</v>
      </c>
      <c r="AL125" s="114">
        <f t="shared" si="97"/>
        <v>10000</v>
      </c>
      <c r="AM125" s="114">
        <f t="shared" si="97"/>
        <v>10000</v>
      </c>
      <c r="AN125" s="114">
        <f t="shared" si="97"/>
        <v>10000</v>
      </c>
      <c r="AO125" s="114">
        <f t="shared" si="97"/>
        <v>10000</v>
      </c>
      <c r="AP125" s="114">
        <f t="shared" si="97"/>
        <v>10000</v>
      </c>
      <c r="AQ125" s="114">
        <f t="shared" si="97"/>
        <v>10000</v>
      </c>
      <c r="AR125" s="114">
        <f t="shared" si="97"/>
        <v>10000</v>
      </c>
      <c r="AS125" s="114">
        <f t="shared" si="97"/>
        <v>10000</v>
      </c>
      <c r="AT125" s="114">
        <f t="shared" si="97"/>
        <v>10000</v>
      </c>
      <c r="AU125" s="114">
        <f t="shared" si="97"/>
        <v>10000</v>
      </c>
      <c r="AV125" s="114">
        <f t="shared" si="97"/>
        <v>10000</v>
      </c>
      <c r="AW125" s="114">
        <f t="shared" si="97"/>
        <v>10000</v>
      </c>
      <c r="AX125" s="114">
        <f t="shared" si="97"/>
        <v>10000</v>
      </c>
      <c r="AY125" s="114">
        <f t="shared" si="97"/>
        <v>10000</v>
      </c>
      <c r="AZ125" s="114">
        <f t="shared" si="97"/>
        <v>10000</v>
      </c>
      <c r="BA125" s="114">
        <f t="shared" si="97"/>
        <v>10000</v>
      </c>
      <c r="BB125" s="114">
        <f t="shared" si="97"/>
        <v>10000</v>
      </c>
      <c r="BC125" s="114">
        <f t="shared" si="97"/>
        <v>10000</v>
      </c>
      <c r="BD125" s="114">
        <f t="shared" si="97"/>
        <v>10000</v>
      </c>
      <c r="BE125" s="114">
        <f t="shared" si="97"/>
        <v>10000</v>
      </c>
      <c r="BF125" s="114">
        <f t="shared" si="97"/>
        <v>10000</v>
      </c>
      <c r="BG125" s="114">
        <f t="shared" si="97"/>
        <v>10000</v>
      </c>
      <c r="BH125" s="114">
        <f t="shared" si="97"/>
        <v>10000</v>
      </c>
      <c r="BI125" s="114">
        <f t="shared" si="97"/>
        <v>10000</v>
      </c>
      <c r="BJ125" s="114">
        <f t="shared" si="97"/>
        <v>10000</v>
      </c>
      <c r="BK125" s="114">
        <f t="shared" si="97"/>
        <v>10000</v>
      </c>
      <c r="BL125" s="114">
        <f t="shared" si="97"/>
        <v>10000</v>
      </c>
      <c r="BM125" s="114">
        <f t="shared" si="97"/>
        <v>10000</v>
      </c>
      <c r="BN125" s="114">
        <f t="shared" si="97"/>
        <v>10000</v>
      </c>
    </row>
    <row r="126" hidden="1" outlineLevel="1">
      <c r="A126" s="47"/>
      <c r="B126" s="121" t="s">
        <v>78</v>
      </c>
      <c r="C126" s="118">
        <v>100000.0</v>
      </c>
      <c r="D126" s="119">
        <v>0.2</v>
      </c>
      <c r="E126" s="120">
        <v>43831.0</v>
      </c>
      <c r="F126" s="114"/>
      <c r="G126" s="114">
        <f t="shared" ref="G126:BN126" si="98">IF(G$4&gt;=$E126,($C126/12)*(1+$D126),0)</f>
        <v>10000</v>
      </c>
      <c r="H126" s="114">
        <f t="shared" si="98"/>
        <v>10000</v>
      </c>
      <c r="I126" s="114">
        <f t="shared" si="98"/>
        <v>10000</v>
      </c>
      <c r="J126" s="114">
        <f t="shared" si="98"/>
        <v>10000</v>
      </c>
      <c r="K126" s="114">
        <f t="shared" si="98"/>
        <v>10000</v>
      </c>
      <c r="L126" s="114">
        <f t="shared" si="98"/>
        <v>10000</v>
      </c>
      <c r="M126" s="114">
        <f t="shared" si="98"/>
        <v>10000</v>
      </c>
      <c r="N126" s="114">
        <f t="shared" si="98"/>
        <v>10000</v>
      </c>
      <c r="O126" s="114">
        <f t="shared" si="98"/>
        <v>10000</v>
      </c>
      <c r="P126" s="114">
        <f t="shared" si="98"/>
        <v>10000</v>
      </c>
      <c r="Q126" s="114">
        <f t="shared" si="98"/>
        <v>10000</v>
      </c>
      <c r="R126" s="114">
        <f t="shared" si="98"/>
        <v>10000</v>
      </c>
      <c r="S126" s="114">
        <f t="shared" si="98"/>
        <v>10000</v>
      </c>
      <c r="T126" s="114">
        <f t="shared" si="98"/>
        <v>10000</v>
      </c>
      <c r="U126" s="114">
        <f t="shared" si="98"/>
        <v>10000</v>
      </c>
      <c r="V126" s="114">
        <f t="shared" si="98"/>
        <v>10000</v>
      </c>
      <c r="W126" s="114">
        <f t="shared" si="98"/>
        <v>10000</v>
      </c>
      <c r="X126" s="114">
        <f t="shared" si="98"/>
        <v>10000</v>
      </c>
      <c r="Y126" s="114">
        <f t="shared" si="98"/>
        <v>10000</v>
      </c>
      <c r="Z126" s="114">
        <f t="shared" si="98"/>
        <v>10000</v>
      </c>
      <c r="AA126" s="114">
        <f t="shared" si="98"/>
        <v>10000</v>
      </c>
      <c r="AB126" s="114">
        <f t="shared" si="98"/>
        <v>10000</v>
      </c>
      <c r="AC126" s="114">
        <f t="shared" si="98"/>
        <v>10000</v>
      </c>
      <c r="AD126" s="114">
        <f t="shared" si="98"/>
        <v>10000</v>
      </c>
      <c r="AE126" s="114">
        <f t="shared" si="98"/>
        <v>10000</v>
      </c>
      <c r="AF126" s="114">
        <f t="shared" si="98"/>
        <v>10000</v>
      </c>
      <c r="AG126" s="114">
        <f t="shared" si="98"/>
        <v>10000</v>
      </c>
      <c r="AH126" s="114">
        <f t="shared" si="98"/>
        <v>10000</v>
      </c>
      <c r="AI126" s="114">
        <f t="shared" si="98"/>
        <v>10000</v>
      </c>
      <c r="AJ126" s="114">
        <f t="shared" si="98"/>
        <v>10000</v>
      </c>
      <c r="AK126" s="114">
        <f t="shared" si="98"/>
        <v>10000</v>
      </c>
      <c r="AL126" s="114">
        <f t="shared" si="98"/>
        <v>10000</v>
      </c>
      <c r="AM126" s="114">
        <f t="shared" si="98"/>
        <v>10000</v>
      </c>
      <c r="AN126" s="114">
        <f t="shared" si="98"/>
        <v>10000</v>
      </c>
      <c r="AO126" s="114">
        <f t="shared" si="98"/>
        <v>10000</v>
      </c>
      <c r="AP126" s="114">
        <f t="shared" si="98"/>
        <v>10000</v>
      </c>
      <c r="AQ126" s="114">
        <f t="shared" si="98"/>
        <v>10000</v>
      </c>
      <c r="AR126" s="114">
        <f t="shared" si="98"/>
        <v>10000</v>
      </c>
      <c r="AS126" s="114">
        <f t="shared" si="98"/>
        <v>10000</v>
      </c>
      <c r="AT126" s="114">
        <f t="shared" si="98"/>
        <v>10000</v>
      </c>
      <c r="AU126" s="114">
        <f t="shared" si="98"/>
        <v>10000</v>
      </c>
      <c r="AV126" s="114">
        <f t="shared" si="98"/>
        <v>10000</v>
      </c>
      <c r="AW126" s="114">
        <f t="shared" si="98"/>
        <v>10000</v>
      </c>
      <c r="AX126" s="114">
        <f t="shared" si="98"/>
        <v>10000</v>
      </c>
      <c r="AY126" s="114">
        <f t="shared" si="98"/>
        <v>10000</v>
      </c>
      <c r="AZ126" s="114">
        <f t="shared" si="98"/>
        <v>10000</v>
      </c>
      <c r="BA126" s="114">
        <f t="shared" si="98"/>
        <v>10000</v>
      </c>
      <c r="BB126" s="114">
        <f t="shared" si="98"/>
        <v>10000</v>
      </c>
      <c r="BC126" s="114">
        <f t="shared" si="98"/>
        <v>10000</v>
      </c>
      <c r="BD126" s="114">
        <f t="shared" si="98"/>
        <v>10000</v>
      </c>
      <c r="BE126" s="114">
        <f t="shared" si="98"/>
        <v>10000</v>
      </c>
      <c r="BF126" s="114">
        <f t="shared" si="98"/>
        <v>10000</v>
      </c>
      <c r="BG126" s="114">
        <f t="shared" si="98"/>
        <v>10000</v>
      </c>
      <c r="BH126" s="114">
        <f t="shared" si="98"/>
        <v>10000</v>
      </c>
      <c r="BI126" s="114">
        <f t="shared" si="98"/>
        <v>10000</v>
      </c>
      <c r="BJ126" s="114">
        <f t="shared" si="98"/>
        <v>10000</v>
      </c>
      <c r="BK126" s="114">
        <f t="shared" si="98"/>
        <v>10000</v>
      </c>
      <c r="BL126" s="114">
        <f t="shared" si="98"/>
        <v>10000</v>
      </c>
      <c r="BM126" s="114">
        <f t="shared" si="98"/>
        <v>10000</v>
      </c>
      <c r="BN126" s="114">
        <f t="shared" si="98"/>
        <v>10000</v>
      </c>
    </row>
    <row r="127" hidden="1" outlineLevel="1">
      <c r="A127" s="47"/>
      <c r="B127" s="121" t="s">
        <v>79</v>
      </c>
      <c r="C127" s="118">
        <v>100000.0</v>
      </c>
      <c r="D127" s="119">
        <v>0.2</v>
      </c>
      <c r="E127" s="120">
        <v>43891.0</v>
      </c>
      <c r="F127" s="114"/>
      <c r="G127" s="114">
        <f t="shared" ref="G127:BN127" si="99">IF(G$4&gt;=$E127,($C127/12)*(1+$D127),0)</f>
        <v>10000</v>
      </c>
      <c r="H127" s="114">
        <f t="shared" si="99"/>
        <v>10000</v>
      </c>
      <c r="I127" s="114">
        <f t="shared" si="99"/>
        <v>10000</v>
      </c>
      <c r="J127" s="114">
        <f t="shared" si="99"/>
        <v>10000</v>
      </c>
      <c r="K127" s="114">
        <f t="shared" si="99"/>
        <v>10000</v>
      </c>
      <c r="L127" s="114">
        <f t="shared" si="99"/>
        <v>10000</v>
      </c>
      <c r="M127" s="114">
        <f t="shared" si="99"/>
        <v>10000</v>
      </c>
      <c r="N127" s="114">
        <f t="shared" si="99"/>
        <v>10000</v>
      </c>
      <c r="O127" s="114">
        <f t="shared" si="99"/>
        <v>10000</v>
      </c>
      <c r="P127" s="114">
        <f t="shared" si="99"/>
        <v>10000</v>
      </c>
      <c r="Q127" s="114">
        <f t="shared" si="99"/>
        <v>10000</v>
      </c>
      <c r="R127" s="114">
        <f t="shared" si="99"/>
        <v>10000</v>
      </c>
      <c r="S127" s="114">
        <f t="shared" si="99"/>
        <v>10000</v>
      </c>
      <c r="T127" s="114">
        <f t="shared" si="99"/>
        <v>10000</v>
      </c>
      <c r="U127" s="114">
        <f t="shared" si="99"/>
        <v>10000</v>
      </c>
      <c r="V127" s="114">
        <f t="shared" si="99"/>
        <v>10000</v>
      </c>
      <c r="W127" s="114">
        <f t="shared" si="99"/>
        <v>10000</v>
      </c>
      <c r="X127" s="114">
        <f t="shared" si="99"/>
        <v>10000</v>
      </c>
      <c r="Y127" s="114">
        <f t="shared" si="99"/>
        <v>10000</v>
      </c>
      <c r="Z127" s="114">
        <f t="shared" si="99"/>
        <v>10000</v>
      </c>
      <c r="AA127" s="114">
        <f t="shared" si="99"/>
        <v>10000</v>
      </c>
      <c r="AB127" s="114">
        <f t="shared" si="99"/>
        <v>10000</v>
      </c>
      <c r="AC127" s="114">
        <f t="shared" si="99"/>
        <v>10000</v>
      </c>
      <c r="AD127" s="114">
        <f t="shared" si="99"/>
        <v>10000</v>
      </c>
      <c r="AE127" s="114">
        <f t="shared" si="99"/>
        <v>10000</v>
      </c>
      <c r="AF127" s="114">
        <f t="shared" si="99"/>
        <v>10000</v>
      </c>
      <c r="AG127" s="114">
        <f t="shared" si="99"/>
        <v>10000</v>
      </c>
      <c r="AH127" s="114">
        <f t="shared" si="99"/>
        <v>10000</v>
      </c>
      <c r="AI127" s="114">
        <f t="shared" si="99"/>
        <v>10000</v>
      </c>
      <c r="AJ127" s="114">
        <f t="shared" si="99"/>
        <v>10000</v>
      </c>
      <c r="AK127" s="114">
        <f t="shared" si="99"/>
        <v>10000</v>
      </c>
      <c r="AL127" s="114">
        <f t="shared" si="99"/>
        <v>10000</v>
      </c>
      <c r="AM127" s="114">
        <f t="shared" si="99"/>
        <v>10000</v>
      </c>
      <c r="AN127" s="114">
        <f t="shared" si="99"/>
        <v>10000</v>
      </c>
      <c r="AO127" s="114">
        <f t="shared" si="99"/>
        <v>10000</v>
      </c>
      <c r="AP127" s="114">
        <f t="shared" si="99"/>
        <v>10000</v>
      </c>
      <c r="AQ127" s="114">
        <f t="shared" si="99"/>
        <v>10000</v>
      </c>
      <c r="AR127" s="114">
        <f t="shared" si="99"/>
        <v>10000</v>
      </c>
      <c r="AS127" s="114">
        <f t="shared" si="99"/>
        <v>10000</v>
      </c>
      <c r="AT127" s="114">
        <f t="shared" si="99"/>
        <v>10000</v>
      </c>
      <c r="AU127" s="114">
        <f t="shared" si="99"/>
        <v>10000</v>
      </c>
      <c r="AV127" s="114">
        <f t="shared" si="99"/>
        <v>10000</v>
      </c>
      <c r="AW127" s="114">
        <f t="shared" si="99"/>
        <v>10000</v>
      </c>
      <c r="AX127" s="114">
        <f t="shared" si="99"/>
        <v>10000</v>
      </c>
      <c r="AY127" s="114">
        <f t="shared" si="99"/>
        <v>10000</v>
      </c>
      <c r="AZ127" s="114">
        <f t="shared" si="99"/>
        <v>10000</v>
      </c>
      <c r="BA127" s="114">
        <f t="shared" si="99"/>
        <v>10000</v>
      </c>
      <c r="BB127" s="114">
        <f t="shared" si="99"/>
        <v>10000</v>
      </c>
      <c r="BC127" s="114">
        <f t="shared" si="99"/>
        <v>10000</v>
      </c>
      <c r="BD127" s="114">
        <f t="shared" si="99"/>
        <v>10000</v>
      </c>
      <c r="BE127" s="114">
        <f t="shared" si="99"/>
        <v>10000</v>
      </c>
      <c r="BF127" s="114">
        <f t="shared" si="99"/>
        <v>10000</v>
      </c>
      <c r="BG127" s="114">
        <f t="shared" si="99"/>
        <v>10000</v>
      </c>
      <c r="BH127" s="114">
        <f t="shared" si="99"/>
        <v>10000</v>
      </c>
      <c r="BI127" s="114">
        <f t="shared" si="99"/>
        <v>10000</v>
      </c>
      <c r="BJ127" s="114">
        <f t="shared" si="99"/>
        <v>10000</v>
      </c>
      <c r="BK127" s="114">
        <f t="shared" si="99"/>
        <v>10000</v>
      </c>
      <c r="BL127" s="114">
        <f t="shared" si="99"/>
        <v>10000</v>
      </c>
      <c r="BM127" s="114">
        <f t="shared" si="99"/>
        <v>10000</v>
      </c>
      <c r="BN127" s="114">
        <f t="shared" si="99"/>
        <v>10000</v>
      </c>
    </row>
    <row r="128" hidden="1" outlineLevel="1">
      <c r="A128" s="47"/>
      <c r="B128" s="121" t="s">
        <v>80</v>
      </c>
      <c r="C128" s="118">
        <v>75000.0</v>
      </c>
      <c r="D128" s="119">
        <v>0.2</v>
      </c>
      <c r="E128" s="120">
        <v>43983.0</v>
      </c>
      <c r="F128" s="114"/>
      <c r="G128" s="114">
        <f t="shared" ref="G128:BN128" si="100">IF(G$4&gt;=$E128,($C128/12)*(1+$D128),0)</f>
        <v>7500</v>
      </c>
      <c r="H128" s="114">
        <f t="shared" si="100"/>
        <v>7500</v>
      </c>
      <c r="I128" s="114">
        <f t="shared" si="100"/>
        <v>7500</v>
      </c>
      <c r="J128" s="114">
        <f t="shared" si="100"/>
        <v>7500</v>
      </c>
      <c r="K128" s="114">
        <f t="shared" si="100"/>
        <v>7500</v>
      </c>
      <c r="L128" s="114">
        <f t="shared" si="100"/>
        <v>7500</v>
      </c>
      <c r="M128" s="114">
        <f t="shared" si="100"/>
        <v>7500</v>
      </c>
      <c r="N128" s="114">
        <f t="shared" si="100"/>
        <v>7500</v>
      </c>
      <c r="O128" s="114">
        <f t="shared" si="100"/>
        <v>7500</v>
      </c>
      <c r="P128" s="114">
        <f t="shared" si="100"/>
        <v>7500</v>
      </c>
      <c r="Q128" s="114">
        <f t="shared" si="100"/>
        <v>7500</v>
      </c>
      <c r="R128" s="114">
        <f t="shared" si="100"/>
        <v>7500</v>
      </c>
      <c r="S128" s="114">
        <f t="shared" si="100"/>
        <v>7500</v>
      </c>
      <c r="T128" s="114">
        <f t="shared" si="100"/>
        <v>7500</v>
      </c>
      <c r="U128" s="114">
        <f t="shared" si="100"/>
        <v>7500</v>
      </c>
      <c r="V128" s="114">
        <f t="shared" si="100"/>
        <v>7500</v>
      </c>
      <c r="W128" s="114">
        <f t="shared" si="100"/>
        <v>7500</v>
      </c>
      <c r="X128" s="114">
        <f t="shared" si="100"/>
        <v>7500</v>
      </c>
      <c r="Y128" s="114">
        <f t="shared" si="100"/>
        <v>7500</v>
      </c>
      <c r="Z128" s="114">
        <f t="shared" si="100"/>
        <v>7500</v>
      </c>
      <c r="AA128" s="114">
        <f t="shared" si="100"/>
        <v>7500</v>
      </c>
      <c r="AB128" s="114">
        <f t="shared" si="100"/>
        <v>7500</v>
      </c>
      <c r="AC128" s="114">
        <f t="shared" si="100"/>
        <v>7500</v>
      </c>
      <c r="AD128" s="114">
        <f t="shared" si="100"/>
        <v>7500</v>
      </c>
      <c r="AE128" s="114">
        <f t="shared" si="100"/>
        <v>7500</v>
      </c>
      <c r="AF128" s="114">
        <f t="shared" si="100"/>
        <v>7500</v>
      </c>
      <c r="AG128" s="114">
        <f t="shared" si="100"/>
        <v>7500</v>
      </c>
      <c r="AH128" s="114">
        <f t="shared" si="100"/>
        <v>7500</v>
      </c>
      <c r="AI128" s="114">
        <f t="shared" si="100"/>
        <v>7500</v>
      </c>
      <c r="AJ128" s="114">
        <f t="shared" si="100"/>
        <v>7500</v>
      </c>
      <c r="AK128" s="114">
        <f t="shared" si="100"/>
        <v>7500</v>
      </c>
      <c r="AL128" s="114">
        <f t="shared" si="100"/>
        <v>7500</v>
      </c>
      <c r="AM128" s="114">
        <f t="shared" si="100"/>
        <v>7500</v>
      </c>
      <c r="AN128" s="114">
        <f t="shared" si="100"/>
        <v>7500</v>
      </c>
      <c r="AO128" s="114">
        <f t="shared" si="100"/>
        <v>7500</v>
      </c>
      <c r="AP128" s="114">
        <f t="shared" si="100"/>
        <v>7500</v>
      </c>
      <c r="AQ128" s="114">
        <f t="shared" si="100"/>
        <v>7500</v>
      </c>
      <c r="AR128" s="114">
        <f t="shared" si="100"/>
        <v>7500</v>
      </c>
      <c r="AS128" s="114">
        <f t="shared" si="100"/>
        <v>7500</v>
      </c>
      <c r="AT128" s="114">
        <f t="shared" si="100"/>
        <v>7500</v>
      </c>
      <c r="AU128" s="114">
        <f t="shared" si="100"/>
        <v>7500</v>
      </c>
      <c r="AV128" s="114">
        <f t="shared" si="100"/>
        <v>7500</v>
      </c>
      <c r="AW128" s="114">
        <f t="shared" si="100"/>
        <v>7500</v>
      </c>
      <c r="AX128" s="114">
        <f t="shared" si="100"/>
        <v>7500</v>
      </c>
      <c r="AY128" s="114">
        <f t="shared" si="100"/>
        <v>7500</v>
      </c>
      <c r="AZ128" s="114">
        <f t="shared" si="100"/>
        <v>7500</v>
      </c>
      <c r="BA128" s="114">
        <f t="shared" si="100"/>
        <v>7500</v>
      </c>
      <c r="BB128" s="114">
        <f t="shared" si="100"/>
        <v>7500</v>
      </c>
      <c r="BC128" s="114">
        <f t="shared" si="100"/>
        <v>7500</v>
      </c>
      <c r="BD128" s="114">
        <f t="shared" si="100"/>
        <v>7500</v>
      </c>
      <c r="BE128" s="114">
        <f t="shared" si="100"/>
        <v>7500</v>
      </c>
      <c r="BF128" s="114">
        <f t="shared" si="100"/>
        <v>7500</v>
      </c>
      <c r="BG128" s="114">
        <f t="shared" si="100"/>
        <v>7500</v>
      </c>
      <c r="BH128" s="114">
        <f t="shared" si="100"/>
        <v>7500</v>
      </c>
      <c r="BI128" s="114">
        <f t="shared" si="100"/>
        <v>7500</v>
      </c>
      <c r="BJ128" s="114">
        <f t="shared" si="100"/>
        <v>7500</v>
      </c>
      <c r="BK128" s="114">
        <f t="shared" si="100"/>
        <v>7500</v>
      </c>
      <c r="BL128" s="114">
        <f t="shared" si="100"/>
        <v>7500</v>
      </c>
      <c r="BM128" s="114">
        <f t="shared" si="100"/>
        <v>7500</v>
      </c>
      <c r="BN128" s="114">
        <f t="shared" si="100"/>
        <v>7500</v>
      </c>
    </row>
    <row r="129" hidden="1" outlineLevel="1">
      <c r="A129" s="47"/>
      <c r="B129" s="121" t="s">
        <v>81</v>
      </c>
      <c r="C129" s="118">
        <v>50000.0</v>
      </c>
      <c r="D129" s="119">
        <v>0.2</v>
      </c>
      <c r="E129" s="120">
        <v>44075.0</v>
      </c>
      <c r="F129" s="114"/>
      <c r="G129" s="114">
        <f t="shared" ref="G129:BN129" si="101">IF(G$4&gt;=$E129,($C129/12)*(1+$D129),0)</f>
        <v>5000</v>
      </c>
      <c r="H129" s="114">
        <f t="shared" si="101"/>
        <v>5000</v>
      </c>
      <c r="I129" s="114">
        <f t="shared" si="101"/>
        <v>5000</v>
      </c>
      <c r="J129" s="114">
        <f t="shared" si="101"/>
        <v>5000</v>
      </c>
      <c r="K129" s="114">
        <f t="shared" si="101"/>
        <v>5000</v>
      </c>
      <c r="L129" s="114">
        <f t="shared" si="101"/>
        <v>5000</v>
      </c>
      <c r="M129" s="114">
        <f t="shared" si="101"/>
        <v>5000</v>
      </c>
      <c r="N129" s="114">
        <f t="shared" si="101"/>
        <v>5000</v>
      </c>
      <c r="O129" s="114">
        <f t="shared" si="101"/>
        <v>5000</v>
      </c>
      <c r="P129" s="114">
        <f t="shared" si="101"/>
        <v>5000</v>
      </c>
      <c r="Q129" s="114">
        <f t="shared" si="101"/>
        <v>5000</v>
      </c>
      <c r="R129" s="114">
        <f t="shared" si="101"/>
        <v>5000</v>
      </c>
      <c r="S129" s="114">
        <f t="shared" si="101"/>
        <v>5000</v>
      </c>
      <c r="T129" s="114">
        <f t="shared" si="101"/>
        <v>5000</v>
      </c>
      <c r="U129" s="114">
        <f t="shared" si="101"/>
        <v>5000</v>
      </c>
      <c r="V129" s="114">
        <f t="shared" si="101"/>
        <v>5000</v>
      </c>
      <c r="W129" s="114">
        <f t="shared" si="101"/>
        <v>5000</v>
      </c>
      <c r="X129" s="114">
        <f t="shared" si="101"/>
        <v>5000</v>
      </c>
      <c r="Y129" s="114">
        <f t="shared" si="101"/>
        <v>5000</v>
      </c>
      <c r="Z129" s="114">
        <f t="shared" si="101"/>
        <v>5000</v>
      </c>
      <c r="AA129" s="114">
        <f t="shared" si="101"/>
        <v>5000</v>
      </c>
      <c r="AB129" s="114">
        <f t="shared" si="101"/>
        <v>5000</v>
      </c>
      <c r="AC129" s="114">
        <f t="shared" si="101"/>
        <v>5000</v>
      </c>
      <c r="AD129" s="114">
        <f t="shared" si="101"/>
        <v>5000</v>
      </c>
      <c r="AE129" s="114">
        <f t="shared" si="101"/>
        <v>5000</v>
      </c>
      <c r="AF129" s="114">
        <f t="shared" si="101"/>
        <v>5000</v>
      </c>
      <c r="AG129" s="114">
        <f t="shared" si="101"/>
        <v>5000</v>
      </c>
      <c r="AH129" s="114">
        <f t="shared" si="101"/>
        <v>5000</v>
      </c>
      <c r="AI129" s="114">
        <f t="shared" si="101"/>
        <v>5000</v>
      </c>
      <c r="AJ129" s="114">
        <f t="shared" si="101"/>
        <v>5000</v>
      </c>
      <c r="AK129" s="114">
        <f t="shared" si="101"/>
        <v>5000</v>
      </c>
      <c r="AL129" s="114">
        <f t="shared" si="101"/>
        <v>5000</v>
      </c>
      <c r="AM129" s="114">
        <f t="shared" si="101"/>
        <v>5000</v>
      </c>
      <c r="AN129" s="114">
        <f t="shared" si="101"/>
        <v>5000</v>
      </c>
      <c r="AO129" s="114">
        <f t="shared" si="101"/>
        <v>5000</v>
      </c>
      <c r="AP129" s="114">
        <f t="shared" si="101"/>
        <v>5000</v>
      </c>
      <c r="AQ129" s="114">
        <f t="shared" si="101"/>
        <v>5000</v>
      </c>
      <c r="AR129" s="114">
        <f t="shared" si="101"/>
        <v>5000</v>
      </c>
      <c r="AS129" s="114">
        <f t="shared" si="101"/>
        <v>5000</v>
      </c>
      <c r="AT129" s="114">
        <f t="shared" si="101"/>
        <v>5000</v>
      </c>
      <c r="AU129" s="114">
        <f t="shared" si="101"/>
        <v>5000</v>
      </c>
      <c r="AV129" s="114">
        <f t="shared" si="101"/>
        <v>5000</v>
      </c>
      <c r="AW129" s="114">
        <f t="shared" si="101"/>
        <v>5000</v>
      </c>
      <c r="AX129" s="114">
        <f t="shared" si="101"/>
        <v>5000</v>
      </c>
      <c r="AY129" s="114">
        <f t="shared" si="101"/>
        <v>5000</v>
      </c>
      <c r="AZ129" s="114">
        <f t="shared" si="101"/>
        <v>5000</v>
      </c>
      <c r="BA129" s="114">
        <f t="shared" si="101"/>
        <v>5000</v>
      </c>
      <c r="BB129" s="114">
        <f t="shared" si="101"/>
        <v>5000</v>
      </c>
      <c r="BC129" s="114">
        <f t="shared" si="101"/>
        <v>5000</v>
      </c>
      <c r="BD129" s="114">
        <f t="shared" si="101"/>
        <v>5000</v>
      </c>
      <c r="BE129" s="114">
        <f t="shared" si="101"/>
        <v>5000</v>
      </c>
      <c r="BF129" s="114">
        <f t="shared" si="101"/>
        <v>5000</v>
      </c>
      <c r="BG129" s="114">
        <f t="shared" si="101"/>
        <v>5000</v>
      </c>
      <c r="BH129" s="114">
        <f t="shared" si="101"/>
        <v>5000</v>
      </c>
      <c r="BI129" s="114">
        <f t="shared" si="101"/>
        <v>5000</v>
      </c>
      <c r="BJ129" s="114">
        <f t="shared" si="101"/>
        <v>5000</v>
      </c>
      <c r="BK129" s="114">
        <f t="shared" si="101"/>
        <v>5000</v>
      </c>
      <c r="BL129" s="114">
        <f t="shared" si="101"/>
        <v>5000</v>
      </c>
      <c r="BM129" s="114">
        <f t="shared" si="101"/>
        <v>5000</v>
      </c>
      <c r="BN129" s="114">
        <f t="shared" si="101"/>
        <v>5000</v>
      </c>
    </row>
    <row r="130" hidden="1" outlineLevel="1">
      <c r="A130" s="47"/>
      <c r="B130" s="121" t="s">
        <v>82</v>
      </c>
      <c r="C130" s="118">
        <v>80000.0</v>
      </c>
      <c r="D130" s="119">
        <v>0.2</v>
      </c>
      <c r="E130" s="120">
        <v>44166.0</v>
      </c>
      <c r="F130" s="114"/>
      <c r="G130" s="114">
        <f t="shared" ref="G130:BN130" si="102">IF(G$4&gt;=$E130,($C130/12)*(1+$D130),0)</f>
        <v>8000</v>
      </c>
      <c r="H130" s="114">
        <f t="shared" si="102"/>
        <v>8000</v>
      </c>
      <c r="I130" s="114">
        <f t="shared" si="102"/>
        <v>8000</v>
      </c>
      <c r="J130" s="114">
        <f t="shared" si="102"/>
        <v>8000</v>
      </c>
      <c r="K130" s="114">
        <f t="shared" si="102"/>
        <v>8000</v>
      </c>
      <c r="L130" s="114">
        <f t="shared" si="102"/>
        <v>8000</v>
      </c>
      <c r="M130" s="114">
        <f t="shared" si="102"/>
        <v>8000</v>
      </c>
      <c r="N130" s="114">
        <f t="shared" si="102"/>
        <v>8000</v>
      </c>
      <c r="O130" s="114">
        <f t="shared" si="102"/>
        <v>8000</v>
      </c>
      <c r="P130" s="114">
        <f t="shared" si="102"/>
        <v>8000</v>
      </c>
      <c r="Q130" s="114">
        <f t="shared" si="102"/>
        <v>8000</v>
      </c>
      <c r="R130" s="114">
        <f t="shared" si="102"/>
        <v>8000</v>
      </c>
      <c r="S130" s="114">
        <f t="shared" si="102"/>
        <v>8000</v>
      </c>
      <c r="T130" s="114">
        <f t="shared" si="102"/>
        <v>8000</v>
      </c>
      <c r="U130" s="114">
        <f t="shared" si="102"/>
        <v>8000</v>
      </c>
      <c r="V130" s="114">
        <f t="shared" si="102"/>
        <v>8000</v>
      </c>
      <c r="W130" s="114">
        <f t="shared" si="102"/>
        <v>8000</v>
      </c>
      <c r="X130" s="114">
        <f t="shared" si="102"/>
        <v>8000</v>
      </c>
      <c r="Y130" s="114">
        <f t="shared" si="102"/>
        <v>8000</v>
      </c>
      <c r="Z130" s="114">
        <f t="shared" si="102"/>
        <v>8000</v>
      </c>
      <c r="AA130" s="114">
        <f t="shared" si="102"/>
        <v>8000</v>
      </c>
      <c r="AB130" s="114">
        <f t="shared" si="102"/>
        <v>8000</v>
      </c>
      <c r="AC130" s="114">
        <f t="shared" si="102"/>
        <v>8000</v>
      </c>
      <c r="AD130" s="114">
        <f t="shared" si="102"/>
        <v>8000</v>
      </c>
      <c r="AE130" s="114">
        <f t="shared" si="102"/>
        <v>8000</v>
      </c>
      <c r="AF130" s="114">
        <f t="shared" si="102"/>
        <v>8000</v>
      </c>
      <c r="AG130" s="114">
        <f t="shared" si="102"/>
        <v>8000</v>
      </c>
      <c r="AH130" s="114">
        <f t="shared" si="102"/>
        <v>8000</v>
      </c>
      <c r="AI130" s="114">
        <f t="shared" si="102"/>
        <v>8000</v>
      </c>
      <c r="AJ130" s="114">
        <f t="shared" si="102"/>
        <v>8000</v>
      </c>
      <c r="AK130" s="114">
        <f t="shared" si="102"/>
        <v>8000</v>
      </c>
      <c r="AL130" s="114">
        <f t="shared" si="102"/>
        <v>8000</v>
      </c>
      <c r="AM130" s="114">
        <f t="shared" si="102"/>
        <v>8000</v>
      </c>
      <c r="AN130" s="114">
        <f t="shared" si="102"/>
        <v>8000</v>
      </c>
      <c r="AO130" s="114">
        <f t="shared" si="102"/>
        <v>8000</v>
      </c>
      <c r="AP130" s="114">
        <f t="shared" si="102"/>
        <v>8000</v>
      </c>
      <c r="AQ130" s="114">
        <f t="shared" si="102"/>
        <v>8000</v>
      </c>
      <c r="AR130" s="114">
        <f t="shared" si="102"/>
        <v>8000</v>
      </c>
      <c r="AS130" s="114">
        <f t="shared" si="102"/>
        <v>8000</v>
      </c>
      <c r="AT130" s="114">
        <f t="shared" si="102"/>
        <v>8000</v>
      </c>
      <c r="AU130" s="114">
        <f t="shared" si="102"/>
        <v>8000</v>
      </c>
      <c r="AV130" s="114">
        <f t="shared" si="102"/>
        <v>8000</v>
      </c>
      <c r="AW130" s="114">
        <f t="shared" si="102"/>
        <v>8000</v>
      </c>
      <c r="AX130" s="114">
        <f t="shared" si="102"/>
        <v>8000</v>
      </c>
      <c r="AY130" s="114">
        <f t="shared" si="102"/>
        <v>8000</v>
      </c>
      <c r="AZ130" s="114">
        <f t="shared" si="102"/>
        <v>8000</v>
      </c>
      <c r="BA130" s="114">
        <f t="shared" si="102"/>
        <v>8000</v>
      </c>
      <c r="BB130" s="114">
        <f t="shared" si="102"/>
        <v>8000</v>
      </c>
      <c r="BC130" s="114">
        <f t="shared" si="102"/>
        <v>8000</v>
      </c>
      <c r="BD130" s="114">
        <f t="shared" si="102"/>
        <v>8000</v>
      </c>
      <c r="BE130" s="114">
        <f t="shared" si="102"/>
        <v>8000</v>
      </c>
      <c r="BF130" s="114">
        <f t="shared" si="102"/>
        <v>8000</v>
      </c>
      <c r="BG130" s="114">
        <f t="shared" si="102"/>
        <v>8000</v>
      </c>
      <c r="BH130" s="114">
        <f t="shared" si="102"/>
        <v>8000</v>
      </c>
      <c r="BI130" s="114">
        <f t="shared" si="102"/>
        <v>8000</v>
      </c>
      <c r="BJ130" s="114">
        <f t="shared" si="102"/>
        <v>8000</v>
      </c>
      <c r="BK130" s="114">
        <f t="shared" si="102"/>
        <v>8000</v>
      </c>
      <c r="BL130" s="114">
        <f t="shared" si="102"/>
        <v>8000</v>
      </c>
      <c r="BM130" s="114">
        <f t="shared" si="102"/>
        <v>8000</v>
      </c>
      <c r="BN130" s="114">
        <f t="shared" si="102"/>
        <v>8000</v>
      </c>
    </row>
    <row r="131" hidden="1" outlineLevel="1">
      <c r="A131" s="47"/>
      <c r="B131" s="121" t="s">
        <v>83</v>
      </c>
      <c r="C131" s="118">
        <v>90000.0</v>
      </c>
      <c r="D131" s="119">
        <v>0.2</v>
      </c>
      <c r="E131" s="120">
        <v>44256.0</v>
      </c>
      <c r="F131" s="114"/>
      <c r="G131" s="114">
        <f t="shared" ref="G131:BN131" si="103">IF(G$4&gt;=$E131,($C131/12)*(1+$D131),0)</f>
        <v>9000</v>
      </c>
      <c r="H131" s="114">
        <f t="shared" si="103"/>
        <v>9000</v>
      </c>
      <c r="I131" s="114">
        <f t="shared" si="103"/>
        <v>9000</v>
      </c>
      <c r="J131" s="114">
        <f t="shared" si="103"/>
        <v>9000</v>
      </c>
      <c r="K131" s="114">
        <f t="shared" si="103"/>
        <v>9000</v>
      </c>
      <c r="L131" s="114">
        <f t="shared" si="103"/>
        <v>9000</v>
      </c>
      <c r="M131" s="114">
        <f t="shared" si="103"/>
        <v>9000</v>
      </c>
      <c r="N131" s="114">
        <f t="shared" si="103"/>
        <v>9000</v>
      </c>
      <c r="O131" s="114">
        <f t="shared" si="103"/>
        <v>9000</v>
      </c>
      <c r="P131" s="114">
        <f t="shared" si="103"/>
        <v>9000</v>
      </c>
      <c r="Q131" s="114">
        <f t="shared" si="103"/>
        <v>9000</v>
      </c>
      <c r="R131" s="114">
        <f t="shared" si="103"/>
        <v>9000</v>
      </c>
      <c r="S131" s="114">
        <f t="shared" si="103"/>
        <v>9000</v>
      </c>
      <c r="T131" s="114">
        <f t="shared" si="103"/>
        <v>9000</v>
      </c>
      <c r="U131" s="114">
        <f t="shared" si="103"/>
        <v>9000</v>
      </c>
      <c r="V131" s="114">
        <f t="shared" si="103"/>
        <v>9000</v>
      </c>
      <c r="W131" s="114">
        <f t="shared" si="103"/>
        <v>9000</v>
      </c>
      <c r="X131" s="114">
        <f t="shared" si="103"/>
        <v>9000</v>
      </c>
      <c r="Y131" s="114">
        <f t="shared" si="103"/>
        <v>9000</v>
      </c>
      <c r="Z131" s="114">
        <f t="shared" si="103"/>
        <v>9000</v>
      </c>
      <c r="AA131" s="114">
        <f t="shared" si="103"/>
        <v>9000</v>
      </c>
      <c r="AB131" s="114">
        <f t="shared" si="103"/>
        <v>9000</v>
      </c>
      <c r="AC131" s="114">
        <f t="shared" si="103"/>
        <v>9000</v>
      </c>
      <c r="AD131" s="114">
        <f t="shared" si="103"/>
        <v>9000</v>
      </c>
      <c r="AE131" s="114">
        <f t="shared" si="103"/>
        <v>9000</v>
      </c>
      <c r="AF131" s="114">
        <f t="shared" si="103"/>
        <v>9000</v>
      </c>
      <c r="AG131" s="114">
        <f t="shared" si="103"/>
        <v>9000</v>
      </c>
      <c r="AH131" s="114">
        <f t="shared" si="103"/>
        <v>9000</v>
      </c>
      <c r="AI131" s="114">
        <f t="shared" si="103"/>
        <v>9000</v>
      </c>
      <c r="AJ131" s="114">
        <f t="shared" si="103"/>
        <v>9000</v>
      </c>
      <c r="AK131" s="114">
        <f t="shared" si="103"/>
        <v>9000</v>
      </c>
      <c r="AL131" s="114">
        <f t="shared" si="103"/>
        <v>9000</v>
      </c>
      <c r="AM131" s="114">
        <f t="shared" si="103"/>
        <v>9000</v>
      </c>
      <c r="AN131" s="114">
        <f t="shared" si="103"/>
        <v>9000</v>
      </c>
      <c r="AO131" s="114">
        <f t="shared" si="103"/>
        <v>9000</v>
      </c>
      <c r="AP131" s="114">
        <f t="shared" si="103"/>
        <v>9000</v>
      </c>
      <c r="AQ131" s="114">
        <f t="shared" si="103"/>
        <v>9000</v>
      </c>
      <c r="AR131" s="114">
        <f t="shared" si="103"/>
        <v>9000</v>
      </c>
      <c r="AS131" s="114">
        <f t="shared" si="103"/>
        <v>9000</v>
      </c>
      <c r="AT131" s="114">
        <f t="shared" si="103"/>
        <v>9000</v>
      </c>
      <c r="AU131" s="114">
        <f t="shared" si="103"/>
        <v>9000</v>
      </c>
      <c r="AV131" s="114">
        <f t="shared" si="103"/>
        <v>9000</v>
      </c>
      <c r="AW131" s="114">
        <f t="shared" si="103"/>
        <v>9000</v>
      </c>
      <c r="AX131" s="114">
        <f t="shared" si="103"/>
        <v>9000</v>
      </c>
      <c r="AY131" s="114">
        <f t="shared" si="103"/>
        <v>9000</v>
      </c>
      <c r="AZ131" s="114">
        <f t="shared" si="103"/>
        <v>9000</v>
      </c>
      <c r="BA131" s="114">
        <f t="shared" si="103"/>
        <v>9000</v>
      </c>
      <c r="BB131" s="114">
        <f t="shared" si="103"/>
        <v>9000</v>
      </c>
      <c r="BC131" s="114">
        <f t="shared" si="103"/>
        <v>9000</v>
      </c>
      <c r="BD131" s="114">
        <f t="shared" si="103"/>
        <v>9000</v>
      </c>
      <c r="BE131" s="114">
        <f t="shared" si="103"/>
        <v>9000</v>
      </c>
      <c r="BF131" s="114">
        <f t="shared" si="103"/>
        <v>9000</v>
      </c>
      <c r="BG131" s="114">
        <f t="shared" si="103"/>
        <v>9000</v>
      </c>
      <c r="BH131" s="114">
        <f t="shared" si="103"/>
        <v>9000</v>
      </c>
      <c r="BI131" s="114">
        <f t="shared" si="103"/>
        <v>9000</v>
      </c>
      <c r="BJ131" s="114">
        <f t="shared" si="103"/>
        <v>9000</v>
      </c>
      <c r="BK131" s="114">
        <f t="shared" si="103"/>
        <v>9000</v>
      </c>
      <c r="BL131" s="114">
        <f t="shared" si="103"/>
        <v>9000</v>
      </c>
      <c r="BM131" s="114">
        <f t="shared" si="103"/>
        <v>9000</v>
      </c>
      <c r="BN131" s="114">
        <f t="shared" si="103"/>
        <v>9000</v>
      </c>
    </row>
    <row r="132" hidden="1" outlineLevel="1">
      <c r="A132" s="47"/>
      <c r="B132" s="121" t="s">
        <v>84</v>
      </c>
      <c r="C132" s="118">
        <v>45000.0</v>
      </c>
      <c r="D132" s="119">
        <v>0.2</v>
      </c>
      <c r="E132" s="120">
        <v>44348.0</v>
      </c>
      <c r="F132" s="114"/>
      <c r="G132" s="114">
        <f t="shared" ref="G132:BN132" si="104">IF(G$4&gt;=$E132,($C132/12)*(1+$D132),0)</f>
        <v>4500</v>
      </c>
      <c r="H132" s="114">
        <f t="shared" si="104"/>
        <v>4500</v>
      </c>
      <c r="I132" s="114">
        <f t="shared" si="104"/>
        <v>4500</v>
      </c>
      <c r="J132" s="114">
        <f t="shared" si="104"/>
        <v>4500</v>
      </c>
      <c r="K132" s="114">
        <f t="shared" si="104"/>
        <v>4500</v>
      </c>
      <c r="L132" s="114">
        <f t="shared" si="104"/>
        <v>4500</v>
      </c>
      <c r="M132" s="114">
        <f t="shared" si="104"/>
        <v>4500</v>
      </c>
      <c r="N132" s="114">
        <f t="shared" si="104"/>
        <v>4500</v>
      </c>
      <c r="O132" s="114">
        <f t="shared" si="104"/>
        <v>4500</v>
      </c>
      <c r="P132" s="114">
        <f t="shared" si="104"/>
        <v>4500</v>
      </c>
      <c r="Q132" s="114">
        <f t="shared" si="104"/>
        <v>4500</v>
      </c>
      <c r="R132" s="114">
        <f t="shared" si="104"/>
        <v>4500</v>
      </c>
      <c r="S132" s="114">
        <f t="shared" si="104"/>
        <v>4500</v>
      </c>
      <c r="T132" s="114">
        <f t="shared" si="104"/>
        <v>4500</v>
      </c>
      <c r="U132" s="114">
        <f t="shared" si="104"/>
        <v>4500</v>
      </c>
      <c r="V132" s="114">
        <f t="shared" si="104"/>
        <v>4500</v>
      </c>
      <c r="W132" s="114">
        <f t="shared" si="104"/>
        <v>4500</v>
      </c>
      <c r="X132" s="114">
        <f t="shared" si="104"/>
        <v>4500</v>
      </c>
      <c r="Y132" s="114">
        <f t="shared" si="104"/>
        <v>4500</v>
      </c>
      <c r="Z132" s="114">
        <f t="shared" si="104"/>
        <v>4500</v>
      </c>
      <c r="AA132" s="114">
        <f t="shared" si="104"/>
        <v>4500</v>
      </c>
      <c r="AB132" s="114">
        <f t="shared" si="104"/>
        <v>4500</v>
      </c>
      <c r="AC132" s="114">
        <f t="shared" si="104"/>
        <v>4500</v>
      </c>
      <c r="AD132" s="114">
        <f t="shared" si="104"/>
        <v>4500</v>
      </c>
      <c r="AE132" s="114">
        <f t="shared" si="104"/>
        <v>4500</v>
      </c>
      <c r="AF132" s="114">
        <f t="shared" si="104"/>
        <v>4500</v>
      </c>
      <c r="AG132" s="114">
        <f t="shared" si="104"/>
        <v>4500</v>
      </c>
      <c r="AH132" s="114">
        <f t="shared" si="104"/>
        <v>4500</v>
      </c>
      <c r="AI132" s="114">
        <f t="shared" si="104"/>
        <v>4500</v>
      </c>
      <c r="AJ132" s="114">
        <f t="shared" si="104"/>
        <v>4500</v>
      </c>
      <c r="AK132" s="114">
        <f t="shared" si="104"/>
        <v>4500</v>
      </c>
      <c r="AL132" s="114">
        <f t="shared" si="104"/>
        <v>4500</v>
      </c>
      <c r="AM132" s="114">
        <f t="shared" si="104"/>
        <v>4500</v>
      </c>
      <c r="AN132" s="114">
        <f t="shared" si="104"/>
        <v>4500</v>
      </c>
      <c r="AO132" s="114">
        <f t="shared" si="104"/>
        <v>4500</v>
      </c>
      <c r="AP132" s="114">
        <f t="shared" si="104"/>
        <v>4500</v>
      </c>
      <c r="AQ132" s="114">
        <f t="shared" si="104"/>
        <v>4500</v>
      </c>
      <c r="AR132" s="114">
        <f t="shared" si="104"/>
        <v>4500</v>
      </c>
      <c r="AS132" s="114">
        <f t="shared" si="104"/>
        <v>4500</v>
      </c>
      <c r="AT132" s="114">
        <f t="shared" si="104"/>
        <v>4500</v>
      </c>
      <c r="AU132" s="114">
        <f t="shared" si="104"/>
        <v>4500</v>
      </c>
      <c r="AV132" s="114">
        <f t="shared" si="104"/>
        <v>4500</v>
      </c>
      <c r="AW132" s="114">
        <f t="shared" si="104"/>
        <v>4500</v>
      </c>
      <c r="AX132" s="114">
        <f t="shared" si="104"/>
        <v>4500</v>
      </c>
      <c r="AY132" s="114">
        <f t="shared" si="104"/>
        <v>4500</v>
      </c>
      <c r="AZ132" s="114">
        <f t="shared" si="104"/>
        <v>4500</v>
      </c>
      <c r="BA132" s="114">
        <f t="shared" si="104"/>
        <v>4500</v>
      </c>
      <c r="BB132" s="114">
        <f t="shared" si="104"/>
        <v>4500</v>
      </c>
      <c r="BC132" s="114">
        <f t="shared" si="104"/>
        <v>4500</v>
      </c>
      <c r="BD132" s="114">
        <f t="shared" si="104"/>
        <v>4500</v>
      </c>
      <c r="BE132" s="114">
        <f t="shared" si="104"/>
        <v>4500</v>
      </c>
      <c r="BF132" s="114">
        <f t="shared" si="104"/>
        <v>4500</v>
      </c>
      <c r="BG132" s="114">
        <f t="shared" si="104"/>
        <v>4500</v>
      </c>
      <c r="BH132" s="114">
        <f t="shared" si="104"/>
        <v>4500</v>
      </c>
      <c r="BI132" s="114">
        <f t="shared" si="104"/>
        <v>4500</v>
      </c>
      <c r="BJ132" s="114">
        <f t="shared" si="104"/>
        <v>4500</v>
      </c>
      <c r="BK132" s="114">
        <f t="shared" si="104"/>
        <v>4500</v>
      </c>
      <c r="BL132" s="114">
        <f t="shared" si="104"/>
        <v>4500</v>
      </c>
      <c r="BM132" s="114">
        <f t="shared" si="104"/>
        <v>4500</v>
      </c>
      <c r="BN132" s="114">
        <f t="shared" si="104"/>
        <v>4500</v>
      </c>
    </row>
    <row r="133" hidden="1" outlineLevel="1">
      <c r="A133" s="47"/>
      <c r="B133" s="121" t="s">
        <v>85</v>
      </c>
      <c r="C133" s="118">
        <v>100000.0</v>
      </c>
      <c r="D133" s="119">
        <v>0.2</v>
      </c>
      <c r="E133" s="120">
        <v>43831.0</v>
      </c>
      <c r="F133" s="114"/>
      <c r="G133" s="114">
        <f t="shared" ref="G133:BN133" si="105">IF(G$4&gt;=$E133,($C133/12)*(1+$D133),0)</f>
        <v>10000</v>
      </c>
      <c r="H133" s="114">
        <f t="shared" si="105"/>
        <v>10000</v>
      </c>
      <c r="I133" s="114">
        <f t="shared" si="105"/>
        <v>10000</v>
      </c>
      <c r="J133" s="114">
        <f t="shared" si="105"/>
        <v>10000</v>
      </c>
      <c r="K133" s="114">
        <f t="shared" si="105"/>
        <v>10000</v>
      </c>
      <c r="L133" s="114">
        <f t="shared" si="105"/>
        <v>10000</v>
      </c>
      <c r="M133" s="114">
        <f t="shared" si="105"/>
        <v>10000</v>
      </c>
      <c r="N133" s="114">
        <f t="shared" si="105"/>
        <v>10000</v>
      </c>
      <c r="O133" s="114">
        <f t="shared" si="105"/>
        <v>10000</v>
      </c>
      <c r="P133" s="114">
        <f t="shared" si="105"/>
        <v>10000</v>
      </c>
      <c r="Q133" s="114">
        <f t="shared" si="105"/>
        <v>10000</v>
      </c>
      <c r="R133" s="114">
        <f t="shared" si="105"/>
        <v>10000</v>
      </c>
      <c r="S133" s="114">
        <f t="shared" si="105"/>
        <v>10000</v>
      </c>
      <c r="T133" s="114">
        <f t="shared" si="105"/>
        <v>10000</v>
      </c>
      <c r="U133" s="114">
        <f t="shared" si="105"/>
        <v>10000</v>
      </c>
      <c r="V133" s="114">
        <f t="shared" si="105"/>
        <v>10000</v>
      </c>
      <c r="W133" s="114">
        <f t="shared" si="105"/>
        <v>10000</v>
      </c>
      <c r="X133" s="114">
        <f t="shared" si="105"/>
        <v>10000</v>
      </c>
      <c r="Y133" s="114">
        <f t="shared" si="105"/>
        <v>10000</v>
      </c>
      <c r="Z133" s="114">
        <f t="shared" si="105"/>
        <v>10000</v>
      </c>
      <c r="AA133" s="114">
        <f t="shared" si="105"/>
        <v>10000</v>
      </c>
      <c r="AB133" s="114">
        <f t="shared" si="105"/>
        <v>10000</v>
      </c>
      <c r="AC133" s="114">
        <f t="shared" si="105"/>
        <v>10000</v>
      </c>
      <c r="AD133" s="114">
        <f t="shared" si="105"/>
        <v>10000</v>
      </c>
      <c r="AE133" s="114">
        <f t="shared" si="105"/>
        <v>10000</v>
      </c>
      <c r="AF133" s="114">
        <f t="shared" si="105"/>
        <v>10000</v>
      </c>
      <c r="AG133" s="114">
        <f t="shared" si="105"/>
        <v>10000</v>
      </c>
      <c r="AH133" s="114">
        <f t="shared" si="105"/>
        <v>10000</v>
      </c>
      <c r="AI133" s="114">
        <f t="shared" si="105"/>
        <v>10000</v>
      </c>
      <c r="AJ133" s="114">
        <f t="shared" si="105"/>
        <v>10000</v>
      </c>
      <c r="AK133" s="114">
        <f t="shared" si="105"/>
        <v>10000</v>
      </c>
      <c r="AL133" s="114">
        <f t="shared" si="105"/>
        <v>10000</v>
      </c>
      <c r="AM133" s="114">
        <f t="shared" si="105"/>
        <v>10000</v>
      </c>
      <c r="AN133" s="114">
        <f t="shared" si="105"/>
        <v>10000</v>
      </c>
      <c r="AO133" s="114">
        <f t="shared" si="105"/>
        <v>10000</v>
      </c>
      <c r="AP133" s="114">
        <f t="shared" si="105"/>
        <v>10000</v>
      </c>
      <c r="AQ133" s="114">
        <f t="shared" si="105"/>
        <v>10000</v>
      </c>
      <c r="AR133" s="114">
        <f t="shared" si="105"/>
        <v>10000</v>
      </c>
      <c r="AS133" s="114">
        <f t="shared" si="105"/>
        <v>10000</v>
      </c>
      <c r="AT133" s="114">
        <f t="shared" si="105"/>
        <v>10000</v>
      </c>
      <c r="AU133" s="114">
        <f t="shared" si="105"/>
        <v>10000</v>
      </c>
      <c r="AV133" s="114">
        <f t="shared" si="105"/>
        <v>10000</v>
      </c>
      <c r="AW133" s="114">
        <f t="shared" si="105"/>
        <v>10000</v>
      </c>
      <c r="AX133" s="114">
        <f t="shared" si="105"/>
        <v>10000</v>
      </c>
      <c r="AY133" s="114">
        <f t="shared" si="105"/>
        <v>10000</v>
      </c>
      <c r="AZ133" s="114">
        <f t="shared" si="105"/>
        <v>10000</v>
      </c>
      <c r="BA133" s="114">
        <f t="shared" si="105"/>
        <v>10000</v>
      </c>
      <c r="BB133" s="114">
        <f t="shared" si="105"/>
        <v>10000</v>
      </c>
      <c r="BC133" s="114">
        <f t="shared" si="105"/>
        <v>10000</v>
      </c>
      <c r="BD133" s="114">
        <f t="shared" si="105"/>
        <v>10000</v>
      </c>
      <c r="BE133" s="114">
        <f t="shared" si="105"/>
        <v>10000</v>
      </c>
      <c r="BF133" s="114">
        <f t="shared" si="105"/>
        <v>10000</v>
      </c>
      <c r="BG133" s="114">
        <f t="shared" si="105"/>
        <v>10000</v>
      </c>
      <c r="BH133" s="114">
        <f t="shared" si="105"/>
        <v>10000</v>
      </c>
      <c r="BI133" s="114">
        <f t="shared" si="105"/>
        <v>10000</v>
      </c>
      <c r="BJ133" s="114">
        <f t="shared" si="105"/>
        <v>10000</v>
      </c>
      <c r="BK133" s="114">
        <f t="shared" si="105"/>
        <v>10000</v>
      </c>
      <c r="BL133" s="114">
        <f t="shared" si="105"/>
        <v>10000</v>
      </c>
      <c r="BM133" s="114">
        <f t="shared" si="105"/>
        <v>10000</v>
      </c>
      <c r="BN133" s="114">
        <f t="shared" si="105"/>
        <v>10000</v>
      </c>
    </row>
    <row r="134" hidden="1" outlineLevel="1">
      <c r="A134" s="47"/>
      <c r="B134" s="121" t="s">
        <v>86</v>
      </c>
      <c r="C134" s="118">
        <v>100000.0</v>
      </c>
      <c r="D134" s="119">
        <v>0.2</v>
      </c>
      <c r="E134" s="120">
        <v>43831.0</v>
      </c>
      <c r="F134" s="114"/>
      <c r="G134" s="114">
        <f t="shared" ref="G134:BN134" si="106">IF(G$4&gt;=$E134,($C134/12)*(1+$D134),0)</f>
        <v>10000</v>
      </c>
      <c r="H134" s="114">
        <f t="shared" si="106"/>
        <v>10000</v>
      </c>
      <c r="I134" s="114">
        <f t="shared" si="106"/>
        <v>10000</v>
      </c>
      <c r="J134" s="114">
        <f t="shared" si="106"/>
        <v>10000</v>
      </c>
      <c r="K134" s="114">
        <f t="shared" si="106"/>
        <v>10000</v>
      </c>
      <c r="L134" s="114">
        <f t="shared" si="106"/>
        <v>10000</v>
      </c>
      <c r="M134" s="114">
        <f t="shared" si="106"/>
        <v>10000</v>
      </c>
      <c r="N134" s="114">
        <f t="shared" si="106"/>
        <v>10000</v>
      </c>
      <c r="O134" s="114">
        <f t="shared" si="106"/>
        <v>10000</v>
      </c>
      <c r="P134" s="114">
        <f t="shared" si="106"/>
        <v>10000</v>
      </c>
      <c r="Q134" s="114">
        <f t="shared" si="106"/>
        <v>10000</v>
      </c>
      <c r="R134" s="114">
        <f t="shared" si="106"/>
        <v>10000</v>
      </c>
      <c r="S134" s="114">
        <f t="shared" si="106"/>
        <v>10000</v>
      </c>
      <c r="T134" s="114">
        <f t="shared" si="106"/>
        <v>10000</v>
      </c>
      <c r="U134" s="114">
        <f t="shared" si="106"/>
        <v>10000</v>
      </c>
      <c r="V134" s="114">
        <f t="shared" si="106"/>
        <v>10000</v>
      </c>
      <c r="W134" s="114">
        <f t="shared" si="106"/>
        <v>10000</v>
      </c>
      <c r="X134" s="114">
        <f t="shared" si="106"/>
        <v>10000</v>
      </c>
      <c r="Y134" s="114">
        <f t="shared" si="106"/>
        <v>10000</v>
      </c>
      <c r="Z134" s="114">
        <f t="shared" si="106"/>
        <v>10000</v>
      </c>
      <c r="AA134" s="114">
        <f t="shared" si="106"/>
        <v>10000</v>
      </c>
      <c r="AB134" s="114">
        <f t="shared" si="106"/>
        <v>10000</v>
      </c>
      <c r="AC134" s="114">
        <f t="shared" si="106"/>
        <v>10000</v>
      </c>
      <c r="AD134" s="114">
        <f t="shared" si="106"/>
        <v>10000</v>
      </c>
      <c r="AE134" s="114">
        <f t="shared" si="106"/>
        <v>10000</v>
      </c>
      <c r="AF134" s="114">
        <f t="shared" si="106"/>
        <v>10000</v>
      </c>
      <c r="AG134" s="114">
        <f t="shared" si="106"/>
        <v>10000</v>
      </c>
      <c r="AH134" s="114">
        <f t="shared" si="106"/>
        <v>10000</v>
      </c>
      <c r="AI134" s="114">
        <f t="shared" si="106"/>
        <v>10000</v>
      </c>
      <c r="AJ134" s="114">
        <f t="shared" si="106"/>
        <v>10000</v>
      </c>
      <c r="AK134" s="114">
        <f t="shared" si="106"/>
        <v>10000</v>
      </c>
      <c r="AL134" s="114">
        <f t="shared" si="106"/>
        <v>10000</v>
      </c>
      <c r="AM134" s="114">
        <f t="shared" si="106"/>
        <v>10000</v>
      </c>
      <c r="AN134" s="114">
        <f t="shared" si="106"/>
        <v>10000</v>
      </c>
      <c r="AO134" s="114">
        <f t="shared" si="106"/>
        <v>10000</v>
      </c>
      <c r="AP134" s="114">
        <f t="shared" si="106"/>
        <v>10000</v>
      </c>
      <c r="AQ134" s="114">
        <f t="shared" si="106"/>
        <v>10000</v>
      </c>
      <c r="AR134" s="114">
        <f t="shared" si="106"/>
        <v>10000</v>
      </c>
      <c r="AS134" s="114">
        <f t="shared" si="106"/>
        <v>10000</v>
      </c>
      <c r="AT134" s="114">
        <f t="shared" si="106"/>
        <v>10000</v>
      </c>
      <c r="AU134" s="114">
        <f t="shared" si="106"/>
        <v>10000</v>
      </c>
      <c r="AV134" s="114">
        <f t="shared" si="106"/>
        <v>10000</v>
      </c>
      <c r="AW134" s="114">
        <f t="shared" si="106"/>
        <v>10000</v>
      </c>
      <c r="AX134" s="114">
        <f t="shared" si="106"/>
        <v>10000</v>
      </c>
      <c r="AY134" s="114">
        <f t="shared" si="106"/>
        <v>10000</v>
      </c>
      <c r="AZ134" s="114">
        <f t="shared" si="106"/>
        <v>10000</v>
      </c>
      <c r="BA134" s="114">
        <f t="shared" si="106"/>
        <v>10000</v>
      </c>
      <c r="BB134" s="114">
        <f t="shared" si="106"/>
        <v>10000</v>
      </c>
      <c r="BC134" s="114">
        <f t="shared" si="106"/>
        <v>10000</v>
      </c>
      <c r="BD134" s="114">
        <f t="shared" si="106"/>
        <v>10000</v>
      </c>
      <c r="BE134" s="114">
        <f t="shared" si="106"/>
        <v>10000</v>
      </c>
      <c r="BF134" s="114">
        <f t="shared" si="106"/>
        <v>10000</v>
      </c>
      <c r="BG134" s="114">
        <f t="shared" si="106"/>
        <v>10000</v>
      </c>
      <c r="BH134" s="114">
        <f t="shared" si="106"/>
        <v>10000</v>
      </c>
      <c r="BI134" s="114">
        <f t="shared" si="106"/>
        <v>10000</v>
      </c>
      <c r="BJ134" s="114">
        <f t="shared" si="106"/>
        <v>10000</v>
      </c>
      <c r="BK134" s="114">
        <f t="shared" si="106"/>
        <v>10000</v>
      </c>
      <c r="BL134" s="114">
        <f t="shared" si="106"/>
        <v>10000</v>
      </c>
      <c r="BM134" s="114">
        <f t="shared" si="106"/>
        <v>10000</v>
      </c>
      <c r="BN134" s="114">
        <f t="shared" si="106"/>
        <v>10000</v>
      </c>
    </row>
    <row r="135" hidden="1" outlineLevel="1">
      <c r="A135" s="47"/>
      <c r="B135" s="121" t="s">
        <v>87</v>
      </c>
      <c r="C135" s="118">
        <v>100000.0</v>
      </c>
      <c r="D135" s="119">
        <v>0.2</v>
      </c>
      <c r="E135" s="120">
        <v>44075.0</v>
      </c>
      <c r="F135" s="114"/>
      <c r="G135" s="114">
        <f t="shared" ref="G135:BN135" si="107">IF(G$4&gt;=$E135,($C135/12)*(1+$D135),0)</f>
        <v>10000</v>
      </c>
      <c r="H135" s="114">
        <f t="shared" si="107"/>
        <v>10000</v>
      </c>
      <c r="I135" s="114">
        <f t="shared" si="107"/>
        <v>10000</v>
      </c>
      <c r="J135" s="114">
        <f t="shared" si="107"/>
        <v>10000</v>
      </c>
      <c r="K135" s="114">
        <f t="shared" si="107"/>
        <v>10000</v>
      </c>
      <c r="L135" s="114">
        <f t="shared" si="107"/>
        <v>10000</v>
      </c>
      <c r="M135" s="114">
        <f t="shared" si="107"/>
        <v>10000</v>
      </c>
      <c r="N135" s="114">
        <f t="shared" si="107"/>
        <v>10000</v>
      </c>
      <c r="O135" s="114">
        <f t="shared" si="107"/>
        <v>10000</v>
      </c>
      <c r="P135" s="114">
        <f t="shared" si="107"/>
        <v>10000</v>
      </c>
      <c r="Q135" s="114">
        <f t="shared" si="107"/>
        <v>10000</v>
      </c>
      <c r="R135" s="114">
        <f t="shared" si="107"/>
        <v>10000</v>
      </c>
      <c r="S135" s="114">
        <f t="shared" si="107"/>
        <v>10000</v>
      </c>
      <c r="T135" s="114">
        <f t="shared" si="107"/>
        <v>10000</v>
      </c>
      <c r="U135" s="114">
        <f t="shared" si="107"/>
        <v>10000</v>
      </c>
      <c r="V135" s="114">
        <f t="shared" si="107"/>
        <v>10000</v>
      </c>
      <c r="W135" s="114">
        <f t="shared" si="107"/>
        <v>10000</v>
      </c>
      <c r="X135" s="114">
        <f t="shared" si="107"/>
        <v>10000</v>
      </c>
      <c r="Y135" s="114">
        <f t="shared" si="107"/>
        <v>10000</v>
      </c>
      <c r="Z135" s="114">
        <f t="shared" si="107"/>
        <v>10000</v>
      </c>
      <c r="AA135" s="114">
        <f t="shared" si="107"/>
        <v>10000</v>
      </c>
      <c r="AB135" s="114">
        <f t="shared" si="107"/>
        <v>10000</v>
      </c>
      <c r="AC135" s="114">
        <f t="shared" si="107"/>
        <v>10000</v>
      </c>
      <c r="AD135" s="114">
        <f t="shared" si="107"/>
        <v>10000</v>
      </c>
      <c r="AE135" s="114">
        <f t="shared" si="107"/>
        <v>10000</v>
      </c>
      <c r="AF135" s="114">
        <f t="shared" si="107"/>
        <v>10000</v>
      </c>
      <c r="AG135" s="114">
        <f t="shared" si="107"/>
        <v>10000</v>
      </c>
      <c r="AH135" s="114">
        <f t="shared" si="107"/>
        <v>10000</v>
      </c>
      <c r="AI135" s="114">
        <f t="shared" si="107"/>
        <v>10000</v>
      </c>
      <c r="AJ135" s="114">
        <f t="shared" si="107"/>
        <v>10000</v>
      </c>
      <c r="AK135" s="114">
        <f t="shared" si="107"/>
        <v>10000</v>
      </c>
      <c r="AL135" s="114">
        <f t="shared" si="107"/>
        <v>10000</v>
      </c>
      <c r="AM135" s="114">
        <f t="shared" si="107"/>
        <v>10000</v>
      </c>
      <c r="AN135" s="114">
        <f t="shared" si="107"/>
        <v>10000</v>
      </c>
      <c r="AO135" s="114">
        <f t="shared" si="107"/>
        <v>10000</v>
      </c>
      <c r="AP135" s="114">
        <f t="shared" si="107"/>
        <v>10000</v>
      </c>
      <c r="AQ135" s="114">
        <f t="shared" si="107"/>
        <v>10000</v>
      </c>
      <c r="AR135" s="114">
        <f t="shared" si="107"/>
        <v>10000</v>
      </c>
      <c r="AS135" s="114">
        <f t="shared" si="107"/>
        <v>10000</v>
      </c>
      <c r="AT135" s="114">
        <f t="shared" si="107"/>
        <v>10000</v>
      </c>
      <c r="AU135" s="114">
        <f t="shared" si="107"/>
        <v>10000</v>
      </c>
      <c r="AV135" s="114">
        <f t="shared" si="107"/>
        <v>10000</v>
      </c>
      <c r="AW135" s="114">
        <f t="shared" si="107"/>
        <v>10000</v>
      </c>
      <c r="AX135" s="114">
        <f t="shared" si="107"/>
        <v>10000</v>
      </c>
      <c r="AY135" s="114">
        <f t="shared" si="107"/>
        <v>10000</v>
      </c>
      <c r="AZ135" s="114">
        <f t="shared" si="107"/>
        <v>10000</v>
      </c>
      <c r="BA135" s="114">
        <f t="shared" si="107"/>
        <v>10000</v>
      </c>
      <c r="BB135" s="114">
        <f t="shared" si="107"/>
        <v>10000</v>
      </c>
      <c r="BC135" s="114">
        <f t="shared" si="107"/>
        <v>10000</v>
      </c>
      <c r="BD135" s="114">
        <f t="shared" si="107"/>
        <v>10000</v>
      </c>
      <c r="BE135" s="114">
        <f t="shared" si="107"/>
        <v>10000</v>
      </c>
      <c r="BF135" s="114">
        <f t="shared" si="107"/>
        <v>10000</v>
      </c>
      <c r="BG135" s="114">
        <f t="shared" si="107"/>
        <v>10000</v>
      </c>
      <c r="BH135" s="114">
        <f t="shared" si="107"/>
        <v>10000</v>
      </c>
      <c r="BI135" s="114">
        <f t="shared" si="107"/>
        <v>10000</v>
      </c>
      <c r="BJ135" s="114">
        <f t="shared" si="107"/>
        <v>10000</v>
      </c>
      <c r="BK135" s="114">
        <f t="shared" si="107"/>
        <v>10000</v>
      </c>
      <c r="BL135" s="114">
        <f t="shared" si="107"/>
        <v>10000</v>
      </c>
      <c r="BM135" s="114">
        <f t="shared" si="107"/>
        <v>10000</v>
      </c>
      <c r="BN135" s="114">
        <f t="shared" si="107"/>
        <v>10000</v>
      </c>
    </row>
    <row r="136" hidden="1" outlineLevel="1">
      <c r="A136" s="47"/>
      <c r="B136" s="121" t="s">
        <v>88</v>
      </c>
      <c r="C136" s="118">
        <v>100000.0</v>
      </c>
      <c r="D136" s="119">
        <v>0.2</v>
      </c>
      <c r="E136" s="120">
        <v>43831.0</v>
      </c>
      <c r="F136" s="114"/>
      <c r="G136" s="114">
        <f t="shared" ref="G136:BN136" si="108">IF(G$4&gt;=$E136,($C136/12)*(1+$D136),0)</f>
        <v>10000</v>
      </c>
      <c r="H136" s="114">
        <f t="shared" si="108"/>
        <v>10000</v>
      </c>
      <c r="I136" s="114">
        <f t="shared" si="108"/>
        <v>10000</v>
      </c>
      <c r="J136" s="114">
        <f t="shared" si="108"/>
        <v>10000</v>
      </c>
      <c r="K136" s="114">
        <f t="shared" si="108"/>
        <v>10000</v>
      </c>
      <c r="L136" s="114">
        <f t="shared" si="108"/>
        <v>10000</v>
      </c>
      <c r="M136" s="114">
        <f t="shared" si="108"/>
        <v>10000</v>
      </c>
      <c r="N136" s="114">
        <f t="shared" si="108"/>
        <v>10000</v>
      </c>
      <c r="O136" s="114">
        <f t="shared" si="108"/>
        <v>10000</v>
      </c>
      <c r="P136" s="114">
        <f t="shared" si="108"/>
        <v>10000</v>
      </c>
      <c r="Q136" s="114">
        <f t="shared" si="108"/>
        <v>10000</v>
      </c>
      <c r="R136" s="114">
        <f t="shared" si="108"/>
        <v>10000</v>
      </c>
      <c r="S136" s="114">
        <f t="shared" si="108"/>
        <v>10000</v>
      </c>
      <c r="T136" s="114">
        <f t="shared" si="108"/>
        <v>10000</v>
      </c>
      <c r="U136" s="114">
        <f t="shared" si="108"/>
        <v>10000</v>
      </c>
      <c r="V136" s="114">
        <f t="shared" si="108"/>
        <v>10000</v>
      </c>
      <c r="W136" s="114">
        <f t="shared" si="108"/>
        <v>10000</v>
      </c>
      <c r="X136" s="114">
        <f t="shared" si="108"/>
        <v>10000</v>
      </c>
      <c r="Y136" s="114">
        <f t="shared" si="108"/>
        <v>10000</v>
      </c>
      <c r="Z136" s="114">
        <f t="shared" si="108"/>
        <v>10000</v>
      </c>
      <c r="AA136" s="114">
        <f t="shared" si="108"/>
        <v>10000</v>
      </c>
      <c r="AB136" s="114">
        <f t="shared" si="108"/>
        <v>10000</v>
      </c>
      <c r="AC136" s="114">
        <f t="shared" si="108"/>
        <v>10000</v>
      </c>
      <c r="AD136" s="114">
        <f t="shared" si="108"/>
        <v>10000</v>
      </c>
      <c r="AE136" s="114">
        <f t="shared" si="108"/>
        <v>10000</v>
      </c>
      <c r="AF136" s="114">
        <f t="shared" si="108"/>
        <v>10000</v>
      </c>
      <c r="AG136" s="114">
        <f t="shared" si="108"/>
        <v>10000</v>
      </c>
      <c r="AH136" s="114">
        <f t="shared" si="108"/>
        <v>10000</v>
      </c>
      <c r="AI136" s="114">
        <f t="shared" si="108"/>
        <v>10000</v>
      </c>
      <c r="AJ136" s="114">
        <f t="shared" si="108"/>
        <v>10000</v>
      </c>
      <c r="AK136" s="114">
        <f t="shared" si="108"/>
        <v>10000</v>
      </c>
      <c r="AL136" s="114">
        <f t="shared" si="108"/>
        <v>10000</v>
      </c>
      <c r="AM136" s="114">
        <f t="shared" si="108"/>
        <v>10000</v>
      </c>
      <c r="AN136" s="114">
        <f t="shared" si="108"/>
        <v>10000</v>
      </c>
      <c r="AO136" s="114">
        <f t="shared" si="108"/>
        <v>10000</v>
      </c>
      <c r="AP136" s="114">
        <f t="shared" si="108"/>
        <v>10000</v>
      </c>
      <c r="AQ136" s="114">
        <f t="shared" si="108"/>
        <v>10000</v>
      </c>
      <c r="AR136" s="114">
        <f t="shared" si="108"/>
        <v>10000</v>
      </c>
      <c r="AS136" s="114">
        <f t="shared" si="108"/>
        <v>10000</v>
      </c>
      <c r="AT136" s="114">
        <f t="shared" si="108"/>
        <v>10000</v>
      </c>
      <c r="AU136" s="114">
        <f t="shared" si="108"/>
        <v>10000</v>
      </c>
      <c r="AV136" s="114">
        <f t="shared" si="108"/>
        <v>10000</v>
      </c>
      <c r="AW136" s="114">
        <f t="shared" si="108"/>
        <v>10000</v>
      </c>
      <c r="AX136" s="114">
        <f t="shared" si="108"/>
        <v>10000</v>
      </c>
      <c r="AY136" s="114">
        <f t="shared" si="108"/>
        <v>10000</v>
      </c>
      <c r="AZ136" s="114">
        <f t="shared" si="108"/>
        <v>10000</v>
      </c>
      <c r="BA136" s="114">
        <f t="shared" si="108"/>
        <v>10000</v>
      </c>
      <c r="BB136" s="114">
        <f t="shared" si="108"/>
        <v>10000</v>
      </c>
      <c r="BC136" s="114">
        <f t="shared" si="108"/>
        <v>10000</v>
      </c>
      <c r="BD136" s="114">
        <f t="shared" si="108"/>
        <v>10000</v>
      </c>
      <c r="BE136" s="114">
        <f t="shared" si="108"/>
        <v>10000</v>
      </c>
      <c r="BF136" s="114">
        <f t="shared" si="108"/>
        <v>10000</v>
      </c>
      <c r="BG136" s="114">
        <f t="shared" si="108"/>
        <v>10000</v>
      </c>
      <c r="BH136" s="114">
        <f t="shared" si="108"/>
        <v>10000</v>
      </c>
      <c r="BI136" s="114">
        <f t="shared" si="108"/>
        <v>10000</v>
      </c>
      <c r="BJ136" s="114">
        <f t="shared" si="108"/>
        <v>10000</v>
      </c>
      <c r="BK136" s="114">
        <f t="shared" si="108"/>
        <v>10000</v>
      </c>
      <c r="BL136" s="114">
        <f t="shared" si="108"/>
        <v>10000</v>
      </c>
      <c r="BM136" s="114">
        <f t="shared" si="108"/>
        <v>10000</v>
      </c>
      <c r="BN136" s="114">
        <f t="shared" si="108"/>
        <v>10000</v>
      </c>
    </row>
    <row r="137" hidden="1" outlineLevel="1">
      <c r="A137" s="47"/>
      <c r="B137" s="121" t="s">
        <v>89</v>
      </c>
      <c r="C137" s="118">
        <v>100000.0</v>
      </c>
      <c r="D137" s="119">
        <v>0.2</v>
      </c>
      <c r="E137" s="120">
        <v>43891.0</v>
      </c>
      <c r="F137" s="114"/>
      <c r="G137" s="114">
        <f t="shared" ref="G137:BN137" si="109">IF(G$4&gt;=$E137,($C137/12)*(1+$D137),0)</f>
        <v>10000</v>
      </c>
      <c r="H137" s="114">
        <f t="shared" si="109"/>
        <v>10000</v>
      </c>
      <c r="I137" s="114">
        <f t="shared" si="109"/>
        <v>10000</v>
      </c>
      <c r="J137" s="114">
        <f t="shared" si="109"/>
        <v>10000</v>
      </c>
      <c r="K137" s="114">
        <f t="shared" si="109"/>
        <v>10000</v>
      </c>
      <c r="L137" s="114">
        <f t="shared" si="109"/>
        <v>10000</v>
      </c>
      <c r="M137" s="114">
        <f t="shared" si="109"/>
        <v>10000</v>
      </c>
      <c r="N137" s="114">
        <f t="shared" si="109"/>
        <v>10000</v>
      </c>
      <c r="O137" s="114">
        <f t="shared" si="109"/>
        <v>10000</v>
      </c>
      <c r="P137" s="114">
        <f t="shared" si="109"/>
        <v>10000</v>
      </c>
      <c r="Q137" s="114">
        <f t="shared" si="109"/>
        <v>10000</v>
      </c>
      <c r="R137" s="114">
        <f t="shared" si="109"/>
        <v>10000</v>
      </c>
      <c r="S137" s="114">
        <f t="shared" si="109"/>
        <v>10000</v>
      </c>
      <c r="T137" s="114">
        <f t="shared" si="109"/>
        <v>10000</v>
      </c>
      <c r="U137" s="114">
        <f t="shared" si="109"/>
        <v>10000</v>
      </c>
      <c r="V137" s="114">
        <f t="shared" si="109"/>
        <v>10000</v>
      </c>
      <c r="W137" s="114">
        <f t="shared" si="109"/>
        <v>10000</v>
      </c>
      <c r="X137" s="114">
        <f t="shared" si="109"/>
        <v>10000</v>
      </c>
      <c r="Y137" s="114">
        <f t="shared" si="109"/>
        <v>10000</v>
      </c>
      <c r="Z137" s="114">
        <f t="shared" si="109"/>
        <v>10000</v>
      </c>
      <c r="AA137" s="114">
        <f t="shared" si="109"/>
        <v>10000</v>
      </c>
      <c r="AB137" s="114">
        <f t="shared" si="109"/>
        <v>10000</v>
      </c>
      <c r="AC137" s="114">
        <f t="shared" si="109"/>
        <v>10000</v>
      </c>
      <c r="AD137" s="114">
        <f t="shared" si="109"/>
        <v>10000</v>
      </c>
      <c r="AE137" s="114">
        <f t="shared" si="109"/>
        <v>10000</v>
      </c>
      <c r="AF137" s="114">
        <f t="shared" si="109"/>
        <v>10000</v>
      </c>
      <c r="AG137" s="114">
        <f t="shared" si="109"/>
        <v>10000</v>
      </c>
      <c r="AH137" s="114">
        <f t="shared" si="109"/>
        <v>10000</v>
      </c>
      <c r="AI137" s="114">
        <f t="shared" si="109"/>
        <v>10000</v>
      </c>
      <c r="AJ137" s="114">
        <f t="shared" si="109"/>
        <v>10000</v>
      </c>
      <c r="AK137" s="114">
        <f t="shared" si="109"/>
        <v>10000</v>
      </c>
      <c r="AL137" s="114">
        <f t="shared" si="109"/>
        <v>10000</v>
      </c>
      <c r="AM137" s="114">
        <f t="shared" si="109"/>
        <v>10000</v>
      </c>
      <c r="AN137" s="114">
        <f t="shared" si="109"/>
        <v>10000</v>
      </c>
      <c r="AO137" s="114">
        <f t="shared" si="109"/>
        <v>10000</v>
      </c>
      <c r="AP137" s="114">
        <f t="shared" si="109"/>
        <v>10000</v>
      </c>
      <c r="AQ137" s="114">
        <f t="shared" si="109"/>
        <v>10000</v>
      </c>
      <c r="AR137" s="114">
        <f t="shared" si="109"/>
        <v>10000</v>
      </c>
      <c r="AS137" s="114">
        <f t="shared" si="109"/>
        <v>10000</v>
      </c>
      <c r="AT137" s="114">
        <f t="shared" si="109"/>
        <v>10000</v>
      </c>
      <c r="AU137" s="114">
        <f t="shared" si="109"/>
        <v>10000</v>
      </c>
      <c r="AV137" s="114">
        <f t="shared" si="109"/>
        <v>10000</v>
      </c>
      <c r="AW137" s="114">
        <f t="shared" si="109"/>
        <v>10000</v>
      </c>
      <c r="AX137" s="114">
        <f t="shared" si="109"/>
        <v>10000</v>
      </c>
      <c r="AY137" s="114">
        <f t="shared" si="109"/>
        <v>10000</v>
      </c>
      <c r="AZ137" s="114">
        <f t="shared" si="109"/>
        <v>10000</v>
      </c>
      <c r="BA137" s="114">
        <f t="shared" si="109"/>
        <v>10000</v>
      </c>
      <c r="BB137" s="114">
        <f t="shared" si="109"/>
        <v>10000</v>
      </c>
      <c r="BC137" s="114">
        <f t="shared" si="109"/>
        <v>10000</v>
      </c>
      <c r="BD137" s="114">
        <f t="shared" si="109"/>
        <v>10000</v>
      </c>
      <c r="BE137" s="114">
        <f t="shared" si="109"/>
        <v>10000</v>
      </c>
      <c r="BF137" s="114">
        <f t="shared" si="109"/>
        <v>10000</v>
      </c>
      <c r="BG137" s="114">
        <f t="shared" si="109"/>
        <v>10000</v>
      </c>
      <c r="BH137" s="114">
        <f t="shared" si="109"/>
        <v>10000</v>
      </c>
      <c r="BI137" s="114">
        <f t="shared" si="109"/>
        <v>10000</v>
      </c>
      <c r="BJ137" s="114">
        <f t="shared" si="109"/>
        <v>10000</v>
      </c>
      <c r="BK137" s="114">
        <f t="shared" si="109"/>
        <v>10000</v>
      </c>
      <c r="BL137" s="114">
        <f t="shared" si="109"/>
        <v>10000</v>
      </c>
      <c r="BM137" s="114">
        <f t="shared" si="109"/>
        <v>10000</v>
      </c>
      <c r="BN137" s="114">
        <f t="shared" si="109"/>
        <v>10000</v>
      </c>
    </row>
    <row r="138">
      <c r="A138" s="47"/>
      <c r="B138" s="47"/>
      <c r="C138" s="47"/>
      <c r="D138" s="47"/>
      <c r="E138" s="47"/>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c r="AI138" s="114"/>
      <c r="AJ138" s="114"/>
      <c r="AK138" s="114"/>
      <c r="AL138" s="114"/>
      <c r="AM138" s="114"/>
      <c r="AN138" s="114"/>
      <c r="AO138" s="114"/>
      <c r="AP138" s="114"/>
      <c r="AQ138" s="114"/>
      <c r="AR138" s="114"/>
      <c r="AS138" s="114"/>
      <c r="AT138" s="114"/>
      <c r="AU138" s="114"/>
      <c r="AV138" s="114"/>
      <c r="AW138" s="114"/>
      <c r="AX138" s="114"/>
      <c r="AY138" s="114"/>
      <c r="AZ138" s="114"/>
      <c r="BA138" s="114"/>
      <c r="BB138" s="114"/>
      <c r="BC138" s="114"/>
      <c r="BD138" s="114"/>
      <c r="BE138" s="114"/>
      <c r="BF138" s="114"/>
      <c r="BG138" s="114"/>
      <c r="BH138" s="114"/>
      <c r="BI138" s="114"/>
      <c r="BJ138" s="114"/>
      <c r="BK138" s="114"/>
      <c r="BL138" s="114"/>
      <c r="BM138" s="114"/>
      <c r="BN138" s="114"/>
    </row>
    <row r="139" collapsed="1">
      <c r="A139" s="47"/>
      <c r="B139" s="48" t="s">
        <v>90</v>
      </c>
      <c r="C139" s="49"/>
      <c r="D139" s="49"/>
      <c r="E139" s="49"/>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row>
    <row r="140" hidden="1" outlineLevel="1">
      <c r="A140" s="47"/>
      <c r="B140" s="47"/>
      <c r="C140" s="47"/>
      <c r="D140" s="47"/>
      <c r="E140" s="47"/>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row>
    <row r="141" hidden="1" outlineLevel="1">
      <c r="A141" s="47"/>
      <c r="B141" s="66" t="s">
        <v>91</v>
      </c>
      <c r="C141" s="116" t="s">
        <v>92</v>
      </c>
      <c r="D141" s="47"/>
      <c r="E141" s="47"/>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row>
    <row r="142" hidden="1" outlineLevel="1">
      <c r="A142" s="47"/>
      <c r="B142" s="122" t="s">
        <v>93</v>
      </c>
      <c r="C142" s="123">
        <v>0.02</v>
      </c>
      <c r="D142" s="47"/>
      <c r="E142" s="47"/>
      <c r="F142" s="114"/>
      <c r="G142" s="114">
        <f>Financials!F$8*$C142</f>
        <v>170.325</v>
      </c>
      <c r="H142" s="114">
        <f>Financials!G$8*$C142</f>
        <v>352.496125</v>
      </c>
      <c r="I142" s="114">
        <f>Financials!H$8*$C142</f>
        <v>543.1467231</v>
      </c>
      <c r="J142" s="114">
        <f>Financials!I$8*$C142</f>
        <v>743.1273438</v>
      </c>
      <c r="K142" s="114">
        <f>Financials!J$8*$C142</f>
        <v>953.8901277</v>
      </c>
      <c r="L142" s="114">
        <f>Financials!K$8*$C142</f>
        <v>1176.09095</v>
      </c>
      <c r="M142" s="114">
        <f>Financials!L$8*$C142</f>
        <v>1396.894601</v>
      </c>
      <c r="N142" s="114">
        <f>Financials!M$8*$C142</f>
        <v>1616.589022</v>
      </c>
      <c r="O142" s="114">
        <f>Financials!N$8*$C142</f>
        <v>1835.205738</v>
      </c>
      <c r="P142" s="114">
        <f>Financials!O$8*$C142</f>
        <v>2052.771749</v>
      </c>
      <c r="Q142" s="114">
        <f>Financials!P$8*$C142</f>
        <v>2269.763323</v>
      </c>
      <c r="R142" s="114">
        <f>Financials!Q$8*$C142</f>
        <v>2485.760322</v>
      </c>
      <c r="S142" s="114">
        <f>Financials!R$8*$C142</f>
        <v>2700.781092</v>
      </c>
      <c r="T142" s="114">
        <f>Financials!S$8*$C142</f>
        <v>2914.849941</v>
      </c>
      <c r="U142" s="114">
        <f>Financials!T$8*$C142</f>
        <v>3127.990666</v>
      </c>
      <c r="V142" s="114">
        <f>Financials!U$8*$C142</f>
        <v>3340.226469</v>
      </c>
      <c r="W142" s="114">
        <f>Financials!V$8*$C142</f>
        <v>3551.579975</v>
      </c>
      <c r="X142" s="114">
        <f>Financials!W$8*$C142</f>
        <v>3762.073239</v>
      </c>
      <c r="Y142" s="114">
        <f>Financials!X$8*$C142</f>
        <v>3971.727769</v>
      </c>
      <c r="Z142" s="114">
        <f>Financials!Y$8*$C142</f>
        <v>4180.564533</v>
      </c>
      <c r="AA142" s="114">
        <f>Financials!Z$8*$C142</f>
        <v>4388.603975</v>
      </c>
      <c r="AB142" s="114">
        <f>Financials!AA$8*$C142</f>
        <v>4595.866027</v>
      </c>
      <c r="AC142" s="114">
        <f>Financials!AB$8*$C142</f>
        <v>4802.370125</v>
      </c>
      <c r="AD142" s="114">
        <f>Financials!AC$8*$C142</f>
        <v>5008.135218</v>
      </c>
      <c r="AE142" s="114">
        <f>Financials!AD$8*$C142</f>
        <v>5213.17978</v>
      </c>
      <c r="AF142" s="114">
        <f>Financials!AE$8*$C142</f>
        <v>5417.521825</v>
      </c>
      <c r="AG142" s="114">
        <f>Financials!AF$8*$C142</f>
        <v>5621.178915</v>
      </c>
      <c r="AH142" s="114">
        <f>Financials!AG$8*$C142</f>
        <v>5824.168176</v>
      </c>
      <c r="AI142" s="114">
        <f>Financials!AH$8*$C142</f>
        <v>6026.506302</v>
      </c>
      <c r="AJ142" s="114">
        <f>Financials!AI$8*$C142</f>
        <v>6228.209571</v>
      </c>
      <c r="AK142" s="114">
        <f>Financials!AJ$8*$C142</f>
        <v>6429.293856</v>
      </c>
      <c r="AL142" s="114">
        <f>Financials!AK$8*$C142</f>
        <v>6629.774631</v>
      </c>
      <c r="AM142" s="114">
        <f>Financials!AL$8*$C142</f>
        <v>6829.666983</v>
      </c>
      <c r="AN142" s="114">
        <f>Financials!AM$8*$C142</f>
        <v>7028.985623</v>
      </c>
      <c r="AO142" s="114">
        <f>Financials!AN$8*$C142</f>
        <v>7227.744894</v>
      </c>
      <c r="AP142" s="114">
        <f>Financials!AO$8*$C142</f>
        <v>7425.95878</v>
      </c>
      <c r="AQ142" s="114">
        <f>Financials!AP$8*$C142</f>
        <v>7623.640917</v>
      </c>
      <c r="AR142" s="114">
        <f>Financials!AQ$8*$C142</f>
        <v>7820.804596</v>
      </c>
      <c r="AS142" s="114">
        <f>Financials!AR$8*$C142</f>
        <v>8017.462781</v>
      </c>
      <c r="AT142" s="114">
        <f>Financials!AS$8*$C142</f>
        <v>8213.628108</v>
      </c>
      <c r="AU142" s="114">
        <f>Financials!AT$8*$C142</f>
        <v>8409.312898</v>
      </c>
      <c r="AV142" s="114">
        <f>Financials!AU$8*$C142</f>
        <v>8604.529166</v>
      </c>
      <c r="AW142" s="114">
        <f>Financials!AV$8*$C142</f>
        <v>8799.288624</v>
      </c>
      <c r="AX142" s="114">
        <f>Financials!AW$8*$C142</f>
        <v>8993.602692</v>
      </c>
      <c r="AY142" s="114">
        <f>Financials!AX$8*$C142</f>
        <v>9187.482506</v>
      </c>
      <c r="AZ142" s="114">
        <f>Financials!AY$8*$C142</f>
        <v>9380.938921</v>
      </c>
      <c r="BA142" s="114">
        <f>Financials!AZ$8*$C142</f>
        <v>9573.982523</v>
      </c>
      <c r="BB142" s="114">
        <f>Financials!BA$8*$C142</f>
        <v>9766.623632</v>
      </c>
      <c r="BC142" s="114">
        <f>Financials!BB$8*$C142</f>
        <v>9958.87231</v>
      </c>
      <c r="BD142" s="114">
        <f>Financials!BC$8*$C142</f>
        <v>10150.73837</v>
      </c>
      <c r="BE142" s="114">
        <f>Financials!BD$8*$C142</f>
        <v>10342.23137</v>
      </c>
      <c r="BF142" s="114">
        <f>Financials!BE$8*$C142</f>
        <v>10533.36065</v>
      </c>
      <c r="BG142" s="114">
        <f>Financials!BF$8*$C142</f>
        <v>10724.13529</v>
      </c>
      <c r="BH142" s="114">
        <f>Financials!BG$8*$C142</f>
        <v>10914.56416</v>
      </c>
      <c r="BI142" s="114">
        <f>Financials!BH$8*$C142</f>
        <v>11104.6559</v>
      </c>
      <c r="BJ142" s="114">
        <f>Financials!BI$8*$C142</f>
        <v>11294.41895</v>
      </c>
      <c r="BK142" s="114">
        <f>Financials!BJ$8*$C142</f>
        <v>11483.86152</v>
      </c>
      <c r="BL142" s="114">
        <f>Financials!BK$8*$C142</f>
        <v>11672.99163</v>
      </c>
      <c r="BM142" s="114">
        <f>Financials!BL$8*$C142</f>
        <v>11861.81707</v>
      </c>
      <c r="BN142" s="114">
        <f>Financials!BM$8*$C142</f>
        <v>12050.34548</v>
      </c>
    </row>
    <row r="143" hidden="1" outlineLevel="1">
      <c r="A143" s="47"/>
      <c r="B143" s="122" t="s">
        <v>94</v>
      </c>
      <c r="C143" s="123">
        <v>0.03</v>
      </c>
      <c r="D143" s="47"/>
      <c r="E143" s="47"/>
      <c r="F143" s="114"/>
      <c r="G143" s="114">
        <f>Financials!F$8*$C143</f>
        <v>255.4875</v>
      </c>
      <c r="H143" s="114">
        <f>Financials!G$8*$C143</f>
        <v>528.7441875</v>
      </c>
      <c r="I143" s="114">
        <f>Financials!H$8*$C143</f>
        <v>814.7200847</v>
      </c>
      <c r="J143" s="114">
        <f>Financials!I$8*$C143</f>
        <v>1114.691016</v>
      </c>
      <c r="K143" s="114">
        <f>Financials!J$8*$C143</f>
        <v>1430.835192</v>
      </c>
      <c r="L143" s="114">
        <f>Financials!K$8*$C143</f>
        <v>1764.136425</v>
      </c>
      <c r="M143" s="114">
        <f>Financials!L$8*$C143</f>
        <v>2095.341902</v>
      </c>
      <c r="N143" s="114">
        <f>Financials!M$8*$C143</f>
        <v>2424.883533</v>
      </c>
      <c r="O143" s="114">
        <f>Financials!N$8*$C143</f>
        <v>2752.808607</v>
      </c>
      <c r="P143" s="114">
        <f>Financials!O$8*$C143</f>
        <v>3079.157624</v>
      </c>
      <c r="Q143" s="114">
        <f>Financials!P$8*$C143</f>
        <v>3404.644985</v>
      </c>
      <c r="R143" s="114">
        <f>Financials!Q$8*$C143</f>
        <v>3728.640483</v>
      </c>
      <c r="S143" s="114">
        <f>Financials!R$8*$C143</f>
        <v>4051.171638</v>
      </c>
      <c r="T143" s="114">
        <f>Financials!S$8*$C143</f>
        <v>4372.274912</v>
      </c>
      <c r="U143" s="114">
        <f>Financials!T$8*$C143</f>
        <v>4691.985999</v>
      </c>
      <c r="V143" s="114">
        <f>Financials!U$8*$C143</f>
        <v>5010.339704</v>
      </c>
      <c r="W143" s="114">
        <f>Financials!V$8*$C143</f>
        <v>5327.369962</v>
      </c>
      <c r="X143" s="114">
        <f>Financials!W$8*$C143</f>
        <v>5643.109859</v>
      </c>
      <c r="Y143" s="114">
        <f>Financials!X$8*$C143</f>
        <v>5957.591654</v>
      </c>
      <c r="Z143" s="114">
        <f>Financials!Y$8*$C143</f>
        <v>6270.8468</v>
      </c>
      <c r="AA143" s="114">
        <f>Financials!Z$8*$C143</f>
        <v>6582.905962</v>
      </c>
      <c r="AB143" s="114">
        <f>Financials!AA$8*$C143</f>
        <v>6893.799041</v>
      </c>
      <c r="AC143" s="114">
        <f>Financials!AB$8*$C143</f>
        <v>7203.555188</v>
      </c>
      <c r="AD143" s="114">
        <f>Financials!AC$8*$C143</f>
        <v>7512.202826</v>
      </c>
      <c r="AE143" s="114">
        <f>Financials!AD$8*$C143</f>
        <v>7819.769669</v>
      </c>
      <c r="AF143" s="114">
        <f>Financials!AE$8*$C143</f>
        <v>8126.282737</v>
      </c>
      <c r="AG143" s="114">
        <f>Financials!AF$8*$C143</f>
        <v>8431.768373</v>
      </c>
      <c r="AH143" s="114">
        <f>Financials!AG$8*$C143</f>
        <v>8736.252264</v>
      </c>
      <c r="AI143" s="114">
        <f>Financials!AH$8*$C143</f>
        <v>9039.759452</v>
      </c>
      <c r="AJ143" s="114">
        <f>Financials!AI$8*$C143</f>
        <v>9342.314357</v>
      </c>
      <c r="AK143" s="114">
        <f>Financials!AJ$8*$C143</f>
        <v>9643.940784</v>
      </c>
      <c r="AL143" s="114">
        <f>Financials!AK$8*$C143</f>
        <v>9944.661946</v>
      </c>
      <c r="AM143" s="114">
        <f>Financials!AL$8*$C143</f>
        <v>10244.50047</v>
      </c>
      <c r="AN143" s="114">
        <f>Financials!AM$8*$C143</f>
        <v>10543.47843</v>
      </c>
      <c r="AO143" s="114">
        <f>Financials!AN$8*$C143</f>
        <v>10841.61734</v>
      </c>
      <c r="AP143" s="114">
        <f>Financials!AO$8*$C143</f>
        <v>11138.93817</v>
      </c>
      <c r="AQ143" s="114">
        <f>Financials!AP$8*$C143</f>
        <v>11435.46137</v>
      </c>
      <c r="AR143" s="114">
        <f>Financials!AQ$8*$C143</f>
        <v>11731.20689</v>
      </c>
      <c r="AS143" s="114">
        <f>Financials!AR$8*$C143</f>
        <v>12026.19417</v>
      </c>
      <c r="AT143" s="114">
        <f>Financials!AS$8*$C143</f>
        <v>12320.44216</v>
      </c>
      <c r="AU143" s="114">
        <f>Financials!AT$8*$C143</f>
        <v>12613.96935</v>
      </c>
      <c r="AV143" s="114">
        <f>Financials!AU$8*$C143</f>
        <v>12906.79375</v>
      </c>
      <c r="AW143" s="114">
        <f>Financials!AV$8*$C143</f>
        <v>13198.93294</v>
      </c>
      <c r="AX143" s="114">
        <f>Financials!AW$8*$C143</f>
        <v>13490.40404</v>
      </c>
      <c r="AY143" s="114">
        <f>Financials!AX$8*$C143</f>
        <v>13781.22376</v>
      </c>
      <c r="AZ143" s="114">
        <f>Financials!AY$8*$C143</f>
        <v>14071.40838</v>
      </c>
      <c r="BA143" s="114">
        <f>Financials!AZ$8*$C143</f>
        <v>14360.97378</v>
      </c>
      <c r="BB143" s="114">
        <f>Financials!BA$8*$C143</f>
        <v>14649.93545</v>
      </c>
      <c r="BC143" s="114">
        <f>Financials!BB$8*$C143</f>
        <v>14938.30846</v>
      </c>
      <c r="BD143" s="114">
        <f>Financials!BC$8*$C143</f>
        <v>15226.10755</v>
      </c>
      <c r="BE143" s="114">
        <f>Financials!BD$8*$C143</f>
        <v>15513.34706</v>
      </c>
      <c r="BF143" s="114">
        <f>Financials!BE$8*$C143</f>
        <v>15800.04097</v>
      </c>
      <c r="BG143" s="114">
        <f>Financials!BF$8*$C143</f>
        <v>16086.20293</v>
      </c>
      <c r="BH143" s="114">
        <f>Financials!BG$8*$C143</f>
        <v>16371.84624</v>
      </c>
      <c r="BI143" s="114">
        <f>Financials!BH$8*$C143</f>
        <v>16656.98386</v>
      </c>
      <c r="BJ143" s="114">
        <f>Financials!BI$8*$C143</f>
        <v>16941.62843</v>
      </c>
      <c r="BK143" s="114">
        <f>Financials!BJ$8*$C143</f>
        <v>17225.79229</v>
      </c>
      <c r="BL143" s="114">
        <f>Financials!BK$8*$C143</f>
        <v>17509.48744</v>
      </c>
      <c r="BM143" s="114">
        <f>Financials!BL$8*$C143</f>
        <v>17792.72561</v>
      </c>
      <c r="BN143" s="114">
        <f>Financials!BM$8*$C143</f>
        <v>18075.51822</v>
      </c>
    </row>
    <row r="144" hidden="1" outlineLevel="1">
      <c r="A144" s="47"/>
      <c r="B144" s="122" t="s">
        <v>95</v>
      </c>
      <c r="C144" s="123">
        <v>0.05</v>
      </c>
      <c r="D144" s="47"/>
      <c r="E144" s="47"/>
      <c r="F144" s="114"/>
      <c r="G144" s="114">
        <f>Financials!F$8*$C144</f>
        <v>425.8125</v>
      </c>
      <c r="H144" s="114">
        <f>Financials!G$8*$C144</f>
        <v>881.2403125</v>
      </c>
      <c r="I144" s="114">
        <f>Financials!H$8*$C144</f>
        <v>1357.866808</v>
      </c>
      <c r="J144" s="114">
        <f>Financials!I$8*$C144</f>
        <v>1857.81836</v>
      </c>
      <c r="K144" s="114">
        <f>Financials!J$8*$C144</f>
        <v>2384.725319</v>
      </c>
      <c r="L144" s="114">
        <f>Financials!K$8*$C144</f>
        <v>2940.227375</v>
      </c>
      <c r="M144" s="114">
        <f>Financials!L$8*$C144</f>
        <v>3492.236503</v>
      </c>
      <c r="N144" s="114">
        <f>Financials!M$8*$C144</f>
        <v>4041.472555</v>
      </c>
      <c r="O144" s="114">
        <f>Financials!N$8*$C144</f>
        <v>4588.014345</v>
      </c>
      <c r="P144" s="114">
        <f>Financials!O$8*$C144</f>
        <v>5131.929373</v>
      </c>
      <c r="Q144" s="114">
        <f>Financials!P$8*$C144</f>
        <v>5674.408308</v>
      </c>
      <c r="R144" s="114">
        <f>Financials!Q$8*$C144</f>
        <v>6214.400805</v>
      </c>
      <c r="S144" s="114">
        <f>Financials!R$8*$C144</f>
        <v>6751.95273</v>
      </c>
      <c r="T144" s="114">
        <f>Financials!S$8*$C144</f>
        <v>7287.124853</v>
      </c>
      <c r="U144" s="114">
        <f>Financials!T$8*$C144</f>
        <v>7819.976664</v>
      </c>
      <c r="V144" s="114">
        <f>Financials!U$8*$C144</f>
        <v>8350.566173</v>
      </c>
      <c r="W144" s="114">
        <f>Financials!V$8*$C144</f>
        <v>8878.949937</v>
      </c>
      <c r="X144" s="114">
        <f>Financials!W$8*$C144</f>
        <v>9405.183099</v>
      </c>
      <c r="Y144" s="114">
        <f>Financials!X$8*$C144</f>
        <v>9929.319424</v>
      </c>
      <c r="Z144" s="114">
        <f>Financials!Y$8*$C144</f>
        <v>10451.41133</v>
      </c>
      <c r="AA144" s="114">
        <f>Financials!Z$8*$C144</f>
        <v>10971.50994</v>
      </c>
      <c r="AB144" s="114">
        <f>Financials!AA$8*$C144</f>
        <v>11489.66507</v>
      </c>
      <c r="AC144" s="114">
        <f>Financials!AB$8*$C144</f>
        <v>12005.92531</v>
      </c>
      <c r="AD144" s="114">
        <f>Financials!AC$8*$C144</f>
        <v>12520.33804</v>
      </c>
      <c r="AE144" s="114">
        <f>Financials!AD$8*$C144</f>
        <v>13032.94945</v>
      </c>
      <c r="AF144" s="114">
        <f>Financials!AE$8*$C144</f>
        <v>13543.80456</v>
      </c>
      <c r="AG144" s="114">
        <f>Financials!AF$8*$C144</f>
        <v>14052.94729</v>
      </c>
      <c r="AH144" s="114">
        <f>Financials!AG$8*$C144</f>
        <v>14560.42044</v>
      </c>
      <c r="AI144" s="114">
        <f>Financials!AH$8*$C144</f>
        <v>15066.26575</v>
      </c>
      <c r="AJ144" s="114">
        <f>Financials!AI$8*$C144</f>
        <v>15570.52393</v>
      </c>
      <c r="AK144" s="114">
        <f>Financials!AJ$8*$C144</f>
        <v>16073.23464</v>
      </c>
      <c r="AL144" s="114">
        <f>Financials!AK$8*$C144</f>
        <v>16574.43658</v>
      </c>
      <c r="AM144" s="114">
        <f>Financials!AL$8*$C144</f>
        <v>17074.16746</v>
      </c>
      <c r="AN144" s="114">
        <f>Financials!AM$8*$C144</f>
        <v>17572.46406</v>
      </c>
      <c r="AO144" s="114">
        <f>Financials!AN$8*$C144</f>
        <v>18069.36224</v>
      </c>
      <c r="AP144" s="114">
        <f>Financials!AO$8*$C144</f>
        <v>18564.89695</v>
      </c>
      <c r="AQ144" s="114">
        <f>Financials!AP$8*$C144</f>
        <v>19059.10229</v>
      </c>
      <c r="AR144" s="114">
        <f>Financials!AQ$8*$C144</f>
        <v>19552.01149</v>
      </c>
      <c r="AS144" s="114">
        <f>Financials!AR$8*$C144</f>
        <v>20043.65695</v>
      </c>
      <c r="AT144" s="114">
        <f>Financials!AS$8*$C144</f>
        <v>20534.07027</v>
      </c>
      <c r="AU144" s="114">
        <f>Financials!AT$8*$C144</f>
        <v>21023.28225</v>
      </c>
      <c r="AV144" s="114">
        <f>Financials!AU$8*$C144</f>
        <v>21511.32291</v>
      </c>
      <c r="AW144" s="114">
        <f>Financials!AV$8*$C144</f>
        <v>21998.22156</v>
      </c>
      <c r="AX144" s="114">
        <f>Financials!AW$8*$C144</f>
        <v>22484.00673</v>
      </c>
      <c r="AY144" s="114">
        <f>Financials!AX$8*$C144</f>
        <v>22968.70627</v>
      </c>
      <c r="AZ144" s="114">
        <f>Financials!AY$8*$C144</f>
        <v>23452.3473</v>
      </c>
      <c r="BA144" s="114">
        <f>Financials!AZ$8*$C144</f>
        <v>23934.95631</v>
      </c>
      <c r="BB144" s="114">
        <f>Financials!BA$8*$C144</f>
        <v>24416.55908</v>
      </c>
      <c r="BC144" s="114">
        <f>Financials!BB$8*$C144</f>
        <v>24897.18077</v>
      </c>
      <c r="BD144" s="114">
        <f>Financials!BC$8*$C144</f>
        <v>25376.84592</v>
      </c>
      <c r="BE144" s="114">
        <f>Financials!BD$8*$C144</f>
        <v>25855.57843</v>
      </c>
      <c r="BF144" s="114">
        <f>Financials!BE$8*$C144</f>
        <v>26333.40161</v>
      </c>
      <c r="BG144" s="114">
        <f>Financials!BF$8*$C144</f>
        <v>26810.33822</v>
      </c>
      <c r="BH144" s="114">
        <f>Financials!BG$8*$C144</f>
        <v>27286.41039</v>
      </c>
      <c r="BI144" s="114">
        <f>Financials!BH$8*$C144</f>
        <v>27761.63976</v>
      </c>
      <c r="BJ144" s="114">
        <f>Financials!BI$8*$C144</f>
        <v>28236.04738</v>
      </c>
      <c r="BK144" s="114">
        <f>Financials!BJ$8*$C144</f>
        <v>28709.65381</v>
      </c>
      <c r="BL144" s="114">
        <f>Financials!BK$8*$C144</f>
        <v>29182.47907</v>
      </c>
      <c r="BM144" s="114">
        <f>Financials!BL$8*$C144</f>
        <v>29654.54268</v>
      </c>
      <c r="BN144" s="114">
        <f>Financials!BM$8*$C144</f>
        <v>30125.8637</v>
      </c>
    </row>
    <row r="145" hidden="1" outlineLevel="1">
      <c r="A145" s="47"/>
      <c r="B145" s="124" t="s">
        <v>96</v>
      </c>
      <c r="C145" s="123">
        <v>0.05</v>
      </c>
      <c r="D145" s="47"/>
      <c r="E145" s="47"/>
      <c r="F145" s="114"/>
      <c r="G145" s="114">
        <f>Financials!F$8*$C145</f>
        <v>425.8125</v>
      </c>
      <c r="H145" s="114">
        <f>Financials!G$8*$C145</f>
        <v>881.2403125</v>
      </c>
      <c r="I145" s="114">
        <f>Financials!H$8*$C145</f>
        <v>1357.866808</v>
      </c>
      <c r="J145" s="114">
        <f>Financials!I$8*$C145</f>
        <v>1857.81836</v>
      </c>
      <c r="K145" s="114">
        <f>Financials!J$8*$C145</f>
        <v>2384.725319</v>
      </c>
      <c r="L145" s="114">
        <f>Financials!K$8*$C145</f>
        <v>2940.227375</v>
      </c>
      <c r="M145" s="114">
        <f>Financials!L$8*$C145</f>
        <v>3492.236503</v>
      </c>
      <c r="N145" s="114">
        <f>Financials!M$8*$C145</f>
        <v>4041.472555</v>
      </c>
      <c r="O145" s="114">
        <f>Financials!N$8*$C145</f>
        <v>4588.014345</v>
      </c>
      <c r="P145" s="114">
        <f>Financials!O$8*$C145</f>
        <v>5131.929373</v>
      </c>
      <c r="Q145" s="114">
        <f>Financials!P$8*$C145</f>
        <v>5674.408308</v>
      </c>
      <c r="R145" s="114">
        <f>Financials!Q$8*$C145</f>
        <v>6214.400805</v>
      </c>
      <c r="S145" s="114">
        <f>Financials!R$8*$C145</f>
        <v>6751.95273</v>
      </c>
      <c r="T145" s="114">
        <f>Financials!S$8*$C145</f>
        <v>7287.124853</v>
      </c>
      <c r="U145" s="114">
        <f>Financials!T$8*$C145</f>
        <v>7819.976664</v>
      </c>
      <c r="V145" s="114">
        <f>Financials!U$8*$C145</f>
        <v>8350.566173</v>
      </c>
      <c r="W145" s="114">
        <f>Financials!V$8*$C145</f>
        <v>8878.949937</v>
      </c>
      <c r="X145" s="114">
        <f>Financials!W$8*$C145</f>
        <v>9405.183099</v>
      </c>
      <c r="Y145" s="114">
        <f>Financials!X$8*$C145</f>
        <v>9929.319424</v>
      </c>
      <c r="Z145" s="114">
        <f>Financials!Y$8*$C145</f>
        <v>10451.41133</v>
      </c>
      <c r="AA145" s="114">
        <f>Financials!Z$8*$C145</f>
        <v>10971.50994</v>
      </c>
      <c r="AB145" s="114">
        <f>Financials!AA$8*$C145</f>
        <v>11489.66507</v>
      </c>
      <c r="AC145" s="114">
        <f>Financials!AB$8*$C145</f>
        <v>12005.92531</v>
      </c>
      <c r="AD145" s="114">
        <f>Financials!AC$8*$C145</f>
        <v>12520.33804</v>
      </c>
      <c r="AE145" s="114">
        <f>Financials!AD$8*$C145</f>
        <v>13032.94945</v>
      </c>
      <c r="AF145" s="114">
        <f>Financials!AE$8*$C145</f>
        <v>13543.80456</v>
      </c>
      <c r="AG145" s="114">
        <f>Financials!AF$8*$C145</f>
        <v>14052.94729</v>
      </c>
      <c r="AH145" s="114">
        <f>Financials!AG$8*$C145</f>
        <v>14560.42044</v>
      </c>
      <c r="AI145" s="114">
        <f>Financials!AH$8*$C145</f>
        <v>15066.26575</v>
      </c>
      <c r="AJ145" s="114">
        <f>Financials!AI$8*$C145</f>
        <v>15570.52393</v>
      </c>
      <c r="AK145" s="114">
        <f>Financials!AJ$8*$C145</f>
        <v>16073.23464</v>
      </c>
      <c r="AL145" s="114">
        <f>Financials!AK$8*$C145</f>
        <v>16574.43658</v>
      </c>
      <c r="AM145" s="114">
        <f>Financials!AL$8*$C145</f>
        <v>17074.16746</v>
      </c>
      <c r="AN145" s="114">
        <f>Financials!AM$8*$C145</f>
        <v>17572.46406</v>
      </c>
      <c r="AO145" s="114">
        <f>Financials!AN$8*$C145</f>
        <v>18069.36224</v>
      </c>
      <c r="AP145" s="114">
        <f>Financials!AO$8*$C145</f>
        <v>18564.89695</v>
      </c>
      <c r="AQ145" s="114">
        <f>Financials!AP$8*$C145</f>
        <v>19059.10229</v>
      </c>
      <c r="AR145" s="114">
        <f>Financials!AQ$8*$C145</f>
        <v>19552.01149</v>
      </c>
      <c r="AS145" s="114">
        <f>Financials!AR$8*$C145</f>
        <v>20043.65695</v>
      </c>
      <c r="AT145" s="114">
        <f>Financials!AS$8*$C145</f>
        <v>20534.07027</v>
      </c>
      <c r="AU145" s="114">
        <f>Financials!AT$8*$C145</f>
        <v>21023.28225</v>
      </c>
      <c r="AV145" s="114">
        <f>Financials!AU$8*$C145</f>
        <v>21511.32291</v>
      </c>
      <c r="AW145" s="114">
        <f>Financials!AV$8*$C145</f>
        <v>21998.22156</v>
      </c>
      <c r="AX145" s="114">
        <f>Financials!AW$8*$C145</f>
        <v>22484.00673</v>
      </c>
      <c r="AY145" s="114">
        <f>Financials!AX$8*$C145</f>
        <v>22968.70627</v>
      </c>
      <c r="AZ145" s="114">
        <f>Financials!AY$8*$C145</f>
        <v>23452.3473</v>
      </c>
      <c r="BA145" s="114">
        <f>Financials!AZ$8*$C145</f>
        <v>23934.95631</v>
      </c>
      <c r="BB145" s="114">
        <f>Financials!BA$8*$C145</f>
        <v>24416.55908</v>
      </c>
      <c r="BC145" s="114">
        <f>Financials!BB$8*$C145</f>
        <v>24897.18077</v>
      </c>
      <c r="BD145" s="114">
        <f>Financials!BC$8*$C145</f>
        <v>25376.84592</v>
      </c>
      <c r="BE145" s="114">
        <f>Financials!BD$8*$C145</f>
        <v>25855.57843</v>
      </c>
      <c r="BF145" s="114">
        <f>Financials!BE$8*$C145</f>
        <v>26333.40161</v>
      </c>
      <c r="BG145" s="114">
        <f>Financials!BF$8*$C145</f>
        <v>26810.33822</v>
      </c>
      <c r="BH145" s="114">
        <f>Financials!BG$8*$C145</f>
        <v>27286.41039</v>
      </c>
      <c r="BI145" s="114">
        <f>Financials!BH$8*$C145</f>
        <v>27761.63976</v>
      </c>
      <c r="BJ145" s="114">
        <f>Financials!BI$8*$C145</f>
        <v>28236.04738</v>
      </c>
      <c r="BK145" s="114">
        <f>Financials!BJ$8*$C145</f>
        <v>28709.65381</v>
      </c>
      <c r="BL145" s="114">
        <f>Financials!BK$8*$C145</f>
        <v>29182.47907</v>
      </c>
      <c r="BM145" s="114">
        <f>Financials!BL$8*$C145</f>
        <v>29654.54268</v>
      </c>
      <c r="BN145" s="114">
        <f>Financials!BM$8*$C145</f>
        <v>30125.8637</v>
      </c>
    </row>
    <row r="146" hidden="1" outlineLevel="1">
      <c r="A146" s="47"/>
      <c r="B146" s="124" t="s">
        <v>97</v>
      </c>
      <c r="C146" s="123">
        <v>0.05</v>
      </c>
      <c r="D146" s="47"/>
      <c r="E146" s="47"/>
      <c r="F146" s="114"/>
      <c r="G146" s="114">
        <f>Financials!F$8*$C146</f>
        <v>425.8125</v>
      </c>
      <c r="H146" s="114">
        <f>Financials!G$8*$C146</f>
        <v>881.2403125</v>
      </c>
      <c r="I146" s="114">
        <f>Financials!H$8*$C146</f>
        <v>1357.866808</v>
      </c>
      <c r="J146" s="114">
        <f>Financials!I$8*$C146</f>
        <v>1857.81836</v>
      </c>
      <c r="K146" s="114">
        <f>Financials!J$8*$C146</f>
        <v>2384.725319</v>
      </c>
      <c r="L146" s="114">
        <f>Financials!K$8*$C146</f>
        <v>2940.227375</v>
      </c>
      <c r="M146" s="114">
        <f>Financials!L$8*$C146</f>
        <v>3492.236503</v>
      </c>
      <c r="N146" s="114">
        <f>Financials!M$8*$C146</f>
        <v>4041.472555</v>
      </c>
      <c r="O146" s="114">
        <f>Financials!N$8*$C146</f>
        <v>4588.014345</v>
      </c>
      <c r="P146" s="114">
        <f>Financials!O$8*$C146</f>
        <v>5131.929373</v>
      </c>
      <c r="Q146" s="114">
        <f>Financials!P$8*$C146</f>
        <v>5674.408308</v>
      </c>
      <c r="R146" s="114">
        <f>Financials!Q$8*$C146</f>
        <v>6214.400805</v>
      </c>
      <c r="S146" s="114">
        <f>Financials!R$8*$C146</f>
        <v>6751.95273</v>
      </c>
      <c r="T146" s="114">
        <f>Financials!S$8*$C146</f>
        <v>7287.124853</v>
      </c>
      <c r="U146" s="114">
        <f>Financials!T$8*$C146</f>
        <v>7819.976664</v>
      </c>
      <c r="V146" s="114">
        <f>Financials!U$8*$C146</f>
        <v>8350.566173</v>
      </c>
      <c r="W146" s="114">
        <f>Financials!V$8*$C146</f>
        <v>8878.949937</v>
      </c>
      <c r="X146" s="114">
        <f>Financials!W$8*$C146</f>
        <v>9405.183099</v>
      </c>
      <c r="Y146" s="114">
        <f>Financials!X$8*$C146</f>
        <v>9929.319424</v>
      </c>
      <c r="Z146" s="114">
        <f>Financials!Y$8*$C146</f>
        <v>10451.41133</v>
      </c>
      <c r="AA146" s="114">
        <f>Financials!Z$8*$C146</f>
        <v>10971.50994</v>
      </c>
      <c r="AB146" s="114">
        <f>Financials!AA$8*$C146</f>
        <v>11489.66507</v>
      </c>
      <c r="AC146" s="114">
        <f>Financials!AB$8*$C146</f>
        <v>12005.92531</v>
      </c>
      <c r="AD146" s="114">
        <f>Financials!AC$8*$C146</f>
        <v>12520.33804</v>
      </c>
      <c r="AE146" s="114">
        <f>Financials!AD$8*$C146</f>
        <v>13032.94945</v>
      </c>
      <c r="AF146" s="114">
        <f>Financials!AE$8*$C146</f>
        <v>13543.80456</v>
      </c>
      <c r="AG146" s="114">
        <f>Financials!AF$8*$C146</f>
        <v>14052.94729</v>
      </c>
      <c r="AH146" s="114">
        <f>Financials!AG$8*$C146</f>
        <v>14560.42044</v>
      </c>
      <c r="AI146" s="114">
        <f>Financials!AH$8*$C146</f>
        <v>15066.26575</v>
      </c>
      <c r="AJ146" s="114">
        <f>Financials!AI$8*$C146</f>
        <v>15570.52393</v>
      </c>
      <c r="AK146" s="114">
        <f>Financials!AJ$8*$C146</f>
        <v>16073.23464</v>
      </c>
      <c r="AL146" s="114">
        <f>Financials!AK$8*$C146</f>
        <v>16574.43658</v>
      </c>
      <c r="AM146" s="114">
        <f>Financials!AL$8*$C146</f>
        <v>17074.16746</v>
      </c>
      <c r="AN146" s="114">
        <f>Financials!AM$8*$C146</f>
        <v>17572.46406</v>
      </c>
      <c r="AO146" s="114">
        <f>Financials!AN$8*$C146</f>
        <v>18069.36224</v>
      </c>
      <c r="AP146" s="114">
        <f>Financials!AO$8*$C146</f>
        <v>18564.89695</v>
      </c>
      <c r="AQ146" s="114">
        <f>Financials!AP$8*$C146</f>
        <v>19059.10229</v>
      </c>
      <c r="AR146" s="114">
        <f>Financials!AQ$8*$C146</f>
        <v>19552.01149</v>
      </c>
      <c r="AS146" s="114">
        <f>Financials!AR$8*$C146</f>
        <v>20043.65695</v>
      </c>
      <c r="AT146" s="114">
        <f>Financials!AS$8*$C146</f>
        <v>20534.07027</v>
      </c>
      <c r="AU146" s="114">
        <f>Financials!AT$8*$C146</f>
        <v>21023.28225</v>
      </c>
      <c r="AV146" s="114">
        <f>Financials!AU$8*$C146</f>
        <v>21511.32291</v>
      </c>
      <c r="AW146" s="114">
        <f>Financials!AV$8*$C146</f>
        <v>21998.22156</v>
      </c>
      <c r="AX146" s="114">
        <f>Financials!AW$8*$C146</f>
        <v>22484.00673</v>
      </c>
      <c r="AY146" s="114">
        <f>Financials!AX$8*$C146</f>
        <v>22968.70627</v>
      </c>
      <c r="AZ146" s="114">
        <f>Financials!AY$8*$C146</f>
        <v>23452.3473</v>
      </c>
      <c r="BA146" s="114">
        <f>Financials!AZ$8*$C146</f>
        <v>23934.95631</v>
      </c>
      <c r="BB146" s="114">
        <f>Financials!BA$8*$C146</f>
        <v>24416.55908</v>
      </c>
      <c r="BC146" s="114">
        <f>Financials!BB$8*$C146</f>
        <v>24897.18077</v>
      </c>
      <c r="BD146" s="114">
        <f>Financials!BC$8*$C146</f>
        <v>25376.84592</v>
      </c>
      <c r="BE146" s="114">
        <f>Financials!BD$8*$C146</f>
        <v>25855.57843</v>
      </c>
      <c r="BF146" s="114">
        <f>Financials!BE$8*$C146</f>
        <v>26333.40161</v>
      </c>
      <c r="BG146" s="114">
        <f>Financials!BF$8*$C146</f>
        <v>26810.33822</v>
      </c>
      <c r="BH146" s="114">
        <f>Financials!BG$8*$C146</f>
        <v>27286.41039</v>
      </c>
      <c r="BI146" s="114">
        <f>Financials!BH$8*$C146</f>
        <v>27761.63976</v>
      </c>
      <c r="BJ146" s="114">
        <f>Financials!BI$8*$C146</f>
        <v>28236.04738</v>
      </c>
      <c r="BK146" s="114">
        <f>Financials!BJ$8*$C146</f>
        <v>28709.65381</v>
      </c>
      <c r="BL146" s="114">
        <f>Financials!BK$8*$C146</f>
        <v>29182.47907</v>
      </c>
      <c r="BM146" s="114">
        <f>Financials!BL$8*$C146</f>
        <v>29654.54268</v>
      </c>
      <c r="BN146" s="114">
        <f>Financials!BM$8*$C146</f>
        <v>30125.8637</v>
      </c>
    </row>
    <row r="147" hidden="1" outlineLevel="1">
      <c r="A147" s="47"/>
      <c r="B147" s="124" t="s">
        <v>98</v>
      </c>
      <c r="C147" s="123">
        <v>0.05</v>
      </c>
      <c r="D147" s="47"/>
      <c r="E147" s="47"/>
      <c r="F147" s="114"/>
      <c r="G147" s="114">
        <f>Financials!F$8*$C147</f>
        <v>425.8125</v>
      </c>
      <c r="H147" s="114">
        <f>Financials!G$8*$C147</f>
        <v>881.2403125</v>
      </c>
      <c r="I147" s="114">
        <f>Financials!H$8*$C147</f>
        <v>1357.866808</v>
      </c>
      <c r="J147" s="114">
        <f>Financials!I$8*$C147</f>
        <v>1857.81836</v>
      </c>
      <c r="K147" s="114">
        <f>Financials!J$8*$C147</f>
        <v>2384.725319</v>
      </c>
      <c r="L147" s="114">
        <f>Financials!K$8*$C147</f>
        <v>2940.227375</v>
      </c>
      <c r="M147" s="114">
        <f>Financials!L$8*$C147</f>
        <v>3492.236503</v>
      </c>
      <c r="N147" s="114">
        <f>Financials!M$8*$C147</f>
        <v>4041.472555</v>
      </c>
      <c r="O147" s="114">
        <f>Financials!N$8*$C147</f>
        <v>4588.014345</v>
      </c>
      <c r="P147" s="114">
        <f>Financials!O$8*$C147</f>
        <v>5131.929373</v>
      </c>
      <c r="Q147" s="114">
        <f>Financials!P$8*$C147</f>
        <v>5674.408308</v>
      </c>
      <c r="R147" s="114">
        <f>Financials!Q$8*$C147</f>
        <v>6214.400805</v>
      </c>
      <c r="S147" s="114">
        <f>Financials!R$8*$C147</f>
        <v>6751.95273</v>
      </c>
      <c r="T147" s="114">
        <f>Financials!S$8*$C147</f>
        <v>7287.124853</v>
      </c>
      <c r="U147" s="114">
        <f>Financials!T$8*$C147</f>
        <v>7819.976664</v>
      </c>
      <c r="V147" s="114">
        <f>Financials!U$8*$C147</f>
        <v>8350.566173</v>
      </c>
      <c r="W147" s="114">
        <f>Financials!V$8*$C147</f>
        <v>8878.949937</v>
      </c>
      <c r="X147" s="114">
        <f>Financials!W$8*$C147</f>
        <v>9405.183099</v>
      </c>
      <c r="Y147" s="114">
        <f>Financials!X$8*$C147</f>
        <v>9929.319424</v>
      </c>
      <c r="Z147" s="114">
        <f>Financials!Y$8*$C147</f>
        <v>10451.41133</v>
      </c>
      <c r="AA147" s="114">
        <f>Financials!Z$8*$C147</f>
        <v>10971.50994</v>
      </c>
      <c r="AB147" s="114">
        <f>Financials!AA$8*$C147</f>
        <v>11489.66507</v>
      </c>
      <c r="AC147" s="114">
        <f>Financials!AB$8*$C147</f>
        <v>12005.92531</v>
      </c>
      <c r="AD147" s="114">
        <f>Financials!AC$8*$C147</f>
        <v>12520.33804</v>
      </c>
      <c r="AE147" s="114">
        <f>Financials!AD$8*$C147</f>
        <v>13032.94945</v>
      </c>
      <c r="AF147" s="114">
        <f>Financials!AE$8*$C147</f>
        <v>13543.80456</v>
      </c>
      <c r="AG147" s="114">
        <f>Financials!AF$8*$C147</f>
        <v>14052.94729</v>
      </c>
      <c r="AH147" s="114">
        <f>Financials!AG$8*$C147</f>
        <v>14560.42044</v>
      </c>
      <c r="AI147" s="114">
        <f>Financials!AH$8*$C147</f>
        <v>15066.26575</v>
      </c>
      <c r="AJ147" s="114">
        <f>Financials!AI$8*$C147</f>
        <v>15570.52393</v>
      </c>
      <c r="AK147" s="114">
        <f>Financials!AJ$8*$C147</f>
        <v>16073.23464</v>
      </c>
      <c r="AL147" s="114">
        <f>Financials!AK$8*$C147</f>
        <v>16574.43658</v>
      </c>
      <c r="AM147" s="114">
        <f>Financials!AL$8*$C147</f>
        <v>17074.16746</v>
      </c>
      <c r="AN147" s="114">
        <f>Financials!AM$8*$C147</f>
        <v>17572.46406</v>
      </c>
      <c r="AO147" s="114">
        <f>Financials!AN$8*$C147</f>
        <v>18069.36224</v>
      </c>
      <c r="AP147" s="114">
        <f>Financials!AO$8*$C147</f>
        <v>18564.89695</v>
      </c>
      <c r="AQ147" s="114">
        <f>Financials!AP$8*$C147</f>
        <v>19059.10229</v>
      </c>
      <c r="AR147" s="114">
        <f>Financials!AQ$8*$C147</f>
        <v>19552.01149</v>
      </c>
      <c r="AS147" s="114">
        <f>Financials!AR$8*$C147</f>
        <v>20043.65695</v>
      </c>
      <c r="AT147" s="114">
        <f>Financials!AS$8*$C147</f>
        <v>20534.07027</v>
      </c>
      <c r="AU147" s="114">
        <f>Financials!AT$8*$C147</f>
        <v>21023.28225</v>
      </c>
      <c r="AV147" s="114">
        <f>Financials!AU$8*$C147</f>
        <v>21511.32291</v>
      </c>
      <c r="AW147" s="114">
        <f>Financials!AV$8*$C147</f>
        <v>21998.22156</v>
      </c>
      <c r="AX147" s="114">
        <f>Financials!AW$8*$C147</f>
        <v>22484.00673</v>
      </c>
      <c r="AY147" s="114">
        <f>Financials!AX$8*$C147</f>
        <v>22968.70627</v>
      </c>
      <c r="AZ147" s="114">
        <f>Financials!AY$8*$C147</f>
        <v>23452.3473</v>
      </c>
      <c r="BA147" s="114">
        <f>Financials!AZ$8*$C147</f>
        <v>23934.95631</v>
      </c>
      <c r="BB147" s="114">
        <f>Financials!BA$8*$C147</f>
        <v>24416.55908</v>
      </c>
      <c r="BC147" s="114">
        <f>Financials!BB$8*$C147</f>
        <v>24897.18077</v>
      </c>
      <c r="BD147" s="114">
        <f>Financials!BC$8*$C147</f>
        <v>25376.84592</v>
      </c>
      <c r="BE147" s="114">
        <f>Financials!BD$8*$C147</f>
        <v>25855.57843</v>
      </c>
      <c r="BF147" s="114">
        <f>Financials!BE$8*$C147</f>
        <v>26333.40161</v>
      </c>
      <c r="BG147" s="114">
        <f>Financials!BF$8*$C147</f>
        <v>26810.33822</v>
      </c>
      <c r="BH147" s="114">
        <f>Financials!BG$8*$C147</f>
        <v>27286.41039</v>
      </c>
      <c r="BI147" s="114">
        <f>Financials!BH$8*$C147</f>
        <v>27761.63976</v>
      </c>
      <c r="BJ147" s="114">
        <f>Financials!BI$8*$C147</f>
        <v>28236.04738</v>
      </c>
      <c r="BK147" s="114">
        <f>Financials!BJ$8*$C147</f>
        <v>28709.65381</v>
      </c>
      <c r="BL147" s="114">
        <f>Financials!BK$8*$C147</f>
        <v>29182.47907</v>
      </c>
      <c r="BM147" s="114">
        <f>Financials!BL$8*$C147</f>
        <v>29654.54268</v>
      </c>
      <c r="BN147" s="114">
        <f>Financials!BM$8*$C147</f>
        <v>30125.8637</v>
      </c>
    </row>
    <row r="148" hidden="1" outlineLevel="1">
      <c r="A148" s="47"/>
      <c r="B148" s="124" t="s">
        <v>99</v>
      </c>
      <c r="C148" s="123">
        <v>0.05</v>
      </c>
      <c r="D148" s="47"/>
      <c r="E148" s="47"/>
      <c r="F148" s="114"/>
      <c r="G148" s="114">
        <f>Financials!F$8*$C148</f>
        <v>425.8125</v>
      </c>
      <c r="H148" s="114">
        <f>Financials!G$8*$C148</f>
        <v>881.2403125</v>
      </c>
      <c r="I148" s="114">
        <f>Financials!H$8*$C148</f>
        <v>1357.866808</v>
      </c>
      <c r="J148" s="114">
        <f>Financials!I$8*$C148</f>
        <v>1857.81836</v>
      </c>
      <c r="K148" s="114">
        <f>Financials!J$8*$C148</f>
        <v>2384.725319</v>
      </c>
      <c r="L148" s="114">
        <f>Financials!K$8*$C148</f>
        <v>2940.227375</v>
      </c>
      <c r="M148" s="114">
        <f>Financials!L$8*$C148</f>
        <v>3492.236503</v>
      </c>
      <c r="N148" s="114">
        <f>Financials!M$8*$C148</f>
        <v>4041.472555</v>
      </c>
      <c r="O148" s="114">
        <f>Financials!N$8*$C148</f>
        <v>4588.014345</v>
      </c>
      <c r="P148" s="114">
        <f>Financials!O$8*$C148</f>
        <v>5131.929373</v>
      </c>
      <c r="Q148" s="114">
        <f>Financials!P$8*$C148</f>
        <v>5674.408308</v>
      </c>
      <c r="R148" s="114">
        <f>Financials!Q$8*$C148</f>
        <v>6214.400805</v>
      </c>
      <c r="S148" s="114">
        <f>Financials!R$8*$C148</f>
        <v>6751.95273</v>
      </c>
      <c r="T148" s="114">
        <f>Financials!S$8*$C148</f>
        <v>7287.124853</v>
      </c>
      <c r="U148" s="114">
        <f>Financials!T$8*$C148</f>
        <v>7819.976664</v>
      </c>
      <c r="V148" s="114">
        <f>Financials!U$8*$C148</f>
        <v>8350.566173</v>
      </c>
      <c r="W148" s="114">
        <f>Financials!V$8*$C148</f>
        <v>8878.949937</v>
      </c>
      <c r="X148" s="114">
        <f>Financials!W$8*$C148</f>
        <v>9405.183099</v>
      </c>
      <c r="Y148" s="114">
        <f>Financials!X$8*$C148</f>
        <v>9929.319424</v>
      </c>
      <c r="Z148" s="114">
        <f>Financials!Y$8*$C148</f>
        <v>10451.41133</v>
      </c>
      <c r="AA148" s="114">
        <f>Financials!Z$8*$C148</f>
        <v>10971.50994</v>
      </c>
      <c r="AB148" s="114">
        <f>Financials!AA$8*$C148</f>
        <v>11489.66507</v>
      </c>
      <c r="AC148" s="114">
        <f>Financials!AB$8*$C148</f>
        <v>12005.92531</v>
      </c>
      <c r="AD148" s="114">
        <f>Financials!AC$8*$C148</f>
        <v>12520.33804</v>
      </c>
      <c r="AE148" s="114">
        <f>Financials!AD$8*$C148</f>
        <v>13032.94945</v>
      </c>
      <c r="AF148" s="114">
        <f>Financials!AE$8*$C148</f>
        <v>13543.80456</v>
      </c>
      <c r="AG148" s="114">
        <f>Financials!AF$8*$C148</f>
        <v>14052.94729</v>
      </c>
      <c r="AH148" s="114">
        <f>Financials!AG$8*$C148</f>
        <v>14560.42044</v>
      </c>
      <c r="AI148" s="114">
        <f>Financials!AH$8*$C148</f>
        <v>15066.26575</v>
      </c>
      <c r="AJ148" s="114">
        <f>Financials!AI$8*$C148</f>
        <v>15570.52393</v>
      </c>
      <c r="AK148" s="114">
        <f>Financials!AJ$8*$C148</f>
        <v>16073.23464</v>
      </c>
      <c r="AL148" s="114">
        <f>Financials!AK$8*$C148</f>
        <v>16574.43658</v>
      </c>
      <c r="AM148" s="114">
        <f>Financials!AL$8*$C148</f>
        <v>17074.16746</v>
      </c>
      <c r="AN148" s="114">
        <f>Financials!AM$8*$C148</f>
        <v>17572.46406</v>
      </c>
      <c r="AO148" s="114">
        <f>Financials!AN$8*$C148</f>
        <v>18069.36224</v>
      </c>
      <c r="AP148" s="114">
        <f>Financials!AO$8*$C148</f>
        <v>18564.89695</v>
      </c>
      <c r="AQ148" s="114">
        <f>Financials!AP$8*$C148</f>
        <v>19059.10229</v>
      </c>
      <c r="AR148" s="114">
        <f>Financials!AQ$8*$C148</f>
        <v>19552.01149</v>
      </c>
      <c r="AS148" s="114">
        <f>Financials!AR$8*$C148</f>
        <v>20043.65695</v>
      </c>
      <c r="AT148" s="114">
        <f>Financials!AS$8*$C148</f>
        <v>20534.07027</v>
      </c>
      <c r="AU148" s="114">
        <f>Financials!AT$8*$C148</f>
        <v>21023.28225</v>
      </c>
      <c r="AV148" s="114">
        <f>Financials!AU$8*$C148</f>
        <v>21511.32291</v>
      </c>
      <c r="AW148" s="114">
        <f>Financials!AV$8*$C148</f>
        <v>21998.22156</v>
      </c>
      <c r="AX148" s="114">
        <f>Financials!AW$8*$C148</f>
        <v>22484.00673</v>
      </c>
      <c r="AY148" s="114">
        <f>Financials!AX$8*$C148</f>
        <v>22968.70627</v>
      </c>
      <c r="AZ148" s="114">
        <f>Financials!AY$8*$C148</f>
        <v>23452.3473</v>
      </c>
      <c r="BA148" s="114">
        <f>Financials!AZ$8*$C148</f>
        <v>23934.95631</v>
      </c>
      <c r="BB148" s="114">
        <f>Financials!BA$8*$C148</f>
        <v>24416.55908</v>
      </c>
      <c r="BC148" s="114">
        <f>Financials!BB$8*$C148</f>
        <v>24897.18077</v>
      </c>
      <c r="BD148" s="114">
        <f>Financials!BC$8*$C148</f>
        <v>25376.84592</v>
      </c>
      <c r="BE148" s="114">
        <f>Financials!BD$8*$C148</f>
        <v>25855.57843</v>
      </c>
      <c r="BF148" s="114">
        <f>Financials!BE$8*$C148</f>
        <v>26333.40161</v>
      </c>
      <c r="BG148" s="114">
        <f>Financials!BF$8*$C148</f>
        <v>26810.33822</v>
      </c>
      <c r="BH148" s="114">
        <f>Financials!BG$8*$C148</f>
        <v>27286.41039</v>
      </c>
      <c r="BI148" s="114">
        <f>Financials!BH$8*$C148</f>
        <v>27761.63976</v>
      </c>
      <c r="BJ148" s="114">
        <f>Financials!BI$8*$C148</f>
        <v>28236.04738</v>
      </c>
      <c r="BK148" s="114">
        <f>Financials!BJ$8*$C148</f>
        <v>28709.65381</v>
      </c>
      <c r="BL148" s="114">
        <f>Financials!BK$8*$C148</f>
        <v>29182.47907</v>
      </c>
      <c r="BM148" s="114">
        <f>Financials!BL$8*$C148</f>
        <v>29654.54268</v>
      </c>
      <c r="BN148" s="114">
        <f>Financials!BM$8*$C148</f>
        <v>30125.8637</v>
      </c>
    </row>
    <row r="149" hidden="1" outlineLevel="1">
      <c r="A149" s="47"/>
      <c r="B149" s="125" t="s">
        <v>100</v>
      </c>
      <c r="C149" s="126">
        <v>0.05</v>
      </c>
      <c r="D149" s="61"/>
      <c r="E149" s="61"/>
      <c r="F149" s="127"/>
      <c r="G149" s="127">
        <f>Financials!F$8*$C149</f>
        <v>425.8125</v>
      </c>
      <c r="H149" s="127">
        <f>Financials!G$8*$C149</f>
        <v>881.2403125</v>
      </c>
      <c r="I149" s="127">
        <f>Financials!H$8*$C149</f>
        <v>1357.866808</v>
      </c>
      <c r="J149" s="127">
        <f>Financials!I$8*$C149</f>
        <v>1857.81836</v>
      </c>
      <c r="K149" s="127">
        <f>Financials!J$8*$C149</f>
        <v>2384.725319</v>
      </c>
      <c r="L149" s="127">
        <f>Financials!K$8*$C149</f>
        <v>2940.227375</v>
      </c>
      <c r="M149" s="127">
        <f>Financials!L$8*$C149</f>
        <v>3492.236503</v>
      </c>
      <c r="N149" s="127">
        <f>Financials!M$8*$C149</f>
        <v>4041.472555</v>
      </c>
      <c r="O149" s="127">
        <f>Financials!N$8*$C149</f>
        <v>4588.014345</v>
      </c>
      <c r="P149" s="127">
        <f>Financials!O$8*$C149</f>
        <v>5131.929373</v>
      </c>
      <c r="Q149" s="127">
        <f>Financials!P$8*$C149</f>
        <v>5674.408308</v>
      </c>
      <c r="R149" s="127">
        <f>Financials!Q$8*$C149</f>
        <v>6214.400805</v>
      </c>
      <c r="S149" s="127">
        <f>Financials!R$8*$C149</f>
        <v>6751.95273</v>
      </c>
      <c r="T149" s="127">
        <f>Financials!S$8*$C149</f>
        <v>7287.124853</v>
      </c>
      <c r="U149" s="127">
        <f>Financials!T$8*$C149</f>
        <v>7819.976664</v>
      </c>
      <c r="V149" s="127">
        <f>Financials!U$8*$C149</f>
        <v>8350.566173</v>
      </c>
      <c r="W149" s="127">
        <f>Financials!V$8*$C149</f>
        <v>8878.949937</v>
      </c>
      <c r="X149" s="127">
        <f>Financials!W$8*$C149</f>
        <v>9405.183099</v>
      </c>
      <c r="Y149" s="127">
        <f>Financials!X$8*$C149</f>
        <v>9929.319424</v>
      </c>
      <c r="Z149" s="127">
        <f>Financials!Y$8*$C149</f>
        <v>10451.41133</v>
      </c>
      <c r="AA149" s="127">
        <f>Financials!Z$8*$C149</f>
        <v>10971.50994</v>
      </c>
      <c r="AB149" s="127">
        <f>Financials!AA$8*$C149</f>
        <v>11489.66507</v>
      </c>
      <c r="AC149" s="127">
        <f>Financials!AB$8*$C149</f>
        <v>12005.92531</v>
      </c>
      <c r="AD149" s="127">
        <f>Financials!AC$8*$C149</f>
        <v>12520.33804</v>
      </c>
      <c r="AE149" s="127">
        <f>Financials!AD$8*$C149</f>
        <v>13032.94945</v>
      </c>
      <c r="AF149" s="127">
        <f>Financials!AE$8*$C149</f>
        <v>13543.80456</v>
      </c>
      <c r="AG149" s="127">
        <f>Financials!AF$8*$C149</f>
        <v>14052.94729</v>
      </c>
      <c r="AH149" s="127">
        <f>Financials!AG$8*$C149</f>
        <v>14560.42044</v>
      </c>
      <c r="AI149" s="127">
        <f>Financials!AH$8*$C149</f>
        <v>15066.26575</v>
      </c>
      <c r="AJ149" s="127">
        <f>Financials!AI$8*$C149</f>
        <v>15570.52393</v>
      </c>
      <c r="AK149" s="127">
        <f>Financials!AJ$8*$C149</f>
        <v>16073.23464</v>
      </c>
      <c r="AL149" s="127">
        <f>Financials!AK$8*$C149</f>
        <v>16574.43658</v>
      </c>
      <c r="AM149" s="127">
        <f>Financials!AL$8*$C149</f>
        <v>17074.16746</v>
      </c>
      <c r="AN149" s="127">
        <f>Financials!AM$8*$C149</f>
        <v>17572.46406</v>
      </c>
      <c r="AO149" s="127">
        <f>Financials!AN$8*$C149</f>
        <v>18069.36224</v>
      </c>
      <c r="AP149" s="127">
        <f>Financials!AO$8*$C149</f>
        <v>18564.89695</v>
      </c>
      <c r="AQ149" s="127">
        <f>Financials!AP$8*$C149</f>
        <v>19059.10229</v>
      </c>
      <c r="AR149" s="127">
        <f>Financials!AQ$8*$C149</f>
        <v>19552.01149</v>
      </c>
      <c r="AS149" s="127">
        <f>Financials!AR$8*$C149</f>
        <v>20043.65695</v>
      </c>
      <c r="AT149" s="127">
        <f>Financials!AS$8*$C149</f>
        <v>20534.07027</v>
      </c>
      <c r="AU149" s="127">
        <f>Financials!AT$8*$C149</f>
        <v>21023.28225</v>
      </c>
      <c r="AV149" s="127">
        <f>Financials!AU$8*$C149</f>
        <v>21511.32291</v>
      </c>
      <c r="AW149" s="127">
        <f>Financials!AV$8*$C149</f>
        <v>21998.22156</v>
      </c>
      <c r="AX149" s="127">
        <f>Financials!AW$8*$C149</f>
        <v>22484.00673</v>
      </c>
      <c r="AY149" s="127">
        <f>Financials!AX$8*$C149</f>
        <v>22968.70627</v>
      </c>
      <c r="AZ149" s="127">
        <f>Financials!AY$8*$C149</f>
        <v>23452.3473</v>
      </c>
      <c r="BA149" s="127">
        <f>Financials!AZ$8*$C149</f>
        <v>23934.95631</v>
      </c>
      <c r="BB149" s="127">
        <f>Financials!BA$8*$C149</f>
        <v>24416.55908</v>
      </c>
      <c r="BC149" s="127">
        <f>Financials!BB$8*$C149</f>
        <v>24897.18077</v>
      </c>
      <c r="BD149" s="127">
        <f>Financials!BC$8*$C149</f>
        <v>25376.84592</v>
      </c>
      <c r="BE149" s="127">
        <f>Financials!BD$8*$C149</f>
        <v>25855.57843</v>
      </c>
      <c r="BF149" s="127">
        <f>Financials!BE$8*$C149</f>
        <v>26333.40161</v>
      </c>
      <c r="BG149" s="127">
        <f>Financials!BF$8*$C149</f>
        <v>26810.33822</v>
      </c>
      <c r="BH149" s="127">
        <f>Financials!BG$8*$C149</f>
        <v>27286.41039</v>
      </c>
      <c r="BI149" s="127">
        <f>Financials!BH$8*$C149</f>
        <v>27761.63976</v>
      </c>
      <c r="BJ149" s="127">
        <f>Financials!BI$8*$C149</f>
        <v>28236.04738</v>
      </c>
      <c r="BK149" s="127">
        <f>Financials!BJ$8*$C149</f>
        <v>28709.65381</v>
      </c>
      <c r="BL149" s="127">
        <f>Financials!BK$8*$C149</f>
        <v>29182.47907</v>
      </c>
      <c r="BM149" s="127">
        <f>Financials!BL$8*$C149</f>
        <v>29654.54268</v>
      </c>
      <c r="BN149" s="127">
        <f>Financials!BM$8*$C149</f>
        <v>30125.8637</v>
      </c>
    </row>
    <row r="150" hidden="1" outlineLevel="1">
      <c r="A150" s="128"/>
      <c r="B150" s="129" t="s">
        <v>101</v>
      </c>
      <c r="C150" s="128"/>
      <c r="D150" s="128"/>
      <c r="E150" s="128"/>
      <c r="F150" s="128"/>
      <c r="G150" s="130">
        <f t="shared" ref="G150:BN150" si="110">sum(G142:G149)</f>
        <v>2980.6875</v>
      </c>
      <c r="H150" s="130">
        <f t="shared" si="110"/>
        <v>6168.682188</v>
      </c>
      <c r="I150" s="130">
        <f t="shared" si="110"/>
        <v>9505.067655</v>
      </c>
      <c r="J150" s="130">
        <f t="shared" si="110"/>
        <v>13004.72852</v>
      </c>
      <c r="K150" s="130">
        <f t="shared" si="110"/>
        <v>16693.07723</v>
      </c>
      <c r="L150" s="130">
        <f t="shared" si="110"/>
        <v>20581.59162</v>
      </c>
      <c r="M150" s="130">
        <f t="shared" si="110"/>
        <v>24445.65552</v>
      </c>
      <c r="N150" s="130">
        <f t="shared" si="110"/>
        <v>28290.30788</v>
      </c>
      <c r="O150" s="130">
        <f t="shared" si="110"/>
        <v>32116.10042</v>
      </c>
      <c r="P150" s="130">
        <f t="shared" si="110"/>
        <v>35923.50561</v>
      </c>
      <c r="Q150" s="130">
        <f t="shared" si="110"/>
        <v>39720.85816</v>
      </c>
      <c r="R150" s="130">
        <f t="shared" si="110"/>
        <v>43500.80564</v>
      </c>
      <c r="S150" s="130">
        <f t="shared" si="110"/>
        <v>47263.66911</v>
      </c>
      <c r="T150" s="130">
        <f t="shared" si="110"/>
        <v>51009.87397</v>
      </c>
      <c r="U150" s="130">
        <f t="shared" si="110"/>
        <v>54739.83665</v>
      </c>
      <c r="V150" s="130">
        <f t="shared" si="110"/>
        <v>58453.96321</v>
      </c>
      <c r="W150" s="130">
        <f t="shared" si="110"/>
        <v>62152.64956</v>
      </c>
      <c r="X150" s="130">
        <f t="shared" si="110"/>
        <v>65836.28169</v>
      </c>
      <c r="Y150" s="130">
        <f t="shared" si="110"/>
        <v>69505.23597</v>
      </c>
      <c r="Z150" s="130">
        <f t="shared" si="110"/>
        <v>73159.87933</v>
      </c>
      <c r="AA150" s="130">
        <f t="shared" si="110"/>
        <v>76800.56956</v>
      </c>
      <c r="AB150" s="130">
        <f t="shared" si="110"/>
        <v>80427.65547</v>
      </c>
      <c r="AC150" s="130">
        <f t="shared" si="110"/>
        <v>84041.47719</v>
      </c>
      <c r="AD150" s="130">
        <f t="shared" si="110"/>
        <v>87642.36631</v>
      </c>
      <c r="AE150" s="130">
        <f t="shared" si="110"/>
        <v>91230.64614</v>
      </c>
      <c r="AF150" s="130">
        <f t="shared" si="110"/>
        <v>94806.63193</v>
      </c>
      <c r="AG150" s="130">
        <f t="shared" si="110"/>
        <v>98370.63102</v>
      </c>
      <c r="AH150" s="130">
        <f t="shared" si="110"/>
        <v>101922.9431</v>
      </c>
      <c r="AI150" s="130">
        <f t="shared" si="110"/>
        <v>105463.8603</v>
      </c>
      <c r="AJ150" s="130">
        <f t="shared" si="110"/>
        <v>108993.6675</v>
      </c>
      <c r="AK150" s="130">
        <f t="shared" si="110"/>
        <v>112512.6425</v>
      </c>
      <c r="AL150" s="130">
        <f t="shared" si="110"/>
        <v>116021.056</v>
      </c>
      <c r="AM150" s="130">
        <f t="shared" si="110"/>
        <v>119519.1722</v>
      </c>
      <c r="AN150" s="130">
        <f t="shared" si="110"/>
        <v>123007.2484</v>
      </c>
      <c r="AO150" s="130">
        <f t="shared" si="110"/>
        <v>126485.5356</v>
      </c>
      <c r="AP150" s="130">
        <f t="shared" si="110"/>
        <v>129954.2787</v>
      </c>
      <c r="AQ150" s="130">
        <f t="shared" si="110"/>
        <v>133413.716</v>
      </c>
      <c r="AR150" s="130">
        <f t="shared" si="110"/>
        <v>136864.0804</v>
      </c>
      <c r="AS150" s="130">
        <f t="shared" si="110"/>
        <v>140305.5987</v>
      </c>
      <c r="AT150" s="130">
        <f t="shared" si="110"/>
        <v>143738.4919</v>
      </c>
      <c r="AU150" s="130">
        <f t="shared" si="110"/>
        <v>147162.9757</v>
      </c>
      <c r="AV150" s="130">
        <f t="shared" si="110"/>
        <v>150579.2604</v>
      </c>
      <c r="AW150" s="130">
        <f t="shared" si="110"/>
        <v>153987.5509</v>
      </c>
      <c r="AX150" s="130">
        <f t="shared" si="110"/>
        <v>157388.0471</v>
      </c>
      <c r="AY150" s="130">
        <f t="shared" si="110"/>
        <v>160780.9439</v>
      </c>
      <c r="AZ150" s="130">
        <f t="shared" si="110"/>
        <v>164166.4311</v>
      </c>
      <c r="BA150" s="130">
        <f t="shared" si="110"/>
        <v>167544.6942</v>
      </c>
      <c r="BB150" s="130">
        <f t="shared" si="110"/>
        <v>170915.9136</v>
      </c>
      <c r="BC150" s="130">
        <f t="shared" si="110"/>
        <v>174280.2654</v>
      </c>
      <c r="BD150" s="130">
        <f t="shared" si="110"/>
        <v>177637.9214</v>
      </c>
      <c r="BE150" s="130">
        <f t="shared" si="110"/>
        <v>180989.049</v>
      </c>
      <c r="BF150" s="130">
        <f t="shared" si="110"/>
        <v>184333.8113</v>
      </c>
      <c r="BG150" s="130">
        <f t="shared" si="110"/>
        <v>187672.3675</v>
      </c>
      <c r="BH150" s="130">
        <f t="shared" si="110"/>
        <v>191004.8728</v>
      </c>
      <c r="BI150" s="130">
        <f t="shared" si="110"/>
        <v>194331.4783</v>
      </c>
      <c r="BJ150" s="130">
        <f t="shared" si="110"/>
        <v>197652.3317</v>
      </c>
      <c r="BK150" s="130">
        <f t="shared" si="110"/>
        <v>200967.5767</v>
      </c>
      <c r="BL150" s="130">
        <f t="shared" si="110"/>
        <v>204277.3535</v>
      </c>
      <c r="BM150" s="130">
        <f t="shared" si="110"/>
        <v>207581.7988</v>
      </c>
      <c r="BN150" s="130">
        <f t="shared" si="110"/>
        <v>210881.0459</v>
      </c>
    </row>
    <row r="151" hidden="1" outlineLevel="1">
      <c r="A151" s="47"/>
      <c r="B151" s="66"/>
      <c r="C151" s="47"/>
      <c r="D151" s="47"/>
      <c r="E151" s="47"/>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c r="AI151" s="114"/>
      <c r="AJ151" s="114"/>
      <c r="AK151" s="114"/>
      <c r="AL151" s="114"/>
      <c r="AM151" s="114"/>
      <c r="AN151" s="114"/>
      <c r="AO151" s="114"/>
      <c r="AP151" s="114"/>
      <c r="AQ151" s="114"/>
      <c r="AR151" s="114"/>
      <c r="AS151" s="114"/>
      <c r="AT151" s="114"/>
      <c r="AU151" s="114"/>
      <c r="AV151" s="114"/>
      <c r="AW151" s="114"/>
      <c r="AX151" s="114"/>
      <c r="AY151" s="114"/>
      <c r="AZ151" s="114"/>
      <c r="BA151" s="114"/>
      <c r="BB151" s="114"/>
      <c r="BC151" s="114"/>
      <c r="BD151" s="114"/>
      <c r="BE151" s="114"/>
      <c r="BF151" s="114"/>
      <c r="BG151" s="114"/>
      <c r="BH151" s="114"/>
      <c r="BI151" s="114"/>
      <c r="BJ151" s="114"/>
      <c r="BK151" s="114"/>
      <c r="BL151" s="114"/>
      <c r="BM151" s="114"/>
      <c r="BN151" s="114"/>
    </row>
    <row r="152" hidden="1" outlineLevel="1">
      <c r="A152" s="47"/>
      <c r="B152" s="66" t="s">
        <v>102</v>
      </c>
      <c r="C152" s="66"/>
      <c r="D152" s="116"/>
      <c r="E152" s="47"/>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c r="BC152" s="114"/>
      <c r="BD152" s="114"/>
      <c r="BE152" s="114"/>
      <c r="BF152" s="114"/>
      <c r="BG152" s="114"/>
      <c r="BH152" s="114"/>
      <c r="BI152" s="114"/>
      <c r="BJ152" s="114"/>
      <c r="BK152" s="114"/>
      <c r="BL152" s="114"/>
      <c r="BM152" s="114"/>
      <c r="BN152" s="114"/>
    </row>
    <row r="153" hidden="1" outlineLevel="1">
      <c r="A153" s="67"/>
      <c r="B153" s="121" t="s">
        <v>103</v>
      </c>
      <c r="C153" s="131">
        <v>2500.0</v>
      </c>
      <c r="E153" s="67"/>
      <c r="F153" s="114"/>
      <c r="G153" s="114">
        <f t="shared" ref="G153:G163" si="112">C153</f>
        <v>2500</v>
      </c>
      <c r="H153" s="114">
        <f t="shared" ref="H153:BN153" si="111">G153</f>
        <v>2500</v>
      </c>
      <c r="I153" s="114">
        <f t="shared" si="111"/>
        <v>2500</v>
      </c>
      <c r="J153" s="114">
        <f t="shared" si="111"/>
        <v>2500</v>
      </c>
      <c r="K153" s="114">
        <f t="shared" si="111"/>
        <v>2500</v>
      </c>
      <c r="L153" s="114">
        <f t="shared" si="111"/>
        <v>2500</v>
      </c>
      <c r="M153" s="114">
        <f t="shared" si="111"/>
        <v>2500</v>
      </c>
      <c r="N153" s="114">
        <f t="shared" si="111"/>
        <v>2500</v>
      </c>
      <c r="O153" s="114">
        <f t="shared" si="111"/>
        <v>2500</v>
      </c>
      <c r="P153" s="114">
        <f t="shared" si="111"/>
        <v>2500</v>
      </c>
      <c r="Q153" s="114">
        <f t="shared" si="111"/>
        <v>2500</v>
      </c>
      <c r="R153" s="114">
        <f t="shared" si="111"/>
        <v>2500</v>
      </c>
      <c r="S153" s="114">
        <f t="shared" si="111"/>
        <v>2500</v>
      </c>
      <c r="T153" s="114">
        <f t="shared" si="111"/>
        <v>2500</v>
      </c>
      <c r="U153" s="114">
        <f t="shared" si="111"/>
        <v>2500</v>
      </c>
      <c r="V153" s="114">
        <f t="shared" si="111"/>
        <v>2500</v>
      </c>
      <c r="W153" s="114">
        <f t="shared" si="111"/>
        <v>2500</v>
      </c>
      <c r="X153" s="114">
        <f t="shared" si="111"/>
        <v>2500</v>
      </c>
      <c r="Y153" s="114">
        <f t="shared" si="111"/>
        <v>2500</v>
      </c>
      <c r="Z153" s="114">
        <f t="shared" si="111"/>
        <v>2500</v>
      </c>
      <c r="AA153" s="114">
        <f t="shared" si="111"/>
        <v>2500</v>
      </c>
      <c r="AB153" s="114">
        <f t="shared" si="111"/>
        <v>2500</v>
      </c>
      <c r="AC153" s="114">
        <f t="shared" si="111"/>
        <v>2500</v>
      </c>
      <c r="AD153" s="114">
        <f t="shared" si="111"/>
        <v>2500</v>
      </c>
      <c r="AE153" s="114">
        <f t="shared" si="111"/>
        <v>2500</v>
      </c>
      <c r="AF153" s="114">
        <f t="shared" si="111"/>
        <v>2500</v>
      </c>
      <c r="AG153" s="114">
        <f t="shared" si="111"/>
        <v>2500</v>
      </c>
      <c r="AH153" s="114">
        <f t="shared" si="111"/>
        <v>2500</v>
      </c>
      <c r="AI153" s="114">
        <f t="shared" si="111"/>
        <v>2500</v>
      </c>
      <c r="AJ153" s="114">
        <f t="shared" si="111"/>
        <v>2500</v>
      </c>
      <c r="AK153" s="114">
        <f t="shared" si="111"/>
        <v>2500</v>
      </c>
      <c r="AL153" s="114">
        <f t="shared" si="111"/>
        <v>2500</v>
      </c>
      <c r="AM153" s="114">
        <f t="shared" si="111"/>
        <v>2500</v>
      </c>
      <c r="AN153" s="114">
        <f t="shared" si="111"/>
        <v>2500</v>
      </c>
      <c r="AO153" s="114">
        <f t="shared" si="111"/>
        <v>2500</v>
      </c>
      <c r="AP153" s="114">
        <f t="shared" si="111"/>
        <v>2500</v>
      </c>
      <c r="AQ153" s="114">
        <f t="shared" si="111"/>
        <v>2500</v>
      </c>
      <c r="AR153" s="114">
        <f t="shared" si="111"/>
        <v>2500</v>
      </c>
      <c r="AS153" s="114">
        <f t="shared" si="111"/>
        <v>2500</v>
      </c>
      <c r="AT153" s="114">
        <f t="shared" si="111"/>
        <v>2500</v>
      </c>
      <c r="AU153" s="114">
        <f t="shared" si="111"/>
        <v>2500</v>
      </c>
      <c r="AV153" s="114">
        <f t="shared" si="111"/>
        <v>2500</v>
      </c>
      <c r="AW153" s="114">
        <f t="shared" si="111"/>
        <v>2500</v>
      </c>
      <c r="AX153" s="114">
        <f t="shared" si="111"/>
        <v>2500</v>
      </c>
      <c r="AY153" s="114">
        <f t="shared" si="111"/>
        <v>2500</v>
      </c>
      <c r="AZ153" s="114">
        <f t="shared" si="111"/>
        <v>2500</v>
      </c>
      <c r="BA153" s="114">
        <f t="shared" si="111"/>
        <v>2500</v>
      </c>
      <c r="BB153" s="114">
        <f t="shared" si="111"/>
        <v>2500</v>
      </c>
      <c r="BC153" s="114">
        <f t="shared" si="111"/>
        <v>2500</v>
      </c>
      <c r="BD153" s="114">
        <f t="shared" si="111"/>
        <v>2500</v>
      </c>
      <c r="BE153" s="114">
        <f t="shared" si="111"/>
        <v>2500</v>
      </c>
      <c r="BF153" s="114">
        <f t="shared" si="111"/>
        <v>2500</v>
      </c>
      <c r="BG153" s="114">
        <f t="shared" si="111"/>
        <v>2500</v>
      </c>
      <c r="BH153" s="114">
        <f t="shared" si="111"/>
        <v>2500</v>
      </c>
      <c r="BI153" s="114">
        <f t="shared" si="111"/>
        <v>2500</v>
      </c>
      <c r="BJ153" s="114">
        <f t="shared" si="111"/>
        <v>2500</v>
      </c>
      <c r="BK153" s="114">
        <f t="shared" si="111"/>
        <v>2500</v>
      </c>
      <c r="BL153" s="114">
        <f t="shared" si="111"/>
        <v>2500</v>
      </c>
      <c r="BM153" s="114">
        <f t="shared" si="111"/>
        <v>2500</v>
      </c>
      <c r="BN153" s="114">
        <f t="shared" si="111"/>
        <v>2500</v>
      </c>
    </row>
    <row r="154" hidden="1" outlineLevel="1">
      <c r="A154" s="67"/>
      <c r="B154" s="121" t="s">
        <v>104</v>
      </c>
      <c r="C154" s="131">
        <v>2500.0</v>
      </c>
      <c r="E154" s="67"/>
      <c r="F154" s="114"/>
      <c r="G154" s="114">
        <f t="shared" si="112"/>
        <v>2500</v>
      </c>
      <c r="H154" s="114">
        <f t="shared" ref="H154:BN154" si="113">G154</f>
        <v>2500</v>
      </c>
      <c r="I154" s="114">
        <f t="shared" si="113"/>
        <v>2500</v>
      </c>
      <c r="J154" s="114">
        <f t="shared" si="113"/>
        <v>2500</v>
      </c>
      <c r="K154" s="114">
        <f t="shared" si="113"/>
        <v>2500</v>
      </c>
      <c r="L154" s="114">
        <f t="shared" si="113"/>
        <v>2500</v>
      </c>
      <c r="M154" s="114">
        <f t="shared" si="113"/>
        <v>2500</v>
      </c>
      <c r="N154" s="114">
        <f t="shared" si="113"/>
        <v>2500</v>
      </c>
      <c r="O154" s="114">
        <f t="shared" si="113"/>
        <v>2500</v>
      </c>
      <c r="P154" s="114">
        <f t="shared" si="113"/>
        <v>2500</v>
      </c>
      <c r="Q154" s="114">
        <f t="shared" si="113"/>
        <v>2500</v>
      </c>
      <c r="R154" s="114">
        <f t="shared" si="113"/>
        <v>2500</v>
      </c>
      <c r="S154" s="114">
        <f t="shared" si="113"/>
        <v>2500</v>
      </c>
      <c r="T154" s="114">
        <f t="shared" si="113"/>
        <v>2500</v>
      </c>
      <c r="U154" s="114">
        <f t="shared" si="113"/>
        <v>2500</v>
      </c>
      <c r="V154" s="114">
        <f t="shared" si="113"/>
        <v>2500</v>
      </c>
      <c r="W154" s="114">
        <f t="shared" si="113"/>
        <v>2500</v>
      </c>
      <c r="X154" s="114">
        <f t="shared" si="113"/>
        <v>2500</v>
      </c>
      <c r="Y154" s="114">
        <f t="shared" si="113"/>
        <v>2500</v>
      </c>
      <c r="Z154" s="114">
        <f t="shared" si="113"/>
        <v>2500</v>
      </c>
      <c r="AA154" s="114">
        <f t="shared" si="113"/>
        <v>2500</v>
      </c>
      <c r="AB154" s="114">
        <f t="shared" si="113"/>
        <v>2500</v>
      </c>
      <c r="AC154" s="114">
        <f t="shared" si="113"/>
        <v>2500</v>
      </c>
      <c r="AD154" s="114">
        <f t="shared" si="113"/>
        <v>2500</v>
      </c>
      <c r="AE154" s="114">
        <f t="shared" si="113"/>
        <v>2500</v>
      </c>
      <c r="AF154" s="114">
        <f t="shared" si="113"/>
        <v>2500</v>
      </c>
      <c r="AG154" s="114">
        <f t="shared" si="113"/>
        <v>2500</v>
      </c>
      <c r="AH154" s="114">
        <f t="shared" si="113"/>
        <v>2500</v>
      </c>
      <c r="AI154" s="114">
        <f t="shared" si="113"/>
        <v>2500</v>
      </c>
      <c r="AJ154" s="114">
        <f t="shared" si="113"/>
        <v>2500</v>
      </c>
      <c r="AK154" s="114">
        <f t="shared" si="113"/>
        <v>2500</v>
      </c>
      <c r="AL154" s="114">
        <f t="shared" si="113"/>
        <v>2500</v>
      </c>
      <c r="AM154" s="114">
        <f t="shared" si="113"/>
        <v>2500</v>
      </c>
      <c r="AN154" s="114">
        <f t="shared" si="113"/>
        <v>2500</v>
      </c>
      <c r="AO154" s="114">
        <f t="shared" si="113"/>
        <v>2500</v>
      </c>
      <c r="AP154" s="114">
        <f t="shared" si="113"/>
        <v>2500</v>
      </c>
      <c r="AQ154" s="114">
        <f t="shared" si="113"/>
        <v>2500</v>
      </c>
      <c r="AR154" s="114">
        <f t="shared" si="113"/>
        <v>2500</v>
      </c>
      <c r="AS154" s="114">
        <f t="shared" si="113"/>
        <v>2500</v>
      </c>
      <c r="AT154" s="114">
        <f t="shared" si="113"/>
        <v>2500</v>
      </c>
      <c r="AU154" s="114">
        <f t="shared" si="113"/>
        <v>2500</v>
      </c>
      <c r="AV154" s="114">
        <f t="shared" si="113"/>
        <v>2500</v>
      </c>
      <c r="AW154" s="114">
        <f t="shared" si="113"/>
        <v>2500</v>
      </c>
      <c r="AX154" s="114">
        <f t="shared" si="113"/>
        <v>2500</v>
      </c>
      <c r="AY154" s="114">
        <f t="shared" si="113"/>
        <v>2500</v>
      </c>
      <c r="AZ154" s="114">
        <f t="shared" si="113"/>
        <v>2500</v>
      </c>
      <c r="BA154" s="114">
        <f t="shared" si="113"/>
        <v>2500</v>
      </c>
      <c r="BB154" s="114">
        <f t="shared" si="113"/>
        <v>2500</v>
      </c>
      <c r="BC154" s="114">
        <f t="shared" si="113"/>
        <v>2500</v>
      </c>
      <c r="BD154" s="114">
        <f t="shared" si="113"/>
        <v>2500</v>
      </c>
      <c r="BE154" s="114">
        <f t="shared" si="113"/>
        <v>2500</v>
      </c>
      <c r="BF154" s="114">
        <f t="shared" si="113"/>
        <v>2500</v>
      </c>
      <c r="BG154" s="114">
        <f t="shared" si="113"/>
        <v>2500</v>
      </c>
      <c r="BH154" s="114">
        <f t="shared" si="113"/>
        <v>2500</v>
      </c>
      <c r="BI154" s="114">
        <f t="shared" si="113"/>
        <v>2500</v>
      </c>
      <c r="BJ154" s="114">
        <f t="shared" si="113"/>
        <v>2500</v>
      </c>
      <c r="BK154" s="114">
        <f t="shared" si="113"/>
        <v>2500</v>
      </c>
      <c r="BL154" s="114">
        <f t="shared" si="113"/>
        <v>2500</v>
      </c>
      <c r="BM154" s="114">
        <f t="shared" si="113"/>
        <v>2500</v>
      </c>
      <c r="BN154" s="114">
        <f t="shared" si="113"/>
        <v>2500</v>
      </c>
    </row>
    <row r="155" hidden="1" outlineLevel="1">
      <c r="A155" s="67"/>
      <c r="B155" s="121" t="s">
        <v>105</v>
      </c>
      <c r="C155" s="131">
        <v>2500.0</v>
      </c>
      <c r="E155" s="67"/>
      <c r="F155" s="114"/>
      <c r="G155" s="114">
        <f t="shared" si="112"/>
        <v>2500</v>
      </c>
      <c r="H155" s="114">
        <f t="shared" ref="H155:BN155" si="114">G155</f>
        <v>2500</v>
      </c>
      <c r="I155" s="114">
        <f t="shared" si="114"/>
        <v>2500</v>
      </c>
      <c r="J155" s="114">
        <f t="shared" si="114"/>
        <v>2500</v>
      </c>
      <c r="K155" s="114">
        <f t="shared" si="114"/>
        <v>2500</v>
      </c>
      <c r="L155" s="114">
        <f t="shared" si="114"/>
        <v>2500</v>
      </c>
      <c r="M155" s="114">
        <f t="shared" si="114"/>
        <v>2500</v>
      </c>
      <c r="N155" s="114">
        <f t="shared" si="114"/>
        <v>2500</v>
      </c>
      <c r="O155" s="114">
        <f t="shared" si="114"/>
        <v>2500</v>
      </c>
      <c r="P155" s="114">
        <f t="shared" si="114"/>
        <v>2500</v>
      </c>
      <c r="Q155" s="114">
        <f t="shared" si="114"/>
        <v>2500</v>
      </c>
      <c r="R155" s="114">
        <f t="shared" si="114"/>
        <v>2500</v>
      </c>
      <c r="S155" s="114">
        <f t="shared" si="114"/>
        <v>2500</v>
      </c>
      <c r="T155" s="114">
        <f t="shared" si="114"/>
        <v>2500</v>
      </c>
      <c r="U155" s="114">
        <f t="shared" si="114"/>
        <v>2500</v>
      </c>
      <c r="V155" s="114">
        <f t="shared" si="114"/>
        <v>2500</v>
      </c>
      <c r="W155" s="114">
        <f t="shared" si="114"/>
        <v>2500</v>
      </c>
      <c r="X155" s="114">
        <f t="shared" si="114"/>
        <v>2500</v>
      </c>
      <c r="Y155" s="114">
        <f t="shared" si="114"/>
        <v>2500</v>
      </c>
      <c r="Z155" s="114">
        <f t="shared" si="114"/>
        <v>2500</v>
      </c>
      <c r="AA155" s="114">
        <f t="shared" si="114"/>
        <v>2500</v>
      </c>
      <c r="AB155" s="114">
        <f t="shared" si="114"/>
        <v>2500</v>
      </c>
      <c r="AC155" s="114">
        <f t="shared" si="114"/>
        <v>2500</v>
      </c>
      <c r="AD155" s="114">
        <f t="shared" si="114"/>
        <v>2500</v>
      </c>
      <c r="AE155" s="114">
        <f t="shared" si="114"/>
        <v>2500</v>
      </c>
      <c r="AF155" s="114">
        <f t="shared" si="114"/>
        <v>2500</v>
      </c>
      <c r="AG155" s="114">
        <f t="shared" si="114"/>
        <v>2500</v>
      </c>
      <c r="AH155" s="114">
        <f t="shared" si="114"/>
        <v>2500</v>
      </c>
      <c r="AI155" s="114">
        <f t="shared" si="114"/>
        <v>2500</v>
      </c>
      <c r="AJ155" s="114">
        <f t="shared" si="114"/>
        <v>2500</v>
      </c>
      <c r="AK155" s="114">
        <f t="shared" si="114"/>
        <v>2500</v>
      </c>
      <c r="AL155" s="114">
        <f t="shared" si="114"/>
        <v>2500</v>
      </c>
      <c r="AM155" s="114">
        <f t="shared" si="114"/>
        <v>2500</v>
      </c>
      <c r="AN155" s="114">
        <f t="shared" si="114"/>
        <v>2500</v>
      </c>
      <c r="AO155" s="114">
        <f t="shared" si="114"/>
        <v>2500</v>
      </c>
      <c r="AP155" s="114">
        <f t="shared" si="114"/>
        <v>2500</v>
      </c>
      <c r="AQ155" s="114">
        <f t="shared" si="114"/>
        <v>2500</v>
      </c>
      <c r="AR155" s="114">
        <f t="shared" si="114"/>
        <v>2500</v>
      </c>
      <c r="AS155" s="114">
        <f t="shared" si="114"/>
        <v>2500</v>
      </c>
      <c r="AT155" s="114">
        <f t="shared" si="114"/>
        <v>2500</v>
      </c>
      <c r="AU155" s="114">
        <f t="shared" si="114"/>
        <v>2500</v>
      </c>
      <c r="AV155" s="114">
        <f t="shared" si="114"/>
        <v>2500</v>
      </c>
      <c r="AW155" s="114">
        <f t="shared" si="114"/>
        <v>2500</v>
      </c>
      <c r="AX155" s="114">
        <f t="shared" si="114"/>
        <v>2500</v>
      </c>
      <c r="AY155" s="114">
        <f t="shared" si="114"/>
        <v>2500</v>
      </c>
      <c r="AZ155" s="114">
        <f t="shared" si="114"/>
        <v>2500</v>
      </c>
      <c r="BA155" s="114">
        <f t="shared" si="114"/>
        <v>2500</v>
      </c>
      <c r="BB155" s="114">
        <f t="shared" si="114"/>
        <v>2500</v>
      </c>
      <c r="BC155" s="114">
        <f t="shared" si="114"/>
        <v>2500</v>
      </c>
      <c r="BD155" s="114">
        <f t="shared" si="114"/>
        <v>2500</v>
      </c>
      <c r="BE155" s="114">
        <f t="shared" si="114"/>
        <v>2500</v>
      </c>
      <c r="BF155" s="114">
        <f t="shared" si="114"/>
        <v>2500</v>
      </c>
      <c r="BG155" s="114">
        <f t="shared" si="114"/>
        <v>2500</v>
      </c>
      <c r="BH155" s="114">
        <f t="shared" si="114"/>
        <v>2500</v>
      </c>
      <c r="BI155" s="114">
        <f t="shared" si="114"/>
        <v>2500</v>
      </c>
      <c r="BJ155" s="114">
        <f t="shared" si="114"/>
        <v>2500</v>
      </c>
      <c r="BK155" s="114">
        <f t="shared" si="114"/>
        <v>2500</v>
      </c>
      <c r="BL155" s="114">
        <f t="shared" si="114"/>
        <v>2500</v>
      </c>
      <c r="BM155" s="114">
        <f t="shared" si="114"/>
        <v>2500</v>
      </c>
      <c r="BN155" s="114">
        <f t="shared" si="114"/>
        <v>2500</v>
      </c>
    </row>
    <row r="156" hidden="1" outlineLevel="1">
      <c r="A156" s="67"/>
      <c r="B156" s="121" t="s">
        <v>106</v>
      </c>
      <c r="C156" s="131">
        <v>2500.0</v>
      </c>
      <c r="E156" s="67"/>
      <c r="F156" s="114"/>
      <c r="G156" s="114">
        <f t="shared" si="112"/>
        <v>2500</v>
      </c>
      <c r="H156" s="114">
        <f t="shared" ref="H156:BN156" si="115">G156</f>
        <v>2500</v>
      </c>
      <c r="I156" s="114">
        <f t="shared" si="115"/>
        <v>2500</v>
      </c>
      <c r="J156" s="114">
        <f t="shared" si="115"/>
        <v>2500</v>
      </c>
      <c r="K156" s="114">
        <f t="shared" si="115"/>
        <v>2500</v>
      </c>
      <c r="L156" s="114">
        <f t="shared" si="115"/>
        <v>2500</v>
      </c>
      <c r="M156" s="114">
        <f t="shared" si="115"/>
        <v>2500</v>
      </c>
      <c r="N156" s="114">
        <f t="shared" si="115"/>
        <v>2500</v>
      </c>
      <c r="O156" s="114">
        <f t="shared" si="115"/>
        <v>2500</v>
      </c>
      <c r="P156" s="114">
        <f t="shared" si="115"/>
        <v>2500</v>
      </c>
      <c r="Q156" s="114">
        <f t="shared" si="115"/>
        <v>2500</v>
      </c>
      <c r="R156" s="114">
        <f t="shared" si="115"/>
        <v>2500</v>
      </c>
      <c r="S156" s="114">
        <f t="shared" si="115"/>
        <v>2500</v>
      </c>
      <c r="T156" s="114">
        <f t="shared" si="115"/>
        <v>2500</v>
      </c>
      <c r="U156" s="114">
        <f t="shared" si="115"/>
        <v>2500</v>
      </c>
      <c r="V156" s="114">
        <f t="shared" si="115"/>
        <v>2500</v>
      </c>
      <c r="W156" s="114">
        <f t="shared" si="115"/>
        <v>2500</v>
      </c>
      <c r="X156" s="114">
        <f t="shared" si="115"/>
        <v>2500</v>
      </c>
      <c r="Y156" s="114">
        <f t="shared" si="115"/>
        <v>2500</v>
      </c>
      <c r="Z156" s="114">
        <f t="shared" si="115"/>
        <v>2500</v>
      </c>
      <c r="AA156" s="114">
        <f t="shared" si="115"/>
        <v>2500</v>
      </c>
      <c r="AB156" s="114">
        <f t="shared" si="115"/>
        <v>2500</v>
      </c>
      <c r="AC156" s="114">
        <f t="shared" si="115"/>
        <v>2500</v>
      </c>
      <c r="AD156" s="114">
        <f t="shared" si="115"/>
        <v>2500</v>
      </c>
      <c r="AE156" s="114">
        <f t="shared" si="115"/>
        <v>2500</v>
      </c>
      <c r="AF156" s="114">
        <f t="shared" si="115"/>
        <v>2500</v>
      </c>
      <c r="AG156" s="114">
        <f t="shared" si="115"/>
        <v>2500</v>
      </c>
      <c r="AH156" s="114">
        <f t="shared" si="115"/>
        <v>2500</v>
      </c>
      <c r="AI156" s="114">
        <f t="shared" si="115"/>
        <v>2500</v>
      </c>
      <c r="AJ156" s="114">
        <f t="shared" si="115"/>
        <v>2500</v>
      </c>
      <c r="AK156" s="114">
        <f t="shared" si="115"/>
        <v>2500</v>
      </c>
      <c r="AL156" s="114">
        <f t="shared" si="115"/>
        <v>2500</v>
      </c>
      <c r="AM156" s="114">
        <f t="shared" si="115"/>
        <v>2500</v>
      </c>
      <c r="AN156" s="114">
        <f t="shared" si="115"/>
        <v>2500</v>
      </c>
      <c r="AO156" s="114">
        <f t="shared" si="115"/>
        <v>2500</v>
      </c>
      <c r="AP156" s="114">
        <f t="shared" si="115"/>
        <v>2500</v>
      </c>
      <c r="AQ156" s="114">
        <f t="shared" si="115"/>
        <v>2500</v>
      </c>
      <c r="AR156" s="114">
        <f t="shared" si="115"/>
        <v>2500</v>
      </c>
      <c r="AS156" s="114">
        <f t="shared" si="115"/>
        <v>2500</v>
      </c>
      <c r="AT156" s="114">
        <f t="shared" si="115"/>
        <v>2500</v>
      </c>
      <c r="AU156" s="114">
        <f t="shared" si="115"/>
        <v>2500</v>
      </c>
      <c r="AV156" s="114">
        <f t="shared" si="115"/>
        <v>2500</v>
      </c>
      <c r="AW156" s="114">
        <f t="shared" si="115"/>
        <v>2500</v>
      </c>
      <c r="AX156" s="114">
        <f t="shared" si="115"/>
        <v>2500</v>
      </c>
      <c r="AY156" s="114">
        <f t="shared" si="115"/>
        <v>2500</v>
      </c>
      <c r="AZ156" s="114">
        <f t="shared" si="115"/>
        <v>2500</v>
      </c>
      <c r="BA156" s="114">
        <f t="shared" si="115"/>
        <v>2500</v>
      </c>
      <c r="BB156" s="114">
        <f t="shared" si="115"/>
        <v>2500</v>
      </c>
      <c r="BC156" s="114">
        <f t="shared" si="115"/>
        <v>2500</v>
      </c>
      <c r="BD156" s="114">
        <f t="shared" si="115"/>
        <v>2500</v>
      </c>
      <c r="BE156" s="114">
        <f t="shared" si="115"/>
        <v>2500</v>
      </c>
      <c r="BF156" s="114">
        <f t="shared" si="115"/>
        <v>2500</v>
      </c>
      <c r="BG156" s="114">
        <f t="shared" si="115"/>
        <v>2500</v>
      </c>
      <c r="BH156" s="114">
        <f t="shared" si="115"/>
        <v>2500</v>
      </c>
      <c r="BI156" s="114">
        <f t="shared" si="115"/>
        <v>2500</v>
      </c>
      <c r="BJ156" s="114">
        <f t="shared" si="115"/>
        <v>2500</v>
      </c>
      <c r="BK156" s="114">
        <f t="shared" si="115"/>
        <v>2500</v>
      </c>
      <c r="BL156" s="114">
        <f t="shared" si="115"/>
        <v>2500</v>
      </c>
      <c r="BM156" s="114">
        <f t="shared" si="115"/>
        <v>2500</v>
      </c>
      <c r="BN156" s="114">
        <f t="shared" si="115"/>
        <v>2500</v>
      </c>
    </row>
    <row r="157" hidden="1" outlineLevel="1">
      <c r="A157" s="67"/>
      <c r="B157" s="121" t="s">
        <v>107</v>
      </c>
      <c r="C157" s="131">
        <v>2500.0</v>
      </c>
      <c r="E157" s="67"/>
      <c r="F157" s="114"/>
      <c r="G157" s="114">
        <f t="shared" si="112"/>
        <v>2500</v>
      </c>
      <c r="H157" s="114">
        <f t="shared" ref="H157:BN157" si="116">G157</f>
        <v>2500</v>
      </c>
      <c r="I157" s="114">
        <f t="shared" si="116"/>
        <v>2500</v>
      </c>
      <c r="J157" s="114">
        <f t="shared" si="116"/>
        <v>2500</v>
      </c>
      <c r="K157" s="114">
        <f t="shared" si="116"/>
        <v>2500</v>
      </c>
      <c r="L157" s="114">
        <f t="shared" si="116"/>
        <v>2500</v>
      </c>
      <c r="M157" s="114">
        <f t="shared" si="116"/>
        <v>2500</v>
      </c>
      <c r="N157" s="114">
        <f t="shared" si="116"/>
        <v>2500</v>
      </c>
      <c r="O157" s="114">
        <f t="shared" si="116"/>
        <v>2500</v>
      </c>
      <c r="P157" s="114">
        <f t="shared" si="116"/>
        <v>2500</v>
      </c>
      <c r="Q157" s="114">
        <f t="shared" si="116"/>
        <v>2500</v>
      </c>
      <c r="R157" s="114">
        <f t="shared" si="116"/>
        <v>2500</v>
      </c>
      <c r="S157" s="114">
        <f t="shared" si="116"/>
        <v>2500</v>
      </c>
      <c r="T157" s="114">
        <f t="shared" si="116"/>
        <v>2500</v>
      </c>
      <c r="U157" s="114">
        <f t="shared" si="116"/>
        <v>2500</v>
      </c>
      <c r="V157" s="114">
        <f t="shared" si="116"/>
        <v>2500</v>
      </c>
      <c r="W157" s="114">
        <f t="shared" si="116"/>
        <v>2500</v>
      </c>
      <c r="X157" s="114">
        <f t="shared" si="116"/>
        <v>2500</v>
      </c>
      <c r="Y157" s="114">
        <f t="shared" si="116"/>
        <v>2500</v>
      </c>
      <c r="Z157" s="114">
        <f t="shared" si="116"/>
        <v>2500</v>
      </c>
      <c r="AA157" s="114">
        <f t="shared" si="116"/>
        <v>2500</v>
      </c>
      <c r="AB157" s="114">
        <f t="shared" si="116"/>
        <v>2500</v>
      </c>
      <c r="AC157" s="114">
        <f t="shared" si="116"/>
        <v>2500</v>
      </c>
      <c r="AD157" s="114">
        <f t="shared" si="116"/>
        <v>2500</v>
      </c>
      <c r="AE157" s="114">
        <f t="shared" si="116"/>
        <v>2500</v>
      </c>
      <c r="AF157" s="114">
        <f t="shared" si="116"/>
        <v>2500</v>
      </c>
      <c r="AG157" s="114">
        <f t="shared" si="116"/>
        <v>2500</v>
      </c>
      <c r="AH157" s="114">
        <f t="shared" si="116"/>
        <v>2500</v>
      </c>
      <c r="AI157" s="114">
        <f t="shared" si="116"/>
        <v>2500</v>
      </c>
      <c r="AJ157" s="114">
        <f t="shared" si="116"/>
        <v>2500</v>
      </c>
      <c r="AK157" s="114">
        <f t="shared" si="116"/>
        <v>2500</v>
      </c>
      <c r="AL157" s="114">
        <f t="shared" si="116"/>
        <v>2500</v>
      </c>
      <c r="AM157" s="114">
        <f t="shared" si="116"/>
        <v>2500</v>
      </c>
      <c r="AN157" s="114">
        <f t="shared" si="116"/>
        <v>2500</v>
      </c>
      <c r="AO157" s="114">
        <f t="shared" si="116"/>
        <v>2500</v>
      </c>
      <c r="AP157" s="114">
        <f t="shared" si="116"/>
        <v>2500</v>
      </c>
      <c r="AQ157" s="114">
        <f t="shared" si="116"/>
        <v>2500</v>
      </c>
      <c r="AR157" s="114">
        <f t="shared" si="116"/>
        <v>2500</v>
      </c>
      <c r="AS157" s="114">
        <f t="shared" si="116"/>
        <v>2500</v>
      </c>
      <c r="AT157" s="114">
        <f t="shared" si="116"/>
        <v>2500</v>
      </c>
      <c r="AU157" s="114">
        <f t="shared" si="116"/>
        <v>2500</v>
      </c>
      <c r="AV157" s="114">
        <f t="shared" si="116"/>
        <v>2500</v>
      </c>
      <c r="AW157" s="114">
        <f t="shared" si="116"/>
        <v>2500</v>
      </c>
      <c r="AX157" s="114">
        <f t="shared" si="116"/>
        <v>2500</v>
      </c>
      <c r="AY157" s="114">
        <f t="shared" si="116"/>
        <v>2500</v>
      </c>
      <c r="AZ157" s="114">
        <f t="shared" si="116"/>
        <v>2500</v>
      </c>
      <c r="BA157" s="114">
        <f t="shared" si="116"/>
        <v>2500</v>
      </c>
      <c r="BB157" s="114">
        <f t="shared" si="116"/>
        <v>2500</v>
      </c>
      <c r="BC157" s="114">
        <f t="shared" si="116"/>
        <v>2500</v>
      </c>
      <c r="BD157" s="114">
        <f t="shared" si="116"/>
        <v>2500</v>
      </c>
      <c r="BE157" s="114">
        <f t="shared" si="116"/>
        <v>2500</v>
      </c>
      <c r="BF157" s="114">
        <f t="shared" si="116"/>
        <v>2500</v>
      </c>
      <c r="BG157" s="114">
        <f t="shared" si="116"/>
        <v>2500</v>
      </c>
      <c r="BH157" s="114">
        <f t="shared" si="116"/>
        <v>2500</v>
      </c>
      <c r="BI157" s="114">
        <f t="shared" si="116"/>
        <v>2500</v>
      </c>
      <c r="BJ157" s="114">
        <f t="shared" si="116"/>
        <v>2500</v>
      </c>
      <c r="BK157" s="114">
        <f t="shared" si="116"/>
        <v>2500</v>
      </c>
      <c r="BL157" s="114">
        <f t="shared" si="116"/>
        <v>2500</v>
      </c>
      <c r="BM157" s="114">
        <f t="shared" si="116"/>
        <v>2500</v>
      </c>
      <c r="BN157" s="114">
        <f t="shared" si="116"/>
        <v>2500</v>
      </c>
    </row>
    <row r="158" hidden="1" outlineLevel="1">
      <c r="A158" s="67"/>
      <c r="B158" s="121" t="s">
        <v>108</v>
      </c>
      <c r="C158" s="131">
        <v>2500.0</v>
      </c>
      <c r="E158" s="67"/>
      <c r="F158" s="114"/>
      <c r="G158" s="114">
        <f t="shared" si="112"/>
        <v>2500</v>
      </c>
      <c r="H158" s="114">
        <f t="shared" ref="H158:BN158" si="117">G158</f>
        <v>2500</v>
      </c>
      <c r="I158" s="114">
        <f t="shared" si="117"/>
        <v>2500</v>
      </c>
      <c r="J158" s="114">
        <f t="shared" si="117"/>
        <v>2500</v>
      </c>
      <c r="K158" s="114">
        <f t="shared" si="117"/>
        <v>2500</v>
      </c>
      <c r="L158" s="114">
        <f t="shared" si="117"/>
        <v>2500</v>
      </c>
      <c r="M158" s="114">
        <f t="shared" si="117"/>
        <v>2500</v>
      </c>
      <c r="N158" s="114">
        <f t="shared" si="117"/>
        <v>2500</v>
      </c>
      <c r="O158" s="114">
        <f t="shared" si="117"/>
        <v>2500</v>
      </c>
      <c r="P158" s="114">
        <f t="shared" si="117"/>
        <v>2500</v>
      </c>
      <c r="Q158" s="114">
        <f t="shared" si="117"/>
        <v>2500</v>
      </c>
      <c r="R158" s="114">
        <f t="shared" si="117"/>
        <v>2500</v>
      </c>
      <c r="S158" s="114">
        <f t="shared" si="117"/>
        <v>2500</v>
      </c>
      <c r="T158" s="114">
        <f t="shared" si="117"/>
        <v>2500</v>
      </c>
      <c r="U158" s="114">
        <f t="shared" si="117"/>
        <v>2500</v>
      </c>
      <c r="V158" s="114">
        <f t="shared" si="117"/>
        <v>2500</v>
      </c>
      <c r="W158" s="114">
        <f t="shared" si="117"/>
        <v>2500</v>
      </c>
      <c r="X158" s="114">
        <f t="shared" si="117"/>
        <v>2500</v>
      </c>
      <c r="Y158" s="114">
        <f t="shared" si="117"/>
        <v>2500</v>
      </c>
      <c r="Z158" s="114">
        <f t="shared" si="117"/>
        <v>2500</v>
      </c>
      <c r="AA158" s="114">
        <f t="shared" si="117"/>
        <v>2500</v>
      </c>
      <c r="AB158" s="114">
        <f t="shared" si="117"/>
        <v>2500</v>
      </c>
      <c r="AC158" s="114">
        <f t="shared" si="117"/>
        <v>2500</v>
      </c>
      <c r="AD158" s="114">
        <f t="shared" si="117"/>
        <v>2500</v>
      </c>
      <c r="AE158" s="114">
        <f t="shared" si="117"/>
        <v>2500</v>
      </c>
      <c r="AF158" s="114">
        <f t="shared" si="117"/>
        <v>2500</v>
      </c>
      <c r="AG158" s="114">
        <f t="shared" si="117"/>
        <v>2500</v>
      </c>
      <c r="AH158" s="114">
        <f t="shared" si="117"/>
        <v>2500</v>
      </c>
      <c r="AI158" s="114">
        <f t="shared" si="117"/>
        <v>2500</v>
      </c>
      <c r="AJ158" s="114">
        <f t="shared" si="117"/>
        <v>2500</v>
      </c>
      <c r="AK158" s="114">
        <f t="shared" si="117"/>
        <v>2500</v>
      </c>
      <c r="AL158" s="114">
        <f t="shared" si="117"/>
        <v>2500</v>
      </c>
      <c r="AM158" s="114">
        <f t="shared" si="117"/>
        <v>2500</v>
      </c>
      <c r="AN158" s="114">
        <f t="shared" si="117"/>
        <v>2500</v>
      </c>
      <c r="AO158" s="114">
        <f t="shared" si="117"/>
        <v>2500</v>
      </c>
      <c r="AP158" s="114">
        <f t="shared" si="117"/>
        <v>2500</v>
      </c>
      <c r="AQ158" s="114">
        <f t="shared" si="117"/>
        <v>2500</v>
      </c>
      <c r="AR158" s="114">
        <f t="shared" si="117"/>
        <v>2500</v>
      </c>
      <c r="AS158" s="114">
        <f t="shared" si="117"/>
        <v>2500</v>
      </c>
      <c r="AT158" s="114">
        <f t="shared" si="117"/>
        <v>2500</v>
      </c>
      <c r="AU158" s="114">
        <f t="shared" si="117"/>
        <v>2500</v>
      </c>
      <c r="AV158" s="114">
        <f t="shared" si="117"/>
        <v>2500</v>
      </c>
      <c r="AW158" s="114">
        <f t="shared" si="117"/>
        <v>2500</v>
      </c>
      <c r="AX158" s="114">
        <f t="shared" si="117"/>
        <v>2500</v>
      </c>
      <c r="AY158" s="114">
        <f t="shared" si="117"/>
        <v>2500</v>
      </c>
      <c r="AZ158" s="114">
        <f t="shared" si="117"/>
        <v>2500</v>
      </c>
      <c r="BA158" s="114">
        <f t="shared" si="117"/>
        <v>2500</v>
      </c>
      <c r="BB158" s="114">
        <f t="shared" si="117"/>
        <v>2500</v>
      </c>
      <c r="BC158" s="114">
        <f t="shared" si="117"/>
        <v>2500</v>
      </c>
      <c r="BD158" s="114">
        <f t="shared" si="117"/>
        <v>2500</v>
      </c>
      <c r="BE158" s="114">
        <f t="shared" si="117"/>
        <v>2500</v>
      </c>
      <c r="BF158" s="114">
        <f t="shared" si="117"/>
        <v>2500</v>
      </c>
      <c r="BG158" s="114">
        <f t="shared" si="117"/>
        <v>2500</v>
      </c>
      <c r="BH158" s="114">
        <f t="shared" si="117"/>
        <v>2500</v>
      </c>
      <c r="BI158" s="114">
        <f t="shared" si="117"/>
        <v>2500</v>
      </c>
      <c r="BJ158" s="114">
        <f t="shared" si="117"/>
        <v>2500</v>
      </c>
      <c r="BK158" s="114">
        <f t="shared" si="117"/>
        <v>2500</v>
      </c>
      <c r="BL158" s="114">
        <f t="shared" si="117"/>
        <v>2500</v>
      </c>
      <c r="BM158" s="114">
        <f t="shared" si="117"/>
        <v>2500</v>
      </c>
      <c r="BN158" s="114">
        <f t="shared" si="117"/>
        <v>2500</v>
      </c>
    </row>
    <row r="159" hidden="1" outlineLevel="1">
      <c r="A159" s="67"/>
      <c r="B159" s="121" t="s">
        <v>108</v>
      </c>
      <c r="C159" s="131">
        <v>2500.0</v>
      </c>
      <c r="E159" s="67"/>
      <c r="F159" s="114"/>
      <c r="G159" s="114">
        <f t="shared" si="112"/>
        <v>2500</v>
      </c>
      <c r="H159" s="114">
        <f t="shared" ref="H159:BN159" si="118">G159</f>
        <v>2500</v>
      </c>
      <c r="I159" s="114">
        <f t="shared" si="118"/>
        <v>2500</v>
      </c>
      <c r="J159" s="114">
        <f t="shared" si="118"/>
        <v>2500</v>
      </c>
      <c r="K159" s="114">
        <f t="shared" si="118"/>
        <v>2500</v>
      </c>
      <c r="L159" s="114">
        <f t="shared" si="118"/>
        <v>2500</v>
      </c>
      <c r="M159" s="114">
        <f t="shared" si="118"/>
        <v>2500</v>
      </c>
      <c r="N159" s="114">
        <f t="shared" si="118"/>
        <v>2500</v>
      </c>
      <c r="O159" s="114">
        <f t="shared" si="118"/>
        <v>2500</v>
      </c>
      <c r="P159" s="114">
        <f t="shared" si="118"/>
        <v>2500</v>
      </c>
      <c r="Q159" s="114">
        <f t="shared" si="118"/>
        <v>2500</v>
      </c>
      <c r="R159" s="114">
        <f t="shared" si="118"/>
        <v>2500</v>
      </c>
      <c r="S159" s="114">
        <f t="shared" si="118"/>
        <v>2500</v>
      </c>
      <c r="T159" s="114">
        <f t="shared" si="118"/>
        <v>2500</v>
      </c>
      <c r="U159" s="114">
        <f t="shared" si="118"/>
        <v>2500</v>
      </c>
      <c r="V159" s="114">
        <f t="shared" si="118"/>
        <v>2500</v>
      </c>
      <c r="W159" s="114">
        <f t="shared" si="118"/>
        <v>2500</v>
      </c>
      <c r="X159" s="114">
        <f t="shared" si="118"/>
        <v>2500</v>
      </c>
      <c r="Y159" s="114">
        <f t="shared" si="118"/>
        <v>2500</v>
      </c>
      <c r="Z159" s="114">
        <f t="shared" si="118"/>
        <v>2500</v>
      </c>
      <c r="AA159" s="114">
        <f t="shared" si="118"/>
        <v>2500</v>
      </c>
      <c r="AB159" s="114">
        <f t="shared" si="118"/>
        <v>2500</v>
      </c>
      <c r="AC159" s="114">
        <f t="shared" si="118"/>
        <v>2500</v>
      </c>
      <c r="AD159" s="114">
        <f t="shared" si="118"/>
        <v>2500</v>
      </c>
      <c r="AE159" s="114">
        <f t="shared" si="118"/>
        <v>2500</v>
      </c>
      <c r="AF159" s="114">
        <f t="shared" si="118"/>
        <v>2500</v>
      </c>
      <c r="AG159" s="114">
        <f t="shared" si="118"/>
        <v>2500</v>
      </c>
      <c r="AH159" s="114">
        <f t="shared" si="118"/>
        <v>2500</v>
      </c>
      <c r="AI159" s="114">
        <f t="shared" si="118"/>
        <v>2500</v>
      </c>
      <c r="AJ159" s="114">
        <f t="shared" si="118"/>
        <v>2500</v>
      </c>
      <c r="AK159" s="114">
        <f t="shared" si="118"/>
        <v>2500</v>
      </c>
      <c r="AL159" s="114">
        <f t="shared" si="118"/>
        <v>2500</v>
      </c>
      <c r="AM159" s="114">
        <f t="shared" si="118"/>
        <v>2500</v>
      </c>
      <c r="AN159" s="114">
        <f t="shared" si="118"/>
        <v>2500</v>
      </c>
      <c r="AO159" s="114">
        <f t="shared" si="118"/>
        <v>2500</v>
      </c>
      <c r="AP159" s="114">
        <f t="shared" si="118"/>
        <v>2500</v>
      </c>
      <c r="AQ159" s="114">
        <f t="shared" si="118"/>
        <v>2500</v>
      </c>
      <c r="AR159" s="114">
        <f t="shared" si="118"/>
        <v>2500</v>
      </c>
      <c r="AS159" s="114">
        <f t="shared" si="118"/>
        <v>2500</v>
      </c>
      <c r="AT159" s="114">
        <f t="shared" si="118"/>
        <v>2500</v>
      </c>
      <c r="AU159" s="114">
        <f t="shared" si="118"/>
        <v>2500</v>
      </c>
      <c r="AV159" s="114">
        <f t="shared" si="118"/>
        <v>2500</v>
      </c>
      <c r="AW159" s="114">
        <f t="shared" si="118"/>
        <v>2500</v>
      </c>
      <c r="AX159" s="114">
        <f t="shared" si="118"/>
        <v>2500</v>
      </c>
      <c r="AY159" s="114">
        <f t="shared" si="118"/>
        <v>2500</v>
      </c>
      <c r="AZ159" s="114">
        <f t="shared" si="118"/>
        <v>2500</v>
      </c>
      <c r="BA159" s="114">
        <f t="shared" si="118"/>
        <v>2500</v>
      </c>
      <c r="BB159" s="114">
        <f t="shared" si="118"/>
        <v>2500</v>
      </c>
      <c r="BC159" s="114">
        <f t="shared" si="118"/>
        <v>2500</v>
      </c>
      <c r="BD159" s="114">
        <f t="shared" si="118"/>
        <v>2500</v>
      </c>
      <c r="BE159" s="114">
        <f t="shared" si="118"/>
        <v>2500</v>
      </c>
      <c r="BF159" s="114">
        <f t="shared" si="118"/>
        <v>2500</v>
      </c>
      <c r="BG159" s="114">
        <f t="shared" si="118"/>
        <v>2500</v>
      </c>
      <c r="BH159" s="114">
        <f t="shared" si="118"/>
        <v>2500</v>
      </c>
      <c r="BI159" s="114">
        <f t="shared" si="118"/>
        <v>2500</v>
      </c>
      <c r="BJ159" s="114">
        <f t="shared" si="118"/>
        <v>2500</v>
      </c>
      <c r="BK159" s="114">
        <f t="shared" si="118"/>
        <v>2500</v>
      </c>
      <c r="BL159" s="114">
        <f t="shared" si="118"/>
        <v>2500</v>
      </c>
      <c r="BM159" s="114">
        <f t="shared" si="118"/>
        <v>2500</v>
      </c>
      <c r="BN159" s="114">
        <f t="shared" si="118"/>
        <v>2500</v>
      </c>
    </row>
    <row r="160" hidden="1" outlineLevel="1">
      <c r="A160" s="67"/>
      <c r="B160" s="121" t="s">
        <v>108</v>
      </c>
      <c r="C160" s="131">
        <v>2500.0</v>
      </c>
      <c r="E160" s="67"/>
      <c r="F160" s="114"/>
      <c r="G160" s="114">
        <f t="shared" si="112"/>
        <v>2500</v>
      </c>
      <c r="H160" s="114">
        <f t="shared" ref="H160:BN160" si="119">G160</f>
        <v>2500</v>
      </c>
      <c r="I160" s="114">
        <f t="shared" si="119"/>
        <v>2500</v>
      </c>
      <c r="J160" s="114">
        <f t="shared" si="119"/>
        <v>2500</v>
      </c>
      <c r="K160" s="114">
        <f t="shared" si="119"/>
        <v>2500</v>
      </c>
      <c r="L160" s="114">
        <f t="shared" si="119"/>
        <v>2500</v>
      </c>
      <c r="M160" s="114">
        <f t="shared" si="119"/>
        <v>2500</v>
      </c>
      <c r="N160" s="114">
        <f t="shared" si="119"/>
        <v>2500</v>
      </c>
      <c r="O160" s="114">
        <f t="shared" si="119"/>
        <v>2500</v>
      </c>
      <c r="P160" s="114">
        <f t="shared" si="119"/>
        <v>2500</v>
      </c>
      <c r="Q160" s="114">
        <f t="shared" si="119"/>
        <v>2500</v>
      </c>
      <c r="R160" s="114">
        <f t="shared" si="119"/>
        <v>2500</v>
      </c>
      <c r="S160" s="114">
        <f t="shared" si="119"/>
        <v>2500</v>
      </c>
      <c r="T160" s="114">
        <f t="shared" si="119"/>
        <v>2500</v>
      </c>
      <c r="U160" s="114">
        <f t="shared" si="119"/>
        <v>2500</v>
      </c>
      <c r="V160" s="114">
        <f t="shared" si="119"/>
        <v>2500</v>
      </c>
      <c r="W160" s="114">
        <f t="shared" si="119"/>
        <v>2500</v>
      </c>
      <c r="X160" s="114">
        <f t="shared" si="119"/>
        <v>2500</v>
      </c>
      <c r="Y160" s="114">
        <f t="shared" si="119"/>
        <v>2500</v>
      </c>
      <c r="Z160" s="114">
        <f t="shared" si="119"/>
        <v>2500</v>
      </c>
      <c r="AA160" s="114">
        <f t="shared" si="119"/>
        <v>2500</v>
      </c>
      <c r="AB160" s="114">
        <f t="shared" si="119"/>
        <v>2500</v>
      </c>
      <c r="AC160" s="114">
        <f t="shared" si="119"/>
        <v>2500</v>
      </c>
      <c r="AD160" s="114">
        <f t="shared" si="119"/>
        <v>2500</v>
      </c>
      <c r="AE160" s="114">
        <f t="shared" si="119"/>
        <v>2500</v>
      </c>
      <c r="AF160" s="114">
        <f t="shared" si="119"/>
        <v>2500</v>
      </c>
      <c r="AG160" s="114">
        <f t="shared" si="119"/>
        <v>2500</v>
      </c>
      <c r="AH160" s="114">
        <f t="shared" si="119"/>
        <v>2500</v>
      </c>
      <c r="AI160" s="114">
        <f t="shared" si="119"/>
        <v>2500</v>
      </c>
      <c r="AJ160" s="114">
        <f t="shared" si="119"/>
        <v>2500</v>
      </c>
      <c r="AK160" s="114">
        <f t="shared" si="119"/>
        <v>2500</v>
      </c>
      <c r="AL160" s="114">
        <f t="shared" si="119"/>
        <v>2500</v>
      </c>
      <c r="AM160" s="114">
        <f t="shared" si="119"/>
        <v>2500</v>
      </c>
      <c r="AN160" s="114">
        <f t="shared" si="119"/>
        <v>2500</v>
      </c>
      <c r="AO160" s="114">
        <f t="shared" si="119"/>
        <v>2500</v>
      </c>
      <c r="AP160" s="114">
        <f t="shared" si="119"/>
        <v>2500</v>
      </c>
      <c r="AQ160" s="114">
        <f t="shared" si="119"/>
        <v>2500</v>
      </c>
      <c r="AR160" s="114">
        <f t="shared" si="119"/>
        <v>2500</v>
      </c>
      <c r="AS160" s="114">
        <f t="shared" si="119"/>
        <v>2500</v>
      </c>
      <c r="AT160" s="114">
        <f t="shared" si="119"/>
        <v>2500</v>
      </c>
      <c r="AU160" s="114">
        <f t="shared" si="119"/>
        <v>2500</v>
      </c>
      <c r="AV160" s="114">
        <f t="shared" si="119"/>
        <v>2500</v>
      </c>
      <c r="AW160" s="114">
        <f t="shared" si="119"/>
        <v>2500</v>
      </c>
      <c r="AX160" s="114">
        <f t="shared" si="119"/>
        <v>2500</v>
      </c>
      <c r="AY160" s="114">
        <f t="shared" si="119"/>
        <v>2500</v>
      </c>
      <c r="AZ160" s="114">
        <f t="shared" si="119"/>
        <v>2500</v>
      </c>
      <c r="BA160" s="114">
        <f t="shared" si="119"/>
        <v>2500</v>
      </c>
      <c r="BB160" s="114">
        <f t="shared" si="119"/>
        <v>2500</v>
      </c>
      <c r="BC160" s="114">
        <f t="shared" si="119"/>
        <v>2500</v>
      </c>
      <c r="BD160" s="114">
        <f t="shared" si="119"/>
        <v>2500</v>
      </c>
      <c r="BE160" s="114">
        <f t="shared" si="119"/>
        <v>2500</v>
      </c>
      <c r="BF160" s="114">
        <f t="shared" si="119"/>
        <v>2500</v>
      </c>
      <c r="BG160" s="114">
        <f t="shared" si="119"/>
        <v>2500</v>
      </c>
      <c r="BH160" s="114">
        <f t="shared" si="119"/>
        <v>2500</v>
      </c>
      <c r="BI160" s="114">
        <f t="shared" si="119"/>
        <v>2500</v>
      </c>
      <c r="BJ160" s="114">
        <f t="shared" si="119"/>
        <v>2500</v>
      </c>
      <c r="BK160" s="114">
        <f t="shared" si="119"/>
        <v>2500</v>
      </c>
      <c r="BL160" s="114">
        <f t="shared" si="119"/>
        <v>2500</v>
      </c>
      <c r="BM160" s="114">
        <f t="shared" si="119"/>
        <v>2500</v>
      </c>
      <c r="BN160" s="114">
        <f t="shared" si="119"/>
        <v>2500</v>
      </c>
    </row>
    <row r="161" hidden="1" outlineLevel="1">
      <c r="A161" s="67"/>
      <c r="B161" s="121" t="s">
        <v>108</v>
      </c>
      <c r="C161" s="131">
        <v>2500.0</v>
      </c>
      <c r="E161" s="67"/>
      <c r="F161" s="114"/>
      <c r="G161" s="114">
        <f t="shared" si="112"/>
        <v>2500</v>
      </c>
      <c r="H161" s="114">
        <f t="shared" ref="H161:BN161" si="120">G161</f>
        <v>2500</v>
      </c>
      <c r="I161" s="114">
        <f t="shared" si="120"/>
        <v>2500</v>
      </c>
      <c r="J161" s="114">
        <f t="shared" si="120"/>
        <v>2500</v>
      </c>
      <c r="K161" s="114">
        <f t="shared" si="120"/>
        <v>2500</v>
      </c>
      <c r="L161" s="114">
        <f t="shared" si="120"/>
        <v>2500</v>
      </c>
      <c r="M161" s="114">
        <f t="shared" si="120"/>
        <v>2500</v>
      </c>
      <c r="N161" s="114">
        <f t="shared" si="120"/>
        <v>2500</v>
      </c>
      <c r="O161" s="114">
        <f t="shared" si="120"/>
        <v>2500</v>
      </c>
      <c r="P161" s="114">
        <f t="shared" si="120"/>
        <v>2500</v>
      </c>
      <c r="Q161" s="114">
        <f t="shared" si="120"/>
        <v>2500</v>
      </c>
      <c r="R161" s="114">
        <f t="shared" si="120"/>
        <v>2500</v>
      </c>
      <c r="S161" s="114">
        <f t="shared" si="120"/>
        <v>2500</v>
      </c>
      <c r="T161" s="114">
        <f t="shared" si="120"/>
        <v>2500</v>
      </c>
      <c r="U161" s="114">
        <f t="shared" si="120"/>
        <v>2500</v>
      </c>
      <c r="V161" s="114">
        <f t="shared" si="120"/>
        <v>2500</v>
      </c>
      <c r="W161" s="114">
        <f t="shared" si="120"/>
        <v>2500</v>
      </c>
      <c r="X161" s="114">
        <f t="shared" si="120"/>
        <v>2500</v>
      </c>
      <c r="Y161" s="114">
        <f t="shared" si="120"/>
        <v>2500</v>
      </c>
      <c r="Z161" s="114">
        <f t="shared" si="120"/>
        <v>2500</v>
      </c>
      <c r="AA161" s="114">
        <f t="shared" si="120"/>
        <v>2500</v>
      </c>
      <c r="AB161" s="114">
        <f t="shared" si="120"/>
        <v>2500</v>
      </c>
      <c r="AC161" s="114">
        <f t="shared" si="120"/>
        <v>2500</v>
      </c>
      <c r="AD161" s="114">
        <f t="shared" si="120"/>
        <v>2500</v>
      </c>
      <c r="AE161" s="114">
        <f t="shared" si="120"/>
        <v>2500</v>
      </c>
      <c r="AF161" s="114">
        <f t="shared" si="120"/>
        <v>2500</v>
      </c>
      <c r="AG161" s="114">
        <f t="shared" si="120"/>
        <v>2500</v>
      </c>
      <c r="AH161" s="114">
        <f t="shared" si="120"/>
        <v>2500</v>
      </c>
      <c r="AI161" s="114">
        <f t="shared" si="120"/>
        <v>2500</v>
      </c>
      <c r="AJ161" s="114">
        <f t="shared" si="120"/>
        <v>2500</v>
      </c>
      <c r="AK161" s="114">
        <f t="shared" si="120"/>
        <v>2500</v>
      </c>
      <c r="AL161" s="114">
        <f t="shared" si="120"/>
        <v>2500</v>
      </c>
      <c r="AM161" s="114">
        <f t="shared" si="120"/>
        <v>2500</v>
      </c>
      <c r="AN161" s="114">
        <f t="shared" si="120"/>
        <v>2500</v>
      </c>
      <c r="AO161" s="114">
        <f t="shared" si="120"/>
        <v>2500</v>
      </c>
      <c r="AP161" s="114">
        <f t="shared" si="120"/>
        <v>2500</v>
      </c>
      <c r="AQ161" s="114">
        <f t="shared" si="120"/>
        <v>2500</v>
      </c>
      <c r="AR161" s="114">
        <f t="shared" si="120"/>
        <v>2500</v>
      </c>
      <c r="AS161" s="114">
        <f t="shared" si="120"/>
        <v>2500</v>
      </c>
      <c r="AT161" s="114">
        <f t="shared" si="120"/>
        <v>2500</v>
      </c>
      <c r="AU161" s="114">
        <f t="shared" si="120"/>
        <v>2500</v>
      </c>
      <c r="AV161" s="114">
        <f t="shared" si="120"/>
        <v>2500</v>
      </c>
      <c r="AW161" s="114">
        <f t="shared" si="120"/>
        <v>2500</v>
      </c>
      <c r="AX161" s="114">
        <f t="shared" si="120"/>
        <v>2500</v>
      </c>
      <c r="AY161" s="114">
        <f t="shared" si="120"/>
        <v>2500</v>
      </c>
      <c r="AZ161" s="114">
        <f t="shared" si="120"/>
        <v>2500</v>
      </c>
      <c r="BA161" s="114">
        <f t="shared" si="120"/>
        <v>2500</v>
      </c>
      <c r="BB161" s="114">
        <f t="shared" si="120"/>
        <v>2500</v>
      </c>
      <c r="BC161" s="114">
        <f t="shared" si="120"/>
        <v>2500</v>
      </c>
      <c r="BD161" s="114">
        <f t="shared" si="120"/>
        <v>2500</v>
      </c>
      <c r="BE161" s="114">
        <f t="shared" si="120"/>
        <v>2500</v>
      </c>
      <c r="BF161" s="114">
        <f t="shared" si="120"/>
        <v>2500</v>
      </c>
      <c r="BG161" s="114">
        <f t="shared" si="120"/>
        <v>2500</v>
      </c>
      <c r="BH161" s="114">
        <f t="shared" si="120"/>
        <v>2500</v>
      </c>
      <c r="BI161" s="114">
        <f t="shared" si="120"/>
        <v>2500</v>
      </c>
      <c r="BJ161" s="114">
        <f t="shared" si="120"/>
        <v>2500</v>
      </c>
      <c r="BK161" s="114">
        <f t="shared" si="120"/>
        <v>2500</v>
      </c>
      <c r="BL161" s="114">
        <f t="shared" si="120"/>
        <v>2500</v>
      </c>
      <c r="BM161" s="114">
        <f t="shared" si="120"/>
        <v>2500</v>
      </c>
      <c r="BN161" s="114">
        <f t="shared" si="120"/>
        <v>2500</v>
      </c>
    </row>
    <row r="162" hidden="1" outlineLevel="1">
      <c r="A162" s="67"/>
      <c r="B162" s="121" t="s">
        <v>109</v>
      </c>
      <c r="C162" s="131">
        <v>2500.0</v>
      </c>
      <c r="E162" s="67"/>
      <c r="F162" s="114"/>
      <c r="G162" s="114">
        <f t="shared" si="112"/>
        <v>2500</v>
      </c>
      <c r="H162" s="114">
        <f t="shared" ref="H162:BN162" si="121">G162</f>
        <v>2500</v>
      </c>
      <c r="I162" s="114">
        <f t="shared" si="121"/>
        <v>2500</v>
      </c>
      <c r="J162" s="114">
        <f t="shared" si="121"/>
        <v>2500</v>
      </c>
      <c r="K162" s="114">
        <f t="shared" si="121"/>
        <v>2500</v>
      </c>
      <c r="L162" s="114">
        <f t="shared" si="121"/>
        <v>2500</v>
      </c>
      <c r="M162" s="114">
        <f t="shared" si="121"/>
        <v>2500</v>
      </c>
      <c r="N162" s="114">
        <f t="shared" si="121"/>
        <v>2500</v>
      </c>
      <c r="O162" s="114">
        <f t="shared" si="121"/>
        <v>2500</v>
      </c>
      <c r="P162" s="114">
        <f t="shared" si="121"/>
        <v>2500</v>
      </c>
      <c r="Q162" s="114">
        <f t="shared" si="121"/>
        <v>2500</v>
      </c>
      <c r="R162" s="114">
        <f t="shared" si="121"/>
        <v>2500</v>
      </c>
      <c r="S162" s="114">
        <f t="shared" si="121"/>
        <v>2500</v>
      </c>
      <c r="T162" s="114">
        <f t="shared" si="121"/>
        <v>2500</v>
      </c>
      <c r="U162" s="114">
        <f t="shared" si="121"/>
        <v>2500</v>
      </c>
      <c r="V162" s="114">
        <f t="shared" si="121"/>
        <v>2500</v>
      </c>
      <c r="W162" s="114">
        <f t="shared" si="121"/>
        <v>2500</v>
      </c>
      <c r="X162" s="114">
        <f t="shared" si="121"/>
        <v>2500</v>
      </c>
      <c r="Y162" s="114">
        <f t="shared" si="121"/>
        <v>2500</v>
      </c>
      <c r="Z162" s="114">
        <f t="shared" si="121"/>
        <v>2500</v>
      </c>
      <c r="AA162" s="114">
        <f t="shared" si="121"/>
        <v>2500</v>
      </c>
      <c r="AB162" s="114">
        <f t="shared" si="121"/>
        <v>2500</v>
      </c>
      <c r="AC162" s="114">
        <f t="shared" si="121"/>
        <v>2500</v>
      </c>
      <c r="AD162" s="114">
        <f t="shared" si="121"/>
        <v>2500</v>
      </c>
      <c r="AE162" s="114">
        <f t="shared" si="121"/>
        <v>2500</v>
      </c>
      <c r="AF162" s="114">
        <f t="shared" si="121"/>
        <v>2500</v>
      </c>
      <c r="AG162" s="114">
        <f t="shared" si="121"/>
        <v>2500</v>
      </c>
      <c r="AH162" s="114">
        <f t="shared" si="121"/>
        <v>2500</v>
      </c>
      <c r="AI162" s="114">
        <f t="shared" si="121"/>
        <v>2500</v>
      </c>
      <c r="AJ162" s="114">
        <f t="shared" si="121"/>
        <v>2500</v>
      </c>
      <c r="AK162" s="114">
        <f t="shared" si="121"/>
        <v>2500</v>
      </c>
      <c r="AL162" s="114">
        <f t="shared" si="121"/>
        <v>2500</v>
      </c>
      <c r="AM162" s="114">
        <f t="shared" si="121"/>
        <v>2500</v>
      </c>
      <c r="AN162" s="114">
        <f t="shared" si="121"/>
        <v>2500</v>
      </c>
      <c r="AO162" s="114">
        <f t="shared" si="121"/>
        <v>2500</v>
      </c>
      <c r="AP162" s="114">
        <f t="shared" si="121"/>
        <v>2500</v>
      </c>
      <c r="AQ162" s="114">
        <f t="shared" si="121"/>
        <v>2500</v>
      </c>
      <c r="AR162" s="114">
        <f t="shared" si="121"/>
        <v>2500</v>
      </c>
      <c r="AS162" s="114">
        <f t="shared" si="121"/>
        <v>2500</v>
      </c>
      <c r="AT162" s="114">
        <f t="shared" si="121"/>
        <v>2500</v>
      </c>
      <c r="AU162" s="114">
        <f t="shared" si="121"/>
        <v>2500</v>
      </c>
      <c r="AV162" s="114">
        <f t="shared" si="121"/>
        <v>2500</v>
      </c>
      <c r="AW162" s="114">
        <f t="shared" si="121"/>
        <v>2500</v>
      </c>
      <c r="AX162" s="114">
        <f t="shared" si="121"/>
        <v>2500</v>
      </c>
      <c r="AY162" s="114">
        <f t="shared" si="121"/>
        <v>2500</v>
      </c>
      <c r="AZ162" s="114">
        <f t="shared" si="121"/>
        <v>2500</v>
      </c>
      <c r="BA162" s="114">
        <f t="shared" si="121"/>
        <v>2500</v>
      </c>
      <c r="BB162" s="114">
        <f t="shared" si="121"/>
        <v>2500</v>
      </c>
      <c r="BC162" s="114">
        <f t="shared" si="121"/>
        <v>2500</v>
      </c>
      <c r="BD162" s="114">
        <f t="shared" si="121"/>
        <v>2500</v>
      </c>
      <c r="BE162" s="114">
        <f t="shared" si="121"/>
        <v>2500</v>
      </c>
      <c r="BF162" s="114">
        <f t="shared" si="121"/>
        <v>2500</v>
      </c>
      <c r="BG162" s="114">
        <f t="shared" si="121"/>
        <v>2500</v>
      </c>
      <c r="BH162" s="114">
        <f t="shared" si="121"/>
        <v>2500</v>
      </c>
      <c r="BI162" s="114">
        <f t="shared" si="121"/>
        <v>2500</v>
      </c>
      <c r="BJ162" s="114">
        <f t="shared" si="121"/>
        <v>2500</v>
      </c>
      <c r="BK162" s="114">
        <f t="shared" si="121"/>
        <v>2500</v>
      </c>
      <c r="BL162" s="114">
        <f t="shared" si="121"/>
        <v>2500</v>
      </c>
      <c r="BM162" s="114">
        <f t="shared" si="121"/>
        <v>2500</v>
      </c>
      <c r="BN162" s="114">
        <f t="shared" si="121"/>
        <v>2500</v>
      </c>
    </row>
    <row r="163" hidden="1" outlineLevel="1">
      <c r="A163" s="67"/>
      <c r="B163" s="132" t="s">
        <v>110</v>
      </c>
      <c r="C163" s="133">
        <v>2500.0</v>
      </c>
      <c r="D163" s="134"/>
      <c r="E163" s="134"/>
      <c r="F163" s="127"/>
      <c r="G163" s="127">
        <f t="shared" si="112"/>
        <v>2500</v>
      </c>
      <c r="H163" s="127">
        <f t="shared" ref="H163:BN163" si="122">G163</f>
        <v>2500</v>
      </c>
      <c r="I163" s="127">
        <f t="shared" si="122"/>
        <v>2500</v>
      </c>
      <c r="J163" s="127">
        <f t="shared" si="122"/>
        <v>2500</v>
      </c>
      <c r="K163" s="127">
        <f t="shared" si="122"/>
        <v>2500</v>
      </c>
      <c r="L163" s="127">
        <f t="shared" si="122"/>
        <v>2500</v>
      </c>
      <c r="M163" s="127">
        <f t="shared" si="122"/>
        <v>2500</v>
      </c>
      <c r="N163" s="127">
        <f t="shared" si="122"/>
        <v>2500</v>
      </c>
      <c r="O163" s="127">
        <f t="shared" si="122"/>
        <v>2500</v>
      </c>
      <c r="P163" s="127">
        <f t="shared" si="122"/>
        <v>2500</v>
      </c>
      <c r="Q163" s="127">
        <f t="shared" si="122"/>
        <v>2500</v>
      </c>
      <c r="R163" s="127">
        <f t="shared" si="122"/>
        <v>2500</v>
      </c>
      <c r="S163" s="127">
        <f t="shared" si="122"/>
        <v>2500</v>
      </c>
      <c r="T163" s="127">
        <f t="shared" si="122"/>
        <v>2500</v>
      </c>
      <c r="U163" s="127">
        <f t="shared" si="122"/>
        <v>2500</v>
      </c>
      <c r="V163" s="127">
        <f t="shared" si="122"/>
        <v>2500</v>
      </c>
      <c r="W163" s="127">
        <f t="shared" si="122"/>
        <v>2500</v>
      </c>
      <c r="X163" s="127">
        <f t="shared" si="122"/>
        <v>2500</v>
      </c>
      <c r="Y163" s="127">
        <f t="shared" si="122"/>
        <v>2500</v>
      </c>
      <c r="Z163" s="127">
        <f t="shared" si="122"/>
        <v>2500</v>
      </c>
      <c r="AA163" s="127">
        <f t="shared" si="122"/>
        <v>2500</v>
      </c>
      <c r="AB163" s="127">
        <f t="shared" si="122"/>
        <v>2500</v>
      </c>
      <c r="AC163" s="127">
        <f t="shared" si="122"/>
        <v>2500</v>
      </c>
      <c r="AD163" s="127">
        <f t="shared" si="122"/>
        <v>2500</v>
      </c>
      <c r="AE163" s="127">
        <f t="shared" si="122"/>
        <v>2500</v>
      </c>
      <c r="AF163" s="127">
        <f t="shared" si="122"/>
        <v>2500</v>
      </c>
      <c r="AG163" s="127">
        <f t="shared" si="122"/>
        <v>2500</v>
      </c>
      <c r="AH163" s="127">
        <f t="shared" si="122"/>
        <v>2500</v>
      </c>
      <c r="AI163" s="127">
        <f t="shared" si="122"/>
        <v>2500</v>
      </c>
      <c r="AJ163" s="127">
        <f t="shared" si="122"/>
        <v>2500</v>
      </c>
      <c r="AK163" s="127">
        <f t="shared" si="122"/>
        <v>2500</v>
      </c>
      <c r="AL163" s="127">
        <f t="shared" si="122"/>
        <v>2500</v>
      </c>
      <c r="AM163" s="127">
        <f t="shared" si="122"/>
        <v>2500</v>
      </c>
      <c r="AN163" s="127">
        <f t="shared" si="122"/>
        <v>2500</v>
      </c>
      <c r="AO163" s="127">
        <f t="shared" si="122"/>
        <v>2500</v>
      </c>
      <c r="AP163" s="127">
        <f t="shared" si="122"/>
        <v>2500</v>
      </c>
      <c r="AQ163" s="127">
        <f t="shared" si="122"/>
        <v>2500</v>
      </c>
      <c r="AR163" s="127">
        <f t="shared" si="122"/>
        <v>2500</v>
      </c>
      <c r="AS163" s="127">
        <f t="shared" si="122"/>
        <v>2500</v>
      </c>
      <c r="AT163" s="127">
        <f t="shared" si="122"/>
        <v>2500</v>
      </c>
      <c r="AU163" s="127">
        <f t="shared" si="122"/>
        <v>2500</v>
      </c>
      <c r="AV163" s="127">
        <f t="shared" si="122"/>
        <v>2500</v>
      </c>
      <c r="AW163" s="127">
        <f t="shared" si="122"/>
        <v>2500</v>
      </c>
      <c r="AX163" s="127">
        <f t="shared" si="122"/>
        <v>2500</v>
      </c>
      <c r="AY163" s="127">
        <f t="shared" si="122"/>
        <v>2500</v>
      </c>
      <c r="AZ163" s="127">
        <f t="shared" si="122"/>
        <v>2500</v>
      </c>
      <c r="BA163" s="127">
        <f t="shared" si="122"/>
        <v>2500</v>
      </c>
      <c r="BB163" s="127">
        <f t="shared" si="122"/>
        <v>2500</v>
      </c>
      <c r="BC163" s="127">
        <f t="shared" si="122"/>
        <v>2500</v>
      </c>
      <c r="BD163" s="127">
        <f t="shared" si="122"/>
        <v>2500</v>
      </c>
      <c r="BE163" s="127">
        <f t="shared" si="122"/>
        <v>2500</v>
      </c>
      <c r="BF163" s="127">
        <f t="shared" si="122"/>
        <v>2500</v>
      </c>
      <c r="BG163" s="127">
        <f t="shared" si="122"/>
        <v>2500</v>
      </c>
      <c r="BH163" s="127">
        <f t="shared" si="122"/>
        <v>2500</v>
      </c>
      <c r="BI163" s="127">
        <f t="shared" si="122"/>
        <v>2500</v>
      </c>
      <c r="BJ163" s="127">
        <f t="shared" si="122"/>
        <v>2500</v>
      </c>
      <c r="BK163" s="127">
        <f t="shared" si="122"/>
        <v>2500</v>
      </c>
      <c r="BL163" s="127">
        <f t="shared" si="122"/>
        <v>2500</v>
      </c>
      <c r="BM163" s="127">
        <f t="shared" si="122"/>
        <v>2500</v>
      </c>
      <c r="BN163" s="127">
        <f t="shared" si="122"/>
        <v>2500</v>
      </c>
    </row>
    <row r="164" hidden="1" outlineLevel="1">
      <c r="A164" s="135"/>
      <c r="B164" s="136" t="s">
        <v>101</v>
      </c>
      <c r="C164" s="135"/>
      <c r="D164" s="135"/>
      <c r="E164" s="135"/>
      <c r="F164" s="135"/>
      <c r="G164" s="137">
        <f t="shared" ref="G164:BN164" si="123">sum(G153:G163)</f>
        <v>27500</v>
      </c>
      <c r="H164" s="137">
        <f t="shared" si="123"/>
        <v>27500</v>
      </c>
      <c r="I164" s="137">
        <f t="shared" si="123"/>
        <v>27500</v>
      </c>
      <c r="J164" s="137">
        <f t="shared" si="123"/>
        <v>27500</v>
      </c>
      <c r="K164" s="137">
        <f t="shared" si="123"/>
        <v>27500</v>
      </c>
      <c r="L164" s="137">
        <f t="shared" si="123"/>
        <v>27500</v>
      </c>
      <c r="M164" s="137">
        <f t="shared" si="123"/>
        <v>27500</v>
      </c>
      <c r="N164" s="137">
        <f t="shared" si="123"/>
        <v>27500</v>
      </c>
      <c r="O164" s="137">
        <f t="shared" si="123"/>
        <v>27500</v>
      </c>
      <c r="P164" s="137">
        <f t="shared" si="123"/>
        <v>27500</v>
      </c>
      <c r="Q164" s="137">
        <f t="shared" si="123"/>
        <v>27500</v>
      </c>
      <c r="R164" s="137">
        <f t="shared" si="123"/>
        <v>27500</v>
      </c>
      <c r="S164" s="137">
        <f t="shared" si="123"/>
        <v>27500</v>
      </c>
      <c r="T164" s="137">
        <f t="shared" si="123"/>
        <v>27500</v>
      </c>
      <c r="U164" s="137">
        <f t="shared" si="123"/>
        <v>27500</v>
      </c>
      <c r="V164" s="137">
        <f t="shared" si="123"/>
        <v>27500</v>
      </c>
      <c r="W164" s="137">
        <f t="shared" si="123"/>
        <v>27500</v>
      </c>
      <c r="X164" s="137">
        <f t="shared" si="123"/>
        <v>27500</v>
      </c>
      <c r="Y164" s="137">
        <f t="shared" si="123"/>
        <v>27500</v>
      </c>
      <c r="Z164" s="137">
        <f t="shared" si="123"/>
        <v>27500</v>
      </c>
      <c r="AA164" s="137">
        <f t="shared" si="123"/>
        <v>27500</v>
      </c>
      <c r="AB164" s="137">
        <f t="shared" si="123"/>
        <v>27500</v>
      </c>
      <c r="AC164" s="137">
        <f t="shared" si="123"/>
        <v>27500</v>
      </c>
      <c r="AD164" s="137">
        <f t="shared" si="123"/>
        <v>27500</v>
      </c>
      <c r="AE164" s="137">
        <f t="shared" si="123"/>
        <v>27500</v>
      </c>
      <c r="AF164" s="137">
        <f t="shared" si="123"/>
        <v>27500</v>
      </c>
      <c r="AG164" s="137">
        <f t="shared" si="123"/>
        <v>27500</v>
      </c>
      <c r="AH164" s="137">
        <f t="shared" si="123"/>
        <v>27500</v>
      </c>
      <c r="AI164" s="137">
        <f t="shared" si="123"/>
        <v>27500</v>
      </c>
      <c r="AJ164" s="137">
        <f t="shared" si="123"/>
        <v>27500</v>
      </c>
      <c r="AK164" s="137">
        <f t="shared" si="123"/>
        <v>27500</v>
      </c>
      <c r="AL164" s="137">
        <f t="shared" si="123"/>
        <v>27500</v>
      </c>
      <c r="AM164" s="137">
        <f t="shared" si="123"/>
        <v>27500</v>
      </c>
      <c r="AN164" s="137">
        <f t="shared" si="123"/>
        <v>27500</v>
      </c>
      <c r="AO164" s="137">
        <f t="shared" si="123"/>
        <v>27500</v>
      </c>
      <c r="AP164" s="137">
        <f t="shared" si="123"/>
        <v>27500</v>
      </c>
      <c r="AQ164" s="137">
        <f t="shared" si="123"/>
        <v>27500</v>
      </c>
      <c r="AR164" s="137">
        <f t="shared" si="123"/>
        <v>27500</v>
      </c>
      <c r="AS164" s="137">
        <f t="shared" si="123"/>
        <v>27500</v>
      </c>
      <c r="AT164" s="137">
        <f t="shared" si="123"/>
        <v>27500</v>
      </c>
      <c r="AU164" s="137">
        <f t="shared" si="123"/>
        <v>27500</v>
      </c>
      <c r="AV164" s="137">
        <f t="shared" si="123"/>
        <v>27500</v>
      </c>
      <c r="AW164" s="137">
        <f t="shared" si="123"/>
        <v>27500</v>
      </c>
      <c r="AX164" s="137">
        <f t="shared" si="123"/>
        <v>27500</v>
      </c>
      <c r="AY164" s="137">
        <f t="shared" si="123"/>
        <v>27500</v>
      </c>
      <c r="AZ164" s="137">
        <f t="shared" si="123"/>
        <v>27500</v>
      </c>
      <c r="BA164" s="137">
        <f t="shared" si="123"/>
        <v>27500</v>
      </c>
      <c r="BB164" s="137">
        <f t="shared" si="123"/>
        <v>27500</v>
      </c>
      <c r="BC164" s="137">
        <f t="shared" si="123"/>
        <v>27500</v>
      </c>
      <c r="BD164" s="137">
        <f t="shared" si="123"/>
        <v>27500</v>
      </c>
      <c r="BE164" s="137">
        <f t="shared" si="123"/>
        <v>27500</v>
      </c>
      <c r="BF164" s="137">
        <f t="shared" si="123"/>
        <v>27500</v>
      </c>
      <c r="BG164" s="137">
        <f t="shared" si="123"/>
        <v>27500</v>
      </c>
      <c r="BH164" s="137">
        <f t="shared" si="123"/>
        <v>27500</v>
      </c>
      <c r="BI164" s="137">
        <f t="shared" si="123"/>
        <v>27500</v>
      </c>
      <c r="BJ164" s="137">
        <f t="shared" si="123"/>
        <v>27500</v>
      </c>
      <c r="BK164" s="137">
        <f t="shared" si="123"/>
        <v>27500</v>
      </c>
      <c r="BL164" s="137">
        <f t="shared" si="123"/>
        <v>27500</v>
      </c>
      <c r="BM164" s="137">
        <f t="shared" si="123"/>
        <v>27500</v>
      </c>
      <c r="BN164" s="137">
        <f t="shared" si="123"/>
        <v>27500</v>
      </c>
    </row>
    <row r="165" hidden="1" outlineLevel="1">
      <c r="A165" s="47"/>
      <c r="B165" s="47"/>
      <c r="C165" s="47"/>
      <c r="D165" s="67"/>
      <c r="E165" s="67"/>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c r="AI165" s="114"/>
      <c r="AJ165" s="114"/>
      <c r="AK165" s="114"/>
      <c r="AL165" s="114"/>
      <c r="AM165" s="114"/>
      <c r="AN165" s="114"/>
      <c r="AO165" s="114"/>
      <c r="AP165" s="114"/>
      <c r="AQ165" s="114"/>
      <c r="AR165" s="114"/>
      <c r="AS165" s="114"/>
      <c r="AT165" s="114"/>
      <c r="AU165" s="114"/>
      <c r="AV165" s="114"/>
      <c r="AW165" s="114"/>
      <c r="AX165" s="114"/>
      <c r="AY165" s="114"/>
      <c r="AZ165" s="114"/>
      <c r="BA165" s="114"/>
      <c r="BB165" s="114"/>
      <c r="BC165" s="114"/>
      <c r="BD165" s="114"/>
      <c r="BE165" s="114"/>
      <c r="BF165" s="114"/>
      <c r="BG165" s="114"/>
      <c r="BH165" s="114"/>
      <c r="BI165" s="114"/>
      <c r="BJ165" s="114"/>
      <c r="BK165" s="114"/>
      <c r="BL165" s="114"/>
      <c r="BM165" s="114"/>
      <c r="BN165" s="114"/>
    </row>
    <row r="166" hidden="1" outlineLevel="1">
      <c r="A166" s="47"/>
      <c r="B166" s="138" t="s">
        <v>111</v>
      </c>
      <c r="C166" s="116" t="s">
        <v>92</v>
      </c>
      <c r="D166" s="139"/>
      <c r="E166" s="67"/>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114"/>
      <c r="AS166" s="114"/>
      <c r="AT166" s="114"/>
      <c r="AU166" s="114"/>
      <c r="AV166" s="114"/>
      <c r="AW166" s="114"/>
      <c r="AX166" s="114"/>
      <c r="AY166" s="114"/>
      <c r="AZ166" s="114"/>
      <c r="BA166" s="114"/>
      <c r="BB166" s="114"/>
      <c r="BC166" s="114"/>
      <c r="BD166" s="114"/>
      <c r="BE166" s="114"/>
      <c r="BF166" s="114"/>
      <c r="BG166" s="114"/>
      <c r="BH166" s="114"/>
      <c r="BI166" s="114"/>
      <c r="BJ166" s="114"/>
      <c r="BK166" s="114"/>
      <c r="BL166" s="114"/>
      <c r="BM166" s="114"/>
      <c r="BN166" s="114"/>
    </row>
    <row r="167" hidden="1" outlineLevel="1">
      <c r="A167" s="47"/>
      <c r="B167" s="122" t="s">
        <v>112</v>
      </c>
      <c r="C167" s="123">
        <v>0.08</v>
      </c>
      <c r="D167" s="67"/>
      <c r="E167" s="67"/>
      <c r="F167" s="114"/>
      <c r="G167" s="114">
        <f>Financials!F$8*$C167</f>
        <v>681.3</v>
      </c>
      <c r="H167" s="114">
        <f>Financials!G$8*$C167</f>
        <v>1409.9845</v>
      </c>
      <c r="I167" s="114">
        <f>Financials!H$8*$C167</f>
        <v>2172.586893</v>
      </c>
      <c r="J167" s="114">
        <f>Financials!I$8*$C167</f>
        <v>2972.509375</v>
      </c>
      <c r="K167" s="114">
        <f>Financials!J$8*$C167</f>
        <v>3815.560511</v>
      </c>
      <c r="L167" s="114">
        <f>Financials!K$8*$C167</f>
        <v>4704.3638</v>
      </c>
      <c r="M167" s="114">
        <f>Financials!L$8*$C167</f>
        <v>5587.578405</v>
      </c>
      <c r="N167" s="114">
        <f>Financials!M$8*$C167</f>
        <v>6466.356088</v>
      </c>
      <c r="O167" s="114">
        <f>Financials!N$8*$C167</f>
        <v>7340.822952</v>
      </c>
      <c r="P167" s="114">
        <f>Financials!O$8*$C167</f>
        <v>8211.086996</v>
      </c>
      <c r="Q167" s="114">
        <f>Financials!P$8*$C167</f>
        <v>9079.053294</v>
      </c>
      <c r="R167" s="114">
        <f>Financials!Q$8*$C167</f>
        <v>9943.041288</v>
      </c>
      <c r="S167" s="114">
        <f>Financials!R$8*$C167</f>
        <v>10803.12437</v>
      </c>
      <c r="T167" s="114">
        <f>Financials!S$8*$C167</f>
        <v>11659.39976</v>
      </c>
      <c r="U167" s="114">
        <f>Financials!T$8*$C167</f>
        <v>12511.96266</v>
      </c>
      <c r="V167" s="114">
        <f>Financials!U$8*$C167</f>
        <v>13360.90588</v>
      </c>
      <c r="W167" s="114">
        <f>Financials!V$8*$C167</f>
        <v>14206.3199</v>
      </c>
      <c r="X167" s="114">
        <f>Financials!W$8*$C167</f>
        <v>15048.29296</v>
      </c>
      <c r="Y167" s="114">
        <f>Financials!X$8*$C167</f>
        <v>15886.91108</v>
      </c>
      <c r="Z167" s="114">
        <f>Financials!Y$8*$C167</f>
        <v>16722.25813</v>
      </c>
      <c r="AA167" s="114">
        <f>Financials!Z$8*$C167</f>
        <v>17554.4159</v>
      </c>
      <c r="AB167" s="114">
        <f>Financials!AA$8*$C167</f>
        <v>18383.46411</v>
      </c>
      <c r="AC167" s="114">
        <f>Financials!AB$8*$C167</f>
        <v>19209.4805</v>
      </c>
      <c r="AD167" s="114">
        <f>Financials!AC$8*$C167</f>
        <v>20032.54087</v>
      </c>
      <c r="AE167" s="114">
        <f>Financials!AD$8*$C167</f>
        <v>20852.71912</v>
      </c>
      <c r="AF167" s="114">
        <f>Financials!AE$8*$C167</f>
        <v>21670.0873</v>
      </c>
      <c r="AG167" s="114">
        <f>Financials!AF$8*$C167</f>
        <v>22484.71566</v>
      </c>
      <c r="AH167" s="114">
        <f>Financials!AG$8*$C167</f>
        <v>23296.6727</v>
      </c>
      <c r="AI167" s="114">
        <f>Financials!AH$8*$C167</f>
        <v>24106.02521</v>
      </c>
      <c r="AJ167" s="114">
        <f>Financials!AI$8*$C167</f>
        <v>24912.83828</v>
      </c>
      <c r="AK167" s="114">
        <f>Financials!AJ$8*$C167</f>
        <v>25717.17542</v>
      </c>
      <c r="AL167" s="114">
        <f>Financials!AK$8*$C167</f>
        <v>26519.09852</v>
      </c>
      <c r="AM167" s="114">
        <f>Financials!AL$8*$C167</f>
        <v>27318.66793</v>
      </c>
      <c r="AN167" s="114">
        <f>Financials!AM$8*$C167</f>
        <v>28115.94249</v>
      </c>
      <c r="AO167" s="114">
        <f>Financials!AN$8*$C167</f>
        <v>28910.97958</v>
      </c>
      <c r="AP167" s="114">
        <f>Financials!AO$8*$C167</f>
        <v>29703.83512</v>
      </c>
      <c r="AQ167" s="114">
        <f>Financials!AP$8*$C167</f>
        <v>30494.56367</v>
      </c>
      <c r="AR167" s="114">
        <f>Financials!AQ$8*$C167</f>
        <v>31283.21838</v>
      </c>
      <c r="AS167" s="114">
        <f>Financials!AR$8*$C167</f>
        <v>32069.85112</v>
      </c>
      <c r="AT167" s="114">
        <f>Financials!AS$8*$C167</f>
        <v>32854.51243</v>
      </c>
      <c r="AU167" s="114">
        <f>Financials!AT$8*$C167</f>
        <v>33637.25159</v>
      </c>
      <c r="AV167" s="114">
        <f>Financials!AU$8*$C167</f>
        <v>34418.11666</v>
      </c>
      <c r="AW167" s="114">
        <f>Financials!AV$8*$C167</f>
        <v>35197.1545</v>
      </c>
      <c r="AX167" s="114">
        <f>Financials!AW$8*$C167</f>
        <v>35974.41077</v>
      </c>
      <c r="AY167" s="114">
        <f>Financials!AX$8*$C167</f>
        <v>36749.93002</v>
      </c>
      <c r="AZ167" s="114">
        <f>Financials!AY$8*$C167</f>
        <v>37523.75569</v>
      </c>
      <c r="BA167" s="114">
        <f>Financials!AZ$8*$C167</f>
        <v>38295.93009</v>
      </c>
      <c r="BB167" s="114">
        <f>Financials!BA$8*$C167</f>
        <v>39066.49453</v>
      </c>
      <c r="BC167" s="114">
        <f>Financials!BB$8*$C167</f>
        <v>39835.48924</v>
      </c>
      <c r="BD167" s="114">
        <f>Financials!BC$8*$C167</f>
        <v>40602.95347</v>
      </c>
      <c r="BE167" s="114">
        <f>Financials!BD$8*$C167</f>
        <v>41368.92548</v>
      </c>
      <c r="BF167" s="114">
        <f>Financials!BE$8*$C167</f>
        <v>42133.44258</v>
      </c>
      <c r="BG167" s="114">
        <f>Financials!BF$8*$C167</f>
        <v>42896.54114</v>
      </c>
      <c r="BH167" s="114">
        <f>Financials!BG$8*$C167</f>
        <v>43658.25663</v>
      </c>
      <c r="BI167" s="114">
        <f>Financials!BH$8*$C167</f>
        <v>44418.62361</v>
      </c>
      <c r="BJ167" s="114">
        <f>Financials!BI$8*$C167</f>
        <v>45177.67581</v>
      </c>
      <c r="BK167" s="114">
        <f>Financials!BJ$8*$C167</f>
        <v>45935.44609</v>
      </c>
      <c r="BL167" s="114">
        <f>Financials!BK$8*$C167</f>
        <v>46691.9665</v>
      </c>
      <c r="BM167" s="114">
        <f>Financials!BL$8*$C167</f>
        <v>47447.26829</v>
      </c>
      <c r="BN167" s="114">
        <f>Financials!BM$8*$C167</f>
        <v>48201.38193</v>
      </c>
    </row>
    <row r="168" hidden="1" outlineLevel="1">
      <c r="A168" s="47"/>
      <c r="B168" s="125" t="s">
        <v>113</v>
      </c>
      <c r="C168" s="133">
        <v>10000.0</v>
      </c>
      <c r="D168" s="134"/>
      <c r="E168" s="134"/>
      <c r="F168" s="127"/>
      <c r="G168" s="127">
        <f>C168</f>
        <v>10000</v>
      </c>
      <c r="H168" s="127">
        <f t="shared" ref="H168:BN168" si="124">G168</f>
        <v>10000</v>
      </c>
      <c r="I168" s="127">
        <f t="shared" si="124"/>
        <v>10000</v>
      </c>
      <c r="J168" s="127">
        <f t="shared" si="124"/>
        <v>10000</v>
      </c>
      <c r="K168" s="127">
        <f t="shared" si="124"/>
        <v>10000</v>
      </c>
      <c r="L168" s="127">
        <f t="shared" si="124"/>
        <v>10000</v>
      </c>
      <c r="M168" s="127">
        <f t="shared" si="124"/>
        <v>10000</v>
      </c>
      <c r="N168" s="127">
        <f t="shared" si="124"/>
        <v>10000</v>
      </c>
      <c r="O168" s="127">
        <f t="shared" si="124"/>
        <v>10000</v>
      </c>
      <c r="P168" s="127">
        <f t="shared" si="124"/>
        <v>10000</v>
      </c>
      <c r="Q168" s="127">
        <f t="shared" si="124"/>
        <v>10000</v>
      </c>
      <c r="R168" s="127">
        <f t="shared" si="124"/>
        <v>10000</v>
      </c>
      <c r="S168" s="127">
        <f t="shared" si="124"/>
        <v>10000</v>
      </c>
      <c r="T168" s="127">
        <f t="shared" si="124"/>
        <v>10000</v>
      </c>
      <c r="U168" s="127">
        <f t="shared" si="124"/>
        <v>10000</v>
      </c>
      <c r="V168" s="127">
        <f t="shared" si="124"/>
        <v>10000</v>
      </c>
      <c r="W168" s="127">
        <f t="shared" si="124"/>
        <v>10000</v>
      </c>
      <c r="X168" s="127">
        <f t="shared" si="124"/>
        <v>10000</v>
      </c>
      <c r="Y168" s="127">
        <f t="shared" si="124"/>
        <v>10000</v>
      </c>
      <c r="Z168" s="127">
        <f t="shared" si="124"/>
        <v>10000</v>
      </c>
      <c r="AA168" s="127">
        <f t="shared" si="124"/>
        <v>10000</v>
      </c>
      <c r="AB168" s="127">
        <f t="shared" si="124"/>
        <v>10000</v>
      </c>
      <c r="AC168" s="127">
        <f t="shared" si="124"/>
        <v>10000</v>
      </c>
      <c r="AD168" s="127">
        <f t="shared" si="124"/>
        <v>10000</v>
      </c>
      <c r="AE168" s="127">
        <f t="shared" si="124"/>
        <v>10000</v>
      </c>
      <c r="AF168" s="127">
        <f t="shared" si="124"/>
        <v>10000</v>
      </c>
      <c r="AG168" s="127">
        <f t="shared" si="124"/>
        <v>10000</v>
      </c>
      <c r="AH168" s="127">
        <f t="shared" si="124"/>
        <v>10000</v>
      </c>
      <c r="AI168" s="127">
        <f t="shared" si="124"/>
        <v>10000</v>
      </c>
      <c r="AJ168" s="127">
        <f t="shared" si="124"/>
        <v>10000</v>
      </c>
      <c r="AK168" s="127">
        <f t="shared" si="124"/>
        <v>10000</v>
      </c>
      <c r="AL168" s="127">
        <f t="shared" si="124"/>
        <v>10000</v>
      </c>
      <c r="AM168" s="127">
        <f t="shared" si="124"/>
        <v>10000</v>
      </c>
      <c r="AN168" s="127">
        <f t="shared" si="124"/>
        <v>10000</v>
      </c>
      <c r="AO168" s="127">
        <f t="shared" si="124"/>
        <v>10000</v>
      </c>
      <c r="AP168" s="127">
        <f t="shared" si="124"/>
        <v>10000</v>
      </c>
      <c r="AQ168" s="127">
        <f t="shared" si="124"/>
        <v>10000</v>
      </c>
      <c r="AR168" s="127">
        <f t="shared" si="124"/>
        <v>10000</v>
      </c>
      <c r="AS168" s="127">
        <f t="shared" si="124"/>
        <v>10000</v>
      </c>
      <c r="AT168" s="127">
        <f t="shared" si="124"/>
        <v>10000</v>
      </c>
      <c r="AU168" s="127">
        <f t="shared" si="124"/>
        <v>10000</v>
      </c>
      <c r="AV168" s="127">
        <f t="shared" si="124"/>
        <v>10000</v>
      </c>
      <c r="AW168" s="127">
        <f t="shared" si="124"/>
        <v>10000</v>
      </c>
      <c r="AX168" s="127">
        <f t="shared" si="124"/>
        <v>10000</v>
      </c>
      <c r="AY168" s="127">
        <f t="shared" si="124"/>
        <v>10000</v>
      </c>
      <c r="AZ168" s="127">
        <f t="shared" si="124"/>
        <v>10000</v>
      </c>
      <c r="BA168" s="127">
        <f t="shared" si="124"/>
        <v>10000</v>
      </c>
      <c r="BB168" s="127">
        <f t="shared" si="124"/>
        <v>10000</v>
      </c>
      <c r="BC168" s="127">
        <f t="shared" si="124"/>
        <v>10000</v>
      </c>
      <c r="BD168" s="127">
        <f t="shared" si="124"/>
        <v>10000</v>
      </c>
      <c r="BE168" s="127">
        <f t="shared" si="124"/>
        <v>10000</v>
      </c>
      <c r="BF168" s="127">
        <f t="shared" si="124"/>
        <v>10000</v>
      </c>
      <c r="BG168" s="127">
        <f t="shared" si="124"/>
        <v>10000</v>
      </c>
      <c r="BH168" s="127">
        <f t="shared" si="124"/>
        <v>10000</v>
      </c>
      <c r="BI168" s="127">
        <f t="shared" si="124"/>
        <v>10000</v>
      </c>
      <c r="BJ168" s="127">
        <f t="shared" si="124"/>
        <v>10000</v>
      </c>
      <c r="BK168" s="127">
        <f t="shared" si="124"/>
        <v>10000</v>
      </c>
      <c r="BL168" s="127">
        <f t="shared" si="124"/>
        <v>10000</v>
      </c>
      <c r="BM168" s="127">
        <f t="shared" si="124"/>
        <v>10000</v>
      </c>
      <c r="BN168" s="127">
        <f t="shared" si="124"/>
        <v>10000</v>
      </c>
    </row>
    <row r="169" hidden="1" outlineLevel="1">
      <c r="A169" s="135"/>
      <c r="B169" s="140" t="s">
        <v>101</v>
      </c>
      <c r="C169" s="135"/>
      <c r="D169" s="135"/>
      <c r="E169" s="135"/>
      <c r="F169" s="135"/>
      <c r="G169" s="137">
        <f t="shared" ref="G169:BN169" si="125">sum(G167:G168)</f>
        <v>10681.3</v>
      </c>
      <c r="H169" s="137">
        <f t="shared" si="125"/>
        <v>11409.9845</v>
      </c>
      <c r="I169" s="137">
        <f t="shared" si="125"/>
        <v>12172.58689</v>
      </c>
      <c r="J169" s="137">
        <f t="shared" si="125"/>
        <v>12972.50938</v>
      </c>
      <c r="K169" s="137">
        <f t="shared" si="125"/>
        <v>13815.56051</v>
      </c>
      <c r="L169" s="137">
        <f t="shared" si="125"/>
        <v>14704.3638</v>
      </c>
      <c r="M169" s="137">
        <f t="shared" si="125"/>
        <v>15587.5784</v>
      </c>
      <c r="N169" s="137">
        <f t="shared" si="125"/>
        <v>16466.35609</v>
      </c>
      <c r="O169" s="137">
        <f t="shared" si="125"/>
        <v>17340.82295</v>
      </c>
      <c r="P169" s="137">
        <f t="shared" si="125"/>
        <v>18211.087</v>
      </c>
      <c r="Q169" s="137">
        <f t="shared" si="125"/>
        <v>19079.05329</v>
      </c>
      <c r="R169" s="137">
        <f t="shared" si="125"/>
        <v>19943.04129</v>
      </c>
      <c r="S169" s="137">
        <f t="shared" si="125"/>
        <v>20803.12437</v>
      </c>
      <c r="T169" s="137">
        <f t="shared" si="125"/>
        <v>21659.39976</v>
      </c>
      <c r="U169" s="137">
        <f t="shared" si="125"/>
        <v>22511.96266</v>
      </c>
      <c r="V169" s="137">
        <f t="shared" si="125"/>
        <v>23360.90588</v>
      </c>
      <c r="W169" s="137">
        <f t="shared" si="125"/>
        <v>24206.3199</v>
      </c>
      <c r="X169" s="137">
        <f t="shared" si="125"/>
        <v>25048.29296</v>
      </c>
      <c r="Y169" s="137">
        <f t="shared" si="125"/>
        <v>25886.91108</v>
      </c>
      <c r="Z169" s="137">
        <f t="shared" si="125"/>
        <v>26722.25813</v>
      </c>
      <c r="AA169" s="137">
        <f t="shared" si="125"/>
        <v>27554.4159</v>
      </c>
      <c r="AB169" s="137">
        <f t="shared" si="125"/>
        <v>28383.46411</v>
      </c>
      <c r="AC169" s="137">
        <f t="shared" si="125"/>
        <v>29209.4805</v>
      </c>
      <c r="AD169" s="137">
        <f t="shared" si="125"/>
        <v>30032.54087</v>
      </c>
      <c r="AE169" s="137">
        <f t="shared" si="125"/>
        <v>30852.71912</v>
      </c>
      <c r="AF169" s="137">
        <f t="shared" si="125"/>
        <v>31670.0873</v>
      </c>
      <c r="AG169" s="137">
        <f t="shared" si="125"/>
        <v>32484.71566</v>
      </c>
      <c r="AH169" s="137">
        <f t="shared" si="125"/>
        <v>33296.6727</v>
      </c>
      <c r="AI169" s="137">
        <f t="shared" si="125"/>
        <v>34106.02521</v>
      </c>
      <c r="AJ169" s="137">
        <f t="shared" si="125"/>
        <v>34912.83828</v>
      </c>
      <c r="AK169" s="137">
        <f t="shared" si="125"/>
        <v>35717.17542</v>
      </c>
      <c r="AL169" s="137">
        <f t="shared" si="125"/>
        <v>36519.09852</v>
      </c>
      <c r="AM169" s="137">
        <f t="shared" si="125"/>
        <v>37318.66793</v>
      </c>
      <c r="AN169" s="137">
        <f t="shared" si="125"/>
        <v>38115.94249</v>
      </c>
      <c r="AO169" s="137">
        <f t="shared" si="125"/>
        <v>38910.97958</v>
      </c>
      <c r="AP169" s="137">
        <f t="shared" si="125"/>
        <v>39703.83512</v>
      </c>
      <c r="AQ169" s="137">
        <f t="shared" si="125"/>
        <v>40494.56367</v>
      </c>
      <c r="AR169" s="137">
        <f t="shared" si="125"/>
        <v>41283.21838</v>
      </c>
      <c r="AS169" s="137">
        <f t="shared" si="125"/>
        <v>42069.85112</v>
      </c>
      <c r="AT169" s="137">
        <f t="shared" si="125"/>
        <v>42854.51243</v>
      </c>
      <c r="AU169" s="137">
        <f t="shared" si="125"/>
        <v>43637.25159</v>
      </c>
      <c r="AV169" s="137">
        <f t="shared" si="125"/>
        <v>44418.11666</v>
      </c>
      <c r="AW169" s="137">
        <f t="shared" si="125"/>
        <v>45197.1545</v>
      </c>
      <c r="AX169" s="137">
        <f t="shared" si="125"/>
        <v>45974.41077</v>
      </c>
      <c r="AY169" s="137">
        <f t="shared" si="125"/>
        <v>46749.93002</v>
      </c>
      <c r="AZ169" s="137">
        <f t="shared" si="125"/>
        <v>47523.75569</v>
      </c>
      <c r="BA169" s="137">
        <f t="shared" si="125"/>
        <v>48295.93009</v>
      </c>
      <c r="BB169" s="137">
        <f t="shared" si="125"/>
        <v>49066.49453</v>
      </c>
      <c r="BC169" s="137">
        <f t="shared" si="125"/>
        <v>49835.48924</v>
      </c>
      <c r="BD169" s="137">
        <f t="shared" si="125"/>
        <v>50602.95347</v>
      </c>
      <c r="BE169" s="137">
        <f t="shared" si="125"/>
        <v>51368.92548</v>
      </c>
      <c r="BF169" s="137">
        <f t="shared" si="125"/>
        <v>52133.44258</v>
      </c>
      <c r="BG169" s="137">
        <f t="shared" si="125"/>
        <v>52896.54114</v>
      </c>
      <c r="BH169" s="137">
        <f t="shared" si="125"/>
        <v>53658.25663</v>
      </c>
      <c r="BI169" s="137">
        <f t="shared" si="125"/>
        <v>54418.62361</v>
      </c>
      <c r="BJ169" s="137">
        <f t="shared" si="125"/>
        <v>55177.67581</v>
      </c>
      <c r="BK169" s="137">
        <f t="shared" si="125"/>
        <v>55935.44609</v>
      </c>
      <c r="BL169" s="137">
        <f t="shared" si="125"/>
        <v>56691.9665</v>
      </c>
      <c r="BM169" s="137">
        <f t="shared" si="125"/>
        <v>57447.26829</v>
      </c>
      <c r="BN169" s="137">
        <f t="shared" si="125"/>
        <v>58201.38193</v>
      </c>
    </row>
    <row r="170" hidden="1" outlineLevel="1">
      <c r="A170" s="47"/>
      <c r="B170" s="141"/>
      <c r="C170" s="47"/>
      <c r="D170" s="67"/>
      <c r="E170" s="67"/>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c r="AP170" s="114"/>
      <c r="AQ170" s="114"/>
      <c r="AR170" s="114"/>
      <c r="AS170" s="114"/>
      <c r="AT170" s="114"/>
      <c r="AU170" s="114"/>
      <c r="AV170" s="114"/>
      <c r="AW170" s="114"/>
      <c r="AX170" s="114"/>
      <c r="AY170" s="114"/>
      <c r="AZ170" s="114"/>
      <c r="BA170" s="114"/>
      <c r="BB170" s="114"/>
      <c r="BC170" s="114"/>
      <c r="BD170" s="114"/>
      <c r="BE170" s="114"/>
      <c r="BF170" s="114"/>
      <c r="BG170" s="114"/>
      <c r="BH170" s="114"/>
      <c r="BI170" s="114"/>
      <c r="BJ170" s="114"/>
      <c r="BK170" s="114"/>
      <c r="BL170" s="114"/>
      <c r="BM170" s="114"/>
      <c r="BN170" s="114"/>
    </row>
    <row r="171" hidden="1" outlineLevel="1">
      <c r="A171" s="47"/>
      <c r="B171" s="138" t="s">
        <v>114</v>
      </c>
      <c r="C171" s="66"/>
      <c r="D171" s="139"/>
      <c r="E171" s="67"/>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c r="AI171" s="114"/>
      <c r="AJ171" s="114"/>
      <c r="AK171" s="114"/>
      <c r="AL171" s="114"/>
      <c r="AM171" s="114"/>
      <c r="AN171" s="114"/>
      <c r="AO171" s="114"/>
      <c r="AP171" s="114"/>
      <c r="AQ171" s="114"/>
      <c r="AR171" s="114"/>
      <c r="AS171" s="114"/>
      <c r="AT171" s="114"/>
      <c r="AU171" s="114"/>
      <c r="AV171" s="114"/>
      <c r="AW171" s="114"/>
      <c r="AX171" s="114"/>
      <c r="AY171" s="114"/>
      <c r="AZ171" s="114"/>
      <c r="BA171" s="114"/>
      <c r="BB171" s="114"/>
      <c r="BC171" s="114"/>
      <c r="BD171" s="114"/>
      <c r="BE171" s="114"/>
      <c r="BF171" s="114"/>
      <c r="BG171" s="114"/>
      <c r="BH171" s="114"/>
      <c r="BI171" s="114"/>
      <c r="BJ171" s="114"/>
      <c r="BK171" s="114"/>
      <c r="BL171" s="114"/>
      <c r="BM171" s="114"/>
      <c r="BN171" s="114"/>
    </row>
    <row r="172" hidden="1" outlineLevel="1">
      <c r="A172" s="47"/>
      <c r="B172" s="122" t="s">
        <v>115</v>
      </c>
      <c r="C172" s="131">
        <v>2000.0</v>
      </c>
      <c r="D172" s="142"/>
      <c r="E172" s="67"/>
      <c r="F172" s="114"/>
      <c r="G172" s="114">
        <f t="shared" ref="G172:G174" si="127">C172</f>
        <v>2000</v>
      </c>
      <c r="H172" s="114">
        <f t="shared" ref="H172:BN172" si="126">G172</f>
        <v>2000</v>
      </c>
      <c r="I172" s="114">
        <f t="shared" si="126"/>
        <v>2000</v>
      </c>
      <c r="J172" s="114">
        <f t="shared" si="126"/>
        <v>2000</v>
      </c>
      <c r="K172" s="114">
        <f t="shared" si="126"/>
        <v>2000</v>
      </c>
      <c r="L172" s="114">
        <f t="shared" si="126"/>
        <v>2000</v>
      </c>
      <c r="M172" s="114">
        <f t="shared" si="126"/>
        <v>2000</v>
      </c>
      <c r="N172" s="114">
        <f t="shared" si="126"/>
        <v>2000</v>
      </c>
      <c r="O172" s="114">
        <f t="shared" si="126"/>
        <v>2000</v>
      </c>
      <c r="P172" s="114">
        <f t="shared" si="126"/>
        <v>2000</v>
      </c>
      <c r="Q172" s="114">
        <f t="shared" si="126"/>
        <v>2000</v>
      </c>
      <c r="R172" s="114">
        <f t="shared" si="126"/>
        <v>2000</v>
      </c>
      <c r="S172" s="114">
        <f t="shared" si="126"/>
        <v>2000</v>
      </c>
      <c r="T172" s="114">
        <f t="shared" si="126"/>
        <v>2000</v>
      </c>
      <c r="U172" s="114">
        <f t="shared" si="126"/>
        <v>2000</v>
      </c>
      <c r="V172" s="114">
        <f t="shared" si="126"/>
        <v>2000</v>
      </c>
      <c r="W172" s="114">
        <f t="shared" si="126"/>
        <v>2000</v>
      </c>
      <c r="X172" s="114">
        <f t="shared" si="126"/>
        <v>2000</v>
      </c>
      <c r="Y172" s="114">
        <f t="shared" si="126"/>
        <v>2000</v>
      </c>
      <c r="Z172" s="114">
        <f t="shared" si="126"/>
        <v>2000</v>
      </c>
      <c r="AA172" s="114">
        <f t="shared" si="126"/>
        <v>2000</v>
      </c>
      <c r="AB172" s="114">
        <f t="shared" si="126"/>
        <v>2000</v>
      </c>
      <c r="AC172" s="114">
        <f t="shared" si="126"/>
        <v>2000</v>
      </c>
      <c r="AD172" s="114">
        <f t="shared" si="126"/>
        <v>2000</v>
      </c>
      <c r="AE172" s="114">
        <f t="shared" si="126"/>
        <v>2000</v>
      </c>
      <c r="AF172" s="114">
        <f t="shared" si="126"/>
        <v>2000</v>
      </c>
      <c r="AG172" s="114">
        <f t="shared" si="126"/>
        <v>2000</v>
      </c>
      <c r="AH172" s="114">
        <f t="shared" si="126"/>
        <v>2000</v>
      </c>
      <c r="AI172" s="114">
        <f t="shared" si="126"/>
        <v>2000</v>
      </c>
      <c r="AJ172" s="114">
        <f t="shared" si="126"/>
        <v>2000</v>
      </c>
      <c r="AK172" s="114">
        <f t="shared" si="126"/>
        <v>2000</v>
      </c>
      <c r="AL172" s="114">
        <f t="shared" si="126"/>
        <v>2000</v>
      </c>
      <c r="AM172" s="114">
        <f t="shared" si="126"/>
        <v>2000</v>
      </c>
      <c r="AN172" s="114">
        <f t="shared" si="126"/>
        <v>2000</v>
      </c>
      <c r="AO172" s="114">
        <f t="shared" si="126"/>
        <v>2000</v>
      </c>
      <c r="AP172" s="114">
        <f t="shared" si="126"/>
        <v>2000</v>
      </c>
      <c r="AQ172" s="114">
        <f t="shared" si="126"/>
        <v>2000</v>
      </c>
      <c r="AR172" s="114">
        <f t="shared" si="126"/>
        <v>2000</v>
      </c>
      <c r="AS172" s="114">
        <f t="shared" si="126"/>
        <v>2000</v>
      </c>
      <c r="AT172" s="114">
        <f t="shared" si="126"/>
        <v>2000</v>
      </c>
      <c r="AU172" s="114">
        <f t="shared" si="126"/>
        <v>2000</v>
      </c>
      <c r="AV172" s="114">
        <f t="shared" si="126"/>
        <v>2000</v>
      </c>
      <c r="AW172" s="114">
        <f t="shared" si="126"/>
        <v>2000</v>
      </c>
      <c r="AX172" s="114">
        <f t="shared" si="126"/>
        <v>2000</v>
      </c>
      <c r="AY172" s="114">
        <f t="shared" si="126"/>
        <v>2000</v>
      </c>
      <c r="AZ172" s="114">
        <f t="shared" si="126"/>
        <v>2000</v>
      </c>
      <c r="BA172" s="114">
        <f t="shared" si="126"/>
        <v>2000</v>
      </c>
      <c r="BB172" s="114">
        <f t="shared" si="126"/>
        <v>2000</v>
      </c>
      <c r="BC172" s="114">
        <f t="shared" si="126"/>
        <v>2000</v>
      </c>
      <c r="BD172" s="114">
        <f t="shared" si="126"/>
        <v>2000</v>
      </c>
      <c r="BE172" s="114">
        <f t="shared" si="126"/>
        <v>2000</v>
      </c>
      <c r="BF172" s="114">
        <f t="shared" si="126"/>
        <v>2000</v>
      </c>
      <c r="BG172" s="114">
        <f t="shared" si="126"/>
        <v>2000</v>
      </c>
      <c r="BH172" s="114">
        <f t="shared" si="126"/>
        <v>2000</v>
      </c>
      <c r="BI172" s="114">
        <f t="shared" si="126"/>
        <v>2000</v>
      </c>
      <c r="BJ172" s="114">
        <f t="shared" si="126"/>
        <v>2000</v>
      </c>
      <c r="BK172" s="114">
        <f t="shared" si="126"/>
        <v>2000</v>
      </c>
      <c r="BL172" s="114">
        <f t="shared" si="126"/>
        <v>2000</v>
      </c>
      <c r="BM172" s="114">
        <f t="shared" si="126"/>
        <v>2000</v>
      </c>
      <c r="BN172" s="114">
        <f t="shared" si="126"/>
        <v>2000</v>
      </c>
    </row>
    <row r="173" hidden="1" outlineLevel="1">
      <c r="A173" s="47"/>
      <c r="B173" s="122" t="s">
        <v>116</v>
      </c>
      <c r="C173" s="131">
        <v>1000.0</v>
      </c>
      <c r="D173" s="142"/>
      <c r="E173" s="67"/>
      <c r="F173" s="114"/>
      <c r="G173" s="114">
        <f t="shared" si="127"/>
        <v>1000</v>
      </c>
      <c r="H173" s="114">
        <f t="shared" ref="H173:BN173" si="128">G173</f>
        <v>1000</v>
      </c>
      <c r="I173" s="114">
        <f t="shared" si="128"/>
        <v>1000</v>
      </c>
      <c r="J173" s="114">
        <f t="shared" si="128"/>
        <v>1000</v>
      </c>
      <c r="K173" s="114">
        <f t="shared" si="128"/>
        <v>1000</v>
      </c>
      <c r="L173" s="114">
        <f t="shared" si="128"/>
        <v>1000</v>
      </c>
      <c r="M173" s="114">
        <f t="shared" si="128"/>
        <v>1000</v>
      </c>
      <c r="N173" s="114">
        <f t="shared" si="128"/>
        <v>1000</v>
      </c>
      <c r="O173" s="114">
        <f t="shared" si="128"/>
        <v>1000</v>
      </c>
      <c r="P173" s="114">
        <f t="shared" si="128"/>
        <v>1000</v>
      </c>
      <c r="Q173" s="114">
        <f t="shared" si="128"/>
        <v>1000</v>
      </c>
      <c r="R173" s="114">
        <f t="shared" si="128"/>
        <v>1000</v>
      </c>
      <c r="S173" s="114">
        <f t="shared" si="128"/>
        <v>1000</v>
      </c>
      <c r="T173" s="114">
        <f t="shared" si="128"/>
        <v>1000</v>
      </c>
      <c r="U173" s="114">
        <f t="shared" si="128"/>
        <v>1000</v>
      </c>
      <c r="V173" s="114">
        <f t="shared" si="128"/>
        <v>1000</v>
      </c>
      <c r="W173" s="114">
        <f t="shared" si="128"/>
        <v>1000</v>
      </c>
      <c r="X173" s="114">
        <f t="shared" si="128"/>
        <v>1000</v>
      </c>
      <c r="Y173" s="114">
        <f t="shared" si="128"/>
        <v>1000</v>
      </c>
      <c r="Z173" s="114">
        <f t="shared" si="128"/>
        <v>1000</v>
      </c>
      <c r="AA173" s="114">
        <f t="shared" si="128"/>
        <v>1000</v>
      </c>
      <c r="AB173" s="114">
        <f t="shared" si="128"/>
        <v>1000</v>
      </c>
      <c r="AC173" s="114">
        <f t="shared" si="128"/>
        <v>1000</v>
      </c>
      <c r="AD173" s="114">
        <f t="shared" si="128"/>
        <v>1000</v>
      </c>
      <c r="AE173" s="114">
        <f t="shared" si="128"/>
        <v>1000</v>
      </c>
      <c r="AF173" s="114">
        <f t="shared" si="128"/>
        <v>1000</v>
      </c>
      <c r="AG173" s="114">
        <f t="shared" si="128"/>
        <v>1000</v>
      </c>
      <c r="AH173" s="114">
        <f t="shared" si="128"/>
        <v>1000</v>
      </c>
      <c r="AI173" s="114">
        <f t="shared" si="128"/>
        <v>1000</v>
      </c>
      <c r="AJ173" s="114">
        <f t="shared" si="128"/>
        <v>1000</v>
      </c>
      <c r="AK173" s="114">
        <f t="shared" si="128"/>
        <v>1000</v>
      </c>
      <c r="AL173" s="114">
        <f t="shared" si="128"/>
        <v>1000</v>
      </c>
      <c r="AM173" s="114">
        <f t="shared" si="128"/>
        <v>1000</v>
      </c>
      <c r="AN173" s="114">
        <f t="shared" si="128"/>
        <v>1000</v>
      </c>
      <c r="AO173" s="114">
        <f t="shared" si="128"/>
        <v>1000</v>
      </c>
      <c r="AP173" s="114">
        <f t="shared" si="128"/>
        <v>1000</v>
      </c>
      <c r="AQ173" s="114">
        <f t="shared" si="128"/>
        <v>1000</v>
      </c>
      <c r="AR173" s="114">
        <f t="shared" si="128"/>
        <v>1000</v>
      </c>
      <c r="AS173" s="114">
        <f t="shared" si="128"/>
        <v>1000</v>
      </c>
      <c r="AT173" s="114">
        <f t="shared" si="128"/>
        <v>1000</v>
      </c>
      <c r="AU173" s="114">
        <f t="shared" si="128"/>
        <v>1000</v>
      </c>
      <c r="AV173" s="114">
        <f t="shared" si="128"/>
        <v>1000</v>
      </c>
      <c r="AW173" s="114">
        <f t="shared" si="128"/>
        <v>1000</v>
      </c>
      <c r="AX173" s="114">
        <f t="shared" si="128"/>
        <v>1000</v>
      </c>
      <c r="AY173" s="114">
        <f t="shared" si="128"/>
        <v>1000</v>
      </c>
      <c r="AZ173" s="114">
        <f t="shared" si="128"/>
        <v>1000</v>
      </c>
      <c r="BA173" s="114">
        <f t="shared" si="128"/>
        <v>1000</v>
      </c>
      <c r="BB173" s="114">
        <f t="shared" si="128"/>
        <v>1000</v>
      </c>
      <c r="BC173" s="114">
        <f t="shared" si="128"/>
        <v>1000</v>
      </c>
      <c r="BD173" s="114">
        <f t="shared" si="128"/>
        <v>1000</v>
      </c>
      <c r="BE173" s="114">
        <f t="shared" si="128"/>
        <v>1000</v>
      </c>
      <c r="BF173" s="114">
        <f t="shared" si="128"/>
        <v>1000</v>
      </c>
      <c r="BG173" s="114">
        <f t="shared" si="128"/>
        <v>1000</v>
      </c>
      <c r="BH173" s="114">
        <f t="shared" si="128"/>
        <v>1000</v>
      </c>
      <c r="BI173" s="114">
        <f t="shared" si="128"/>
        <v>1000</v>
      </c>
      <c r="BJ173" s="114">
        <f t="shared" si="128"/>
        <v>1000</v>
      </c>
      <c r="BK173" s="114">
        <f t="shared" si="128"/>
        <v>1000</v>
      </c>
      <c r="BL173" s="114">
        <f t="shared" si="128"/>
        <v>1000</v>
      </c>
      <c r="BM173" s="114">
        <f t="shared" si="128"/>
        <v>1000</v>
      </c>
      <c r="BN173" s="114">
        <f t="shared" si="128"/>
        <v>1000</v>
      </c>
    </row>
    <row r="174" hidden="1" outlineLevel="1">
      <c r="A174" s="47"/>
      <c r="B174" s="125" t="s">
        <v>95</v>
      </c>
      <c r="C174" s="133">
        <v>2000.0</v>
      </c>
      <c r="D174" s="134"/>
      <c r="E174" s="134"/>
      <c r="F174" s="127"/>
      <c r="G174" s="127">
        <f t="shared" si="127"/>
        <v>2000</v>
      </c>
      <c r="H174" s="127">
        <f t="shared" ref="H174:BN174" si="129">G174</f>
        <v>2000</v>
      </c>
      <c r="I174" s="127">
        <f t="shared" si="129"/>
        <v>2000</v>
      </c>
      <c r="J174" s="127">
        <f t="shared" si="129"/>
        <v>2000</v>
      </c>
      <c r="K174" s="127">
        <f t="shared" si="129"/>
        <v>2000</v>
      </c>
      <c r="L174" s="127">
        <f t="shared" si="129"/>
        <v>2000</v>
      </c>
      <c r="M174" s="127">
        <f t="shared" si="129"/>
        <v>2000</v>
      </c>
      <c r="N174" s="127">
        <f t="shared" si="129"/>
        <v>2000</v>
      </c>
      <c r="O174" s="127">
        <f t="shared" si="129"/>
        <v>2000</v>
      </c>
      <c r="P174" s="127">
        <f t="shared" si="129"/>
        <v>2000</v>
      </c>
      <c r="Q174" s="127">
        <f t="shared" si="129"/>
        <v>2000</v>
      </c>
      <c r="R174" s="127">
        <f t="shared" si="129"/>
        <v>2000</v>
      </c>
      <c r="S174" s="127">
        <f t="shared" si="129"/>
        <v>2000</v>
      </c>
      <c r="T174" s="127">
        <f t="shared" si="129"/>
        <v>2000</v>
      </c>
      <c r="U174" s="127">
        <f t="shared" si="129"/>
        <v>2000</v>
      </c>
      <c r="V174" s="127">
        <f t="shared" si="129"/>
        <v>2000</v>
      </c>
      <c r="W174" s="127">
        <f t="shared" si="129"/>
        <v>2000</v>
      </c>
      <c r="X174" s="127">
        <f t="shared" si="129"/>
        <v>2000</v>
      </c>
      <c r="Y174" s="127">
        <f t="shared" si="129"/>
        <v>2000</v>
      </c>
      <c r="Z174" s="127">
        <f t="shared" si="129"/>
        <v>2000</v>
      </c>
      <c r="AA174" s="127">
        <f t="shared" si="129"/>
        <v>2000</v>
      </c>
      <c r="AB174" s="127">
        <f t="shared" si="129"/>
        <v>2000</v>
      </c>
      <c r="AC174" s="127">
        <f t="shared" si="129"/>
        <v>2000</v>
      </c>
      <c r="AD174" s="127">
        <f t="shared" si="129"/>
        <v>2000</v>
      </c>
      <c r="AE174" s="127">
        <f t="shared" si="129"/>
        <v>2000</v>
      </c>
      <c r="AF174" s="127">
        <f t="shared" si="129"/>
        <v>2000</v>
      </c>
      <c r="AG174" s="127">
        <f t="shared" si="129"/>
        <v>2000</v>
      </c>
      <c r="AH174" s="127">
        <f t="shared" si="129"/>
        <v>2000</v>
      </c>
      <c r="AI174" s="127">
        <f t="shared" si="129"/>
        <v>2000</v>
      </c>
      <c r="AJ174" s="127">
        <f t="shared" si="129"/>
        <v>2000</v>
      </c>
      <c r="AK174" s="127">
        <f t="shared" si="129"/>
        <v>2000</v>
      </c>
      <c r="AL174" s="127">
        <f t="shared" si="129"/>
        <v>2000</v>
      </c>
      <c r="AM174" s="127">
        <f t="shared" si="129"/>
        <v>2000</v>
      </c>
      <c r="AN174" s="127">
        <f t="shared" si="129"/>
        <v>2000</v>
      </c>
      <c r="AO174" s="127">
        <f t="shared" si="129"/>
        <v>2000</v>
      </c>
      <c r="AP174" s="127">
        <f t="shared" si="129"/>
        <v>2000</v>
      </c>
      <c r="AQ174" s="127">
        <f t="shared" si="129"/>
        <v>2000</v>
      </c>
      <c r="AR174" s="127">
        <f t="shared" si="129"/>
        <v>2000</v>
      </c>
      <c r="AS174" s="127">
        <f t="shared" si="129"/>
        <v>2000</v>
      </c>
      <c r="AT174" s="127">
        <f t="shared" si="129"/>
        <v>2000</v>
      </c>
      <c r="AU174" s="127">
        <f t="shared" si="129"/>
        <v>2000</v>
      </c>
      <c r="AV174" s="127">
        <f t="shared" si="129"/>
        <v>2000</v>
      </c>
      <c r="AW174" s="127">
        <f t="shared" si="129"/>
        <v>2000</v>
      </c>
      <c r="AX174" s="127">
        <f t="shared" si="129"/>
        <v>2000</v>
      </c>
      <c r="AY174" s="127">
        <f t="shared" si="129"/>
        <v>2000</v>
      </c>
      <c r="AZ174" s="127">
        <f t="shared" si="129"/>
        <v>2000</v>
      </c>
      <c r="BA174" s="127">
        <f t="shared" si="129"/>
        <v>2000</v>
      </c>
      <c r="BB174" s="127">
        <f t="shared" si="129"/>
        <v>2000</v>
      </c>
      <c r="BC174" s="127">
        <f t="shared" si="129"/>
        <v>2000</v>
      </c>
      <c r="BD174" s="127">
        <f t="shared" si="129"/>
        <v>2000</v>
      </c>
      <c r="BE174" s="127">
        <f t="shared" si="129"/>
        <v>2000</v>
      </c>
      <c r="BF174" s="127">
        <f t="shared" si="129"/>
        <v>2000</v>
      </c>
      <c r="BG174" s="127">
        <f t="shared" si="129"/>
        <v>2000</v>
      </c>
      <c r="BH174" s="127">
        <f t="shared" si="129"/>
        <v>2000</v>
      </c>
      <c r="BI174" s="127">
        <f t="shared" si="129"/>
        <v>2000</v>
      </c>
      <c r="BJ174" s="127">
        <f t="shared" si="129"/>
        <v>2000</v>
      </c>
      <c r="BK174" s="127">
        <f t="shared" si="129"/>
        <v>2000</v>
      </c>
      <c r="BL174" s="127">
        <f t="shared" si="129"/>
        <v>2000</v>
      </c>
      <c r="BM174" s="127">
        <f t="shared" si="129"/>
        <v>2000</v>
      </c>
      <c r="BN174" s="127">
        <f t="shared" si="129"/>
        <v>2000</v>
      </c>
    </row>
    <row r="175" hidden="1" outlineLevel="1">
      <c r="A175" s="135"/>
      <c r="B175" s="140" t="s">
        <v>101</v>
      </c>
      <c r="C175" s="135"/>
      <c r="D175" s="135"/>
      <c r="E175" s="135"/>
      <c r="F175" s="135"/>
      <c r="G175" s="137">
        <f t="shared" ref="G175:BN175" si="130">sum(G172:G174)</f>
        <v>5000</v>
      </c>
      <c r="H175" s="137">
        <f t="shared" si="130"/>
        <v>5000</v>
      </c>
      <c r="I175" s="137">
        <f t="shared" si="130"/>
        <v>5000</v>
      </c>
      <c r="J175" s="137">
        <f t="shared" si="130"/>
        <v>5000</v>
      </c>
      <c r="K175" s="137">
        <f t="shared" si="130"/>
        <v>5000</v>
      </c>
      <c r="L175" s="137">
        <f t="shared" si="130"/>
        <v>5000</v>
      </c>
      <c r="M175" s="137">
        <f t="shared" si="130"/>
        <v>5000</v>
      </c>
      <c r="N175" s="137">
        <f t="shared" si="130"/>
        <v>5000</v>
      </c>
      <c r="O175" s="137">
        <f t="shared" si="130"/>
        <v>5000</v>
      </c>
      <c r="P175" s="137">
        <f t="shared" si="130"/>
        <v>5000</v>
      </c>
      <c r="Q175" s="137">
        <f t="shared" si="130"/>
        <v>5000</v>
      </c>
      <c r="R175" s="137">
        <f t="shared" si="130"/>
        <v>5000</v>
      </c>
      <c r="S175" s="137">
        <f t="shared" si="130"/>
        <v>5000</v>
      </c>
      <c r="T175" s="137">
        <f t="shared" si="130"/>
        <v>5000</v>
      </c>
      <c r="U175" s="137">
        <f t="shared" si="130"/>
        <v>5000</v>
      </c>
      <c r="V175" s="137">
        <f t="shared" si="130"/>
        <v>5000</v>
      </c>
      <c r="W175" s="137">
        <f t="shared" si="130"/>
        <v>5000</v>
      </c>
      <c r="X175" s="137">
        <f t="shared" si="130"/>
        <v>5000</v>
      </c>
      <c r="Y175" s="137">
        <f t="shared" si="130"/>
        <v>5000</v>
      </c>
      <c r="Z175" s="137">
        <f t="shared" si="130"/>
        <v>5000</v>
      </c>
      <c r="AA175" s="137">
        <f t="shared" si="130"/>
        <v>5000</v>
      </c>
      <c r="AB175" s="137">
        <f t="shared" si="130"/>
        <v>5000</v>
      </c>
      <c r="AC175" s="137">
        <f t="shared" si="130"/>
        <v>5000</v>
      </c>
      <c r="AD175" s="137">
        <f t="shared" si="130"/>
        <v>5000</v>
      </c>
      <c r="AE175" s="137">
        <f t="shared" si="130"/>
        <v>5000</v>
      </c>
      <c r="AF175" s="137">
        <f t="shared" si="130"/>
        <v>5000</v>
      </c>
      <c r="AG175" s="137">
        <f t="shared" si="130"/>
        <v>5000</v>
      </c>
      <c r="AH175" s="137">
        <f t="shared" si="130"/>
        <v>5000</v>
      </c>
      <c r="AI175" s="137">
        <f t="shared" si="130"/>
        <v>5000</v>
      </c>
      <c r="AJ175" s="137">
        <f t="shared" si="130"/>
        <v>5000</v>
      </c>
      <c r="AK175" s="137">
        <f t="shared" si="130"/>
        <v>5000</v>
      </c>
      <c r="AL175" s="137">
        <f t="shared" si="130"/>
        <v>5000</v>
      </c>
      <c r="AM175" s="137">
        <f t="shared" si="130"/>
        <v>5000</v>
      </c>
      <c r="AN175" s="137">
        <f t="shared" si="130"/>
        <v>5000</v>
      </c>
      <c r="AO175" s="137">
        <f t="shared" si="130"/>
        <v>5000</v>
      </c>
      <c r="AP175" s="137">
        <f t="shared" si="130"/>
        <v>5000</v>
      </c>
      <c r="AQ175" s="137">
        <f t="shared" si="130"/>
        <v>5000</v>
      </c>
      <c r="AR175" s="137">
        <f t="shared" si="130"/>
        <v>5000</v>
      </c>
      <c r="AS175" s="137">
        <f t="shared" si="130"/>
        <v>5000</v>
      </c>
      <c r="AT175" s="137">
        <f t="shared" si="130"/>
        <v>5000</v>
      </c>
      <c r="AU175" s="137">
        <f t="shared" si="130"/>
        <v>5000</v>
      </c>
      <c r="AV175" s="137">
        <f t="shared" si="130"/>
        <v>5000</v>
      </c>
      <c r="AW175" s="137">
        <f t="shared" si="130"/>
        <v>5000</v>
      </c>
      <c r="AX175" s="137">
        <f t="shared" si="130"/>
        <v>5000</v>
      </c>
      <c r="AY175" s="137">
        <f t="shared" si="130"/>
        <v>5000</v>
      </c>
      <c r="AZ175" s="137">
        <f t="shared" si="130"/>
        <v>5000</v>
      </c>
      <c r="BA175" s="137">
        <f t="shared" si="130"/>
        <v>5000</v>
      </c>
      <c r="BB175" s="137">
        <f t="shared" si="130"/>
        <v>5000</v>
      </c>
      <c r="BC175" s="137">
        <f t="shared" si="130"/>
        <v>5000</v>
      </c>
      <c r="BD175" s="137">
        <f t="shared" si="130"/>
        <v>5000</v>
      </c>
      <c r="BE175" s="137">
        <f t="shared" si="130"/>
        <v>5000</v>
      </c>
      <c r="BF175" s="137">
        <f t="shared" si="130"/>
        <v>5000</v>
      </c>
      <c r="BG175" s="137">
        <f t="shared" si="130"/>
        <v>5000</v>
      </c>
      <c r="BH175" s="137">
        <f t="shared" si="130"/>
        <v>5000</v>
      </c>
      <c r="BI175" s="137">
        <f t="shared" si="130"/>
        <v>5000</v>
      </c>
      <c r="BJ175" s="137">
        <f t="shared" si="130"/>
        <v>5000</v>
      </c>
      <c r="BK175" s="137">
        <f t="shared" si="130"/>
        <v>5000</v>
      </c>
      <c r="BL175" s="137">
        <f t="shared" si="130"/>
        <v>5000</v>
      </c>
      <c r="BM175" s="137">
        <f t="shared" si="130"/>
        <v>5000</v>
      </c>
      <c r="BN175" s="137">
        <f t="shared" si="130"/>
        <v>5000</v>
      </c>
    </row>
    <row r="176" hidden="1" outlineLevel="1">
      <c r="A176" s="47"/>
      <c r="B176" s="141"/>
      <c r="C176" s="47"/>
      <c r="D176" s="67"/>
      <c r="E176" s="67"/>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row>
    <row r="177" hidden="1" outlineLevel="1">
      <c r="A177" s="47"/>
      <c r="B177" s="138" t="s">
        <v>95</v>
      </c>
      <c r="C177" s="116" t="s">
        <v>92</v>
      </c>
      <c r="D177" s="67"/>
      <c r="E177" s="67"/>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row>
    <row r="178" hidden="1" outlineLevel="1">
      <c r="A178" s="47"/>
      <c r="B178" s="122" t="s">
        <v>117</v>
      </c>
      <c r="C178" s="119">
        <v>0.1</v>
      </c>
      <c r="D178" s="67"/>
      <c r="E178" s="67"/>
      <c r="F178" s="114"/>
      <c r="G178" s="114">
        <f>Financials!F$8*$C178</f>
        <v>851.625</v>
      </c>
      <c r="H178" s="114">
        <f>Financials!G$8*$C178</f>
        <v>1762.480625</v>
      </c>
      <c r="I178" s="114">
        <f>Financials!H$8*$C178</f>
        <v>2715.733616</v>
      </c>
      <c r="J178" s="114">
        <f>Financials!I$8*$C178</f>
        <v>3715.636719</v>
      </c>
      <c r="K178" s="114">
        <f>Financials!J$8*$C178</f>
        <v>4769.450638</v>
      </c>
      <c r="L178" s="114">
        <f>Financials!K$8*$C178</f>
        <v>5880.45475</v>
      </c>
      <c r="M178" s="114">
        <f>Financials!L$8*$C178</f>
        <v>6984.473006</v>
      </c>
      <c r="N178" s="114">
        <f>Financials!M$8*$C178</f>
        <v>8082.94511</v>
      </c>
      <c r="O178" s="114">
        <f>Financials!N$8*$C178</f>
        <v>9176.02869</v>
      </c>
      <c r="P178" s="114">
        <f>Financials!O$8*$C178</f>
        <v>10263.85875</v>
      </c>
      <c r="Q178" s="114">
        <f>Financials!P$8*$C178</f>
        <v>11348.81662</v>
      </c>
      <c r="R178" s="114">
        <f>Financials!Q$8*$C178</f>
        <v>12428.80161</v>
      </c>
      <c r="S178" s="114">
        <f>Financials!R$8*$C178</f>
        <v>13503.90546</v>
      </c>
      <c r="T178" s="114">
        <f>Financials!S$8*$C178</f>
        <v>14574.24971</v>
      </c>
      <c r="U178" s="114">
        <f>Financials!T$8*$C178</f>
        <v>15639.95333</v>
      </c>
      <c r="V178" s="114">
        <f>Financials!U$8*$C178</f>
        <v>16701.13235</v>
      </c>
      <c r="W178" s="114">
        <f>Financials!V$8*$C178</f>
        <v>17757.89987</v>
      </c>
      <c r="X178" s="114">
        <f>Financials!W$8*$C178</f>
        <v>18810.3662</v>
      </c>
      <c r="Y178" s="114">
        <f>Financials!X$8*$C178</f>
        <v>19858.63885</v>
      </c>
      <c r="Z178" s="114">
        <f>Financials!Y$8*$C178</f>
        <v>20902.82267</v>
      </c>
      <c r="AA178" s="114">
        <f>Financials!Z$8*$C178</f>
        <v>21943.01987</v>
      </c>
      <c r="AB178" s="114">
        <f>Financials!AA$8*$C178</f>
        <v>22979.33014</v>
      </c>
      <c r="AC178" s="114">
        <f>Financials!AB$8*$C178</f>
        <v>24011.85063</v>
      </c>
      <c r="AD178" s="114">
        <f>Financials!AC$8*$C178</f>
        <v>25040.67609</v>
      </c>
      <c r="AE178" s="114">
        <f>Financials!AD$8*$C178</f>
        <v>26065.8989</v>
      </c>
      <c r="AF178" s="114">
        <f>Financials!AE$8*$C178</f>
        <v>27087.60912</v>
      </c>
      <c r="AG178" s="114">
        <f>Financials!AF$8*$C178</f>
        <v>28105.89458</v>
      </c>
      <c r="AH178" s="114">
        <f>Financials!AG$8*$C178</f>
        <v>29120.84088</v>
      </c>
      <c r="AI178" s="114">
        <f>Financials!AH$8*$C178</f>
        <v>30132.53151</v>
      </c>
      <c r="AJ178" s="114">
        <f>Financials!AI$8*$C178</f>
        <v>31141.04786</v>
      </c>
      <c r="AK178" s="114">
        <f>Financials!AJ$8*$C178</f>
        <v>32146.46928</v>
      </c>
      <c r="AL178" s="114">
        <f>Financials!AK$8*$C178</f>
        <v>33148.87315</v>
      </c>
      <c r="AM178" s="114">
        <f>Financials!AL$8*$C178</f>
        <v>34148.33491</v>
      </c>
      <c r="AN178" s="114">
        <f>Financials!AM$8*$C178</f>
        <v>35144.92811</v>
      </c>
      <c r="AO178" s="114">
        <f>Financials!AN$8*$C178</f>
        <v>36138.72447</v>
      </c>
      <c r="AP178" s="114">
        <f>Financials!AO$8*$C178</f>
        <v>37129.7939</v>
      </c>
      <c r="AQ178" s="114">
        <f>Financials!AP$8*$C178</f>
        <v>38118.20458</v>
      </c>
      <c r="AR178" s="114">
        <f>Financials!AQ$8*$C178</f>
        <v>39104.02298</v>
      </c>
      <c r="AS178" s="114">
        <f>Financials!AR$8*$C178</f>
        <v>40087.3139</v>
      </c>
      <c r="AT178" s="114">
        <f>Financials!AS$8*$C178</f>
        <v>41068.14054</v>
      </c>
      <c r="AU178" s="114">
        <f>Financials!AT$8*$C178</f>
        <v>42046.56449</v>
      </c>
      <c r="AV178" s="114">
        <f>Financials!AU$8*$C178</f>
        <v>43022.64583</v>
      </c>
      <c r="AW178" s="114">
        <f>Financials!AV$8*$C178</f>
        <v>43996.44312</v>
      </c>
      <c r="AX178" s="114">
        <f>Financials!AW$8*$C178</f>
        <v>44968.01346</v>
      </c>
      <c r="AY178" s="114">
        <f>Financials!AX$8*$C178</f>
        <v>45937.41253</v>
      </c>
      <c r="AZ178" s="114">
        <f>Financials!AY$8*$C178</f>
        <v>46904.69461</v>
      </c>
      <c r="BA178" s="114">
        <f>Financials!AZ$8*$C178</f>
        <v>47869.91262</v>
      </c>
      <c r="BB178" s="114">
        <f>Financials!BA$8*$C178</f>
        <v>48833.11816</v>
      </c>
      <c r="BC178" s="114">
        <f>Financials!BB$8*$C178</f>
        <v>49794.36155</v>
      </c>
      <c r="BD178" s="114">
        <f>Financials!BC$8*$C178</f>
        <v>50753.69184</v>
      </c>
      <c r="BE178" s="114">
        <f>Financials!BD$8*$C178</f>
        <v>51711.15685</v>
      </c>
      <c r="BF178" s="114">
        <f>Financials!BE$8*$C178</f>
        <v>52666.80323</v>
      </c>
      <c r="BG178" s="114">
        <f>Financials!BF$8*$C178</f>
        <v>53620.67643</v>
      </c>
      <c r="BH178" s="114">
        <f>Financials!BG$8*$C178</f>
        <v>54572.82079</v>
      </c>
      <c r="BI178" s="114">
        <f>Financials!BH$8*$C178</f>
        <v>55523.27952</v>
      </c>
      <c r="BJ178" s="114">
        <f>Financials!BI$8*$C178</f>
        <v>56472.09477</v>
      </c>
      <c r="BK178" s="114">
        <f>Financials!BJ$8*$C178</f>
        <v>57419.30762</v>
      </c>
      <c r="BL178" s="114">
        <f>Financials!BK$8*$C178</f>
        <v>58364.95813</v>
      </c>
      <c r="BM178" s="114">
        <f>Financials!BL$8*$C178</f>
        <v>59309.08537</v>
      </c>
      <c r="BN178" s="114">
        <f>Financials!BM$8*$C178</f>
        <v>60251.72741</v>
      </c>
    </row>
    <row r="179" hidden="1" outlineLevel="1">
      <c r="A179" s="47"/>
      <c r="B179" s="39"/>
      <c r="C179" s="47"/>
      <c r="D179" s="47"/>
      <c r="E179" s="47"/>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c r="AK179" s="114"/>
      <c r="AL179" s="114"/>
      <c r="AM179" s="114"/>
      <c r="AN179" s="114"/>
      <c r="AO179" s="114"/>
      <c r="AP179" s="114"/>
      <c r="AQ179" s="114"/>
      <c r="AR179" s="114"/>
      <c r="AS179" s="114"/>
      <c r="AT179" s="114"/>
      <c r="AU179" s="114"/>
      <c r="AV179" s="114"/>
      <c r="AW179" s="114"/>
      <c r="AX179" s="114"/>
      <c r="AY179" s="114"/>
      <c r="AZ179" s="114"/>
      <c r="BA179" s="114"/>
      <c r="BB179" s="114"/>
      <c r="BC179" s="114"/>
      <c r="BD179" s="114"/>
      <c r="BE179" s="114"/>
      <c r="BF179" s="114"/>
      <c r="BG179" s="114"/>
      <c r="BH179" s="114"/>
      <c r="BI179" s="114"/>
      <c r="BJ179" s="114"/>
      <c r="BK179" s="114"/>
      <c r="BL179" s="114"/>
      <c r="BM179" s="114"/>
      <c r="BN179" s="114"/>
    </row>
    <row r="180" hidden="1" outlineLevel="1">
      <c r="A180" s="47"/>
      <c r="B180" s="39" t="s">
        <v>118</v>
      </c>
      <c r="C180" s="119">
        <v>0.27</v>
      </c>
      <c r="D180" s="47"/>
      <c r="E180" s="47"/>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c r="BC180" s="114"/>
      <c r="BD180" s="114"/>
      <c r="BE180" s="114"/>
      <c r="BF180" s="114"/>
      <c r="BG180" s="114"/>
      <c r="BH180" s="114"/>
      <c r="BI180" s="114"/>
      <c r="BJ180" s="114"/>
      <c r="BK180" s="114"/>
      <c r="BL180" s="114"/>
      <c r="BM180" s="114"/>
      <c r="BN180" s="114"/>
    </row>
    <row r="181" hidden="1" outlineLevel="1">
      <c r="A181" s="47"/>
      <c r="B181" s="47"/>
      <c r="C181" s="47"/>
      <c r="D181" s="47"/>
      <c r="E181" s="47"/>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row>
    <row r="182" hidden="1" outlineLevel="1">
      <c r="A182" s="47"/>
      <c r="B182" s="112" t="s">
        <v>59</v>
      </c>
      <c r="C182" s="47"/>
      <c r="D182" s="47"/>
      <c r="E182" s="47"/>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row>
    <row r="183">
      <c r="A183" s="47"/>
      <c r="B183" s="103"/>
      <c r="C183" s="47"/>
      <c r="D183" s="47"/>
      <c r="E183" s="47"/>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row>
    <row r="184">
      <c r="A184" s="47"/>
      <c r="B184" s="48" t="s">
        <v>119</v>
      </c>
      <c r="C184" s="49"/>
      <c r="D184" s="49"/>
      <c r="E184" s="49"/>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row>
    <row r="185" outlineLevel="1">
      <c r="A185" s="47"/>
      <c r="B185" s="47"/>
      <c r="C185" s="47"/>
      <c r="D185" s="47"/>
      <c r="E185" s="47"/>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row>
    <row r="186" outlineLevel="1">
      <c r="A186" s="47"/>
      <c r="B186" s="143" t="s">
        <v>120</v>
      </c>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c r="BC186" s="144"/>
      <c r="BD186" s="144"/>
      <c r="BE186" s="144"/>
      <c r="BF186" s="144"/>
      <c r="BG186" s="144"/>
      <c r="BH186" s="144"/>
      <c r="BI186" s="144"/>
      <c r="BJ186" s="144"/>
      <c r="BK186" s="144"/>
      <c r="BL186" s="144"/>
      <c r="BM186" s="144"/>
      <c r="BN186" s="144"/>
    </row>
    <row r="187" outlineLevel="1">
      <c r="A187" s="47"/>
      <c r="B187" s="39"/>
      <c r="C187" s="47"/>
      <c r="D187" s="47"/>
      <c r="E187" s="47"/>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c r="AI187" s="145"/>
      <c r="AJ187" s="145"/>
      <c r="AK187" s="145"/>
      <c r="AL187" s="145"/>
      <c r="AM187" s="145"/>
      <c r="AN187" s="145"/>
      <c r="AO187" s="145"/>
      <c r="AP187" s="145"/>
      <c r="AQ187" s="145"/>
      <c r="AR187" s="145"/>
      <c r="AS187" s="145"/>
      <c r="AT187" s="145"/>
      <c r="AU187" s="145"/>
      <c r="AV187" s="145"/>
      <c r="AW187" s="145"/>
      <c r="AX187" s="145"/>
      <c r="AY187" s="145"/>
      <c r="AZ187" s="145"/>
      <c r="BA187" s="145"/>
      <c r="BB187" s="145"/>
      <c r="BC187" s="145"/>
      <c r="BD187" s="145"/>
      <c r="BE187" s="145"/>
      <c r="BF187" s="145"/>
      <c r="BG187" s="145"/>
      <c r="BH187" s="145"/>
      <c r="BI187" s="145"/>
      <c r="BJ187" s="145"/>
      <c r="BK187" s="145"/>
      <c r="BL187" s="145"/>
      <c r="BM187" s="145"/>
      <c r="BN187" s="145"/>
    </row>
    <row r="188" outlineLevel="1">
      <c r="A188" s="67"/>
      <c r="B188" s="68" t="s">
        <v>121</v>
      </c>
      <c r="C188" s="146">
        <v>500000.0</v>
      </c>
      <c r="D188" s="67"/>
      <c r="E188" s="67"/>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c r="AI188" s="114"/>
      <c r="AJ188" s="114"/>
      <c r="AK188" s="114"/>
      <c r="AL188" s="114"/>
      <c r="AM188" s="114"/>
      <c r="AN188" s="114"/>
      <c r="AO188" s="114"/>
      <c r="AP188" s="114"/>
      <c r="AQ188" s="114"/>
      <c r="AR188" s="114"/>
      <c r="AS188" s="114"/>
      <c r="AT188" s="114"/>
      <c r="AU188" s="114"/>
      <c r="AV188" s="114"/>
      <c r="AW188" s="114"/>
      <c r="AX188" s="114"/>
      <c r="AY188" s="114"/>
      <c r="AZ188" s="114"/>
      <c r="BA188" s="114"/>
      <c r="BB188" s="114"/>
      <c r="BC188" s="114"/>
      <c r="BD188" s="114"/>
      <c r="BE188" s="114"/>
      <c r="BF188" s="114"/>
      <c r="BG188" s="114"/>
      <c r="BH188" s="114"/>
      <c r="BI188" s="114"/>
      <c r="BJ188" s="114"/>
      <c r="BK188" s="114"/>
      <c r="BL188" s="114"/>
      <c r="BM188" s="114"/>
      <c r="BN188" s="114"/>
    </row>
    <row r="189" outlineLevel="1">
      <c r="A189" s="47"/>
      <c r="B189" s="39"/>
      <c r="C189" s="47"/>
      <c r="D189" s="47"/>
      <c r="E189" s="47"/>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5"/>
      <c r="AZ189" s="145"/>
      <c r="BA189" s="145"/>
      <c r="BB189" s="145"/>
      <c r="BC189" s="145"/>
      <c r="BD189" s="145"/>
      <c r="BE189" s="145"/>
      <c r="BF189" s="145"/>
      <c r="BG189" s="145"/>
      <c r="BH189" s="145"/>
      <c r="BI189" s="145"/>
      <c r="BJ189" s="145"/>
      <c r="BK189" s="145"/>
      <c r="BL189" s="145"/>
      <c r="BM189" s="145"/>
      <c r="BN189" s="145"/>
    </row>
    <row r="190" outlineLevel="1">
      <c r="A190" s="47"/>
      <c r="B190" s="138" t="s">
        <v>122</v>
      </c>
      <c r="C190" s="147">
        <v>15.0</v>
      </c>
      <c r="D190" s="39" t="s">
        <v>123</v>
      </c>
      <c r="E190" s="47"/>
      <c r="F190" s="148"/>
      <c r="G190" s="148">
        <f t="shared" ref="G190:BN190" si="131">sum(G84,G95,G106)*($C190/30)</f>
        <v>4258.125</v>
      </c>
      <c r="H190" s="148">
        <f t="shared" si="131"/>
        <v>8812.403125</v>
      </c>
      <c r="I190" s="148">
        <f t="shared" si="131"/>
        <v>13578.66808</v>
      </c>
      <c r="J190" s="148">
        <f t="shared" si="131"/>
        <v>18578.1836</v>
      </c>
      <c r="K190" s="148">
        <f t="shared" si="131"/>
        <v>23847.25319</v>
      </c>
      <c r="L190" s="148">
        <f t="shared" si="131"/>
        <v>29402.27375</v>
      </c>
      <c r="M190" s="148">
        <f t="shared" si="131"/>
        <v>34922.36503</v>
      </c>
      <c r="N190" s="148">
        <f t="shared" si="131"/>
        <v>40414.72555</v>
      </c>
      <c r="O190" s="148">
        <f t="shared" si="131"/>
        <v>45880.14345</v>
      </c>
      <c r="P190" s="148">
        <f t="shared" si="131"/>
        <v>51319.29373</v>
      </c>
      <c r="Q190" s="148">
        <f t="shared" si="131"/>
        <v>56744.08308</v>
      </c>
      <c r="R190" s="148">
        <f t="shared" si="131"/>
        <v>62144.00805</v>
      </c>
      <c r="S190" s="148">
        <f t="shared" si="131"/>
        <v>67519.5273</v>
      </c>
      <c r="T190" s="148">
        <f t="shared" si="131"/>
        <v>72871.24853</v>
      </c>
      <c r="U190" s="148">
        <f t="shared" si="131"/>
        <v>78199.76664</v>
      </c>
      <c r="V190" s="148">
        <f t="shared" si="131"/>
        <v>83505.66173</v>
      </c>
      <c r="W190" s="148">
        <f t="shared" si="131"/>
        <v>88789.49937</v>
      </c>
      <c r="X190" s="148">
        <f t="shared" si="131"/>
        <v>94051.83099</v>
      </c>
      <c r="Y190" s="148">
        <f t="shared" si="131"/>
        <v>99293.19424</v>
      </c>
      <c r="Z190" s="148">
        <f t="shared" si="131"/>
        <v>104514.1133</v>
      </c>
      <c r="AA190" s="148">
        <f t="shared" si="131"/>
        <v>109715.0994</v>
      </c>
      <c r="AB190" s="148">
        <f t="shared" si="131"/>
        <v>114896.6507</v>
      </c>
      <c r="AC190" s="148">
        <f t="shared" si="131"/>
        <v>120059.2531</v>
      </c>
      <c r="AD190" s="148">
        <f t="shared" si="131"/>
        <v>125203.3804</v>
      </c>
      <c r="AE190" s="148">
        <f t="shared" si="131"/>
        <v>130329.4945</v>
      </c>
      <c r="AF190" s="148">
        <f t="shared" si="131"/>
        <v>135438.0456</v>
      </c>
      <c r="AG190" s="148">
        <f t="shared" si="131"/>
        <v>140529.4729</v>
      </c>
      <c r="AH190" s="148">
        <f t="shared" si="131"/>
        <v>145604.2044</v>
      </c>
      <c r="AI190" s="148">
        <f t="shared" si="131"/>
        <v>150662.6575</v>
      </c>
      <c r="AJ190" s="148">
        <f t="shared" si="131"/>
        <v>155705.2393</v>
      </c>
      <c r="AK190" s="148">
        <f t="shared" si="131"/>
        <v>160732.3464</v>
      </c>
      <c r="AL190" s="148">
        <f t="shared" si="131"/>
        <v>165744.3658</v>
      </c>
      <c r="AM190" s="148">
        <f t="shared" si="131"/>
        <v>170741.6746</v>
      </c>
      <c r="AN190" s="148">
        <f t="shared" si="131"/>
        <v>175724.6406</v>
      </c>
      <c r="AO190" s="148">
        <f t="shared" si="131"/>
        <v>180693.6224</v>
      </c>
      <c r="AP190" s="148">
        <f t="shared" si="131"/>
        <v>185648.9695</v>
      </c>
      <c r="AQ190" s="148">
        <f t="shared" si="131"/>
        <v>190591.0229</v>
      </c>
      <c r="AR190" s="148">
        <f t="shared" si="131"/>
        <v>195520.1149</v>
      </c>
      <c r="AS190" s="148">
        <f t="shared" si="131"/>
        <v>200436.5695</v>
      </c>
      <c r="AT190" s="148">
        <f t="shared" si="131"/>
        <v>205340.7027</v>
      </c>
      <c r="AU190" s="148">
        <f t="shared" si="131"/>
        <v>210232.8225</v>
      </c>
      <c r="AV190" s="148">
        <f t="shared" si="131"/>
        <v>215113.2291</v>
      </c>
      <c r="AW190" s="148">
        <f t="shared" si="131"/>
        <v>219982.2156</v>
      </c>
      <c r="AX190" s="148">
        <f t="shared" si="131"/>
        <v>224840.0673</v>
      </c>
      <c r="AY190" s="148">
        <f t="shared" si="131"/>
        <v>229687.0627</v>
      </c>
      <c r="AZ190" s="148">
        <f t="shared" si="131"/>
        <v>234523.473</v>
      </c>
      <c r="BA190" s="148">
        <f t="shared" si="131"/>
        <v>239349.5631</v>
      </c>
      <c r="BB190" s="148">
        <f t="shared" si="131"/>
        <v>244165.5908</v>
      </c>
      <c r="BC190" s="148">
        <f t="shared" si="131"/>
        <v>248971.8077</v>
      </c>
      <c r="BD190" s="148">
        <f t="shared" si="131"/>
        <v>253768.4592</v>
      </c>
      <c r="BE190" s="148">
        <f t="shared" si="131"/>
        <v>258555.7843</v>
      </c>
      <c r="BF190" s="148">
        <f t="shared" si="131"/>
        <v>263334.0161</v>
      </c>
      <c r="BG190" s="148">
        <f t="shared" si="131"/>
        <v>268103.3822</v>
      </c>
      <c r="BH190" s="148">
        <f t="shared" si="131"/>
        <v>272864.1039</v>
      </c>
      <c r="BI190" s="148">
        <f t="shared" si="131"/>
        <v>277616.3976</v>
      </c>
      <c r="BJ190" s="148">
        <f t="shared" si="131"/>
        <v>282360.4738</v>
      </c>
      <c r="BK190" s="148">
        <f t="shared" si="131"/>
        <v>287096.5381</v>
      </c>
      <c r="BL190" s="148">
        <f t="shared" si="131"/>
        <v>291824.7907</v>
      </c>
      <c r="BM190" s="148">
        <f t="shared" si="131"/>
        <v>296545.4268</v>
      </c>
      <c r="BN190" s="148">
        <f t="shared" si="131"/>
        <v>301258.637</v>
      </c>
    </row>
    <row r="191" outlineLevel="1">
      <c r="A191" s="47"/>
      <c r="B191" s="47"/>
      <c r="C191" s="47"/>
      <c r="D191" s="47"/>
      <c r="E191" s="47"/>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c r="AI191" s="114"/>
      <c r="AJ191" s="114"/>
      <c r="AK191" s="114"/>
      <c r="AL191" s="114"/>
      <c r="AM191" s="114"/>
      <c r="AN191" s="114"/>
      <c r="AO191" s="114"/>
      <c r="AP191" s="114"/>
      <c r="AQ191" s="114"/>
      <c r="AR191" s="114"/>
      <c r="AS191" s="114"/>
      <c r="AT191" s="114"/>
      <c r="AU191" s="114"/>
      <c r="AV191" s="114"/>
      <c r="AW191" s="114"/>
      <c r="AX191" s="114"/>
      <c r="AY191" s="114"/>
      <c r="AZ191" s="114"/>
      <c r="BA191" s="114"/>
      <c r="BB191" s="114"/>
      <c r="BC191" s="114"/>
      <c r="BD191" s="114"/>
      <c r="BE191" s="114"/>
      <c r="BF191" s="114"/>
      <c r="BG191" s="114"/>
      <c r="BH191" s="114"/>
      <c r="BI191" s="114"/>
      <c r="BJ191" s="114"/>
      <c r="BK191" s="114"/>
      <c r="BL191" s="114"/>
      <c r="BM191" s="114"/>
      <c r="BN191" s="114"/>
    </row>
    <row r="192" outlineLevel="1">
      <c r="A192" s="47"/>
      <c r="B192" s="149" t="s">
        <v>124</v>
      </c>
      <c r="C192" s="150" t="s">
        <v>125</v>
      </c>
      <c r="D192" s="150" t="s">
        <v>126</v>
      </c>
      <c r="E192" s="150" t="s">
        <v>127</v>
      </c>
      <c r="F192" s="47"/>
      <c r="G192" s="141" t="s">
        <v>128</v>
      </c>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5"/>
      <c r="AZ192" s="145"/>
      <c r="BA192" s="145"/>
      <c r="BB192" s="145"/>
      <c r="BC192" s="145"/>
      <c r="BD192" s="145"/>
      <c r="BE192" s="145"/>
      <c r="BF192" s="145"/>
      <c r="BG192" s="145"/>
      <c r="BH192" s="145"/>
      <c r="BI192" s="145"/>
      <c r="BJ192" s="145"/>
      <c r="BK192" s="145"/>
      <c r="BL192" s="145"/>
      <c r="BM192" s="145"/>
      <c r="BN192" s="145"/>
    </row>
    <row r="193" outlineLevel="1">
      <c r="A193" s="47"/>
      <c r="B193" s="124" t="s">
        <v>129</v>
      </c>
      <c r="C193" s="118">
        <v>0.0</v>
      </c>
      <c r="D193" s="151">
        <v>44562.0</v>
      </c>
      <c r="E193" s="152">
        <v>5.0</v>
      </c>
      <c r="F193" s="114"/>
      <c r="G193" s="145">
        <f t="shared" ref="G193:BN193" si="132">if(G$4&gt;=$D193,$C193,0)</f>
        <v>0</v>
      </c>
      <c r="H193" s="145">
        <f t="shared" si="132"/>
        <v>0</v>
      </c>
      <c r="I193" s="145">
        <f t="shared" si="132"/>
        <v>0</v>
      </c>
      <c r="J193" s="145">
        <f t="shared" si="132"/>
        <v>0</v>
      </c>
      <c r="K193" s="145">
        <f t="shared" si="132"/>
        <v>0</v>
      </c>
      <c r="L193" s="145">
        <f t="shared" si="132"/>
        <v>0</v>
      </c>
      <c r="M193" s="145">
        <f t="shared" si="132"/>
        <v>0</v>
      </c>
      <c r="N193" s="145">
        <f t="shared" si="132"/>
        <v>0</v>
      </c>
      <c r="O193" s="145">
        <f t="shared" si="132"/>
        <v>0</v>
      </c>
      <c r="P193" s="145">
        <f t="shared" si="132"/>
        <v>0</v>
      </c>
      <c r="Q193" s="145">
        <f t="shared" si="132"/>
        <v>0</v>
      </c>
      <c r="R193" s="145">
        <f t="shared" si="132"/>
        <v>0</v>
      </c>
      <c r="S193" s="145">
        <f t="shared" si="132"/>
        <v>0</v>
      </c>
      <c r="T193" s="145">
        <f t="shared" si="132"/>
        <v>0</v>
      </c>
      <c r="U193" s="145">
        <f t="shared" si="132"/>
        <v>0</v>
      </c>
      <c r="V193" s="145">
        <f t="shared" si="132"/>
        <v>0</v>
      </c>
      <c r="W193" s="145">
        <f t="shared" si="132"/>
        <v>0</v>
      </c>
      <c r="X193" s="145">
        <f t="shared" si="132"/>
        <v>0</v>
      </c>
      <c r="Y193" s="145">
        <f t="shared" si="132"/>
        <v>0</v>
      </c>
      <c r="Z193" s="145">
        <f t="shared" si="132"/>
        <v>0</v>
      </c>
      <c r="AA193" s="145">
        <f t="shared" si="132"/>
        <v>0</v>
      </c>
      <c r="AB193" s="145">
        <f t="shared" si="132"/>
        <v>0</v>
      </c>
      <c r="AC193" s="145">
        <f t="shared" si="132"/>
        <v>0</v>
      </c>
      <c r="AD193" s="145">
        <f t="shared" si="132"/>
        <v>0</v>
      </c>
      <c r="AE193" s="145">
        <f t="shared" si="132"/>
        <v>0</v>
      </c>
      <c r="AF193" s="145">
        <f t="shared" si="132"/>
        <v>0</v>
      </c>
      <c r="AG193" s="145">
        <f t="shared" si="132"/>
        <v>0</v>
      </c>
      <c r="AH193" s="145">
        <f t="shared" si="132"/>
        <v>0</v>
      </c>
      <c r="AI193" s="145">
        <f t="shared" si="132"/>
        <v>0</v>
      </c>
      <c r="AJ193" s="145">
        <f t="shared" si="132"/>
        <v>0</v>
      </c>
      <c r="AK193" s="145">
        <f t="shared" si="132"/>
        <v>0</v>
      </c>
      <c r="AL193" s="145">
        <f t="shared" si="132"/>
        <v>0</v>
      </c>
      <c r="AM193" s="145">
        <f t="shared" si="132"/>
        <v>0</v>
      </c>
      <c r="AN193" s="145">
        <f t="shared" si="132"/>
        <v>0</v>
      </c>
      <c r="AO193" s="145">
        <f t="shared" si="132"/>
        <v>0</v>
      </c>
      <c r="AP193" s="145">
        <f t="shared" si="132"/>
        <v>0</v>
      </c>
      <c r="AQ193" s="145">
        <f t="shared" si="132"/>
        <v>0</v>
      </c>
      <c r="AR193" s="145">
        <f t="shared" si="132"/>
        <v>0</v>
      </c>
      <c r="AS193" s="145">
        <f t="shared" si="132"/>
        <v>0</v>
      </c>
      <c r="AT193" s="145">
        <f t="shared" si="132"/>
        <v>0</v>
      </c>
      <c r="AU193" s="145">
        <f t="shared" si="132"/>
        <v>0</v>
      </c>
      <c r="AV193" s="145">
        <f t="shared" si="132"/>
        <v>0</v>
      </c>
      <c r="AW193" s="145">
        <f t="shared" si="132"/>
        <v>0</v>
      </c>
      <c r="AX193" s="145">
        <f t="shared" si="132"/>
        <v>0</v>
      </c>
      <c r="AY193" s="145">
        <f t="shared" si="132"/>
        <v>0</v>
      </c>
      <c r="AZ193" s="145">
        <f t="shared" si="132"/>
        <v>0</v>
      </c>
      <c r="BA193" s="145">
        <f t="shared" si="132"/>
        <v>0</v>
      </c>
      <c r="BB193" s="145">
        <f t="shared" si="132"/>
        <v>0</v>
      </c>
      <c r="BC193" s="145">
        <f t="shared" si="132"/>
        <v>0</v>
      </c>
      <c r="BD193" s="145">
        <f t="shared" si="132"/>
        <v>0</v>
      </c>
      <c r="BE193" s="145">
        <f t="shared" si="132"/>
        <v>0</v>
      </c>
      <c r="BF193" s="145">
        <f t="shared" si="132"/>
        <v>0</v>
      </c>
      <c r="BG193" s="145">
        <f t="shared" si="132"/>
        <v>0</v>
      </c>
      <c r="BH193" s="145">
        <f t="shared" si="132"/>
        <v>0</v>
      </c>
      <c r="BI193" s="145">
        <f t="shared" si="132"/>
        <v>0</v>
      </c>
      <c r="BJ193" s="145">
        <f t="shared" si="132"/>
        <v>0</v>
      </c>
      <c r="BK193" s="145">
        <f t="shared" si="132"/>
        <v>0</v>
      </c>
      <c r="BL193" s="145">
        <f t="shared" si="132"/>
        <v>0</v>
      </c>
      <c r="BM193" s="145">
        <f t="shared" si="132"/>
        <v>0</v>
      </c>
      <c r="BN193" s="145">
        <f t="shared" si="132"/>
        <v>0</v>
      </c>
    </row>
    <row r="194" outlineLevel="1">
      <c r="A194" s="47"/>
      <c r="B194" s="124" t="s">
        <v>130</v>
      </c>
      <c r="C194" s="118">
        <v>0.0</v>
      </c>
      <c r="D194" s="151">
        <v>44562.0</v>
      </c>
      <c r="E194" s="152">
        <v>5.0</v>
      </c>
      <c r="F194" s="114"/>
      <c r="G194" s="145">
        <f t="shared" ref="G194:BN194" si="133">if(G$4&gt;=$D194,$C194,0)</f>
        <v>0</v>
      </c>
      <c r="H194" s="145">
        <f t="shared" si="133"/>
        <v>0</v>
      </c>
      <c r="I194" s="145">
        <f t="shared" si="133"/>
        <v>0</v>
      </c>
      <c r="J194" s="145">
        <f t="shared" si="133"/>
        <v>0</v>
      </c>
      <c r="K194" s="145">
        <f t="shared" si="133"/>
        <v>0</v>
      </c>
      <c r="L194" s="145">
        <f t="shared" si="133"/>
        <v>0</v>
      </c>
      <c r="M194" s="145">
        <f t="shared" si="133"/>
        <v>0</v>
      </c>
      <c r="N194" s="145">
        <f t="shared" si="133"/>
        <v>0</v>
      </c>
      <c r="O194" s="145">
        <f t="shared" si="133"/>
        <v>0</v>
      </c>
      <c r="P194" s="145">
        <f t="shared" si="133"/>
        <v>0</v>
      </c>
      <c r="Q194" s="145">
        <f t="shared" si="133"/>
        <v>0</v>
      </c>
      <c r="R194" s="145">
        <f t="shared" si="133"/>
        <v>0</v>
      </c>
      <c r="S194" s="145">
        <f t="shared" si="133"/>
        <v>0</v>
      </c>
      <c r="T194" s="145">
        <f t="shared" si="133"/>
        <v>0</v>
      </c>
      <c r="U194" s="145">
        <f t="shared" si="133"/>
        <v>0</v>
      </c>
      <c r="V194" s="145">
        <f t="shared" si="133"/>
        <v>0</v>
      </c>
      <c r="W194" s="145">
        <f t="shared" si="133"/>
        <v>0</v>
      </c>
      <c r="X194" s="145">
        <f t="shared" si="133"/>
        <v>0</v>
      </c>
      <c r="Y194" s="145">
        <f t="shared" si="133"/>
        <v>0</v>
      </c>
      <c r="Z194" s="145">
        <f t="shared" si="133"/>
        <v>0</v>
      </c>
      <c r="AA194" s="145">
        <f t="shared" si="133"/>
        <v>0</v>
      </c>
      <c r="AB194" s="145">
        <f t="shared" si="133"/>
        <v>0</v>
      </c>
      <c r="AC194" s="145">
        <f t="shared" si="133"/>
        <v>0</v>
      </c>
      <c r="AD194" s="145">
        <f t="shared" si="133"/>
        <v>0</v>
      </c>
      <c r="AE194" s="145">
        <f t="shared" si="133"/>
        <v>0</v>
      </c>
      <c r="AF194" s="145">
        <f t="shared" si="133"/>
        <v>0</v>
      </c>
      <c r="AG194" s="145">
        <f t="shared" si="133"/>
        <v>0</v>
      </c>
      <c r="AH194" s="145">
        <f t="shared" si="133"/>
        <v>0</v>
      </c>
      <c r="AI194" s="145">
        <f t="shared" si="133"/>
        <v>0</v>
      </c>
      <c r="AJ194" s="145">
        <f t="shared" si="133"/>
        <v>0</v>
      </c>
      <c r="AK194" s="145">
        <f t="shared" si="133"/>
        <v>0</v>
      </c>
      <c r="AL194" s="145">
        <f t="shared" si="133"/>
        <v>0</v>
      </c>
      <c r="AM194" s="145">
        <f t="shared" si="133"/>
        <v>0</v>
      </c>
      <c r="AN194" s="145">
        <f t="shared" si="133"/>
        <v>0</v>
      </c>
      <c r="AO194" s="145">
        <f t="shared" si="133"/>
        <v>0</v>
      </c>
      <c r="AP194" s="145">
        <f t="shared" si="133"/>
        <v>0</v>
      </c>
      <c r="AQ194" s="145">
        <f t="shared" si="133"/>
        <v>0</v>
      </c>
      <c r="AR194" s="145">
        <f t="shared" si="133"/>
        <v>0</v>
      </c>
      <c r="AS194" s="145">
        <f t="shared" si="133"/>
        <v>0</v>
      </c>
      <c r="AT194" s="145">
        <f t="shared" si="133"/>
        <v>0</v>
      </c>
      <c r="AU194" s="145">
        <f t="shared" si="133"/>
        <v>0</v>
      </c>
      <c r="AV194" s="145">
        <f t="shared" si="133"/>
        <v>0</v>
      </c>
      <c r="AW194" s="145">
        <f t="shared" si="133"/>
        <v>0</v>
      </c>
      <c r="AX194" s="145">
        <f t="shared" si="133"/>
        <v>0</v>
      </c>
      <c r="AY194" s="145">
        <f t="shared" si="133"/>
        <v>0</v>
      </c>
      <c r="AZ194" s="145">
        <f t="shared" si="133"/>
        <v>0</v>
      </c>
      <c r="BA194" s="145">
        <f t="shared" si="133"/>
        <v>0</v>
      </c>
      <c r="BB194" s="145">
        <f t="shared" si="133"/>
        <v>0</v>
      </c>
      <c r="BC194" s="145">
        <f t="shared" si="133"/>
        <v>0</v>
      </c>
      <c r="BD194" s="145">
        <f t="shared" si="133"/>
        <v>0</v>
      </c>
      <c r="BE194" s="145">
        <f t="shared" si="133"/>
        <v>0</v>
      </c>
      <c r="BF194" s="145">
        <f t="shared" si="133"/>
        <v>0</v>
      </c>
      <c r="BG194" s="145">
        <f t="shared" si="133"/>
        <v>0</v>
      </c>
      <c r="BH194" s="145">
        <f t="shared" si="133"/>
        <v>0</v>
      </c>
      <c r="BI194" s="145">
        <f t="shared" si="133"/>
        <v>0</v>
      </c>
      <c r="BJ194" s="145">
        <f t="shared" si="133"/>
        <v>0</v>
      </c>
      <c r="BK194" s="145">
        <f t="shared" si="133"/>
        <v>0</v>
      </c>
      <c r="BL194" s="145">
        <f t="shared" si="133"/>
        <v>0</v>
      </c>
      <c r="BM194" s="145">
        <f t="shared" si="133"/>
        <v>0</v>
      </c>
      <c r="BN194" s="145">
        <f t="shared" si="133"/>
        <v>0</v>
      </c>
    </row>
    <row r="195" outlineLevel="1">
      <c r="A195" s="47"/>
      <c r="B195" s="124" t="s">
        <v>131</v>
      </c>
      <c r="C195" s="118">
        <v>0.0</v>
      </c>
      <c r="D195" s="151">
        <v>44562.0</v>
      </c>
      <c r="E195" s="152">
        <v>5.0</v>
      </c>
      <c r="F195" s="114"/>
      <c r="G195" s="145">
        <f t="shared" ref="G195:BN195" si="134">if(G$4&gt;=$D195,$C195,0)</f>
        <v>0</v>
      </c>
      <c r="H195" s="145">
        <f t="shared" si="134"/>
        <v>0</v>
      </c>
      <c r="I195" s="145">
        <f t="shared" si="134"/>
        <v>0</v>
      </c>
      <c r="J195" s="145">
        <f t="shared" si="134"/>
        <v>0</v>
      </c>
      <c r="K195" s="145">
        <f t="shared" si="134"/>
        <v>0</v>
      </c>
      <c r="L195" s="145">
        <f t="shared" si="134"/>
        <v>0</v>
      </c>
      <c r="M195" s="145">
        <f t="shared" si="134"/>
        <v>0</v>
      </c>
      <c r="N195" s="145">
        <f t="shared" si="134"/>
        <v>0</v>
      </c>
      <c r="O195" s="145">
        <f t="shared" si="134"/>
        <v>0</v>
      </c>
      <c r="P195" s="145">
        <f t="shared" si="134"/>
        <v>0</v>
      </c>
      <c r="Q195" s="145">
        <f t="shared" si="134"/>
        <v>0</v>
      </c>
      <c r="R195" s="145">
        <f t="shared" si="134"/>
        <v>0</v>
      </c>
      <c r="S195" s="145">
        <f t="shared" si="134"/>
        <v>0</v>
      </c>
      <c r="T195" s="145">
        <f t="shared" si="134"/>
        <v>0</v>
      </c>
      <c r="U195" s="145">
        <f t="shared" si="134"/>
        <v>0</v>
      </c>
      <c r="V195" s="145">
        <f t="shared" si="134"/>
        <v>0</v>
      </c>
      <c r="W195" s="145">
        <f t="shared" si="134"/>
        <v>0</v>
      </c>
      <c r="X195" s="145">
        <f t="shared" si="134"/>
        <v>0</v>
      </c>
      <c r="Y195" s="145">
        <f t="shared" si="134"/>
        <v>0</v>
      </c>
      <c r="Z195" s="145">
        <f t="shared" si="134"/>
        <v>0</v>
      </c>
      <c r="AA195" s="145">
        <f t="shared" si="134"/>
        <v>0</v>
      </c>
      <c r="AB195" s="145">
        <f t="shared" si="134"/>
        <v>0</v>
      </c>
      <c r="AC195" s="145">
        <f t="shared" si="134"/>
        <v>0</v>
      </c>
      <c r="AD195" s="145">
        <f t="shared" si="134"/>
        <v>0</v>
      </c>
      <c r="AE195" s="145">
        <f t="shared" si="134"/>
        <v>0</v>
      </c>
      <c r="AF195" s="145">
        <f t="shared" si="134"/>
        <v>0</v>
      </c>
      <c r="AG195" s="145">
        <f t="shared" si="134"/>
        <v>0</v>
      </c>
      <c r="AH195" s="145">
        <f t="shared" si="134"/>
        <v>0</v>
      </c>
      <c r="AI195" s="145">
        <f t="shared" si="134"/>
        <v>0</v>
      </c>
      <c r="AJ195" s="145">
        <f t="shared" si="134"/>
        <v>0</v>
      </c>
      <c r="AK195" s="145">
        <f t="shared" si="134"/>
        <v>0</v>
      </c>
      <c r="AL195" s="145">
        <f t="shared" si="134"/>
        <v>0</v>
      </c>
      <c r="AM195" s="145">
        <f t="shared" si="134"/>
        <v>0</v>
      </c>
      <c r="AN195" s="145">
        <f t="shared" si="134"/>
        <v>0</v>
      </c>
      <c r="AO195" s="145">
        <f t="shared" si="134"/>
        <v>0</v>
      </c>
      <c r="AP195" s="145">
        <f t="shared" si="134"/>
        <v>0</v>
      </c>
      <c r="AQ195" s="145">
        <f t="shared" si="134"/>
        <v>0</v>
      </c>
      <c r="AR195" s="145">
        <f t="shared" si="134"/>
        <v>0</v>
      </c>
      <c r="AS195" s="145">
        <f t="shared" si="134"/>
        <v>0</v>
      </c>
      <c r="AT195" s="145">
        <f t="shared" si="134"/>
        <v>0</v>
      </c>
      <c r="AU195" s="145">
        <f t="shared" si="134"/>
        <v>0</v>
      </c>
      <c r="AV195" s="145">
        <f t="shared" si="134"/>
        <v>0</v>
      </c>
      <c r="AW195" s="145">
        <f t="shared" si="134"/>
        <v>0</v>
      </c>
      <c r="AX195" s="145">
        <f t="shared" si="134"/>
        <v>0</v>
      </c>
      <c r="AY195" s="145">
        <f t="shared" si="134"/>
        <v>0</v>
      </c>
      <c r="AZ195" s="145">
        <f t="shared" si="134"/>
        <v>0</v>
      </c>
      <c r="BA195" s="145">
        <f t="shared" si="134"/>
        <v>0</v>
      </c>
      <c r="BB195" s="145">
        <f t="shared" si="134"/>
        <v>0</v>
      </c>
      <c r="BC195" s="145">
        <f t="shared" si="134"/>
        <v>0</v>
      </c>
      <c r="BD195" s="145">
        <f t="shared" si="134"/>
        <v>0</v>
      </c>
      <c r="BE195" s="145">
        <f t="shared" si="134"/>
        <v>0</v>
      </c>
      <c r="BF195" s="145">
        <f t="shared" si="134"/>
        <v>0</v>
      </c>
      <c r="BG195" s="145">
        <f t="shared" si="134"/>
        <v>0</v>
      </c>
      <c r="BH195" s="145">
        <f t="shared" si="134"/>
        <v>0</v>
      </c>
      <c r="BI195" s="145">
        <f t="shared" si="134"/>
        <v>0</v>
      </c>
      <c r="BJ195" s="145">
        <f t="shared" si="134"/>
        <v>0</v>
      </c>
      <c r="BK195" s="145">
        <f t="shared" si="134"/>
        <v>0</v>
      </c>
      <c r="BL195" s="145">
        <f t="shared" si="134"/>
        <v>0</v>
      </c>
      <c r="BM195" s="145">
        <f t="shared" si="134"/>
        <v>0</v>
      </c>
      <c r="BN195" s="145">
        <f t="shared" si="134"/>
        <v>0</v>
      </c>
    </row>
    <row r="196" outlineLevel="1">
      <c r="A196" s="47"/>
      <c r="B196" s="124" t="s">
        <v>132</v>
      </c>
      <c r="C196" s="118">
        <v>0.0</v>
      </c>
      <c r="D196" s="151">
        <v>44562.0</v>
      </c>
      <c r="E196" s="152">
        <v>5.0</v>
      </c>
      <c r="F196" s="114"/>
      <c r="G196" s="145">
        <f t="shared" ref="G196:BN196" si="135">if(G$4&gt;=$D196,$C196,0)</f>
        <v>0</v>
      </c>
      <c r="H196" s="145">
        <f t="shared" si="135"/>
        <v>0</v>
      </c>
      <c r="I196" s="145">
        <f t="shared" si="135"/>
        <v>0</v>
      </c>
      <c r="J196" s="145">
        <f t="shared" si="135"/>
        <v>0</v>
      </c>
      <c r="K196" s="145">
        <f t="shared" si="135"/>
        <v>0</v>
      </c>
      <c r="L196" s="145">
        <f t="shared" si="135"/>
        <v>0</v>
      </c>
      <c r="M196" s="145">
        <f t="shared" si="135"/>
        <v>0</v>
      </c>
      <c r="N196" s="145">
        <f t="shared" si="135"/>
        <v>0</v>
      </c>
      <c r="O196" s="145">
        <f t="shared" si="135"/>
        <v>0</v>
      </c>
      <c r="P196" s="145">
        <f t="shared" si="135"/>
        <v>0</v>
      </c>
      <c r="Q196" s="145">
        <f t="shared" si="135"/>
        <v>0</v>
      </c>
      <c r="R196" s="145">
        <f t="shared" si="135"/>
        <v>0</v>
      </c>
      <c r="S196" s="145">
        <f t="shared" si="135"/>
        <v>0</v>
      </c>
      <c r="T196" s="145">
        <f t="shared" si="135"/>
        <v>0</v>
      </c>
      <c r="U196" s="145">
        <f t="shared" si="135"/>
        <v>0</v>
      </c>
      <c r="V196" s="145">
        <f t="shared" si="135"/>
        <v>0</v>
      </c>
      <c r="W196" s="145">
        <f t="shared" si="135"/>
        <v>0</v>
      </c>
      <c r="X196" s="145">
        <f t="shared" si="135"/>
        <v>0</v>
      </c>
      <c r="Y196" s="145">
        <f t="shared" si="135"/>
        <v>0</v>
      </c>
      <c r="Z196" s="145">
        <f t="shared" si="135"/>
        <v>0</v>
      </c>
      <c r="AA196" s="145">
        <f t="shared" si="135"/>
        <v>0</v>
      </c>
      <c r="AB196" s="145">
        <f t="shared" si="135"/>
        <v>0</v>
      </c>
      <c r="AC196" s="145">
        <f t="shared" si="135"/>
        <v>0</v>
      </c>
      <c r="AD196" s="145">
        <f t="shared" si="135"/>
        <v>0</v>
      </c>
      <c r="AE196" s="145">
        <f t="shared" si="135"/>
        <v>0</v>
      </c>
      <c r="AF196" s="145">
        <f t="shared" si="135"/>
        <v>0</v>
      </c>
      <c r="AG196" s="145">
        <f t="shared" si="135"/>
        <v>0</v>
      </c>
      <c r="AH196" s="145">
        <f t="shared" si="135"/>
        <v>0</v>
      </c>
      <c r="AI196" s="145">
        <f t="shared" si="135"/>
        <v>0</v>
      </c>
      <c r="AJ196" s="145">
        <f t="shared" si="135"/>
        <v>0</v>
      </c>
      <c r="AK196" s="145">
        <f t="shared" si="135"/>
        <v>0</v>
      </c>
      <c r="AL196" s="145">
        <f t="shared" si="135"/>
        <v>0</v>
      </c>
      <c r="AM196" s="145">
        <f t="shared" si="135"/>
        <v>0</v>
      </c>
      <c r="AN196" s="145">
        <f t="shared" si="135"/>
        <v>0</v>
      </c>
      <c r="AO196" s="145">
        <f t="shared" si="135"/>
        <v>0</v>
      </c>
      <c r="AP196" s="145">
        <f t="shared" si="135"/>
        <v>0</v>
      </c>
      <c r="AQ196" s="145">
        <f t="shared" si="135"/>
        <v>0</v>
      </c>
      <c r="AR196" s="145">
        <f t="shared" si="135"/>
        <v>0</v>
      </c>
      <c r="AS196" s="145">
        <f t="shared" si="135"/>
        <v>0</v>
      </c>
      <c r="AT196" s="145">
        <f t="shared" si="135"/>
        <v>0</v>
      </c>
      <c r="AU196" s="145">
        <f t="shared" si="135"/>
        <v>0</v>
      </c>
      <c r="AV196" s="145">
        <f t="shared" si="135"/>
        <v>0</v>
      </c>
      <c r="AW196" s="145">
        <f t="shared" si="135"/>
        <v>0</v>
      </c>
      <c r="AX196" s="145">
        <f t="shared" si="135"/>
        <v>0</v>
      </c>
      <c r="AY196" s="145">
        <f t="shared" si="135"/>
        <v>0</v>
      </c>
      <c r="AZ196" s="145">
        <f t="shared" si="135"/>
        <v>0</v>
      </c>
      <c r="BA196" s="145">
        <f t="shared" si="135"/>
        <v>0</v>
      </c>
      <c r="BB196" s="145">
        <f t="shared" si="135"/>
        <v>0</v>
      </c>
      <c r="BC196" s="145">
        <f t="shared" si="135"/>
        <v>0</v>
      </c>
      <c r="BD196" s="145">
        <f t="shared" si="135"/>
        <v>0</v>
      </c>
      <c r="BE196" s="145">
        <f t="shared" si="135"/>
        <v>0</v>
      </c>
      <c r="BF196" s="145">
        <f t="shared" si="135"/>
        <v>0</v>
      </c>
      <c r="BG196" s="145">
        <f t="shared" si="135"/>
        <v>0</v>
      </c>
      <c r="BH196" s="145">
        <f t="shared" si="135"/>
        <v>0</v>
      </c>
      <c r="BI196" s="145">
        <f t="shared" si="135"/>
        <v>0</v>
      </c>
      <c r="BJ196" s="145">
        <f t="shared" si="135"/>
        <v>0</v>
      </c>
      <c r="BK196" s="145">
        <f t="shared" si="135"/>
        <v>0</v>
      </c>
      <c r="BL196" s="145">
        <f t="shared" si="135"/>
        <v>0</v>
      </c>
      <c r="BM196" s="145">
        <f t="shared" si="135"/>
        <v>0</v>
      </c>
      <c r="BN196" s="145">
        <f t="shared" si="135"/>
        <v>0</v>
      </c>
    </row>
    <row r="197" outlineLevel="1">
      <c r="A197" s="47"/>
      <c r="B197" s="39"/>
      <c r="C197" s="47"/>
      <c r="D197" s="47"/>
      <c r="E197" s="47"/>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c r="AI197" s="114"/>
      <c r="AJ197" s="114"/>
      <c r="AK197" s="114"/>
      <c r="AL197" s="114"/>
      <c r="AM197" s="114"/>
      <c r="AN197" s="114"/>
      <c r="AO197" s="114"/>
      <c r="AP197" s="114"/>
      <c r="AQ197" s="114"/>
      <c r="AR197" s="114"/>
      <c r="AS197" s="114"/>
      <c r="AT197" s="114"/>
      <c r="AU197" s="114"/>
      <c r="AV197" s="114"/>
      <c r="AW197" s="114"/>
      <c r="AX197" s="114"/>
      <c r="AY197" s="114"/>
      <c r="AZ197" s="114"/>
      <c r="BA197" s="114"/>
      <c r="BB197" s="114"/>
      <c r="BC197" s="114"/>
      <c r="BD197" s="114"/>
      <c r="BE197" s="114"/>
      <c r="BF197" s="114"/>
      <c r="BG197" s="114"/>
      <c r="BH197" s="114"/>
      <c r="BI197" s="114"/>
      <c r="BJ197" s="114"/>
      <c r="BK197" s="114"/>
      <c r="BL197" s="114"/>
      <c r="BM197" s="114"/>
      <c r="BN197" s="114"/>
    </row>
    <row r="198" outlineLevel="1">
      <c r="A198" s="47"/>
      <c r="B198" s="39"/>
      <c r="C198" s="47"/>
      <c r="D198" s="47"/>
      <c r="E198" s="47"/>
      <c r="F198" s="47"/>
      <c r="G198" s="47" t="s">
        <v>133</v>
      </c>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114"/>
      <c r="AS198" s="114"/>
      <c r="AT198" s="114"/>
      <c r="AU198" s="114"/>
      <c r="AV198" s="114"/>
      <c r="AW198" s="114"/>
      <c r="AX198" s="114"/>
      <c r="AY198" s="114"/>
      <c r="AZ198" s="114"/>
      <c r="BA198" s="114"/>
      <c r="BB198" s="114"/>
      <c r="BC198" s="114"/>
      <c r="BD198" s="114"/>
      <c r="BE198" s="114"/>
      <c r="BF198" s="114"/>
      <c r="BG198" s="114"/>
      <c r="BH198" s="114"/>
      <c r="BI198" s="114"/>
      <c r="BJ198" s="114"/>
      <c r="BK198" s="114"/>
      <c r="BL198" s="114"/>
      <c r="BM198" s="114"/>
      <c r="BN198" s="114"/>
    </row>
    <row r="199" outlineLevel="1">
      <c r="A199" s="67"/>
      <c r="B199" s="68" t="str">
        <f t="shared" ref="B199:B202" si="137">B193</f>
        <v>Asset 1</v>
      </c>
      <c r="C199" s="67"/>
      <c r="D199" s="67"/>
      <c r="E199" s="67"/>
      <c r="F199" s="114"/>
      <c r="G199" s="114">
        <f t="shared" ref="G199:G202" si="138">MIN(E199+ IF(G$4&gt;=$D193,$C193/($E193*12),0),$C193)</f>
        <v>0</v>
      </c>
      <c r="H199" s="114">
        <f t="shared" ref="H199:BN199" si="136">MIN(G199+ IF(H$4&gt;=$D193,$C193/($E193*12),0),$C193)</f>
        <v>0</v>
      </c>
      <c r="I199" s="114">
        <f t="shared" si="136"/>
        <v>0</v>
      </c>
      <c r="J199" s="114">
        <f t="shared" si="136"/>
        <v>0</v>
      </c>
      <c r="K199" s="114">
        <f t="shared" si="136"/>
        <v>0</v>
      </c>
      <c r="L199" s="114">
        <f t="shared" si="136"/>
        <v>0</v>
      </c>
      <c r="M199" s="114">
        <f t="shared" si="136"/>
        <v>0</v>
      </c>
      <c r="N199" s="114">
        <f t="shared" si="136"/>
        <v>0</v>
      </c>
      <c r="O199" s="114">
        <f t="shared" si="136"/>
        <v>0</v>
      </c>
      <c r="P199" s="114">
        <f t="shared" si="136"/>
        <v>0</v>
      </c>
      <c r="Q199" s="114">
        <f t="shared" si="136"/>
        <v>0</v>
      </c>
      <c r="R199" s="114">
        <f t="shared" si="136"/>
        <v>0</v>
      </c>
      <c r="S199" s="114">
        <f t="shared" si="136"/>
        <v>0</v>
      </c>
      <c r="T199" s="114">
        <f t="shared" si="136"/>
        <v>0</v>
      </c>
      <c r="U199" s="114">
        <f t="shared" si="136"/>
        <v>0</v>
      </c>
      <c r="V199" s="114">
        <f t="shared" si="136"/>
        <v>0</v>
      </c>
      <c r="W199" s="114">
        <f t="shared" si="136"/>
        <v>0</v>
      </c>
      <c r="X199" s="114">
        <f t="shared" si="136"/>
        <v>0</v>
      </c>
      <c r="Y199" s="114">
        <f t="shared" si="136"/>
        <v>0</v>
      </c>
      <c r="Z199" s="114">
        <f t="shared" si="136"/>
        <v>0</v>
      </c>
      <c r="AA199" s="114">
        <f t="shared" si="136"/>
        <v>0</v>
      </c>
      <c r="AB199" s="114">
        <f t="shared" si="136"/>
        <v>0</v>
      </c>
      <c r="AC199" s="114">
        <f t="shared" si="136"/>
        <v>0</v>
      </c>
      <c r="AD199" s="114">
        <f t="shared" si="136"/>
        <v>0</v>
      </c>
      <c r="AE199" s="114">
        <f t="shared" si="136"/>
        <v>0</v>
      </c>
      <c r="AF199" s="114">
        <f t="shared" si="136"/>
        <v>0</v>
      </c>
      <c r="AG199" s="114">
        <f t="shared" si="136"/>
        <v>0</v>
      </c>
      <c r="AH199" s="114">
        <f t="shared" si="136"/>
        <v>0</v>
      </c>
      <c r="AI199" s="114">
        <f t="shared" si="136"/>
        <v>0</v>
      </c>
      <c r="AJ199" s="114">
        <f t="shared" si="136"/>
        <v>0</v>
      </c>
      <c r="AK199" s="114">
        <f t="shared" si="136"/>
        <v>0</v>
      </c>
      <c r="AL199" s="114">
        <f t="shared" si="136"/>
        <v>0</v>
      </c>
      <c r="AM199" s="114">
        <f t="shared" si="136"/>
        <v>0</v>
      </c>
      <c r="AN199" s="114">
        <f t="shared" si="136"/>
        <v>0</v>
      </c>
      <c r="AO199" s="114">
        <f t="shared" si="136"/>
        <v>0</v>
      </c>
      <c r="AP199" s="114">
        <f t="shared" si="136"/>
        <v>0</v>
      </c>
      <c r="AQ199" s="114">
        <f t="shared" si="136"/>
        <v>0</v>
      </c>
      <c r="AR199" s="114">
        <f t="shared" si="136"/>
        <v>0</v>
      </c>
      <c r="AS199" s="114">
        <f t="shared" si="136"/>
        <v>0</v>
      </c>
      <c r="AT199" s="114">
        <f t="shared" si="136"/>
        <v>0</v>
      </c>
      <c r="AU199" s="114">
        <f t="shared" si="136"/>
        <v>0</v>
      </c>
      <c r="AV199" s="114">
        <f t="shared" si="136"/>
        <v>0</v>
      </c>
      <c r="AW199" s="114">
        <f t="shared" si="136"/>
        <v>0</v>
      </c>
      <c r="AX199" s="114">
        <f t="shared" si="136"/>
        <v>0</v>
      </c>
      <c r="AY199" s="114">
        <f t="shared" si="136"/>
        <v>0</v>
      </c>
      <c r="AZ199" s="114">
        <f t="shared" si="136"/>
        <v>0</v>
      </c>
      <c r="BA199" s="114">
        <f t="shared" si="136"/>
        <v>0</v>
      </c>
      <c r="BB199" s="114">
        <f t="shared" si="136"/>
        <v>0</v>
      </c>
      <c r="BC199" s="114">
        <f t="shared" si="136"/>
        <v>0</v>
      </c>
      <c r="BD199" s="114">
        <f t="shared" si="136"/>
        <v>0</v>
      </c>
      <c r="BE199" s="114">
        <f t="shared" si="136"/>
        <v>0</v>
      </c>
      <c r="BF199" s="114">
        <f t="shared" si="136"/>
        <v>0</v>
      </c>
      <c r="BG199" s="114">
        <f t="shared" si="136"/>
        <v>0</v>
      </c>
      <c r="BH199" s="114">
        <f t="shared" si="136"/>
        <v>0</v>
      </c>
      <c r="BI199" s="114">
        <f t="shared" si="136"/>
        <v>0</v>
      </c>
      <c r="BJ199" s="114">
        <f t="shared" si="136"/>
        <v>0</v>
      </c>
      <c r="BK199" s="114">
        <f t="shared" si="136"/>
        <v>0</v>
      </c>
      <c r="BL199" s="114">
        <f t="shared" si="136"/>
        <v>0</v>
      </c>
      <c r="BM199" s="114">
        <f t="shared" si="136"/>
        <v>0</v>
      </c>
      <c r="BN199" s="114">
        <f t="shared" si="136"/>
        <v>0</v>
      </c>
    </row>
    <row r="200" outlineLevel="1">
      <c r="A200" s="67"/>
      <c r="B200" s="68" t="str">
        <f t="shared" si="137"/>
        <v>Asset 2</v>
      </c>
      <c r="C200" s="67"/>
      <c r="D200" s="67"/>
      <c r="E200" s="67"/>
      <c r="F200" s="114"/>
      <c r="G200" s="114">
        <f t="shared" si="138"/>
        <v>0</v>
      </c>
      <c r="H200" s="114">
        <f t="shared" ref="H200:BN200" si="139">MIN(G200+ IF(H$4&gt;=$D194,$C194/($E194*12),0),$C194)</f>
        <v>0</v>
      </c>
      <c r="I200" s="114">
        <f t="shared" si="139"/>
        <v>0</v>
      </c>
      <c r="J200" s="114">
        <f t="shared" si="139"/>
        <v>0</v>
      </c>
      <c r="K200" s="114">
        <f t="shared" si="139"/>
        <v>0</v>
      </c>
      <c r="L200" s="114">
        <f t="shared" si="139"/>
        <v>0</v>
      </c>
      <c r="M200" s="114">
        <f t="shared" si="139"/>
        <v>0</v>
      </c>
      <c r="N200" s="114">
        <f t="shared" si="139"/>
        <v>0</v>
      </c>
      <c r="O200" s="114">
        <f t="shared" si="139"/>
        <v>0</v>
      </c>
      <c r="P200" s="114">
        <f t="shared" si="139"/>
        <v>0</v>
      </c>
      <c r="Q200" s="114">
        <f t="shared" si="139"/>
        <v>0</v>
      </c>
      <c r="R200" s="114">
        <f t="shared" si="139"/>
        <v>0</v>
      </c>
      <c r="S200" s="114">
        <f t="shared" si="139"/>
        <v>0</v>
      </c>
      <c r="T200" s="114">
        <f t="shared" si="139"/>
        <v>0</v>
      </c>
      <c r="U200" s="114">
        <f t="shared" si="139"/>
        <v>0</v>
      </c>
      <c r="V200" s="114">
        <f t="shared" si="139"/>
        <v>0</v>
      </c>
      <c r="W200" s="114">
        <f t="shared" si="139"/>
        <v>0</v>
      </c>
      <c r="X200" s="114">
        <f t="shared" si="139"/>
        <v>0</v>
      </c>
      <c r="Y200" s="114">
        <f t="shared" si="139"/>
        <v>0</v>
      </c>
      <c r="Z200" s="114">
        <f t="shared" si="139"/>
        <v>0</v>
      </c>
      <c r="AA200" s="114">
        <f t="shared" si="139"/>
        <v>0</v>
      </c>
      <c r="AB200" s="114">
        <f t="shared" si="139"/>
        <v>0</v>
      </c>
      <c r="AC200" s="114">
        <f t="shared" si="139"/>
        <v>0</v>
      </c>
      <c r="AD200" s="114">
        <f t="shared" si="139"/>
        <v>0</v>
      </c>
      <c r="AE200" s="114">
        <f t="shared" si="139"/>
        <v>0</v>
      </c>
      <c r="AF200" s="114">
        <f t="shared" si="139"/>
        <v>0</v>
      </c>
      <c r="AG200" s="114">
        <f t="shared" si="139"/>
        <v>0</v>
      </c>
      <c r="AH200" s="114">
        <f t="shared" si="139"/>
        <v>0</v>
      </c>
      <c r="AI200" s="114">
        <f t="shared" si="139"/>
        <v>0</v>
      </c>
      <c r="AJ200" s="114">
        <f t="shared" si="139"/>
        <v>0</v>
      </c>
      <c r="AK200" s="114">
        <f t="shared" si="139"/>
        <v>0</v>
      </c>
      <c r="AL200" s="114">
        <f t="shared" si="139"/>
        <v>0</v>
      </c>
      <c r="AM200" s="114">
        <f t="shared" si="139"/>
        <v>0</v>
      </c>
      <c r="AN200" s="114">
        <f t="shared" si="139"/>
        <v>0</v>
      </c>
      <c r="AO200" s="114">
        <f t="shared" si="139"/>
        <v>0</v>
      </c>
      <c r="AP200" s="114">
        <f t="shared" si="139"/>
        <v>0</v>
      </c>
      <c r="AQ200" s="114">
        <f t="shared" si="139"/>
        <v>0</v>
      </c>
      <c r="AR200" s="114">
        <f t="shared" si="139"/>
        <v>0</v>
      </c>
      <c r="AS200" s="114">
        <f t="shared" si="139"/>
        <v>0</v>
      </c>
      <c r="AT200" s="114">
        <f t="shared" si="139"/>
        <v>0</v>
      </c>
      <c r="AU200" s="114">
        <f t="shared" si="139"/>
        <v>0</v>
      </c>
      <c r="AV200" s="114">
        <f t="shared" si="139"/>
        <v>0</v>
      </c>
      <c r="AW200" s="114">
        <f t="shared" si="139"/>
        <v>0</v>
      </c>
      <c r="AX200" s="114">
        <f t="shared" si="139"/>
        <v>0</v>
      </c>
      <c r="AY200" s="114">
        <f t="shared" si="139"/>
        <v>0</v>
      </c>
      <c r="AZ200" s="114">
        <f t="shared" si="139"/>
        <v>0</v>
      </c>
      <c r="BA200" s="114">
        <f t="shared" si="139"/>
        <v>0</v>
      </c>
      <c r="BB200" s="114">
        <f t="shared" si="139"/>
        <v>0</v>
      </c>
      <c r="BC200" s="114">
        <f t="shared" si="139"/>
        <v>0</v>
      </c>
      <c r="BD200" s="114">
        <f t="shared" si="139"/>
        <v>0</v>
      </c>
      <c r="BE200" s="114">
        <f t="shared" si="139"/>
        <v>0</v>
      </c>
      <c r="BF200" s="114">
        <f t="shared" si="139"/>
        <v>0</v>
      </c>
      <c r="BG200" s="114">
        <f t="shared" si="139"/>
        <v>0</v>
      </c>
      <c r="BH200" s="114">
        <f t="shared" si="139"/>
        <v>0</v>
      </c>
      <c r="BI200" s="114">
        <f t="shared" si="139"/>
        <v>0</v>
      </c>
      <c r="BJ200" s="114">
        <f t="shared" si="139"/>
        <v>0</v>
      </c>
      <c r="BK200" s="114">
        <f t="shared" si="139"/>
        <v>0</v>
      </c>
      <c r="BL200" s="114">
        <f t="shared" si="139"/>
        <v>0</v>
      </c>
      <c r="BM200" s="114">
        <f t="shared" si="139"/>
        <v>0</v>
      </c>
      <c r="BN200" s="114">
        <f t="shared" si="139"/>
        <v>0</v>
      </c>
    </row>
    <row r="201" outlineLevel="1">
      <c r="A201" s="67"/>
      <c r="B201" s="68" t="str">
        <f t="shared" si="137"/>
        <v>Asset 3</v>
      </c>
      <c r="C201" s="67"/>
      <c r="D201" s="67"/>
      <c r="E201" s="67"/>
      <c r="F201" s="114"/>
      <c r="G201" s="114">
        <f t="shared" si="138"/>
        <v>0</v>
      </c>
      <c r="H201" s="114">
        <f t="shared" ref="H201:BN201" si="140">MIN(G201+ IF(H$4&gt;=$D195,$C195/($E195*12),0),$C195)</f>
        <v>0</v>
      </c>
      <c r="I201" s="114">
        <f t="shared" si="140"/>
        <v>0</v>
      </c>
      <c r="J201" s="114">
        <f t="shared" si="140"/>
        <v>0</v>
      </c>
      <c r="K201" s="114">
        <f t="shared" si="140"/>
        <v>0</v>
      </c>
      <c r="L201" s="114">
        <f t="shared" si="140"/>
        <v>0</v>
      </c>
      <c r="M201" s="114">
        <f t="shared" si="140"/>
        <v>0</v>
      </c>
      <c r="N201" s="114">
        <f t="shared" si="140"/>
        <v>0</v>
      </c>
      <c r="O201" s="114">
        <f t="shared" si="140"/>
        <v>0</v>
      </c>
      <c r="P201" s="114">
        <f t="shared" si="140"/>
        <v>0</v>
      </c>
      <c r="Q201" s="114">
        <f t="shared" si="140"/>
        <v>0</v>
      </c>
      <c r="R201" s="114">
        <f t="shared" si="140"/>
        <v>0</v>
      </c>
      <c r="S201" s="114">
        <f t="shared" si="140"/>
        <v>0</v>
      </c>
      <c r="T201" s="114">
        <f t="shared" si="140"/>
        <v>0</v>
      </c>
      <c r="U201" s="114">
        <f t="shared" si="140"/>
        <v>0</v>
      </c>
      <c r="V201" s="114">
        <f t="shared" si="140"/>
        <v>0</v>
      </c>
      <c r="W201" s="114">
        <f t="shared" si="140"/>
        <v>0</v>
      </c>
      <c r="X201" s="114">
        <f t="shared" si="140"/>
        <v>0</v>
      </c>
      <c r="Y201" s="114">
        <f t="shared" si="140"/>
        <v>0</v>
      </c>
      <c r="Z201" s="114">
        <f t="shared" si="140"/>
        <v>0</v>
      </c>
      <c r="AA201" s="114">
        <f t="shared" si="140"/>
        <v>0</v>
      </c>
      <c r="AB201" s="114">
        <f t="shared" si="140"/>
        <v>0</v>
      </c>
      <c r="AC201" s="114">
        <f t="shared" si="140"/>
        <v>0</v>
      </c>
      <c r="AD201" s="114">
        <f t="shared" si="140"/>
        <v>0</v>
      </c>
      <c r="AE201" s="114">
        <f t="shared" si="140"/>
        <v>0</v>
      </c>
      <c r="AF201" s="114">
        <f t="shared" si="140"/>
        <v>0</v>
      </c>
      <c r="AG201" s="114">
        <f t="shared" si="140"/>
        <v>0</v>
      </c>
      <c r="AH201" s="114">
        <f t="shared" si="140"/>
        <v>0</v>
      </c>
      <c r="AI201" s="114">
        <f t="shared" si="140"/>
        <v>0</v>
      </c>
      <c r="AJ201" s="114">
        <f t="shared" si="140"/>
        <v>0</v>
      </c>
      <c r="AK201" s="114">
        <f t="shared" si="140"/>
        <v>0</v>
      </c>
      <c r="AL201" s="114">
        <f t="shared" si="140"/>
        <v>0</v>
      </c>
      <c r="AM201" s="114">
        <f t="shared" si="140"/>
        <v>0</v>
      </c>
      <c r="AN201" s="114">
        <f t="shared" si="140"/>
        <v>0</v>
      </c>
      <c r="AO201" s="114">
        <f t="shared" si="140"/>
        <v>0</v>
      </c>
      <c r="AP201" s="114">
        <f t="shared" si="140"/>
        <v>0</v>
      </c>
      <c r="AQ201" s="114">
        <f t="shared" si="140"/>
        <v>0</v>
      </c>
      <c r="AR201" s="114">
        <f t="shared" si="140"/>
        <v>0</v>
      </c>
      <c r="AS201" s="114">
        <f t="shared" si="140"/>
        <v>0</v>
      </c>
      <c r="AT201" s="114">
        <f t="shared" si="140"/>
        <v>0</v>
      </c>
      <c r="AU201" s="114">
        <f t="shared" si="140"/>
        <v>0</v>
      </c>
      <c r="AV201" s="114">
        <f t="shared" si="140"/>
        <v>0</v>
      </c>
      <c r="AW201" s="114">
        <f t="shared" si="140"/>
        <v>0</v>
      </c>
      <c r="AX201" s="114">
        <f t="shared" si="140"/>
        <v>0</v>
      </c>
      <c r="AY201" s="114">
        <f t="shared" si="140"/>
        <v>0</v>
      </c>
      <c r="AZ201" s="114">
        <f t="shared" si="140"/>
        <v>0</v>
      </c>
      <c r="BA201" s="114">
        <f t="shared" si="140"/>
        <v>0</v>
      </c>
      <c r="BB201" s="114">
        <f t="shared" si="140"/>
        <v>0</v>
      </c>
      <c r="BC201" s="114">
        <f t="shared" si="140"/>
        <v>0</v>
      </c>
      <c r="BD201" s="114">
        <f t="shared" si="140"/>
        <v>0</v>
      </c>
      <c r="BE201" s="114">
        <f t="shared" si="140"/>
        <v>0</v>
      </c>
      <c r="BF201" s="114">
        <f t="shared" si="140"/>
        <v>0</v>
      </c>
      <c r="BG201" s="114">
        <f t="shared" si="140"/>
        <v>0</v>
      </c>
      <c r="BH201" s="114">
        <f t="shared" si="140"/>
        <v>0</v>
      </c>
      <c r="BI201" s="114">
        <f t="shared" si="140"/>
        <v>0</v>
      </c>
      <c r="BJ201" s="114">
        <f t="shared" si="140"/>
        <v>0</v>
      </c>
      <c r="BK201" s="114">
        <f t="shared" si="140"/>
        <v>0</v>
      </c>
      <c r="BL201" s="114">
        <f t="shared" si="140"/>
        <v>0</v>
      </c>
      <c r="BM201" s="114">
        <f t="shared" si="140"/>
        <v>0</v>
      </c>
      <c r="BN201" s="114">
        <f t="shared" si="140"/>
        <v>0</v>
      </c>
    </row>
    <row r="202" outlineLevel="1">
      <c r="A202" s="67"/>
      <c r="B202" s="68" t="str">
        <f t="shared" si="137"/>
        <v>Asset 4</v>
      </c>
      <c r="C202" s="67"/>
      <c r="D202" s="67"/>
      <c r="E202" s="67"/>
      <c r="F202" s="114"/>
      <c r="G202" s="114">
        <f t="shared" si="138"/>
        <v>0</v>
      </c>
      <c r="H202" s="114">
        <f t="shared" ref="H202:BN202" si="141">MIN(G202+ IF(H$4&gt;=$D196,$C196/($E196*12),0),$C196)</f>
        <v>0</v>
      </c>
      <c r="I202" s="114">
        <f t="shared" si="141"/>
        <v>0</v>
      </c>
      <c r="J202" s="114">
        <f t="shared" si="141"/>
        <v>0</v>
      </c>
      <c r="K202" s="114">
        <f t="shared" si="141"/>
        <v>0</v>
      </c>
      <c r="L202" s="114">
        <f t="shared" si="141"/>
        <v>0</v>
      </c>
      <c r="M202" s="114">
        <f t="shared" si="141"/>
        <v>0</v>
      </c>
      <c r="N202" s="114">
        <f t="shared" si="141"/>
        <v>0</v>
      </c>
      <c r="O202" s="114">
        <f t="shared" si="141"/>
        <v>0</v>
      </c>
      <c r="P202" s="114">
        <f t="shared" si="141"/>
        <v>0</v>
      </c>
      <c r="Q202" s="114">
        <f t="shared" si="141"/>
        <v>0</v>
      </c>
      <c r="R202" s="114">
        <f t="shared" si="141"/>
        <v>0</v>
      </c>
      <c r="S202" s="114">
        <f t="shared" si="141"/>
        <v>0</v>
      </c>
      <c r="T202" s="114">
        <f t="shared" si="141"/>
        <v>0</v>
      </c>
      <c r="U202" s="114">
        <f t="shared" si="141"/>
        <v>0</v>
      </c>
      <c r="V202" s="114">
        <f t="shared" si="141"/>
        <v>0</v>
      </c>
      <c r="W202" s="114">
        <f t="shared" si="141"/>
        <v>0</v>
      </c>
      <c r="X202" s="114">
        <f t="shared" si="141"/>
        <v>0</v>
      </c>
      <c r="Y202" s="114">
        <f t="shared" si="141"/>
        <v>0</v>
      </c>
      <c r="Z202" s="114">
        <f t="shared" si="141"/>
        <v>0</v>
      </c>
      <c r="AA202" s="114">
        <f t="shared" si="141"/>
        <v>0</v>
      </c>
      <c r="AB202" s="114">
        <f t="shared" si="141"/>
        <v>0</v>
      </c>
      <c r="AC202" s="114">
        <f t="shared" si="141"/>
        <v>0</v>
      </c>
      <c r="AD202" s="114">
        <f t="shared" si="141"/>
        <v>0</v>
      </c>
      <c r="AE202" s="114">
        <f t="shared" si="141"/>
        <v>0</v>
      </c>
      <c r="AF202" s="114">
        <f t="shared" si="141"/>
        <v>0</v>
      </c>
      <c r="AG202" s="114">
        <f t="shared" si="141"/>
        <v>0</v>
      </c>
      <c r="AH202" s="114">
        <f t="shared" si="141"/>
        <v>0</v>
      </c>
      <c r="AI202" s="114">
        <f t="shared" si="141"/>
        <v>0</v>
      </c>
      <c r="AJ202" s="114">
        <f t="shared" si="141"/>
        <v>0</v>
      </c>
      <c r="AK202" s="114">
        <f t="shared" si="141"/>
        <v>0</v>
      </c>
      <c r="AL202" s="114">
        <f t="shared" si="141"/>
        <v>0</v>
      </c>
      <c r="AM202" s="114">
        <f t="shared" si="141"/>
        <v>0</v>
      </c>
      <c r="AN202" s="114">
        <f t="shared" si="141"/>
        <v>0</v>
      </c>
      <c r="AO202" s="114">
        <f t="shared" si="141"/>
        <v>0</v>
      </c>
      <c r="AP202" s="114">
        <f t="shared" si="141"/>
        <v>0</v>
      </c>
      <c r="AQ202" s="114">
        <f t="shared" si="141"/>
        <v>0</v>
      </c>
      <c r="AR202" s="114">
        <f t="shared" si="141"/>
        <v>0</v>
      </c>
      <c r="AS202" s="114">
        <f t="shared" si="141"/>
        <v>0</v>
      </c>
      <c r="AT202" s="114">
        <f t="shared" si="141"/>
        <v>0</v>
      </c>
      <c r="AU202" s="114">
        <f t="shared" si="141"/>
        <v>0</v>
      </c>
      <c r="AV202" s="114">
        <f t="shared" si="141"/>
        <v>0</v>
      </c>
      <c r="AW202" s="114">
        <f t="shared" si="141"/>
        <v>0</v>
      </c>
      <c r="AX202" s="114">
        <f t="shared" si="141"/>
        <v>0</v>
      </c>
      <c r="AY202" s="114">
        <f t="shared" si="141"/>
        <v>0</v>
      </c>
      <c r="AZ202" s="114">
        <f t="shared" si="141"/>
        <v>0</v>
      </c>
      <c r="BA202" s="114">
        <f t="shared" si="141"/>
        <v>0</v>
      </c>
      <c r="BB202" s="114">
        <f t="shared" si="141"/>
        <v>0</v>
      </c>
      <c r="BC202" s="114">
        <f t="shared" si="141"/>
        <v>0</v>
      </c>
      <c r="BD202" s="114">
        <f t="shared" si="141"/>
        <v>0</v>
      </c>
      <c r="BE202" s="114">
        <f t="shared" si="141"/>
        <v>0</v>
      </c>
      <c r="BF202" s="114">
        <f t="shared" si="141"/>
        <v>0</v>
      </c>
      <c r="BG202" s="114">
        <f t="shared" si="141"/>
        <v>0</v>
      </c>
      <c r="BH202" s="114">
        <f t="shared" si="141"/>
        <v>0</v>
      </c>
      <c r="BI202" s="114">
        <f t="shared" si="141"/>
        <v>0</v>
      </c>
      <c r="BJ202" s="114">
        <f t="shared" si="141"/>
        <v>0</v>
      </c>
      <c r="BK202" s="114">
        <f t="shared" si="141"/>
        <v>0</v>
      </c>
      <c r="BL202" s="114">
        <f t="shared" si="141"/>
        <v>0</v>
      </c>
      <c r="BM202" s="114">
        <f t="shared" si="141"/>
        <v>0</v>
      </c>
      <c r="BN202" s="114">
        <f t="shared" si="141"/>
        <v>0</v>
      </c>
    </row>
    <row r="203" outlineLevel="1">
      <c r="A203" s="47"/>
      <c r="B203" s="39"/>
      <c r="C203" s="47"/>
      <c r="D203" s="47"/>
      <c r="E203" s="47"/>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c r="AI203" s="114"/>
      <c r="AJ203" s="114"/>
      <c r="AK203" s="114"/>
      <c r="AL203" s="114"/>
      <c r="AM203" s="114"/>
      <c r="AN203" s="114"/>
      <c r="AO203" s="114"/>
      <c r="AP203" s="114"/>
      <c r="AQ203" s="114"/>
      <c r="AR203" s="114"/>
      <c r="AS203" s="114"/>
      <c r="AT203" s="114"/>
      <c r="AU203" s="114"/>
      <c r="AV203" s="114"/>
      <c r="AW203" s="114"/>
      <c r="AX203" s="114"/>
      <c r="AY203" s="114"/>
      <c r="AZ203" s="114"/>
      <c r="BA203" s="114"/>
      <c r="BB203" s="114"/>
      <c r="BC203" s="114"/>
      <c r="BD203" s="114"/>
      <c r="BE203" s="114"/>
      <c r="BF203" s="114"/>
      <c r="BG203" s="114"/>
      <c r="BH203" s="114"/>
      <c r="BI203" s="114"/>
      <c r="BJ203" s="114"/>
      <c r="BK203" s="114"/>
      <c r="BL203" s="114"/>
      <c r="BM203" s="114"/>
      <c r="BN203" s="114"/>
    </row>
    <row r="204" outlineLevel="1">
      <c r="A204" s="47"/>
      <c r="B204" s="143" t="s">
        <v>134</v>
      </c>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c r="AX204" s="144"/>
      <c r="AY204" s="144"/>
      <c r="AZ204" s="144"/>
      <c r="BA204" s="144"/>
      <c r="BB204" s="144"/>
      <c r="BC204" s="144"/>
      <c r="BD204" s="144"/>
      <c r="BE204" s="144"/>
      <c r="BF204" s="144"/>
      <c r="BG204" s="144"/>
      <c r="BH204" s="144"/>
      <c r="BI204" s="144"/>
      <c r="BJ204" s="144"/>
      <c r="BK204" s="144"/>
      <c r="BL204" s="144"/>
      <c r="BM204" s="144"/>
      <c r="BN204" s="144"/>
    </row>
    <row r="205" outlineLevel="1">
      <c r="A205" s="47"/>
      <c r="B205" s="39"/>
      <c r="C205" s="47"/>
      <c r="D205" s="47"/>
      <c r="E205" s="47"/>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c r="AI205" s="114"/>
      <c r="AJ205" s="114"/>
      <c r="AK205" s="114"/>
      <c r="AL205" s="114"/>
      <c r="AM205" s="114"/>
      <c r="AN205" s="114"/>
      <c r="AO205" s="114"/>
      <c r="AP205" s="114"/>
      <c r="AQ205" s="114"/>
      <c r="AR205" s="114"/>
      <c r="AS205" s="114"/>
      <c r="AT205" s="114"/>
      <c r="AU205" s="114"/>
      <c r="AV205" s="114"/>
      <c r="AW205" s="114"/>
      <c r="AX205" s="114"/>
      <c r="AY205" s="114"/>
      <c r="AZ205" s="114"/>
      <c r="BA205" s="114"/>
      <c r="BB205" s="114"/>
      <c r="BC205" s="114"/>
      <c r="BD205" s="114"/>
      <c r="BE205" s="114"/>
      <c r="BF205" s="114"/>
      <c r="BG205" s="114"/>
      <c r="BH205" s="114"/>
      <c r="BI205" s="114"/>
      <c r="BJ205" s="114"/>
      <c r="BK205" s="114"/>
      <c r="BL205" s="114"/>
      <c r="BM205" s="114"/>
      <c r="BN205" s="114"/>
    </row>
    <row r="206" outlineLevel="1">
      <c r="A206" s="47"/>
      <c r="B206" s="66" t="s">
        <v>135</v>
      </c>
      <c r="C206" s="153">
        <v>15.0</v>
      </c>
      <c r="D206" s="39" t="s">
        <v>136</v>
      </c>
      <c r="E206" s="47"/>
      <c r="F206" s="148"/>
      <c r="G206" s="148">
        <f t="shared" ref="G206:BN206" si="142">SUM(G150,G164,G169,G175,G178)*$C206/30</f>
        <v>23506.80625</v>
      </c>
      <c r="H206" s="148">
        <f t="shared" si="142"/>
        <v>25920.57366</v>
      </c>
      <c r="I206" s="148">
        <f t="shared" si="142"/>
        <v>28446.69408</v>
      </c>
      <c r="J206" s="148">
        <f t="shared" si="142"/>
        <v>31096.43731</v>
      </c>
      <c r="K206" s="148">
        <f t="shared" si="142"/>
        <v>33889.04419</v>
      </c>
      <c r="L206" s="148">
        <f t="shared" si="142"/>
        <v>36833.20509</v>
      </c>
      <c r="M206" s="148">
        <f t="shared" si="142"/>
        <v>39758.85347</v>
      </c>
      <c r="N206" s="148">
        <f t="shared" si="142"/>
        <v>42669.80454</v>
      </c>
      <c r="O206" s="148">
        <f t="shared" si="142"/>
        <v>45566.47603</v>
      </c>
      <c r="P206" s="148">
        <f t="shared" si="142"/>
        <v>48449.22567</v>
      </c>
      <c r="Q206" s="148">
        <f t="shared" si="142"/>
        <v>51324.36403</v>
      </c>
      <c r="R206" s="148">
        <f t="shared" si="142"/>
        <v>54186.32427</v>
      </c>
      <c r="S206" s="148">
        <f t="shared" si="142"/>
        <v>57035.34947</v>
      </c>
      <c r="T206" s="148">
        <f t="shared" si="142"/>
        <v>59871.76172</v>
      </c>
      <c r="U206" s="148">
        <f t="shared" si="142"/>
        <v>62695.87632</v>
      </c>
      <c r="V206" s="148">
        <f t="shared" si="142"/>
        <v>65508.00072</v>
      </c>
      <c r="W206" s="148">
        <f t="shared" si="142"/>
        <v>68308.43467</v>
      </c>
      <c r="X206" s="148">
        <f t="shared" si="142"/>
        <v>71097.47042</v>
      </c>
      <c r="Y206" s="148">
        <f t="shared" si="142"/>
        <v>73875.39295</v>
      </c>
      <c r="Z206" s="148">
        <f t="shared" si="142"/>
        <v>76642.48006</v>
      </c>
      <c r="AA206" s="148">
        <f t="shared" si="142"/>
        <v>79399.00266</v>
      </c>
      <c r="AB206" s="148">
        <f t="shared" si="142"/>
        <v>82145.22486</v>
      </c>
      <c r="AC206" s="148">
        <f t="shared" si="142"/>
        <v>84881.40416</v>
      </c>
      <c r="AD206" s="148">
        <f t="shared" si="142"/>
        <v>87607.79163</v>
      </c>
      <c r="AE206" s="148">
        <f t="shared" si="142"/>
        <v>90324.63208</v>
      </c>
      <c r="AF206" s="148">
        <f t="shared" si="142"/>
        <v>93032.16418</v>
      </c>
      <c r="AG206" s="148">
        <f t="shared" si="142"/>
        <v>95730.62063</v>
      </c>
      <c r="AH206" s="148">
        <f t="shared" si="142"/>
        <v>98420.22833</v>
      </c>
      <c r="AI206" s="148">
        <f t="shared" si="142"/>
        <v>101101.2085</v>
      </c>
      <c r="AJ206" s="148">
        <f t="shared" si="142"/>
        <v>103773.7768</v>
      </c>
      <c r="AK206" s="148">
        <f t="shared" si="142"/>
        <v>106438.1436</v>
      </c>
      <c r="AL206" s="148">
        <f t="shared" si="142"/>
        <v>109094.5139</v>
      </c>
      <c r="AM206" s="148">
        <f t="shared" si="142"/>
        <v>111743.0875</v>
      </c>
      <c r="AN206" s="148">
        <f t="shared" si="142"/>
        <v>114384.0595</v>
      </c>
      <c r="AO206" s="148">
        <f t="shared" si="142"/>
        <v>117017.6198</v>
      </c>
      <c r="AP206" s="148">
        <f t="shared" si="142"/>
        <v>119643.9538</v>
      </c>
      <c r="AQ206" s="148">
        <f t="shared" si="142"/>
        <v>122263.2421</v>
      </c>
      <c r="AR206" s="148">
        <f t="shared" si="142"/>
        <v>124875.6609</v>
      </c>
      <c r="AS206" s="148">
        <f t="shared" si="142"/>
        <v>127481.3818</v>
      </c>
      <c r="AT206" s="148">
        <f t="shared" si="142"/>
        <v>130080.5724</v>
      </c>
      <c r="AU206" s="148">
        <f t="shared" si="142"/>
        <v>132673.3959</v>
      </c>
      <c r="AV206" s="148">
        <f t="shared" si="142"/>
        <v>135260.0114</v>
      </c>
      <c r="AW206" s="148">
        <f t="shared" si="142"/>
        <v>137840.5743</v>
      </c>
      <c r="AX206" s="148">
        <f t="shared" si="142"/>
        <v>140415.2357</v>
      </c>
      <c r="AY206" s="148">
        <f t="shared" si="142"/>
        <v>142984.1432</v>
      </c>
      <c r="AZ206" s="148">
        <f t="shared" si="142"/>
        <v>145547.4407</v>
      </c>
      <c r="BA206" s="148">
        <f t="shared" si="142"/>
        <v>148105.2684</v>
      </c>
      <c r="BB206" s="148">
        <f t="shared" si="142"/>
        <v>150657.7631</v>
      </c>
      <c r="BC206" s="148">
        <f t="shared" si="142"/>
        <v>153205.0581</v>
      </c>
      <c r="BD206" s="148">
        <f t="shared" si="142"/>
        <v>155747.2834</v>
      </c>
      <c r="BE206" s="148">
        <f t="shared" si="142"/>
        <v>158284.5657</v>
      </c>
      <c r="BF206" s="148">
        <f t="shared" si="142"/>
        <v>160817.0286</v>
      </c>
      <c r="BG206" s="148">
        <f t="shared" si="142"/>
        <v>163344.7925</v>
      </c>
      <c r="BH206" s="148">
        <f t="shared" si="142"/>
        <v>165867.9751</v>
      </c>
      <c r="BI206" s="148">
        <f t="shared" si="142"/>
        <v>168386.6907</v>
      </c>
      <c r="BJ206" s="148">
        <f t="shared" si="142"/>
        <v>170901.0511</v>
      </c>
      <c r="BK206" s="148">
        <f t="shared" si="142"/>
        <v>173411.1652</v>
      </c>
      <c r="BL206" s="148">
        <f t="shared" si="142"/>
        <v>175917.139</v>
      </c>
      <c r="BM206" s="148">
        <f t="shared" si="142"/>
        <v>178419.0762</v>
      </c>
      <c r="BN206" s="148">
        <f t="shared" si="142"/>
        <v>180917.0776</v>
      </c>
    </row>
    <row r="207" outlineLevel="1">
      <c r="A207" s="47"/>
      <c r="B207" s="47"/>
      <c r="C207" s="47"/>
      <c r="D207" s="47"/>
      <c r="E207" s="47"/>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c r="AD207" s="114"/>
      <c r="AE207" s="114"/>
      <c r="AF207" s="114"/>
      <c r="AG207" s="114"/>
      <c r="AH207" s="114"/>
      <c r="AI207" s="114"/>
      <c r="AJ207" s="114"/>
      <c r="AK207" s="114"/>
      <c r="AL207" s="114"/>
      <c r="AM207" s="114"/>
      <c r="AN207" s="114"/>
      <c r="AO207" s="114"/>
      <c r="AP207" s="114"/>
      <c r="AQ207" s="114"/>
      <c r="AR207" s="114"/>
      <c r="AS207" s="114"/>
      <c r="AT207" s="114"/>
      <c r="AU207" s="114"/>
      <c r="AV207" s="114"/>
      <c r="AW207" s="114"/>
      <c r="AX207" s="114"/>
      <c r="AY207" s="114"/>
      <c r="AZ207" s="114"/>
      <c r="BA207" s="114"/>
      <c r="BB207" s="114"/>
      <c r="BC207" s="114"/>
      <c r="BD207" s="114"/>
      <c r="BE207" s="114"/>
      <c r="BF207" s="114"/>
      <c r="BG207" s="114"/>
      <c r="BH207" s="114"/>
      <c r="BI207" s="114"/>
      <c r="BJ207" s="114"/>
      <c r="BK207" s="114"/>
      <c r="BL207" s="114"/>
      <c r="BM207" s="114"/>
      <c r="BN207" s="114"/>
    </row>
    <row r="208" outlineLevel="1">
      <c r="A208" s="47"/>
      <c r="B208" s="143" t="s">
        <v>137</v>
      </c>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c r="AX208" s="144"/>
      <c r="AY208" s="144"/>
      <c r="AZ208" s="144"/>
      <c r="BA208" s="144"/>
      <c r="BB208" s="144"/>
      <c r="BC208" s="144"/>
      <c r="BD208" s="144"/>
      <c r="BE208" s="144"/>
      <c r="BF208" s="144"/>
      <c r="BG208" s="144"/>
      <c r="BH208" s="144"/>
      <c r="BI208" s="144"/>
      <c r="BJ208" s="144"/>
      <c r="BK208" s="144"/>
      <c r="BL208" s="144"/>
      <c r="BM208" s="144"/>
      <c r="BN208" s="144"/>
    </row>
    <row r="209" outlineLevel="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c r="BA209" s="47"/>
      <c r="BB209" s="47"/>
      <c r="BC209" s="47"/>
      <c r="BD209" s="47"/>
      <c r="BE209" s="47"/>
      <c r="BF209" s="47"/>
      <c r="BG209" s="47"/>
      <c r="BH209" s="47"/>
      <c r="BI209" s="47"/>
      <c r="BJ209" s="47"/>
      <c r="BK209" s="47"/>
      <c r="BL209" s="47"/>
      <c r="BM209" s="47"/>
      <c r="BN209" s="47"/>
    </row>
    <row r="210" outlineLevel="1">
      <c r="A210" s="67"/>
      <c r="B210" s="68" t="s">
        <v>138</v>
      </c>
      <c r="C210" s="118">
        <v>120000.0</v>
      </c>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c r="BJ210" s="67"/>
      <c r="BK210" s="67"/>
      <c r="BL210" s="67"/>
      <c r="BM210" s="67"/>
      <c r="BN210" s="67"/>
    </row>
    <row r="211" outlineLevel="1">
      <c r="A211" s="47"/>
      <c r="B211" s="39" t="s">
        <v>139</v>
      </c>
      <c r="C211" s="123">
        <v>0.09</v>
      </c>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7"/>
      <c r="BG211" s="47"/>
      <c r="BH211" s="47"/>
      <c r="BI211" s="47"/>
      <c r="BJ211" s="47"/>
      <c r="BK211" s="47"/>
      <c r="BL211" s="47"/>
      <c r="BM211" s="47"/>
      <c r="BN211" s="47"/>
    </row>
    <row r="212" outlineLevel="1">
      <c r="A212" s="47"/>
      <c r="B212" s="39"/>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7"/>
      <c r="BG212" s="47"/>
      <c r="BH212" s="47"/>
      <c r="BI212" s="47"/>
      <c r="BJ212" s="47"/>
      <c r="BK212" s="47"/>
      <c r="BL212" s="47"/>
      <c r="BM212" s="47"/>
      <c r="BN212" s="47"/>
    </row>
    <row r="213" outlineLevel="1">
      <c r="A213" s="47"/>
      <c r="B213" s="154" t="s">
        <v>140</v>
      </c>
      <c r="C213" s="155"/>
      <c r="D213" s="155"/>
      <c r="E213" s="155"/>
      <c r="F213" s="155"/>
      <c r="G213" s="155"/>
      <c r="H213" s="155"/>
      <c r="I213" s="155"/>
      <c r="J213" s="155"/>
      <c r="K213" s="155"/>
      <c r="L213" s="155"/>
      <c r="M213" s="155"/>
      <c r="N213" s="155"/>
      <c r="O213" s="155"/>
      <c r="P213" s="155"/>
      <c r="Q213" s="155"/>
      <c r="R213" s="155"/>
      <c r="S213" s="155"/>
      <c r="T213" s="155"/>
      <c r="U213" s="155"/>
      <c r="V213" s="155"/>
      <c r="W213" s="155"/>
      <c r="X213" s="155"/>
      <c r="Y213" s="155"/>
      <c r="Z213" s="155"/>
      <c r="AA213" s="155"/>
      <c r="AB213" s="155"/>
      <c r="AC213" s="155"/>
      <c r="AD213" s="155"/>
      <c r="AE213" s="155"/>
      <c r="AF213" s="155"/>
      <c r="AG213" s="155"/>
      <c r="AH213" s="155"/>
      <c r="AI213" s="155"/>
      <c r="AJ213" s="155"/>
      <c r="AK213" s="155"/>
      <c r="AL213" s="155"/>
      <c r="AM213" s="155"/>
      <c r="AN213" s="155"/>
      <c r="AO213" s="155"/>
      <c r="AP213" s="155"/>
      <c r="AQ213" s="155"/>
      <c r="AR213" s="155"/>
      <c r="AS213" s="155"/>
      <c r="AT213" s="155"/>
      <c r="AU213" s="155"/>
      <c r="AV213" s="155"/>
      <c r="AW213" s="155"/>
      <c r="AX213" s="155"/>
      <c r="AY213" s="155"/>
      <c r="AZ213" s="155"/>
      <c r="BA213" s="155"/>
      <c r="BB213" s="155"/>
      <c r="BC213" s="155"/>
      <c r="BD213" s="155"/>
      <c r="BE213" s="155"/>
      <c r="BF213" s="155"/>
      <c r="BG213" s="155"/>
      <c r="BH213" s="155"/>
      <c r="BI213" s="155"/>
      <c r="BJ213" s="155"/>
      <c r="BK213" s="155"/>
      <c r="BL213" s="155"/>
      <c r="BM213" s="155"/>
      <c r="BN213" s="155"/>
    </row>
    <row r="214" outlineLevel="1">
      <c r="A214" s="47"/>
      <c r="B214" s="156" t="s">
        <v>141</v>
      </c>
      <c r="C214" s="39" t="s">
        <v>142</v>
      </c>
      <c r="D214" s="39" t="s">
        <v>143</v>
      </c>
      <c r="E214" s="15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row>
    <row r="215" outlineLevel="1">
      <c r="A215" s="47"/>
      <c r="B215" s="124" t="s">
        <v>144</v>
      </c>
      <c r="C215" s="69">
        <v>0.0</v>
      </c>
      <c r="D215" s="158">
        <v>44562.0</v>
      </c>
      <c r="E215" s="159"/>
      <c r="F215" s="114"/>
      <c r="G215" s="114">
        <f t="shared" ref="G215:BN215" si="143">IF(AND(Month(G$4)=Month($D215),Year(G$4)=Year($D215)),$C215,0)</f>
        <v>0</v>
      </c>
      <c r="H215" s="114">
        <f t="shared" si="143"/>
        <v>0</v>
      </c>
      <c r="I215" s="114">
        <f t="shared" si="143"/>
        <v>0</v>
      </c>
      <c r="J215" s="114">
        <f t="shared" si="143"/>
        <v>0</v>
      </c>
      <c r="K215" s="114">
        <f t="shared" si="143"/>
        <v>0</v>
      </c>
      <c r="L215" s="114">
        <f t="shared" si="143"/>
        <v>0</v>
      </c>
      <c r="M215" s="114">
        <f t="shared" si="143"/>
        <v>0</v>
      </c>
      <c r="N215" s="114">
        <f t="shared" si="143"/>
        <v>0</v>
      </c>
      <c r="O215" s="114">
        <f t="shared" si="143"/>
        <v>0</v>
      </c>
      <c r="P215" s="114">
        <f t="shared" si="143"/>
        <v>0</v>
      </c>
      <c r="Q215" s="114">
        <f t="shared" si="143"/>
        <v>0</v>
      </c>
      <c r="R215" s="114">
        <f t="shared" si="143"/>
        <v>0</v>
      </c>
      <c r="S215" s="114">
        <f t="shared" si="143"/>
        <v>0</v>
      </c>
      <c r="T215" s="114">
        <f t="shared" si="143"/>
        <v>0</v>
      </c>
      <c r="U215" s="114">
        <f t="shared" si="143"/>
        <v>0</v>
      </c>
      <c r="V215" s="114">
        <f t="shared" si="143"/>
        <v>0</v>
      </c>
      <c r="W215" s="114">
        <f t="shared" si="143"/>
        <v>0</v>
      </c>
      <c r="X215" s="114">
        <f t="shared" si="143"/>
        <v>0</v>
      </c>
      <c r="Y215" s="114">
        <f t="shared" si="143"/>
        <v>0</v>
      </c>
      <c r="Z215" s="114">
        <f t="shared" si="143"/>
        <v>0</v>
      </c>
      <c r="AA215" s="114">
        <f t="shared" si="143"/>
        <v>0</v>
      </c>
      <c r="AB215" s="114">
        <f t="shared" si="143"/>
        <v>0</v>
      </c>
      <c r="AC215" s="114">
        <f t="shared" si="143"/>
        <v>0</v>
      </c>
      <c r="AD215" s="114">
        <f t="shared" si="143"/>
        <v>0</v>
      </c>
      <c r="AE215" s="114">
        <f t="shared" si="143"/>
        <v>0</v>
      </c>
      <c r="AF215" s="114">
        <f t="shared" si="143"/>
        <v>0</v>
      </c>
      <c r="AG215" s="114">
        <f t="shared" si="143"/>
        <v>0</v>
      </c>
      <c r="AH215" s="114">
        <f t="shared" si="143"/>
        <v>0</v>
      </c>
      <c r="AI215" s="114">
        <f t="shared" si="143"/>
        <v>0</v>
      </c>
      <c r="AJ215" s="114">
        <f t="shared" si="143"/>
        <v>0</v>
      </c>
      <c r="AK215" s="114">
        <f t="shared" si="143"/>
        <v>0</v>
      </c>
      <c r="AL215" s="114">
        <f t="shared" si="143"/>
        <v>0</v>
      </c>
      <c r="AM215" s="114">
        <f t="shared" si="143"/>
        <v>0</v>
      </c>
      <c r="AN215" s="114">
        <f t="shared" si="143"/>
        <v>0</v>
      </c>
      <c r="AO215" s="114">
        <f t="shared" si="143"/>
        <v>0</v>
      </c>
      <c r="AP215" s="114">
        <f t="shared" si="143"/>
        <v>0</v>
      </c>
      <c r="AQ215" s="114">
        <f t="shared" si="143"/>
        <v>0</v>
      </c>
      <c r="AR215" s="114">
        <f t="shared" si="143"/>
        <v>0</v>
      </c>
      <c r="AS215" s="114">
        <f t="shared" si="143"/>
        <v>0</v>
      </c>
      <c r="AT215" s="114">
        <f t="shared" si="143"/>
        <v>0</v>
      </c>
      <c r="AU215" s="114">
        <f t="shared" si="143"/>
        <v>0</v>
      </c>
      <c r="AV215" s="114">
        <f t="shared" si="143"/>
        <v>0</v>
      </c>
      <c r="AW215" s="114">
        <f t="shared" si="143"/>
        <v>0</v>
      </c>
      <c r="AX215" s="114">
        <f t="shared" si="143"/>
        <v>0</v>
      </c>
      <c r="AY215" s="114">
        <f t="shared" si="143"/>
        <v>0</v>
      </c>
      <c r="AZ215" s="114">
        <f t="shared" si="143"/>
        <v>0</v>
      </c>
      <c r="BA215" s="114">
        <f t="shared" si="143"/>
        <v>0</v>
      </c>
      <c r="BB215" s="114">
        <f t="shared" si="143"/>
        <v>0</v>
      </c>
      <c r="BC215" s="114">
        <f t="shared" si="143"/>
        <v>0</v>
      </c>
      <c r="BD215" s="114">
        <f t="shared" si="143"/>
        <v>0</v>
      </c>
      <c r="BE215" s="114">
        <f t="shared" si="143"/>
        <v>0</v>
      </c>
      <c r="BF215" s="114">
        <f t="shared" si="143"/>
        <v>0</v>
      </c>
      <c r="BG215" s="114">
        <f t="shared" si="143"/>
        <v>0</v>
      </c>
      <c r="BH215" s="114">
        <f t="shared" si="143"/>
        <v>0</v>
      </c>
      <c r="BI215" s="114">
        <f t="shared" si="143"/>
        <v>0</v>
      </c>
      <c r="BJ215" s="114">
        <f t="shared" si="143"/>
        <v>0</v>
      </c>
      <c r="BK215" s="114">
        <f t="shared" si="143"/>
        <v>0</v>
      </c>
      <c r="BL215" s="114">
        <f t="shared" si="143"/>
        <v>0</v>
      </c>
      <c r="BM215" s="114">
        <f t="shared" si="143"/>
        <v>0</v>
      </c>
      <c r="BN215" s="114">
        <f t="shared" si="143"/>
        <v>0</v>
      </c>
    </row>
    <row r="216" outlineLevel="1">
      <c r="A216" s="47"/>
      <c r="B216" s="124" t="s">
        <v>145</v>
      </c>
      <c r="C216" s="69">
        <v>0.0</v>
      </c>
      <c r="D216" s="158"/>
      <c r="E216" s="159"/>
      <c r="F216" s="114"/>
      <c r="G216" s="114">
        <f t="shared" ref="G216:BN216" si="144">IF(AND(Month(G$4)=Month($D216),Year(G$4)=Year($D216)),$C216,0)</f>
        <v>0</v>
      </c>
      <c r="H216" s="114">
        <f t="shared" si="144"/>
        <v>0</v>
      </c>
      <c r="I216" s="114">
        <f t="shared" si="144"/>
        <v>0</v>
      </c>
      <c r="J216" s="114">
        <f t="shared" si="144"/>
        <v>0</v>
      </c>
      <c r="K216" s="114">
        <f t="shared" si="144"/>
        <v>0</v>
      </c>
      <c r="L216" s="114">
        <f t="shared" si="144"/>
        <v>0</v>
      </c>
      <c r="M216" s="114">
        <f t="shared" si="144"/>
        <v>0</v>
      </c>
      <c r="N216" s="114">
        <f t="shared" si="144"/>
        <v>0</v>
      </c>
      <c r="O216" s="114">
        <f t="shared" si="144"/>
        <v>0</v>
      </c>
      <c r="P216" s="114">
        <f t="shared" si="144"/>
        <v>0</v>
      </c>
      <c r="Q216" s="114">
        <f t="shared" si="144"/>
        <v>0</v>
      </c>
      <c r="R216" s="114">
        <f t="shared" si="144"/>
        <v>0</v>
      </c>
      <c r="S216" s="114">
        <f t="shared" si="144"/>
        <v>0</v>
      </c>
      <c r="T216" s="114">
        <f t="shared" si="144"/>
        <v>0</v>
      </c>
      <c r="U216" s="114">
        <f t="shared" si="144"/>
        <v>0</v>
      </c>
      <c r="V216" s="114">
        <f t="shared" si="144"/>
        <v>0</v>
      </c>
      <c r="W216" s="114">
        <f t="shared" si="144"/>
        <v>0</v>
      </c>
      <c r="X216" s="114">
        <f t="shared" si="144"/>
        <v>0</v>
      </c>
      <c r="Y216" s="114">
        <f t="shared" si="144"/>
        <v>0</v>
      </c>
      <c r="Z216" s="114">
        <f t="shared" si="144"/>
        <v>0</v>
      </c>
      <c r="AA216" s="114">
        <f t="shared" si="144"/>
        <v>0</v>
      </c>
      <c r="AB216" s="114">
        <f t="shared" si="144"/>
        <v>0</v>
      </c>
      <c r="AC216" s="114">
        <f t="shared" si="144"/>
        <v>0</v>
      </c>
      <c r="AD216" s="114">
        <f t="shared" si="144"/>
        <v>0</v>
      </c>
      <c r="AE216" s="114">
        <f t="shared" si="144"/>
        <v>0</v>
      </c>
      <c r="AF216" s="114">
        <f t="shared" si="144"/>
        <v>0</v>
      </c>
      <c r="AG216" s="114">
        <f t="shared" si="144"/>
        <v>0</v>
      </c>
      <c r="AH216" s="114">
        <f t="shared" si="144"/>
        <v>0</v>
      </c>
      <c r="AI216" s="114">
        <f t="shared" si="144"/>
        <v>0</v>
      </c>
      <c r="AJ216" s="114">
        <f t="shared" si="144"/>
        <v>0</v>
      </c>
      <c r="AK216" s="114">
        <f t="shared" si="144"/>
        <v>0</v>
      </c>
      <c r="AL216" s="114">
        <f t="shared" si="144"/>
        <v>0</v>
      </c>
      <c r="AM216" s="114">
        <f t="shared" si="144"/>
        <v>0</v>
      </c>
      <c r="AN216" s="114">
        <f t="shared" si="144"/>
        <v>0</v>
      </c>
      <c r="AO216" s="114">
        <f t="shared" si="144"/>
        <v>0</v>
      </c>
      <c r="AP216" s="114">
        <f t="shared" si="144"/>
        <v>0</v>
      </c>
      <c r="AQ216" s="114">
        <f t="shared" si="144"/>
        <v>0</v>
      </c>
      <c r="AR216" s="114">
        <f t="shared" si="144"/>
        <v>0</v>
      </c>
      <c r="AS216" s="114">
        <f t="shared" si="144"/>
        <v>0</v>
      </c>
      <c r="AT216" s="114">
        <f t="shared" si="144"/>
        <v>0</v>
      </c>
      <c r="AU216" s="114">
        <f t="shared" si="144"/>
        <v>0</v>
      </c>
      <c r="AV216" s="114">
        <f t="shared" si="144"/>
        <v>0</v>
      </c>
      <c r="AW216" s="114">
        <f t="shared" si="144"/>
        <v>0</v>
      </c>
      <c r="AX216" s="114">
        <f t="shared" si="144"/>
        <v>0</v>
      </c>
      <c r="AY216" s="114">
        <f t="shared" si="144"/>
        <v>0</v>
      </c>
      <c r="AZ216" s="114">
        <f t="shared" si="144"/>
        <v>0</v>
      </c>
      <c r="BA216" s="114">
        <f t="shared" si="144"/>
        <v>0</v>
      </c>
      <c r="BB216" s="114">
        <f t="shared" si="144"/>
        <v>0</v>
      </c>
      <c r="BC216" s="114">
        <f t="shared" si="144"/>
        <v>0</v>
      </c>
      <c r="BD216" s="114">
        <f t="shared" si="144"/>
        <v>0</v>
      </c>
      <c r="BE216" s="114">
        <f t="shared" si="144"/>
        <v>0</v>
      </c>
      <c r="BF216" s="114">
        <f t="shared" si="144"/>
        <v>0</v>
      </c>
      <c r="BG216" s="114">
        <f t="shared" si="144"/>
        <v>0</v>
      </c>
      <c r="BH216" s="114">
        <f t="shared" si="144"/>
        <v>0</v>
      </c>
      <c r="BI216" s="114">
        <f t="shared" si="144"/>
        <v>0</v>
      </c>
      <c r="BJ216" s="114">
        <f t="shared" si="144"/>
        <v>0</v>
      </c>
      <c r="BK216" s="114">
        <f t="shared" si="144"/>
        <v>0</v>
      </c>
      <c r="BL216" s="114">
        <f t="shared" si="144"/>
        <v>0</v>
      </c>
      <c r="BM216" s="114">
        <f t="shared" si="144"/>
        <v>0</v>
      </c>
      <c r="BN216" s="114">
        <f t="shared" si="144"/>
        <v>0</v>
      </c>
    </row>
    <row r="217" outlineLevel="1">
      <c r="A217" s="47"/>
      <c r="B217" s="124" t="s">
        <v>146</v>
      </c>
      <c r="C217" s="69">
        <v>0.0</v>
      </c>
      <c r="D217" s="158"/>
      <c r="E217" s="159"/>
      <c r="F217" s="114"/>
      <c r="G217" s="114">
        <f t="shared" ref="G217:BN217" si="145">IF(AND(Month(G$4)=Month($D217),Year(G$4)=Year($D217)),$C217,0)</f>
        <v>0</v>
      </c>
      <c r="H217" s="114">
        <f t="shared" si="145"/>
        <v>0</v>
      </c>
      <c r="I217" s="114">
        <f t="shared" si="145"/>
        <v>0</v>
      </c>
      <c r="J217" s="114">
        <f t="shared" si="145"/>
        <v>0</v>
      </c>
      <c r="K217" s="114">
        <f t="shared" si="145"/>
        <v>0</v>
      </c>
      <c r="L217" s="114">
        <f t="shared" si="145"/>
        <v>0</v>
      </c>
      <c r="M217" s="114">
        <f t="shared" si="145"/>
        <v>0</v>
      </c>
      <c r="N217" s="114">
        <f t="shared" si="145"/>
        <v>0</v>
      </c>
      <c r="O217" s="114">
        <f t="shared" si="145"/>
        <v>0</v>
      </c>
      <c r="P217" s="114">
        <f t="shared" si="145"/>
        <v>0</v>
      </c>
      <c r="Q217" s="114">
        <f t="shared" si="145"/>
        <v>0</v>
      </c>
      <c r="R217" s="114">
        <f t="shared" si="145"/>
        <v>0</v>
      </c>
      <c r="S217" s="114">
        <f t="shared" si="145"/>
        <v>0</v>
      </c>
      <c r="T217" s="114">
        <f t="shared" si="145"/>
        <v>0</v>
      </c>
      <c r="U217" s="114">
        <f t="shared" si="145"/>
        <v>0</v>
      </c>
      <c r="V217" s="114">
        <f t="shared" si="145"/>
        <v>0</v>
      </c>
      <c r="W217" s="114">
        <f t="shared" si="145"/>
        <v>0</v>
      </c>
      <c r="X217" s="114">
        <f t="shared" si="145"/>
        <v>0</v>
      </c>
      <c r="Y217" s="114">
        <f t="shared" si="145"/>
        <v>0</v>
      </c>
      <c r="Z217" s="114">
        <f t="shared" si="145"/>
        <v>0</v>
      </c>
      <c r="AA217" s="114">
        <f t="shared" si="145"/>
        <v>0</v>
      </c>
      <c r="AB217" s="114">
        <f t="shared" si="145"/>
        <v>0</v>
      </c>
      <c r="AC217" s="114">
        <f t="shared" si="145"/>
        <v>0</v>
      </c>
      <c r="AD217" s="114">
        <f t="shared" si="145"/>
        <v>0</v>
      </c>
      <c r="AE217" s="114">
        <f t="shared" si="145"/>
        <v>0</v>
      </c>
      <c r="AF217" s="114">
        <f t="shared" si="145"/>
        <v>0</v>
      </c>
      <c r="AG217" s="114">
        <f t="shared" si="145"/>
        <v>0</v>
      </c>
      <c r="AH217" s="114">
        <f t="shared" si="145"/>
        <v>0</v>
      </c>
      <c r="AI217" s="114">
        <f t="shared" si="145"/>
        <v>0</v>
      </c>
      <c r="AJ217" s="114">
        <f t="shared" si="145"/>
        <v>0</v>
      </c>
      <c r="AK217" s="114">
        <f t="shared" si="145"/>
        <v>0</v>
      </c>
      <c r="AL217" s="114">
        <f t="shared" si="145"/>
        <v>0</v>
      </c>
      <c r="AM217" s="114">
        <f t="shared" si="145"/>
        <v>0</v>
      </c>
      <c r="AN217" s="114">
        <f t="shared" si="145"/>
        <v>0</v>
      </c>
      <c r="AO217" s="114">
        <f t="shared" si="145"/>
        <v>0</v>
      </c>
      <c r="AP217" s="114">
        <f t="shared" si="145"/>
        <v>0</v>
      </c>
      <c r="AQ217" s="114">
        <f t="shared" si="145"/>
        <v>0</v>
      </c>
      <c r="AR217" s="114">
        <f t="shared" si="145"/>
        <v>0</v>
      </c>
      <c r="AS217" s="114">
        <f t="shared" si="145"/>
        <v>0</v>
      </c>
      <c r="AT217" s="114">
        <f t="shared" si="145"/>
        <v>0</v>
      </c>
      <c r="AU217" s="114">
        <f t="shared" si="145"/>
        <v>0</v>
      </c>
      <c r="AV217" s="114">
        <f t="shared" si="145"/>
        <v>0</v>
      </c>
      <c r="AW217" s="114">
        <f t="shared" si="145"/>
        <v>0</v>
      </c>
      <c r="AX217" s="114">
        <f t="shared" si="145"/>
        <v>0</v>
      </c>
      <c r="AY217" s="114">
        <f t="shared" si="145"/>
        <v>0</v>
      </c>
      <c r="AZ217" s="114">
        <f t="shared" si="145"/>
        <v>0</v>
      </c>
      <c r="BA217" s="114">
        <f t="shared" si="145"/>
        <v>0</v>
      </c>
      <c r="BB217" s="114">
        <f t="shared" si="145"/>
        <v>0</v>
      </c>
      <c r="BC217" s="114">
        <f t="shared" si="145"/>
        <v>0</v>
      </c>
      <c r="BD217" s="114">
        <f t="shared" si="145"/>
        <v>0</v>
      </c>
      <c r="BE217" s="114">
        <f t="shared" si="145"/>
        <v>0</v>
      </c>
      <c r="BF217" s="114">
        <f t="shared" si="145"/>
        <v>0</v>
      </c>
      <c r="BG217" s="114">
        <f t="shared" si="145"/>
        <v>0</v>
      </c>
      <c r="BH217" s="114">
        <f t="shared" si="145"/>
        <v>0</v>
      </c>
      <c r="BI217" s="114">
        <f t="shared" si="145"/>
        <v>0</v>
      </c>
      <c r="BJ217" s="114">
        <f t="shared" si="145"/>
        <v>0</v>
      </c>
      <c r="BK217" s="114">
        <f t="shared" si="145"/>
        <v>0</v>
      </c>
      <c r="BL217" s="114">
        <f t="shared" si="145"/>
        <v>0</v>
      </c>
      <c r="BM217" s="114">
        <f t="shared" si="145"/>
        <v>0</v>
      </c>
      <c r="BN217" s="114">
        <f t="shared" si="145"/>
        <v>0</v>
      </c>
    </row>
    <row r="218" outlineLevel="1">
      <c r="A218" s="47"/>
      <c r="B218" s="124" t="s">
        <v>146</v>
      </c>
      <c r="C218" s="69">
        <v>0.0</v>
      </c>
      <c r="D218" s="158"/>
      <c r="E218" s="159"/>
      <c r="F218" s="114"/>
      <c r="G218" s="114">
        <f t="shared" ref="G218:BN218" si="146">IF(AND(Month(G$4)=Month($D218),Year(G$4)=Year($D218)),$C218,0)</f>
        <v>0</v>
      </c>
      <c r="H218" s="114">
        <f t="shared" si="146"/>
        <v>0</v>
      </c>
      <c r="I218" s="114">
        <f t="shared" si="146"/>
        <v>0</v>
      </c>
      <c r="J218" s="114">
        <f t="shared" si="146"/>
        <v>0</v>
      </c>
      <c r="K218" s="114">
        <f t="shared" si="146"/>
        <v>0</v>
      </c>
      <c r="L218" s="114">
        <f t="shared" si="146"/>
        <v>0</v>
      </c>
      <c r="M218" s="114">
        <f t="shared" si="146"/>
        <v>0</v>
      </c>
      <c r="N218" s="114">
        <f t="shared" si="146"/>
        <v>0</v>
      </c>
      <c r="O218" s="114">
        <f t="shared" si="146"/>
        <v>0</v>
      </c>
      <c r="P218" s="114">
        <f t="shared" si="146"/>
        <v>0</v>
      </c>
      <c r="Q218" s="114">
        <f t="shared" si="146"/>
        <v>0</v>
      </c>
      <c r="R218" s="114">
        <f t="shared" si="146"/>
        <v>0</v>
      </c>
      <c r="S218" s="114">
        <f t="shared" si="146"/>
        <v>0</v>
      </c>
      <c r="T218" s="114">
        <f t="shared" si="146"/>
        <v>0</v>
      </c>
      <c r="U218" s="114">
        <f t="shared" si="146"/>
        <v>0</v>
      </c>
      <c r="V218" s="114">
        <f t="shared" si="146"/>
        <v>0</v>
      </c>
      <c r="W218" s="114">
        <f t="shared" si="146"/>
        <v>0</v>
      </c>
      <c r="X218" s="114">
        <f t="shared" si="146"/>
        <v>0</v>
      </c>
      <c r="Y218" s="114">
        <f t="shared" si="146"/>
        <v>0</v>
      </c>
      <c r="Z218" s="114">
        <f t="shared" si="146"/>
        <v>0</v>
      </c>
      <c r="AA218" s="114">
        <f t="shared" si="146"/>
        <v>0</v>
      </c>
      <c r="AB218" s="114">
        <f t="shared" si="146"/>
        <v>0</v>
      </c>
      <c r="AC218" s="114">
        <f t="shared" si="146"/>
        <v>0</v>
      </c>
      <c r="AD218" s="114">
        <f t="shared" si="146"/>
        <v>0</v>
      </c>
      <c r="AE218" s="114">
        <f t="shared" si="146"/>
        <v>0</v>
      </c>
      <c r="AF218" s="114">
        <f t="shared" si="146"/>
        <v>0</v>
      </c>
      <c r="AG218" s="114">
        <f t="shared" si="146"/>
        <v>0</v>
      </c>
      <c r="AH218" s="114">
        <f t="shared" si="146"/>
        <v>0</v>
      </c>
      <c r="AI218" s="114">
        <f t="shared" si="146"/>
        <v>0</v>
      </c>
      <c r="AJ218" s="114">
        <f t="shared" si="146"/>
        <v>0</v>
      </c>
      <c r="AK218" s="114">
        <f t="shared" si="146"/>
        <v>0</v>
      </c>
      <c r="AL218" s="114">
        <f t="shared" si="146"/>
        <v>0</v>
      </c>
      <c r="AM218" s="114">
        <f t="shared" si="146"/>
        <v>0</v>
      </c>
      <c r="AN218" s="114">
        <f t="shared" si="146"/>
        <v>0</v>
      </c>
      <c r="AO218" s="114">
        <f t="shared" si="146"/>
        <v>0</v>
      </c>
      <c r="AP218" s="114">
        <f t="shared" si="146"/>
        <v>0</v>
      </c>
      <c r="AQ218" s="114">
        <f t="shared" si="146"/>
        <v>0</v>
      </c>
      <c r="AR218" s="114">
        <f t="shared" si="146"/>
        <v>0</v>
      </c>
      <c r="AS218" s="114">
        <f t="shared" si="146"/>
        <v>0</v>
      </c>
      <c r="AT218" s="114">
        <f t="shared" si="146"/>
        <v>0</v>
      </c>
      <c r="AU218" s="114">
        <f t="shared" si="146"/>
        <v>0</v>
      </c>
      <c r="AV218" s="114">
        <f t="shared" si="146"/>
        <v>0</v>
      </c>
      <c r="AW218" s="114">
        <f t="shared" si="146"/>
        <v>0</v>
      </c>
      <c r="AX218" s="114">
        <f t="shared" si="146"/>
        <v>0</v>
      </c>
      <c r="AY218" s="114">
        <f t="shared" si="146"/>
        <v>0</v>
      </c>
      <c r="AZ218" s="114">
        <f t="shared" si="146"/>
        <v>0</v>
      </c>
      <c r="BA218" s="114">
        <f t="shared" si="146"/>
        <v>0</v>
      </c>
      <c r="BB218" s="114">
        <f t="shared" si="146"/>
        <v>0</v>
      </c>
      <c r="BC218" s="114">
        <f t="shared" si="146"/>
        <v>0</v>
      </c>
      <c r="BD218" s="114">
        <f t="shared" si="146"/>
        <v>0</v>
      </c>
      <c r="BE218" s="114">
        <f t="shared" si="146"/>
        <v>0</v>
      </c>
      <c r="BF218" s="114">
        <f t="shared" si="146"/>
        <v>0</v>
      </c>
      <c r="BG218" s="114">
        <f t="shared" si="146"/>
        <v>0</v>
      </c>
      <c r="BH218" s="114">
        <f t="shared" si="146"/>
        <v>0</v>
      </c>
      <c r="BI218" s="114">
        <f t="shared" si="146"/>
        <v>0</v>
      </c>
      <c r="BJ218" s="114">
        <f t="shared" si="146"/>
        <v>0</v>
      </c>
      <c r="BK218" s="114">
        <f t="shared" si="146"/>
        <v>0</v>
      </c>
      <c r="BL218" s="114">
        <f t="shared" si="146"/>
        <v>0</v>
      </c>
      <c r="BM218" s="114">
        <f t="shared" si="146"/>
        <v>0</v>
      </c>
      <c r="BN218" s="114">
        <f t="shared" si="146"/>
        <v>0</v>
      </c>
    </row>
    <row r="219" outlineLevel="1">
      <c r="A219" s="47"/>
      <c r="B219" s="141"/>
      <c r="C219" s="47"/>
      <c r="D219" s="47"/>
      <c r="E219" s="67"/>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c r="BC219" s="114"/>
      <c r="BD219" s="114"/>
      <c r="BE219" s="114"/>
      <c r="BF219" s="114"/>
      <c r="BG219" s="114"/>
      <c r="BH219" s="114"/>
      <c r="BI219" s="114"/>
      <c r="BJ219" s="114"/>
      <c r="BK219" s="114"/>
      <c r="BL219" s="114"/>
      <c r="BM219" s="114"/>
      <c r="BN219" s="114"/>
    </row>
    <row r="220" outlineLevel="1">
      <c r="A220" s="47"/>
      <c r="B220" s="138" t="s">
        <v>140</v>
      </c>
      <c r="C220" s="86"/>
      <c r="D220" s="86"/>
      <c r="E220" s="160"/>
      <c r="F220" s="148"/>
      <c r="G220" s="148">
        <f>SUM(G215:G218)</f>
        <v>0</v>
      </c>
      <c r="H220" s="148">
        <f t="shared" ref="H220:BN220" si="147">G220+sum(H215:H218)</f>
        <v>0</v>
      </c>
      <c r="I220" s="148">
        <f t="shared" si="147"/>
        <v>0</v>
      </c>
      <c r="J220" s="148">
        <f t="shared" si="147"/>
        <v>0</v>
      </c>
      <c r="K220" s="148">
        <f t="shared" si="147"/>
        <v>0</v>
      </c>
      <c r="L220" s="148">
        <f t="shared" si="147"/>
        <v>0</v>
      </c>
      <c r="M220" s="148">
        <f t="shared" si="147"/>
        <v>0</v>
      </c>
      <c r="N220" s="148">
        <f t="shared" si="147"/>
        <v>0</v>
      </c>
      <c r="O220" s="148">
        <f t="shared" si="147"/>
        <v>0</v>
      </c>
      <c r="P220" s="148">
        <f t="shared" si="147"/>
        <v>0</v>
      </c>
      <c r="Q220" s="148">
        <f t="shared" si="147"/>
        <v>0</v>
      </c>
      <c r="R220" s="148">
        <f t="shared" si="147"/>
        <v>0</v>
      </c>
      <c r="S220" s="148">
        <f t="shared" si="147"/>
        <v>0</v>
      </c>
      <c r="T220" s="148">
        <f t="shared" si="147"/>
        <v>0</v>
      </c>
      <c r="U220" s="148">
        <f t="shared" si="147"/>
        <v>0</v>
      </c>
      <c r="V220" s="148">
        <f t="shared" si="147"/>
        <v>0</v>
      </c>
      <c r="W220" s="148">
        <f t="shared" si="147"/>
        <v>0</v>
      </c>
      <c r="X220" s="148">
        <f t="shared" si="147"/>
        <v>0</v>
      </c>
      <c r="Y220" s="148">
        <f t="shared" si="147"/>
        <v>0</v>
      </c>
      <c r="Z220" s="148">
        <f t="shared" si="147"/>
        <v>0</v>
      </c>
      <c r="AA220" s="148">
        <f t="shared" si="147"/>
        <v>0</v>
      </c>
      <c r="AB220" s="148">
        <f t="shared" si="147"/>
        <v>0</v>
      </c>
      <c r="AC220" s="148">
        <f t="shared" si="147"/>
        <v>0</v>
      </c>
      <c r="AD220" s="148">
        <f t="shared" si="147"/>
        <v>0</v>
      </c>
      <c r="AE220" s="148">
        <f t="shared" si="147"/>
        <v>0</v>
      </c>
      <c r="AF220" s="148">
        <f t="shared" si="147"/>
        <v>0</v>
      </c>
      <c r="AG220" s="148">
        <f t="shared" si="147"/>
        <v>0</v>
      </c>
      <c r="AH220" s="148">
        <f t="shared" si="147"/>
        <v>0</v>
      </c>
      <c r="AI220" s="148">
        <f t="shared" si="147"/>
        <v>0</v>
      </c>
      <c r="AJ220" s="148">
        <f t="shared" si="147"/>
        <v>0</v>
      </c>
      <c r="AK220" s="148">
        <f t="shared" si="147"/>
        <v>0</v>
      </c>
      <c r="AL220" s="148">
        <f t="shared" si="147"/>
        <v>0</v>
      </c>
      <c r="AM220" s="148">
        <f t="shared" si="147"/>
        <v>0</v>
      </c>
      <c r="AN220" s="148">
        <f t="shared" si="147"/>
        <v>0</v>
      </c>
      <c r="AO220" s="148">
        <f t="shared" si="147"/>
        <v>0</v>
      </c>
      <c r="AP220" s="148">
        <f t="shared" si="147"/>
        <v>0</v>
      </c>
      <c r="AQ220" s="148">
        <f t="shared" si="147"/>
        <v>0</v>
      </c>
      <c r="AR220" s="148">
        <f t="shared" si="147"/>
        <v>0</v>
      </c>
      <c r="AS220" s="148">
        <f t="shared" si="147"/>
        <v>0</v>
      </c>
      <c r="AT220" s="148">
        <f t="shared" si="147"/>
        <v>0</v>
      </c>
      <c r="AU220" s="148">
        <f t="shared" si="147"/>
        <v>0</v>
      </c>
      <c r="AV220" s="148">
        <f t="shared" si="147"/>
        <v>0</v>
      </c>
      <c r="AW220" s="148">
        <f t="shared" si="147"/>
        <v>0</v>
      </c>
      <c r="AX220" s="148">
        <f t="shared" si="147"/>
        <v>0</v>
      </c>
      <c r="AY220" s="148">
        <f t="shared" si="147"/>
        <v>0</v>
      </c>
      <c r="AZ220" s="148">
        <f t="shared" si="147"/>
        <v>0</v>
      </c>
      <c r="BA220" s="148">
        <f t="shared" si="147"/>
        <v>0</v>
      </c>
      <c r="BB220" s="148">
        <f t="shared" si="147"/>
        <v>0</v>
      </c>
      <c r="BC220" s="148">
        <f t="shared" si="147"/>
        <v>0</v>
      </c>
      <c r="BD220" s="148">
        <f t="shared" si="147"/>
        <v>0</v>
      </c>
      <c r="BE220" s="148">
        <f t="shared" si="147"/>
        <v>0</v>
      </c>
      <c r="BF220" s="148">
        <f t="shared" si="147"/>
        <v>0</v>
      </c>
      <c r="BG220" s="148">
        <f t="shared" si="147"/>
        <v>0</v>
      </c>
      <c r="BH220" s="148">
        <f t="shared" si="147"/>
        <v>0</v>
      </c>
      <c r="BI220" s="148">
        <f t="shared" si="147"/>
        <v>0</v>
      </c>
      <c r="BJ220" s="148">
        <f t="shared" si="147"/>
        <v>0</v>
      </c>
      <c r="BK220" s="148">
        <f t="shared" si="147"/>
        <v>0</v>
      </c>
      <c r="BL220" s="148">
        <f t="shared" si="147"/>
        <v>0</v>
      </c>
      <c r="BM220" s="148">
        <f t="shared" si="147"/>
        <v>0</v>
      </c>
      <c r="BN220" s="148">
        <f t="shared" si="147"/>
        <v>0</v>
      </c>
    </row>
    <row r="221">
      <c r="A221" s="47"/>
      <c r="B221" s="47"/>
      <c r="C221" s="47"/>
      <c r="D221" s="47"/>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row>
    <row r="222">
      <c r="A222" s="47"/>
      <c r="B222" s="47"/>
      <c r="C222" s="47"/>
      <c r="D222" s="47"/>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row>
    <row r="223">
      <c r="A223" s="47"/>
      <c r="B223" s="47"/>
      <c r="C223" s="47"/>
      <c r="D223" s="47"/>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row>
    <row r="224">
      <c r="A224" s="47"/>
      <c r="B224" s="47"/>
      <c r="C224" s="47"/>
      <c r="D224" s="47"/>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row>
    <row r="225">
      <c r="A225" s="47"/>
      <c r="B225" s="47"/>
      <c r="C225" s="47"/>
      <c r="D225" s="47"/>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3"/>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3"/>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3"/>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3"/>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3"/>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3"/>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3"/>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3"/>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3"/>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47"/>
      <c r="C1014" s="47"/>
      <c r="D1014" s="47"/>
      <c r="E1014" s="43"/>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3"/>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3"/>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3"/>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row r="1018">
      <c r="A1018" s="47"/>
      <c r="B1018" s="47"/>
      <c r="C1018" s="47"/>
      <c r="D1018" s="47"/>
      <c r="E1018" s="43"/>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row>
    <row r="1019">
      <c r="A1019" s="47"/>
      <c r="B1019" s="47"/>
      <c r="C1019" s="47"/>
      <c r="D1019" s="47"/>
      <c r="E1019" s="43"/>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row>
    <row r="1020">
      <c r="A1020" s="47"/>
      <c r="B1020" s="47"/>
      <c r="C1020" s="47"/>
      <c r="D1020" s="47"/>
      <c r="E1020" s="43"/>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row>
    <row r="1021">
      <c r="A1021" s="47"/>
      <c r="B1021" s="47"/>
      <c r="C1021" s="47"/>
      <c r="D1021" s="47"/>
      <c r="E1021" s="43"/>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row>
    <row r="1022">
      <c r="A1022" s="47"/>
      <c r="B1022" s="47"/>
      <c r="C1022" s="47"/>
      <c r="D1022" s="47"/>
      <c r="E1022" s="43"/>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row>
    <row r="1023">
      <c r="A1023" s="47"/>
      <c r="B1023" s="47"/>
      <c r="C1023" s="47"/>
      <c r="D1023" s="47"/>
      <c r="E1023" s="43"/>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row>
    <row r="1024">
      <c r="A1024" s="47"/>
      <c r="B1024" s="47"/>
      <c r="C1024" s="47"/>
      <c r="D1024" s="47"/>
      <c r="E1024" s="43"/>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row>
    <row r="1025">
      <c r="A1025" s="47"/>
      <c r="B1025" s="47"/>
      <c r="C1025" s="47"/>
      <c r="D1025" s="47"/>
      <c r="E1025" s="43"/>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row>
    <row r="1026">
      <c r="A1026" s="47"/>
      <c r="B1026" s="47"/>
      <c r="C1026" s="47"/>
      <c r="D1026" s="47"/>
      <c r="E1026" s="43"/>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row>
    <row r="1027">
      <c r="A1027" s="47"/>
      <c r="B1027" s="47"/>
      <c r="C1027" s="47"/>
      <c r="D1027" s="47"/>
      <c r="E1027" s="43"/>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row>
    <row r="1028">
      <c r="A1028" s="47"/>
      <c r="B1028" s="47"/>
      <c r="C1028" s="47"/>
      <c r="D1028" s="47"/>
      <c r="E1028" s="43"/>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row>
    <row r="1029">
      <c r="A1029" s="47"/>
      <c r="B1029" s="47"/>
      <c r="C1029" s="47"/>
      <c r="D1029" s="47"/>
      <c r="E1029" s="43"/>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row>
    <row r="1030">
      <c r="A1030" s="47"/>
      <c r="B1030" s="47"/>
      <c r="C1030" s="47"/>
      <c r="D1030" s="47"/>
      <c r="E1030" s="43"/>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row>
    <row r="1031">
      <c r="A1031" s="47"/>
      <c r="B1031" s="47"/>
      <c r="C1031" s="47"/>
      <c r="D1031" s="47"/>
      <c r="E1031" s="43"/>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row>
    <row r="1032">
      <c r="A1032" s="47"/>
      <c r="B1032" s="47"/>
      <c r="C1032" s="47"/>
      <c r="D1032" s="47"/>
      <c r="E1032" s="43"/>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row>
    <row r="1033">
      <c r="A1033" s="47"/>
      <c r="B1033" s="47"/>
      <c r="C1033" s="47"/>
      <c r="D1033" s="47"/>
      <c r="E1033" s="43"/>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row>
    <row r="1034">
      <c r="A1034" s="47"/>
      <c r="B1034" s="47"/>
      <c r="C1034" s="47"/>
      <c r="D1034" s="47"/>
      <c r="E1034" s="43"/>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row>
    <row r="1035">
      <c r="A1035" s="47"/>
      <c r="B1035" s="47"/>
      <c r="C1035" s="47"/>
      <c r="D1035" s="47"/>
      <c r="E1035" s="43"/>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row>
    <row r="1036">
      <c r="A1036" s="47"/>
      <c r="B1036" s="47"/>
      <c r="C1036" s="47"/>
      <c r="D1036" s="47"/>
      <c r="E1036" s="43"/>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row>
    <row r="1037">
      <c r="A1037" s="47"/>
      <c r="B1037" s="47"/>
      <c r="C1037" s="47"/>
      <c r="D1037" s="47"/>
      <c r="E1037" s="43"/>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row>
    <row r="1038">
      <c r="A1038" s="47"/>
      <c r="B1038" s="47"/>
      <c r="C1038" s="47"/>
      <c r="D1038" s="47"/>
      <c r="E1038" s="43"/>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row>
    <row r="1039">
      <c r="A1039" s="47"/>
      <c r="B1039" s="47"/>
      <c r="C1039" s="47"/>
      <c r="D1039" s="47"/>
      <c r="E1039" s="43"/>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row>
    <row r="1040">
      <c r="A1040" s="47"/>
      <c r="B1040" s="47"/>
      <c r="C1040" s="47"/>
      <c r="D1040" s="47"/>
      <c r="E1040" s="43"/>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row>
    <row r="1041">
      <c r="A1041" s="47"/>
      <c r="B1041" s="47"/>
      <c r="C1041" s="47"/>
      <c r="D1041" s="47"/>
      <c r="E1041" s="43"/>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row>
    <row r="1042">
      <c r="A1042" s="47"/>
      <c r="B1042" s="47"/>
      <c r="C1042" s="47"/>
      <c r="D1042" s="47"/>
      <c r="E1042" s="43"/>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row>
    <row r="1043">
      <c r="A1043" s="47"/>
      <c r="B1043" s="47"/>
      <c r="C1043" s="47"/>
      <c r="D1043" s="47"/>
      <c r="E1043" s="43"/>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row>
    <row r="1044">
      <c r="A1044" s="47"/>
      <c r="B1044" s="47"/>
      <c r="C1044" s="47"/>
      <c r="D1044" s="47"/>
      <c r="E1044" s="43"/>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row>
    <row r="1045">
      <c r="A1045" s="47"/>
      <c r="B1045" s="47"/>
      <c r="C1045" s="47"/>
      <c r="D1045" s="47"/>
      <c r="E1045" s="43"/>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row>
    <row r="1046">
      <c r="A1046" s="47"/>
      <c r="B1046" s="47"/>
      <c r="C1046" s="47"/>
      <c r="D1046" s="47"/>
      <c r="E1046" s="43"/>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row>
    <row r="1047">
      <c r="A1047" s="47"/>
      <c r="B1047" s="47"/>
      <c r="C1047" s="47"/>
      <c r="D1047" s="47"/>
      <c r="E1047" s="43"/>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row>
    <row r="1048">
      <c r="A1048" s="47"/>
      <c r="B1048" s="47"/>
      <c r="C1048" s="47"/>
      <c r="D1048" s="47"/>
      <c r="E1048" s="43"/>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row>
    <row r="1049">
      <c r="A1049" s="47"/>
      <c r="B1049" s="47"/>
      <c r="C1049" s="47"/>
      <c r="D1049" s="47"/>
      <c r="E1049" s="43"/>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row>
    <row r="1050">
      <c r="A1050" s="47"/>
      <c r="B1050" s="47"/>
      <c r="C1050" s="47"/>
      <c r="D1050" s="47"/>
      <c r="E1050" s="43"/>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row>
    <row r="1051">
      <c r="A1051" s="47"/>
      <c r="B1051" s="47"/>
      <c r="C1051" s="47"/>
      <c r="D1051" s="47"/>
      <c r="E1051" s="43"/>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row>
    <row r="1052">
      <c r="A1052" s="47"/>
      <c r="B1052" s="47"/>
      <c r="C1052" s="47"/>
      <c r="D1052" s="47"/>
      <c r="E1052" s="43"/>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row>
    <row r="1053">
      <c r="A1053" s="47"/>
      <c r="B1053" s="47"/>
      <c r="C1053" s="47"/>
      <c r="D1053" s="47"/>
      <c r="E1053" s="43"/>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row>
    <row r="1054">
      <c r="A1054" s="47"/>
      <c r="B1054" s="47"/>
      <c r="C1054" s="47"/>
      <c r="D1054" s="47"/>
      <c r="E1054" s="43"/>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row>
    <row r="1055">
      <c r="A1055" s="47"/>
      <c r="B1055" s="47"/>
      <c r="C1055" s="47"/>
      <c r="D1055" s="47"/>
      <c r="E1055" s="43"/>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row>
    <row r="1056">
      <c r="A1056" s="47"/>
      <c r="B1056" s="47"/>
      <c r="C1056" s="47"/>
      <c r="D1056" s="47"/>
      <c r="E1056" s="43"/>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row>
    <row r="1057">
      <c r="A1057" s="47"/>
      <c r="B1057" s="47"/>
      <c r="C1057" s="47"/>
      <c r="D1057" s="47"/>
      <c r="E1057" s="43"/>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row>
    <row r="1058">
      <c r="A1058" s="47"/>
      <c r="B1058" s="47"/>
      <c r="C1058" s="47"/>
      <c r="D1058" s="47"/>
      <c r="E1058" s="43"/>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row>
    <row r="1059">
      <c r="A1059" s="47"/>
      <c r="B1059" s="47"/>
      <c r="C1059" s="47"/>
      <c r="D1059" s="47"/>
      <c r="E1059" s="43"/>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row>
    <row r="1060">
      <c r="A1060" s="47"/>
      <c r="B1060" s="47"/>
      <c r="C1060" s="47"/>
      <c r="D1060" s="47"/>
      <c r="E1060" s="43"/>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row>
    <row r="1061">
      <c r="A1061" s="47"/>
      <c r="B1061" s="47"/>
      <c r="C1061" s="47"/>
      <c r="D1061" s="47"/>
      <c r="E1061" s="43"/>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row>
    <row r="1062">
      <c r="A1062" s="47"/>
      <c r="B1062" s="47"/>
      <c r="C1062" s="47"/>
      <c r="D1062" s="47"/>
      <c r="E1062" s="43"/>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row>
    <row r="1063">
      <c r="A1063" s="47"/>
      <c r="B1063" s="47"/>
      <c r="C1063" s="47"/>
      <c r="D1063" s="47"/>
      <c r="E1063" s="43"/>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row>
    <row r="1064">
      <c r="A1064" s="47"/>
      <c r="B1064" s="47"/>
      <c r="C1064" s="47"/>
      <c r="D1064" s="47"/>
      <c r="E1064" s="43"/>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row>
    <row r="1065">
      <c r="A1065" s="47"/>
      <c r="B1065" s="47"/>
      <c r="C1065" s="47"/>
      <c r="D1065" s="47"/>
      <c r="E1065" s="43"/>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row>
    <row r="1066">
      <c r="A1066" s="47"/>
      <c r="B1066" s="47"/>
      <c r="C1066" s="47"/>
      <c r="D1066" s="47"/>
      <c r="E1066" s="43"/>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row>
    <row r="1067">
      <c r="A1067" s="47"/>
      <c r="B1067" s="47"/>
      <c r="C1067" s="47"/>
      <c r="D1067" s="47"/>
      <c r="E1067" s="43"/>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row>
    <row r="1068">
      <c r="A1068" s="47"/>
      <c r="B1068" s="47"/>
      <c r="C1068" s="47"/>
      <c r="D1068" s="47"/>
      <c r="E1068" s="43"/>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row>
    <row r="1069">
      <c r="A1069" s="47"/>
      <c r="B1069" s="47"/>
      <c r="C1069" s="47"/>
      <c r="D1069" s="47"/>
      <c r="E1069" s="43"/>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row>
    <row r="1070">
      <c r="A1070" s="47"/>
      <c r="B1070" s="47"/>
      <c r="C1070" s="47"/>
      <c r="D1070" s="47"/>
      <c r="E1070" s="43"/>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row>
    <row r="1071">
      <c r="A1071" s="47"/>
      <c r="B1071" s="47"/>
      <c r="C1071" s="47"/>
      <c r="D1071" s="47"/>
      <c r="E1071" s="43"/>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row>
    <row r="1072">
      <c r="A1072" s="47"/>
      <c r="B1072" s="47"/>
      <c r="C1072" s="47"/>
      <c r="D1072" s="47"/>
      <c r="E1072" s="43"/>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row>
    <row r="1073">
      <c r="A1073" s="47"/>
      <c r="B1073" s="47"/>
      <c r="C1073" s="47"/>
      <c r="D1073" s="47"/>
      <c r="E1073" s="43"/>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row>
    <row r="1074">
      <c r="A1074" s="47"/>
      <c r="B1074" s="47"/>
      <c r="C1074" s="47"/>
      <c r="D1074" s="47"/>
      <c r="E1074" s="43"/>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row>
    <row r="1075">
      <c r="A1075" s="47"/>
      <c r="B1075" s="47"/>
      <c r="C1075" s="47"/>
      <c r="D1075" s="47"/>
      <c r="E1075" s="43"/>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row>
    <row r="1076">
      <c r="A1076" s="47"/>
      <c r="B1076" s="47"/>
      <c r="C1076" s="47"/>
      <c r="D1076" s="47"/>
      <c r="E1076" s="43"/>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row>
    <row r="1077">
      <c r="A1077" s="47"/>
      <c r="B1077" s="47"/>
      <c r="C1077" s="47"/>
      <c r="D1077" s="47"/>
      <c r="E1077" s="43"/>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row>
    <row r="1078">
      <c r="A1078" s="47"/>
      <c r="B1078" s="47"/>
      <c r="C1078" s="47"/>
      <c r="D1078" s="47"/>
      <c r="E1078" s="43"/>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row>
    <row r="1079">
      <c r="A1079" s="47"/>
      <c r="B1079" s="47"/>
      <c r="C1079" s="47"/>
      <c r="D1079" s="47"/>
      <c r="E1079" s="43"/>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row>
    <row r="1080">
      <c r="A1080" s="47"/>
      <c r="B1080" s="47"/>
      <c r="C1080" s="47"/>
      <c r="D1080" s="47"/>
      <c r="E1080" s="43"/>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row>
    <row r="1081">
      <c r="A1081" s="47"/>
      <c r="B1081" s="47"/>
      <c r="C1081" s="47"/>
      <c r="D1081" s="47"/>
      <c r="E1081" s="43"/>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row>
    <row r="1082">
      <c r="A1082" s="47"/>
      <c r="B1082" s="47"/>
      <c r="C1082" s="47"/>
      <c r="D1082" s="47"/>
      <c r="E1082" s="43"/>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row>
    <row r="1083">
      <c r="A1083" s="47"/>
      <c r="B1083" s="47"/>
      <c r="C1083" s="47"/>
      <c r="D1083" s="47"/>
      <c r="E1083" s="43"/>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row>
    <row r="1084">
      <c r="A1084" s="47"/>
      <c r="B1084" s="47"/>
      <c r="C1084" s="47"/>
      <c r="D1084" s="47"/>
      <c r="E1084" s="43"/>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row>
    <row r="1085">
      <c r="A1085" s="47"/>
      <c r="B1085" s="47"/>
      <c r="C1085" s="47"/>
      <c r="D1085" s="47"/>
      <c r="E1085" s="43"/>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row>
    <row r="1086">
      <c r="A1086" s="47"/>
      <c r="B1086" s="47"/>
      <c r="C1086" s="47"/>
      <c r="D1086" s="47"/>
      <c r="E1086" s="43"/>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row>
    <row r="1087">
      <c r="A1087" s="47"/>
      <c r="B1087" s="47"/>
      <c r="C1087" s="47"/>
      <c r="D1087" s="47"/>
      <c r="E1087" s="43"/>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row>
    <row r="1088">
      <c r="A1088" s="47"/>
      <c r="B1088" s="47"/>
      <c r="C1088" s="47"/>
      <c r="D1088" s="47"/>
      <c r="E1088" s="43"/>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row>
    <row r="1089">
      <c r="A1089" s="47"/>
      <c r="B1089" s="47"/>
      <c r="C1089" s="47"/>
      <c r="D1089" s="47"/>
      <c r="E1089" s="43"/>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row>
    <row r="1090">
      <c r="A1090" s="47"/>
      <c r="B1090" s="47"/>
      <c r="C1090" s="47"/>
      <c r="D1090" s="47"/>
      <c r="E1090" s="43"/>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row>
    <row r="1091">
      <c r="A1091" s="47"/>
      <c r="B1091" s="47"/>
      <c r="C1091" s="47"/>
      <c r="D1091" s="47"/>
      <c r="E1091" s="43"/>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row>
    <row r="1092">
      <c r="A1092" s="47"/>
      <c r="B1092" s="47"/>
      <c r="C1092" s="47"/>
      <c r="D1092" s="47"/>
      <c r="E1092" s="43"/>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3"/>
      <c r="AZ1092" s="43"/>
      <c r="BA1092" s="43"/>
      <c r="BB1092" s="43"/>
      <c r="BC1092" s="43"/>
      <c r="BD1092" s="43"/>
      <c r="BE1092" s="43"/>
      <c r="BF1092" s="43"/>
      <c r="BG1092" s="43"/>
      <c r="BH1092" s="43"/>
      <c r="BI1092" s="43"/>
      <c r="BJ1092" s="43"/>
      <c r="BK1092" s="43"/>
      <c r="BL1092" s="43"/>
      <c r="BM1092" s="43"/>
      <c r="BN1092" s="43"/>
    </row>
    <row r="1093">
      <c r="A1093" s="47"/>
      <c r="B1093" s="47"/>
      <c r="C1093" s="47"/>
      <c r="D1093" s="47"/>
      <c r="E1093" s="43"/>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3"/>
      <c r="AZ1093" s="43"/>
      <c r="BA1093" s="43"/>
      <c r="BB1093" s="43"/>
      <c r="BC1093" s="43"/>
      <c r="BD1093" s="43"/>
      <c r="BE1093" s="43"/>
      <c r="BF1093" s="43"/>
      <c r="BG1093" s="43"/>
      <c r="BH1093" s="43"/>
      <c r="BI1093" s="43"/>
      <c r="BJ1093" s="43"/>
      <c r="BK1093" s="43"/>
      <c r="BL1093" s="43"/>
      <c r="BM1093" s="43"/>
      <c r="BN1093" s="43"/>
    </row>
    <row r="1094">
      <c r="A1094" s="47"/>
      <c r="B1094" s="47"/>
      <c r="C1094" s="47"/>
      <c r="D1094" s="47"/>
      <c r="E1094" s="43"/>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3"/>
      <c r="AZ1094" s="43"/>
      <c r="BA1094" s="43"/>
      <c r="BB1094" s="43"/>
      <c r="BC1094" s="43"/>
      <c r="BD1094" s="43"/>
      <c r="BE1094" s="43"/>
      <c r="BF1094" s="43"/>
      <c r="BG1094" s="43"/>
      <c r="BH1094" s="43"/>
      <c r="BI1094" s="43"/>
      <c r="BJ1094" s="43"/>
      <c r="BK1094" s="43"/>
      <c r="BL1094" s="43"/>
      <c r="BM1094" s="43"/>
      <c r="BN1094" s="43"/>
    </row>
    <row r="1095">
      <c r="A1095" s="47"/>
      <c r="B1095" s="47"/>
      <c r="C1095" s="47"/>
      <c r="D1095" s="47"/>
      <c r="E1095" s="43"/>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3"/>
      <c r="AZ1095" s="43"/>
      <c r="BA1095" s="43"/>
      <c r="BB1095" s="43"/>
      <c r="BC1095" s="43"/>
      <c r="BD1095" s="43"/>
      <c r="BE1095" s="43"/>
      <c r="BF1095" s="43"/>
      <c r="BG1095" s="43"/>
      <c r="BH1095" s="43"/>
      <c r="BI1095" s="43"/>
      <c r="BJ1095" s="43"/>
      <c r="BK1095" s="43"/>
      <c r="BL1095" s="43"/>
      <c r="BM1095" s="43"/>
      <c r="BN1095" s="43"/>
    </row>
    <row r="1096">
      <c r="A1096" s="47"/>
      <c r="B1096" s="47"/>
      <c r="C1096" s="47"/>
      <c r="D1096" s="47"/>
      <c r="E1096" s="43"/>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3"/>
      <c r="AZ1096" s="43"/>
      <c r="BA1096" s="43"/>
      <c r="BB1096" s="43"/>
      <c r="BC1096" s="43"/>
      <c r="BD1096" s="43"/>
      <c r="BE1096" s="43"/>
      <c r="BF1096" s="43"/>
      <c r="BG1096" s="43"/>
      <c r="BH1096" s="43"/>
      <c r="BI1096" s="43"/>
      <c r="BJ1096" s="43"/>
      <c r="BK1096" s="43"/>
      <c r="BL1096" s="43"/>
      <c r="BM1096" s="43"/>
      <c r="BN1096" s="43"/>
    </row>
    <row r="1097">
      <c r="A1097" s="47"/>
      <c r="B1097" s="47"/>
      <c r="C1097" s="47"/>
      <c r="D1097" s="47"/>
      <c r="E1097" s="43"/>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3"/>
      <c r="AZ1097" s="43"/>
      <c r="BA1097" s="43"/>
      <c r="BB1097" s="43"/>
      <c r="BC1097" s="43"/>
      <c r="BD1097" s="43"/>
      <c r="BE1097" s="43"/>
      <c r="BF1097" s="43"/>
      <c r="BG1097" s="43"/>
      <c r="BH1097" s="43"/>
      <c r="BI1097" s="43"/>
      <c r="BJ1097" s="43"/>
      <c r="BK1097" s="43"/>
      <c r="BL1097" s="43"/>
      <c r="BM1097" s="43"/>
      <c r="BN1097" s="43"/>
    </row>
    <row r="1098">
      <c r="A1098" s="47"/>
      <c r="B1098" s="47"/>
      <c r="C1098" s="47"/>
      <c r="D1098" s="47"/>
      <c r="E1098" s="43"/>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3"/>
      <c r="AZ1098" s="43"/>
      <c r="BA1098" s="43"/>
      <c r="BB1098" s="43"/>
      <c r="BC1098" s="43"/>
      <c r="BD1098" s="43"/>
      <c r="BE1098" s="43"/>
      <c r="BF1098" s="43"/>
      <c r="BG1098" s="43"/>
      <c r="BH1098" s="43"/>
      <c r="BI1098" s="43"/>
      <c r="BJ1098" s="43"/>
      <c r="BK1098" s="43"/>
      <c r="BL1098" s="43"/>
      <c r="BM1098" s="43"/>
      <c r="BN1098" s="43"/>
    </row>
    <row r="1099">
      <c r="A1099" s="47"/>
      <c r="B1099" s="47"/>
      <c r="C1099" s="47"/>
      <c r="D1099" s="47"/>
      <c r="E1099" s="43"/>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3"/>
      <c r="AZ1099" s="43"/>
      <c r="BA1099" s="43"/>
      <c r="BB1099" s="43"/>
      <c r="BC1099" s="43"/>
      <c r="BD1099" s="43"/>
      <c r="BE1099" s="43"/>
      <c r="BF1099" s="43"/>
      <c r="BG1099" s="43"/>
      <c r="BH1099" s="43"/>
      <c r="BI1099" s="43"/>
      <c r="BJ1099" s="43"/>
      <c r="BK1099" s="43"/>
      <c r="BL1099" s="43"/>
      <c r="BM1099" s="43"/>
      <c r="BN1099" s="43"/>
    </row>
    <row r="1100">
      <c r="A1100" s="47"/>
      <c r="B1100" s="47"/>
      <c r="C1100" s="47"/>
      <c r="D1100" s="47"/>
      <c r="E1100" s="43"/>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3"/>
      <c r="AZ1100" s="43"/>
      <c r="BA1100" s="43"/>
      <c r="BB1100" s="43"/>
      <c r="BC1100" s="43"/>
      <c r="BD1100" s="43"/>
      <c r="BE1100" s="43"/>
      <c r="BF1100" s="43"/>
      <c r="BG1100" s="43"/>
      <c r="BH1100" s="43"/>
      <c r="BI1100" s="43"/>
      <c r="BJ1100" s="43"/>
      <c r="BK1100" s="43"/>
      <c r="BL1100" s="43"/>
      <c r="BM1100" s="43"/>
      <c r="BN1100" s="43"/>
    </row>
    <row r="1101">
      <c r="A1101" s="47"/>
      <c r="B1101" s="47"/>
      <c r="C1101" s="47"/>
      <c r="D1101" s="47"/>
      <c r="E1101" s="43"/>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3"/>
      <c r="AZ1101" s="43"/>
      <c r="BA1101" s="43"/>
      <c r="BB1101" s="43"/>
      <c r="BC1101" s="43"/>
      <c r="BD1101" s="43"/>
      <c r="BE1101" s="43"/>
      <c r="BF1101" s="43"/>
      <c r="BG1101" s="43"/>
      <c r="BH1101" s="43"/>
      <c r="BI1101" s="43"/>
      <c r="BJ1101" s="43"/>
      <c r="BK1101" s="43"/>
      <c r="BL1101" s="43"/>
      <c r="BM1101" s="43"/>
      <c r="BN1101" s="43"/>
    </row>
    <row r="1102">
      <c r="A1102" s="47"/>
      <c r="B1102" s="47"/>
      <c r="C1102" s="47"/>
      <c r="D1102" s="47"/>
      <c r="E1102" s="43"/>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3"/>
      <c r="AZ1102" s="43"/>
      <c r="BA1102" s="43"/>
      <c r="BB1102" s="43"/>
      <c r="BC1102" s="43"/>
      <c r="BD1102" s="43"/>
      <c r="BE1102" s="43"/>
      <c r="BF1102" s="43"/>
      <c r="BG1102" s="43"/>
      <c r="BH1102" s="43"/>
      <c r="BI1102" s="43"/>
      <c r="BJ1102" s="43"/>
      <c r="BK1102" s="43"/>
      <c r="BL1102" s="43"/>
      <c r="BM1102" s="43"/>
      <c r="BN1102" s="43"/>
    </row>
    <row r="1103">
      <c r="A1103" s="47"/>
      <c r="B1103" s="47"/>
      <c r="C1103" s="47"/>
      <c r="D1103" s="47"/>
      <c r="E1103" s="43"/>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3"/>
      <c r="AZ1103" s="43"/>
      <c r="BA1103" s="43"/>
      <c r="BB1103" s="43"/>
      <c r="BC1103" s="43"/>
      <c r="BD1103" s="43"/>
      <c r="BE1103" s="43"/>
      <c r="BF1103" s="43"/>
      <c r="BG1103" s="43"/>
      <c r="BH1103" s="43"/>
      <c r="BI1103" s="43"/>
      <c r="BJ1103" s="43"/>
      <c r="BK1103" s="43"/>
      <c r="BL1103" s="43"/>
      <c r="BM1103" s="43"/>
      <c r="BN1103" s="43"/>
    </row>
    <row r="1104">
      <c r="A1104" s="47"/>
      <c r="B1104" s="47"/>
      <c r="C1104" s="47"/>
      <c r="D1104" s="47"/>
      <c r="E1104" s="43"/>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3"/>
      <c r="AZ1104" s="43"/>
      <c r="BA1104" s="43"/>
      <c r="BB1104" s="43"/>
      <c r="BC1104" s="43"/>
      <c r="BD1104" s="43"/>
      <c r="BE1104" s="43"/>
      <c r="BF1104" s="43"/>
      <c r="BG1104" s="43"/>
      <c r="BH1104" s="43"/>
      <c r="BI1104" s="43"/>
      <c r="BJ1104" s="43"/>
      <c r="BK1104" s="43"/>
      <c r="BL1104" s="43"/>
      <c r="BM1104" s="43"/>
      <c r="BN1104" s="43"/>
    </row>
    <row r="1105">
      <c r="A1105" s="47"/>
      <c r="B1105" s="47"/>
      <c r="C1105" s="47"/>
      <c r="D1105" s="47"/>
      <c r="E1105" s="43"/>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3"/>
      <c r="AZ1105" s="43"/>
      <c r="BA1105" s="43"/>
      <c r="BB1105" s="43"/>
      <c r="BC1105" s="43"/>
      <c r="BD1105" s="43"/>
      <c r="BE1105" s="43"/>
      <c r="BF1105" s="43"/>
      <c r="BG1105" s="43"/>
      <c r="BH1105" s="43"/>
      <c r="BI1105" s="43"/>
      <c r="BJ1105" s="43"/>
      <c r="BK1105" s="43"/>
      <c r="BL1105" s="43"/>
      <c r="BM1105" s="43"/>
      <c r="BN1105" s="43"/>
    </row>
    <row r="1106">
      <c r="A1106" s="47"/>
      <c r="B1106" s="47"/>
      <c r="C1106" s="47"/>
      <c r="D1106" s="47"/>
      <c r="E1106" s="43"/>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3"/>
      <c r="AZ1106" s="43"/>
      <c r="BA1106" s="43"/>
      <c r="BB1106" s="43"/>
      <c r="BC1106" s="43"/>
      <c r="BD1106" s="43"/>
      <c r="BE1106" s="43"/>
      <c r="BF1106" s="43"/>
      <c r="BG1106" s="43"/>
      <c r="BH1106" s="43"/>
      <c r="BI1106" s="43"/>
      <c r="BJ1106" s="43"/>
      <c r="BK1106" s="43"/>
      <c r="BL1106" s="43"/>
      <c r="BM1106" s="43"/>
      <c r="BN1106" s="43"/>
    </row>
    <row r="1107">
      <c r="A1107" s="47"/>
      <c r="B1107" s="47"/>
      <c r="C1107" s="47"/>
      <c r="D1107" s="47"/>
      <c r="E1107" s="43"/>
      <c r="F1107" s="43"/>
      <c r="G1107" s="43"/>
      <c r="H1107" s="43"/>
      <c r="I1107" s="43"/>
      <c r="J1107" s="43"/>
      <c r="K1107" s="43"/>
      <c r="L1107" s="43"/>
      <c r="M1107" s="43"/>
      <c r="N1107" s="43"/>
      <c r="O1107" s="43"/>
      <c r="P1107" s="43"/>
      <c r="Q1107" s="43"/>
      <c r="R1107" s="43"/>
      <c r="S1107" s="43"/>
      <c r="T1107" s="43"/>
      <c r="U1107" s="43"/>
      <c r="V1107" s="43"/>
      <c r="W1107" s="43"/>
      <c r="X1107" s="43"/>
      <c r="Y1107" s="43"/>
      <c r="Z1107" s="43"/>
      <c r="AA1107" s="43"/>
      <c r="AB1107" s="43"/>
      <c r="AC1107" s="43"/>
      <c r="AD1107" s="43"/>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3"/>
      <c r="AZ1107" s="43"/>
      <c r="BA1107" s="43"/>
      <c r="BB1107" s="43"/>
      <c r="BC1107" s="43"/>
      <c r="BD1107" s="43"/>
      <c r="BE1107" s="43"/>
      <c r="BF1107" s="43"/>
      <c r="BG1107" s="43"/>
      <c r="BH1107" s="43"/>
      <c r="BI1107" s="43"/>
      <c r="BJ1107" s="43"/>
      <c r="BK1107" s="43"/>
      <c r="BL1107" s="43"/>
      <c r="BM1107" s="43"/>
      <c r="BN1107" s="43"/>
    </row>
    <row r="1108">
      <c r="A1108" s="47"/>
      <c r="B1108" s="47"/>
      <c r="C1108" s="47"/>
      <c r="D1108" s="47"/>
      <c r="E1108" s="43"/>
      <c r="F1108" s="43"/>
      <c r="G1108" s="43"/>
      <c r="H1108" s="43"/>
      <c r="I1108" s="43"/>
      <c r="J1108" s="43"/>
      <c r="K1108" s="43"/>
      <c r="L1108" s="43"/>
      <c r="M1108" s="43"/>
      <c r="N1108" s="43"/>
      <c r="O1108" s="43"/>
      <c r="P1108" s="43"/>
      <c r="Q1108" s="43"/>
      <c r="R1108" s="43"/>
      <c r="S1108" s="43"/>
      <c r="T1108" s="43"/>
      <c r="U1108" s="43"/>
      <c r="V1108" s="43"/>
      <c r="W1108" s="43"/>
      <c r="X1108" s="43"/>
      <c r="Y1108" s="43"/>
      <c r="Z1108" s="43"/>
      <c r="AA1108" s="43"/>
      <c r="AB1108" s="43"/>
      <c r="AC1108" s="43"/>
      <c r="AD1108" s="43"/>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3"/>
      <c r="AZ1108" s="43"/>
      <c r="BA1108" s="43"/>
      <c r="BB1108" s="43"/>
      <c r="BC1108" s="43"/>
      <c r="BD1108" s="43"/>
      <c r="BE1108" s="43"/>
      <c r="BF1108" s="43"/>
      <c r="BG1108" s="43"/>
      <c r="BH1108" s="43"/>
      <c r="BI1108" s="43"/>
      <c r="BJ1108" s="43"/>
      <c r="BK1108" s="43"/>
      <c r="BL1108" s="43"/>
      <c r="BM1108" s="43"/>
      <c r="BN1108" s="43"/>
    </row>
    <row r="1109">
      <c r="A1109" s="47"/>
      <c r="B1109" s="47"/>
      <c r="C1109" s="47"/>
      <c r="D1109" s="47"/>
      <c r="E1109" s="43"/>
      <c r="F1109" s="43"/>
      <c r="G1109" s="43"/>
      <c r="H1109" s="43"/>
      <c r="I1109" s="43"/>
      <c r="J1109" s="43"/>
      <c r="K1109" s="43"/>
      <c r="L1109" s="43"/>
      <c r="M1109" s="43"/>
      <c r="N1109" s="43"/>
      <c r="O1109" s="43"/>
      <c r="P1109" s="43"/>
      <c r="Q1109" s="43"/>
      <c r="R1109" s="43"/>
      <c r="S1109" s="43"/>
      <c r="T1109" s="43"/>
      <c r="U1109" s="43"/>
      <c r="V1109" s="43"/>
      <c r="W1109" s="43"/>
      <c r="X1109" s="43"/>
      <c r="Y1109" s="43"/>
      <c r="Z1109" s="43"/>
      <c r="AA1109" s="43"/>
      <c r="AB1109" s="43"/>
      <c r="AC1109" s="43"/>
      <c r="AD1109" s="43"/>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3"/>
      <c r="AZ1109" s="43"/>
      <c r="BA1109" s="43"/>
      <c r="BB1109" s="43"/>
      <c r="BC1109" s="43"/>
      <c r="BD1109" s="43"/>
      <c r="BE1109" s="43"/>
      <c r="BF1109" s="43"/>
      <c r="BG1109" s="43"/>
      <c r="BH1109" s="43"/>
      <c r="BI1109" s="43"/>
      <c r="BJ1109" s="43"/>
      <c r="BK1109" s="43"/>
      <c r="BL1109" s="43"/>
      <c r="BM1109" s="43"/>
      <c r="BN1109" s="43"/>
    </row>
    <row r="1110">
      <c r="A1110" s="47"/>
      <c r="B1110" s="39" t="s">
        <v>147</v>
      </c>
      <c r="C1110" s="47"/>
      <c r="D1110" s="47"/>
      <c r="E1110" s="43"/>
      <c r="F1110" s="43"/>
      <c r="G1110" s="43"/>
      <c r="H1110" s="43"/>
      <c r="I1110" s="43"/>
      <c r="J1110" s="43"/>
      <c r="K1110" s="43"/>
      <c r="L1110" s="43"/>
      <c r="M1110" s="43"/>
      <c r="N1110" s="43"/>
      <c r="O1110" s="43"/>
      <c r="P1110" s="43"/>
      <c r="Q1110" s="43"/>
      <c r="R1110" s="43"/>
      <c r="S1110" s="43"/>
      <c r="T1110" s="43"/>
      <c r="U1110" s="43"/>
      <c r="V1110" s="43"/>
      <c r="W1110" s="43"/>
      <c r="X1110" s="43"/>
      <c r="Y1110" s="43"/>
      <c r="Z1110" s="43"/>
      <c r="AA1110" s="43"/>
      <c r="AB1110" s="43"/>
      <c r="AC1110" s="43"/>
      <c r="AD1110" s="43"/>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3"/>
      <c r="AZ1110" s="43"/>
      <c r="BA1110" s="43"/>
      <c r="BB1110" s="43"/>
      <c r="BC1110" s="43"/>
      <c r="BD1110" s="43"/>
      <c r="BE1110" s="43"/>
      <c r="BF1110" s="43"/>
      <c r="BG1110" s="43"/>
      <c r="BH1110" s="43"/>
      <c r="BI1110" s="43"/>
      <c r="BJ1110" s="43"/>
      <c r="BK1110" s="43"/>
      <c r="BL1110" s="43"/>
      <c r="BM1110" s="43"/>
      <c r="BN1110" s="43"/>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s>
  <sheetData>
    <row r="1">
      <c r="A1" s="161"/>
      <c r="B1" s="161" t="s">
        <v>8</v>
      </c>
      <c r="C1" s="162"/>
      <c r="D1" s="162"/>
      <c r="E1" s="162"/>
      <c r="F1" s="162">
        <v>1.0</v>
      </c>
      <c r="G1" s="162">
        <v>1.0</v>
      </c>
      <c r="H1" s="162">
        <v>1.0</v>
      </c>
      <c r="I1" s="162">
        <v>1.0</v>
      </c>
      <c r="J1" s="162">
        <v>1.0</v>
      </c>
      <c r="K1" s="162">
        <v>1.0</v>
      </c>
      <c r="L1" s="162">
        <v>1.0</v>
      </c>
      <c r="M1" s="162">
        <v>1.0</v>
      </c>
      <c r="N1" s="162">
        <v>1.0</v>
      </c>
      <c r="O1" s="162">
        <v>1.0</v>
      </c>
      <c r="P1" s="162">
        <v>1.0</v>
      </c>
      <c r="Q1" s="162">
        <v>1.0</v>
      </c>
      <c r="R1" s="162">
        <f t="shared" ref="R1:BM1" si="1">F1+1</f>
        <v>2</v>
      </c>
      <c r="S1" s="162">
        <f t="shared" si="1"/>
        <v>2</v>
      </c>
      <c r="T1" s="162">
        <f t="shared" si="1"/>
        <v>2</v>
      </c>
      <c r="U1" s="162">
        <f t="shared" si="1"/>
        <v>2</v>
      </c>
      <c r="V1" s="162">
        <f t="shared" si="1"/>
        <v>2</v>
      </c>
      <c r="W1" s="162">
        <f t="shared" si="1"/>
        <v>2</v>
      </c>
      <c r="X1" s="162">
        <f t="shared" si="1"/>
        <v>2</v>
      </c>
      <c r="Y1" s="162">
        <f t="shared" si="1"/>
        <v>2</v>
      </c>
      <c r="Z1" s="162">
        <f t="shared" si="1"/>
        <v>2</v>
      </c>
      <c r="AA1" s="162">
        <f t="shared" si="1"/>
        <v>2</v>
      </c>
      <c r="AB1" s="162">
        <f t="shared" si="1"/>
        <v>2</v>
      </c>
      <c r="AC1" s="162">
        <f t="shared" si="1"/>
        <v>2</v>
      </c>
      <c r="AD1" s="162">
        <f t="shared" si="1"/>
        <v>3</v>
      </c>
      <c r="AE1" s="162">
        <f t="shared" si="1"/>
        <v>3</v>
      </c>
      <c r="AF1" s="162">
        <f t="shared" si="1"/>
        <v>3</v>
      </c>
      <c r="AG1" s="162">
        <f t="shared" si="1"/>
        <v>3</v>
      </c>
      <c r="AH1" s="162">
        <f t="shared" si="1"/>
        <v>3</v>
      </c>
      <c r="AI1" s="162">
        <f t="shared" si="1"/>
        <v>3</v>
      </c>
      <c r="AJ1" s="162">
        <f t="shared" si="1"/>
        <v>3</v>
      </c>
      <c r="AK1" s="162">
        <f t="shared" si="1"/>
        <v>3</v>
      </c>
      <c r="AL1" s="162">
        <f t="shared" si="1"/>
        <v>3</v>
      </c>
      <c r="AM1" s="162">
        <f t="shared" si="1"/>
        <v>3</v>
      </c>
      <c r="AN1" s="162">
        <f t="shared" si="1"/>
        <v>3</v>
      </c>
      <c r="AO1" s="162">
        <f t="shared" si="1"/>
        <v>3</v>
      </c>
      <c r="AP1" s="162">
        <f t="shared" si="1"/>
        <v>4</v>
      </c>
      <c r="AQ1" s="162">
        <f t="shared" si="1"/>
        <v>4</v>
      </c>
      <c r="AR1" s="162">
        <f t="shared" si="1"/>
        <v>4</v>
      </c>
      <c r="AS1" s="162">
        <f t="shared" si="1"/>
        <v>4</v>
      </c>
      <c r="AT1" s="162">
        <f t="shared" si="1"/>
        <v>4</v>
      </c>
      <c r="AU1" s="162">
        <f t="shared" si="1"/>
        <v>4</v>
      </c>
      <c r="AV1" s="162">
        <f t="shared" si="1"/>
        <v>4</v>
      </c>
      <c r="AW1" s="162">
        <f t="shared" si="1"/>
        <v>4</v>
      </c>
      <c r="AX1" s="162">
        <f t="shared" si="1"/>
        <v>4</v>
      </c>
      <c r="AY1" s="162">
        <f t="shared" si="1"/>
        <v>4</v>
      </c>
      <c r="AZ1" s="162">
        <f t="shared" si="1"/>
        <v>4</v>
      </c>
      <c r="BA1" s="162">
        <f t="shared" si="1"/>
        <v>4</v>
      </c>
      <c r="BB1" s="162">
        <f t="shared" si="1"/>
        <v>5</v>
      </c>
      <c r="BC1" s="162">
        <f t="shared" si="1"/>
        <v>5</v>
      </c>
      <c r="BD1" s="162">
        <f t="shared" si="1"/>
        <v>5</v>
      </c>
      <c r="BE1" s="162">
        <f t="shared" si="1"/>
        <v>5</v>
      </c>
      <c r="BF1" s="162">
        <f t="shared" si="1"/>
        <v>5</v>
      </c>
      <c r="BG1" s="162">
        <f t="shared" si="1"/>
        <v>5</v>
      </c>
      <c r="BH1" s="162">
        <f t="shared" si="1"/>
        <v>5</v>
      </c>
      <c r="BI1" s="162">
        <f t="shared" si="1"/>
        <v>5</v>
      </c>
      <c r="BJ1" s="162">
        <f t="shared" si="1"/>
        <v>5</v>
      </c>
      <c r="BK1" s="162">
        <f t="shared" si="1"/>
        <v>5</v>
      </c>
      <c r="BL1" s="162">
        <f t="shared" si="1"/>
        <v>5</v>
      </c>
      <c r="BM1" s="162">
        <f t="shared" si="1"/>
        <v>5</v>
      </c>
    </row>
    <row r="2">
      <c r="A2" s="161"/>
      <c r="B2" s="161" t="s">
        <v>9</v>
      </c>
      <c r="C2" s="163"/>
      <c r="D2" s="163"/>
      <c r="E2" s="163"/>
      <c r="F2" s="163">
        <f t="shared" ref="F2:BM2" si="2">YEAR(F4)</f>
        <v>2026</v>
      </c>
      <c r="G2" s="163">
        <f t="shared" si="2"/>
        <v>2026</v>
      </c>
      <c r="H2" s="163">
        <f t="shared" si="2"/>
        <v>2026</v>
      </c>
      <c r="I2" s="163">
        <f t="shared" si="2"/>
        <v>2026</v>
      </c>
      <c r="J2" s="163">
        <f t="shared" si="2"/>
        <v>2026</v>
      </c>
      <c r="K2" s="163">
        <f t="shared" si="2"/>
        <v>2026</v>
      </c>
      <c r="L2" s="163">
        <f t="shared" si="2"/>
        <v>2026</v>
      </c>
      <c r="M2" s="163">
        <f t="shared" si="2"/>
        <v>2026</v>
      </c>
      <c r="N2" s="163">
        <f t="shared" si="2"/>
        <v>2026</v>
      </c>
      <c r="O2" s="163">
        <f t="shared" si="2"/>
        <v>2026</v>
      </c>
      <c r="P2" s="163">
        <f t="shared" si="2"/>
        <v>2026</v>
      </c>
      <c r="Q2" s="163">
        <f t="shared" si="2"/>
        <v>2027</v>
      </c>
      <c r="R2" s="163">
        <f t="shared" si="2"/>
        <v>2027</v>
      </c>
      <c r="S2" s="163">
        <f t="shared" si="2"/>
        <v>2027</v>
      </c>
      <c r="T2" s="163">
        <f t="shared" si="2"/>
        <v>2027</v>
      </c>
      <c r="U2" s="163">
        <f t="shared" si="2"/>
        <v>2027</v>
      </c>
      <c r="V2" s="163">
        <f t="shared" si="2"/>
        <v>2027</v>
      </c>
      <c r="W2" s="163">
        <f t="shared" si="2"/>
        <v>2027</v>
      </c>
      <c r="X2" s="163">
        <f t="shared" si="2"/>
        <v>2027</v>
      </c>
      <c r="Y2" s="163">
        <f t="shared" si="2"/>
        <v>2027</v>
      </c>
      <c r="Z2" s="163">
        <f t="shared" si="2"/>
        <v>2027</v>
      </c>
      <c r="AA2" s="163">
        <f t="shared" si="2"/>
        <v>2027</v>
      </c>
      <c r="AB2" s="163">
        <f t="shared" si="2"/>
        <v>2027</v>
      </c>
      <c r="AC2" s="163">
        <f t="shared" si="2"/>
        <v>2028</v>
      </c>
      <c r="AD2" s="163">
        <f t="shared" si="2"/>
        <v>2028</v>
      </c>
      <c r="AE2" s="163">
        <f t="shared" si="2"/>
        <v>2028</v>
      </c>
      <c r="AF2" s="163">
        <f t="shared" si="2"/>
        <v>2028</v>
      </c>
      <c r="AG2" s="163">
        <f t="shared" si="2"/>
        <v>2028</v>
      </c>
      <c r="AH2" s="163">
        <f t="shared" si="2"/>
        <v>2028</v>
      </c>
      <c r="AI2" s="163">
        <f t="shared" si="2"/>
        <v>2028</v>
      </c>
      <c r="AJ2" s="163">
        <f t="shared" si="2"/>
        <v>2028</v>
      </c>
      <c r="AK2" s="163">
        <f t="shared" si="2"/>
        <v>2028</v>
      </c>
      <c r="AL2" s="163">
        <f t="shared" si="2"/>
        <v>2028</v>
      </c>
      <c r="AM2" s="163">
        <f t="shared" si="2"/>
        <v>2028</v>
      </c>
      <c r="AN2" s="163">
        <f t="shared" si="2"/>
        <v>2028</v>
      </c>
      <c r="AO2" s="163">
        <f t="shared" si="2"/>
        <v>2029</v>
      </c>
      <c r="AP2" s="163">
        <f t="shared" si="2"/>
        <v>2029</v>
      </c>
      <c r="AQ2" s="163">
        <f t="shared" si="2"/>
        <v>2029</v>
      </c>
      <c r="AR2" s="163">
        <f t="shared" si="2"/>
        <v>2029</v>
      </c>
      <c r="AS2" s="163">
        <f t="shared" si="2"/>
        <v>2029</v>
      </c>
      <c r="AT2" s="163">
        <f t="shared" si="2"/>
        <v>2029</v>
      </c>
      <c r="AU2" s="163">
        <f t="shared" si="2"/>
        <v>2029</v>
      </c>
      <c r="AV2" s="163">
        <f t="shared" si="2"/>
        <v>2029</v>
      </c>
      <c r="AW2" s="163">
        <f t="shared" si="2"/>
        <v>2029</v>
      </c>
      <c r="AX2" s="163">
        <f t="shared" si="2"/>
        <v>2029</v>
      </c>
      <c r="AY2" s="163">
        <f t="shared" si="2"/>
        <v>2029</v>
      </c>
      <c r="AZ2" s="163">
        <f t="shared" si="2"/>
        <v>2029</v>
      </c>
      <c r="BA2" s="163">
        <f t="shared" si="2"/>
        <v>2030</v>
      </c>
      <c r="BB2" s="163">
        <f t="shared" si="2"/>
        <v>2030</v>
      </c>
      <c r="BC2" s="163">
        <f t="shared" si="2"/>
        <v>2030</v>
      </c>
      <c r="BD2" s="163">
        <f t="shared" si="2"/>
        <v>2030</v>
      </c>
      <c r="BE2" s="163">
        <f t="shared" si="2"/>
        <v>2030</v>
      </c>
      <c r="BF2" s="163">
        <f t="shared" si="2"/>
        <v>2030</v>
      </c>
      <c r="BG2" s="163">
        <f t="shared" si="2"/>
        <v>2030</v>
      </c>
      <c r="BH2" s="163">
        <f t="shared" si="2"/>
        <v>2030</v>
      </c>
      <c r="BI2" s="163">
        <f t="shared" si="2"/>
        <v>2030</v>
      </c>
      <c r="BJ2" s="163">
        <f t="shared" si="2"/>
        <v>2030</v>
      </c>
      <c r="BK2" s="163">
        <f t="shared" si="2"/>
        <v>2030</v>
      </c>
      <c r="BL2" s="163">
        <f t="shared" si="2"/>
        <v>2030</v>
      </c>
      <c r="BM2" s="163">
        <f t="shared" si="2"/>
        <v>2031</v>
      </c>
    </row>
    <row r="3">
      <c r="A3" s="161"/>
      <c r="B3" s="161" t="s">
        <v>10</v>
      </c>
      <c r="C3" s="162"/>
      <c r="D3" s="162"/>
      <c r="E3" s="162"/>
      <c r="F3" s="162">
        <v>1.0</v>
      </c>
      <c r="G3" s="163">
        <f t="shared" ref="G3:BM3" si="3">F3+1</f>
        <v>2</v>
      </c>
      <c r="H3" s="163">
        <f t="shared" si="3"/>
        <v>3</v>
      </c>
      <c r="I3" s="163">
        <f t="shared" si="3"/>
        <v>4</v>
      </c>
      <c r="J3" s="163">
        <f t="shared" si="3"/>
        <v>5</v>
      </c>
      <c r="K3" s="163">
        <f t="shared" si="3"/>
        <v>6</v>
      </c>
      <c r="L3" s="163">
        <f t="shared" si="3"/>
        <v>7</v>
      </c>
      <c r="M3" s="163">
        <f t="shared" si="3"/>
        <v>8</v>
      </c>
      <c r="N3" s="163">
        <f t="shared" si="3"/>
        <v>9</v>
      </c>
      <c r="O3" s="163">
        <f t="shared" si="3"/>
        <v>10</v>
      </c>
      <c r="P3" s="163">
        <f t="shared" si="3"/>
        <v>11</v>
      </c>
      <c r="Q3" s="163">
        <f t="shared" si="3"/>
        <v>12</v>
      </c>
      <c r="R3" s="163">
        <f t="shared" si="3"/>
        <v>13</v>
      </c>
      <c r="S3" s="163">
        <f t="shared" si="3"/>
        <v>14</v>
      </c>
      <c r="T3" s="163">
        <f t="shared" si="3"/>
        <v>15</v>
      </c>
      <c r="U3" s="163">
        <f t="shared" si="3"/>
        <v>16</v>
      </c>
      <c r="V3" s="163">
        <f t="shared" si="3"/>
        <v>17</v>
      </c>
      <c r="W3" s="163">
        <f t="shared" si="3"/>
        <v>18</v>
      </c>
      <c r="X3" s="163">
        <f t="shared" si="3"/>
        <v>19</v>
      </c>
      <c r="Y3" s="163">
        <f t="shared" si="3"/>
        <v>20</v>
      </c>
      <c r="Z3" s="163">
        <f t="shared" si="3"/>
        <v>21</v>
      </c>
      <c r="AA3" s="163">
        <f t="shared" si="3"/>
        <v>22</v>
      </c>
      <c r="AB3" s="163">
        <f t="shared" si="3"/>
        <v>23</v>
      </c>
      <c r="AC3" s="163">
        <f t="shared" si="3"/>
        <v>24</v>
      </c>
      <c r="AD3" s="163">
        <f t="shared" si="3"/>
        <v>25</v>
      </c>
      <c r="AE3" s="163">
        <f t="shared" si="3"/>
        <v>26</v>
      </c>
      <c r="AF3" s="163">
        <f t="shared" si="3"/>
        <v>27</v>
      </c>
      <c r="AG3" s="163">
        <f t="shared" si="3"/>
        <v>28</v>
      </c>
      <c r="AH3" s="163">
        <f t="shared" si="3"/>
        <v>29</v>
      </c>
      <c r="AI3" s="163">
        <f t="shared" si="3"/>
        <v>30</v>
      </c>
      <c r="AJ3" s="163">
        <f t="shared" si="3"/>
        <v>31</v>
      </c>
      <c r="AK3" s="163">
        <f t="shared" si="3"/>
        <v>32</v>
      </c>
      <c r="AL3" s="163">
        <f t="shared" si="3"/>
        <v>33</v>
      </c>
      <c r="AM3" s="163">
        <f t="shared" si="3"/>
        <v>34</v>
      </c>
      <c r="AN3" s="163">
        <f t="shared" si="3"/>
        <v>35</v>
      </c>
      <c r="AO3" s="163">
        <f t="shared" si="3"/>
        <v>36</v>
      </c>
      <c r="AP3" s="163">
        <f t="shared" si="3"/>
        <v>37</v>
      </c>
      <c r="AQ3" s="163">
        <f t="shared" si="3"/>
        <v>38</v>
      </c>
      <c r="AR3" s="163">
        <f t="shared" si="3"/>
        <v>39</v>
      </c>
      <c r="AS3" s="163">
        <f t="shared" si="3"/>
        <v>40</v>
      </c>
      <c r="AT3" s="163">
        <f t="shared" si="3"/>
        <v>41</v>
      </c>
      <c r="AU3" s="163">
        <f t="shared" si="3"/>
        <v>42</v>
      </c>
      <c r="AV3" s="163">
        <f t="shared" si="3"/>
        <v>43</v>
      </c>
      <c r="AW3" s="163">
        <f t="shared" si="3"/>
        <v>44</v>
      </c>
      <c r="AX3" s="163">
        <f t="shared" si="3"/>
        <v>45</v>
      </c>
      <c r="AY3" s="163">
        <f t="shared" si="3"/>
        <v>46</v>
      </c>
      <c r="AZ3" s="163">
        <f t="shared" si="3"/>
        <v>47</v>
      </c>
      <c r="BA3" s="163">
        <f t="shared" si="3"/>
        <v>48</v>
      </c>
      <c r="BB3" s="163">
        <f t="shared" si="3"/>
        <v>49</v>
      </c>
      <c r="BC3" s="163">
        <f t="shared" si="3"/>
        <v>50</v>
      </c>
      <c r="BD3" s="163">
        <f t="shared" si="3"/>
        <v>51</v>
      </c>
      <c r="BE3" s="163">
        <f t="shared" si="3"/>
        <v>52</v>
      </c>
      <c r="BF3" s="163">
        <f t="shared" si="3"/>
        <v>53</v>
      </c>
      <c r="BG3" s="163">
        <f t="shared" si="3"/>
        <v>54</v>
      </c>
      <c r="BH3" s="163">
        <f t="shared" si="3"/>
        <v>55</v>
      </c>
      <c r="BI3" s="163">
        <f t="shared" si="3"/>
        <v>56</v>
      </c>
      <c r="BJ3" s="163">
        <f t="shared" si="3"/>
        <v>57</v>
      </c>
      <c r="BK3" s="163">
        <f t="shared" si="3"/>
        <v>58</v>
      </c>
      <c r="BL3" s="163">
        <f t="shared" si="3"/>
        <v>59</v>
      </c>
      <c r="BM3" s="163">
        <f t="shared" si="3"/>
        <v>60</v>
      </c>
    </row>
    <row r="4">
      <c r="A4" s="161"/>
      <c r="B4" s="161" t="s">
        <v>11</v>
      </c>
      <c r="C4" s="162"/>
      <c r="D4" s="162"/>
      <c r="E4" s="162"/>
      <c r="F4" s="164">
        <f>Assumptions!G4</f>
        <v>46081</v>
      </c>
      <c r="G4" s="164">
        <f t="shared" ref="G4:BM4" si="4">EOMONTH(F4,1)</f>
        <v>46112</v>
      </c>
      <c r="H4" s="164">
        <f t="shared" si="4"/>
        <v>46142</v>
      </c>
      <c r="I4" s="164">
        <f t="shared" si="4"/>
        <v>46173</v>
      </c>
      <c r="J4" s="164">
        <f t="shared" si="4"/>
        <v>46203</v>
      </c>
      <c r="K4" s="164">
        <f t="shared" si="4"/>
        <v>46234</v>
      </c>
      <c r="L4" s="164">
        <f t="shared" si="4"/>
        <v>46265</v>
      </c>
      <c r="M4" s="164">
        <f t="shared" si="4"/>
        <v>46295</v>
      </c>
      <c r="N4" s="164">
        <f t="shared" si="4"/>
        <v>46326</v>
      </c>
      <c r="O4" s="164">
        <f t="shared" si="4"/>
        <v>46356</v>
      </c>
      <c r="P4" s="164">
        <f t="shared" si="4"/>
        <v>46387</v>
      </c>
      <c r="Q4" s="164">
        <f t="shared" si="4"/>
        <v>46418</v>
      </c>
      <c r="R4" s="164">
        <f t="shared" si="4"/>
        <v>46446</v>
      </c>
      <c r="S4" s="164">
        <f t="shared" si="4"/>
        <v>46477</v>
      </c>
      <c r="T4" s="164">
        <f t="shared" si="4"/>
        <v>46507</v>
      </c>
      <c r="U4" s="164">
        <f t="shared" si="4"/>
        <v>46538</v>
      </c>
      <c r="V4" s="164">
        <f t="shared" si="4"/>
        <v>46568</v>
      </c>
      <c r="W4" s="164">
        <f t="shared" si="4"/>
        <v>46599</v>
      </c>
      <c r="X4" s="164">
        <f t="shared" si="4"/>
        <v>46630</v>
      </c>
      <c r="Y4" s="164">
        <f t="shared" si="4"/>
        <v>46660</v>
      </c>
      <c r="Z4" s="164">
        <f t="shared" si="4"/>
        <v>46691</v>
      </c>
      <c r="AA4" s="164">
        <f t="shared" si="4"/>
        <v>46721</v>
      </c>
      <c r="AB4" s="164">
        <f t="shared" si="4"/>
        <v>46752</v>
      </c>
      <c r="AC4" s="164">
        <f t="shared" si="4"/>
        <v>46783</v>
      </c>
      <c r="AD4" s="164">
        <f t="shared" si="4"/>
        <v>46812</v>
      </c>
      <c r="AE4" s="164">
        <f t="shared" si="4"/>
        <v>46843</v>
      </c>
      <c r="AF4" s="164">
        <f t="shared" si="4"/>
        <v>46873</v>
      </c>
      <c r="AG4" s="164">
        <f t="shared" si="4"/>
        <v>46904</v>
      </c>
      <c r="AH4" s="164">
        <f t="shared" si="4"/>
        <v>46934</v>
      </c>
      <c r="AI4" s="164">
        <f t="shared" si="4"/>
        <v>46965</v>
      </c>
      <c r="AJ4" s="164">
        <f t="shared" si="4"/>
        <v>46996</v>
      </c>
      <c r="AK4" s="164">
        <f t="shared" si="4"/>
        <v>47026</v>
      </c>
      <c r="AL4" s="164">
        <f t="shared" si="4"/>
        <v>47057</v>
      </c>
      <c r="AM4" s="164">
        <f t="shared" si="4"/>
        <v>47087</v>
      </c>
      <c r="AN4" s="164">
        <f t="shared" si="4"/>
        <v>47118</v>
      </c>
      <c r="AO4" s="164">
        <f t="shared" si="4"/>
        <v>47149</v>
      </c>
      <c r="AP4" s="164">
        <f t="shared" si="4"/>
        <v>47177</v>
      </c>
      <c r="AQ4" s="164">
        <f t="shared" si="4"/>
        <v>47208</v>
      </c>
      <c r="AR4" s="164">
        <f t="shared" si="4"/>
        <v>47238</v>
      </c>
      <c r="AS4" s="164">
        <f t="shared" si="4"/>
        <v>47269</v>
      </c>
      <c r="AT4" s="164">
        <f t="shared" si="4"/>
        <v>47299</v>
      </c>
      <c r="AU4" s="164">
        <f t="shared" si="4"/>
        <v>47330</v>
      </c>
      <c r="AV4" s="164">
        <f t="shared" si="4"/>
        <v>47361</v>
      </c>
      <c r="AW4" s="164">
        <f t="shared" si="4"/>
        <v>47391</v>
      </c>
      <c r="AX4" s="164">
        <f t="shared" si="4"/>
        <v>47422</v>
      </c>
      <c r="AY4" s="164">
        <f t="shared" si="4"/>
        <v>47452</v>
      </c>
      <c r="AZ4" s="164">
        <f t="shared" si="4"/>
        <v>47483</v>
      </c>
      <c r="BA4" s="164">
        <f t="shared" si="4"/>
        <v>47514</v>
      </c>
      <c r="BB4" s="164">
        <f t="shared" si="4"/>
        <v>47542</v>
      </c>
      <c r="BC4" s="164">
        <f t="shared" si="4"/>
        <v>47573</v>
      </c>
      <c r="BD4" s="164">
        <f t="shared" si="4"/>
        <v>47603</v>
      </c>
      <c r="BE4" s="164">
        <f t="shared" si="4"/>
        <v>47634</v>
      </c>
      <c r="BF4" s="164">
        <f t="shared" si="4"/>
        <v>47664</v>
      </c>
      <c r="BG4" s="164">
        <f t="shared" si="4"/>
        <v>47695</v>
      </c>
      <c r="BH4" s="164">
        <f t="shared" si="4"/>
        <v>47726</v>
      </c>
      <c r="BI4" s="164">
        <f t="shared" si="4"/>
        <v>47756</v>
      </c>
      <c r="BJ4" s="164">
        <f t="shared" si="4"/>
        <v>47787</v>
      </c>
      <c r="BK4" s="164">
        <f t="shared" si="4"/>
        <v>47817</v>
      </c>
      <c r="BL4" s="164">
        <f t="shared" si="4"/>
        <v>47848</v>
      </c>
      <c r="BM4" s="164">
        <f t="shared" si="4"/>
        <v>47879</v>
      </c>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c r="A6" s="30"/>
      <c r="B6" s="165" t="s">
        <v>148</v>
      </c>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row>
    <row r="7" outlineLevel="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row>
    <row r="8" outlineLevel="1">
      <c r="A8" s="167"/>
      <c r="B8" s="168" t="s">
        <v>149</v>
      </c>
      <c r="C8" s="169"/>
      <c r="D8" s="169"/>
      <c r="E8" s="169"/>
      <c r="F8" s="169">
        <f t="shared" ref="F8:BM8" si="5">SUM(F9:F11)</f>
        <v>8516.25</v>
      </c>
      <c r="G8" s="169">
        <f t="shared" si="5"/>
        <v>17624.80625</v>
      </c>
      <c r="H8" s="169">
        <f t="shared" si="5"/>
        <v>27157.33616</v>
      </c>
      <c r="I8" s="169">
        <f t="shared" si="5"/>
        <v>37156.36719</v>
      </c>
      <c r="J8" s="169">
        <f t="shared" si="5"/>
        <v>47694.50638</v>
      </c>
      <c r="K8" s="169">
        <f t="shared" si="5"/>
        <v>58804.5475</v>
      </c>
      <c r="L8" s="169">
        <f t="shared" si="5"/>
        <v>69844.73006</v>
      </c>
      <c r="M8" s="169">
        <f t="shared" si="5"/>
        <v>80829.4511</v>
      </c>
      <c r="N8" s="169">
        <f t="shared" si="5"/>
        <v>91760.2869</v>
      </c>
      <c r="O8" s="169">
        <f t="shared" si="5"/>
        <v>102638.5875</v>
      </c>
      <c r="P8" s="169">
        <f t="shared" si="5"/>
        <v>113488.1662</v>
      </c>
      <c r="Q8" s="169">
        <f t="shared" si="5"/>
        <v>124288.0161</v>
      </c>
      <c r="R8" s="169">
        <f t="shared" si="5"/>
        <v>135039.0546</v>
      </c>
      <c r="S8" s="169">
        <f t="shared" si="5"/>
        <v>145742.4971</v>
      </c>
      <c r="T8" s="169">
        <f t="shared" si="5"/>
        <v>156399.5333</v>
      </c>
      <c r="U8" s="169">
        <f t="shared" si="5"/>
        <v>167011.3235</v>
      </c>
      <c r="V8" s="169">
        <f t="shared" si="5"/>
        <v>177578.9987</v>
      </c>
      <c r="W8" s="169">
        <f t="shared" si="5"/>
        <v>188103.662</v>
      </c>
      <c r="X8" s="169">
        <f t="shared" si="5"/>
        <v>198586.3885</v>
      </c>
      <c r="Y8" s="169">
        <f t="shared" si="5"/>
        <v>209028.2267</v>
      </c>
      <c r="Z8" s="169">
        <f t="shared" si="5"/>
        <v>219430.1987</v>
      </c>
      <c r="AA8" s="169">
        <f t="shared" si="5"/>
        <v>229793.3014</v>
      </c>
      <c r="AB8" s="169">
        <f t="shared" si="5"/>
        <v>240118.5063</v>
      </c>
      <c r="AC8" s="169">
        <f t="shared" si="5"/>
        <v>250406.7609</v>
      </c>
      <c r="AD8" s="169">
        <f t="shared" si="5"/>
        <v>260658.989</v>
      </c>
      <c r="AE8" s="169">
        <f t="shared" si="5"/>
        <v>270876.0912</v>
      </c>
      <c r="AF8" s="169">
        <f t="shared" si="5"/>
        <v>281058.9458</v>
      </c>
      <c r="AG8" s="169">
        <f t="shared" si="5"/>
        <v>291208.4088</v>
      </c>
      <c r="AH8" s="169">
        <f t="shared" si="5"/>
        <v>301325.3151</v>
      </c>
      <c r="AI8" s="169">
        <f t="shared" si="5"/>
        <v>311410.4786</v>
      </c>
      <c r="AJ8" s="169">
        <f t="shared" si="5"/>
        <v>321464.6928</v>
      </c>
      <c r="AK8" s="169">
        <f t="shared" si="5"/>
        <v>331488.7315</v>
      </c>
      <c r="AL8" s="169">
        <f t="shared" si="5"/>
        <v>341483.3491</v>
      </c>
      <c r="AM8" s="169">
        <f t="shared" si="5"/>
        <v>351449.2811</v>
      </c>
      <c r="AN8" s="169">
        <f t="shared" si="5"/>
        <v>361387.2447</v>
      </c>
      <c r="AO8" s="169">
        <f t="shared" si="5"/>
        <v>371297.939</v>
      </c>
      <c r="AP8" s="169">
        <f t="shared" si="5"/>
        <v>381182.0458</v>
      </c>
      <c r="AQ8" s="169">
        <f t="shared" si="5"/>
        <v>391040.2298</v>
      </c>
      <c r="AR8" s="169">
        <f t="shared" si="5"/>
        <v>400873.139</v>
      </c>
      <c r="AS8" s="169">
        <f t="shared" si="5"/>
        <v>410681.4054</v>
      </c>
      <c r="AT8" s="169">
        <f t="shared" si="5"/>
        <v>420465.6449</v>
      </c>
      <c r="AU8" s="169">
        <f t="shared" si="5"/>
        <v>430226.4583</v>
      </c>
      <c r="AV8" s="169">
        <f t="shared" si="5"/>
        <v>439964.4312</v>
      </c>
      <c r="AW8" s="169">
        <f t="shared" si="5"/>
        <v>449680.1346</v>
      </c>
      <c r="AX8" s="169">
        <f t="shared" si="5"/>
        <v>459374.1253</v>
      </c>
      <c r="AY8" s="169">
        <f t="shared" si="5"/>
        <v>469046.9461</v>
      </c>
      <c r="AZ8" s="169">
        <f t="shared" si="5"/>
        <v>478699.1262</v>
      </c>
      <c r="BA8" s="169">
        <f t="shared" si="5"/>
        <v>488331.1816</v>
      </c>
      <c r="BB8" s="169">
        <f t="shared" si="5"/>
        <v>497943.6155</v>
      </c>
      <c r="BC8" s="169">
        <f t="shared" si="5"/>
        <v>507536.9184</v>
      </c>
      <c r="BD8" s="169">
        <f t="shared" si="5"/>
        <v>517111.5685</v>
      </c>
      <c r="BE8" s="169">
        <f t="shared" si="5"/>
        <v>526668.0323</v>
      </c>
      <c r="BF8" s="169">
        <f t="shared" si="5"/>
        <v>536206.7643</v>
      </c>
      <c r="BG8" s="169">
        <f t="shared" si="5"/>
        <v>545728.2079</v>
      </c>
      <c r="BH8" s="169">
        <f t="shared" si="5"/>
        <v>555232.7952</v>
      </c>
      <c r="BI8" s="169">
        <f t="shared" si="5"/>
        <v>564720.9477</v>
      </c>
      <c r="BJ8" s="169">
        <f t="shared" si="5"/>
        <v>574193.0762</v>
      </c>
      <c r="BK8" s="169">
        <f t="shared" si="5"/>
        <v>583649.5813</v>
      </c>
      <c r="BL8" s="169">
        <f t="shared" si="5"/>
        <v>593090.8537</v>
      </c>
      <c r="BM8" s="169">
        <f t="shared" si="5"/>
        <v>602517.2741</v>
      </c>
    </row>
    <row r="9" outlineLevel="1">
      <c r="A9" s="167"/>
      <c r="B9" s="167" t="str">
        <f>Assumptions!B75</f>
        <v>Monthly SaaS Stream 1</v>
      </c>
      <c r="C9" s="167"/>
      <c r="D9" s="167"/>
      <c r="E9" s="167"/>
      <c r="F9" s="167">
        <f>Assumptions!G84</f>
        <v>1892.5</v>
      </c>
      <c r="G9" s="167">
        <f>Assumptions!H84</f>
        <v>3879.825</v>
      </c>
      <c r="H9" s="167">
        <f>Assumptions!I84</f>
        <v>5922.723938</v>
      </c>
      <c r="I9" s="167">
        <f>Assumptions!J84</f>
        <v>8029.566758</v>
      </c>
      <c r="J9" s="167">
        <f>Assumptions!K84</f>
        <v>10215.245</v>
      </c>
      <c r="K9" s="167">
        <f>Assumptions!L84</f>
        <v>12485.51326</v>
      </c>
      <c r="L9" s="167">
        <f>Assumptions!M84</f>
        <v>14696.1133</v>
      </c>
      <c r="M9" s="167">
        <f>Assumptions!N84</f>
        <v>16851.40466</v>
      </c>
      <c r="N9" s="167">
        <f>Assumptions!O84</f>
        <v>18952.81308</v>
      </c>
      <c r="O9" s="167">
        <f>Assumptions!P84</f>
        <v>21001.68628</v>
      </c>
      <c r="P9" s="167">
        <f>Assumptions!Q84</f>
        <v>23004.33765</v>
      </c>
      <c r="Q9" s="167">
        <f>Assumptions!R84</f>
        <v>24956.99774</v>
      </c>
      <c r="R9" s="167">
        <f>Assumptions!S84</f>
        <v>26860.84245</v>
      </c>
      <c r="S9" s="167">
        <f>Assumptions!T84</f>
        <v>28717.09106</v>
      </c>
      <c r="T9" s="167">
        <f>Assumptions!U84</f>
        <v>30526.93345</v>
      </c>
      <c r="U9" s="167">
        <f>Assumptions!V84</f>
        <v>32291.52978</v>
      </c>
      <c r="V9" s="167">
        <f>Assumptions!W84</f>
        <v>34012.01121</v>
      </c>
      <c r="W9" s="167">
        <f>Assumptions!X84</f>
        <v>35689.4806</v>
      </c>
      <c r="X9" s="167">
        <f>Assumptions!Y84</f>
        <v>37325.01325</v>
      </c>
      <c r="Y9" s="167">
        <f>Assumptions!Z84</f>
        <v>38919.65759</v>
      </c>
      <c r="Z9" s="167">
        <f>Assumptions!AA84</f>
        <v>40474.43582</v>
      </c>
      <c r="AA9" s="167">
        <f>Assumptions!AB84</f>
        <v>41990.3446</v>
      </c>
      <c r="AB9" s="167">
        <f>Assumptions!AC84</f>
        <v>43468.35565</v>
      </c>
      <c r="AC9" s="167">
        <f>Assumptions!AD84</f>
        <v>44909.41643</v>
      </c>
      <c r="AD9" s="167">
        <f>Assumptions!AE84</f>
        <v>46314.45069</v>
      </c>
      <c r="AE9" s="167">
        <f>Assumptions!AF84</f>
        <v>47684.35909</v>
      </c>
      <c r="AF9" s="167">
        <f>Assumptions!AG84</f>
        <v>49020.01979</v>
      </c>
      <c r="AG9" s="167">
        <f>Assumptions!AH84</f>
        <v>50322.28896</v>
      </c>
      <c r="AH9" s="167">
        <f>Assumptions!AI84</f>
        <v>51592.00141</v>
      </c>
      <c r="AI9" s="167">
        <f>Assumptions!AJ84</f>
        <v>52829.97104</v>
      </c>
      <c r="AJ9" s="167">
        <f>Assumptions!AK84</f>
        <v>54036.99144</v>
      </c>
      <c r="AK9" s="167">
        <f>Assumptions!AL84</f>
        <v>55213.83632</v>
      </c>
      <c r="AL9" s="167">
        <f>Assumptions!AM84</f>
        <v>56361.26008</v>
      </c>
      <c r="AM9" s="167">
        <f>Assumptions!AN84</f>
        <v>57479.99825</v>
      </c>
      <c r="AN9" s="167">
        <f>Assumptions!AO84</f>
        <v>58570.76796</v>
      </c>
      <c r="AO9" s="167">
        <f>Assumptions!AP84</f>
        <v>59634.26844</v>
      </c>
      <c r="AP9" s="167">
        <f>Assumptions!AQ84</f>
        <v>60671.18139</v>
      </c>
      <c r="AQ9" s="167">
        <f>Assumptions!AR84</f>
        <v>61682.17153</v>
      </c>
      <c r="AR9" s="167">
        <f>Assumptions!AS84</f>
        <v>62667.88691</v>
      </c>
      <c r="AS9" s="167">
        <f>Assumptions!AT84</f>
        <v>63628.95941</v>
      </c>
      <c r="AT9" s="167">
        <f>Assumptions!AU84</f>
        <v>64566.00509</v>
      </c>
      <c r="AU9" s="167">
        <f>Assumptions!AV84</f>
        <v>65479.62464</v>
      </c>
      <c r="AV9" s="167">
        <f>Assumptions!AW84</f>
        <v>66370.40369</v>
      </c>
      <c r="AW9" s="167">
        <f>Assumptions!AX84</f>
        <v>67238.91327</v>
      </c>
      <c r="AX9" s="167">
        <f>Assumptions!AY84</f>
        <v>68085.71011</v>
      </c>
      <c r="AY9" s="167">
        <f>Assumptions!AZ84</f>
        <v>68911.33702</v>
      </c>
      <c r="AZ9" s="167">
        <f>Assumptions!BA84</f>
        <v>69716.32327</v>
      </c>
      <c r="BA9" s="167">
        <f>Assumptions!BB84</f>
        <v>70501.18486</v>
      </c>
      <c r="BB9" s="167">
        <f>Assumptions!BC84</f>
        <v>71266.42491</v>
      </c>
      <c r="BC9" s="167">
        <f>Assumptions!BD84</f>
        <v>72012.53395</v>
      </c>
      <c r="BD9" s="167">
        <f>Assumptions!BE84</f>
        <v>72739.99027</v>
      </c>
      <c r="BE9" s="167">
        <f>Assumptions!BF84</f>
        <v>73449.26019</v>
      </c>
      <c r="BF9" s="167">
        <f>Assumptions!BG84</f>
        <v>74140.79835</v>
      </c>
      <c r="BG9" s="167">
        <f>Assumptions!BH84</f>
        <v>74815.04806</v>
      </c>
      <c r="BH9" s="167">
        <f>Assumptions!BI84</f>
        <v>75472.44153</v>
      </c>
      <c r="BI9" s="167">
        <f>Assumptions!BJ84</f>
        <v>76113.40016</v>
      </c>
      <c r="BJ9" s="167">
        <f>Assumptions!BK84</f>
        <v>76738.33483</v>
      </c>
      <c r="BK9" s="167">
        <f>Assumptions!BL84</f>
        <v>77347.64613</v>
      </c>
      <c r="BL9" s="167">
        <f>Assumptions!BM84</f>
        <v>77941.72465</v>
      </c>
      <c r="BM9" s="167">
        <f>Assumptions!BN84</f>
        <v>78520.9512</v>
      </c>
    </row>
    <row r="10" outlineLevel="1">
      <c r="A10" s="167"/>
      <c r="B10" s="167" t="str">
        <f>Assumptions!B86</f>
        <v>Monthly SaaS Stream 2</v>
      </c>
      <c r="C10" s="167"/>
      <c r="D10" s="167"/>
      <c r="E10" s="167"/>
      <c r="F10" s="167">
        <f>Assumptions!G95</f>
        <v>2838.75</v>
      </c>
      <c r="G10" s="167">
        <f>Assumptions!H95</f>
        <v>5890.70625</v>
      </c>
      <c r="H10" s="167">
        <f>Assumptions!I95</f>
        <v>9100.548094</v>
      </c>
      <c r="I10" s="167">
        <f>Assumptions!J95</f>
        <v>12482.91447</v>
      </c>
      <c r="J10" s="167">
        <f>Assumptions!K95</f>
        <v>16062.54059</v>
      </c>
      <c r="K10" s="167">
        <f>Assumptions!L95</f>
        <v>19851.01467</v>
      </c>
      <c r="L10" s="167">
        <f>Assumptions!M95</f>
        <v>23635.12147</v>
      </c>
      <c r="M10" s="167">
        <f>Assumptions!N95</f>
        <v>27419.16276</v>
      </c>
      <c r="N10" s="167">
        <f>Assumptions!O95</f>
        <v>31203.20307</v>
      </c>
      <c r="O10" s="167">
        <f>Assumptions!P95</f>
        <v>34987.24336</v>
      </c>
      <c r="P10" s="167">
        <f>Assumptions!Q95</f>
        <v>38778.78365</v>
      </c>
      <c r="Q10" s="167">
        <f>Assumptions!R95</f>
        <v>42570.43644</v>
      </c>
      <c r="R10" s="167">
        <f>Assumptions!S95</f>
        <v>46362.09092</v>
      </c>
      <c r="S10" s="167">
        <f>Assumptions!T95</f>
        <v>50153.74543</v>
      </c>
      <c r="T10" s="167">
        <f>Assumptions!U95</f>
        <v>53945.39993</v>
      </c>
      <c r="U10" s="167">
        <f>Assumptions!V95</f>
        <v>57737.05444</v>
      </c>
      <c r="V10" s="167">
        <f>Assumptions!W95</f>
        <v>61528.70894</v>
      </c>
      <c r="W10" s="167">
        <f>Assumptions!X95</f>
        <v>65320.36345</v>
      </c>
      <c r="X10" s="167">
        <f>Assumptions!Y95</f>
        <v>69112.01795</v>
      </c>
      <c r="Y10" s="167">
        <f>Assumptions!Z95</f>
        <v>72903.67246</v>
      </c>
      <c r="Z10" s="167">
        <f>Assumptions!AA95</f>
        <v>76695.32696</v>
      </c>
      <c r="AA10" s="167">
        <f>Assumptions!AB95</f>
        <v>80486.98147</v>
      </c>
      <c r="AB10" s="167">
        <f>Assumptions!AC95</f>
        <v>84278.63597</v>
      </c>
      <c r="AC10" s="167">
        <f>Assumptions!AD95</f>
        <v>88070.29048</v>
      </c>
      <c r="AD10" s="167">
        <f>Assumptions!AE95</f>
        <v>91861.94498</v>
      </c>
      <c r="AE10" s="167">
        <f>Assumptions!AF95</f>
        <v>95653.59949</v>
      </c>
      <c r="AF10" s="167">
        <f>Assumptions!AG95</f>
        <v>99445.25399</v>
      </c>
      <c r="AG10" s="167">
        <f>Assumptions!AH95</f>
        <v>103236.9085</v>
      </c>
      <c r="AH10" s="167">
        <f>Assumptions!AI95</f>
        <v>107028.563</v>
      </c>
      <c r="AI10" s="167">
        <f>Assumptions!AJ95</f>
        <v>110820.2175</v>
      </c>
      <c r="AJ10" s="167">
        <f>Assumptions!AK95</f>
        <v>114611.872</v>
      </c>
      <c r="AK10" s="167">
        <f>Assumptions!AL95</f>
        <v>118403.5265</v>
      </c>
      <c r="AL10" s="167">
        <f>Assumptions!AM95</f>
        <v>122195.181</v>
      </c>
      <c r="AM10" s="167">
        <f>Assumptions!AN95</f>
        <v>125986.8355</v>
      </c>
      <c r="AN10" s="167">
        <f>Assumptions!AO95</f>
        <v>129778.49</v>
      </c>
      <c r="AO10" s="167">
        <f>Assumptions!AP95</f>
        <v>133570.1445</v>
      </c>
      <c r="AP10" s="167">
        <f>Assumptions!AQ95</f>
        <v>137361.799</v>
      </c>
      <c r="AQ10" s="167">
        <f>Assumptions!AR95</f>
        <v>141153.4535</v>
      </c>
      <c r="AR10" s="167">
        <f>Assumptions!AS95</f>
        <v>144945.1081</v>
      </c>
      <c r="AS10" s="167">
        <f>Assumptions!AT95</f>
        <v>148736.7626</v>
      </c>
      <c r="AT10" s="167">
        <f>Assumptions!AU95</f>
        <v>152528.4171</v>
      </c>
      <c r="AU10" s="167">
        <f>Assumptions!AV95</f>
        <v>156320.0716</v>
      </c>
      <c r="AV10" s="167">
        <f>Assumptions!AW95</f>
        <v>160111.7261</v>
      </c>
      <c r="AW10" s="167">
        <f>Assumptions!AX95</f>
        <v>163903.3806</v>
      </c>
      <c r="AX10" s="167">
        <f>Assumptions!AY95</f>
        <v>167695.0351</v>
      </c>
      <c r="AY10" s="167">
        <f>Assumptions!AZ95</f>
        <v>171486.6896</v>
      </c>
      <c r="AZ10" s="167">
        <f>Assumptions!BA95</f>
        <v>175278.3441</v>
      </c>
      <c r="BA10" s="167">
        <f>Assumptions!BB95</f>
        <v>179069.9986</v>
      </c>
      <c r="BB10" s="167">
        <f>Assumptions!BC95</f>
        <v>182861.6531</v>
      </c>
      <c r="BC10" s="167">
        <f>Assumptions!BD95</f>
        <v>186653.3076</v>
      </c>
      <c r="BD10" s="167">
        <f>Assumptions!BE95</f>
        <v>190444.9621</v>
      </c>
      <c r="BE10" s="167">
        <f>Assumptions!BF95</f>
        <v>194236.6166</v>
      </c>
      <c r="BF10" s="167">
        <f>Assumptions!BG95</f>
        <v>198028.2711</v>
      </c>
      <c r="BG10" s="167">
        <f>Assumptions!BH95</f>
        <v>201819.9256</v>
      </c>
      <c r="BH10" s="167">
        <f>Assumptions!BI95</f>
        <v>205611.5801</v>
      </c>
      <c r="BI10" s="167">
        <f>Assumptions!BJ95</f>
        <v>209403.2346</v>
      </c>
      <c r="BJ10" s="167">
        <f>Assumptions!BK95</f>
        <v>213194.8891</v>
      </c>
      <c r="BK10" s="167">
        <f>Assumptions!BL95</f>
        <v>216986.5436</v>
      </c>
      <c r="BL10" s="167">
        <f>Assumptions!BM95</f>
        <v>220778.1982</v>
      </c>
      <c r="BM10" s="167">
        <f>Assumptions!BN95</f>
        <v>224569.8527</v>
      </c>
    </row>
    <row r="11" outlineLevel="1">
      <c r="A11" s="167"/>
      <c r="B11" s="167" t="str">
        <f>Assumptions!B97</f>
        <v>Monthly SaaS Stream 3</v>
      </c>
      <c r="C11" s="167"/>
      <c r="D11" s="167"/>
      <c r="E11" s="167"/>
      <c r="F11" s="167">
        <f>Assumptions!G106</f>
        <v>3785</v>
      </c>
      <c r="G11" s="167">
        <f>Assumptions!H106</f>
        <v>7854.275</v>
      </c>
      <c r="H11" s="167">
        <f>Assumptions!I106</f>
        <v>12134.06413</v>
      </c>
      <c r="I11" s="167">
        <f>Assumptions!J106</f>
        <v>16643.88596</v>
      </c>
      <c r="J11" s="167">
        <f>Assumptions!K106</f>
        <v>21416.72079</v>
      </c>
      <c r="K11" s="167">
        <f>Assumptions!L106</f>
        <v>26468.01956</v>
      </c>
      <c r="L11" s="167">
        <f>Assumptions!M106</f>
        <v>31513.49529</v>
      </c>
      <c r="M11" s="167">
        <f>Assumptions!N106</f>
        <v>36558.88368</v>
      </c>
      <c r="N11" s="167">
        <f>Assumptions!O106</f>
        <v>41604.27076</v>
      </c>
      <c r="O11" s="167">
        <f>Assumptions!P106</f>
        <v>46649.65781</v>
      </c>
      <c r="P11" s="167">
        <f>Assumptions!Q106</f>
        <v>51705.04487</v>
      </c>
      <c r="Q11" s="167">
        <f>Assumptions!R106</f>
        <v>56760.58192</v>
      </c>
      <c r="R11" s="167">
        <f>Assumptions!S106</f>
        <v>61816.12123</v>
      </c>
      <c r="S11" s="167">
        <f>Assumptions!T106</f>
        <v>66871.66057</v>
      </c>
      <c r="T11" s="167">
        <f>Assumptions!U106</f>
        <v>71927.19991</v>
      </c>
      <c r="U11" s="167">
        <f>Assumptions!V106</f>
        <v>76982.73925</v>
      </c>
      <c r="V11" s="167">
        <f>Assumptions!W106</f>
        <v>82038.27859</v>
      </c>
      <c r="W11" s="167">
        <f>Assumptions!X106</f>
        <v>87093.81793</v>
      </c>
      <c r="X11" s="167">
        <f>Assumptions!Y106</f>
        <v>92149.35727</v>
      </c>
      <c r="Y11" s="167">
        <f>Assumptions!Z106</f>
        <v>97204.89661</v>
      </c>
      <c r="Z11" s="167">
        <f>Assumptions!AA106</f>
        <v>102260.4359</v>
      </c>
      <c r="AA11" s="167">
        <f>Assumptions!AB106</f>
        <v>107315.9753</v>
      </c>
      <c r="AB11" s="167">
        <f>Assumptions!AC106</f>
        <v>112371.5146</v>
      </c>
      <c r="AC11" s="167">
        <f>Assumptions!AD106</f>
        <v>117427.054</v>
      </c>
      <c r="AD11" s="167">
        <f>Assumptions!AE106</f>
        <v>122482.5933</v>
      </c>
      <c r="AE11" s="167">
        <f>Assumptions!AF106</f>
        <v>127538.1326</v>
      </c>
      <c r="AF11" s="167">
        <f>Assumptions!AG106</f>
        <v>132593.672</v>
      </c>
      <c r="AG11" s="167">
        <f>Assumptions!AH106</f>
        <v>137649.2113</v>
      </c>
      <c r="AH11" s="167">
        <f>Assumptions!AI106</f>
        <v>142704.7507</v>
      </c>
      <c r="AI11" s="167">
        <f>Assumptions!AJ106</f>
        <v>147760.29</v>
      </c>
      <c r="AJ11" s="167">
        <f>Assumptions!AK106</f>
        <v>152815.8294</v>
      </c>
      <c r="AK11" s="167">
        <f>Assumptions!AL106</f>
        <v>157871.3687</v>
      </c>
      <c r="AL11" s="167">
        <f>Assumptions!AM106</f>
        <v>162926.908</v>
      </c>
      <c r="AM11" s="167">
        <f>Assumptions!AN106</f>
        <v>167982.4474</v>
      </c>
      <c r="AN11" s="167">
        <f>Assumptions!AO106</f>
        <v>173037.9867</v>
      </c>
      <c r="AO11" s="167">
        <f>Assumptions!AP106</f>
        <v>178093.5261</v>
      </c>
      <c r="AP11" s="167">
        <f>Assumptions!AQ106</f>
        <v>183149.0654</v>
      </c>
      <c r="AQ11" s="167">
        <f>Assumptions!AR106</f>
        <v>188204.6047</v>
      </c>
      <c r="AR11" s="167">
        <f>Assumptions!AS106</f>
        <v>193260.1441</v>
      </c>
      <c r="AS11" s="167">
        <f>Assumptions!AT106</f>
        <v>198315.6834</v>
      </c>
      <c r="AT11" s="167">
        <f>Assumptions!AU106</f>
        <v>203371.2228</v>
      </c>
      <c r="AU11" s="167">
        <f>Assumptions!AV106</f>
        <v>208426.7621</v>
      </c>
      <c r="AV11" s="167">
        <f>Assumptions!AW106</f>
        <v>213482.3014</v>
      </c>
      <c r="AW11" s="167">
        <f>Assumptions!AX106</f>
        <v>218537.8408</v>
      </c>
      <c r="AX11" s="167">
        <f>Assumptions!AY106</f>
        <v>223593.3801</v>
      </c>
      <c r="AY11" s="167">
        <f>Assumptions!AZ106</f>
        <v>228648.9195</v>
      </c>
      <c r="AZ11" s="167">
        <f>Assumptions!BA106</f>
        <v>233704.4588</v>
      </c>
      <c r="BA11" s="167">
        <f>Assumptions!BB106</f>
        <v>238759.9981</v>
      </c>
      <c r="BB11" s="167">
        <f>Assumptions!BC106</f>
        <v>243815.5375</v>
      </c>
      <c r="BC11" s="167">
        <f>Assumptions!BD106</f>
        <v>248871.0768</v>
      </c>
      <c r="BD11" s="167">
        <f>Assumptions!BE106</f>
        <v>253926.6162</v>
      </c>
      <c r="BE11" s="167">
        <f>Assumptions!BF106</f>
        <v>258982.1555</v>
      </c>
      <c r="BF11" s="167">
        <f>Assumptions!BG106</f>
        <v>264037.6948</v>
      </c>
      <c r="BG11" s="167">
        <f>Assumptions!BH106</f>
        <v>269093.2342</v>
      </c>
      <c r="BH11" s="167">
        <f>Assumptions!BI106</f>
        <v>274148.7735</v>
      </c>
      <c r="BI11" s="167">
        <f>Assumptions!BJ106</f>
        <v>279204.3129</v>
      </c>
      <c r="BJ11" s="167">
        <f>Assumptions!BK106</f>
        <v>284259.8522</v>
      </c>
      <c r="BK11" s="167">
        <f>Assumptions!BL106</f>
        <v>289315.3915</v>
      </c>
      <c r="BL11" s="167">
        <f>Assumptions!BM106</f>
        <v>294370.9309</v>
      </c>
      <c r="BM11" s="167">
        <f>Assumptions!BN106</f>
        <v>299426.4702</v>
      </c>
    </row>
    <row r="12" outlineLevel="1">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row>
    <row r="13" outlineLevel="1">
      <c r="A13" s="167"/>
      <c r="B13" s="168" t="s">
        <v>150</v>
      </c>
      <c r="C13" s="169"/>
      <c r="D13" s="169"/>
      <c r="E13" s="169"/>
      <c r="F13" s="169">
        <f>Assumptions!G150</f>
        <v>2980.6875</v>
      </c>
      <c r="G13" s="169">
        <f>Assumptions!H150</f>
        <v>6168.682188</v>
      </c>
      <c r="H13" s="169">
        <f>Assumptions!I150</f>
        <v>9505.067655</v>
      </c>
      <c r="I13" s="169">
        <f>Assumptions!J150</f>
        <v>13004.72852</v>
      </c>
      <c r="J13" s="169">
        <f>Assumptions!K150</f>
        <v>16693.07723</v>
      </c>
      <c r="K13" s="169">
        <f>Assumptions!L150</f>
        <v>20581.59162</v>
      </c>
      <c r="L13" s="169">
        <f>Assumptions!M150</f>
        <v>24445.65552</v>
      </c>
      <c r="M13" s="169">
        <f>Assumptions!N150</f>
        <v>28290.30788</v>
      </c>
      <c r="N13" s="169">
        <f>Assumptions!O150</f>
        <v>32116.10042</v>
      </c>
      <c r="O13" s="169">
        <f>Assumptions!P150</f>
        <v>35923.50561</v>
      </c>
      <c r="P13" s="169">
        <f>Assumptions!Q150</f>
        <v>39720.85816</v>
      </c>
      <c r="Q13" s="169">
        <f>Assumptions!R150</f>
        <v>43500.80564</v>
      </c>
      <c r="R13" s="169">
        <f>Assumptions!S150</f>
        <v>47263.66911</v>
      </c>
      <c r="S13" s="169">
        <f>Assumptions!T150</f>
        <v>51009.87397</v>
      </c>
      <c r="T13" s="169">
        <f>Assumptions!U150</f>
        <v>54739.83665</v>
      </c>
      <c r="U13" s="169">
        <f>Assumptions!V150</f>
        <v>58453.96321</v>
      </c>
      <c r="V13" s="169">
        <f>Assumptions!W150</f>
        <v>62152.64956</v>
      </c>
      <c r="W13" s="169">
        <f>Assumptions!X150</f>
        <v>65836.28169</v>
      </c>
      <c r="X13" s="169">
        <f>Assumptions!Y150</f>
        <v>69505.23597</v>
      </c>
      <c r="Y13" s="169">
        <f>Assumptions!Z150</f>
        <v>73159.87933</v>
      </c>
      <c r="Z13" s="169">
        <f>Assumptions!AA150</f>
        <v>76800.56956</v>
      </c>
      <c r="AA13" s="169">
        <f>Assumptions!AB150</f>
        <v>80427.65547</v>
      </c>
      <c r="AB13" s="169">
        <f>Assumptions!AC150</f>
        <v>84041.47719</v>
      </c>
      <c r="AC13" s="169">
        <f>Assumptions!AD150</f>
        <v>87642.36631</v>
      </c>
      <c r="AD13" s="169">
        <f>Assumptions!AE150</f>
        <v>91230.64614</v>
      </c>
      <c r="AE13" s="169">
        <f>Assumptions!AF150</f>
        <v>94806.63193</v>
      </c>
      <c r="AF13" s="169">
        <f>Assumptions!AG150</f>
        <v>98370.63102</v>
      </c>
      <c r="AG13" s="169">
        <f>Assumptions!AH150</f>
        <v>101922.9431</v>
      </c>
      <c r="AH13" s="169">
        <f>Assumptions!AI150</f>
        <v>105463.8603</v>
      </c>
      <c r="AI13" s="169">
        <f>Assumptions!AJ150</f>
        <v>108993.6675</v>
      </c>
      <c r="AJ13" s="169">
        <f>Assumptions!AK150</f>
        <v>112512.6425</v>
      </c>
      <c r="AK13" s="169">
        <f>Assumptions!AL150</f>
        <v>116021.056</v>
      </c>
      <c r="AL13" s="169">
        <f>Assumptions!AM150</f>
        <v>119519.1722</v>
      </c>
      <c r="AM13" s="169">
        <f>Assumptions!AN150</f>
        <v>123007.2484</v>
      </c>
      <c r="AN13" s="169">
        <f>Assumptions!AO150</f>
        <v>126485.5356</v>
      </c>
      <c r="AO13" s="169">
        <f>Assumptions!AP150</f>
        <v>129954.2787</v>
      </c>
      <c r="AP13" s="169">
        <f>Assumptions!AQ150</f>
        <v>133413.716</v>
      </c>
      <c r="AQ13" s="169">
        <f>Assumptions!AR150</f>
        <v>136864.0804</v>
      </c>
      <c r="AR13" s="169">
        <f>Assumptions!AS150</f>
        <v>140305.5987</v>
      </c>
      <c r="AS13" s="169">
        <f>Assumptions!AT150</f>
        <v>143738.4919</v>
      </c>
      <c r="AT13" s="169">
        <f>Assumptions!AU150</f>
        <v>147162.9757</v>
      </c>
      <c r="AU13" s="169">
        <f>Assumptions!AV150</f>
        <v>150579.2604</v>
      </c>
      <c r="AV13" s="169">
        <f>Assumptions!AW150</f>
        <v>153987.5509</v>
      </c>
      <c r="AW13" s="169">
        <f>Assumptions!AX150</f>
        <v>157388.0471</v>
      </c>
      <c r="AX13" s="169">
        <f>Assumptions!AY150</f>
        <v>160780.9439</v>
      </c>
      <c r="AY13" s="169">
        <f>Assumptions!AZ150</f>
        <v>164166.4311</v>
      </c>
      <c r="AZ13" s="169">
        <f>Assumptions!BA150</f>
        <v>167544.6942</v>
      </c>
      <c r="BA13" s="169">
        <f>Assumptions!BB150</f>
        <v>170915.9136</v>
      </c>
      <c r="BB13" s="169">
        <f>Assumptions!BC150</f>
        <v>174280.2654</v>
      </c>
      <c r="BC13" s="169">
        <f>Assumptions!BD150</f>
        <v>177637.9214</v>
      </c>
      <c r="BD13" s="169">
        <f>Assumptions!BE150</f>
        <v>180989.049</v>
      </c>
      <c r="BE13" s="169">
        <f>Assumptions!BF150</f>
        <v>184333.8113</v>
      </c>
      <c r="BF13" s="169">
        <f>Assumptions!BG150</f>
        <v>187672.3675</v>
      </c>
      <c r="BG13" s="169">
        <f>Assumptions!BH150</f>
        <v>191004.8728</v>
      </c>
      <c r="BH13" s="169">
        <f>Assumptions!BI150</f>
        <v>194331.4783</v>
      </c>
      <c r="BI13" s="169">
        <f>Assumptions!BJ150</f>
        <v>197652.3317</v>
      </c>
      <c r="BJ13" s="169">
        <f>Assumptions!BK150</f>
        <v>200967.5767</v>
      </c>
      <c r="BK13" s="169">
        <f>Assumptions!BL150</f>
        <v>204277.3535</v>
      </c>
      <c r="BL13" s="169">
        <f>Assumptions!BM150</f>
        <v>207581.7988</v>
      </c>
      <c r="BM13" s="169">
        <f>Assumptions!BN150</f>
        <v>210881.0459</v>
      </c>
    </row>
    <row r="14" outlineLevel="1">
      <c r="A14" s="167"/>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7"/>
      <c r="AX14" s="167"/>
      <c r="AY14" s="167"/>
      <c r="AZ14" s="167"/>
      <c r="BA14" s="167"/>
      <c r="BB14" s="167"/>
      <c r="BC14" s="167"/>
      <c r="BD14" s="167"/>
      <c r="BE14" s="167"/>
      <c r="BF14" s="167"/>
      <c r="BG14" s="167"/>
      <c r="BH14" s="167"/>
      <c r="BI14" s="167"/>
      <c r="BJ14" s="167"/>
      <c r="BK14" s="167"/>
      <c r="BL14" s="167"/>
      <c r="BM14" s="167"/>
    </row>
    <row r="15" outlineLevel="1">
      <c r="A15" s="167"/>
      <c r="B15" s="170" t="s">
        <v>151</v>
      </c>
      <c r="C15" s="171"/>
      <c r="D15" s="171"/>
      <c r="E15" s="171"/>
      <c r="F15" s="172">
        <f t="shared" ref="F15:BM15" si="6">F8-F13</f>
        <v>5535.5625</v>
      </c>
      <c r="G15" s="172">
        <f t="shared" si="6"/>
        <v>11456.12406</v>
      </c>
      <c r="H15" s="172">
        <f t="shared" si="6"/>
        <v>17652.2685</v>
      </c>
      <c r="I15" s="172">
        <f t="shared" si="6"/>
        <v>24151.63867</v>
      </c>
      <c r="J15" s="172">
        <f t="shared" si="6"/>
        <v>31001.42915</v>
      </c>
      <c r="K15" s="172">
        <f t="shared" si="6"/>
        <v>38222.95587</v>
      </c>
      <c r="L15" s="172">
        <f t="shared" si="6"/>
        <v>45399.07454</v>
      </c>
      <c r="M15" s="172">
        <f t="shared" si="6"/>
        <v>52539.14321</v>
      </c>
      <c r="N15" s="172">
        <f t="shared" si="6"/>
        <v>59644.18649</v>
      </c>
      <c r="O15" s="172">
        <f t="shared" si="6"/>
        <v>66715.08184</v>
      </c>
      <c r="P15" s="172">
        <f t="shared" si="6"/>
        <v>73767.30801</v>
      </c>
      <c r="Q15" s="172">
        <f t="shared" si="6"/>
        <v>80787.21047</v>
      </c>
      <c r="R15" s="172">
        <f t="shared" si="6"/>
        <v>87775.38549</v>
      </c>
      <c r="S15" s="172">
        <f t="shared" si="6"/>
        <v>94732.62308</v>
      </c>
      <c r="T15" s="172">
        <f t="shared" si="6"/>
        <v>101659.6966</v>
      </c>
      <c r="U15" s="172">
        <f t="shared" si="6"/>
        <v>108557.3603</v>
      </c>
      <c r="V15" s="172">
        <f t="shared" si="6"/>
        <v>115426.3492</v>
      </c>
      <c r="W15" s="172">
        <f t="shared" si="6"/>
        <v>122267.3803</v>
      </c>
      <c r="X15" s="172">
        <f t="shared" si="6"/>
        <v>129081.1525</v>
      </c>
      <c r="Y15" s="172">
        <f t="shared" si="6"/>
        <v>135868.3473</v>
      </c>
      <c r="Z15" s="172">
        <f t="shared" si="6"/>
        <v>142629.6292</v>
      </c>
      <c r="AA15" s="172">
        <f t="shared" si="6"/>
        <v>149365.6459</v>
      </c>
      <c r="AB15" s="172">
        <f t="shared" si="6"/>
        <v>156077.0291</v>
      </c>
      <c r="AC15" s="172">
        <f t="shared" si="6"/>
        <v>162764.3946</v>
      </c>
      <c r="AD15" s="172">
        <f t="shared" si="6"/>
        <v>169428.3428</v>
      </c>
      <c r="AE15" s="172">
        <f t="shared" si="6"/>
        <v>176069.4593</v>
      </c>
      <c r="AF15" s="172">
        <f t="shared" si="6"/>
        <v>182688.3147</v>
      </c>
      <c r="AG15" s="172">
        <f t="shared" si="6"/>
        <v>189285.4657</v>
      </c>
      <c r="AH15" s="172">
        <f t="shared" si="6"/>
        <v>195861.4548</v>
      </c>
      <c r="AI15" s="172">
        <f t="shared" si="6"/>
        <v>202416.8111</v>
      </c>
      <c r="AJ15" s="172">
        <f t="shared" si="6"/>
        <v>208952.0503</v>
      </c>
      <c r="AK15" s="172">
        <f t="shared" si="6"/>
        <v>215467.6755</v>
      </c>
      <c r="AL15" s="172">
        <f t="shared" si="6"/>
        <v>221964.1769</v>
      </c>
      <c r="AM15" s="172">
        <f t="shared" si="6"/>
        <v>228442.0327</v>
      </c>
      <c r="AN15" s="172">
        <f t="shared" si="6"/>
        <v>234901.7091</v>
      </c>
      <c r="AO15" s="172">
        <f t="shared" si="6"/>
        <v>241343.6604</v>
      </c>
      <c r="AP15" s="172">
        <f t="shared" si="6"/>
        <v>247768.3298</v>
      </c>
      <c r="AQ15" s="172">
        <f t="shared" si="6"/>
        <v>254176.1494</v>
      </c>
      <c r="AR15" s="172">
        <f t="shared" si="6"/>
        <v>260567.5404</v>
      </c>
      <c r="AS15" s="172">
        <f t="shared" si="6"/>
        <v>266942.9135</v>
      </c>
      <c r="AT15" s="172">
        <f t="shared" si="6"/>
        <v>273302.6692</v>
      </c>
      <c r="AU15" s="172">
        <f t="shared" si="6"/>
        <v>279647.1979</v>
      </c>
      <c r="AV15" s="172">
        <f t="shared" si="6"/>
        <v>285976.8803</v>
      </c>
      <c r="AW15" s="172">
        <f t="shared" si="6"/>
        <v>292292.0875</v>
      </c>
      <c r="AX15" s="172">
        <f t="shared" si="6"/>
        <v>298593.1814</v>
      </c>
      <c r="AY15" s="172">
        <f t="shared" si="6"/>
        <v>304880.5149</v>
      </c>
      <c r="AZ15" s="172">
        <f t="shared" si="6"/>
        <v>311154.432</v>
      </c>
      <c r="BA15" s="172">
        <f t="shared" si="6"/>
        <v>317415.268</v>
      </c>
      <c r="BB15" s="172">
        <f t="shared" si="6"/>
        <v>323663.3501</v>
      </c>
      <c r="BC15" s="172">
        <f t="shared" si="6"/>
        <v>329898.9969</v>
      </c>
      <c r="BD15" s="172">
        <f t="shared" si="6"/>
        <v>336122.5196</v>
      </c>
      <c r="BE15" s="172">
        <f t="shared" si="6"/>
        <v>342334.221</v>
      </c>
      <c r="BF15" s="172">
        <f t="shared" si="6"/>
        <v>348534.3968</v>
      </c>
      <c r="BG15" s="172">
        <f t="shared" si="6"/>
        <v>354723.3351</v>
      </c>
      <c r="BH15" s="172">
        <f t="shared" si="6"/>
        <v>360901.3169</v>
      </c>
      <c r="BI15" s="172">
        <f t="shared" si="6"/>
        <v>367068.616</v>
      </c>
      <c r="BJ15" s="172">
        <f t="shared" si="6"/>
        <v>373225.4995</v>
      </c>
      <c r="BK15" s="172">
        <f t="shared" si="6"/>
        <v>379372.2279</v>
      </c>
      <c r="BL15" s="172">
        <f t="shared" si="6"/>
        <v>385509.0549</v>
      </c>
      <c r="BM15" s="172">
        <f t="shared" si="6"/>
        <v>391636.2281</v>
      </c>
    </row>
    <row r="16" outlineLevel="1">
      <c r="A16" s="173"/>
      <c r="B16" s="174" t="s">
        <v>152</v>
      </c>
      <c r="C16" s="173"/>
      <c r="D16" s="173"/>
      <c r="E16" s="173"/>
      <c r="F16" s="175">
        <f t="shared" ref="F16:BM16" si="7">F15/F8</f>
        <v>0.65</v>
      </c>
      <c r="G16" s="175">
        <f t="shared" si="7"/>
        <v>0.65</v>
      </c>
      <c r="H16" s="175">
        <f t="shared" si="7"/>
        <v>0.65</v>
      </c>
      <c r="I16" s="175">
        <f t="shared" si="7"/>
        <v>0.65</v>
      </c>
      <c r="J16" s="175">
        <f t="shared" si="7"/>
        <v>0.65</v>
      </c>
      <c r="K16" s="175">
        <f t="shared" si="7"/>
        <v>0.65</v>
      </c>
      <c r="L16" s="175">
        <f t="shared" si="7"/>
        <v>0.65</v>
      </c>
      <c r="M16" s="175">
        <f t="shared" si="7"/>
        <v>0.65</v>
      </c>
      <c r="N16" s="175">
        <f t="shared" si="7"/>
        <v>0.65</v>
      </c>
      <c r="O16" s="175">
        <f t="shared" si="7"/>
        <v>0.65</v>
      </c>
      <c r="P16" s="175">
        <f t="shared" si="7"/>
        <v>0.65</v>
      </c>
      <c r="Q16" s="175">
        <f t="shared" si="7"/>
        <v>0.65</v>
      </c>
      <c r="R16" s="175">
        <f t="shared" si="7"/>
        <v>0.65</v>
      </c>
      <c r="S16" s="175">
        <f t="shared" si="7"/>
        <v>0.65</v>
      </c>
      <c r="T16" s="175">
        <f t="shared" si="7"/>
        <v>0.65</v>
      </c>
      <c r="U16" s="175">
        <f t="shared" si="7"/>
        <v>0.65</v>
      </c>
      <c r="V16" s="175">
        <f t="shared" si="7"/>
        <v>0.65</v>
      </c>
      <c r="W16" s="175">
        <f t="shared" si="7"/>
        <v>0.65</v>
      </c>
      <c r="X16" s="175">
        <f t="shared" si="7"/>
        <v>0.65</v>
      </c>
      <c r="Y16" s="175">
        <f t="shared" si="7"/>
        <v>0.65</v>
      </c>
      <c r="Z16" s="175">
        <f t="shared" si="7"/>
        <v>0.65</v>
      </c>
      <c r="AA16" s="175">
        <f t="shared" si="7"/>
        <v>0.65</v>
      </c>
      <c r="AB16" s="175">
        <f t="shared" si="7"/>
        <v>0.65</v>
      </c>
      <c r="AC16" s="175">
        <f t="shared" si="7"/>
        <v>0.65</v>
      </c>
      <c r="AD16" s="175">
        <f t="shared" si="7"/>
        <v>0.65</v>
      </c>
      <c r="AE16" s="175">
        <f t="shared" si="7"/>
        <v>0.65</v>
      </c>
      <c r="AF16" s="175">
        <f t="shared" si="7"/>
        <v>0.65</v>
      </c>
      <c r="AG16" s="175">
        <f t="shared" si="7"/>
        <v>0.65</v>
      </c>
      <c r="AH16" s="175">
        <f t="shared" si="7"/>
        <v>0.65</v>
      </c>
      <c r="AI16" s="175">
        <f t="shared" si="7"/>
        <v>0.65</v>
      </c>
      <c r="AJ16" s="175">
        <f t="shared" si="7"/>
        <v>0.65</v>
      </c>
      <c r="AK16" s="175">
        <f t="shared" si="7"/>
        <v>0.65</v>
      </c>
      <c r="AL16" s="175">
        <f t="shared" si="7"/>
        <v>0.65</v>
      </c>
      <c r="AM16" s="175">
        <f t="shared" si="7"/>
        <v>0.65</v>
      </c>
      <c r="AN16" s="175">
        <f t="shared" si="7"/>
        <v>0.65</v>
      </c>
      <c r="AO16" s="175">
        <f t="shared" si="7"/>
        <v>0.65</v>
      </c>
      <c r="AP16" s="175">
        <f t="shared" si="7"/>
        <v>0.65</v>
      </c>
      <c r="AQ16" s="175">
        <f t="shared" si="7"/>
        <v>0.65</v>
      </c>
      <c r="AR16" s="175">
        <f t="shared" si="7"/>
        <v>0.65</v>
      </c>
      <c r="AS16" s="175">
        <f t="shared" si="7"/>
        <v>0.65</v>
      </c>
      <c r="AT16" s="175">
        <f t="shared" si="7"/>
        <v>0.65</v>
      </c>
      <c r="AU16" s="175">
        <f t="shared" si="7"/>
        <v>0.65</v>
      </c>
      <c r="AV16" s="175">
        <f t="shared" si="7"/>
        <v>0.65</v>
      </c>
      <c r="AW16" s="175">
        <f t="shared" si="7"/>
        <v>0.65</v>
      </c>
      <c r="AX16" s="175">
        <f t="shared" si="7"/>
        <v>0.65</v>
      </c>
      <c r="AY16" s="175">
        <f t="shared" si="7"/>
        <v>0.65</v>
      </c>
      <c r="AZ16" s="175">
        <f t="shared" si="7"/>
        <v>0.65</v>
      </c>
      <c r="BA16" s="175">
        <f t="shared" si="7"/>
        <v>0.65</v>
      </c>
      <c r="BB16" s="175">
        <f t="shared" si="7"/>
        <v>0.65</v>
      </c>
      <c r="BC16" s="175">
        <f t="shared" si="7"/>
        <v>0.65</v>
      </c>
      <c r="BD16" s="175">
        <f t="shared" si="7"/>
        <v>0.65</v>
      </c>
      <c r="BE16" s="175">
        <f t="shared" si="7"/>
        <v>0.65</v>
      </c>
      <c r="BF16" s="175">
        <f t="shared" si="7"/>
        <v>0.65</v>
      </c>
      <c r="BG16" s="175">
        <f t="shared" si="7"/>
        <v>0.65</v>
      </c>
      <c r="BH16" s="175">
        <f t="shared" si="7"/>
        <v>0.65</v>
      </c>
      <c r="BI16" s="175">
        <f t="shared" si="7"/>
        <v>0.65</v>
      </c>
      <c r="BJ16" s="175">
        <f t="shared" si="7"/>
        <v>0.65</v>
      </c>
      <c r="BK16" s="175">
        <f t="shared" si="7"/>
        <v>0.65</v>
      </c>
      <c r="BL16" s="175">
        <f t="shared" si="7"/>
        <v>0.65</v>
      </c>
      <c r="BM16" s="175">
        <f t="shared" si="7"/>
        <v>0.65</v>
      </c>
    </row>
    <row r="17" outlineLevel="1">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row>
    <row r="18" outlineLevel="1">
      <c r="A18" s="167"/>
      <c r="B18" s="176" t="s">
        <v>153</v>
      </c>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L18" s="167"/>
      <c r="AM18" s="167"/>
      <c r="AN18" s="167"/>
      <c r="AO18" s="167"/>
      <c r="AP18" s="167"/>
      <c r="AQ18" s="167"/>
      <c r="AR18" s="167"/>
      <c r="AS18" s="167"/>
      <c r="AT18" s="167"/>
      <c r="AU18" s="167"/>
      <c r="AV18" s="167"/>
      <c r="AW18" s="167"/>
      <c r="AX18" s="167"/>
      <c r="AY18" s="167"/>
      <c r="AZ18" s="167"/>
      <c r="BA18" s="167"/>
      <c r="BB18" s="167"/>
      <c r="BC18" s="167"/>
      <c r="BD18" s="167"/>
      <c r="BE18" s="167"/>
      <c r="BF18" s="167"/>
      <c r="BG18" s="167"/>
      <c r="BH18" s="167"/>
      <c r="BI18" s="167"/>
      <c r="BJ18" s="167"/>
      <c r="BK18" s="167"/>
      <c r="BL18" s="167"/>
      <c r="BM18" s="167"/>
    </row>
    <row r="19" outlineLevel="1">
      <c r="A19" s="167"/>
      <c r="B19" s="177" t="s">
        <v>154</v>
      </c>
      <c r="C19" s="167"/>
      <c r="D19" s="167"/>
      <c r="E19" s="167"/>
      <c r="F19" s="167">
        <f>SUM(Assumptions!G113:G137)</f>
        <v>218000</v>
      </c>
      <c r="G19" s="167">
        <f>SUM(Assumptions!H113:H137)</f>
        <v>218000</v>
      </c>
      <c r="H19" s="167">
        <f>SUM(Assumptions!I113:I137)</f>
        <v>218000</v>
      </c>
      <c r="I19" s="167">
        <f>SUM(Assumptions!J113:J137)</f>
        <v>218000</v>
      </c>
      <c r="J19" s="167">
        <f>SUM(Assumptions!K113:K137)</f>
        <v>218000</v>
      </c>
      <c r="K19" s="167">
        <f>SUM(Assumptions!L113:L137)</f>
        <v>218000</v>
      </c>
      <c r="L19" s="167">
        <f>SUM(Assumptions!M113:M137)</f>
        <v>218000</v>
      </c>
      <c r="M19" s="167">
        <f>SUM(Assumptions!N113:N137)</f>
        <v>218000</v>
      </c>
      <c r="N19" s="167">
        <f>SUM(Assumptions!O113:O137)</f>
        <v>218000</v>
      </c>
      <c r="O19" s="167">
        <f>SUM(Assumptions!P113:P137)</f>
        <v>218000</v>
      </c>
      <c r="P19" s="167">
        <f>SUM(Assumptions!Q113:Q137)</f>
        <v>218000</v>
      </c>
      <c r="Q19" s="167">
        <f>SUM(Assumptions!R113:R137)</f>
        <v>218000</v>
      </c>
      <c r="R19" s="167">
        <f>SUM(Assumptions!S113:S137)</f>
        <v>218000</v>
      </c>
      <c r="S19" s="167">
        <f>SUM(Assumptions!T113:T137)</f>
        <v>218000</v>
      </c>
      <c r="T19" s="167">
        <f>SUM(Assumptions!U113:U137)</f>
        <v>218000</v>
      </c>
      <c r="U19" s="167">
        <f>SUM(Assumptions!V113:V137)</f>
        <v>218000</v>
      </c>
      <c r="V19" s="167">
        <f>SUM(Assumptions!W113:W137)</f>
        <v>218000</v>
      </c>
      <c r="W19" s="167">
        <f>SUM(Assumptions!X113:X137)</f>
        <v>218000</v>
      </c>
      <c r="X19" s="167">
        <f>SUM(Assumptions!Y113:Y137)</f>
        <v>218000</v>
      </c>
      <c r="Y19" s="167">
        <f>SUM(Assumptions!Z113:Z137)</f>
        <v>218000</v>
      </c>
      <c r="Z19" s="167">
        <f>SUM(Assumptions!AA113:AA137)</f>
        <v>218000</v>
      </c>
      <c r="AA19" s="167">
        <f>SUM(Assumptions!AB113:AB137)</f>
        <v>218000</v>
      </c>
      <c r="AB19" s="167">
        <f>SUM(Assumptions!AC113:AC137)</f>
        <v>218000</v>
      </c>
      <c r="AC19" s="167">
        <f>SUM(Assumptions!AD113:AD137)</f>
        <v>218000</v>
      </c>
      <c r="AD19" s="167">
        <f>SUM(Assumptions!AE113:AE137)</f>
        <v>218000</v>
      </c>
      <c r="AE19" s="167">
        <f>SUM(Assumptions!AF113:AF137)</f>
        <v>218000</v>
      </c>
      <c r="AF19" s="167">
        <f>SUM(Assumptions!AG113:AG137)</f>
        <v>218000</v>
      </c>
      <c r="AG19" s="167">
        <f>SUM(Assumptions!AH113:AH137)</f>
        <v>218000</v>
      </c>
      <c r="AH19" s="167">
        <f>SUM(Assumptions!AI113:AI137)</f>
        <v>218000</v>
      </c>
      <c r="AI19" s="167">
        <f>SUM(Assumptions!AJ113:AJ137)</f>
        <v>218000</v>
      </c>
      <c r="AJ19" s="167">
        <f>SUM(Assumptions!AK113:AK137)</f>
        <v>218000</v>
      </c>
      <c r="AK19" s="167">
        <f>SUM(Assumptions!AL113:AL137)</f>
        <v>218000</v>
      </c>
      <c r="AL19" s="167">
        <f>SUM(Assumptions!AM113:AM137)</f>
        <v>218000</v>
      </c>
      <c r="AM19" s="167">
        <f>SUM(Assumptions!AN113:AN137)</f>
        <v>218000</v>
      </c>
      <c r="AN19" s="167">
        <f>SUM(Assumptions!AO113:AO137)</f>
        <v>218000</v>
      </c>
      <c r="AO19" s="167">
        <f>SUM(Assumptions!AP113:AP137)</f>
        <v>218000</v>
      </c>
      <c r="AP19" s="167">
        <f>SUM(Assumptions!AQ113:AQ137)</f>
        <v>218000</v>
      </c>
      <c r="AQ19" s="167">
        <f>SUM(Assumptions!AR113:AR137)</f>
        <v>218000</v>
      </c>
      <c r="AR19" s="167">
        <f>SUM(Assumptions!AS113:AS137)</f>
        <v>218000</v>
      </c>
      <c r="AS19" s="167">
        <f>SUM(Assumptions!AT113:AT137)</f>
        <v>218000</v>
      </c>
      <c r="AT19" s="167">
        <f>SUM(Assumptions!AU113:AU137)</f>
        <v>218000</v>
      </c>
      <c r="AU19" s="167">
        <f>SUM(Assumptions!AV113:AV137)</f>
        <v>218000</v>
      </c>
      <c r="AV19" s="167">
        <f>SUM(Assumptions!AW113:AW137)</f>
        <v>218000</v>
      </c>
      <c r="AW19" s="167">
        <f>SUM(Assumptions!AX113:AX137)</f>
        <v>218000</v>
      </c>
      <c r="AX19" s="167">
        <f>SUM(Assumptions!AY113:AY137)</f>
        <v>218000</v>
      </c>
      <c r="AY19" s="167">
        <f>SUM(Assumptions!AZ113:AZ137)</f>
        <v>218000</v>
      </c>
      <c r="AZ19" s="167">
        <f>SUM(Assumptions!BA113:BA137)</f>
        <v>218000</v>
      </c>
      <c r="BA19" s="167">
        <f>SUM(Assumptions!BB113:BB137)</f>
        <v>218000</v>
      </c>
      <c r="BB19" s="167">
        <f>SUM(Assumptions!BC113:BC137)</f>
        <v>218000</v>
      </c>
      <c r="BC19" s="167">
        <f>SUM(Assumptions!BD113:BD137)</f>
        <v>218000</v>
      </c>
      <c r="BD19" s="167">
        <f>SUM(Assumptions!BE113:BE137)</f>
        <v>218000</v>
      </c>
      <c r="BE19" s="167">
        <f>SUM(Assumptions!BF113:BF137)</f>
        <v>218000</v>
      </c>
      <c r="BF19" s="167">
        <f>SUM(Assumptions!BG113:BG137)</f>
        <v>218000</v>
      </c>
      <c r="BG19" s="167">
        <f>SUM(Assumptions!BH113:BH137)</f>
        <v>218000</v>
      </c>
      <c r="BH19" s="167">
        <f>SUM(Assumptions!BI113:BI137)</f>
        <v>218000</v>
      </c>
      <c r="BI19" s="167">
        <f>SUM(Assumptions!BJ113:BJ137)</f>
        <v>218000</v>
      </c>
      <c r="BJ19" s="167">
        <f>SUM(Assumptions!BK113:BK137)</f>
        <v>218000</v>
      </c>
      <c r="BK19" s="167">
        <f>SUM(Assumptions!BL113:BL137)</f>
        <v>218000</v>
      </c>
      <c r="BL19" s="167">
        <f>SUM(Assumptions!BM113:BM137)</f>
        <v>218000</v>
      </c>
      <c r="BM19" s="167">
        <f>SUM(Assumptions!BN113:BN137)</f>
        <v>218000</v>
      </c>
    </row>
    <row r="20" outlineLevel="1">
      <c r="A20" s="167"/>
      <c r="B20" s="167" t="str">
        <f>Assumptions!B152</f>
        <v>General &amp; Admin</v>
      </c>
      <c r="C20" s="167"/>
      <c r="D20" s="167"/>
      <c r="E20" s="167"/>
      <c r="F20" s="177">
        <v>35000.0</v>
      </c>
      <c r="G20" s="167">
        <f>sum(Assumptions!H153:H163)</f>
        <v>27500</v>
      </c>
      <c r="H20" s="167">
        <f>sum(Assumptions!I153:I163)</f>
        <v>27500</v>
      </c>
      <c r="I20" s="167">
        <f>sum(Assumptions!J153:J163)</f>
        <v>27500</v>
      </c>
      <c r="J20" s="167">
        <f>sum(Assumptions!K153:K163)</f>
        <v>27500</v>
      </c>
      <c r="K20" s="167">
        <f>sum(Assumptions!L153:L163)</f>
        <v>27500</v>
      </c>
      <c r="L20" s="167">
        <f>sum(Assumptions!M153:M163)</f>
        <v>27500</v>
      </c>
      <c r="M20" s="167">
        <f>sum(Assumptions!N153:N163)</f>
        <v>27500</v>
      </c>
      <c r="N20" s="167">
        <f>sum(Assumptions!O153:O163)</f>
        <v>27500</v>
      </c>
      <c r="O20" s="167">
        <f>sum(Assumptions!P153:P163)</f>
        <v>27500</v>
      </c>
      <c r="P20" s="167">
        <f>sum(Assumptions!Q153:Q163)</f>
        <v>27500</v>
      </c>
      <c r="Q20" s="167">
        <f>sum(Assumptions!R153:R163)</f>
        <v>27500</v>
      </c>
      <c r="R20" s="167">
        <f>sum(Assumptions!S153:S163)</f>
        <v>27500</v>
      </c>
      <c r="S20" s="167">
        <f>sum(Assumptions!T153:T163)</f>
        <v>27500</v>
      </c>
      <c r="T20" s="167">
        <f>sum(Assumptions!U153:U163)</f>
        <v>27500</v>
      </c>
      <c r="U20" s="167">
        <f>sum(Assumptions!V153:V163)</f>
        <v>27500</v>
      </c>
      <c r="V20" s="167">
        <f>sum(Assumptions!W153:W163)</f>
        <v>27500</v>
      </c>
      <c r="W20" s="167">
        <f>sum(Assumptions!X153:X163)</f>
        <v>27500</v>
      </c>
      <c r="X20" s="167">
        <f>sum(Assumptions!Y153:Y163)</f>
        <v>27500</v>
      </c>
      <c r="Y20" s="167">
        <f>sum(Assumptions!Z153:Z163)</f>
        <v>27500</v>
      </c>
      <c r="Z20" s="167">
        <f>sum(Assumptions!AA153:AA163)</f>
        <v>27500</v>
      </c>
      <c r="AA20" s="167">
        <f>sum(Assumptions!AB153:AB163)</f>
        <v>27500</v>
      </c>
      <c r="AB20" s="167">
        <f>sum(Assumptions!AC153:AC163)</f>
        <v>27500</v>
      </c>
      <c r="AC20" s="167">
        <f>sum(Assumptions!AD153:AD163)</f>
        <v>27500</v>
      </c>
      <c r="AD20" s="167">
        <f>sum(Assumptions!AE153:AE163)</f>
        <v>27500</v>
      </c>
      <c r="AE20" s="167">
        <f>sum(Assumptions!AF153:AF163)</f>
        <v>27500</v>
      </c>
      <c r="AF20" s="167">
        <f>sum(Assumptions!AG153:AG163)</f>
        <v>27500</v>
      </c>
      <c r="AG20" s="167">
        <f>sum(Assumptions!AH153:AH163)</f>
        <v>27500</v>
      </c>
      <c r="AH20" s="167">
        <f>sum(Assumptions!AI153:AI163)</f>
        <v>27500</v>
      </c>
      <c r="AI20" s="167">
        <f>sum(Assumptions!AJ153:AJ163)</f>
        <v>27500</v>
      </c>
      <c r="AJ20" s="167">
        <f>sum(Assumptions!AK153:AK163)</f>
        <v>27500</v>
      </c>
      <c r="AK20" s="167">
        <f>sum(Assumptions!AL153:AL163)</f>
        <v>27500</v>
      </c>
      <c r="AL20" s="167">
        <f>sum(Assumptions!AM153:AM163)</f>
        <v>27500</v>
      </c>
      <c r="AM20" s="167">
        <f>sum(Assumptions!AN153:AN163)</f>
        <v>27500</v>
      </c>
      <c r="AN20" s="167">
        <f>sum(Assumptions!AO153:AO163)</f>
        <v>27500</v>
      </c>
      <c r="AO20" s="167">
        <f>sum(Assumptions!AP153:AP163)</f>
        <v>27500</v>
      </c>
      <c r="AP20" s="167">
        <f>sum(Assumptions!AQ153:AQ163)</f>
        <v>27500</v>
      </c>
      <c r="AQ20" s="167">
        <f>sum(Assumptions!AR153:AR163)</f>
        <v>27500</v>
      </c>
      <c r="AR20" s="167">
        <f>sum(Assumptions!AS153:AS163)</f>
        <v>27500</v>
      </c>
      <c r="AS20" s="167">
        <f>sum(Assumptions!AT153:AT163)</f>
        <v>27500</v>
      </c>
      <c r="AT20" s="167">
        <f>sum(Assumptions!AU153:AU163)</f>
        <v>27500</v>
      </c>
      <c r="AU20" s="167">
        <f>sum(Assumptions!AV153:AV163)</f>
        <v>27500</v>
      </c>
      <c r="AV20" s="167">
        <f>sum(Assumptions!AW153:AW163)</f>
        <v>27500</v>
      </c>
      <c r="AW20" s="167">
        <f>sum(Assumptions!AX153:AX163)</f>
        <v>27500</v>
      </c>
      <c r="AX20" s="167">
        <f>sum(Assumptions!AY153:AY163)</f>
        <v>27500</v>
      </c>
      <c r="AY20" s="167">
        <f>sum(Assumptions!AZ153:AZ163)</f>
        <v>27500</v>
      </c>
      <c r="AZ20" s="167">
        <f>sum(Assumptions!BA153:BA163)</f>
        <v>27500</v>
      </c>
      <c r="BA20" s="167">
        <f>sum(Assumptions!BB153:BB163)</f>
        <v>27500</v>
      </c>
      <c r="BB20" s="167">
        <f>sum(Assumptions!BC153:BC163)</f>
        <v>27500</v>
      </c>
      <c r="BC20" s="167">
        <f>sum(Assumptions!BD153:BD163)</f>
        <v>27500</v>
      </c>
      <c r="BD20" s="167">
        <f>sum(Assumptions!BE153:BE163)</f>
        <v>27500</v>
      </c>
      <c r="BE20" s="167">
        <f>sum(Assumptions!BF153:BF163)</f>
        <v>27500</v>
      </c>
      <c r="BF20" s="167">
        <f>sum(Assumptions!BG153:BG163)</f>
        <v>27500</v>
      </c>
      <c r="BG20" s="167">
        <f>sum(Assumptions!BH153:BH163)</f>
        <v>27500</v>
      </c>
      <c r="BH20" s="167">
        <f>sum(Assumptions!BI153:BI163)</f>
        <v>27500</v>
      </c>
      <c r="BI20" s="167">
        <f>sum(Assumptions!BJ153:BJ163)</f>
        <v>27500</v>
      </c>
      <c r="BJ20" s="167">
        <f>sum(Assumptions!BK153:BK163)</f>
        <v>27500</v>
      </c>
      <c r="BK20" s="167">
        <f>sum(Assumptions!BL153:BL163)</f>
        <v>27500</v>
      </c>
      <c r="BL20" s="167">
        <f>sum(Assumptions!BM153:BM163)</f>
        <v>27500</v>
      </c>
      <c r="BM20" s="167">
        <f>sum(Assumptions!BN153:BN163)</f>
        <v>27500</v>
      </c>
    </row>
    <row r="21" outlineLevel="1">
      <c r="A21" s="167"/>
      <c r="B21" s="177" t="str">
        <f>Assumptions!B166</f>
        <v>Sales &amp; Marketing</v>
      </c>
      <c r="C21" s="167"/>
      <c r="D21" s="167"/>
      <c r="E21" s="167"/>
      <c r="F21" s="167">
        <f>sum(Assumptions!G167:G168)</f>
        <v>10681.3</v>
      </c>
      <c r="G21" s="167">
        <f>sum(Assumptions!H167:H168)</f>
        <v>11409.9845</v>
      </c>
      <c r="H21" s="167">
        <f>sum(Assumptions!I167:I168)</f>
        <v>12172.58689</v>
      </c>
      <c r="I21" s="167">
        <f>sum(Assumptions!J167:J168)</f>
        <v>12972.50938</v>
      </c>
      <c r="J21" s="167">
        <f>sum(Assumptions!K167:K168)</f>
        <v>13815.56051</v>
      </c>
      <c r="K21" s="167">
        <f>sum(Assumptions!L167:L168)</f>
        <v>14704.3638</v>
      </c>
      <c r="L21" s="167">
        <f>sum(Assumptions!M167:M168)</f>
        <v>15587.5784</v>
      </c>
      <c r="M21" s="167">
        <f>sum(Assumptions!N167:N168)</f>
        <v>16466.35609</v>
      </c>
      <c r="N21" s="167">
        <f>sum(Assumptions!O167:O168)</f>
        <v>17340.82295</v>
      </c>
      <c r="O21" s="167">
        <f>sum(Assumptions!P167:P168)</f>
        <v>18211.087</v>
      </c>
      <c r="P21" s="167">
        <f>sum(Assumptions!Q167:Q168)</f>
        <v>19079.05329</v>
      </c>
      <c r="Q21" s="167">
        <f>sum(Assumptions!R167:R168)</f>
        <v>19943.04129</v>
      </c>
      <c r="R21" s="167">
        <f>sum(Assumptions!S167:S168)</f>
        <v>20803.12437</v>
      </c>
      <c r="S21" s="167">
        <f>sum(Assumptions!T167:T168)</f>
        <v>21659.39976</v>
      </c>
      <c r="T21" s="167">
        <f>sum(Assumptions!U167:U168)</f>
        <v>22511.96266</v>
      </c>
      <c r="U21" s="167">
        <f>sum(Assumptions!V167:V168)</f>
        <v>23360.90588</v>
      </c>
      <c r="V21" s="167">
        <f>sum(Assumptions!W167:W168)</f>
        <v>24206.3199</v>
      </c>
      <c r="W21" s="167">
        <f>sum(Assumptions!X167:X168)</f>
        <v>25048.29296</v>
      </c>
      <c r="X21" s="167">
        <f>sum(Assumptions!Y167:Y168)</f>
        <v>25886.91108</v>
      </c>
      <c r="Y21" s="167">
        <f>sum(Assumptions!Z167:Z168)</f>
        <v>26722.25813</v>
      </c>
      <c r="Z21" s="167">
        <f>sum(Assumptions!AA167:AA168)</f>
        <v>27554.4159</v>
      </c>
      <c r="AA21" s="167">
        <f>sum(Assumptions!AB167:AB168)</f>
        <v>28383.46411</v>
      </c>
      <c r="AB21" s="167">
        <f>sum(Assumptions!AC167:AC168)</f>
        <v>29209.4805</v>
      </c>
      <c r="AC21" s="167">
        <f>sum(Assumptions!AD167:AD168)</f>
        <v>30032.54087</v>
      </c>
      <c r="AD21" s="167">
        <f>sum(Assumptions!AE167:AE168)</f>
        <v>30852.71912</v>
      </c>
      <c r="AE21" s="167">
        <f>sum(Assumptions!AF167:AF168)</f>
        <v>31670.0873</v>
      </c>
      <c r="AF21" s="167">
        <f>sum(Assumptions!AG167:AG168)</f>
        <v>32484.71566</v>
      </c>
      <c r="AG21" s="167">
        <f>sum(Assumptions!AH167:AH168)</f>
        <v>33296.6727</v>
      </c>
      <c r="AH21" s="167">
        <f>sum(Assumptions!AI167:AI168)</f>
        <v>34106.02521</v>
      </c>
      <c r="AI21" s="167">
        <f>sum(Assumptions!AJ167:AJ168)</f>
        <v>34912.83828</v>
      </c>
      <c r="AJ21" s="167">
        <f>sum(Assumptions!AK167:AK168)</f>
        <v>35717.17542</v>
      </c>
      <c r="AK21" s="167">
        <f>sum(Assumptions!AL167:AL168)</f>
        <v>36519.09852</v>
      </c>
      <c r="AL21" s="167">
        <f>sum(Assumptions!AM167:AM168)</f>
        <v>37318.66793</v>
      </c>
      <c r="AM21" s="167">
        <f>sum(Assumptions!AN167:AN168)</f>
        <v>38115.94249</v>
      </c>
      <c r="AN21" s="167">
        <f>sum(Assumptions!AO167:AO168)</f>
        <v>38910.97958</v>
      </c>
      <c r="AO21" s="167">
        <f>sum(Assumptions!AP167:AP168)</f>
        <v>39703.83512</v>
      </c>
      <c r="AP21" s="167">
        <f>sum(Assumptions!AQ167:AQ168)</f>
        <v>40494.56367</v>
      </c>
      <c r="AQ21" s="167">
        <f>sum(Assumptions!AR167:AR168)</f>
        <v>41283.21838</v>
      </c>
      <c r="AR21" s="167">
        <f>sum(Assumptions!AS167:AS168)</f>
        <v>42069.85112</v>
      </c>
      <c r="AS21" s="167">
        <f>sum(Assumptions!AT167:AT168)</f>
        <v>42854.51243</v>
      </c>
      <c r="AT21" s="167">
        <f>sum(Assumptions!AU167:AU168)</f>
        <v>43637.25159</v>
      </c>
      <c r="AU21" s="167">
        <f>sum(Assumptions!AV167:AV168)</f>
        <v>44418.11666</v>
      </c>
      <c r="AV21" s="167">
        <f>sum(Assumptions!AW167:AW168)</f>
        <v>45197.1545</v>
      </c>
      <c r="AW21" s="167">
        <f>sum(Assumptions!AX167:AX168)</f>
        <v>45974.41077</v>
      </c>
      <c r="AX21" s="167">
        <f>sum(Assumptions!AY167:AY168)</f>
        <v>46749.93002</v>
      </c>
      <c r="AY21" s="167">
        <f>sum(Assumptions!AZ167:AZ168)</f>
        <v>47523.75569</v>
      </c>
      <c r="AZ21" s="167">
        <f>sum(Assumptions!BA167:BA168)</f>
        <v>48295.93009</v>
      </c>
      <c r="BA21" s="167">
        <f>sum(Assumptions!BB167:BB168)</f>
        <v>49066.49453</v>
      </c>
      <c r="BB21" s="167">
        <f>sum(Assumptions!BC167:BC168)</f>
        <v>49835.48924</v>
      </c>
      <c r="BC21" s="167">
        <f>sum(Assumptions!BD167:BD168)</f>
        <v>50602.95347</v>
      </c>
      <c r="BD21" s="167">
        <f>sum(Assumptions!BE167:BE168)</f>
        <v>51368.92548</v>
      </c>
      <c r="BE21" s="167">
        <f>sum(Assumptions!BF167:BF168)</f>
        <v>52133.44258</v>
      </c>
      <c r="BF21" s="167">
        <f>sum(Assumptions!BG167:BG168)</f>
        <v>52896.54114</v>
      </c>
      <c r="BG21" s="167">
        <f>sum(Assumptions!BH167:BH168)</f>
        <v>53658.25663</v>
      </c>
      <c r="BH21" s="167">
        <f>sum(Assumptions!BI167:BI168)</f>
        <v>54418.62361</v>
      </c>
      <c r="BI21" s="167">
        <f>sum(Assumptions!BJ167:BJ168)</f>
        <v>55177.67581</v>
      </c>
      <c r="BJ21" s="167">
        <f>sum(Assumptions!BK167:BK168)</f>
        <v>55935.44609</v>
      </c>
      <c r="BK21" s="167">
        <f>sum(Assumptions!BL167:BL168)</f>
        <v>56691.9665</v>
      </c>
      <c r="BL21" s="167">
        <f>sum(Assumptions!BM167:BM168)</f>
        <v>57447.26829</v>
      </c>
      <c r="BM21" s="167">
        <f>sum(Assumptions!BN167:BN168)</f>
        <v>58201.38193</v>
      </c>
    </row>
    <row r="22" outlineLevel="1">
      <c r="A22" s="167"/>
      <c r="B22" s="167" t="str">
        <f>Assumptions!B171</f>
        <v>Professional Fees</v>
      </c>
      <c r="C22" s="167"/>
      <c r="D22" s="167"/>
      <c r="E22" s="167"/>
      <c r="F22" s="177">
        <v>0.0</v>
      </c>
      <c r="G22" s="167">
        <f>SUM(Assumptions!H172:H174)</f>
        <v>5000</v>
      </c>
      <c r="H22" s="167">
        <f>SUM(Assumptions!I172:I174)</f>
        <v>5000</v>
      </c>
      <c r="I22" s="167">
        <f>SUM(Assumptions!J172:J174)</f>
        <v>5000</v>
      </c>
      <c r="J22" s="167">
        <f>SUM(Assumptions!K172:K174)</f>
        <v>5000</v>
      </c>
      <c r="K22" s="167">
        <f>SUM(Assumptions!L172:L174)</f>
        <v>5000</v>
      </c>
      <c r="L22" s="167">
        <f>SUM(Assumptions!M172:M174)</f>
        <v>5000</v>
      </c>
      <c r="M22" s="167">
        <f>SUM(Assumptions!N172:N174)</f>
        <v>5000</v>
      </c>
      <c r="N22" s="167">
        <f>SUM(Assumptions!O172:O174)</f>
        <v>5000</v>
      </c>
      <c r="O22" s="167">
        <f>SUM(Assumptions!P172:P174)</f>
        <v>5000</v>
      </c>
      <c r="P22" s="167">
        <f>SUM(Assumptions!Q172:Q174)</f>
        <v>5000</v>
      </c>
      <c r="Q22" s="167">
        <f>SUM(Assumptions!R172:R174)</f>
        <v>5000</v>
      </c>
      <c r="R22" s="167">
        <f>SUM(Assumptions!S172:S174)</f>
        <v>5000</v>
      </c>
      <c r="S22" s="167">
        <f>SUM(Assumptions!T172:T174)</f>
        <v>5000</v>
      </c>
      <c r="T22" s="167">
        <f>SUM(Assumptions!U172:U174)</f>
        <v>5000</v>
      </c>
      <c r="U22" s="167">
        <f>SUM(Assumptions!V172:V174)</f>
        <v>5000</v>
      </c>
      <c r="V22" s="167">
        <f>SUM(Assumptions!W172:W174)</f>
        <v>5000</v>
      </c>
      <c r="W22" s="167">
        <f>SUM(Assumptions!X172:X174)</f>
        <v>5000</v>
      </c>
      <c r="X22" s="167">
        <f>SUM(Assumptions!Y172:Y174)</f>
        <v>5000</v>
      </c>
      <c r="Y22" s="167">
        <f>SUM(Assumptions!Z172:Z174)</f>
        <v>5000</v>
      </c>
      <c r="Z22" s="167">
        <f>SUM(Assumptions!AA172:AA174)</f>
        <v>5000</v>
      </c>
      <c r="AA22" s="167">
        <f>SUM(Assumptions!AB172:AB174)</f>
        <v>5000</v>
      </c>
      <c r="AB22" s="167">
        <f>SUM(Assumptions!AC172:AC174)</f>
        <v>5000</v>
      </c>
      <c r="AC22" s="167">
        <f>SUM(Assumptions!AD172:AD174)</f>
        <v>5000</v>
      </c>
      <c r="AD22" s="167">
        <f>SUM(Assumptions!AE172:AE174)</f>
        <v>5000</v>
      </c>
      <c r="AE22" s="167">
        <f>SUM(Assumptions!AF172:AF174)</f>
        <v>5000</v>
      </c>
      <c r="AF22" s="167">
        <f>SUM(Assumptions!AG172:AG174)</f>
        <v>5000</v>
      </c>
      <c r="AG22" s="167">
        <f>SUM(Assumptions!AH172:AH174)</f>
        <v>5000</v>
      </c>
      <c r="AH22" s="167">
        <f>SUM(Assumptions!AI172:AI174)</f>
        <v>5000</v>
      </c>
      <c r="AI22" s="167">
        <f>SUM(Assumptions!AJ172:AJ174)</f>
        <v>5000</v>
      </c>
      <c r="AJ22" s="167">
        <f>SUM(Assumptions!AK172:AK174)</f>
        <v>5000</v>
      </c>
      <c r="AK22" s="167">
        <f>SUM(Assumptions!AL172:AL174)</f>
        <v>5000</v>
      </c>
      <c r="AL22" s="167">
        <f>SUM(Assumptions!AM172:AM174)</f>
        <v>5000</v>
      </c>
      <c r="AM22" s="167">
        <f>SUM(Assumptions!AN172:AN174)</f>
        <v>5000</v>
      </c>
      <c r="AN22" s="167">
        <f>SUM(Assumptions!AO172:AO174)</f>
        <v>5000</v>
      </c>
      <c r="AO22" s="167">
        <f>SUM(Assumptions!AP172:AP174)</f>
        <v>5000</v>
      </c>
      <c r="AP22" s="167">
        <f>SUM(Assumptions!AQ172:AQ174)</f>
        <v>5000</v>
      </c>
      <c r="AQ22" s="167">
        <f>SUM(Assumptions!AR172:AR174)</f>
        <v>5000</v>
      </c>
      <c r="AR22" s="167">
        <f>SUM(Assumptions!AS172:AS174)</f>
        <v>5000</v>
      </c>
      <c r="AS22" s="167">
        <f>SUM(Assumptions!AT172:AT174)</f>
        <v>5000</v>
      </c>
      <c r="AT22" s="167">
        <f>SUM(Assumptions!AU172:AU174)</f>
        <v>5000</v>
      </c>
      <c r="AU22" s="167">
        <f>SUM(Assumptions!AV172:AV174)</f>
        <v>5000</v>
      </c>
      <c r="AV22" s="167">
        <f>SUM(Assumptions!AW172:AW174)</f>
        <v>5000</v>
      </c>
      <c r="AW22" s="167">
        <f>SUM(Assumptions!AX172:AX174)</f>
        <v>5000</v>
      </c>
      <c r="AX22" s="167">
        <f>SUM(Assumptions!AY172:AY174)</f>
        <v>5000</v>
      </c>
      <c r="AY22" s="167">
        <f>SUM(Assumptions!AZ172:AZ174)</f>
        <v>5000</v>
      </c>
      <c r="AZ22" s="167">
        <f>SUM(Assumptions!BA172:BA174)</f>
        <v>5000</v>
      </c>
      <c r="BA22" s="167">
        <f>SUM(Assumptions!BB172:BB174)</f>
        <v>5000</v>
      </c>
      <c r="BB22" s="167">
        <f>SUM(Assumptions!BC172:BC174)</f>
        <v>5000</v>
      </c>
      <c r="BC22" s="167">
        <f>SUM(Assumptions!BD172:BD174)</f>
        <v>5000</v>
      </c>
      <c r="BD22" s="167">
        <f>SUM(Assumptions!BE172:BE174)</f>
        <v>5000</v>
      </c>
      <c r="BE22" s="167">
        <f>SUM(Assumptions!BF172:BF174)</f>
        <v>5000</v>
      </c>
      <c r="BF22" s="167">
        <f>SUM(Assumptions!BG172:BG174)</f>
        <v>5000</v>
      </c>
      <c r="BG22" s="167">
        <f>SUM(Assumptions!BH172:BH174)</f>
        <v>5000</v>
      </c>
      <c r="BH22" s="167">
        <f>SUM(Assumptions!BI172:BI174)</f>
        <v>5000</v>
      </c>
      <c r="BI22" s="167">
        <f>SUM(Assumptions!BJ172:BJ174)</f>
        <v>5000</v>
      </c>
      <c r="BJ22" s="167">
        <f>SUM(Assumptions!BK172:BK174)</f>
        <v>5000</v>
      </c>
      <c r="BK22" s="167">
        <f>SUM(Assumptions!BL172:BL174)</f>
        <v>5000</v>
      </c>
      <c r="BL22" s="167">
        <f>SUM(Assumptions!BM172:BM174)</f>
        <v>5000</v>
      </c>
      <c r="BM22" s="167">
        <f>SUM(Assumptions!BN172:BN174)</f>
        <v>5000</v>
      </c>
    </row>
    <row r="23" outlineLevel="1">
      <c r="A23" s="167"/>
      <c r="B23" s="178" t="str">
        <f>Assumptions!B177</f>
        <v>Other</v>
      </c>
      <c r="C23" s="178"/>
      <c r="D23" s="178"/>
      <c r="E23" s="178"/>
      <c r="F23" s="178">
        <f>Assumptions!G178</f>
        <v>851.625</v>
      </c>
      <c r="G23" s="178">
        <f>Assumptions!H178</f>
        <v>1762.480625</v>
      </c>
      <c r="H23" s="178">
        <f>Assumptions!I178</f>
        <v>2715.733616</v>
      </c>
      <c r="I23" s="178">
        <f>Assumptions!J178</f>
        <v>3715.636719</v>
      </c>
      <c r="J23" s="178">
        <f>Assumptions!K178</f>
        <v>4769.450638</v>
      </c>
      <c r="K23" s="178">
        <f>Assumptions!L178</f>
        <v>5880.45475</v>
      </c>
      <c r="L23" s="178">
        <f>Assumptions!M178</f>
        <v>6984.473006</v>
      </c>
      <c r="M23" s="178">
        <f>Assumptions!N178</f>
        <v>8082.94511</v>
      </c>
      <c r="N23" s="178">
        <f>Assumptions!O178</f>
        <v>9176.02869</v>
      </c>
      <c r="O23" s="178">
        <f>Assumptions!P178</f>
        <v>10263.85875</v>
      </c>
      <c r="P23" s="178">
        <f>Assumptions!Q178</f>
        <v>11348.81662</v>
      </c>
      <c r="Q23" s="178">
        <f>Assumptions!R178</f>
        <v>12428.80161</v>
      </c>
      <c r="R23" s="178">
        <f>Assumptions!S178</f>
        <v>13503.90546</v>
      </c>
      <c r="S23" s="178">
        <f>Assumptions!T178</f>
        <v>14574.24971</v>
      </c>
      <c r="T23" s="178">
        <f>Assumptions!U178</f>
        <v>15639.95333</v>
      </c>
      <c r="U23" s="178">
        <f>Assumptions!V178</f>
        <v>16701.13235</v>
      </c>
      <c r="V23" s="178">
        <f>Assumptions!W178</f>
        <v>17757.89987</v>
      </c>
      <c r="W23" s="178">
        <f>Assumptions!X178</f>
        <v>18810.3662</v>
      </c>
      <c r="X23" s="178">
        <f>Assumptions!Y178</f>
        <v>19858.63885</v>
      </c>
      <c r="Y23" s="178">
        <f>Assumptions!Z178</f>
        <v>20902.82267</v>
      </c>
      <c r="Z23" s="178">
        <f>Assumptions!AA178</f>
        <v>21943.01987</v>
      </c>
      <c r="AA23" s="178">
        <f>Assumptions!AB178</f>
        <v>22979.33014</v>
      </c>
      <c r="AB23" s="178">
        <f>Assumptions!AC178</f>
        <v>24011.85063</v>
      </c>
      <c r="AC23" s="178">
        <f>Assumptions!AD178</f>
        <v>25040.67609</v>
      </c>
      <c r="AD23" s="178">
        <f>Assumptions!AE178</f>
        <v>26065.8989</v>
      </c>
      <c r="AE23" s="178">
        <f>Assumptions!AF178</f>
        <v>27087.60912</v>
      </c>
      <c r="AF23" s="178">
        <f>Assumptions!AG178</f>
        <v>28105.89458</v>
      </c>
      <c r="AG23" s="178">
        <f>Assumptions!AH178</f>
        <v>29120.84088</v>
      </c>
      <c r="AH23" s="178">
        <f>Assumptions!AI178</f>
        <v>30132.53151</v>
      </c>
      <c r="AI23" s="178">
        <f>Assumptions!AJ178</f>
        <v>31141.04786</v>
      </c>
      <c r="AJ23" s="178">
        <f>Assumptions!AK178</f>
        <v>32146.46928</v>
      </c>
      <c r="AK23" s="178">
        <f>Assumptions!AL178</f>
        <v>33148.87315</v>
      </c>
      <c r="AL23" s="178">
        <f>Assumptions!AM178</f>
        <v>34148.33491</v>
      </c>
      <c r="AM23" s="178">
        <f>Assumptions!AN178</f>
        <v>35144.92811</v>
      </c>
      <c r="AN23" s="178">
        <f>Assumptions!AO178</f>
        <v>36138.72447</v>
      </c>
      <c r="AO23" s="178">
        <f>Assumptions!AP178</f>
        <v>37129.7939</v>
      </c>
      <c r="AP23" s="178">
        <f>Assumptions!AQ178</f>
        <v>38118.20458</v>
      </c>
      <c r="AQ23" s="178">
        <f>Assumptions!AR178</f>
        <v>39104.02298</v>
      </c>
      <c r="AR23" s="178">
        <f>Assumptions!AS178</f>
        <v>40087.3139</v>
      </c>
      <c r="AS23" s="178">
        <f>Assumptions!AT178</f>
        <v>41068.14054</v>
      </c>
      <c r="AT23" s="178">
        <f>Assumptions!AU178</f>
        <v>42046.56449</v>
      </c>
      <c r="AU23" s="178">
        <f>Assumptions!AV178</f>
        <v>43022.64583</v>
      </c>
      <c r="AV23" s="178">
        <f>Assumptions!AW178</f>
        <v>43996.44312</v>
      </c>
      <c r="AW23" s="178">
        <f>Assumptions!AX178</f>
        <v>44968.01346</v>
      </c>
      <c r="AX23" s="178">
        <f>Assumptions!AY178</f>
        <v>45937.41253</v>
      </c>
      <c r="AY23" s="178">
        <f>Assumptions!AZ178</f>
        <v>46904.69461</v>
      </c>
      <c r="AZ23" s="178">
        <f>Assumptions!BA178</f>
        <v>47869.91262</v>
      </c>
      <c r="BA23" s="178">
        <f>Assumptions!BB178</f>
        <v>48833.11816</v>
      </c>
      <c r="BB23" s="178">
        <f>Assumptions!BC178</f>
        <v>49794.36155</v>
      </c>
      <c r="BC23" s="178">
        <f>Assumptions!BD178</f>
        <v>50753.69184</v>
      </c>
      <c r="BD23" s="178">
        <f>Assumptions!BE178</f>
        <v>51711.15685</v>
      </c>
      <c r="BE23" s="178">
        <f>Assumptions!BF178</f>
        <v>52666.80323</v>
      </c>
      <c r="BF23" s="178">
        <f>Assumptions!BG178</f>
        <v>53620.67643</v>
      </c>
      <c r="BG23" s="178">
        <f>Assumptions!BH178</f>
        <v>54572.82079</v>
      </c>
      <c r="BH23" s="178">
        <f>Assumptions!BI178</f>
        <v>55523.27952</v>
      </c>
      <c r="BI23" s="178">
        <f>Assumptions!BJ178</f>
        <v>56472.09477</v>
      </c>
      <c r="BJ23" s="178">
        <f>Assumptions!BK178</f>
        <v>57419.30762</v>
      </c>
      <c r="BK23" s="178">
        <f>Assumptions!BL178</f>
        <v>58364.95813</v>
      </c>
      <c r="BL23" s="178">
        <f>Assumptions!BM178</f>
        <v>59309.08537</v>
      </c>
      <c r="BM23" s="178">
        <f>Assumptions!BN178</f>
        <v>60251.72741</v>
      </c>
    </row>
    <row r="24" outlineLevel="1">
      <c r="A24" s="167"/>
      <c r="B24" s="176" t="s">
        <v>155</v>
      </c>
      <c r="C24" s="167"/>
      <c r="D24" s="167"/>
      <c r="E24" s="167"/>
      <c r="F24" s="179">
        <f t="shared" ref="F24:BM24" si="8">SUM(F19:F23)</f>
        <v>264532.925</v>
      </c>
      <c r="G24" s="179">
        <f t="shared" si="8"/>
        <v>263672.4651</v>
      </c>
      <c r="H24" s="179">
        <f t="shared" si="8"/>
        <v>265388.3205</v>
      </c>
      <c r="I24" s="179">
        <f t="shared" si="8"/>
        <v>267188.1461</v>
      </c>
      <c r="J24" s="179">
        <f t="shared" si="8"/>
        <v>269085.0111</v>
      </c>
      <c r="K24" s="179">
        <f t="shared" si="8"/>
        <v>271084.8185</v>
      </c>
      <c r="L24" s="179">
        <f t="shared" si="8"/>
        <v>273072.0514</v>
      </c>
      <c r="M24" s="179">
        <f t="shared" si="8"/>
        <v>275049.3012</v>
      </c>
      <c r="N24" s="179">
        <f t="shared" si="8"/>
        <v>277016.8516</v>
      </c>
      <c r="O24" s="179">
        <f t="shared" si="8"/>
        <v>278974.9457</v>
      </c>
      <c r="P24" s="179">
        <f t="shared" si="8"/>
        <v>280927.8699</v>
      </c>
      <c r="Q24" s="179">
        <f t="shared" si="8"/>
        <v>282871.8429</v>
      </c>
      <c r="R24" s="179">
        <f t="shared" si="8"/>
        <v>284807.0298</v>
      </c>
      <c r="S24" s="179">
        <f t="shared" si="8"/>
        <v>286733.6495</v>
      </c>
      <c r="T24" s="179">
        <f t="shared" si="8"/>
        <v>288651.916</v>
      </c>
      <c r="U24" s="179">
        <f t="shared" si="8"/>
        <v>290562.0382</v>
      </c>
      <c r="V24" s="179">
        <f t="shared" si="8"/>
        <v>292464.2198</v>
      </c>
      <c r="W24" s="179">
        <f t="shared" si="8"/>
        <v>294358.6592</v>
      </c>
      <c r="X24" s="179">
        <f t="shared" si="8"/>
        <v>296245.5499</v>
      </c>
      <c r="Y24" s="179">
        <f t="shared" si="8"/>
        <v>298125.0808</v>
      </c>
      <c r="Z24" s="179">
        <f t="shared" si="8"/>
        <v>299997.4358</v>
      </c>
      <c r="AA24" s="179">
        <f t="shared" si="8"/>
        <v>301862.7942</v>
      </c>
      <c r="AB24" s="179">
        <f t="shared" si="8"/>
        <v>303721.3311</v>
      </c>
      <c r="AC24" s="179">
        <f t="shared" si="8"/>
        <v>305573.217</v>
      </c>
      <c r="AD24" s="179">
        <f t="shared" si="8"/>
        <v>307418.618</v>
      </c>
      <c r="AE24" s="179">
        <f t="shared" si="8"/>
        <v>309257.6964</v>
      </c>
      <c r="AF24" s="179">
        <f t="shared" si="8"/>
        <v>311090.6102</v>
      </c>
      <c r="AG24" s="179">
        <f t="shared" si="8"/>
        <v>312917.5136</v>
      </c>
      <c r="AH24" s="179">
        <f t="shared" si="8"/>
        <v>314738.5567</v>
      </c>
      <c r="AI24" s="179">
        <f t="shared" si="8"/>
        <v>316553.8861</v>
      </c>
      <c r="AJ24" s="179">
        <f t="shared" si="8"/>
        <v>318363.6447</v>
      </c>
      <c r="AK24" s="179">
        <f t="shared" si="8"/>
        <v>320167.9717</v>
      </c>
      <c r="AL24" s="179">
        <f t="shared" si="8"/>
        <v>321967.0028</v>
      </c>
      <c r="AM24" s="179">
        <f t="shared" si="8"/>
        <v>323760.8706</v>
      </c>
      <c r="AN24" s="179">
        <f t="shared" si="8"/>
        <v>325549.704</v>
      </c>
      <c r="AO24" s="179">
        <f t="shared" si="8"/>
        <v>327333.629</v>
      </c>
      <c r="AP24" s="179">
        <f t="shared" si="8"/>
        <v>329112.7682</v>
      </c>
      <c r="AQ24" s="179">
        <f t="shared" si="8"/>
        <v>330887.2414</v>
      </c>
      <c r="AR24" s="179">
        <f t="shared" si="8"/>
        <v>332657.165</v>
      </c>
      <c r="AS24" s="179">
        <f t="shared" si="8"/>
        <v>334422.653</v>
      </c>
      <c r="AT24" s="179">
        <f t="shared" si="8"/>
        <v>336183.8161</v>
      </c>
      <c r="AU24" s="179">
        <f t="shared" si="8"/>
        <v>337940.7625</v>
      </c>
      <c r="AV24" s="179">
        <f t="shared" si="8"/>
        <v>339693.5976</v>
      </c>
      <c r="AW24" s="179">
        <f t="shared" si="8"/>
        <v>341442.4242</v>
      </c>
      <c r="AX24" s="179">
        <f t="shared" si="8"/>
        <v>343187.3426</v>
      </c>
      <c r="AY24" s="179">
        <f t="shared" si="8"/>
        <v>344928.4503</v>
      </c>
      <c r="AZ24" s="179">
        <f t="shared" si="8"/>
        <v>346665.8427</v>
      </c>
      <c r="BA24" s="179">
        <f t="shared" si="8"/>
        <v>348399.6127</v>
      </c>
      <c r="BB24" s="179">
        <f t="shared" si="8"/>
        <v>350129.8508</v>
      </c>
      <c r="BC24" s="179">
        <f t="shared" si="8"/>
        <v>351856.6453</v>
      </c>
      <c r="BD24" s="179">
        <f t="shared" si="8"/>
        <v>353580.0823</v>
      </c>
      <c r="BE24" s="179">
        <f t="shared" si="8"/>
        <v>355300.2458</v>
      </c>
      <c r="BF24" s="179">
        <f t="shared" si="8"/>
        <v>357017.2176</v>
      </c>
      <c r="BG24" s="179">
        <f t="shared" si="8"/>
        <v>358731.0774</v>
      </c>
      <c r="BH24" s="179">
        <f t="shared" si="8"/>
        <v>360441.9031</v>
      </c>
      <c r="BI24" s="179">
        <f t="shared" si="8"/>
        <v>362149.7706</v>
      </c>
      <c r="BJ24" s="179">
        <f t="shared" si="8"/>
        <v>363854.7537</v>
      </c>
      <c r="BK24" s="179">
        <f t="shared" si="8"/>
        <v>365556.9246</v>
      </c>
      <c r="BL24" s="179">
        <f t="shared" si="8"/>
        <v>367256.3537</v>
      </c>
      <c r="BM24" s="179">
        <f t="shared" si="8"/>
        <v>368953.1093</v>
      </c>
    </row>
    <row r="25" outlineLevel="1">
      <c r="A25" s="30"/>
      <c r="B25" s="30"/>
      <c r="C25" s="30"/>
      <c r="D25" s="30"/>
      <c r="E25" s="30"/>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c r="BB25" s="167"/>
      <c r="BC25" s="167"/>
      <c r="BD25" s="167"/>
      <c r="BE25" s="167"/>
      <c r="BF25" s="167"/>
      <c r="BG25" s="167"/>
      <c r="BH25" s="167"/>
      <c r="BI25" s="167"/>
      <c r="BJ25" s="167"/>
      <c r="BK25" s="167"/>
      <c r="BL25" s="167"/>
      <c r="BM25" s="167"/>
    </row>
    <row r="26" outlineLevel="1">
      <c r="A26" s="167"/>
      <c r="B26" s="170" t="s">
        <v>156</v>
      </c>
      <c r="C26" s="171"/>
      <c r="D26" s="171"/>
      <c r="E26" s="171"/>
      <c r="F26" s="172">
        <f t="shared" ref="F26:BM26" si="9">F15-F24</f>
        <v>-258997.3625</v>
      </c>
      <c r="G26" s="172">
        <f t="shared" si="9"/>
        <v>-252216.3411</v>
      </c>
      <c r="H26" s="172">
        <f t="shared" si="9"/>
        <v>-247736.052</v>
      </c>
      <c r="I26" s="172">
        <f t="shared" si="9"/>
        <v>-243036.5074</v>
      </c>
      <c r="J26" s="172">
        <f t="shared" si="9"/>
        <v>-238083.582</v>
      </c>
      <c r="K26" s="172">
        <f t="shared" si="9"/>
        <v>-232861.8627</v>
      </c>
      <c r="L26" s="172">
        <f t="shared" si="9"/>
        <v>-227672.9769</v>
      </c>
      <c r="M26" s="172">
        <f t="shared" si="9"/>
        <v>-222510.158</v>
      </c>
      <c r="N26" s="172">
        <f t="shared" si="9"/>
        <v>-217372.6652</v>
      </c>
      <c r="O26" s="172">
        <f t="shared" si="9"/>
        <v>-212259.8639</v>
      </c>
      <c r="P26" s="172">
        <f t="shared" si="9"/>
        <v>-207160.5619</v>
      </c>
      <c r="Q26" s="172">
        <f t="shared" si="9"/>
        <v>-202084.6324</v>
      </c>
      <c r="R26" s="172">
        <f t="shared" si="9"/>
        <v>-197031.6443</v>
      </c>
      <c r="S26" s="172">
        <f t="shared" si="9"/>
        <v>-192001.0264</v>
      </c>
      <c r="T26" s="172">
        <f t="shared" si="9"/>
        <v>-186992.2194</v>
      </c>
      <c r="U26" s="172">
        <f t="shared" si="9"/>
        <v>-182004.678</v>
      </c>
      <c r="V26" s="172">
        <f t="shared" si="9"/>
        <v>-177037.8706</v>
      </c>
      <c r="W26" s="172">
        <f t="shared" si="9"/>
        <v>-172091.2789</v>
      </c>
      <c r="X26" s="172">
        <f t="shared" si="9"/>
        <v>-167164.3974</v>
      </c>
      <c r="Y26" s="172">
        <f t="shared" si="9"/>
        <v>-162256.7335</v>
      </c>
      <c r="Z26" s="172">
        <f t="shared" si="9"/>
        <v>-157367.8066</v>
      </c>
      <c r="AA26" s="172">
        <f t="shared" si="9"/>
        <v>-152497.1484</v>
      </c>
      <c r="AB26" s="172">
        <f t="shared" si="9"/>
        <v>-147644.3021</v>
      </c>
      <c r="AC26" s="172">
        <f t="shared" si="9"/>
        <v>-142808.8224</v>
      </c>
      <c r="AD26" s="172">
        <f t="shared" si="9"/>
        <v>-137990.2752</v>
      </c>
      <c r="AE26" s="172">
        <f t="shared" si="9"/>
        <v>-133188.2371</v>
      </c>
      <c r="AF26" s="172">
        <f t="shared" si="9"/>
        <v>-128402.2955</v>
      </c>
      <c r="AG26" s="172">
        <f t="shared" si="9"/>
        <v>-123632.0479</v>
      </c>
      <c r="AH26" s="172">
        <f t="shared" si="9"/>
        <v>-118877.1019</v>
      </c>
      <c r="AI26" s="172">
        <f t="shared" si="9"/>
        <v>-114137.0751</v>
      </c>
      <c r="AJ26" s="172">
        <f t="shared" si="9"/>
        <v>-109411.5944</v>
      </c>
      <c r="AK26" s="172">
        <f t="shared" si="9"/>
        <v>-104700.2962</v>
      </c>
      <c r="AL26" s="172">
        <f t="shared" si="9"/>
        <v>-100002.8259</v>
      </c>
      <c r="AM26" s="172">
        <f t="shared" si="9"/>
        <v>-95318.83786</v>
      </c>
      <c r="AN26" s="172">
        <f t="shared" si="9"/>
        <v>-90647.99499</v>
      </c>
      <c r="AO26" s="172">
        <f t="shared" si="9"/>
        <v>-85989.96866</v>
      </c>
      <c r="AP26" s="172">
        <f t="shared" si="9"/>
        <v>-81344.43846</v>
      </c>
      <c r="AQ26" s="172">
        <f t="shared" si="9"/>
        <v>-76711.09199</v>
      </c>
      <c r="AR26" s="172">
        <f t="shared" si="9"/>
        <v>-72089.62465</v>
      </c>
      <c r="AS26" s="172">
        <f t="shared" si="9"/>
        <v>-67479.73947</v>
      </c>
      <c r="AT26" s="172">
        <f t="shared" si="9"/>
        <v>-62881.14689</v>
      </c>
      <c r="AU26" s="172">
        <f t="shared" si="9"/>
        <v>-58293.5646</v>
      </c>
      <c r="AV26" s="172">
        <f t="shared" si="9"/>
        <v>-53716.71734</v>
      </c>
      <c r="AW26" s="172">
        <f t="shared" si="9"/>
        <v>-49150.33673</v>
      </c>
      <c r="AX26" s="172">
        <f t="shared" si="9"/>
        <v>-44594.16111</v>
      </c>
      <c r="AY26" s="172">
        <f t="shared" si="9"/>
        <v>-40047.93535</v>
      </c>
      <c r="AZ26" s="172">
        <f t="shared" si="9"/>
        <v>-35511.41071</v>
      </c>
      <c r="BA26" s="172">
        <f t="shared" si="9"/>
        <v>-30984.34465</v>
      </c>
      <c r="BB26" s="172">
        <f t="shared" si="9"/>
        <v>-26466.50072</v>
      </c>
      <c r="BC26" s="172">
        <f t="shared" si="9"/>
        <v>-21957.64836</v>
      </c>
      <c r="BD26" s="172">
        <f t="shared" si="9"/>
        <v>-17457.56279</v>
      </c>
      <c r="BE26" s="172">
        <f t="shared" si="9"/>
        <v>-12966.02482</v>
      </c>
      <c r="BF26" s="172">
        <f t="shared" si="9"/>
        <v>-8482.820775</v>
      </c>
      <c r="BG26" s="172">
        <f t="shared" si="9"/>
        <v>-4007.742303</v>
      </c>
      <c r="BH26" s="172">
        <f t="shared" si="9"/>
        <v>459.4137343</v>
      </c>
      <c r="BI26" s="172">
        <f t="shared" si="9"/>
        <v>4918.845398</v>
      </c>
      <c r="BJ26" s="172">
        <f t="shared" si="9"/>
        <v>9370.745799</v>
      </c>
      <c r="BK26" s="172">
        <f t="shared" si="9"/>
        <v>13815.30322</v>
      </c>
      <c r="BL26" s="172">
        <f t="shared" si="9"/>
        <v>18252.70123</v>
      </c>
      <c r="BM26" s="172">
        <f t="shared" si="9"/>
        <v>22683.11881</v>
      </c>
    </row>
    <row r="27" outlineLevel="1">
      <c r="A27" s="167"/>
      <c r="B27" s="177" t="s">
        <v>157</v>
      </c>
      <c r="C27" s="167"/>
      <c r="D27" s="167"/>
      <c r="E27" s="167"/>
      <c r="F27" s="167">
        <f>SUM(Assumptions!G199:G202)-sum(Assumptions!E199:E202)</f>
        <v>0</v>
      </c>
      <c r="G27" s="167">
        <f>SUM(Assumptions!H199:H202)-sum(Assumptions!G199:G202)</f>
        <v>0</v>
      </c>
      <c r="H27" s="167">
        <f>SUM(Assumptions!I199:I202)-sum(Assumptions!H199:H202)</f>
        <v>0</v>
      </c>
      <c r="I27" s="167">
        <f>SUM(Assumptions!J199:J202)-sum(Assumptions!I199:I202)</f>
        <v>0</v>
      </c>
      <c r="J27" s="167">
        <f>SUM(Assumptions!K199:K202)-sum(Assumptions!J199:J202)</f>
        <v>0</v>
      </c>
      <c r="K27" s="167">
        <f>SUM(Assumptions!L199:L202)-sum(Assumptions!K199:K202)</f>
        <v>0</v>
      </c>
      <c r="L27" s="167">
        <f>SUM(Assumptions!M199:M202)-sum(Assumptions!L199:L202)</f>
        <v>0</v>
      </c>
      <c r="M27" s="167">
        <f>SUM(Assumptions!N199:N202)-sum(Assumptions!M199:M202)</f>
        <v>0</v>
      </c>
      <c r="N27" s="167">
        <f>SUM(Assumptions!O199:O202)-sum(Assumptions!N199:N202)</f>
        <v>0</v>
      </c>
      <c r="O27" s="167">
        <f>SUM(Assumptions!P199:P202)-sum(Assumptions!O199:O202)</f>
        <v>0</v>
      </c>
      <c r="P27" s="167">
        <f>SUM(Assumptions!Q199:Q202)-sum(Assumptions!P199:P202)</f>
        <v>0</v>
      </c>
      <c r="Q27" s="167">
        <f>SUM(Assumptions!R199:R202)-sum(Assumptions!Q199:Q202)</f>
        <v>0</v>
      </c>
      <c r="R27" s="167">
        <f>SUM(Assumptions!S199:S202)-sum(Assumptions!R199:R202)</f>
        <v>0</v>
      </c>
      <c r="S27" s="167">
        <f>SUM(Assumptions!T199:T202)-sum(Assumptions!S199:S202)</f>
        <v>0</v>
      </c>
      <c r="T27" s="167">
        <f>SUM(Assumptions!U199:U202)-sum(Assumptions!T199:T202)</f>
        <v>0</v>
      </c>
      <c r="U27" s="167">
        <f>SUM(Assumptions!V199:V202)-sum(Assumptions!U199:U202)</f>
        <v>0</v>
      </c>
      <c r="V27" s="167">
        <f>SUM(Assumptions!W199:W202)-sum(Assumptions!V199:V202)</f>
        <v>0</v>
      </c>
      <c r="W27" s="167">
        <f>SUM(Assumptions!X199:X202)-sum(Assumptions!W199:W202)</f>
        <v>0</v>
      </c>
      <c r="X27" s="167">
        <f>SUM(Assumptions!Y199:Y202)-sum(Assumptions!X199:X202)</f>
        <v>0</v>
      </c>
      <c r="Y27" s="167">
        <f>SUM(Assumptions!Z199:Z202)-sum(Assumptions!Y199:Y202)</f>
        <v>0</v>
      </c>
      <c r="Z27" s="167">
        <f>SUM(Assumptions!AA199:AA202)-sum(Assumptions!Z199:Z202)</f>
        <v>0</v>
      </c>
      <c r="AA27" s="167">
        <f>SUM(Assumptions!AB199:AB202)-sum(Assumptions!AA199:AA202)</f>
        <v>0</v>
      </c>
      <c r="AB27" s="167">
        <f>SUM(Assumptions!AC199:AC202)-sum(Assumptions!AB199:AB202)</f>
        <v>0</v>
      </c>
      <c r="AC27" s="167">
        <f>SUM(Assumptions!AD199:AD202)-sum(Assumptions!AC199:AC202)</f>
        <v>0</v>
      </c>
      <c r="AD27" s="167">
        <f>SUM(Assumptions!AE199:AE202)-sum(Assumptions!AD199:AD202)</f>
        <v>0</v>
      </c>
      <c r="AE27" s="167">
        <f>SUM(Assumptions!AF199:AF202)-sum(Assumptions!AE199:AE202)</f>
        <v>0</v>
      </c>
      <c r="AF27" s="167">
        <f>SUM(Assumptions!AG199:AG202)-sum(Assumptions!AF199:AF202)</f>
        <v>0</v>
      </c>
      <c r="AG27" s="167">
        <f>SUM(Assumptions!AH199:AH202)-sum(Assumptions!AG199:AG202)</f>
        <v>0</v>
      </c>
      <c r="AH27" s="167">
        <f>SUM(Assumptions!AI199:AI202)-sum(Assumptions!AH199:AH202)</f>
        <v>0</v>
      </c>
      <c r="AI27" s="167">
        <f>SUM(Assumptions!AJ199:AJ202)-sum(Assumptions!AI199:AI202)</f>
        <v>0</v>
      </c>
      <c r="AJ27" s="167">
        <f>SUM(Assumptions!AK199:AK202)-sum(Assumptions!AJ199:AJ202)</f>
        <v>0</v>
      </c>
      <c r="AK27" s="167">
        <f>SUM(Assumptions!AL199:AL202)-sum(Assumptions!AK199:AK202)</f>
        <v>0</v>
      </c>
      <c r="AL27" s="167">
        <f>SUM(Assumptions!AM199:AM202)-sum(Assumptions!AL199:AL202)</f>
        <v>0</v>
      </c>
      <c r="AM27" s="167">
        <f>SUM(Assumptions!AN199:AN202)-sum(Assumptions!AM199:AM202)</f>
        <v>0</v>
      </c>
      <c r="AN27" s="167">
        <f>SUM(Assumptions!AO199:AO202)-sum(Assumptions!AN199:AN202)</f>
        <v>0</v>
      </c>
      <c r="AO27" s="167">
        <f>SUM(Assumptions!AP199:AP202)-sum(Assumptions!AO199:AO202)</f>
        <v>0</v>
      </c>
      <c r="AP27" s="167">
        <f>SUM(Assumptions!AQ199:AQ202)-sum(Assumptions!AP199:AP202)</f>
        <v>0</v>
      </c>
      <c r="AQ27" s="167">
        <f>SUM(Assumptions!AR199:AR202)-sum(Assumptions!AQ199:AQ202)</f>
        <v>0</v>
      </c>
      <c r="AR27" s="167">
        <f>SUM(Assumptions!AS199:AS202)-sum(Assumptions!AR199:AR202)</f>
        <v>0</v>
      </c>
      <c r="AS27" s="167">
        <f>SUM(Assumptions!AT199:AT202)-sum(Assumptions!AS199:AS202)</f>
        <v>0</v>
      </c>
      <c r="AT27" s="167">
        <f>SUM(Assumptions!AU199:AU202)-sum(Assumptions!AT199:AT202)</f>
        <v>0</v>
      </c>
      <c r="AU27" s="167">
        <f>SUM(Assumptions!AV199:AV202)-sum(Assumptions!AU199:AU202)</f>
        <v>0</v>
      </c>
      <c r="AV27" s="167">
        <f>SUM(Assumptions!AW199:AW202)-sum(Assumptions!AV199:AV202)</f>
        <v>0</v>
      </c>
      <c r="AW27" s="167">
        <f>SUM(Assumptions!AX199:AX202)-sum(Assumptions!AW199:AW202)</f>
        <v>0</v>
      </c>
      <c r="AX27" s="167">
        <f>SUM(Assumptions!AY199:AY202)-sum(Assumptions!AX199:AX202)</f>
        <v>0</v>
      </c>
      <c r="AY27" s="167">
        <f>SUM(Assumptions!AZ199:AZ202)-sum(Assumptions!AY199:AY202)</f>
        <v>0</v>
      </c>
      <c r="AZ27" s="167">
        <f>SUM(Assumptions!BA199:BA202)-sum(Assumptions!AZ199:AZ202)</f>
        <v>0</v>
      </c>
      <c r="BA27" s="167">
        <f>SUM(Assumptions!BB199:BB202)-sum(Assumptions!BA199:BA202)</f>
        <v>0</v>
      </c>
      <c r="BB27" s="167">
        <f>SUM(Assumptions!BC199:BC202)-sum(Assumptions!BB199:BB202)</f>
        <v>0</v>
      </c>
      <c r="BC27" s="167">
        <f>SUM(Assumptions!BD199:BD202)-sum(Assumptions!BC199:BC202)</f>
        <v>0</v>
      </c>
      <c r="BD27" s="167">
        <f>SUM(Assumptions!BE199:BE202)-sum(Assumptions!BD199:BD202)</f>
        <v>0</v>
      </c>
      <c r="BE27" s="167">
        <f>SUM(Assumptions!BF199:BF202)-sum(Assumptions!BE199:BE202)</f>
        <v>0</v>
      </c>
      <c r="BF27" s="167">
        <f>SUM(Assumptions!BG199:BG202)-sum(Assumptions!BF199:BF202)</f>
        <v>0</v>
      </c>
      <c r="BG27" s="167">
        <f>SUM(Assumptions!BH199:BH202)-sum(Assumptions!BG199:BG202)</f>
        <v>0</v>
      </c>
      <c r="BH27" s="167">
        <f>SUM(Assumptions!BI199:BI202)-sum(Assumptions!BH199:BH202)</f>
        <v>0</v>
      </c>
      <c r="BI27" s="167">
        <f>SUM(Assumptions!BJ199:BJ202)-sum(Assumptions!BI199:BI202)</f>
        <v>0</v>
      </c>
      <c r="BJ27" s="167">
        <f>SUM(Assumptions!BK199:BK202)-sum(Assumptions!BJ199:BJ202)</f>
        <v>0</v>
      </c>
      <c r="BK27" s="167">
        <f>SUM(Assumptions!BL199:BL202)-sum(Assumptions!BK199:BK202)</f>
        <v>0</v>
      </c>
      <c r="BL27" s="167">
        <f>SUM(Assumptions!BM199:BM202)-sum(Assumptions!BL199:BL202)</f>
        <v>0</v>
      </c>
      <c r="BM27" s="167">
        <f>SUM(Assumptions!BN199:BN202)-sum(Assumptions!BM199:BM202)</f>
        <v>0</v>
      </c>
    </row>
    <row r="28" outlineLevel="1">
      <c r="A28" s="167"/>
      <c r="B28" s="170" t="s">
        <v>158</v>
      </c>
      <c r="C28" s="171"/>
      <c r="D28" s="171"/>
      <c r="E28" s="171"/>
      <c r="F28" s="172">
        <f t="shared" ref="F28:BM28" si="10">F26-F27</f>
        <v>-258997.3625</v>
      </c>
      <c r="G28" s="172">
        <f t="shared" si="10"/>
        <v>-252216.3411</v>
      </c>
      <c r="H28" s="172">
        <f t="shared" si="10"/>
        <v>-247736.052</v>
      </c>
      <c r="I28" s="172">
        <f t="shared" si="10"/>
        <v>-243036.5074</v>
      </c>
      <c r="J28" s="172">
        <f t="shared" si="10"/>
        <v>-238083.582</v>
      </c>
      <c r="K28" s="172">
        <f t="shared" si="10"/>
        <v>-232861.8627</v>
      </c>
      <c r="L28" s="172">
        <f t="shared" si="10"/>
        <v>-227672.9769</v>
      </c>
      <c r="M28" s="172">
        <f t="shared" si="10"/>
        <v>-222510.158</v>
      </c>
      <c r="N28" s="172">
        <f t="shared" si="10"/>
        <v>-217372.6652</v>
      </c>
      <c r="O28" s="172">
        <f t="shared" si="10"/>
        <v>-212259.8639</v>
      </c>
      <c r="P28" s="172">
        <f t="shared" si="10"/>
        <v>-207160.5619</v>
      </c>
      <c r="Q28" s="172">
        <f t="shared" si="10"/>
        <v>-202084.6324</v>
      </c>
      <c r="R28" s="172">
        <f t="shared" si="10"/>
        <v>-197031.6443</v>
      </c>
      <c r="S28" s="172">
        <f t="shared" si="10"/>
        <v>-192001.0264</v>
      </c>
      <c r="T28" s="172">
        <f t="shared" si="10"/>
        <v>-186992.2194</v>
      </c>
      <c r="U28" s="172">
        <f t="shared" si="10"/>
        <v>-182004.678</v>
      </c>
      <c r="V28" s="172">
        <f t="shared" si="10"/>
        <v>-177037.8706</v>
      </c>
      <c r="W28" s="172">
        <f t="shared" si="10"/>
        <v>-172091.2789</v>
      </c>
      <c r="X28" s="172">
        <f t="shared" si="10"/>
        <v>-167164.3974</v>
      </c>
      <c r="Y28" s="172">
        <f t="shared" si="10"/>
        <v>-162256.7335</v>
      </c>
      <c r="Z28" s="172">
        <f t="shared" si="10"/>
        <v>-157367.8066</v>
      </c>
      <c r="AA28" s="172">
        <f t="shared" si="10"/>
        <v>-152497.1484</v>
      </c>
      <c r="AB28" s="172">
        <f t="shared" si="10"/>
        <v>-147644.3021</v>
      </c>
      <c r="AC28" s="172">
        <f t="shared" si="10"/>
        <v>-142808.8224</v>
      </c>
      <c r="AD28" s="172">
        <f t="shared" si="10"/>
        <v>-137990.2752</v>
      </c>
      <c r="AE28" s="172">
        <f t="shared" si="10"/>
        <v>-133188.2371</v>
      </c>
      <c r="AF28" s="172">
        <f t="shared" si="10"/>
        <v>-128402.2955</v>
      </c>
      <c r="AG28" s="172">
        <f t="shared" si="10"/>
        <v>-123632.0479</v>
      </c>
      <c r="AH28" s="172">
        <f t="shared" si="10"/>
        <v>-118877.1019</v>
      </c>
      <c r="AI28" s="172">
        <f t="shared" si="10"/>
        <v>-114137.0751</v>
      </c>
      <c r="AJ28" s="172">
        <f t="shared" si="10"/>
        <v>-109411.5944</v>
      </c>
      <c r="AK28" s="172">
        <f t="shared" si="10"/>
        <v>-104700.2962</v>
      </c>
      <c r="AL28" s="172">
        <f t="shared" si="10"/>
        <v>-100002.8259</v>
      </c>
      <c r="AM28" s="172">
        <f t="shared" si="10"/>
        <v>-95318.83786</v>
      </c>
      <c r="AN28" s="172">
        <f t="shared" si="10"/>
        <v>-90647.99499</v>
      </c>
      <c r="AO28" s="172">
        <f t="shared" si="10"/>
        <v>-85989.96866</v>
      </c>
      <c r="AP28" s="172">
        <f t="shared" si="10"/>
        <v>-81344.43846</v>
      </c>
      <c r="AQ28" s="172">
        <f t="shared" si="10"/>
        <v>-76711.09199</v>
      </c>
      <c r="AR28" s="172">
        <f t="shared" si="10"/>
        <v>-72089.62465</v>
      </c>
      <c r="AS28" s="172">
        <f t="shared" si="10"/>
        <v>-67479.73947</v>
      </c>
      <c r="AT28" s="172">
        <f t="shared" si="10"/>
        <v>-62881.14689</v>
      </c>
      <c r="AU28" s="172">
        <f t="shared" si="10"/>
        <v>-58293.5646</v>
      </c>
      <c r="AV28" s="172">
        <f t="shared" si="10"/>
        <v>-53716.71734</v>
      </c>
      <c r="AW28" s="172">
        <f t="shared" si="10"/>
        <v>-49150.33673</v>
      </c>
      <c r="AX28" s="172">
        <f t="shared" si="10"/>
        <v>-44594.16111</v>
      </c>
      <c r="AY28" s="172">
        <f t="shared" si="10"/>
        <v>-40047.93535</v>
      </c>
      <c r="AZ28" s="172">
        <f t="shared" si="10"/>
        <v>-35511.41071</v>
      </c>
      <c r="BA28" s="172">
        <f t="shared" si="10"/>
        <v>-30984.34465</v>
      </c>
      <c r="BB28" s="172">
        <f t="shared" si="10"/>
        <v>-26466.50072</v>
      </c>
      <c r="BC28" s="172">
        <f t="shared" si="10"/>
        <v>-21957.64836</v>
      </c>
      <c r="BD28" s="172">
        <f t="shared" si="10"/>
        <v>-17457.56279</v>
      </c>
      <c r="BE28" s="172">
        <f t="shared" si="10"/>
        <v>-12966.02482</v>
      </c>
      <c r="BF28" s="172">
        <f t="shared" si="10"/>
        <v>-8482.820775</v>
      </c>
      <c r="BG28" s="172">
        <f t="shared" si="10"/>
        <v>-4007.742303</v>
      </c>
      <c r="BH28" s="172">
        <f t="shared" si="10"/>
        <v>459.4137343</v>
      </c>
      <c r="BI28" s="172">
        <f t="shared" si="10"/>
        <v>4918.845398</v>
      </c>
      <c r="BJ28" s="172">
        <f t="shared" si="10"/>
        <v>9370.745799</v>
      </c>
      <c r="BK28" s="172">
        <f t="shared" si="10"/>
        <v>13815.30322</v>
      </c>
      <c r="BL28" s="172">
        <f t="shared" si="10"/>
        <v>18252.70123</v>
      </c>
      <c r="BM28" s="172">
        <f t="shared" si="10"/>
        <v>22683.11881</v>
      </c>
    </row>
    <row r="29" outlineLevel="1">
      <c r="A29" s="167"/>
      <c r="B29" s="180" t="s">
        <v>159</v>
      </c>
      <c r="C29" s="178"/>
      <c r="D29" s="178"/>
      <c r="E29" s="178"/>
      <c r="F29" s="178">
        <f>IF(F28&gt;0,F28*Assumptions!$C$180,0)</f>
        <v>0</v>
      </c>
      <c r="G29" s="178">
        <f>IF(G28&gt;0,G28*Assumptions!$C$180,0)</f>
        <v>0</v>
      </c>
      <c r="H29" s="178">
        <f>IF(H28&gt;0,H28*Assumptions!$C$180,0)</f>
        <v>0</v>
      </c>
      <c r="I29" s="178">
        <f>IF(I28&gt;0,I28*Assumptions!$C$180,0)</f>
        <v>0</v>
      </c>
      <c r="J29" s="178">
        <f>IF(J28&gt;0,J28*Assumptions!$C$180,0)</f>
        <v>0</v>
      </c>
      <c r="K29" s="178">
        <f>IF(K28&gt;0,K28*Assumptions!$C$180,0)</f>
        <v>0</v>
      </c>
      <c r="L29" s="178">
        <f>IF(L28&gt;0,L28*Assumptions!$C$180,0)</f>
        <v>0</v>
      </c>
      <c r="M29" s="178">
        <f>IF(M28&gt;0,M28*Assumptions!$C$180,0)</f>
        <v>0</v>
      </c>
      <c r="N29" s="178">
        <f>IF(N28&gt;0,N28*Assumptions!$C$180,0)</f>
        <v>0</v>
      </c>
      <c r="O29" s="178">
        <f>IF(O28&gt;0,O28*Assumptions!$C$180,0)</f>
        <v>0</v>
      </c>
      <c r="P29" s="178">
        <f>IF(P28&gt;0,P28*Assumptions!$C$180,0)</f>
        <v>0</v>
      </c>
      <c r="Q29" s="178">
        <f>IF(Q28&gt;0,Q28*Assumptions!$C$180,0)</f>
        <v>0</v>
      </c>
      <c r="R29" s="178">
        <f>IF(R28&gt;0,R28*Assumptions!$C$180,0)</f>
        <v>0</v>
      </c>
      <c r="S29" s="178">
        <f>IF(S28&gt;0,S28*Assumptions!$C$180,0)</f>
        <v>0</v>
      </c>
      <c r="T29" s="178">
        <f>IF(T28&gt;0,T28*Assumptions!$C$180,0)</f>
        <v>0</v>
      </c>
      <c r="U29" s="178">
        <f>IF(U28&gt;0,U28*Assumptions!$C$180,0)</f>
        <v>0</v>
      </c>
      <c r="V29" s="178">
        <f>IF(V28&gt;0,V28*Assumptions!$C$180,0)</f>
        <v>0</v>
      </c>
      <c r="W29" s="178">
        <f>IF(W28&gt;0,W28*Assumptions!$C$180,0)</f>
        <v>0</v>
      </c>
      <c r="X29" s="178">
        <f>IF(X28&gt;0,X28*Assumptions!$C$180,0)</f>
        <v>0</v>
      </c>
      <c r="Y29" s="178">
        <f>IF(Y28&gt;0,Y28*Assumptions!$C$180,0)</f>
        <v>0</v>
      </c>
      <c r="Z29" s="178">
        <f>IF(Z28&gt;0,Z28*Assumptions!$C$180,0)</f>
        <v>0</v>
      </c>
      <c r="AA29" s="178">
        <f>IF(AA28&gt;0,AA28*Assumptions!$C$180,0)</f>
        <v>0</v>
      </c>
      <c r="AB29" s="178">
        <f>IF(AB28&gt;0,AB28*Assumptions!$C$180,0)</f>
        <v>0</v>
      </c>
      <c r="AC29" s="178">
        <f>IF(AC28&gt;0,AC28*Assumptions!$C$180,0)</f>
        <v>0</v>
      </c>
      <c r="AD29" s="178">
        <f>IF(AD28&gt;0,AD28*Assumptions!$C$180,0)</f>
        <v>0</v>
      </c>
      <c r="AE29" s="178">
        <f>IF(AE28&gt;0,AE28*Assumptions!$C$180,0)</f>
        <v>0</v>
      </c>
      <c r="AF29" s="178">
        <f>IF(AF28&gt;0,AF28*Assumptions!$C$180,0)</f>
        <v>0</v>
      </c>
      <c r="AG29" s="178">
        <f>IF(AG28&gt;0,AG28*Assumptions!$C$180,0)</f>
        <v>0</v>
      </c>
      <c r="AH29" s="178">
        <f>IF(AH28&gt;0,AH28*Assumptions!$C$180,0)</f>
        <v>0</v>
      </c>
      <c r="AI29" s="178">
        <f>IF(AI28&gt;0,AI28*Assumptions!$C$180,0)</f>
        <v>0</v>
      </c>
      <c r="AJ29" s="178">
        <f>IF(AJ28&gt;0,AJ28*Assumptions!$C$180,0)</f>
        <v>0</v>
      </c>
      <c r="AK29" s="178">
        <f>IF(AK28&gt;0,AK28*Assumptions!$C$180,0)</f>
        <v>0</v>
      </c>
      <c r="AL29" s="178">
        <f>IF(AL28&gt;0,AL28*Assumptions!$C$180,0)</f>
        <v>0</v>
      </c>
      <c r="AM29" s="178">
        <f>IF(AM28&gt;0,AM28*Assumptions!$C$180,0)</f>
        <v>0</v>
      </c>
      <c r="AN29" s="178">
        <f>IF(AN28&gt;0,AN28*Assumptions!$C$180,0)</f>
        <v>0</v>
      </c>
      <c r="AO29" s="178">
        <f>IF(AO28&gt;0,AO28*Assumptions!$C$180,0)</f>
        <v>0</v>
      </c>
      <c r="AP29" s="178">
        <f>IF(AP28&gt;0,AP28*Assumptions!$C$180,0)</f>
        <v>0</v>
      </c>
      <c r="AQ29" s="178">
        <f>IF(AQ28&gt;0,AQ28*Assumptions!$C$180,0)</f>
        <v>0</v>
      </c>
      <c r="AR29" s="178">
        <f>IF(AR28&gt;0,AR28*Assumptions!$C$180,0)</f>
        <v>0</v>
      </c>
      <c r="AS29" s="178">
        <f>IF(AS28&gt;0,AS28*Assumptions!$C$180,0)</f>
        <v>0</v>
      </c>
      <c r="AT29" s="178">
        <f>IF(AT28&gt;0,AT28*Assumptions!$C$180,0)</f>
        <v>0</v>
      </c>
      <c r="AU29" s="178">
        <f>IF(AU28&gt;0,AU28*Assumptions!$C$180,0)</f>
        <v>0</v>
      </c>
      <c r="AV29" s="178">
        <f>IF(AV28&gt;0,AV28*Assumptions!$C$180,0)</f>
        <v>0</v>
      </c>
      <c r="AW29" s="178">
        <f>IF(AW28&gt;0,AW28*Assumptions!$C$180,0)</f>
        <v>0</v>
      </c>
      <c r="AX29" s="178">
        <f>IF(AX28&gt;0,AX28*Assumptions!$C$180,0)</f>
        <v>0</v>
      </c>
      <c r="AY29" s="178">
        <f>IF(AY28&gt;0,AY28*Assumptions!$C$180,0)</f>
        <v>0</v>
      </c>
      <c r="AZ29" s="178">
        <f>IF(AZ28&gt;0,AZ28*Assumptions!$C$180,0)</f>
        <v>0</v>
      </c>
      <c r="BA29" s="178">
        <f>IF(BA28&gt;0,BA28*Assumptions!$C$180,0)</f>
        <v>0</v>
      </c>
      <c r="BB29" s="178">
        <f>IF(BB28&gt;0,BB28*Assumptions!$C$180,0)</f>
        <v>0</v>
      </c>
      <c r="BC29" s="178">
        <f>IF(BC28&gt;0,BC28*Assumptions!$C$180,0)</f>
        <v>0</v>
      </c>
      <c r="BD29" s="178">
        <f>IF(BD28&gt;0,BD28*Assumptions!$C$180,0)</f>
        <v>0</v>
      </c>
      <c r="BE29" s="178">
        <f>IF(BE28&gt;0,BE28*Assumptions!$C$180,0)</f>
        <v>0</v>
      </c>
      <c r="BF29" s="178">
        <f>IF(BF28&gt;0,BF28*Assumptions!$C$180,0)</f>
        <v>0</v>
      </c>
      <c r="BG29" s="178">
        <f>IF(BG28&gt;0,BG28*Assumptions!$C$180,0)</f>
        <v>0</v>
      </c>
      <c r="BH29" s="178">
        <f>IF(BH28&gt;0,BH28*Assumptions!$C$180,0)</f>
        <v>124.0417083</v>
      </c>
      <c r="BI29" s="178">
        <f>IF(BI28&gt;0,BI28*Assumptions!$C$180,0)</f>
        <v>1328.088258</v>
      </c>
      <c r="BJ29" s="178">
        <f>IF(BJ28&gt;0,BJ28*Assumptions!$C$180,0)</f>
        <v>2530.101366</v>
      </c>
      <c r="BK29" s="178">
        <f>IF(BK28&gt;0,BK28*Assumptions!$C$180,0)</f>
        <v>3730.131868</v>
      </c>
      <c r="BL29" s="178">
        <f>IF(BL28&gt;0,BL28*Assumptions!$C$180,0)</f>
        <v>4928.229331</v>
      </c>
      <c r="BM29" s="178">
        <f>IF(BM28&gt;0,BM28*Assumptions!$C$180,0)</f>
        <v>6124.44208</v>
      </c>
    </row>
    <row r="30" outlineLevel="1">
      <c r="A30" s="167"/>
      <c r="B30" s="176" t="s">
        <v>160</v>
      </c>
      <c r="C30" s="167"/>
      <c r="D30" s="167"/>
      <c r="E30" s="167"/>
      <c r="F30" s="179">
        <f t="shared" ref="F30:BM30" si="11">F28-F29</f>
        <v>-258997.3625</v>
      </c>
      <c r="G30" s="179">
        <f t="shared" si="11"/>
        <v>-252216.3411</v>
      </c>
      <c r="H30" s="179">
        <f t="shared" si="11"/>
        <v>-247736.052</v>
      </c>
      <c r="I30" s="179">
        <f t="shared" si="11"/>
        <v>-243036.5074</v>
      </c>
      <c r="J30" s="179">
        <f t="shared" si="11"/>
        <v>-238083.582</v>
      </c>
      <c r="K30" s="179">
        <f t="shared" si="11"/>
        <v>-232861.8627</v>
      </c>
      <c r="L30" s="179">
        <f t="shared" si="11"/>
        <v>-227672.9769</v>
      </c>
      <c r="M30" s="179">
        <f t="shared" si="11"/>
        <v>-222510.158</v>
      </c>
      <c r="N30" s="179">
        <f t="shared" si="11"/>
        <v>-217372.6652</v>
      </c>
      <c r="O30" s="179">
        <f t="shared" si="11"/>
        <v>-212259.8639</v>
      </c>
      <c r="P30" s="179">
        <f t="shared" si="11"/>
        <v>-207160.5619</v>
      </c>
      <c r="Q30" s="179">
        <f t="shared" si="11"/>
        <v>-202084.6324</v>
      </c>
      <c r="R30" s="179">
        <f t="shared" si="11"/>
        <v>-197031.6443</v>
      </c>
      <c r="S30" s="179">
        <f t="shared" si="11"/>
        <v>-192001.0264</v>
      </c>
      <c r="T30" s="179">
        <f t="shared" si="11"/>
        <v>-186992.2194</v>
      </c>
      <c r="U30" s="179">
        <f t="shared" si="11"/>
        <v>-182004.678</v>
      </c>
      <c r="V30" s="179">
        <f t="shared" si="11"/>
        <v>-177037.8706</v>
      </c>
      <c r="W30" s="179">
        <f t="shared" si="11"/>
        <v>-172091.2789</v>
      </c>
      <c r="X30" s="179">
        <f t="shared" si="11"/>
        <v>-167164.3974</v>
      </c>
      <c r="Y30" s="179">
        <f t="shared" si="11"/>
        <v>-162256.7335</v>
      </c>
      <c r="Z30" s="179">
        <f t="shared" si="11"/>
        <v>-157367.8066</v>
      </c>
      <c r="AA30" s="179">
        <f t="shared" si="11"/>
        <v>-152497.1484</v>
      </c>
      <c r="AB30" s="179">
        <f t="shared" si="11"/>
        <v>-147644.3021</v>
      </c>
      <c r="AC30" s="179">
        <f t="shared" si="11"/>
        <v>-142808.8224</v>
      </c>
      <c r="AD30" s="179">
        <f t="shared" si="11"/>
        <v>-137990.2752</v>
      </c>
      <c r="AE30" s="179">
        <f t="shared" si="11"/>
        <v>-133188.2371</v>
      </c>
      <c r="AF30" s="179">
        <f t="shared" si="11"/>
        <v>-128402.2955</v>
      </c>
      <c r="AG30" s="179">
        <f t="shared" si="11"/>
        <v>-123632.0479</v>
      </c>
      <c r="AH30" s="179">
        <f t="shared" si="11"/>
        <v>-118877.1019</v>
      </c>
      <c r="AI30" s="179">
        <f t="shared" si="11"/>
        <v>-114137.0751</v>
      </c>
      <c r="AJ30" s="179">
        <f t="shared" si="11"/>
        <v>-109411.5944</v>
      </c>
      <c r="AK30" s="179">
        <f t="shared" si="11"/>
        <v>-104700.2962</v>
      </c>
      <c r="AL30" s="179">
        <f t="shared" si="11"/>
        <v>-100002.8259</v>
      </c>
      <c r="AM30" s="179">
        <f t="shared" si="11"/>
        <v>-95318.83786</v>
      </c>
      <c r="AN30" s="179">
        <f t="shared" si="11"/>
        <v>-90647.99499</v>
      </c>
      <c r="AO30" s="179">
        <f t="shared" si="11"/>
        <v>-85989.96866</v>
      </c>
      <c r="AP30" s="179">
        <f t="shared" si="11"/>
        <v>-81344.43846</v>
      </c>
      <c r="AQ30" s="179">
        <f t="shared" si="11"/>
        <v>-76711.09199</v>
      </c>
      <c r="AR30" s="179">
        <f t="shared" si="11"/>
        <v>-72089.62465</v>
      </c>
      <c r="AS30" s="179">
        <f t="shared" si="11"/>
        <v>-67479.73947</v>
      </c>
      <c r="AT30" s="179">
        <f t="shared" si="11"/>
        <v>-62881.14689</v>
      </c>
      <c r="AU30" s="179">
        <f t="shared" si="11"/>
        <v>-58293.5646</v>
      </c>
      <c r="AV30" s="179">
        <f t="shared" si="11"/>
        <v>-53716.71734</v>
      </c>
      <c r="AW30" s="179">
        <f t="shared" si="11"/>
        <v>-49150.33673</v>
      </c>
      <c r="AX30" s="179">
        <f t="shared" si="11"/>
        <v>-44594.16111</v>
      </c>
      <c r="AY30" s="179">
        <f t="shared" si="11"/>
        <v>-40047.93535</v>
      </c>
      <c r="AZ30" s="179">
        <f t="shared" si="11"/>
        <v>-35511.41071</v>
      </c>
      <c r="BA30" s="179">
        <f t="shared" si="11"/>
        <v>-30984.34465</v>
      </c>
      <c r="BB30" s="179">
        <f t="shared" si="11"/>
        <v>-26466.50072</v>
      </c>
      <c r="BC30" s="179">
        <f t="shared" si="11"/>
        <v>-21957.64836</v>
      </c>
      <c r="BD30" s="179">
        <f t="shared" si="11"/>
        <v>-17457.56279</v>
      </c>
      <c r="BE30" s="179">
        <f t="shared" si="11"/>
        <v>-12966.02482</v>
      </c>
      <c r="BF30" s="179">
        <f t="shared" si="11"/>
        <v>-8482.820775</v>
      </c>
      <c r="BG30" s="179">
        <f t="shared" si="11"/>
        <v>-4007.742303</v>
      </c>
      <c r="BH30" s="179">
        <f t="shared" si="11"/>
        <v>335.372026</v>
      </c>
      <c r="BI30" s="179">
        <f t="shared" si="11"/>
        <v>3590.757141</v>
      </c>
      <c r="BJ30" s="179">
        <f t="shared" si="11"/>
        <v>6840.644433</v>
      </c>
      <c r="BK30" s="179">
        <f t="shared" si="11"/>
        <v>10085.17135</v>
      </c>
      <c r="BL30" s="179">
        <f t="shared" si="11"/>
        <v>13324.4719</v>
      </c>
      <c r="BM30" s="179">
        <f t="shared" si="11"/>
        <v>16558.67673</v>
      </c>
    </row>
    <row r="31" outlineLevel="1">
      <c r="A31" s="30"/>
      <c r="B31" s="181" t="s">
        <v>161</v>
      </c>
      <c r="C31" s="30"/>
      <c r="D31" s="30"/>
      <c r="E31" s="30"/>
      <c r="F31" s="175">
        <f t="shared" ref="F31:BM31" si="12">F30/F8</f>
        <v>-30.41213709</v>
      </c>
      <c r="G31" s="175">
        <f t="shared" si="12"/>
        <v>-14.31030432</v>
      </c>
      <c r="H31" s="175">
        <f t="shared" si="12"/>
        <v>-9.122251556</v>
      </c>
      <c r="I31" s="175">
        <f t="shared" si="12"/>
        <v>-6.540911445</v>
      </c>
      <c r="J31" s="175">
        <f t="shared" si="12"/>
        <v>-4.991844974</v>
      </c>
      <c r="K31" s="175">
        <f t="shared" si="12"/>
        <v>-3.959929505</v>
      </c>
      <c r="L31" s="175">
        <f t="shared" si="12"/>
        <v>-3.259701579</v>
      </c>
      <c r="M31" s="175">
        <f t="shared" si="12"/>
        <v>-2.752835198</v>
      </c>
      <c r="N31" s="175">
        <f t="shared" si="12"/>
        <v>-2.368918761</v>
      </c>
      <c r="O31" s="175">
        <f t="shared" si="12"/>
        <v>-2.068031811</v>
      </c>
      <c r="P31" s="175">
        <f t="shared" si="12"/>
        <v>-1.825393509</v>
      </c>
      <c r="Q31" s="175">
        <f t="shared" si="12"/>
        <v>-1.625938194</v>
      </c>
      <c r="R31" s="175">
        <f t="shared" si="12"/>
        <v>-1.459071562</v>
      </c>
      <c r="S31" s="175">
        <f t="shared" si="12"/>
        <v>-1.317399045</v>
      </c>
      <c r="T31" s="175">
        <f t="shared" si="12"/>
        <v>-1.195605993</v>
      </c>
      <c r="U31" s="175">
        <f t="shared" si="12"/>
        <v>-1.089774479</v>
      </c>
      <c r="V31" s="175">
        <f t="shared" si="12"/>
        <v>-0.9969527469</v>
      </c>
      <c r="W31" s="175">
        <f t="shared" si="12"/>
        <v>-0.914874687</v>
      </c>
      <c r="X31" s="175">
        <f t="shared" si="12"/>
        <v>-0.8417716778</v>
      </c>
      <c r="Y31" s="175">
        <f t="shared" si="12"/>
        <v>-0.7762431709</v>
      </c>
      <c r="Z31" s="175">
        <f t="shared" si="12"/>
        <v>-0.717165675</v>
      </c>
      <c r="AA31" s="175">
        <f t="shared" si="12"/>
        <v>-0.6636274751</v>
      </c>
      <c r="AB31" s="175">
        <f t="shared" si="12"/>
        <v>-0.6148809784</v>
      </c>
      <c r="AC31" s="175">
        <f t="shared" si="12"/>
        <v>-0.5703073746</v>
      </c>
      <c r="AD31" s="175">
        <f t="shared" si="12"/>
        <v>-0.5293900499</v>
      </c>
      <c r="AE31" s="175">
        <f t="shared" si="12"/>
        <v>-0.4916943261</v>
      </c>
      <c r="AF31" s="175">
        <f t="shared" si="12"/>
        <v>-0.4568518363</v>
      </c>
      <c r="AG31" s="175">
        <f t="shared" si="12"/>
        <v>-0.4245483445</v>
      </c>
      <c r="AH31" s="175">
        <f t="shared" si="12"/>
        <v>-0.3945141545</v>
      </c>
      <c r="AI31" s="175">
        <f t="shared" si="12"/>
        <v>-0.3665164885</v>
      </c>
      <c r="AJ31" s="175">
        <f t="shared" si="12"/>
        <v>-0.3403533789</v>
      </c>
      <c r="AK31" s="175">
        <f t="shared" si="12"/>
        <v>-0.315848734</v>
      </c>
      <c r="AL31" s="175">
        <f t="shared" si="12"/>
        <v>-0.2928483224</v>
      </c>
      <c r="AM31" s="175">
        <f t="shared" si="12"/>
        <v>-0.2712164826</v>
      </c>
      <c r="AN31" s="175">
        <f t="shared" si="12"/>
        <v>-0.2508334102</v>
      </c>
      <c r="AO31" s="175">
        <f t="shared" si="12"/>
        <v>-0.2315929059</v>
      </c>
      <c r="AP31" s="175">
        <f t="shared" si="12"/>
        <v>-0.2134004981</v>
      </c>
      <c r="AQ31" s="175">
        <f t="shared" si="12"/>
        <v>-0.1961718671</v>
      </c>
      <c r="AR31" s="175">
        <f t="shared" si="12"/>
        <v>-0.1798315168</v>
      </c>
      <c r="AS31" s="175">
        <f t="shared" si="12"/>
        <v>-0.1643116503</v>
      </c>
      <c r="AT31" s="175">
        <f t="shared" si="12"/>
        <v>-0.1495512122</v>
      </c>
      <c r="AU31" s="175">
        <f t="shared" si="12"/>
        <v>-0.1354950712</v>
      </c>
      <c r="AV31" s="175">
        <f t="shared" si="12"/>
        <v>-0.1220933183</v>
      </c>
      <c r="AW31" s="175">
        <f t="shared" si="12"/>
        <v>-0.1093006627</v>
      </c>
      <c r="AX31" s="175">
        <f t="shared" si="12"/>
        <v>-0.0970759097</v>
      </c>
      <c r="AY31" s="175">
        <f t="shared" si="12"/>
        <v>-0.08538150751</v>
      </c>
      <c r="AZ31" s="175">
        <f t="shared" si="12"/>
        <v>-0.0741831534</v>
      </c>
      <c r="BA31" s="175">
        <f t="shared" si="12"/>
        <v>-0.06344944952</v>
      </c>
      <c r="BB31" s="175">
        <f t="shared" si="12"/>
        <v>-0.05315160171</v>
      </c>
      <c r="BC31" s="175">
        <f t="shared" si="12"/>
        <v>-0.04326315499</v>
      </c>
      <c r="BD31" s="175">
        <f t="shared" si="12"/>
        <v>-0.03375976066</v>
      </c>
      <c r="BE31" s="175">
        <f t="shared" si="12"/>
        <v>-0.02461897063</v>
      </c>
      <c r="BF31" s="175">
        <f t="shared" si="12"/>
        <v>-0.01582005551</v>
      </c>
      <c r="BG31" s="175">
        <f t="shared" si="12"/>
        <v>-0.007343843044</v>
      </c>
      <c r="BH31" s="175">
        <f t="shared" si="12"/>
        <v>0.0006040205639</v>
      </c>
      <c r="BI31" s="175">
        <f t="shared" si="12"/>
        <v>0.006358462805</v>
      </c>
      <c r="BJ31" s="175">
        <f t="shared" si="12"/>
        <v>0.01191349168</v>
      </c>
      <c r="BK31" s="175">
        <f t="shared" si="12"/>
        <v>0.01727949727</v>
      </c>
      <c r="BL31" s="175">
        <f t="shared" si="12"/>
        <v>0.02246615643</v>
      </c>
      <c r="BM31" s="175">
        <f t="shared" si="12"/>
        <v>0.02748249295</v>
      </c>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row>
    <row r="33" collapsed="1">
      <c r="A33" s="30"/>
      <c r="B33" s="165" t="s">
        <v>119</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c r="AG33" s="166"/>
      <c r="AH33" s="166"/>
      <c r="AI33" s="166"/>
      <c r="AJ33" s="166"/>
      <c r="AK33" s="166"/>
      <c r="AL33" s="166"/>
      <c r="AM33" s="166"/>
      <c r="AN33" s="166"/>
      <c r="AO33" s="166"/>
      <c r="AP33" s="166"/>
      <c r="AQ33" s="166"/>
      <c r="AR33" s="166"/>
      <c r="AS33" s="166"/>
      <c r="AT33" s="166"/>
      <c r="AU33" s="166"/>
      <c r="AV33" s="166"/>
      <c r="AW33" s="166"/>
      <c r="AX33" s="166"/>
      <c r="AY33" s="166"/>
      <c r="AZ33" s="166"/>
      <c r="BA33" s="166"/>
      <c r="BB33" s="166"/>
      <c r="BC33" s="166"/>
      <c r="BD33" s="166"/>
      <c r="BE33" s="166"/>
      <c r="BF33" s="166"/>
      <c r="BG33" s="166"/>
      <c r="BH33" s="166"/>
      <c r="BI33" s="166"/>
      <c r="BJ33" s="166"/>
      <c r="BK33" s="166"/>
      <c r="BL33" s="166"/>
      <c r="BM33" s="166"/>
    </row>
    <row r="34" hidden="1" outlineLevel="1">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row>
    <row r="35" hidden="1" outlineLevel="1">
      <c r="A35" s="167"/>
      <c r="B35" s="176" t="s">
        <v>120</v>
      </c>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167"/>
      <c r="AV35" s="167"/>
      <c r="AW35" s="167"/>
      <c r="AX35" s="167"/>
      <c r="AY35" s="167"/>
      <c r="AZ35" s="167"/>
      <c r="BA35" s="167"/>
      <c r="BB35" s="167"/>
      <c r="BC35" s="167"/>
      <c r="BD35" s="167"/>
      <c r="BE35" s="167"/>
      <c r="BF35" s="167"/>
      <c r="BG35" s="167"/>
      <c r="BH35" s="167"/>
      <c r="BI35" s="167"/>
      <c r="BJ35" s="167"/>
      <c r="BK35" s="167"/>
      <c r="BL35" s="167"/>
      <c r="BM35" s="167"/>
    </row>
    <row r="36" hidden="1" outlineLevel="1">
      <c r="A36" s="167"/>
      <c r="B36" s="182" t="s">
        <v>162</v>
      </c>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7"/>
      <c r="AX36" s="167"/>
      <c r="AY36" s="167"/>
      <c r="AZ36" s="167"/>
      <c r="BA36" s="167"/>
      <c r="BB36" s="167"/>
      <c r="BC36" s="167"/>
      <c r="BD36" s="167"/>
      <c r="BE36" s="167"/>
      <c r="BF36" s="167"/>
      <c r="BG36" s="167"/>
      <c r="BH36" s="167"/>
      <c r="BI36" s="167"/>
      <c r="BJ36" s="167"/>
      <c r="BK36" s="167"/>
      <c r="BL36" s="167"/>
      <c r="BM36" s="167"/>
    </row>
    <row r="37" hidden="1" outlineLevel="1">
      <c r="A37" s="167"/>
      <c r="B37" s="177" t="s">
        <v>163</v>
      </c>
      <c r="C37" s="167"/>
      <c r="D37" s="167"/>
      <c r="E37" s="167"/>
      <c r="F37" s="167">
        <f t="shared" ref="F37:BM37" si="13">F80</f>
        <v>260251.3188</v>
      </c>
      <c r="G37" s="167">
        <f t="shared" si="13"/>
        <v>5894.466969</v>
      </c>
      <c r="H37" s="167">
        <f t="shared" si="13"/>
        <v>-244081.7296</v>
      </c>
      <c r="I37" s="167">
        <f t="shared" si="13"/>
        <v>-489468.0093</v>
      </c>
      <c r="J37" s="167">
        <f t="shared" si="13"/>
        <v>-730028.054</v>
      </c>
      <c r="K37" s="167">
        <f t="shared" si="13"/>
        <v>-965500.7763</v>
      </c>
      <c r="L37" s="167">
        <f t="shared" si="13"/>
        <v>-1195768.196</v>
      </c>
      <c r="M37" s="167">
        <f t="shared" si="13"/>
        <v>-1420859.764</v>
      </c>
      <c r="N37" s="167">
        <f t="shared" si="13"/>
        <v>-1640801.175</v>
      </c>
      <c r="O37" s="167">
        <f t="shared" si="13"/>
        <v>-1855617.44</v>
      </c>
      <c r="P37" s="167">
        <f t="shared" si="13"/>
        <v>-2065327.653</v>
      </c>
      <c r="Q37" s="167">
        <f t="shared" si="13"/>
        <v>-2269950.25</v>
      </c>
      <c r="R37" s="167">
        <f t="shared" si="13"/>
        <v>-2469508.388</v>
      </c>
      <c r="S37" s="167">
        <f t="shared" si="13"/>
        <v>-2664024.723</v>
      </c>
      <c r="T37" s="167">
        <f t="shared" si="13"/>
        <v>-2853521.346</v>
      </c>
      <c r="U37" s="167">
        <f t="shared" si="13"/>
        <v>-3038019.795</v>
      </c>
      <c r="V37" s="167">
        <f t="shared" si="13"/>
        <v>-3217541.069</v>
      </c>
      <c r="W37" s="167">
        <f t="shared" si="13"/>
        <v>-3392105.644</v>
      </c>
      <c r="X37" s="167">
        <f t="shared" si="13"/>
        <v>-3561733.482</v>
      </c>
      <c r="Y37" s="167">
        <f t="shared" si="13"/>
        <v>-3726444.048</v>
      </c>
      <c r="Z37" s="167">
        <f t="shared" si="13"/>
        <v>-3886256.318</v>
      </c>
      <c r="AA37" s="167">
        <f t="shared" si="13"/>
        <v>-4041188.795</v>
      </c>
      <c r="AB37" s="167">
        <f t="shared" si="13"/>
        <v>-4191259.52</v>
      </c>
      <c r="AC37" s="167">
        <f t="shared" si="13"/>
        <v>-4336486.083</v>
      </c>
      <c r="AD37" s="167">
        <f t="shared" si="13"/>
        <v>-4476885.631</v>
      </c>
      <c r="AE37" s="167">
        <f t="shared" si="13"/>
        <v>-4612474.887</v>
      </c>
      <c r="AF37" s="167">
        <f t="shared" si="13"/>
        <v>-4743270.154</v>
      </c>
      <c r="AG37" s="167">
        <f t="shared" si="13"/>
        <v>-4869287.325</v>
      </c>
      <c r="AH37" s="167">
        <f t="shared" si="13"/>
        <v>-4990541.9</v>
      </c>
      <c r="AI37" s="167">
        <f t="shared" si="13"/>
        <v>-5107048.989</v>
      </c>
      <c r="AJ37" s="167">
        <f t="shared" si="13"/>
        <v>-5218823.324</v>
      </c>
      <c r="AK37" s="167">
        <f t="shared" si="13"/>
        <v>-5325879.269</v>
      </c>
      <c r="AL37" s="167">
        <f t="shared" si="13"/>
        <v>-5428230.83</v>
      </c>
      <c r="AM37" s="167">
        <f t="shared" si="13"/>
        <v>-5525891.662</v>
      </c>
      <c r="AN37" s="167">
        <f t="shared" si="13"/>
        <v>-5618875.078</v>
      </c>
      <c r="AO37" s="167">
        <f t="shared" si="13"/>
        <v>-5707194.06</v>
      </c>
      <c r="AP37" s="167">
        <f t="shared" si="13"/>
        <v>-5790861.264</v>
      </c>
      <c r="AQ37" s="167">
        <f t="shared" si="13"/>
        <v>-5869889.029</v>
      </c>
      <c r="AR37" s="167">
        <f t="shared" si="13"/>
        <v>-5944289.387</v>
      </c>
      <c r="AS37" s="167">
        <f t="shared" si="13"/>
        <v>-6014074.069</v>
      </c>
      <c r="AT37" s="167">
        <f t="shared" si="13"/>
        <v>-6079254.512</v>
      </c>
      <c r="AU37" s="167">
        <f t="shared" si="13"/>
        <v>-6139841.868</v>
      </c>
      <c r="AV37" s="167">
        <f t="shared" si="13"/>
        <v>-6195847.009</v>
      </c>
      <c r="AW37" s="167">
        <f t="shared" si="13"/>
        <v>-6247280.536</v>
      </c>
      <c r="AX37" s="167">
        <f t="shared" si="13"/>
        <v>-6294152.785</v>
      </c>
      <c r="AY37" s="167">
        <f t="shared" si="13"/>
        <v>-6336473.833</v>
      </c>
      <c r="AZ37" s="167">
        <f t="shared" si="13"/>
        <v>-6374253.506</v>
      </c>
      <c r="BA37" s="167">
        <f t="shared" si="13"/>
        <v>-6407501.384</v>
      </c>
      <c r="BB37" s="167">
        <f t="shared" si="13"/>
        <v>-6436226.807</v>
      </c>
      <c r="BC37" s="167">
        <f t="shared" si="13"/>
        <v>-6460438.881</v>
      </c>
      <c r="BD37" s="167">
        <f t="shared" si="13"/>
        <v>-6480146.487</v>
      </c>
      <c r="BE37" s="167">
        <f t="shared" si="13"/>
        <v>-6495358.281</v>
      </c>
      <c r="BF37" s="167">
        <f t="shared" si="13"/>
        <v>-6506082.703</v>
      </c>
      <c r="BG37" s="167">
        <f t="shared" si="13"/>
        <v>-6512327.985</v>
      </c>
      <c r="BH37" s="167">
        <f t="shared" si="13"/>
        <v>-6514226.191</v>
      </c>
      <c r="BI37" s="167">
        <f t="shared" si="13"/>
        <v>-6512865.15</v>
      </c>
      <c r="BJ37" s="167">
        <f t="shared" si="13"/>
        <v>-6508250.455</v>
      </c>
      <c r="BK37" s="167">
        <f t="shared" si="13"/>
        <v>-6500387.563</v>
      </c>
      <c r="BL37" s="167">
        <f t="shared" si="13"/>
        <v>-6489281.79</v>
      </c>
      <c r="BM37" s="167">
        <f t="shared" si="13"/>
        <v>-6474938.322</v>
      </c>
    </row>
    <row r="38" hidden="1" outlineLevel="1">
      <c r="A38" s="167"/>
      <c r="B38" s="177" t="s">
        <v>164</v>
      </c>
      <c r="C38" s="167"/>
      <c r="D38" s="167"/>
      <c r="E38" s="167"/>
      <c r="F38" s="167">
        <f>Assumptions!G190</f>
        <v>4258.125</v>
      </c>
      <c r="G38" s="167">
        <f>Assumptions!H190</f>
        <v>8812.403125</v>
      </c>
      <c r="H38" s="167">
        <f>Assumptions!I190</f>
        <v>13578.66808</v>
      </c>
      <c r="I38" s="167">
        <f>Assumptions!J190</f>
        <v>18578.1836</v>
      </c>
      <c r="J38" s="167">
        <f>Assumptions!K190</f>
        <v>23847.25319</v>
      </c>
      <c r="K38" s="167">
        <f>Assumptions!L190</f>
        <v>29402.27375</v>
      </c>
      <c r="L38" s="167">
        <f>Assumptions!M190</f>
        <v>34922.36503</v>
      </c>
      <c r="M38" s="167">
        <f>Assumptions!N190</f>
        <v>40414.72555</v>
      </c>
      <c r="N38" s="167">
        <f>Assumptions!O190</f>
        <v>45880.14345</v>
      </c>
      <c r="O38" s="167">
        <f>Assumptions!P190</f>
        <v>51319.29373</v>
      </c>
      <c r="P38" s="167">
        <f>Assumptions!Q190</f>
        <v>56744.08308</v>
      </c>
      <c r="Q38" s="167">
        <f>Assumptions!R190</f>
        <v>62144.00805</v>
      </c>
      <c r="R38" s="167">
        <f>Assumptions!S190</f>
        <v>67519.5273</v>
      </c>
      <c r="S38" s="167">
        <f>Assumptions!T190</f>
        <v>72871.24853</v>
      </c>
      <c r="T38" s="167">
        <f>Assumptions!U190</f>
        <v>78199.76664</v>
      </c>
      <c r="U38" s="167">
        <f>Assumptions!V190</f>
        <v>83505.66173</v>
      </c>
      <c r="V38" s="167">
        <f>Assumptions!W190</f>
        <v>88789.49937</v>
      </c>
      <c r="W38" s="167">
        <f>Assumptions!X190</f>
        <v>94051.83099</v>
      </c>
      <c r="X38" s="167">
        <f>Assumptions!Y190</f>
        <v>99293.19424</v>
      </c>
      <c r="Y38" s="167">
        <f>Assumptions!Z190</f>
        <v>104514.1133</v>
      </c>
      <c r="Z38" s="167">
        <f>Assumptions!AA190</f>
        <v>109715.0994</v>
      </c>
      <c r="AA38" s="167">
        <f>Assumptions!AB190</f>
        <v>114896.6507</v>
      </c>
      <c r="AB38" s="167">
        <f>Assumptions!AC190</f>
        <v>120059.2531</v>
      </c>
      <c r="AC38" s="167">
        <f>Assumptions!AD190</f>
        <v>125203.3804</v>
      </c>
      <c r="AD38" s="167">
        <f>Assumptions!AE190</f>
        <v>130329.4945</v>
      </c>
      <c r="AE38" s="167">
        <f>Assumptions!AF190</f>
        <v>135438.0456</v>
      </c>
      <c r="AF38" s="167">
        <f>Assumptions!AG190</f>
        <v>140529.4729</v>
      </c>
      <c r="AG38" s="167">
        <f>Assumptions!AH190</f>
        <v>145604.2044</v>
      </c>
      <c r="AH38" s="167">
        <f>Assumptions!AI190</f>
        <v>150662.6575</v>
      </c>
      <c r="AI38" s="167">
        <f>Assumptions!AJ190</f>
        <v>155705.2393</v>
      </c>
      <c r="AJ38" s="167">
        <f>Assumptions!AK190</f>
        <v>160732.3464</v>
      </c>
      <c r="AK38" s="167">
        <f>Assumptions!AL190</f>
        <v>165744.3658</v>
      </c>
      <c r="AL38" s="167">
        <f>Assumptions!AM190</f>
        <v>170741.6746</v>
      </c>
      <c r="AM38" s="167">
        <f>Assumptions!AN190</f>
        <v>175724.6406</v>
      </c>
      <c r="AN38" s="167">
        <f>Assumptions!AO190</f>
        <v>180693.6224</v>
      </c>
      <c r="AO38" s="167">
        <f>Assumptions!AP190</f>
        <v>185648.9695</v>
      </c>
      <c r="AP38" s="167">
        <f>Assumptions!AQ190</f>
        <v>190591.0229</v>
      </c>
      <c r="AQ38" s="167">
        <f>Assumptions!AR190</f>
        <v>195520.1149</v>
      </c>
      <c r="AR38" s="167">
        <f>Assumptions!AS190</f>
        <v>200436.5695</v>
      </c>
      <c r="AS38" s="167">
        <f>Assumptions!AT190</f>
        <v>205340.7027</v>
      </c>
      <c r="AT38" s="167">
        <f>Assumptions!AU190</f>
        <v>210232.8225</v>
      </c>
      <c r="AU38" s="167">
        <f>Assumptions!AV190</f>
        <v>215113.2291</v>
      </c>
      <c r="AV38" s="167">
        <f>Assumptions!AW190</f>
        <v>219982.2156</v>
      </c>
      <c r="AW38" s="167">
        <f>Assumptions!AX190</f>
        <v>224840.0673</v>
      </c>
      <c r="AX38" s="167">
        <f>Assumptions!AY190</f>
        <v>229687.0627</v>
      </c>
      <c r="AY38" s="167">
        <f>Assumptions!AZ190</f>
        <v>234523.473</v>
      </c>
      <c r="AZ38" s="167">
        <f>Assumptions!BA190</f>
        <v>239349.5631</v>
      </c>
      <c r="BA38" s="167">
        <f>Assumptions!BB190</f>
        <v>244165.5908</v>
      </c>
      <c r="BB38" s="167">
        <f>Assumptions!BC190</f>
        <v>248971.8077</v>
      </c>
      <c r="BC38" s="167">
        <f>Assumptions!BD190</f>
        <v>253768.4592</v>
      </c>
      <c r="BD38" s="167">
        <f>Assumptions!BE190</f>
        <v>258555.7843</v>
      </c>
      <c r="BE38" s="167">
        <f>Assumptions!BF190</f>
        <v>263334.0161</v>
      </c>
      <c r="BF38" s="167">
        <f>Assumptions!BG190</f>
        <v>268103.3822</v>
      </c>
      <c r="BG38" s="167">
        <f>Assumptions!BH190</f>
        <v>272864.1039</v>
      </c>
      <c r="BH38" s="167">
        <f>Assumptions!BI190</f>
        <v>277616.3976</v>
      </c>
      <c r="BI38" s="167">
        <f>Assumptions!BJ190</f>
        <v>282360.4738</v>
      </c>
      <c r="BJ38" s="167">
        <f>Assumptions!BK190</f>
        <v>287096.5381</v>
      </c>
      <c r="BK38" s="167">
        <f>Assumptions!BL190</f>
        <v>291824.7907</v>
      </c>
      <c r="BL38" s="167">
        <f>Assumptions!BM190</f>
        <v>296545.4268</v>
      </c>
      <c r="BM38" s="167">
        <f>Assumptions!BN190</f>
        <v>301258.637</v>
      </c>
    </row>
    <row r="39" hidden="1" outlineLevel="1">
      <c r="A39" s="167"/>
      <c r="B39" s="183" t="s">
        <v>165</v>
      </c>
      <c r="C39" s="184"/>
      <c r="D39" s="184"/>
      <c r="E39" s="184"/>
      <c r="F39" s="184">
        <f t="shared" ref="F39:BM39" si="14">SUM(F37:F38)</f>
        <v>264509.4438</v>
      </c>
      <c r="G39" s="185">
        <f t="shared" si="14"/>
        <v>14706.87009</v>
      </c>
      <c r="H39" s="185">
        <f t="shared" si="14"/>
        <v>-230503.0615</v>
      </c>
      <c r="I39" s="185">
        <f t="shared" si="14"/>
        <v>-470889.8257</v>
      </c>
      <c r="J39" s="185">
        <f t="shared" si="14"/>
        <v>-706180.8008</v>
      </c>
      <c r="K39" s="185">
        <f t="shared" si="14"/>
        <v>-936098.5026</v>
      </c>
      <c r="L39" s="185">
        <f t="shared" si="14"/>
        <v>-1160845.831</v>
      </c>
      <c r="M39" s="185">
        <f t="shared" si="14"/>
        <v>-1380445.038</v>
      </c>
      <c r="N39" s="185">
        <f t="shared" si="14"/>
        <v>-1594921.032</v>
      </c>
      <c r="O39" s="185">
        <f t="shared" si="14"/>
        <v>-1804298.146</v>
      </c>
      <c r="P39" s="185">
        <f t="shared" si="14"/>
        <v>-2008583.569</v>
      </c>
      <c r="Q39" s="185">
        <f t="shared" si="14"/>
        <v>-2207806.242</v>
      </c>
      <c r="R39" s="185">
        <f t="shared" si="14"/>
        <v>-2401988.861</v>
      </c>
      <c r="S39" s="185">
        <f t="shared" si="14"/>
        <v>-2591153.475</v>
      </c>
      <c r="T39" s="185">
        <f t="shared" si="14"/>
        <v>-2775321.58</v>
      </c>
      <c r="U39" s="185">
        <f t="shared" si="14"/>
        <v>-2954514.133</v>
      </c>
      <c r="V39" s="185">
        <f t="shared" si="14"/>
        <v>-3128751.57</v>
      </c>
      <c r="W39" s="185">
        <f t="shared" si="14"/>
        <v>-3298053.813</v>
      </c>
      <c r="X39" s="185">
        <f t="shared" si="14"/>
        <v>-3462440.288</v>
      </c>
      <c r="Y39" s="185">
        <f t="shared" si="14"/>
        <v>-3621929.934</v>
      </c>
      <c r="Z39" s="185">
        <f t="shared" si="14"/>
        <v>-3776541.218</v>
      </c>
      <c r="AA39" s="185">
        <f t="shared" si="14"/>
        <v>-3926292.144</v>
      </c>
      <c r="AB39" s="185">
        <f t="shared" si="14"/>
        <v>-4071200.267</v>
      </c>
      <c r="AC39" s="185">
        <f t="shared" si="14"/>
        <v>-4211282.702</v>
      </c>
      <c r="AD39" s="185">
        <f t="shared" si="14"/>
        <v>-4346556.137</v>
      </c>
      <c r="AE39" s="185">
        <f t="shared" si="14"/>
        <v>-4477036.842</v>
      </c>
      <c r="AF39" s="185">
        <f t="shared" si="14"/>
        <v>-4602740.681</v>
      </c>
      <c r="AG39" s="185">
        <f t="shared" si="14"/>
        <v>-4723683.121</v>
      </c>
      <c r="AH39" s="185">
        <f t="shared" si="14"/>
        <v>-4839879.243</v>
      </c>
      <c r="AI39" s="185">
        <f t="shared" si="14"/>
        <v>-4951343.75</v>
      </c>
      <c r="AJ39" s="185">
        <f t="shared" si="14"/>
        <v>-5058090.977</v>
      </c>
      <c r="AK39" s="185">
        <f t="shared" si="14"/>
        <v>-5160134.903</v>
      </c>
      <c r="AL39" s="185">
        <f t="shared" si="14"/>
        <v>-5257489.155</v>
      </c>
      <c r="AM39" s="185">
        <f t="shared" si="14"/>
        <v>-5350167.021</v>
      </c>
      <c r="AN39" s="185">
        <f t="shared" si="14"/>
        <v>-5438181.456</v>
      </c>
      <c r="AO39" s="185">
        <f t="shared" si="14"/>
        <v>-5521545.09</v>
      </c>
      <c r="AP39" s="185">
        <f t="shared" si="14"/>
        <v>-5600270.241</v>
      </c>
      <c r="AQ39" s="185">
        <f t="shared" si="14"/>
        <v>-5674368.914</v>
      </c>
      <c r="AR39" s="185">
        <f t="shared" si="14"/>
        <v>-5743852.818</v>
      </c>
      <c r="AS39" s="185">
        <f t="shared" si="14"/>
        <v>-5808733.366</v>
      </c>
      <c r="AT39" s="185">
        <f t="shared" si="14"/>
        <v>-5869021.69</v>
      </c>
      <c r="AU39" s="185">
        <f t="shared" si="14"/>
        <v>-5924728.639</v>
      </c>
      <c r="AV39" s="185">
        <f t="shared" si="14"/>
        <v>-5975864.793</v>
      </c>
      <c r="AW39" s="185">
        <f t="shared" si="14"/>
        <v>-6022440.469</v>
      </c>
      <c r="AX39" s="185">
        <f t="shared" si="14"/>
        <v>-6064465.722</v>
      </c>
      <c r="AY39" s="185">
        <f t="shared" si="14"/>
        <v>-6101950.36</v>
      </c>
      <c r="AZ39" s="185">
        <f t="shared" si="14"/>
        <v>-6134903.943</v>
      </c>
      <c r="BA39" s="185">
        <f t="shared" si="14"/>
        <v>-6163335.793</v>
      </c>
      <c r="BB39" s="185">
        <f t="shared" si="14"/>
        <v>-6187254.999</v>
      </c>
      <c r="BC39" s="185">
        <f t="shared" si="14"/>
        <v>-6206670.422</v>
      </c>
      <c r="BD39" s="185">
        <f t="shared" si="14"/>
        <v>-6221590.703</v>
      </c>
      <c r="BE39" s="185">
        <f t="shared" si="14"/>
        <v>-6232024.264</v>
      </c>
      <c r="BF39" s="185">
        <f t="shared" si="14"/>
        <v>-6237979.321</v>
      </c>
      <c r="BG39" s="185">
        <f t="shared" si="14"/>
        <v>-6239463.881</v>
      </c>
      <c r="BH39" s="185">
        <f t="shared" si="14"/>
        <v>-6236609.793</v>
      </c>
      <c r="BI39" s="185">
        <f t="shared" si="14"/>
        <v>-6230504.676</v>
      </c>
      <c r="BJ39" s="185">
        <f t="shared" si="14"/>
        <v>-6221153.917</v>
      </c>
      <c r="BK39" s="185">
        <f t="shared" si="14"/>
        <v>-6208562.772</v>
      </c>
      <c r="BL39" s="185">
        <f t="shared" si="14"/>
        <v>-6192736.363</v>
      </c>
      <c r="BM39" s="185">
        <f t="shared" si="14"/>
        <v>-6173679.685</v>
      </c>
    </row>
    <row r="40" hidden="1" outlineLevel="1">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row>
    <row r="41" hidden="1" outlineLevel="1">
      <c r="A41" s="167"/>
      <c r="B41" s="177" t="s">
        <v>124</v>
      </c>
      <c r="C41" s="167"/>
      <c r="D41" s="167"/>
      <c r="E41" s="167"/>
      <c r="F41" s="167">
        <f>SUM(Assumptions!G192:G196)</f>
        <v>0</v>
      </c>
      <c r="G41" s="167">
        <f>SUM(Assumptions!H192:H196)</f>
        <v>0</v>
      </c>
      <c r="H41" s="167">
        <f>SUM(Assumptions!I192:I196)</f>
        <v>0</v>
      </c>
      <c r="I41" s="167">
        <f>SUM(Assumptions!J192:J196)</f>
        <v>0</v>
      </c>
      <c r="J41" s="167">
        <f>SUM(Assumptions!K192:K196)</f>
        <v>0</v>
      </c>
      <c r="K41" s="167">
        <f>SUM(Assumptions!L192:L196)</f>
        <v>0</v>
      </c>
      <c r="L41" s="167">
        <f>SUM(Assumptions!M192:M196)</f>
        <v>0</v>
      </c>
      <c r="M41" s="167">
        <f>SUM(Assumptions!N192:N196)</f>
        <v>0</v>
      </c>
      <c r="N41" s="167">
        <f>SUM(Assumptions!O192:O196)</f>
        <v>0</v>
      </c>
      <c r="O41" s="167">
        <f>SUM(Assumptions!P192:P196)</f>
        <v>0</v>
      </c>
      <c r="P41" s="167">
        <f>SUM(Assumptions!Q192:Q196)</f>
        <v>0</v>
      </c>
      <c r="Q41" s="167">
        <f>SUM(Assumptions!R192:R196)</f>
        <v>0</v>
      </c>
      <c r="R41" s="167">
        <f>SUM(Assumptions!S192:S196)</f>
        <v>0</v>
      </c>
      <c r="S41" s="167">
        <f>SUM(Assumptions!T192:T196)</f>
        <v>0</v>
      </c>
      <c r="T41" s="167">
        <f>SUM(Assumptions!U192:U196)</f>
        <v>0</v>
      </c>
      <c r="U41" s="167">
        <f>SUM(Assumptions!V192:V196)</f>
        <v>0</v>
      </c>
      <c r="V41" s="167">
        <f>SUM(Assumptions!W192:W196)</f>
        <v>0</v>
      </c>
      <c r="W41" s="167">
        <f>SUM(Assumptions!X192:X196)</f>
        <v>0</v>
      </c>
      <c r="X41" s="167">
        <f>SUM(Assumptions!Y192:Y196)</f>
        <v>0</v>
      </c>
      <c r="Y41" s="167">
        <f>SUM(Assumptions!Z192:Z196)</f>
        <v>0</v>
      </c>
      <c r="Z41" s="167">
        <f>SUM(Assumptions!AA192:AA196)</f>
        <v>0</v>
      </c>
      <c r="AA41" s="167">
        <f>SUM(Assumptions!AB192:AB196)</f>
        <v>0</v>
      </c>
      <c r="AB41" s="167">
        <f>SUM(Assumptions!AC192:AC196)</f>
        <v>0</v>
      </c>
      <c r="AC41" s="167">
        <f>SUM(Assumptions!AD192:AD196)</f>
        <v>0</v>
      </c>
      <c r="AD41" s="167">
        <f>SUM(Assumptions!AE192:AE196)</f>
        <v>0</v>
      </c>
      <c r="AE41" s="167">
        <f>SUM(Assumptions!AF192:AF196)</f>
        <v>0</v>
      </c>
      <c r="AF41" s="167">
        <f>SUM(Assumptions!AG192:AG196)</f>
        <v>0</v>
      </c>
      <c r="AG41" s="167">
        <f>SUM(Assumptions!AH192:AH196)</f>
        <v>0</v>
      </c>
      <c r="AH41" s="167">
        <f>SUM(Assumptions!AI192:AI196)</f>
        <v>0</v>
      </c>
      <c r="AI41" s="167">
        <f>SUM(Assumptions!AJ192:AJ196)</f>
        <v>0</v>
      </c>
      <c r="AJ41" s="167">
        <f>SUM(Assumptions!AK192:AK196)</f>
        <v>0</v>
      </c>
      <c r="AK41" s="167">
        <f>SUM(Assumptions!AL192:AL196)</f>
        <v>0</v>
      </c>
      <c r="AL41" s="167">
        <f>SUM(Assumptions!AM192:AM196)</f>
        <v>0</v>
      </c>
      <c r="AM41" s="167">
        <f>SUM(Assumptions!AN192:AN196)</f>
        <v>0</v>
      </c>
      <c r="AN41" s="167">
        <f>SUM(Assumptions!AO192:AO196)</f>
        <v>0</v>
      </c>
      <c r="AO41" s="167">
        <f>SUM(Assumptions!AP192:AP196)</f>
        <v>0</v>
      </c>
      <c r="AP41" s="167">
        <f>SUM(Assumptions!AQ192:AQ196)</f>
        <v>0</v>
      </c>
      <c r="AQ41" s="167">
        <f>SUM(Assumptions!AR192:AR196)</f>
        <v>0</v>
      </c>
      <c r="AR41" s="167">
        <f>SUM(Assumptions!AS192:AS196)</f>
        <v>0</v>
      </c>
      <c r="AS41" s="167">
        <f>SUM(Assumptions!AT192:AT196)</f>
        <v>0</v>
      </c>
      <c r="AT41" s="167">
        <f>SUM(Assumptions!AU192:AU196)</f>
        <v>0</v>
      </c>
      <c r="AU41" s="167">
        <f>SUM(Assumptions!AV192:AV196)</f>
        <v>0</v>
      </c>
      <c r="AV41" s="167">
        <f>SUM(Assumptions!AW192:AW196)</f>
        <v>0</v>
      </c>
      <c r="AW41" s="167">
        <f>SUM(Assumptions!AX192:AX196)</f>
        <v>0</v>
      </c>
      <c r="AX41" s="167">
        <f>SUM(Assumptions!AY192:AY196)</f>
        <v>0</v>
      </c>
      <c r="AY41" s="167">
        <f>SUM(Assumptions!AZ192:AZ196)</f>
        <v>0</v>
      </c>
      <c r="AZ41" s="167">
        <f>SUM(Assumptions!BA192:BA196)</f>
        <v>0</v>
      </c>
      <c r="BA41" s="167">
        <f>SUM(Assumptions!BB192:BB196)</f>
        <v>0</v>
      </c>
      <c r="BB41" s="167">
        <f>SUM(Assumptions!BC192:BC196)</f>
        <v>0</v>
      </c>
      <c r="BC41" s="167">
        <f>SUM(Assumptions!BD192:BD196)</f>
        <v>0</v>
      </c>
      <c r="BD41" s="167">
        <f>SUM(Assumptions!BE192:BE196)</f>
        <v>0</v>
      </c>
      <c r="BE41" s="167">
        <f>SUM(Assumptions!BF192:BF196)</f>
        <v>0</v>
      </c>
      <c r="BF41" s="167">
        <f>SUM(Assumptions!BG192:BG196)</f>
        <v>0</v>
      </c>
      <c r="BG41" s="167">
        <f>SUM(Assumptions!BH192:BH196)</f>
        <v>0</v>
      </c>
      <c r="BH41" s="167">
        <f>SUM(Assumptions!BI192:BI196)</f>
        <v>0</v>
      </c>
      <c r="BI41" s="167">
        <f>SUM(Assumptions!BJ192:BJ196)</f>
        <v>0</v>
      </c>
      <c r="BJ41" s="167">
        <f>SUM(Assumptions!BK192:BK196)</f>
        <v>0</v>
      </c>
      <c r="BK41" s="167">
        <f>SUM(Assumptions!BL192:BL196)</f>
        <v>0</v>
      </c>
      <c r="BL41" s="167">
        <f>SUM(Assumptions!BM192:BM196)</f>
        <v>0</v>
      </c>
      <c r="BM41" s="167">
        <f>SUM(Assumptions!BN192:BN196)</f>
        <v>0</v>
      </c>
    </row>
    <row r="42" hidden="1" outlineLevel="1">
      <c r="A42" s="167"/>
      <c r="B42" s="177" t="s">
        <v>166</v>
      </c>
      <c r="C42" s="167"/>
      <c r="D42" s="167"/>
      <c r="E42" s="167"/>
      <c r="F42" s="167">
        <f>-SUM(Assumptions!G199:G202)</f>
        <v>0</v>
      </c>
      <c r="G42" s="167">
        <f>-SUM(Assumptions!H199:H202)</f>
        <v>0</v>
      </c>
      <c r="H42" s="167">
        <f>-SUM(Assumptions!I199:I202)</f>
        <v>0</v>
      </c>
      <c r="I42" s="167">
        <f>-SUM(Assumptions!J199:J202)</f>
        <v>0</v>
      </c>
      <c r="J42" s="167">
        <f>-SUM(Assumptions!K199:K202)</f>
        <v>0</v>
      </c>
      <c r="K42" s="167">
        <f>-SUM(Assumptions!L199:L202)</f>
        <v>0</v>
      </c>
      <c r="L42" s="167">
        <f>-SUM(Assumptions!M199:M202)</f>
        <v>0</v>
      </c>
      <c r="M42" s="167">
        <f>-SUM(Assumptions!N199:N202)</f>
        <v>0</v>
      </c>
      <c r="N42" s="167">
        <f>-SUM(Assumptions!O199:O202)</f>
        <v>0</v>
      </c>
      <c r="O42" s="167">
        <f>-SUM(Assumptions!P199:P202)</f>
        <v>0</v>
      </c>
      <c r="P42" s="167">
        <f>-SUM(Assumptions!Q199:Q202)</f>
        <v>0</v>
      </c>
      <c r="Q42" s="167">
        <f>-SUM(Assumptions!R199:R202)</f>
        <v>0</v>
      </c>
      <c r="R42" s="167">
        <f>-SUM(Assumptions!S199:S202)</f>
        <v>0</v>
      </c>
      <c r="S42" s="167">
        <f>-SUM(Assumptions!T199:T202)</f>
        <v>0</v>
      </c>
      <c r="T42" s="167">
        <f>-SUM(Assumptions!U199:U202)</f>
        <v>0</v>
      </c>
      <c r="U42" s="167">
        <f>-SUM(Assumptions!V199:V202)</f>
        <v>0</v>
      </c>
      <c r="V42" s="167">
        <f>-SUM(Assumptions!W199:W202)</f>
        <v>0</v>
      </c>
      <c r="W42" s="167">
        <f>-SUM(Assumptions!X199:X202)</f>
        <v>0</v>
      </c>
      <c r="X42" s="167">
        <f>-SUM(Assumptions!Y199:Y202)</f>
        <v>0</v>
      </c>
      <c r="Y42" s="167">
        <f>-SUM(Assumptions!Z199:Z202)</f>
        <v>0</v>
      </c>
      <c r="Z42" s="167">
        <f>-SUM(Assumptions!AA199:AA202)</f>
        <v>0</v>
      </c>
      <c r="AA42" s="167">
        <f>-SUM(Assumptions!AB199:AB202)</f>
        <v>0</v>
      </c>
      <c r="AB42" s="167">
        <f>-SUM(Assumptions!AC199:AC202)</f>
        <v>0</v>
      </c>
      <c r="AC42" s="167">
        <f>-SUM(Assumptions!AD199:AD202)</f>
        <v>0</v>
      </c>
      <c r="AD42" s="167">
        <f>-SUM(Assumptions!AE199:AE202)</f>
        <v>0</v>
      </c>
      <c r="AE42" s="167">
        <f>-SUM(Assumptions!AF199:AF202)</f>
        <v>0</v>
      </c>
      <c r="AF42" s="167">
        <f>-SUM(Assumptions!AG199:AG202)</f>
        <v>0</v>
      </c>
      <c r="AG42" s="167">
        <f>-SUM(Assumptions!AH199:AH202)</f>
        <v>0</v>
      </c>
      <c r="AH42" s="167">
        <f>-SUM(Assumptions!AI199:AI202)</f>
        <v>0</v>
      </c>
      <c r="AI42" s="167">
        <f>-SUM(Assumptions!AJ199:AJ202)</f>
        <v>0</v>
      </c>
      <c r="AJ42" s="167">
        <f>-SUM(Assumptions!AK199:AK202)</f>
        <v>0</v>
      </c>
      <c r="AK42" s="167">
        <f>-SUM(Assumptions!AL199:AL202)</f>
        <v>0</v>
      </c>
      <c r="AL42" s="167">
        <f>-SUM(Assumptions!AM199:AM202)</f>
        <v>0</v>
      </c>
      <c r="AM42" s="167">
        <f>-SUM(Assumptions!AN199:AN202)</f>
        <v>0</v>
      </c>
      <c r="AN42" s="167">
        <f>-SUM(Assumptions!AO199:AO202)</f>
        <v>0</v>
      </c>
      <c r="AO42" s="167">
        <f>-SUM(Assumptions!AP199:AP202)</f>
        <v>0</v>
      </c>
      <c r="AP42" s="167">
        <f>-SUM(Assumptions!AQ199:AQ202)</f>
        <v>0</v>
      </c>
      <c r="AQ42" s="167">
        <f>-SUM(Assumptions!AR199:AR202)</f>
        <v>0</v>
      </c>
      <c r="AR42" s="167">
        <f>-SUM(Assumptions!AS199:AS202)</f>
        <v>0</v>
      </c>
      <c r="AS42" s="167">
        <f>-SUM(Assumptions!AT199:AT202)</f>
        <v>0</v>
      </c>
      <c r="AT42" s="167">
        <f>-SUM(Assumptions!AU199:AU202)</f>
        <v>0</v>
      </c>
      <c r="AU42" s="167">
        <f>-SUM(Assumptions!AV199:AV202)</f>
        <v>0</v>
      </c>
      <c r="AV42" s="167">
        <f>-SUM(Assumptions!AW199:AW202)</f>
        <v>0</v>
      </c>
      <c r="AW42" s="167">
        <f>-SUM(Assumptions!AX199:AX202)</f>
        <v>0</v>
      </c>
      <c r="AX42" s="167">
        <f>-SUM(Assumptions!AY199:AY202)</f>
        <v>0</v>
      </c>
      <c r="AY42" s="167">
        <f>-SUM(Assumptions!AZ199:AZ202)</f>
        <v>0</v>
      </c>
      <c r="AZ42" s="167">
        <f>-SUM(Assumptions!BA199:BA202)</f>
        <v>0</v>
      </c>
      <c r="BA42" s="167">
        <f>-SUM(Assumptions!BB199:BB202)</f>
        <v>0</v>
      </c>
      <c r="BB42" s="167">
        <f>-SUM(Assumptions!BC199:BC202)</f>
        <v>0</v>
      </c>
      <c r="BC42" s="167">
        <f>-SUM(Assumptions!BD199:BD202)</f>
        <v>0</v>
      </c>
      <c r="BD42" s="167">
        <f>-SUM(Assumptions!BE199:BE202)</f>
        <v>0</v>
      </c>
      <c r="BE42" s="167">
        <f>-SUM(Assumptions!BF199:BF202)</f>
        <v>0</v>
      </c>
      <c r="BF42" s="167">
        <f>-SUM(Assumptions!BG199:BG202)</f>
        <v>0</v>
      </c>
      <c r="BG42" s="167">
        <f>-SUM(Assumptions!BH199:BH202)</f>
        <v>0</v>
      </c>
      <c r="BH42" s="167">
        <f>-SUM(Assumptions!BI199:BI202)</f>
        <v>0</v>
      </c>
      <c r="BI42" s="167">
        <f>-SUM(Assumptions!BJ199:BJ202)</f>
        <v>0</v>
      </c>
      <c r="BJ42" s="167">
        <f>-SUM(Assumptions!BK199:BK202)</f>
        <v>0</v>
      </c>
      <c r="BK42" s="167">
        <f>-SUM(Assumptions!BL199:BL202)</f>
        <v>0</v>
      </c>
      <c r="BL42" s="167">
        <f>-SUM(Assumptions!BM199:BM202)</f>
        <v>0</v>
      </c>
      <c r="BM42" s="167">
        <f>-SUM(Assumptions!BN199:BN202)</f>
        <v>0</v>
      </c>
    </row>
    <row r="43" hidden="1" outlineLevel="1">
      <c r="A43" s="167"/>
      <c r="B43" s="170" t="s">
        <v>167</v>
      </c>
      <c r="C43" s="171"/>
      <c r="D43" s="171"/>
      <c r="E43" s="171"/>
      <c r="F43" s="172">
        <f t="shared" ref="F43:BM43" si="15">SUM(F39:F42)</f>
        <v>264509.4438</v>
      </c>
      <c r="G43" s="172">
        <f t="shared" si="15"/>
        <v>14706.87009</v>
      </c>
      <c r="H43" s="172">
        <f t="shared" si="15"/>
        <v>-230503.0615</v>
      </c>
      <c r="I43" s="172">
        <f t="shared" si="15"/>
        <v>-470889.8257</v>
      </c>
      <c r="J43" s="172">
        <f t="shared" si="15"/>
        <v>-706180.8008</v>
      </c>
      <c r="K43" s="172">
        <f t="shared" si="15"/>
        <v>-936098.5026</v>
      </c>
      <c r="L43" s="172">
        <f t="shared" si="15"/>
        <v>-1160845.831</v>
      </c>
      <c r="M43" s="172">
        <f t="shared" si="15"/>
        <v>-1380445.038</v>
      </c>
      <c r="N43" s="172">
        <f t="shared" si="15"/>
        <v>-1594921.032</v>
      </c>
      <c r="O43" s="172">
        <f t="shared" si="15"/>
        <v>-1804298.146</v>
      </c>
      <c r="P43" s="172">
        <f t="shared" si="15"/>
        <v>-2008583.569</v>
      </c>
      <c r="Q43" s="172">
        <f t="shared" si="15"/>
        <v>-2207806.242</v>
      </c>
      <c r="R43" s="172">
        <f t="shared" si="15"/>
        <v>-2401988.861</v>
      </c>
      <c r="S43" s="172">
        <f t="shared" si="15"/>
        <v>-2591153.475</v>
      </c>
      <c r="T43" s="172">
        <f t="shared" si="15"/>
        <v>-2775321.58</v>
      </c>
      <c r="U43" s="172">
        <f t="shared" si="15"/>
        <v>-2954514.133</v>
      </c>
      <c r="V43" s="172">
        <f t="shared" si="15"/>
        <v>-3128751.57</v>
      </c>
      <c r="W43" s="172">
        <f t="shared" si="15"/>
        <v>-3298053.813</v>
      </c>
      <c r="X43" s="172">
        <f t="shared" si="15"/>
        <v>-3462440.288</v>
      </c>
      <c r="Y43" s="172">
        <f t="shared" si="15"/>
        <v>-3621929.934</v>
      </c>
      <c r="Z43" s="172">
        <f t="shared" si="15"/>
        <v>-3776541.218</v>
      </c>
      <c r="AA43" s="172">
        <f t="shared" si="15"/>
        <v>-3926292.144</v>
      </c>
      <c r="AB43" s="172">
        <f t="shared" si="15"/>
        <v>-4071200.267</v>
      </c>
      <c r="AC43" s="172">
        <f t="shared" si="15"/>
        <v>-4211282.702</v>
      </c>
      <c r="AD43" s="172">
        <f t="shared" si="15"/>
        <v>-4346556.137</v>
      </c>
      <c r="AE43" s="172">
        <f t="shared" si="15"/>
        <v>-4477036.842</v>
      </c>
      <c r="AF43" s="172">
        <f t="shared" si="15"/>
        <v>-4602740.681</v>
      </c>
      <c r="AG43" s="172">
        <f t="shared" si="15"/>
        <v>-4723683.121</v>
      </c>
      <c r="AH43" s="172">
        <f t="shared" si="15"/>
        <v>-4839879.243</v>
      </c>
      <c r="AI43" s="172">
        <f t="shared" si="15"/>
        <v>-4951343.75</v>
      </c>
      <c r="AJ43" s="172">
        <f t="shared" si="15"/>
        <v>-5058090.977</v>
      </c>
      <c r="AK43" s="172">
        <f t="shared" si="15"/>
        <v>-5160134.903</v>
      </c>
      <c r="AL43" s="172">
        <f t="shared" si="15"/>
        <v>-5257489.155</v>
      </c>
      <c r="AM43" s="172">
        <f t="shared" si="15"/>
        <v>-5350167.021</v>
      </c>
      <c r="AN43" s="172">
        <f t="shared" si="15"/>
        <v>-5438181.456</v>
      </c>
      <c r="AO43" s="172">
        <f t="shared" si="15"/>
        <v>-5521545.09</v>
      </c>
      <c r="AP43" s="172">
        <f t="shared" si="15"/>
        <v>-5600270.241</v>
      </c>
      <c r="AQ43" s="172">
        <f t="shared" si="15"/>
        <v>-5674368.914</v>
      </c>
      <c r="AR43" s="172">
        <f t="shared" si="15"/>
        <v>-5743852.818</v>
      </c>
      <c r="AS43" s="172">
        <f t="shared" si="15"/>
        <v>-5808733.366</v>
      </c>
      <c r="AT43" s="172">
        <f t="shared" si="15"/>
        <v>-5869021.69</v>
      </c>
      <c r="AU43" s="172">
        <f t="shared" si="15"/>
        <v>-5924728.639</v>
      </c>
      <c r="AV43" s="172">
        <f t="shared" si="15"/>
        <v>-5975864.793</v>
      </c>
      <c r="AW43" s="172">
        <f t="shared" si="15"/>
        <v>-6022440.469</v>
      </c>
      <c r="AX43" s="172">
        <f t="shared" si="15"/>
        <v>-6064465.722</v>
      </c>
      <c r="AY43" s="172">
        <f t="shared" si="15"/>
        <v>-6101950.36</v>
      </c>
      <c r="AZ43" s="172">
        <f t="shared" si="15"/>
        <v>-6134903.943</v>
      </c>
      <c r="BA43" s="172">
        <f t="shared" si="15"/>
        <v>-6163335.793</v>
      </c>
      <c r="BB43" s="172">
        <f t="shared" si="15"/>
        <v>-6187254.999</v>
      </c>
      <c r="BC43" s="172">
        <f t="shared" si="15"/>
        <v>-6206670.422</v>
      </c>
      <c r="BD43" s="172">
        <f t="shared" si="15"/>
        <v>-6221590.703</v>
      </c>
      <c r="BE43" s="172">
        <f t="shared" si="15"/>
        <v>-6232024.264</v>
      </c>
      <c r="BF43" s="172">
        <f t="shared" si="15"/>
        <v>-6237979.321</v>
      </c>
      <c r="BG43" s="172">
        <f t="shared" si="15"/>
        <v>-6239463.881</v>
      </c>
      <c r="BH43" s="172">
        <f t="shared" si="15"/>
        <v>-6236609.793</v>
      </c>
      <c r="BI43" s="172">
        <f t="shared" si="15"/>
        <v>-6230504.676</v>
      </c>
      <c r="BJ43" s="172">
        <f t="shared" si="15"/>
        <v>-6221153.917</v>
      </c>
      <c r="BK43" s="172">
        <f t="shared" si="15"/>
        <v>-6208562.772</v>
      </c>
      <c r="BL43" s="172">
        <f t="shared" si="15"/>
        <v>-6192736.363</v>
      </c>
      <c r="BM43" s="172">
        <f t="shared" si="15"/>
        <v>-6173679.685</v>
      </c>
    </row>
    <row r="44" hidden="1" outlineLevel="1">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row>
    <row r="45" hidden="1" outlineLevel="1">
      <c r="A45" s="167"/>
      <c r="B45" s="176" t="s">
        <v>168</v>
      </c>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c r="AA45" s="167"/>
      <c r="AB45" s="167"/>
      <c r="AC45" s="167"/>
      <c r="AD45" s="167"/>
      <c r="AE45" s="167"/>
      <c r="AF45" s="167"/>
      <c r="AG45" s="167"/>
      <c r="AH45" s="167"/>
      <c r="AI45" s="167"/>
      <c r="AJ45" s="167"/>
      <c r="AK45" s="167"/>
      <c r="AL45" s="167"/>
      <c r="AM45" s="167"/>
      <c r="AN45" s="167"/>
      <c r="AO45" s="167"/>
      <c r="AP45" s="167"/>
      <c r="AQ45" s="167"/>
      <c r="AR45" s="167"/>
      <c r="AS45" s="167"/>
      <c r="AT45" s="167"/>
      <c r="AU45" s="167"/>
      <c r="AV45" s="167"/>
      <c r="AW45" s="167"/>
      <c r="AX45" s="167"/>
      <c r="AY45" s="167"/>
      <c r="AZ45" s="167"/>
      <c r="BA45" s="167"/>
      <c r="BB45" s="167"/>
      <c r="BC45" s="167"/>
      <c r="BD45" s="167"/>
      <c r="BE45" s="167"/>
      <c r="BF45" s="167"/>
      <c r="BG45" s="167"/>
      <c r="BH45" s="167"/>
      <c r="BI45" s="167"/>
      <c r="BJ45" s="167"/>
      <c r="BK45" s="167"/>
      <c r="BL45" s="167"/>
      <c r="BM45" s="167"/>
    </row>
    <row r="46" hidden="1" outlineLevel="1">
      <c r="A46" s="167"/>
      <c r="B46" s="182" t="s">
        <v>134</v>
      </c>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7"/>
      <c r="AX46" s="167"/>
      <c r="AY46" s="167"/>
      <c r="AZ46" s="167"/>
      <c r="BA46" s="167"/>
      <c r="BB46" s="167"/>
      <c r="BC46" s="167"/>
      <c r="BD46" s="167"/>
      <c r="BE46" s="167"/>
      <c r="BF46" s="167"/>
      <c r="BG46" s="167"/>
      <c r="BH46" s="167"/>
      <c r="BI46" s="167"/>
      <c r="BJ46" s="167"/>
      <c r="BK46" s="167"/>
      <c r="BL46" s="167"/>
      <c r="BM46" s="167"/>
    </row>
    <row r="47" hidden="1" outlineLevel="1">
      <c r="A47" s="167"/>
      <c r="B47" s="177" t="s">
        <v>169</v>
      </c>
      <c r="C47" s="167"/>
      <c r="D47" s="167"/>
      <c r="E47" s="167"/>
      <c r="F47" s="167">
        <f>Assumptions!G206</f>
        <v>23506.80625</v>
      </c>
      <c r="G47" s="167">
        <f>Assumptions!H206</f>
        <v>25920.57366</v>
      </c>
      <c r="H47" s="167">
        <f>Assumptions!I206</f>
        <v>28446.69408</v>
      </c>
      <c r="I47" s="167">
        <f>Assumptions!J206</f>
        <v>31096.43731</v>
      </c>
      <c r="J47" s="167">
        <f>Assumptions!K206</f>
        <v>33889.04419</v>
      </c>
      <c r="K47" s="167">
        <f>Assumptions!L206</f>
        <v>36833.20509</v>
      </c>
      <c r="L47" s="167">
        <f>Assumptions!M206</f>
        <v>39758.85347</v>
      </c>
      <c r="M47" s="167">
        <f>Assumptions!N206</f>
        <v>42669.80454</v>
      </c>
      <c r="N47" s="167">
        <f>Assumptions!O206</f>
        <v>45566.47603</v>
      </c>
      <c r="O47" s="167">
        <f>Assumptions!P206</f>
        <v>48449.22567</v>
      </c>
      <c r="P47" s="167">
        <f>Assumptions!Q206</f>
        <v>51324.36403</v>
      </c>
      <c r="Q47" s="167">
        <f>Assumptions!R206</f>
        <v>54186.32427</v>
      </c>
      <c r="R47" s="167">
        <f>Assumptions!S206</f>
        <v>57035.34947</v>
      </c>
      <c r="S47" s="167">
        <f>Assumptions!T206</f>
        <v>59871.76172</v>
      </c>
      <c r="T47" s="167">
        <f>Assumptions!U206</f>
        <v>62695.87632</v>
      </c>
      <c r="U47" s="167">
        <f>Assumptions!V206</f>
        <v>65508.00072</v>
      </c>
      <c r="V47" s="167">
        <f>Assumptions!W206</f>
        <v>68308.43467</v>
      </c>
      <c r="W47" s="167">
        <f>Assumptions!X206</f>
        <v>71097.47042</v>
      </c>
      <c r="X47" s="167">
        <f>Assumptions!Y206</f>
        <v>73875.39295</v>
      </c>
      <c r="Y47" s="167">
        <f>Assumptions!Z206</f>
        <v>76642.48006</v>
      </c>
      <c r="Z47" s="167">
        <f>Assumptions!AA206</f>
        <v>79399.00266</v>
      </c>
      <c r="AA47" s="167">
        <f>Assumptions!AB206</f>
        <v>82145.22486</v>
      </c>
      <c r="AB47" s="167">
        <f>Assumptions!AC206</f>
        <v>84881.40416</v>
      </c>
      <c r="AC47" s="167">
        <f>Assumptions!AD206</f>
        <v>87607.79163</v>
      </c>
      <c r="AD47" s="167">
        <f>Assumptions!AE206</f>
        <v>90324.63208</v>
      </c>
      <c r="AE47" s="167">
        <f>Assumptions!AF206</f>
        <v>93032.16418</v>
      </c>
      <c r="AF47" s="167">
        <f>Assumptions!AG206</f>
        <v>95730.62063</v>
      </c>
      <c r="AG47" s="167">
        <f>Assumptions!AH206</f>
        <v>98420.22833</v>
      </c>
      <c r="AH47" s="167">
        <f>Assumptions!AI206</f>
        <v>101101.2085</v>
      </c>
      <c r="AI47" s="167">
        <f>Assumptions!AJ206</f>
        <v>103773.7768</v>
      </c>
      <c r="AJ47" s="167">
        <f>Assumptions!AK206</f>
        <v>106438.1436</v>
      </c>
      <c r="AK47" s="167">
        <f>Assumptions!AL206</f>
        <v>109094.5139</v>
      </c>
      <c r="AL47" s="167">
        <f>Assumptions!AM206</f>
        <v>111743.0875</v>
      </c>
      <c r="AM47" s="167">
        <f>Assumptions!AN206</f>
        <v>114384.0595</v>
      </c>
      <c r="AN47" s="167">
        <f>Assumptions!AO206</f>
        <v>117017.6198</v>
      </c>
      <c r="AO47" s="167">
        <f>Assumptions!AP206</f>
        <v>119643.9538</v>
      </c>
      <c r="AP47" s="167">
        <f>Assumptions!AQ206</f>
        <v>122263.2421</v>
      </c>
      <c r="AQ47" s="167">
        <f>Assumptions!AR206</f>
        <v>124875.6609</v>
      </c>
      <c r="AR47" s="167">
        <f>Assumptions!AS206</f>
        <v>127481.3818</v>
      </c>
      <c r="AS47" s="167">
        <f>Assumptions!AT206</f>
        <v>130080.5724</v>
      </c>
      <c r="AT47" s="167">
        <f>Assumptions!AU206</f>
        <v>132673.3959</v>
      </c>
      <c r="AU47" s="167">
        <f>Assumptions!AV206</f>
        <v>135260.0114</v>
      </c>
      <c r="AV47" s="167">
        <f>Assumptions!AW206</f>
        <v>137840.5743</v>
      </c>
      <c r="AW47" s="167">
        <f>Assumptions!AX206</f>
        <v>140415.2357</v>
      </c>
      <c r="AX47" s="167">
        <f>Assumptions!AY206</f>
        <v>142984.1432</v>
      </c>
      <c r="AY47" s="167">
        <f>Assumptions!AZ206</f>
        <v>145547.4407</v>
      </c>
      <c r="AZ47" s="167">
        <f>Assumptions!BA206</f>
        <v>148105.2684</v>
      </c>
      <c r="BA47" s="167">
        <f>Assumptions!BB206</f>
        <v>150657.7631</v>
      </c>
      <c r="BB47" s="167">
        <f>Assumptions!BC206</f>
        <v>153205.0581</v>
      </c>
      <c r="BC47" s="167">
        <f>Assumptions!BD206</f>
        <v>155747.2834</v>
      </c>
      <c r="BD47" s="167">
        <f>Assumptions!BE206</f>
        <v>158284.5657</v>
      </c>
      <c r="BE47" s="167">
        <f>Assumptions!BF206</f>
        <v>160817.0286</v>
      </c>
      <c r="BF47" s="167">
        <f>Assumptions!BG206</f>
        <v>163344.7925</v>
      </c>
      <c r="BG47" s="167">
        <f>Assumptions!BH206</f>
        <v>165867.9751</v>
      </c>
      <c r="BH47" s="167">
        <f>Assumptions!BI206</f>
        <v>168386.6907</v>
      </c>
      <c r="BI47" s="167">
        <f>Assumptions!BJ206</f>
        <v>170901.0511</v>
      </c>
      <c r="BJ47" s="167">
        <f>Assumptions!BK206</f>
        <v>173411.1652</v>
      </c>
      <c r="BK47" s="167">
        <f>Assumptions!BL206</f>
        <v>175917.139</v>
      </c>
      <c r="BL47" s="167">
        <f>Assumptions!BM206</f>
        <v>178419.0762</v>
      </c>
      <c r="BM47" s="167">
        <f>Assumptions!BN206</f>
        <v>180917.0776</v>
      </c>
    </row>
    <row r="48" hidden="1" outlineLevel="1">
      <c r="A48" s="167"/>
      <c r="B48" s="186" t="s">
        <v>170</v>
      </c>
      <c r="C48" s="187"/>
      <c r="D48" s="187"/>
      <c r="E48" s="187"/>
      <c r="F48" s="186">
        <f t="shared" ref="F48:BM48" si="16">F47</f>
        <v>23506.80625</v>
      </c>
      <c r="G48" s="186">
        <f t="shared" si="16"/>
        <v>25920.57366</v>
      </c>
      <c r="H48" s="186">
        <f t="shared" si="16"/>
        <v>28446.69408</v>
      </c>
      <c r="I48" s="186">
        <f t="shared" si="16"/>
        <v>31096.43731</v>
      </c>
      <c r="J48" s="186">
        <f t="shared" si="16"/>
        <v>33889.04419</v>
      </c>
      <c r="K48" s="186">
        <f t="shared" si="16"/>
        <v>36833.20509</v>
      </c>
      <c r="L48" s="186">
        <f t="shared" si="16"/>
        <v>39758.85347</v>
      </c>
      <c r="M48" s="186">
        <f t="shared" si="16"/>
        <v>42669.80454</v>
      </c>
      <c r="N48" s="186">
        <f t="shared" si="16"/>
        <v>45566.47603</v>
      </c>
      <c r="O48" s="186">
        <f t="shared" si="16"/>
        <v>48449.22567</v>
      </c>
      <c r="P48" s="186">
        <f t="shared" si="16"/>
        <v>51324.36403</v>
      </c>
      <c r="Q48" s="186">
        <f t="shared" si="16"/>
        <v>54186.32427</v>
      </c>
      <c r="R48" s="186">
        <f t="shared" si="16"/>
        <v>57035.34947</v>
      </c>
      <c r="S48" s="186">
        <f t="shared" si="16"/>
        <v>59871.76172</v>
      </c>
      <c r="T48" s="186">
        <f t="shared" si="16"/>
        <v>62695.87632</v>
      </c>
      <c r="U48" s="186">
        <f t="shared" si="16"/>
        <v>65508.00072</v>
      </c>
      <c r="V48" s="186">
        <f t="shared" si="16"/>
        <v>68308.43467</v>
      </c>
      <c r="W48" s="186">
        <f t="shared" si="16"/>
        <v>71097.47042</v>
      </c>
      <c r="X48" s="186">
        <f t="shared" si="16"/>
        <v>73875.39295</v>
      </c>
      <c r="Y48" s="186">
        <f t="shared" si="16"/>
        <v>76642.48006</v>
      </c>
      <c r="Z48" s="186">
        <f t="shared" si="16"/>
        <v>79399.00266</v>
      </c>
      <c r="AA48" s="186">
        <f t="shared" si="16"/>
        <v>82145.22486</v>
      </c>
      <c r="AB48" s="186">
        <f t="shared" si="16"/>
        <v>84881.40416</v>
      </c>
      <c r="AC48" s="186">
        <f t="shared" si="16"/>
        <v>87607.79163</v>
      </c>
      <c r="AD48" s="186">
        <f t="shared" si="16"/>
        <v>90324.63208</v>
      </c>
      <c r="AE48" s="186">
        <f t="shared" si="16"/>
        <v>93032.16418</v>
      </c>
      <c r="AF48" s="186">
        <f t="shared" si="16"/>
        <v>95730.62063</v>
      </c>
      <c r="AG48" s="186">
        <f t="shared" si="16"/>
        <v>98420.22833</v>
      </c>
      <c r="AH48" s="186">
        <f t="shared" si="16"/>
        <v>101101.2085</v>
      </c>
      <c r="AI48" s="186">
        <f t="shared" si="16"/>
        <v>103773.7768</v>
      </c>
      <c r="AJ48" s="186">
        <f t="shared" si="16"/>
        <v>106438.1436</v>
      </c>
      <c r="AK48" s="186">
        <f t="shared" si="16"/>
        <v>109094.5139</v>
      </c>
      <c r="AL48" s="186">
        <f t="shared" si="16"/>
        <v>111743.0875</v>
      </c>
      <c r="AM48" s="186">
        <f t="shared" si="16"/>
        <v>114384.0595</v>
      </c>
      <c r="AN48" s="186">
        <f t="shared" si="16"/>
        <v>117017.6198</v>
      </c>
      <c r="AO48" s="186">
        <f t="shared" si="16"/>
        <v>119643.9538</v>
      </c>
      <c r="AP48" s="186">
        <f t="shared" si="16"/>
        <v>122263.2421</v>
      </c>
      <c r="AQ48" s="186">
        <f t="shared" si="16"/>
        <v>124875.6609</v>
      </c>
      <c r="AR48" s="186">
        <f t="shared" si="16"/>
        <v>127481.3818</v>
      </c>
      <c r="AS48" s="186">
        <f t="shared" si="16"/>
        <v>130080.5724</v>
      </c>
      <c r="AT48" s="186">
        <f t="shared" si="16"/>
        <v>132673.3959</v>
      </c>
      <c r="AU48" s="186">
        <f t="shared" si="16"/>
        <v>135260.0114</v>
      </c>
      <c r="AV48" s="186">
        <f t="shared" si="16"/>
        <v>137840.5743</v>
      </c>
      <c r="AW48" s="186">
        <f t="shared" si="16"/>
        <v>140415.2357</v>
      </c>
      <c r="AX48" s="186">
        <f t="shared" si="16"/>
        <v>142984.1432</v>
      </c>
      <c r="AY48" s="186">
        <f t="shared" si="16"/>
        <v>145547.4407</v>
      </c>
      <c r="AZ48" s="186">
        <f t="shared" si="16"/>
        <v>148105.2684</v>
      </c>
      <c r="BA48" s="186">
        <f t="shared" si="16"/>
        <v>150657.7631</v>
      </c>
      <c r="BB48" s="186">
        <f t="shared" si="16"/>
        <v>153205.0581</v>
      </c>
      <c r="BC48" s="186">
        <f t="shared" si="16"/>
        <v>155747.2834</v>
      </c>
      <c r="BD48" s="186">
        <f t="shared" si="16"/>
        <v>158284.5657</v>
      </c>
      <c r="BE48" s="186">
        <f t="shared" si="16"/>
        <v>160817.0286</v>
      </c>
      <c r="BF48" s="186">
        <f t="shared" si="16"/>
        <v>163344.7925</v>
      </c>
      <c r="BG48" s="186">
        <f t="shared" si="16"/>
        <v>165867.9751</v>
      </c>
      <c r="BH48" s="186">
        <f t="shared" si="16"/>
        <v>168386.6907</v>
      </c>
      <c r="BI48" s="186">
        <f t="shared" si="16"/>
        <v>170901.0511</v>
      </c>
      <c r="BJ48" s="186">
        <f t="shared" si="16"/>
        <v>173411.1652</v>
      </c>
      <c r="BK48" s="186">
        <f t="shared" si="16"/>
        <v>175917.139</v>
      </c>
      <c r="BL48" s="186">
        <f t="shared" si="16"/>
        <v>178419.0762</v>
      </c>
      <c r="BM48" s="186">
        <f t="shared" si="16"/>
        <v>180917.0776</v>
      </c>
    </row>
    <row r="49" hidden="1" outlineLevel="1">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c r="AG49" s="167"/>
      <c r="AH49" s="167"/>
      <c r="AI49" s="167"/>
      <c r="AJ49" s="167"/>
      <c r="AK49" s="167"/>
      <c r="AL49" s="167"/>
      <c r="AM49" s="167"/>
      <c r="AN49" s="167"/>
      <c r="AO49" s="167"/>
      <c r="AP49" s="167"/>
      <c r="AQ49" s="167"/>
      <c r="AR49" s="167"/>
      <c r="AS49" s="167"/>
      <c r="AT49" s="167"/>
      <c r="AU49" s="167"/>
      <c r="AV49" s="167"/>
      <c r="AW49" s="167"/>
      <c r="AX49" s="167"/>
      <c r="AY49" s="167"/>
      <c r="AZ49" s="167"/>
      <c r="BA49" s="167"/>
      <c r="BB49" s="167"/>
      <c r="BC49" s="167"/>
      <c r="BD49" s="167"/>
      <c r="BE49" s="167"/>
      <c r="BF49" s="167"/>
      <c r="BG49" s="167"/>
      <c r="BH49" s="167"/>
      <c r="BI49" s="167"/>
      <c r="BJ49" s="167"/>
      <c r="BK49" s="167"/>
      <c r="BL49" s="167"/>
      <c r="BM49" s="167"/>
    </row>
    <row r="50" hidden="1" outlineLevel="1">
      <c r="A50" s="167"/>
      <c r="B50" s="182" t="s">
        <v>171</v>
      </c>
      <c r="C50" s="167"/>
      <c r="D50" s="167"/>
      <c r="E50" s="188" t="s">
        <v>172</v>
      </c>
      <c r="F50" s="167"/>
      <c r="G50" s="167"/>
      <c r="H50" s="167"/>
      <c r="I50" s="167"/>
      <c r="J50" s="167"/>
      <c r="K50" s="167"/>
      <c r="L50" s="167"/>
      <c r="M50" s="167"/>
      <c r="N50" s="167"/>
      <c r="O50" s="167"/>
      <c r="P50" s="167"/>
      <c r="Q50" s="167"/>
      <c r="R50" s="167"/>
      <c r="S50" s="167"/>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7"/>
      <c r="AX50" s="167"/>
      <c r="AY50" s="167"/>
      <c r="AZ50" s="167"/>
      <c r="BA50" s="167"/>
      <c r="BB50" s="167"/>
      <c r="BC50" s="167"/>
      <c r="BD50" s="167"/>
      <c r="BE50" s="167"/>
      <c r="BF50" s="167"/>
      <c r="BG50" s="167"/>
      <c r="BH50" s="167"/>
      <c r="BI50" s="167"/>
      <c r="BJ50" s="167"/>
      <c r="BK50" s="167"/>
      <c r="BL50" s="167"/>
      <c r="BM50" s="167"/>
    </row>
    <row r="51" hidden="1" outlineLevel="1">
      <c r="A51" s="167"/>
      <c r="B51" s="177" t="s">
        <v>173</v>
      </c>
      <c r="C51" s="167"/>
      <c r="D51" s="167"/>
      <c r="E51" s="189">
        <f>Assumptions!C188</f>
        <v>500000</v>
      </c>
      <c r="F51" s="167">
        <f>E51</f>
        <v>500000</v>
      </c>
      <c r="G51" s="167">
        <f>Assumptions!H220+$E51</f>
        <v>500000</v>
      </c>
      <c r="H51" s="167">
        <f>Assumptions!I220+$E51</f>
        <v>500000</v>
      </c>
      <c r="I51" s="167">
        <f>Assumptions!J220+$E51</f>
        <v>500000</v>
      </c>
      <c r="J51" s="167">
        <f>Assumptions!K220+$E51</f>
        <v>500000</v>
      </c>
      <c r="K51" s="167">
        <f>Assumptions!L220+$E51</f>
        <v>500000</v>
      </c>
      <c r="L51" s="167">
        <f>Assumptions!M220+$E51</f>
        <v>500000</v>
      </c>
      <c r="M51" s="167">
        <f>Assumptions!N220+$E51</f>
        <v>500000</v>
      </c>
      <c r="N51" s="167">
        <f>Assumptions!O220+$E51</f>
        <v>500000</v>
      </c>
      <c r="O51" s="167">
        <f>Assumptions!P220+$E51</f>
        <v>500000</v>
      </c>
      <c r="P51" s="167">
        <f>Assumptions!Q220+$E51</f>
        <v>500000</v>
      </c>
      <c r="Q51" s="167">
        <f>Assumptions!R220+$E51</f>
        <v>500000</v>
      </c>
      <c r="R51" s="167">
        <f>Assumptions!S220+$E51</f>
        <v>500000</v>
      </c>
      <c r="S51" s="167">
        <f>Assumptions!T220+$E51</f>
        <v>500000</v>
      </c>
      <c r="T51" s="167">
        <f>Assumptions!U220+$E51</f>
        <v>500000</v>
      </c>
      <c r="U51" s="167">
        <f>Assumptions!V220+$E51</f>
        <v>500000</v>
      </c>
      <c r="V51" s="167">
        <f>Assumptions!W220+$E51</f>
        <v>500000</v>
      </c>
      <c r="W51" s="167">
        <f>Assumptions!X220+$E51</f>
        <v>500000</v>
      </c>
      <c r="X51" s="167">
        <f>Assumptions!Y220+$E51</f>
        <v>500000</v>
      </c>
      <c r="Y51" s="167">
        <f>Assumptions!Z220+$E51</f>
        <v>500000</v>
      </c>
      <c r="Z51" s="167">
        <f>Assumptions!AA220+$E51</f>
        <v>500000</v>
      </c>
      <c r="AA51" s="167">
        <f>Assumptions!AB220+$E51</f>
        <v>500000</v>
      </c>
      <c r="AB51" s="167">
        <f>Assumptions!AC220+$E51</f>
        <v>500000</v>
      </c>
      <c r="AC51" s="167">
        <f>Assumptions!AD220+$E51</f>
        <v>500000</v>
      </c>
      <c r="AD51" s="167">
        <f>Assumptions!AE220+$E51</f>
        <v>500000</v>
      </c>
      <c r="AE51" s="167">
        <f>Assumptions!AF220+$E51</f>
        <v>500000</v>
      </c>
      <c r="AF51" s="167">
        <f>Assumptions!AG220+$E51</f>
        <v>500000</v>
      </c>
      <c r="AG51" s="167">
        <f>Assumptions!AH220+$E51</f>
        <v>500000</v>
      </c>
      <c r="AH51" s="167">
        <f>Assumptions!AI220+$E51</f>
        <v>500000</v>
      </c>
      <c r="AI51" s="167">
        <f>Assumptions!AJ220+$E51</f>
        <v>500000</v>
      </c>
      <c r="AJ51" s="167">
        <f>Assumptions!AK220+$E51</f>
        <v>500000</v>
      </c>
      <c r="AK51" s="167">
        <f>Assumptions!AL220+$E51</f>
        <v>500000</v>
      </c>
      <c r="AL51" s="167">
        <f>Assumptions!AM220+$E51</f>
        <v>500000</v>
      </c>
      <c r="AM51" s="167">
        <f>Assumptions!AN220+$E51</f>
        <v>500000</v>
      </c>
      <c r="AN51" s="167">
        <f>Assumptions!AO220+$E51</f>
        <v>500000</v>
      </c>
      <c r="AO51" s="167">
        <f>Assumptions!AP220+$E51</f>
        <v>500000</v>
      </c>
      <c r="AP51" s="167">
        <f>Assumptions!AQ220+$E51</f>
        <v>500000</v>
      </c>
      <c r="AQ51" s="167">
        <f>Assumptions!AR220+$E51</f>
        <v>500000</v>
      </c>
      <c r="AR51" s="167">
        <f>Assumptions!AS220+$E51</f>
        <v>500000</v>
      </c>
      <c r="AS51" s="167">
        <f>Assumptions!AT220+$E51</f>
        <v>500000</v>
      </c>
      <c r="AT51" s="167">
        <f>Assumptions!AU220+$E51</f>
        <v>500000</v>
      </c>
      <c r="AU51" s="167">
        <f>Assumptions!AV220+$E51</f>
        <v>500000</v>
      </c>
      <c r="AV51" s="167">
        <f>Assumptions!AW220+$E51</f>
        <v>500000</v>
      </c>
      <c r="AW51" s="167">
        <f>Assumptions!AX220+$E51</f>
        <v>500000</v>
      </c>
      <c r="AX51" s="167">
        <f>Assumptions!AY220+$E51</f>
        <v>500000</v>
      </c>
      <c r="AY51" s="167">
        <f>Assumptions!AZ220+$E51</f>
        <v>500000</v>
      </c>
      <c r="AZ51" s="167">
        <f>Assumptions!BA220+$E51</f>
        <v>500000</v>
      </c>
      <c r="BA51" s="167">
        <f>Assumptions!BB220+$E51</f>
        <v>500000</v>
      </c>
      <c r="BB51" s="167">
        <f>Assumptions!BC220+$E51</f>
        <v>500000</v>
      </c>
      <c r="BC51" s="167">
        <f>Assumptions!BD220+$E51</f>
        <v>500000</v>
      </c>
      <c r="BD51" s="167">
        <f>Assumptions!BE220+$E51</f>
        <v>500000</v>
      </c>
      <c r="BE51" s="167">
        <f>Assumptions!BF220+$E51</f>
        <v>500000</v>
      </c>
      <c r="BF51" s="167">
        <f>Assumptions!BG220+$E51</f>
        <v>500000</v>
      </c>
      <c r="BG51" s="167">
        <f>Assumptions!BH220+$E51</f>
        <v>500000</v>
      </c>
      <c r="BH51" s="167">
        <f>Assumptions!BI220+$E51</f>
        <v>500000</v>
      </c>
      <c r="BI51" s="167">
        <f>Assumptions!BJ220+$E51</f>
        <v>500000</v>
      </c>
      <c r="BJ51" s="167">
        <f>Assumptions!BK220+$E51</f>
        <v>500000</v>
      </c>
      <c r="BK51" s="167">
        <f>Assumptions!BL220+$E51</f>
        <v>500000</v>
      </c>
      <c r="BL51" s="167">
        <f>Assumptions!BM220+$E51</f>
        <v>500000</v>
      </c>
      <c r="BM51" s="167">
        <f>Assumptions!BN220+$E51</f>
        <v>500000</v>
      </c>
    </row>
    <row r="52" hidden="1" outlineLevel="1">
      <c r="A52" s="167"/>
      <c r="B52" s="177" t="s">
        <v>174</v>
      </c>
      <c r="C52" s="167"/>
      <c r="D52" s="167"/>
      <c r="E52" s="167"/>
      <c r="F52" s="167">
        <f t="shared" ref="F52:BM52" si="17">E52+F30</f>
        <v>-258997.3625</v>
      </c>
      <c r="G52" s="167">
        <f t="shared" si="17"/>
        <v>-511213.7036</v>
      </c>
      <c r="H52" s="167">
        <f t="shared" si="17"/>
        <v>-758949.7556</v>
      </c>
      <c r="I52" s="167">
        <f t="shared" si="17"/>
        <v>-1001986.263</v>
      </c>
      <c r="J52" s="167">
        <f t="shared" si="17"/>
        <v>-1240069.845</v>
      </c>
      <c r="K52" s="167">
        <f t="shared" si="17"/>
        <v>-1472931.708</v>
      </c>
      <c r="L52" s="167">
        <f t="shared" si="17"/>
        <v>-1700604.685</v>
      </c>
      <c r="M52" s="167">
        <f t="shared" si="17"/>
        <v>-1923114.843</v>
      </c>
      <c r="N52" s="167">
        <f t="shared" si="17"/>
        <v>-2140487.508</v>
      </c>
      <c r="O52" s="167">
        <f t="shared" si="17"/>
        <v>-2352747.372</v>
      </c>
      <c r="P52" s="167">
        <f t="shared" si="17"/>
        <v>-2559907.933</v>
      </c>
      <c r="Q52" s="167">
        <f t="shared" si="17"/>
        <v>-2761992.566</v>
      </c>
      <c r="R52" s="167">
        <f t="shared" si="17"/>
        <v>-2959024.21</v>
      </c>
      <c r="S52" s="167">
        <f t="shared" si="17"/>
        <v>-3151025.237</v>
      </c>
      <c r="T52" s="167">
        <f t="shared" si="17"/>
        <v>-3338017.456</v>
      </c>
      <c r="U52" s="167">
        <f t="shared" si="17"/>
        <v>-3520022.134</v>
      </c>
      <c r="V52" s="167">
        <f t="shared" si="17"/>
        <v>-3697060.005</v>
      </c>
      <c r="W52" s="167">
        <f t="shared" si="17"/>
        <v>-3869151.283</v>
      </c>
      <c r="X52" s="167">
        <f t="shared" si="17"/>
        <v>-4036315.681</v>
      </c>
      <c r="Y52" s="167">
        <f t="shared" si="17"/>
        <v>-4198572.414</v>
      </c>
      <c r="Z52" s="167">
        <f t="shared" si="17"/>
        <v>-4355940.221</v>
      </c>
      <c r="AA52" s="167">
        <f t="shared" si="17"/>
        <v>-4508437.369</v>
      </c>
      <c r="AB52" s="167">
        <f t="shared" si="17"/>
        <v>-4656081.671</v>
      </c>
      <c r="AC52" s="167">
        <f t="shared" si="17"/>
        <v>-4798890.494</v>
      </c>
      <c r="AD52" s="167">
        <f t="shared" si="17"/>
        <v>-4936880.769</v>
      </c>
      <c r="AE52" s="167">
        <f t="shared" si="17"/>
        <v>-5070069.006</v>
      </c>
      <c r="AF52" s="167">
        <f t="shared" si="17"/>
        <v>-5198471.302</v>
      </c>
      <c r="AG52" s="167">
        <f t="shared" si="17"/>
        <v>-5322103.349</v>
      </c>
      <c r="AH52" s="167">
        <f t="shared" si="17"/>
        <v>-5440980.451</v>
      </c>
      <c r="AI52" s="167">
        <f t="shared" si="17"/>
        <v>-5555117.526</v>
      </c>
      <c r="AJ52" s="167">
        <f t="shared" si="17"/>
        <v>-5664529.121</v>
      </c>
      <c r="AK52" s="167">
        <f t="shared" si="17"/>
        <v>-5769229.417</v>
      </c>
      <c r="AL52" s="167">
        <f t="shared" si="17"/>
        <v>-5869232.243</v>
      </c>
      <c r="AM52" s="167">
        <f t="shared" si="17"/>
        <v>-5964551.081</v>
      </c>
      <c r="AN52" s="167">
        <f t="shared" si="17"/>
        <v>-6055199.076</v>
      </c>
      <c r="AO52" s="167">
        <f t="shared" si="17"/>
        <v>-6141189.044</v>
      </c>
      <c r="AP52" s="167">
        <f t="shared" si="17"/>
        <v>-6222533.483</v>
      </c>
      <c r="AQ52" s="167">
        <f t="shared" si="17"/>
        <v>-6299244.575</v>
      </c>
      <c r="AR52" s="167">
        <f t="shared" si="17"/>
        <v>-6371334.199</v>
      </c>
      <c r="AS52" s="167">
        <f t="shared" si="17"/>
        <v>-6438813.939</v>
      </c>
      <c r="AT52" s="167">
        <f t="shared" si="17"/>
        <v>-6501695.086</v>
      </c>
      <c r="AU52" s="167">
        <f t="shared" si="17"/>
        <v>-6559988.65</v>
      </c>
      <c r="AV52" s="167">
        <f t="shared" si="17"/>
        <v>-6613705.368</v>
      </c>
      <c r="AW52" s="167">
        <f t="shared" si="17"/>
        <v>-6662855.704</v>
      </c>
      <c r="AX52" s="167">
        <f t="shared" si="17"/>
        <v>-6707449.866</v>
      </c>
      <c r="AY52" s="167">
        <f t="shared" si="17"/>
        <v>-6747497.801</v>
      </c>
      <c r="AZ52" s="167">
        <f t="shared" si="17"/>
        <v>-6783009.212</v>
      </c>
      <c r="BA52" s="167">
        <f t="shared" si="17"/>
        <v>-6813993.556</v>
      </c>
      <c r="BB52" s="167">
        <f t="shared" si="17"/>
        <v>-6840460.057</v>
      </c>
      <c r="BC52" s="167">
        <f t="shared" si="17"/>
        <v>-6862417.705</v>
      </c>
      <c r="BD52" s="167">
        <f t="shared" si="17"/>
        <v>-6879875.268</v>
      </c>
      <c r="BE52" s="167">
        <f t="shared" si="17"/>
        <v>-6892841.293</v>
      </c>
      <c r="BF52" s="167">
        <f t="shared" si="17"/>
        <v>-6901324.114</v>
      </c>
      <c r="BG52" s="167">
        <f t="shared" si="17"/>
        <v>-6905331.856</v>
      </c>
      <c r="BH52" s="167">
        <f t="shared" si="17"/>
        <v>-6904996.484</v>
      </c>
      <c r="BI52" s="167">
        <f t="shared" si="17"/>
        <v>-6901405.727</v>
      </c>
      <c r="BJ52" s="167">
        <f t="shared" si="17"/>
        <v>-6894565.082</v>
      </c>
      <c r="BK52" s="167">
        <f t="shared" si="17"/>
        <v>-6884479.911</v>
      </c>
      <c r="BL52" s="167">
        <f t="shared" si="17"/>
        <v>-6871155.439</v>
      </c>
      <c r="BM52" s="167">
        <f t="shared" si="17"/>
        <v>-6854596.762</v>
      </c>
    </row>
    <row r="53" hidden="1" outlineLevel="1">
      <c r="A53" s="167"/>
      <c r="B53" s="186" t="s">
        <v>175</v>
      </c>
      <c r="C53" s="187"/>
      <c r="D53" s="187"/>
      <c r="E53" s="187"/>
      <c r="F53" s="186">
        <f t="shared" ref="F53:BM53" si="18">SUM(F51:F52)</f>
        <v>241002.6375</v>
      </c>
      <c r="G53" s="186">
        <f t="shared" si="18"/>
        <v>-11213.70356</v>
      </c>
      <c r="H53" s="186">
        <f t="shared" si="18"/>
        <v>-258949.7556</v>
      </c>
      <c r="I53" s="186">
        <f t="shared" si="18"/>
        <v>-501986.263</v>
      </c>
      <c r="J53" s="186">
        <f t="shared" si="18"/>
        <v>-740069.845</v>
      </c>
      <c r="K53" s="186">
        <f t="shared" si="18"/>
        <v>-972931.7077</v>
      </c>
      <c r="L53" s="186">
        <f t="shared" si="18"/>
        <v>-1200604.685</v>
      </c>
      <c r="M53" s="186">
        <f t="shared" si="18"/>
        <v>-1423114.843</v>
      </c>
      <c r="N53" s="186">
        <f t="shared" si="18"/>
        <v>-1640487.508</v>
      </c>
      <c r="O53" s="186">
        <f t="shared" si="18"/>
        <v>-1852747.372</v>
      </c>
      <c r="P53" s="186">
        <f t="shared" si="18"/>
        <v>-2059907.933</v>
      </c>
      <c r="Q53" s="186">
        <f t="shared" si="18"/>
        <v>-2261992.566</v>
      </c>
      <c r="R53" s="186">
        <f t="shared" si="18"/>
        <v>-2459024.21</v>
      </c>
      <c r="S53" s="186">
        <f t="shared" si="18"/>
        <v>-2651025.237</v>
      </c>
      <c r="T53" s="186">
        <f t="shared" si="18"/>
        <v>-2838017.456</v>
      </c>
      <c r="U53" s="186">
        <f t="shared" si="18"/>
        <v>-3020022.134</v>
      </c>
      <c r="V53" s="186">
        <f t="shared" si="18"/>
        <v>-3197060.005</v>
      </c>
      <c r="W53" s="186">
        <f t="shared" si="18"/>
        <v>-3369151.283</v>
      </c>
      <c r="X53" s="186">
        <f t="shared" si="18"/>
        <v>-3536315.681</v>
      </c>
      <c r="Y53" s="186">
        <f t="shared" si="18"/>
        <v>-3698572.414</v>
      </c>
      <c r="Z53" s="186">
        <f t="shared" si="18"/>
        <v>-3855940.221</v>
      </c>
      <c r="AA53" s="186">
        <f t="shared" si="18"/>
        <v>-4008437.369</v>
      </c>
      <c r="AB53" s="186">
        <f t="shared" si="18"/>
        <v>-4156081.671</v>
      </c>
      <c r="AC53" s="186">
        <f t="shared" si="18"/>
        <v>-4298890.494</v>
      </c>
      <c r="AD53" s="186">
        <f t="shared" si="18"/>
        <v>-4436880.769</v>
      </c>
      <c r="AE53" s="186">
        <f t="shared" si="18"/>
        <v>-4570069.006</v>
      </c>
      <c r="AF53" s="186">
        <f t="shared" si="18"/>
        <v>-4698471.302</v>
      </c>
      <c r="AG53" s="186">
        <f t="shared" si="18"/>
        <v>-4822103.349</v>
      </c>
      <c r="AH53" s="186">
        <f t="shared" si="18"/>
        <v>-4940980.451</v>
      </c>
      <c r="AI53" s="186">
        <f t="shared" si="18"/>
        <v>-5055117.526</v>
      </c>
      <c r="AJ53" s="186">
        <f t="shared" si="18"/>
        <v>-5164529.121</v>
      </c>
      <c r="AK53" s="186">
        <f t="shared" si="18"/>
        <v>-5269229.417</v>
      </c>
      <c r="AL53" s="186">
        <f t="shared" si="18"/>
        <v>-5369232.243</v>
      </c>
      <c r="AM53" s="186">
        <f t="shared" si="18"/>
        <v>-5464551.081</v>
      </c>
      <c r="AN53" s="186">
        <f t="shared" si="18"/>
        <v>-5555199.076</v>
      </c>
      <c r="AO53" s="186">
        <f t="shared" si="18"/>
        <v>-5641189.044</v>
      </c>
      <c r="AP53" s="186">
        <f t="shared" si="18"/>
        <v>-5722533.483</v>
      </c>
      <c r="AQ53" s="186">
        <f t="shared" si="18"/>
        <v>-5799244.575</v>
      </c>
      <c r="AR53" s="186">
        <f t="shared" si="18"/>
        <v>-5871334.199</v>
      </c>
      <c r="AS53" s="186">
        <f t="shared" si="18"/>
        <v>-5938813.939</v>
      </c>
      <c r="AT53" s="186">
        <f t="shared" si="18"/>
        <v>-6001695.086</v>
      </c>
      <c r="AU53" s="186">
        <f t="shared" si="18"/>
        <v>-6059988.65</v>
      </c>
      <c r="AV53" s="186">
        <f t="shared" si="18"/>
        <v>-6113705.368</v>
      </c>
      <c r="AW53" s="186">
        <f t="shared" si="18"/>
        <v>-6162855.704</v>
      </c>
      <c r="AX53" s="186">
        <f t="shared" si="18"/>
        <v>-6207449.866</v>
      </c>
      <c r="AY53" s="186">
        <f t="shared" si="18"/>
        <v>-6247497.801</v>
      </c>
      <c r="AZ53" s="186">
        <f t="shared" si="18"/>
        <v>-6283009.212</v>
      </c>
      <c r="BA53" s="186">
        <f t="shared" si="18"/>
        <v>-6313993.556</v>
      </c>
      <c r="BB53" s="186">
        <f t="shared" si="18"/>
        <v>-6340460.057</v>
      </c>
      <c r="BC53" s="186">
        <f t="shared" si="18"/>
        <v>-6362417.705</v>
      </c>
      <c r="BD53" s="186">
        <f t="shared" si="18"/>
        <v>-6379875.268</v>
      </c>
      <c r="BE53" s="186">
        <f t="shared" si="18"/>
        <v>-6392841.293</v>
      </c>
      <c r="BF53" s="186">
        <f t="shared" si="18"/>
        <v>-6401324.114</v>
      </c>
      <c r="BG53" s="186">
        <f t="shared" si="18"/>
        <v>-6405331.856</v>
      </c>
      <c r="BH53" s="186">
        <f t="shared" si="18"/>
        <v>-6404996.484</v>
      </c>
      <c r="BI53" s="186">
        <f t="shared" si="18"/>
        <v>-6401405.727</v>
      </c>
      <c r="BJ53" s="186">
        <f t="shared" si="18"/>
        <v>-6394565.082</v>
      </c>
      <c r="BK53" s="186">
        <f t="shared" si="18"/>
        <v>-6384479.911</v>
      </c>
      <c r="BL53" s="186">
        <f t="shared" si="18"/>
        <v>-6371155.439</v>
      </c>
      <c r="BM53" s="186">
        <f t="shared" si="18"/>
        <v>-6354596.762</v>
      </c>
    </row>
    <row r="54" hidden="1" outlineLevel="1">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row>
    <row r="55" hidden="1" outlineLevel="1">
      <c r="A55" s="167"/>
      <c r="B55" s="170" t="s">
        <v>176</v>
      </c>
      <c r="C55" s="171"/>
      <c r="D55" s="171"/>
      <c r="E55" s="171"/>
      <c r="F55" s="172">
        <f t="shared" ref="F55:BM55" si="19">F53+F48</f>
        <v>264509.4438</v>
      </c>
      <c r="G55" s="172">
        <f t="shared" si="19"/>
        <v>14706.87009</v>
      </c>
      <c r="H55" s="172">
        <f t="shared" si="19"/>
        <v>-230503.0615</v>
      </c>
      <c r="I55" s="172">
        <f t="shared" si="19"/>
        <v>-470889.8257</v>
      </c>
      <c r="J55" s="172">
        <f t="shared" si="19"/>
        <v>-706180.8008</v>
      </c>
      <c r="K55" s="172">
        <f t="shared" si="19"/>
        <v>-936098.5026</v>
      </c>
      <c r="L55" s="172">
        <f t="shared" si="19"/>
        <v>-1160845.831</v>
      </c>
      <c r="M55" s="172">
        <f t="shared" si="19"/>
        <v>-1380445.038</v>
      </c>
      <c r="N55" s="172">
        <f t="shared" si="19"/>
        <v>-1594921.032</v>
      </c>
      <c r="O55" s="172">
        <f t="shared" si="19"/>
        <v>-1804298.146</v>
      </c>
      <c r="P55" s="172">
        <f t="shared" si="19"/>
        <v>-2008583.569</v>
      </c>
      <c r="Q55" s="172">
        <f t="shared" si="19"/>
        <v>-2207806.242</v>
      </c>
      <c r="R55" s="172">
        <f t="shared" si="19"/>
        <v>-2401988.861</v>
      </c>
      <c r="S55" s="172">
        <f t="shared" si="19"/>
        <v>-2591153.475</v>
      </c>
      <c r="T55" s="172">
        <f t="shared" si="19"/>
        <v>-2775321.58</v>
      </c>
      <c r="U55" s="172">
        <f t="shared" si="19"/>
        <v>-2954514.133</v>
      </c>
      <c r="V55" s="172">
        <f t="shared" si="19"/>
        <v>-3128751.57</v>
      </c>
      <c r="W55" s="172">
        <f t="shared" si="19"/>
        <v>-3298053.813</v>
      </c>
      <c r="X55" s="172">
        <f t="shared" si="19"/>
        <v>-3462440.288</v>
      </c>
      <c r="Y55" s="172">
        <f t="shared" si="19"/>
        <v>-3621929.934</v>
      </c>
      <c r="Z55" s="172">
        <f t="shared" si="19"/>
        <v>-3776541.218</v>
      </c>
      <c r="AA55" s="172">
        <f t="shared" si="19"/>
        <v>-3926292.144</v>
      </c>
      <c r="AB55" s="172">
        <f t="shared" si="19"/>
        <v>-4071200.267</v>
      </c>
      <c r="AC55" s="172">
        <f t="shared" si="19"/>
        <v>-4211282.702</v>
      </c>
      <c r="AD55" s="172">
        <f t="shared" si="19"/>
        <v>-4346556.137</v>
      </c>
      <c r="AE55" s="172">
        <f t="shared" si="19"/>
        <v>-4477036.842</v>
      </c>
      <c r="AF55" s="172">
        <f t="shared" si="19"/>
        <v>-4602740.681</v>
      </c>
      <c r="AG55" s="172">
        <f t="shared" si="19"/>
        <v>-4723683.121</v>
      </c>
      <c r="AH55" s="172">
        <f t="shared" si="19"/>
        <v>-4839879.243</v>
      </c>
      <c r="AI55" s="172">
        <f t="shared" si="19"/>
        <v>-4951343.75</v>
      </c>
      <c r="AJ55" s="172">
        <f t="shared" si="19"/>
        <v>-5058090.977</v>
      </c>
      <c r="AK55" s="172">
        <f t="shared" si="19"/>
        <v>-5160134.903</v>
      </c>
      <c r="AL55" s="172">
        <f t="shared" si="19"/>
        <v>-5257489.155</v>
      </c>
      <c r="AM55" s="172">
        <f t="shared" si="19"/>
        <v>-5350167.021</v>
      </c>
      <c r="AN55" s="172">
        <f t="shared" si="19"/>
        <v>-5438181.456</v>
      </c>
      <c r="AO55" s="172">
        <f t="shared" si="19"/>
        <v>-5521545.09</v>
      </c>
      <c r="AP55" s="172">
        <f t="shared" si="19"/>
        <v>-5600270.241</v>
      </c>
      <c r="AQ55" s="172">
        <f t="shared" si="19"/>
        <v>-5674368.914</v>
      </c>
      <c r="AR55" s="172">
        <f t="shared" si="19"/>
        <v>-5743852.818</v>
      </c>
      <c r="AS55" s="172">
        <f t="shared" si="19"/>
        <v>-5808733.366</v>
      </c>
      <c r="AT55" s="172">
        <f t="shared" si="19"/>
        <v>-5869021.69</v>
      </c>
      <c r="AU55" s="172">
        <f t="shared" si="19"/>
        <v>-5924728.639</v>
      </c>
      <c r="AV55" s="172">
        <f t="shared" si="19"/>
        <v>-5975864.793</v>
      </c>
      <c r="AW55" s="172">
        <f t="shared" si="19"/>
        <v>-6022440.469</v>
      </c>
      <c r="AX55" s="172">
        <f t="shared" si="19"/>
        <v>-6064465.722</v>
      </c>
      <c r="AY55" s="172">
        <f t="shared" si="19"/>
        <v>-6101950.36</v>
      </c>
      <c r="AZ55" s="172">
        <f t="shared" si="19"/>
        <v>-6134903.943</v>
      </c>
      <c r="BA55" s="172">
        <f t="shared" si="19"/>
        <v>-6163335.793</v>
      </c>
      <c r="BB55" s="172">
        <f t="shared" si="19"/>
        <v>-6187254.999</v>
      </c>
      <c r="BC55" s="172">
        <f t="shared" si="19"/>
        <v>-6206670.422</v>
      </c>
      <c r="BD55" s="172">
        <f t="shared" si="19"/>
        <v>-6221590.703</v>
      </c>
      <c r="BE55" s="172">
        <f t="shared" si="19"/>
        <v>-6232024.264</v>
      </c>
      <c r="BF55" s="172">
        <f t="shared" si="19"/>
        <v>-6237979.321</v>
      </c>
      <c r="BG55" s="172">
        <f t="shared" si="19"/>
        <v>-6239463.881</v>
      </c>
      <c r="BH55" s="172">
        <f t="shared" si="19"/>
        <v>-6236609.793</v>
      </c>
      <c r="BI55" s="172">
        <f t="shared" si="19"/>
        <v>-6230504.676</v>
      </c>
      <c r="BJ55" s="172">
        <f t="shared" si="19"/>
        <v>-6221153.917</v>
      </c>
      <c r="BK55" s="172">
        <f t="shared" si="19"/>
        <v>-6208562.772</v>
      </c>
      <c r="BL55" s="172">
        <f t="shared" si="19"/>
        <v>-6192736.363</v>
      </c>
      <c r="BM55" s="172">
        <f t="shared" si="19"/>
        <v>-6173679.685</v>
      </c>
    </row>
    <row r="56" hidden="1" outlineLevel="1">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row>
    <row r="57" hidden="1" outlineLevel="1">
      <c r="A57" s="30"/>
      <c r="B57" s="190" t="s">
        <v>177</v>
      </c>
      <c r="C57" s="30"/>
      <c r="D57" s="30"/>
      <c r="E57" s="30"/>
      <c r="F57" s="191" t="str">
        <f t="shared" ref="F57:BM57" si="20">IF(ABS(F55-F43)&gt;0.001,"ERROR","OK")</f>
        <v>OK</v>
      </c>
      <c r="G57" s="191" t="str">
        <f t="shared" si="20"/>
        <v>OK</v>
      </c>
      <c r="H57" s="191" t="str">
        <f t="shared" si="20"/>
        <v>OK</v>
      </c>
      <c r="I57" s="191" t="str">
        <f t="shared" si="20"/>
        <v>OK</v>
      </c>
      <c r="J57" s="191" t="str">
        <f t="shared" si="20"/>
        <v>OK</v>
      </c>
      <c r="K57" s="191" t="str">
        <f t="shared" si="20"/>
        <v>OK</v>
      </c>
      <c r="L57" s="191" t="str">
        <f t="shared" si="20"/>
        <v>OK</v>
      </c>
      <c r="M57" s="191" t="str">
        <f t="shared" si="20"/>
        <v>OK</v>
      </c>
      <c r="N57" s="191" t="str">
        <f t="shared" si="20"/>
        <v>OK</v>
      </c>
      <c r="O57" s="191" t="str">
        <f t="shared" si="20"/>
        <v>OK</v>
      </c>
      <c r="P57" s="191" t="str">
        <f t="shared" si="20"/>
        <v>OK</v>
      </c>
      <c r="Q57" s="191" t="str">
        <f t="shared" si="20"/>
        <v>OK</v>
      </c>
      <c r="R57" s="191" t="str">
        <f t="shared" si="20"/>
        <v>OK</v>
      </c>
      <c r="S57" s="191" t="str">
        <f t="shared" si="20"/>
        <v>OK</v>
      </c>
      <c r="T57" s="191" t="str">
        <f t="shared" si="20"/>
        <v>OK</v>
      </c>
      <c r="U57" s="191" t="str">
        <f t="shared" si="20"/>
        <v>OK</v>
      </c>
      <c r="V57" s="191" t="str">
        <f t="shared" si="20"/>
        <v>OK</v>
      </c>
      <c r="W57" s="191" t="str">
        <f t="shared" si="20"/>
        <v>OK</v>
      </c>
      <c r="X57" s="191" t="str">
        <f t="shared" si="20"/>
        <v>OK</v>
      </c>
      <c r="Y57" s="191" t="str">
        <f t="shared" si="20"/>
        <v>OK</v>
      </c>
      <c r="Z57" s="191" t="str">
        <f t="shared" si="20"/>
        <v>OK</v>
      </c>
      <c r="AA57" s="191" t="str">
        <f t="shared" si="20"/>
        <v>OK</v>
      </c>
      <c r="AB57" s="191" t="str">
        <f t="shared" si="20"/>
        <v>OK</v>
      </c>
      <c r="AC57" s="191" t="str">
        <f t="shared" si="20"/>
        <v>OK</v>
      </c>
      <c r="AD57" s="191" t="str">
        <f t="shared" si="20"/>
        <v>OK</v>
      </c>
      <c r="AE57" s="191" t="str">
        <f t="shared" si="20"/>
        <v>OK</v>
      </c>
      <c r="AF57" s="191" t="str">
        <f t="shared" si="20"/>
        <v>OK</v>
      </c>
      <c r="AG57" s="191" t="str">
        <f t="shared" si="20"/>
        <v>OK</v>
      </c>
      <c r="AH57" s="191" t="str">
        <f t="shared" si="20"/>
        <v>OK</v>
      </c>
      <c r="AI57" s="191" t="str">
        <f t="shared" si="20"/>
        <v>OK</v>
      </c>
      <c r="AJ57" s="191" t="str">
        <f t="shared" si="20"/>
        <v>OK</v>
      </c>
      <c r="AK57" s="191" t="str">
        <f t="shared" si="20"/>
        <v>OK</v>
      </c>
      <c r="AL57" s="191" t="str">
        <f t="shared" si="20"/>
        <v>OK</v>
      </c>
      <c r="AM57" s="191" t="str">
        <f t="shared" si="20"/>
        <v>OK</v>
      </c>
      <c r="AN57" s="191" t="str">
        <f t="shared" si="20"/>
        <v>OK</v>
      </c>
      <c r="AO57" s="191" t="str">
        <f t="shared" si="20"/>
        <v>OK</v>
      </c>
      <c r="AP57" s="191" t="str">
        <f t="shared" si="20"/>
        <v>OK</v>
      </c>
      <c r="AQ57" s="191" t="str">
        <f t="shared" si="20"/>
        <v>OK</v>
      </c>
      <c r="AR57" s="191" t="str">
        <f t="shared" si="20"/>
        <v>OK</v>
      </c>
      <c r="AS57" s="191" t="str">
        <f t="shared" si="20"/>
        <v>OK</v>
      </c>
      <c r="AT57" s="191" t="str">
        <f t="shared" si="20"/>
        <v>OK</v>
      </c>
      <c r="AU57" s="191" t="str">
        <f t="shared" si="20"/>
        <v>OK</v>
      </c>
      <c r="AV57" s="191" t="str">
        <f t="shared" si="20"/>
        <v>OK</v>
      </c>
      <c r="AW57" s="191" t="str">
        <f t="shared" si="20"/>
        <v>OK</v>
      </c>
      <c r="AX57" s="191" t="str">
        <f t="shared" si="20"/>
        <v>OK</v>
      </c>
      <c r="AY57" s="191" t="str">
        <f t="shared" si="20"/>
        <v>OK</v>
      </c>
      <c r="AZ57" s="191" t="str">
        <f t="shared" si="20"/>
        <v>OK</v>
      </c>
      <c r="BA57" s="191" t="str">
        <f t="shared" si="20"/>
        <v>OK</v>
      </c>
      <c r="BB57" s="191" t="str">
        <f t="shared" si="20"/>
        <v>OK</v>
      </c>
      <c r="BC57" s="191" t="str">
        <f t="shared" si="20"/>
        <v>OK</v>
      </c>
      <c r="BD57" s="191" t="str">
        <f t="shared" si="20"/>
        <v>OK</v>
      </c>
      <c r="BE57" s="191" t="str">
        <f t="shared" si="20"/>
        <v>OK</v>
      </c>
      <c r="BF57" s="191" t="str">
        <f t="shared" si="20"/>
        <v>OK</v>
      </c>
      <c r="BG57" s="191" t="str">
        <f t="shared" si="20"/>
        <v>OK</v>
      </c>
      <c r="BH57" s="191" t="str">
        <f t="shared" si="20"/>
        <v>OK</v>
      </c>
      <c r="BI57" s="191" t="str">
        <f t="shared" si="20"/>
        <v>OK</v>
      </c>
      <c r="BJ57" s="191" t="str">
        <f t="shared" si="20"/>
        <v>OK</v>
      </c>
      <c r="BK57" s="191" t="str">
        <f t="shared" si="20"/>
        <v>OK</v>
      </c>
      <c r="BL57" s="191" t="str">
        <f t="shared" si="20"/>
        <v>OK</v>
      </c>
      <c r="BM57" s="191" t="str">
        <f t="shared" si="20"/>
        <v>OK</v>
      </c>
    </row>
    <row r="58">
      <c r="A58" s="30"/>
      <c r="B58" s="192"/>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row>
    <row r="59" collapsed="1">
      <c r="A59" s="30"/>
      <c r="B59" s="165" t="s">
        <v>178</v>
      </c>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c r="BI59" s="166"/>
      <c r="BJ59" s="166"/>
      <c r="BK59" s="166"/>
      <c r="BL59" s="166"/>
      <c r="BM59" s="166"/>
    </row>
    <row r="60" hidden="1" outlineLevel="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row>
    <row r="61" hidden="1" outlineLevel="1">
      <c r="A61" s="167"/>
      <c r="B61" s="176" t="s">
        <v>179</v>
      </c>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7"/>
      <c r="AU61" s="167"/>
      <c r="AV61" s="167"/>
      <c r="AW61" s="167"/>
      <c r="AX61" s="167"/>
      <c r="AY61" s="167"/>
      <c r="AZ61" s="167"/>
      <c r="BA61" s="167"/>
      <c r="BB61" s="167"/>
      <c r="BC61" s="167"/>
      <c r="BD61" s="167"/>
      <c r="BE61" s="167"/>
      <c r="BF61" s="167"/>
      <c r="BG61" s="167"/>
      <c r="BH61" s="167"/>
      <c r="BI61" s="167"/>
      <c r="BJ61" s="167"/>
      <c r="BK61" s="167"/>
      <c r="BL61" s="167"/>
      <c r="BM61" s="167"/>
    </row>
    <row r="62" hidden="1" outlineLevel="1">
      <c r="A62" s="167"/>
      <c r="B62" s="177" t="s">
        <v>180</v>
      </c>
      <c r="C62" s="167"/>
      <c r="D62" s="167"/>
      <c r="E62" s="167"/>
      <c r="F62" s="167">
        <f t="shared" ref="F62:BM62" si="21">F52-E52</f>
        <v>-258997.3625</v>
      </c>
      <c r="G62" s="167">
        <f t="shared" si="21"/>
        <v>-252216.3411</v>
      </c>
      <c r="H62" s="167">
        <f t="shared" si="21"/>
        <v>-247736.052</v>
      </c>
      <c r="I62" s="167">
        <f t="shared" si="21"/>
        <v>-243036.5074</v>
      </c>
      <c r="J62" s="167">
        <f t="shared" si="21"/>
        <v>-238083.582</v>
      </c>
      <c r="K62" s="167">
        <f t="shared" si="21"/>
        <v>-232861.8627</v>
      </c>
      <c r="L62" s="167">
        <f t="shared" si="21"/>
        <v>-227672.9769</v>
      </c>
      <c r="M62" s="167">
        <f t="shared" si="21"/>
        <v>-222510.158</v>
      </c>
      <c r="N62" s="167">
        <f t="shared" si="21"/>
        <v>-217372.6652</v>
      </c>
      <c r="O62" s="167">
        <f t="shared" si="21"/>
        <v>-212259.8639</v>
      </c>
      <c r="P62" s="167">
        <f t="shared" si="21"/>
        <v>-207160.5619</v>
      </c>
      <c r="Q62" s="167">
        <f t="shared" si="21"/>
        <v>-202084.6324</v>
      </c>
      <c r="R62" s="167">
        <f t="shared" si="21"/>
        <v>-197031.6443</v>
      </c>
      <c r="S62" s="167">
        <f t="shared" si="21"/>
        <v>-192001.0264</v>
      </c>
      <c r="T62" s="167">
        <f t="shared" si="21"/>
        <v>-186992.2194</v>
      </c>
      <c r="U62" s="167">
        <f t="shared" si="21"/>
        <v>-182004.678</v>
      </c>
      <c r="V62" s="167">
        <f t="shared" si="21"/>
        <v>-177037.8706</v>
      </c>
      <c r="W62" s="167">
        <f t="shared" si="21"/>
        <v>-172091.2789</v>
      </c>
      <c r="X62" s="167">
        <f t="shared" si="21"/>
        <v>-167164.3974</v>
      </c>
      <c r="Y62" s="167">
        <f t="shared" si="21"/>
        <v>-162256.7335</v>
      </c>
      <c r="Z62" s="167">
        <f t="shared" si="21"/>
        <v>-157367.8066</v>
      </c>
      <c r="AA62" s="167">
        <f t="shared" si="21"/>
        <v>-152497.1484</v>
      </c>
      <c r="AB62" s="167">
        <f t="shared" si="21"/>
        <v>-147644.3021</v>
      </c>
      <c r="AC62" s="167">
        <f t="shared" si="21"/>
        <v>-142808.8224</v>
      </c>
      <c r="AD62" s="167">
        <f t="shared" si="21"/>
        <v>-137990.2752</v>
      </c>
      <c r="AE62" s="167">
        <f t="shared" si="21"/>
        <v>-133188.2371</v>
      </c>
      <c r="AF62" s="167">
        <f t="shared" si="21"/>
        <v>-128402.2955</v>
      </c>
      <c r="AG62" s="167">
        <f t="shared" si="21"/>
        <v>-123632.0479</v>
      </c>
      <c r="AH62" s="167">
        <f t="shared" si="21"/>
        <v>-118877.1019</v>
      </c>
      <c r="AI62" s="167">
        <f t="shared" si="21"/>
        <v>-114137.0751</v>
      </c>
      <c r="AJ62" s="167">
        <f t="shared" si="21"/>
        <v>-109411.5944</v>
      </c>
      <c r="AK62" s="167">
        <f t="shared" si="21"/>
        <v>-104700.2962</v>
      </c>
      <c r="AL62" s="167">
        <f t="shared" si="21"/>
        <v>-100002.8259</v>
      </c>
      <c r="AM62" s="167">
        <f t="shared" si="21"/>
        <v>-95318.83786</v>
      </c>
      <c r="AN62" s="167">
        <f t="shared" si="21"/>
        <v>-90647.99499</v>
      </c>
      <c r="AO62" s="167">
        <f t="shared" si="21"/>
        <v>-85989.96866</v>
      </c>
      <c r="AP62" s="167">
        <f t="shared" si="21"/>
        <v>-81344.43846</v>
      </c>
      <c r="AQ62" s="167">
        <f t="shared" si="21"/>
        <v>-76711.09199</v>
      </c>
      <c r="AR62" s="167">
        <f t="shared" si="21"/>
        <v>-72089.62465</v>
      </c>
      <c r="AS62" s="167">
        <f t="shared" si="21"/>
        <v>-67479.73947</v>
      </c>
      <c r="AT62" s="167">
        <f t="shared" si="21"/>
        <v>-62881.14689</v>
      </c>
      <c r="AU62" s="167">
        <f t="shared" si="21"/>
        <v>-58293.5646</v>
      </c>
      <c r="AV62" s="167">
        <f t="shared" si="21"/>
        <v>-53716.71734</v>
      </c>
      <c r="AW62" s="167">
        <f t="shared" si="21"/>
        <v>-49150.33673</v>
      </c>
      <c r="AX62" s="167">
        <f t="shared" si="21"/>
        <v>-44594.16111</v>
      </c>
      <c r="AY62" s="167">
        <f t="shared" si="21"/>
        <v>-40047.93535</v>
      </c>
      <c r="AZ62" s="167">
        <f t="shared" si="21"/>
        <v>-35511.41071</v>
      </c>
      <c r="BA62" s="167">
        <f t="shared" si="21"/>
        <v>-30984.34465</v>
      </c>
      <c r="BB62" s="167">
        <f t="shared" si="21"/>
        <v>-26466.50072</v>
      </c>
      <c r="BC62" s="167">
        <f t="shared" si="21"/>
        <v>-21957.64836</v>
      </c>
      <c r="BD62" s="167">
        <f t="shared" si="21"/>
        <v>-17457.56279</v>
      </c>
      <c r="BE62" s="167">
        <f t="shared" si="21"/>
        <v>-12966.02482</v>
      </c>
      <c r="BF62" s="167">
        <f t="shared" si="21"/>
        <v>-8482.820775</v>
      </c>
      <c r="BG62" s="167">
        <f t="shared" si="21"/>
        <v>-4007.742303</v>
      </c>
      <c r="BH62" s="167">
        <f t="shared" si="21"/>
        <v>335.372026</v>
      </c>
      <c r="BI62" s="167">
        <f t="shared" si="21"/>
        <v>3590.757141</v>
      </c>
      <c r="BJ62" s="167">
        <f t="shared" si="21"/>
        <v>6840.644433</v>
      </c>
      <c r="BK62" s="167">
        <f t="shared" si="21"/>
        <v>10085.17135</v>
      </c>
      <c r="BL62" s="167">
        <f t="shared" si="21"/>
        <v>13324.4719</v>
      </c>
      <c r="BM62" s="167">
        <f t="shared" si="21"/>
        <v>16558.67673</v>
      </c>
    </row>
    <row r="63" hidden="1" outlineLevel="1">
      <c r="A63" s="167"/>
      <c r="B63" s="177" t="s">
        <v>157</v>
      </c>
      <c r="C63" s="167"/>
      <c r="D63" s="167"/>
      <c r="E63" s="167"/>
      <c r="F63" s="167">
        <f t="shared" ref="F63:BM63" si="22">E42-F42</f>
        <v>0</v>
      </c>
      <c r="G63" s="167">
        <f t="shared" si="22"/>
        <v>0</v>
      </c>
      <c r="H63" s="167">
        <f t="shared" si="22"/>
        <v>0</v>
      </c>
      <c r="I63" s="167">
        <f t="shared" si="22"/>
        <v>0</v>
      </c>
      <c r="J63" s="167">
        <f t="shared" si="22"/>
        <v>0</v>
      </c>
      <c r="K63" s="167">
        <f t="shared" si="22"/>
        <v>0</v>
      </c>
      <c r="L63" s="167">
        <f t="shared" si="22"/>
        <v>0</v>
      </c>
      <c r="M63" s="167">
        <f t="shared" si="22"/>
        <v>0</v>
      </c>
      <c r="N63" s="167">
        <f t="shared" si="22"/>
        <v>0</v>
      </c>
      <c r="O63" s="167">
        <f t="shared" si="22"/>
        <v>0</v>
      </c>
      <c r="P63" s="167">
        <f t="shared" si="22"/>
        <v>0</v>
      </c>
      <c r="Q63" s="167">
        <f t="shared" si="22"/>
        <v>0</v>
      </c>
      <c r="R63" s="167">
        <f t="shared" si="22"/>
        <v>0</v>
      </c>
      <c r="S63" s="167">
        <f t="shared" si="22"/>
        <v>0</v>
      </c>
      <c r="T63" s="167">
        <f t="shared" si="22"/>
        <v>0</v>
      </c>
      <c r="U63" s="167">
        <f t="shared" si="22"/>
        <v>0</v>
      </c>
      <c r="V63" s="167">
        <f t="shared" si="22"/>
        <v>0</v>
      </c>
      <c r="W63" s="167">
        <f t="shared" si="22"/>
        <v>0</v>
      </c>
      <c r="X63" s="167">
        <f t="shared" si="22"/>
        <v>0</v>
      </c>
      <c r="Y63" s="167">
        <f t="shared" si="22"/>
        <v>0</v>
      </c>
      <c r="Z63" s="167">
        <f t="shared" si="22"/>
        <v>0</v>
      </c>
      <c r="AA63" s="167">
        <f t="shared" si="22"/>
        <v>0</v>
      </c>
      <c r="AB63" s="167">
        <f t="shared" si="22"/>
        <v>0</v>
      </c>
      <c r="AC63" s="167">
        <f t="shared" si="22"/>
        <v>0</v>
      </c>
      <c r="AD63" s="167">
        <f t="shared" si="22"/>
        <v>0</v>
      </c>
      <c r="AE63" s="167">
        <f t="shared" si="22"/>
        <v>0</v>
      </c>
      <c r="AF63" s="167">
        <f t="shared" si="22"/>
        <v>0</v>
      </c>
      <c r="AG63" s="167">
        <f t="shared" si="22"/>
        <v>0</v>
      </c>
      <c r="AH63" s="167">
        <f t="shared" si="22"/>
        <v>0</v>
      </c>
      <c r="AI63" s="167">
        <f t="shared" si="22"/>
        <v>0</v>
      </c>
      <c r="AJ63" s="167">
        <f t="shared" si="22"/>
        <v>0</v>
      </c>
      <c r="AK63" s="167">
        <f t="shared" si="22"/>
        <v>0</v>
      </c>
      <c r="AL63" s="167">
        <f t="shared" si="22"/>
        <v>0</v>
      </c>
      <c r="AM63" s="167">
        <f t="shared" si="22"/>
        <v>0</v>
      </c>
      <c r="AN63" s="167">
        <f t="shared" si="22"/>
        <v>0</v>
      </c>
      <c r="AO63" s="167">
        <f t="shared" si="22"/>
        <v>0</v>
      </c>
      <c r="AP63" s="167">
        <f t="shared" si="22"/>
        <v>0</v>
      </c>
      <c r="AQ63" s="167">
        <f t="shared" si="22"/>
        <v>0</v>
      </c>
      <c r="AR63" s="167">
        <f t="shared" si="22"/>
        <v>0</v>
      </c>
      <c r="AS63" s="167">
        <f t="shared" si="22"/>
        <v>0</v>
      </c>
      <c r="AT63" s="167">
        <f t="shared" si="22"/>
        <v>0</v>
      </c>
      <c r="AU63" s="167">
        <f t="shared" si="22"/>
        <v>0</v>
      </c>
      <c r="AV63" s="167">
        <f t="shared" si="22"/>
        <v>0</v>
      </c>
      <c r="AW63" s="167">
        <f t="shared" si="22"/>
        <v>0</v>
      </c>
      <c r="AX63" s="167">
        <f t="shared" si="22"/>
        <v>0</v>
      </c>
      <c r="AY63" s="167">
        <f t="shared" si="22"/>
        <v>0</v>
      </c>
      <c r="AZ63" s="167">
        <f t="shared" si="22"/>
        <v>0</v>
      </c>
      <c r="BA63" s="167">
        <f t="shared" si="22"/>
        <v>0</v>
      </c>
      <c r="BB63" s="167">
        <f t="shared" si="22"/>
        <v>0</v>
      </c>
      <c r="BC63" s="167">
        <f t="shared" si="22"/>
        <v>0</v>
      </c>
      <c r="BD63" s="167">
        <f t="shared" si="22"/>
        <v>0</v>
      </c>
      <c r="BE63" s="167">
        <f t="shared" si="22"/>
        <v>0</v>
      </c>
      <c r="BF63" s="167">
        <f t="shared" si="22"/>
        <v>0</v>
      </c>
      <c r="BG63" s="167">
        <f t="shared" si="22"/>
        <v>0</v>
      </c>
      <c r="BH63" s="167">
        <f t="shared" si="22"/>
        <v>0</v>
      </c>
      <c r="BI63" s="167">
        <f t="shared" si="22"/>
        <v>0</v>
      </c>
      <c r="BJ63" s="167">
        <f t="shared" si="22"/>
        <v>0</v>
      </c>
      <c r="BK63" s="167">
        <f t="shared" si="22"/>
        <v>0</v>
      </c>
      <c r="BL63" s="167">
        <f t="shared" si="22"/>
        <v>0</v>
      </c>
      <c r="BM63" s="167">
        <f t="shared" si="22"/>
        <v>0</v>
      </c>
    </row>
    <row r="64" hidden="1" outlineLevel="1">
      <c r="A64" s="167"/>
      <c r="B64" s="177" t="s">
        <v>181</v>
      </c>
      <c r="C64" s="167"/>
      <c r="D64" s="167"/>
      <c r="E64" s="167"/>
      <c r="F64" s="167">
        <f t="shared" ref="F64:BM64" si="23">E38-F38</f>
        <v>-4258.125</v>
      </c>
      <c r="G64" s="167">
        <f t="shared" si="23"/>
        <v>-4554.278125</v>
      </c>
      <c r="H64" s="167">
        <f t="shared" si="23"/>
        <v>-4766.264953</v>
      </c>
      <c r="I64" s="167">
        <f t="shared" si="23"/>
        <v>-4999.515517</v>
      </c>
      <c r="J64" s="167">
        <f t="shared" si="23"/>
        <v>-5269.069597</v>
      </c>
      <c r="K64" s="167">
        <f t="shared" si="23"/>
        <v>-5555.020556</v>
      </c>
      <c r="L64" s="167">
        <f t="shared" si="23"/>
        <v>-5520.091282</v>
      </c>
      <c r="M64" s="167">
        <f t="shared" si="23"/>
        <v>-5492.360518</v>
      </c>
      <c r="N64" s="167">
        <f t="shared" si="23"/>
        <v>-5465.417902</v>
      </c>
      <c r="O64" s="167">
        <f t="shared" si="23"/>
        <v>-5439.150275</v>
      </c>
      <c r="P64" s="167">
        <f t="shared" si="23"/>
        <v>-5424.789359</v>
      </c>
      <c r="Q64" s="167">
        <f t="shared" si="23"/>
        <v>-5399.924967</v>
      </c>
      <c r="R64" s="167">
        <f t="shared" si="23"/>
        <v>-5375.519247</v>
      </c>
      <c r="S64" s="167">
        <f t="shared" si="23"/>
        <v>-5351.721226</v>
      </c>
      <c r="T64" s="167">
        <f t="shared" si="23"/>
        <v>-5328.518119</v>
      </c>
      <c r="U64" s="167">
        <f t="shared" si="23"/>
        <v>-5305.895089</v>
      </c>
      <c r="V64" s="167">
        <f t="shared" si="23"/>
        <v>-5283.837635</v>
      </c>
      <c r="W64" s="167">
        <f t="shared" si="23"/>
        <v>-5262.331617</v>
      </c>
      <c r="X64" s="167">
        <f t="shared" si="23"/>
        <v>-5241.36325</v>
      </c>
      <c r="Y64" s="167">
        <f t="shared" si="23"/>
        <v>-5220.919092</v>
      </c>
      <c r="Z64" s="167">
        <f t="shared" si="23"/>
        <v>-5200.986038</v>
      </c>
      <c r="AA64" s="167">
        <f t="shared" si="23"/>
        <v>-5181.55131</v>
      </c>
      <c r="AB64" s="167">
        <f t="shared" si="23"/>
        <v>-5162.60245</v>
      </c>
      <c r="AC64" s="167">
        <f t="shared" si="23"/>
        <v>-5144.127312</v>
      </c>
      <c r="AD64" s="167">
        <f t="shared" si="23"/>
        <v>-5126.114052</v>
      </c>
      <c r="AE64" s="167">
        <f t="shared" si="23"/>
        <v>-5108.551124</v>
      </c>
      <c r="AF64" s="167">
        <f t="shared" si="23"/>
        <v>-5091.427269</v>
      </c>
      <c r="AG64" s="167">
        <f t="shared" si="23"/>
        <v>-5074.73151</v>
      </c>
      <c r="AH64" s="167">
        <f t="shared" si="23"/>
        <v>-5058.453146</v>
      </c>
      <c r="AI64" s="167">
        <f t="shared" si="23"/>
        <v>-5042.58174</v>
      </c>
      <c r="AJ64" s="167">
        <f t="shared" si="23"/>
        <v>-5027.10712</v>
      </c>
      <c r="AK64" s="167">
        <f t="shared" si="23"/>
        <v>-5012.019365</v>
      </c>
      <c r="AL64" s="167">
        <f t="shared" si="23"/>
        <v>-4997.308804</v>
      </c>
      <c r="AM64" s="167">
        <f t="shared" si="23"/>
        <v>-4982.966007</v>
      </c>
      <c r="AN64" s="167">
        <f t="shared" si="23"/>
        <v>-4968.981779</v>
      </c>
      <c r="AO64" s="167">
        <f t="shared" si="23"/>
        <v>-4955.347158</v>
      </c>
      <c r="AP64" s="167">
        <f t="shared" si="23"/>
        <v>-4942.053402</v>
      </c>
      <c r="AQ64" s="167">
        <f t="shared" si="23"/>
        <v>-4929.09199</v>
      </c>
      <c r="AR64" s="167">
        <f t="shared" si="23"/>
        <v>-4916.454613</v>
      </c>
      <c r="AS64" s="167">
        <f t="shared" si="23"/>
        <v>-4904.133171</v>
      </c>
      <c r="AT64" s="167">
        <f t="shared" si="23"/>
        <v>-4892.119765</v>
      </c>
      <c r="AU64" s="167">
        <f t="shared" si="23"/>
        <v>-4880.406694</v>
      </c>
      <c r="AV64" s="167">
        <f t="shared" si="23"/>
        <v>-4868.98645</v>
      </c>
      <c r="AW64" s="167">
        <f t="shared" si="23"/>
        <v>-4857.851711</v>
      </c>
      <c r="AX64" s="167">
        <f t="shared" si="23"/>
        <v>-4846.995342</v>
      </c>
      <c r="AY64" s="167">
        <f t="shared" si="23"/>
        <v>-4836.410381</v>
      </c>
      <c r="AZ64" s="167">
        <f t="shared" si="23"/>
        <v>-4826.090045</v>
      </c>
      <c r="BA64" s="167">
        <f t="shared" si="23"/>
        <v>-4816.027717</v>
      </c>
      <c r="BB64" s="167">
        <f t="shared" si="23"/>
        <v>-4806.216947</v>
      </c>
      <c r="BC64" s="167">
        <f t="shared" si="23"/>
        <v>-4796.651446</v>
      </c>
      <c r="BD64" s="167">
        <f t="shared" si="23"/>
        <v>-4787.325083</v>
      </c>
      <c r="BE64" s="167">
        <f t="shared" si="23"/>
        <v>-4778.231879</v>
      </c>
      <c r="BF64" s="167">
        <f t="shared" si="23"/>
        <v>-4769.366005</v>
      </c>
      <c r="BG64" s="167">
        <f t="shared" si="23"/>
        <v>-4760.721778</v>
      </c>
      <c r="BH64" s="167">
        <f t="shared" si="23"/>
        <v>-4752.293657</v>
      </c>
      <c r="BI64" s="167">
        <f t="shared" si="23"/>
        <v>-4744.076238</v>
      </c>
      <c r="BJ64" s="167">
        <f t="shared" si="23"/>
        <v>-4736.064256</v>
      </c>
      <c r="BK64" s="167">
        <f t="shared" si="23"/>
        <v>-4728.252572</v>
      </c>
      <c r="BL64" s="167">
        <f t="shared" si="23"/>
        <v>-4720.636181</v>
      </c>
      <c r="BM64" s="167">
        <f t="shared" si="23"/>
        <v>-4713.2102</v>
      </c>
    </row>
    <row r="65" hidden="1" outlineLevel="1">
      <c r="A65" s="167"/>
      <c r="B65" s="177" t="s">
        <v>182</v>
      </c>
      <c r="C65" s="167"/>
      <c r="D65" s="167"/>
      <c r="E65" s="167"/>
      <c r="F65" s="167">
        <f t="shared" ref="F65:BM65" si="24">F47-E47</f>
        <v>23506.80625</v>
      </c>
      <c r="G65" s="167">
        <f t="shared" si="24"/>
        <v>2413.767406</v>
      </c>
      <c r="H65" s="167">
        <f t="shared" si="24"/>
        <v>2526.120425</v>
      </c>
      <c r="I65" s="167">
        <f t="shared" si="24"/>
        <v>2649.743224</v>
      </c>
      <c r="J65" s="167">
        <f t="shared" si="24"/>
        <v>2792.606886</v>
      </c>
      <c r="K65" s="167">
        <f t="shared" si="24"/>
        <v>2944.160895</v>
      </c>
      <c r="L65" s="167">
        <f t="shared" si="24"/>
        <v>2925.64838</v>
      </c>
      <c r="M65" s="167">
        <f t="shared" si="24"/>
        <v>2910.951075</v>
      </c>
      <c r="N65" s="167">
        <f t="shared" si="24"/>
        <v>2896.671488</v>
      </c>
      <c r="O65" s="167">
        <f t="shared" si="24"/>
        <v>2882.749646</v>
      </c>
      <c r="P65" s="167">
        <f t="shared" si="24"/>
        <v>2875.13836</v>
      </c>
      <c r="Q65" s="167">
        <f t="shared" si="24"/>
        <v>2861.960233</v>
      </c>
      <c r="R65" s="167">
        <f t="shared" si="24"/>
        <v>2849.025201</v>
      </c>
      <c r="S65" s="167">
        <f t="shared" si="24"/>
        <v>2836.41225</v>
      </c>
      <c r="T65" s="167">
        <f t="shared" si="24"/>
        <v>2824.114603</v>
      </c>
      <c r="U65" s="167">
        <f t="shared" si="24"/>
        <v>2812.124397</v>
      </c>
      <c r="V65" s="167">
        <f t="shared" si="24"/>
        <v>2800.433947</v>
      </c>
      <c r="W65" s="167">
        <f t="shared" si="24"/>
        <v>2789.035757</v>
      </c>
      <c r="X65" s="167">
        <f t="shared" si="24"/>
        <v>2777.922523</v>
      </c>
      <c r="Y65" s="167">
        <f t="shared" si="24"/>
        <v>2767.087119</v>
      </c>
      <c r="Z65" s="167">
        <f t="shared" si="24"/>
        <v>2756.5226</v>
      </c>
      <c r="AA65" s="167">
        <f t="shared" si="24"/>
        <v>2746.222194</v>
      </c>
      <c r="AB65" s="167">
        <f t="shared" si="24"/>
        <v>2736.179299</v>
      </c>
      <c r="AC65" s="167">
        <f t="shared" si="24"/>
        <v>2726.387475</v>
      </c>
      <c r="AD65" s="167">
        <f t="shared" si="24"/>
        <v>2716.840448</v>
      </c>
      <c r="AE65" s="167">
        <f t="shared" si="24"/>
        <v>2707.532096</v>
      </c>
      <c r="AF65" s="167">
        <f t="shared" si="24"/>
        <v>2698.456453</v>
      </c>
      <c r="AG65" s="167">
        <f t="shared" si="24"/>
        <v>2689.6077</v>
      </c>
      <c r="AH65" s="167">
        <f t="shared" si="24"/>
        <v>2680.980167</v>
      </c>
      <c r="AI65" s="167">
        <f t="shared" si="24"/>
        <v>2672.568322</v>
      </c>
      <c r="AJ65" s="167">
        <f t="shared" si="24"/>
        <v>2664.366773</v>
      </c>
      <c r="AK65" s="167">
        <f t="shared" si="24"/>
        <v>2656.370263</v>
      </c>
      <c r="AL65" s="167">
        <f t="shared" si="24"/>
        <v>2648.573666</v>
      </c>
      <c r="AM65" s="167">
        <f t="shared" si="24"/>
        <v>2640.971983</v>
      </c>
      <c r="AN65" s="167">
        <f t="shared" si="24"/>
        <v>2633.560343</v>
      </c>
      <c r="AO65" s="167">
        <f t="shared" si="24"/>
        <v>2626.333994</v>
      </c>
      <c r="AP65" s="167">
        <f t="shared" si="24"/>
        <v>2619.288303</v>
      </c>
      <c r="AQ65" s="167">
        <f t="shared" si="24"/>
        <v>2612.418755</v>
      </c>
      <c r="AR65" s="167">
        <f t="shared" si="24"/>
        <v>2605.720945</v>
      </c>
      <c r="AS65" s="167">
        <f t="shared" si="24"/>
        <v>2599.190581</v>
      </c>
      <c r="AT65" s="167">
        <f t="shared" si="24"/>
        <v>2592.823475</v>
      </c>
      <c r="AU65" s="167">
        <f t="shared" si="24"/>
        <v>2586.615548</v>
      </c>
      <c r="AV65" s="167">
        <f t="shared" si="24"/>
        <v>2580.562818</v>
      </c>
      <c r="AW65" s="167">
        <f t="shared" si="24"/>
        <v>2574.661407</v>
      </c>
      <c r="AX65" s="167">
        <f t="shared" si="24"/>
        <v>2568.907531</v>
      </c>
      <c r="AY65" s="167">
        <f t="shared" si="24"/>
        <v>2563.297502</v>
      </c>
      <c r="AZ65" s="167">
        <f t="shared" si="24"/>
        <v>2557.827724</v>
      </c>
      <c r="BA65" s="167">
        <f t="shared" si="24"/>
        <v>2552.49469</v>
      </c>
      <c r="BB65" s="167">
        <f t="shared" si="24"/>
        <v>2547.294982</v>
      </c>
      <c r="BC65" s="167">
        <f t="shared" si="24"/>
        <v>2542.225267</v>
      </c>
      <c r="BD65" s="167">
        <f t="shared" si="24"/>
        <v>2537.282294</v>
      </c>
      <c r="BE65" s="167">
        <f t="shared" si="24"/>
        <v>2532.462896</v>
      </c>
      <c r="BF65" s="167">
        <f t="shared" si="24"/>
        <v>2527.763983</v>
      </c>
      <c r="BG65" s="167">
        <f t="shared" si="24"/>
        <v>2523.182542</v>
      </c>
      <c r="BH65" s="167">
        <f t="shared" si="24"/>
        <v>2518.715638</v>
      </c>
      <c r="BI65" s="167">
        <f t="shared" si="24"/>
        <v>2514.360406</v>
      </c>
      <c r="BJ65" s="167">
        <f t="shared" si="24"/>
        <v>2510.114055</v>
      </c>
      <c r="BK65" s="167">
        <f t="shared" si="24"/>
        <v>2505.973863</v>
      </c>
      <c r="BL65" s="167">
        <f t="shared" si="24"/>
        <v>2501.937176</v>
      </c>
      <c r="BM65" s="167">
        <f t="shared" si="24"/>
        <v>2498.001406</v>
      </c>
    </row>
    <row r="66" hidden="1" outlineLevel="1">
      <c r="A66" s="167"/>
      <c r="B66" s="170" t="s">
        <v>183</v>
      </c>
      <c r="C66" s="171"/>
      <c r="D66" s="171"/>
      <c r="E66" s="171"/>
      <c r="F66" s="172">
        <f t="shared" ref="F66:BM66" si="25">SUM(F62:F65)</f>
        <v>-239748.6813</v>
      </c>
      <c r="G66" s="172">
        <f t="shared" si="25"/>
        <v>-254356.8518</v>
      </c>
      <c r="H66" s="172">
        <f t="shared" si="25"/>
        <v>-249976.1965</v>
      </c>
      <c r="I66" s="172">
        <f t="shared" si="25"/>
        <v>-245386.2797</v>
      </c>
      <c r="J66" s="172">
        <f t="shared" si="25"/>
        <v>-240560.0447</v>
      </c>
      <c r="K66" s="172">
        <f t="shared" si="25"/>
        <v>-235472.7223</v>
      </c>
      <c r="L66" s="172">
        <f t="shared" si="25"/>
        <v>-230267.4198</v>
      </c>
      <c r="M66" s="172">
        <f t="shared" si="25"/>
        <v>-225091.5674</v>
      </c>
      <c r="N66" s="172">
        <f t="shared" si="25"/>
        <v>-219941.4116</v>
      </c>
      <c r="O66" s="172">
        <f t="shared" si="25"/>
        <v>-214816.2645</v>
      </c>
      <c r="P66" s="172">
        <f t="shared" si="25"/>
        <v>-209710.2129</v>
      </c>
      <c r="Q66" s="172">
        <f t="shared" si="25"/>
        <v>-204622.5972</v>
      </c>
      <c r="R66" s="172">
        <f t="shared" si="25"/>
        <v>-199558.1384</v>
      </c>
      <c r="S66" s="172">
        <f t="shared" si="25"/>
        <v>-194516.3354</v>
      </c>
      <c r="T66" s="172">
        <f t="shared" si="25"/>
        <v>-189496.6229</v>
      </c>
      <c r="U66" s="172">
        <f t="shared" si="25"/>
        <v>-184498.4487</v>
      </c>
      <c r="V66" s="172">
        <f t="shared" si="25"/>
        <v>-179521.2743</v>
      </c>
      <c r="W66" s="172">
        <f t="shared" si="25"/>
        <v>-174564.5747</v>
      </c>
      <c r="X66" s="172">
        <f t="shared" si="25"/>
        <v>-169627.8381</v>
      </c>
      <c r="Y66" s="172">
        <f t="shared" si="25"/>
        <v>-164710.5654</v>
      </c>
      <c r="Z66" s="172">
        <f t="shared" si="25"/>
        <v>-159812.27</v>
      </c>
      <c r="AA66" s="172">
        <f t="shared" si="25"/>
        <v>-154932.4775</v>
      </c>
      <c r="AB66" s="172">
        <f t="shared" si="25"/>
        <v>-150070.7252</v>
      </c>
      <c r="AC66" s="172">
        <f t="shared" si="25"/>
        <v>-145226.5622</v>
      </c>
      <c r="AD66" s="172">
        <f t="shared" si="25"/>
        <v>-140399.5488</v>
      </c>
      <c r="AE66" s="172">
        <f t="shared" si="25"/>
        <v>-135589.2562</v>
      </c>
      <c r="AF66" s="172">
        <f t="shared" si="25"/>
        <v>-130795.2663</v>
      </c>
      <c r="AG66" s="172">
        <f t="shared" si="25"/>
        <v>-126017.1717</v>
      </c>
      <c r="AH66" s="172">
        <f t="shared" si="25"/>
        <v>-121254.5749</v>
      </c>
      <c r="AI66" s="172">
        <f t="shared" si="25"/>
        <v>-116507.0885</v>
      </c>
      <c r="AJ66" s="172">
        <f t="shared" si="25"/>
        <v>-111774.3347</v>
      </c>
      <c r="AK66" s="172">
        <f t="shared" si="25"/>
        <v>-107055.9453</v>
      </c>
      <c r="AL66" s="172">
        <f t="shared" si="25"/>
        <v>-102351.561</v>
      </c>
      <c r="AM66" s="172">
        <f t="shared" si="25"/>
        <v>-97660.83188</v>
      </c>
      <c r="AN66" s="172">
        <f t="shared" si="25"/>
        <v>-92983.41642</v>
      </c>
      <c r="AO66" s="172">
        <f t="shared" si="25"/>
        <v>-88318.98182</v>
      </c>
      <c r="AP66" s="172">
        <f t="shared" si="25"/>
        <v>-83667.20356</v>
      </c>
      <c r="AQ66" s="172">
        <f t="shared" si="25"/>
        <v>-79027.76523</v>
      </c>
      <c r="AR66" s="172">
        <f t="shared" si="25"/>
        <v>-74400.35832</v>
      </c>
      <c r="AS66" s="172">
        <f t="shared" si="25"/>
        <v>-69784.68206</v>
      </c>
      <c r="AT66" s="172">
        <f t="shared" si="25"/>
        <v>-65180.44318</v>
      </c>
      <c r="AU66" s="172">
        <f t="shared" si="25"/>
        <v>-60587.35575</v>
      </c>
      <c r="AV66" s="172">
        <f t="shared" si="25"/>
        <v>-56005.14097</v>
      </c>
      <c r="AW66" s="172">
        <f t="shared" si="25"/>
        <v>-51433.52703</v>
      </c>
      <c r="AX66" s="172">
        <f t="shared" si="25"/>
        <v>-46872.24892</v>
      </c>
      <c r="AY66" s="172">
        <f t="shared" si="25"/>
        <v>-42321.04823</v>
      </c>
      <c r="AZ66" s="172">
        <f t="shared" si="25"/>
        <v>-37779.67303</v>
      </c>
      <c r="BA66" s="172">
        <f t="shared" si="25"/>
        <v>-33247.87768</v>
      </c>
      <c r="BB66" s="172">
        <f t="shared" si="25"/>
        <v>-28725.42269</v>
      </c>
      <c r="BC66" s="172">
        <f t="shared" si="25"/>
        <v>-24212.07454</v>
      </c>
      <c r="BD66" s="172">
        <f t="shared" si="25"/>
        <v>-19707.60558</v>
      </c>
      <c r="BE66" s="172">
        <f t="shared" si="25"/>
        <v>-15211.7938</v>
      </c>
      <c r="BF66" s="172">
        <f t="shared" si="25"/>
        <v>-10724.4228</v>
      </c>
      <c r="BG66" s="172">
        <f t="shared" si="25"/>
        <v>-6245.281539</v>
      </c>
      <c r="BH66" s="172">
        <f t="shared" si="25"/>
        <v>-1898.205993</v>
      </c>
      <c r="BI66" s="172">
        <f t="shared" si="25"/>
        <v>1361.041309</v>
      </c>
      <c r="BJ66" s="172">
        <f t="shared" si="25"/>
        <v>4614.694233</v>
      </c>
      <c r="BK66" s="172">
        <f t="shared" si="25"/>
        <v>7862.892639</v>
      </c>
      <c r="BL66" s="172">
        <f t="shared" si="25"/>
        <v>11105.77289</v>
      </c>
      <c r="BM66" s="172">
        <f t="shared" si="25"/>
        <v>14343.46794</v>
      </c>
    </row>
    <row r="67" hidden="1" outlineLevel="1">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7"/>
      <c r="AS67" s="167"/>
      <c r="AT67" s="167"/>
      <c r="AU67" s="167"/>
      <c r="AV67" s="167"/>
      <c r="AW67" s="167"/>
      <c r="AX67" s="167"/>
      <c r="AY67" s="167"/>
      <c r="AZ67" s="167"/>
      <c r="BA67" s="167"/>
      <c r="BB67" s="167"/>
      <c r="BC67" s="167"/>
      <c r="BD67" s="167"/>
      <c r="BE67" s="167"/>
      <c r="BF67" s="167"/>
      <c r="BG67" s="167"/>
      <c r="BH67" s="167"/>
      <c r="BI67" s="167"/>
      <c r="BJ67" s="167"/>
      <c r="BK67" s="167"/>
      <c r="BL67" s="167"/>
      <c r="BM67" s="167"/>
    </row>
    <row r="68" hidden="1" outlineLevel="1">
      <c r="A68" s="167"/>
      <c r="B68" s="176" t="s">
        <v>184</v>
      </c>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c r="AA68" s="167"/>
      <c r="AB68" s="167"/>
      <c r="AC68" s="167"/>
      <c r="AD68" s="167"/>
      <c r="AE68" s="167"/>
      <c r="AF68" s="167"/>
      <c r="AG68" s="167"/>
      <c r="AH68" s="167"/>
      <c r="AI68" s="167"/>
      <c r="AJ68" s="167"/>
      <c r="AK68" s="167"/>
      <c r="AL68" s="167"/>
      <c r="AM68" s="167"/>
      <c r="AN68" s="167"/>
      <c r="AO68" s="167"/>
      <c r="AP68" s="167"/>
      <c r="AQ68" s="167"/>
      <c r="AR68" s="167"/>
      <c r="AS68" s="167"/>
      <c r="AT68" s="167"/>
      <c r="AU68" s="167"/>
      <c r="AV68" s="167"/>
      <c r="AW68" s="167"/>
      <c r="AX68" s="167"/>
      <c r="AY68" s="167"/>
      <c r="AZ68" s="167"/>
      <c r="BA68" s="167"/>
      <c r="BB68" s="167"/>
      <c r="BC68" s="167"/>
      <c r="BD68" s="167"/>
      <c r="BE68" s="167"/>
      <c r="BF68" s="167"/>
      <c r="BG68" s="167"/>
      <c r="BH68" s="167"/>
      <c r="BI68" s="167"/>
      <c r="BJ68" s="167"/>
      <c r="BK68" s="167"/>
      <c r="BL68" s="167"/>
      <c r="BM68" s="167"/>
    </row>
    <row r="69" hidden="1" outlineLevel="1">
      <c r="A69" s="167"/>
      <c r="B69" s="177" t="s">
        <v>185</v>
      </c>
      <c r="C69" s="167"/>
      <c r="D69" s="167"/>
      <c r="E69" s="167"/>
      <c r="F69" s="167">
        <f t="shared" ref="F69:BM69" si="26">E41-F41</f>
        <v>0</v>
      </c>
      <c r="G69" s="167">
        <f t="shared" si="26"/>
        <v>0</v>
      </c>
      <c r="H69" s="167">
        <f t="shared" si="26"/>
        <v>0</v>
      </c>
      <c r="I69" s="167">
        <f t="shared" si="26"/>
        <v>0</v>
      </c>
      <c r="J69" s="167">
        <f t="shared" si="26"/>
        <v>0</v>
      </c>
      <c r="K69" s="167">
        <f t="shared" si="26"/>
        <v>0</v>
      </c>
      <c r="L69" s="167">
        <f t="shared" si="26"/>
        <v>0</v>
      </c>
      <c r="M69" s="167">
        <f t="shared" si="26"/>
        <v>0</v>
      </c>
      <c r="N69" s="167">
        <f t="shared" si="26"/>
        <v>0</v>
      </c>
      <c r="O69" s="167">
        <f t="shared" si="26"/>
        <v>0</v>
      </c>
      <c r="P69" s="167">
        <f t="shared" si="26"/>
        <v>0</v>
      </c>
      <c r="Q69" s="167">
        <f t="shared" si="26"/>
        <v>0</v>
      </c>
      <c r="R69" s="167">
        <f t="shared" si="26"/>
        <v>0</v>
      </c>
      <c r="S69" s="167">
        <f t="shared" si="26"/>
        <v>0</v>
      </c>
      <c r="T69" s="167">
        <f t="shared" si="26"/>
        <v>0</v>
      </c>
      <c r="U69" s="167">
        <f t="shared" si="26"/>
        <v>0</v>
      </c>
      <c r="V69" s="167">
        <f t="shared" si="26"/>
        <v>0</v>
      </c>
      <c r="W69" s="167">
        <f t="shared" si="26"/>
        <v>0</v>
      </c>
      <c r="X69" s="167">
        <f t="shared" si="26"/>
        <v>0</v>
      </c>
      <c r="Y69" s="167">
        <f t="shared" si="26"/>
        <v>0</v>
      </c>
      <c r="Z69" s="167">
        <f t="shared" si="26"/>
        <v>0</v>
      </c>
      <c r="AA69" s="167">
        <f t="shared" si="26"/>
        <v>0</v>
      </c>
      <c r="AB69" s="167">
        <f t="shared" si="26"/>
        <v>0</v>
      </c>
      <c r="AC69" s="167">
        <f t="shared" si="26"/>
        <v>0</v>
      </c>
      <c r="AD69" s="167">
        <f t="shared" si="26"/>
        <v>0</v>
      </c>
      <c r="AE69" s="167">
        <f t="shared" si="26"/>
        <v>0</v>
      </c>
      <c r="AF69" s="167">
        <f t="shared" si="26"/>
        <v>0</v>
      </c>
      <c r="AG69" s="167">
        <f t="shared" si="26"/>
        <v>0</v>
      </c>
      <c r="AH69" s="167">
        <f t="shared" si="26"/>
        <v>0</v>
      </c>
      <c r="AI69" s="167">
        <f t="shared" si="26"/>
        <v>0</v>
      </c>
      <c r="AJ69" s="167">
        <f t="shared" si="26"/>
        <v>0</v>
      </c>
      <c r="AK69" s="167">
        <f t="shared" si="26"/>
        <v>0</v>
      </c>
      <c r="AL69" s="167">
        <f t="shared" si="26"/>
        <v>0</v>
      </c>
      <c r="AM69" s="167">
        <f t="shared" si="26"/>
        <v>0</v>
      </c>
      <c r="AN69" s="167">
        <f t="shared" si="26"/>
        <v>0</v>
      </c>
      <c r="AO69" s="167">
        <f t="shared" si="26"/>
        <v>0</v>
      </c>
      <c r="AP69" s="167">
        <f t="shared" si="26"/>
        <v>0</v>
      </c>
      <c r="AQ69" s="167">
        <f t="shared" si="26"/>
        <v>0</v>
      </c>
      <c r="AR69" s="167">
        <f t="shared" si="26"/>
        <v>0</v>
      </c>
      <c r="AS69" s="167">
        <f t="shared" si="26"/>
        <v>0</v>
      </c>
      <c r="AT69" s="167">
        <f t="shared" si="26"/>
        <v>0</v>
      </c>
      <c r="AU69" s="167">
        <f t="shared" si="26"/>
        <v>0</v>
      </c>
      <c r="AV69" s="167">
        <f t="shared" si="26"/>
        <v>0</v>
      </c>
      <c r="AW69" s="167">
        <f t="shared" si="26"/>
        <v>0</v>
      </c>
      <c r="AX69" s="167">
        <f t="shared" si="26"/>
        <v>0</v>
      </c>
      <c r="AY69" s="167">
        <f t="shared" si="26"/>
        <v>0</v>
      </c>
      <c r="AZ69" s="167">
        <f t="shared" si="26"/>
        <v>0</v>
      </c>
      <c r="BA69" s="167">
        <f t="shared" si="26"/>
        <v>0</v>
      </c>
      <c r="BB69" s="167">
        <f t="shared" si="26"/>
        <v>0</v>
      </c>
      <c r="BC69" s="167">
        <f t="shared" si="26"/>
        <v>0</v>
      </c>
      <c r="BD69" s="167">
        <f t="shared" si="26"/>
        <v>0</v>
      </c>
      <c r="BE69" s="167">
        <f t="shared" si="26"/>
        <v>0</v>
      </c>
      <c r="BF69" s="167">
        <f t="shared" si="26"/>
        <v>0</v>
      </c>
      <c r="BG69" s="167">
        <f t="shared" si="26"/>
        <v>0</v>
      </c>
      <c r="BH69" s="167">
        <f t="shared" si="26"/>
        <v>0</v>
      </c>
      <c r="BI69" s="167">
        <f t="shared" si="26"/>
        <v>0</v>
      </c>
      <c r="BJ69" s="167">
        <f t="shared" si="26"/>
        <v>0</v>
      </c>
      <c r="BK69" s="167">
        <f t="shared" si="26"/>
        <v>0</v>
      </c>
      <c r="BL69" s="167">
        <f t="shared" si="26"/>
        <v>0</v>
      </c>
      <c r="BM69" s="167">
        <f t="shared" si="26"/>
        <v>0</v>
      </c>
    </row>
    <row r="70" hidden="1" outlineLevel="1">
      <c r="A70" s="167"/>
      <c r="B70" s="170" t="s">
        <v>186</v>
      </c>
      <c r="C70" s="171"/>
      <c r="D70" s="171"/>
      <c r="E70" s="171"/>
      <c r="F70" s="172">
        <f t="shared" ref="F70:BM70" si="27">F69</f>
        <v>0</v>
      </c>
      <c r="G70" s="172">
        <f t="shared" si="27"/>
        <v>0</v>
      </c>
      <c r="H70" s="172">
        <f t="shared" si="27"/>
        <v>0</v>
      </c>
      <c r="I70" s="172">
        <f t="shared" si="27"/>
        <v>0</v>
      </c>
      <c r="J70" s="172">
        <f t="shared" si="27"/>
        <v>0</v>
      </c>
      <c r="K70" s="172">
        <f t="shared" si="27"/>
        <v>0</v>
      </c>
      <c r="L70" s="172">
        <f t="shared" si="27"/>
        <v>0</v>
      </c>
      <c r="M70" s="172">
        <f t="shared" si="27"/>
        <v>0</v>
      </c>
      <c r="N70" s="172">
        <f t="shared" si="27"/>
        <v>0</v>
      </c>
      <c r="O70" s="172">
        <f t="shared" si="27"/>
        <v>0</v>
      </c>
      <c r="P70" s="172">
        <f t="shared" si="27"/>
        <v>0</v>
      </c>
      <c r="Q70" s="172">
        <f t="shared" si="27"/>
        <v>0</v>
      </c>
      <c r="R70" s="172">
        <f t="shared" si="27"/>
        <v>0</v>
      </c>
      <c r="S70" s="172">
        <f t="shared" si="27"/>
        <v>0</v>
      </c>
      <c r="T70" s="172">
        <f t="shared" si="27"/>
        <v>0</v>
      </c>
      <c r="U70" s="172">
        <f t="shared" si="27"/>
        <v>0</v>
      </c>
      <c r="V70" s="172">
        <f t="shared" si="27"/>
        <v>0</v>
      </c>
      <c r="W70" s="172">
        <f t="shared" si="27"/>
        <v>0</v>
      </c>
      <c r="X70" s="172">
        <f t="shared" si="27"/>
        <v>0</v>
      </c>
      <c r="Y70" s="172">
        <f t="shared" si="27"/>
        <v>0</v>
      </c>
      <c r="Z70" s="172">
        <f t="shared" si="27"/>
        <v>0</v>
      </c>
      <c r="AA70" s="172">
        <f t="shared" si="27"/>
        <v>0</v>
      </c>
      <c r="AB70" s="172">
        <f t="shared" si="27"/>
        <v>0</v>
      </c>
      <c r="AC70" s="172">
        <f t="shared" si="27"/>
        <v>0</v>
      </c>
      <c r="AD70" s="172">
        <f t="shared" si="27"/>
        <v>0</v>
      </c>
      <c r="AE70" s="172">
        <f t="shared" si="27"/>
        <v>0</v>
      </c>
      <c r="AF70" s="172">
        <f t="shared" si="27"/>
        <v>0</v>
      </c>
      <c r="AG70" s="172">
        <f t="shared" si="27"/>
        <v>0</v>
      </c>
      <c r="AH70" s="172">
        <f t="shared" si="27"/>
        <v>0</v>
      </c>
      <c r="AI70" s="172">
        <f t="shared" si="27"/>
        <v>0</v>
      </c>
      <c r="AJ70" s="172">
        <f t="shared" si="27"/>
        <v>0</v>
      </c>
      <c r="AK70" s="172">
        <f t="shared" si="27"/>
        <v>0</v>
      </c>
      <c r="AL70" s="172">
        <f t="shared" si="27"/>
        <v>0</v>
      </c>
      <c r="AM70" s="172">
        <f t="shared" si="27"/>
        <v>0</v>
      </c>
      <c r="AN70" s="172">
        <f t="shared" si="27"/>
        <v>0</v>
      </c>
      <c r="AO70" s="172">
        <f t="shared" si="27"/>
        <v>0</v>
      </c>
      <c r="AP70" s="172">
        <f t="shared" si="27"/>
        <v>0</v>
      </c>
      <c r="AQ70" s="172">
        <f t="shared" si="27"/>
        <v>0</v>
      </c>
      <c r="AR70" s="172">
        <f t="shared" si="27"/>
        <v>0</v>
      </c>
      <c r="AS70" s="172">
        <f t="shared" si="27"/>
        <v>0</v>
      </c>
      <c r="AT70" s="172">
        <f t="shared" si="27"/>
        <v>0</v>
      </c>
      <c r="AU70" s="172">
        <f t="shared" si="27"/>
        <v>0</v>
      </c>
      <c r="AV70" s="172">
        <f t="shared" si="27"/>
        <v>0</v>
      </c>
      <c r="AW70" s="172">
        <f t="shared" si="27"/>
        <v>0</v>
      </c>
      <c r="AX70" s="172">
        <f t="shared" si="27"/>
        <v>0</v>
      </c>
      <c r="AY70" s="172">
        <f t="shared" si="27"/>
        <v>0</v>
      </c>
      <c r="AZ70" s="172">
        <f t="shared" si="27"/>
        <v>0</v>
      </c>
      <c r="BA70" s="172">
        <f t="shared" si="27"/>
        <v>0</v>
      </c>
      <c r="BB70" s="172">
        <f t="shared" si="27"/>
        <v>0</v>
      </c>
      <c r="BC70" s="172">
        <f t="shared" si="27"/>
        <v>0</v>
      </c>
      <c r="BD70" s="172">
        <f t="shared" si="27"/>
        <v>0</v>
      </c>
      <c r="BE70" s="172">
        <f t="shared" si="27"/>
        <v>0</v>
      </c>
      <c r="BF70" s="172">
        <f t="shared" si="27"/>
        <v>0</v>
      </c>
      <c r="BG70" s="172">
        <f t="shared" si="27"/>
        <v>0</v>
      </c>
      <c r="BH70" s="172">
        <f t="shared" si="27"/>
        <v>0</v>
      </c>
      <c r="BI70" s="172">
        <f t="shared" si="27"/>
        <v>0</v>
      </c>
      <c r="BJ70" s="172">
        <f t="shared" si="27"/>
        <v>0</v>
      </c>
      <c r="BK70" s="172">
        <f t="shared" si="27"/>
        <v>0</v>
      </c>
      <c r="BL70" s="172">
        <f t="shared" si="27"/>
        <v>0</v>
      </c>
      <c r="BM70" s="172">
        <f t="shared" si="27"/>
        <v>0</v>
      </c>
    </row>
    <row r="71" hidden="1" outlineLevel="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c r="AA71" s="167"/>
      <c r="AB71" s="167"/>
      <c r="AC71" s="167"/>
      <c r="AD71" s="167"/>
      <c r="AE71" s="167"/>
      <c r="AF71" s="167"/>
      <c r="AG71" s="167"/>
      <c r="AH71" s="167"/>
      <c r="AI71" s="167"/>
      <c r="AJ71" s="167"/>
      <c r="AK71" s="167"/>
      <c r="AL71" s="167"/>
      <c r="AM71" s="167"/>
      <c r="AN71" s="167"/>
      <c r="AO71" s="167"/>
      <c r="AP71" s="167"/>
      <c r="AQ71" s="167"/>
      <c r="AR71" s="167"/>
      <c r="AS71" s="167"/>
      <c r="AT71" s="167"/>
      <c r="AU71" s="167"/>
      <c r="AV71" s="167"/>
      <c r="AW71" s="167"/>
      <c r="AX71" s="167"/>
      <c r="AY71" s="167"/>
      <c r="AZ71" s="167"/>
      <c r="BA71" s="167"/>
      <c r="BB71" s="167"/>
      <c r="BC71" s="167"/>
      <c r="BD71" s="167"/>
      <c r="BE71" s="167"/>
      <c r="BF71" s="167"/>
      <c r="BG71" s="167"/>
      <c r="BH71" s="167"/>
      <c r="BI71" s="167"/>
      <c r="BJ71" s="167"/>
      <c r="BK71" s="167"/>
      <c r="BL71" s="167"/>
      <c r="BM71" s="167"/>
    </row>
    <row r="72" hidden="1" outlineLevel="1">
      <c r="A72" s="167"/>
      <c r="B72" s="176" t="s">
        <v>187</v>
      </c>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c r="AA72" s="167"/>
      <c r="AB72" s="167"/>
      <c r="AC72" s="167"/>
      <c r="AD72" s="167"/>
      <c r="AE72" s="167"/>
      <c r="AF72" s="167"/>
      <c r="AG72" s="167"/>
      <c r="AH72" s="167"/>
      <c r="AI72" s="167"/>
      <c r="AJ72" s="167"/>
      <c r="AK72" s="167"/>
      <c r="AL72" s="167"/>
      <c r="AM72" s="167"/>
      <c r="AN72" s="167"/>
      <c r="AO72" s="167"/>
      <c r="AP72" s="167"/>
      <c r="AQ72" s="167"/>
      <c r="AR72" s="167"/>
      <c r="AS72" s="167"/>
      <c r="AT72" s="167"/>
      <c r="AU72" s="167"/>
      <c r="AV72" s="167"/>
      <c r="AW72" s="167"/>
      <c r="AX72" s="167"/>
      <c r="AY72" s="167"/>
      <c r="AZ72" s="167"/>
      <c r="BA72" s="167"/>
      <c r="BB72" s="167"/>
      <c r="BC72" s="167"/>
      <c r="BD72" s="167"/>
      <c r="BE72" s="167"/>
      <c r="BF72" s="167"/>
      <c r="BG72" s="167"/>
      <c r="BH72" s="167"/>
      <c r="BI72" s="167"/>
      <c r="BJ72" s="167"/>
      <c r="BK72" s="167"/>
      <c r="BL72" s="167"/>
      <c r="BM72" s="167"/>
    </row>
    <row r="73" hidden="1" outlineLevel="1">
      <c r="A73" s="167"/>
      <c r="B73" s="177" t="s">
        <v>188</v>
      </c>
      <c r="C73" s="167"/>
      <c r="D73" s="167"/>
      <c r="E73" s="167"/>
      <c r="F73" s="167">
        <f t="shared" ref="F73:BM73" si="28">F51-E51</f>
        <v>0</v>
      </c>
      <c r="G73" s="167">
        <f t="shared" si="28"/>
        <v>0</v>
      </c>
      <c r="H73" s="167">
        <f t="shared" si="28"/>
        <v>0</v>
      </c>
      <c r="I73" s="167">
        <f t="shared" si="28"/>
        <v>0</v>
      </c>
      <c r="J73" s="167">
        <f t="shared" si="28"/>
        <v>0</v>
      </c>
      <c r="K73" s="167">
        <f t="shared" si="28"/>
        <v>0</v>
      </c>
      <c r="L73" s="167">
        <f t="shared" si="28"/>
        <v>0</v>
      </c>
      <c r="M73" s="167">
        <f t="shared" si="28"/>
        <v>0</v>
      </c>
      <c r="N73" s="167">
        <f t="shared" si="28"/>
        <v>0</v>
      </c>
      <c r="O73" s="167">
        <f t="shared" si="28"/>
        <v>0</v>
      </c>
      <c r="P73" s="167">
        <f t="shared" si="28"/>
        <v>0</v>
      </c>
      <c r="Q73" s="167">
        <f t="shared" si="28"/>
        <v>0</v>
      </c>
      <c r="R73" s="167">
        <f t="shared" si="28"/>
        <v>0</v>
      </c>
      <c r="S73" s="167">
        <f t="shared" si="28"/>
        <v>0</v>
      </c>
      <c r="T73" s="167">
        <f t="shared" si="28"/>
        <v>0</v>
      </c>
      <c r="U73" s="167">
        <f t="shared" si="28"/>
        <v>0</v>
      </c>
      <c r="V73" s="167">
        <f t="shared" si="28"/>
        <v>0</v>
      </c>
      <c r="W73" s="167">
        <f t="shared" si="28"/>
        <v>0</v>
      </c>
      <c r="X73" s="167">
        <f t="shared" si="28"/>
        <v>0</v>
      </c>
      <c r="Y73" s="167">
        <f t="shared" si="28"/>
        <v>0</v>
      </c>
      <c r="Z73" s="167">
        <f t="shared" si="28"/>
        <v>0</v>
      </c>
      <c r="AA73" s="167">
        <f t="shared" si="28"/>
        <v>0</v>
      </c>
      <c r="AB73" s="167">
        <f t="shared" si="28"/>
        <v>0</v>
      </c>
      <c r="AC73" s="167">
        <f t="shared" si="28"/>
        <v>0</v>
      </c>
      <c r="AD73" s="167">
        <f t="shared" si="28"/>
        <v>0</v>
      </c>
      <c r="AE73" s="167">
        <f t="shared" si="28"/>
        <v>0</v>
      </c>
      <c r="AF73" s="167">
        <f t="shared" si="28"/>
        <v>0</v>
      </c>
      <c r="AG73" s="167">
        <f t="shared" si="28"/>
        <v>0</v>
      </c>
      <c r="AH73" s="167">
        <f t="shared" si="28"/>
        <v>0</v>
      </c>
      <c r="AI73" s="167">
        <f t="shared" si="28"/>
        <v>0</v>
      </c>
      <c r="AJ73" s="167">
        <f t="shared" si="28"/>
        <v>0</v>
      </c>
      <c r="AK73" s="167">
        <f t="shared" si="28"/>
        <v>0</v>
      </c>
      <c r="AL73" s="167">
        <f t="shared" si="28"/>
        <v>0</v>
      </c>
      <c r="AM73" s="167">
        <f t="shared" si="28"/>
        <v>0</v>
      </c>
      <c r="AN73" s="167">
        <f t="shared" si="28"/>
        <v>0</v>
      </c>
      <c r="AO73" s="167">
        <f t="shared" si="28"/>
        <v>0</v>
      </c>
      <c r="AP73" s="167">
        <f t="shared" si="28"/>
        <v>0</v>
      </c>
      <c r="AQ73" s="167">
        <f t="shared" si="28"/>
        <v>0</v>
      </c>
      <c r="AR73" s="167">
        <f t="shared" si="28"/>
        <v>0</v>
      </c>
      <c r="AS73" s="167">
        <f t="shared" si="28"/>
        <v>0</v>
      </c>
      <c r="AT73" s="167">
        <f t="shared" si="28"/>
        <v>0</v>
      </c>
      <c r="AU73" s="167">
        <f t="shared" si="28"/>
        <v>0</v>
      </c>
      <c r="AV73" s="167">
        <f t="shared" si="28"/>
        <v>0</v>
      </c>
      <c r="AW73" s="167">
        <f t="shared" si="28"/>
        <v>0</v>
      </c>
      <c r="AX73" s="167">
        <f t="shared" si="28"/>
        <v>0</v>
      </c>
      <c r="AY73" s="167">
        <f t="shared" si="28"/>
        <v>0</v>
      </c>
      <c r="AZ73" s="167">
        <f t="shared" si="28"/>
        <v>0</v>
      </c>
      <c r="BA73" s="167">
        <f t="shared" si="28"/>
        <v>0</v>
      </c>
      <c r="BB73" s="167">
        <f t="shared" si="28"/>
        <v>0</v>
      </c>
      <c r="BC73" s="167">
        <f t="shared" si="28"/>
        <v>0</v>
      </c>
      <c r="BD73" s="167">
        <f t="shared" si="28"/>
        <v>0</v>
      </c>
      <c r="BE73" s="167">
        <f t="shared" si="28"/>
        <v>0</v>
      </c>
      <c r="BF73" s="167">
        <f t="shared" si="28"/>
        <v>0</v>
      </c>
      <c r="BG73" s="167">
        <f t="shared" si="28"/>
        <v>0</v>
      </c>
      <c r="BH73" s="167">
        <f t="shared" si="28"/>
        <v>0</v>
      </c>
      <c r="BI73" s="167">
        <f t="shared" si="28"/>
        <v>0</v>
      </c>
      <c r="BJ73" s="167">
        <f t="shared" si="28"/>
        <v>0</v>
      </c>
      <c r="BK73" s="167">
        <f t="shared" si="28"/>
        <v>0</v>
      </c>
      <c r="BL73" s="167">
        <f t="shared" si="28"/>
        <v>0</v>
      </c>
      <c r="BM73" s="167">
        <f t="shared" si="28"/>
        <v>0</v>
      </c>
    </row>
    <row r="74" hidden="1" outlineLevel="1">
      <c r="A74" s="167"/>
      <c r="B74" s="170" t="s">
        <v>189</v>
      </c>
      <c r="C74" s="171"/>
      <c r="D74" s="171"/>
      <c r="E74" s="171"/>
      <c r="F74" s="172">
        <f t="shared" ref="F74:BM74" si="29">F73</f>
        <v>0</v>
      </c>
      <c r="G74" s="172">
        <f t="shared" si="29"/>
        <v>0</v>
      </c>
      <c r="H74" s="172">
        <f t="shared" si="29"/>
        <v>0</v>
      </c>
      <c r="I74" s="172">
        <f t="shared" si="29"/>
        <v>0</v>
      </c>
      <c r="J74" s="172">
        <f t="shared" si="29"/>
        <v>0</v>
      </c>
      <c r="K74" s="172">
        <f t="shared" si="29"/>
        <v>0</v>
      </c>
      <c r="L74" s="172">
        <f t="shared" si="29"/>
        <v>0</v>
      </c>
      <c r="M74" s="172">
        <f t="shared" si="29"/>
        <v>0</v>
      </c>
      <c r="N74" s="172">
        <f t="shared" si="29"/>
        <v>0</v>
      </c>
      <c r="O74" s="172">
        <f t="shared" si="29"/>
        <v>0</v>
      </c>
      <c r="P74" s="172">
        <f t="shared" si="29"/>
        <v>0</v>
      </c>
      <c r="Q74" s="172">
        <f t="shared" si="29"/>
        <v>0</v>
      </c>
      <c r="R74" s="172">
        <f t="shared" si="29"/>
        <v>0</v>
      </c>
      <c r="S74" s="172">
        <f t="shared" si="29"/>
        <v>0</v>
      </c>
      <c r="T74" s="172">
        <f t="shared" si="29"/>
        <v>0</v>
      </c>
      <c r="U74" s="172">
        <f t="shared" si="29"/>
        <v>0</v>
      </c>
      <c r="V74" s="172">
        <f t="shared" si="29"/>
        <v>0</v>
      </c>
      <c r="W74" s="172">
        <f t="shared" si="29"/>
        <v>0</v>
      </c>
      <c r="X74" s="172">
        <f t="shared" si="29"/>
        <v>0</v>
      </c>
      <c r="Y74" s="172">
        <f t="shared" si="29"/>
        <v>0</v>
      </c>
      <c r="Z74" s="172">
        <f t="shared" si="29"/>
        <v>0</v>
      </c>
      <c r="AA74" s="172">
        <f t="shared" si="29"/>
        <v>0</v>
      </c>
      <c r="AB74" s="172">
        <f t="shared" si="29"/>
        <v>0</v>
      </c>
      <c r="AC74" s="172">
        <f t="shared" si="29"/>
        <v>0</v>
      </c>
      <c r="AD74" s="172">
        <f t="shared" si="29"/>
        <v>0</v>
      </c>
      <c r="AE74" s="172">
        <f t="shared" si="29"/>
        <v>0</v>
      </c>
      <c r="AF74" s="172">
        <f t="shared" si="29"/>
        <v>0</v>
      </c>
      <c r="AG74" s="172">
        <f t="shared" si="29"/>
        <v>0</v>
      </c>
      <c r="AH74" s="172">
        <f t="shared" si="29"/>
        <v>0</v>
      </c>
      <c r="AI74" s="172">
        <f t="shared" si="29"/>
        <v>0</v>
      </c>
      <c r="AJ74" s="172">
        <f t="shared" si="29"/>
        <v>0</v>
      </c>
      <c r="AK74" s="172">
        <f t="shared" si="29"/>
        <v>0</v>
      </c>
      <c r="AL74" s="172">
        <f t="shared" si="29"/>
        <v>0</v>
      </c>
      <c r="AM74" s="172">
        <f t="shared" si="29"/>
        <v>0</v>
      </c>
      <c r="AN74" s="172">
        <f t="shared" si="29"/>
        <v>0</v>
      </c>
      <c r="AO74" s="172">
        <f t="shared" si="29"/>
        <v>0</v>
      </c>
      <c r="AP74" s="172">
        <f t="shared" si="29"/>
        <v>0</v>
      </c>
      <c r="AQ74" s="172">
        <f t="shared" si="29"/>
        <v>0</v>
      </c>
      <c r="AR74" s="172">
        <f t="shared" si="29"/>
        <v>0</v>
      </c>
      <c r="AS74" s="172">
        <f t="shared" si="29"/>
        <v>0</v>
      </c>
      <c r="AT74" s="172">
        <f t="shared" si="29"/>
        <v>0</v>
      </c>
      <c r="AU74" s="172">
        <f t="shared" si="29"/>
        <v>0</v>
      </c>
      <c r="AV74" s="172">
        <f t="shared" si="29"/>
        <v>0</v>
      </c>
      <c r="AW74" s="172">
        <f t="shared" si="29"/>
        <v>0</v>
      </c>
      <c r="AX74" s="172">
        <f t="shared" si="29"/>
        <v>0</v>
      </c>
      <c r="AY74" s="172">
        <f t="shared" si="29"/>
        <v>0</v>
      </c>
      <c r="AZ74" s="172">
        <f t="shared" si="29"/>
        <v>0</v>
      </c>
      <c r="BA74" s="172">
        <f t="shared" si="29"/>
        <v>0</v>
      </c>
      <c r="BB74" s="172">
        <f t="shared" si="29"/>
        <v>0</v>
      </c>
      <c r="BC74" s="172">
        <f t="shared" si="29"/>
        <v>0</v>
      </c>
      <c r="BD74" s="172">
        <f t="shared" si="29"/>
        <v>0</v>
      </c>
      <c r="BE74" s="172">
        <f t="shared" si="29"/>
        <v>0</v>
      </c>
      <c r="BF74" s="172">
        <f t="shared" si="29"/>
        <v>0</v>
      </c>
      <c r="BG74" s="172">
        <f t="shared" si="29"/>
        <v>0</v>
      </c>
      <c r="BH74" s="172">
        <f t="shared" si="29"/>
        <v>0</v>
      </c>
      <c r="BI74" s="172">
        <f t="shared" si="29"/>
        <v>0</v>
      </c>
      <c r="BJ74" s="172">
        <f t="shared" si="29"/>
        <v>0</v>
      </c>
      <c r="BK74" s="172">
        <f t="shared" si="29"/>
        <v>0</v>
      </c>
      <c r="BL74" s="172">
        <f t="shared" si="29"/>
        <v>0</v>
      </c>
      <c r="BM74" s="172">
        <f t="shared" si="29"/>
        <v>0</v>
      </c>
    </row>
    <row r="75" hidden="1" outlineLevel="1">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c r="AA75" s="167"/>
      <c r="AB75" s="167"/>
      <c r="AC75" s="167"/>
      <c r="AD75" s="167"/>
      <c r="AE75" s="167"/>
      <c r="AF75" s="167"/>
      <c r="AG75" s="167"/>
      <c r="AH75" s="167"/>
      <c r="AI75" s="167"/>
      <c r="AJ75" s="167"/>
      <c r="AK75" s="167"/>
      <c r="AL75" s="167"/>
      <c r="AM75" s="167"/>
      <c r="AN75" s="167"/>
      <c r="AO75" s="167"/>
      <c r="AP75" s="167"/>
      <c r="AQ75" s="167"/>
      <c r="AR75" s="167"/>
      <c r="AS75" s="167"/>
      <c r="AT75" s="167"/>
      <c r="AU75" s="167"/>
      <c r="AV75" s="167"/>
      <c r="AW75" s="167"/>
      <c r="AX75" s="167"/>
      <c r="AY75" s="167"/>
      <c r="AZ75" s="167"/>
      <c r="BA75" s="167"/>
      <c r="BB75" s="167"/>
      <c r="BC75" s="167"/>
      <c r="BD75" s="167"/>
      <c r="BE75" s="167"/>
      <c r="BF75" s="167"/>
      <c r="BG75" s="167"/>
      <c r="BH75" s="167"/>
      <c r="BI75" s="167"/>
      <c r="BJ75" s="167"/>
      <c r="BK75" s="167"/>
      <c r="BL75" s="167"/>
      <c r="BM75" s="167"/>
    </row>
    <row r="76" hidden="1" outlineLevel="1">
      <c r="A76" s="167"/>
      <c r="B76" s="176" t="s">
        <v>190</v>
      </c>
      <c r="C76" s="167"/>
      <c r="D76" s="167"/>
      <c r="E76" s="167"/>
      <c r="F76" s="179">
        <f>Assumptions!C188</f>
        <v>500000</v>
      </c>
      <c r="G76" s="179">
        <f t="shared" ref="G76:BM76" si="30">F80</f>
        <v>260251.3188</v>
      </c>
      <c r="H76" s="179">
        <f t="shared" si="30"/>
        <v>5894.466969</v>
      </c>
      <c r="I76" s="179">
        <f t="shared" si="30"/>
        <v>-244081.7296</v>
      </c>
      <c r="J76" s="179">
        <f t="shared" si="30"/>
        <v>-489468.0093</v>
      </c>
      <c r="K76" s="179">
        <f t="shared" si="30"/>
        <v>-730028.054</v>
      </c>
      <c r="L76" s="179">
        <f t="shared" si="30"/>
        <v>-965500.7763</v>
      </c>
      <c r="M76" s="179">
        <f t="shared" si="30"/>
        <v>-1195768.196</v>
      </c>
      <c r="N76" s="179">
        <f t="shared" si="30"/>
        <v>-1420859.764</v>
      </c>
      <c r="O76" s="179">
        <f t="shared" si="30"/>
        <v>-1640801.175</v>
      </c>
      <c r="P76" s="179">
        <f t="shared" si="30"/>
        <v>-1855617.44</v>
      </c>
      <c r="Q76" s="179">
        <f t="shared" si="30"/>
        <v>-2065327.653</v>
      </c>
      <c r="R76" s="179">
        <f t="shared" si="30"/>
        <v>-2269950.25</v>
      </c>
      <c r="S76" s="179">
        <f t="shared" si="30"/>
        <v>-2469508.388</v>
      </c>
      <c r="T76" s="179">
        <f t="shared" si="30"/>
        <v>-2664024.723</v>
      </c>
      <c r="U76" s="179">
        <f t="shared" si="30"/>
        <v>-2853521.346</v>
      </c>
      <c r="V76" s="179">
        <f t="shared" si="30"/>
        <v>-3038019.795</v>
      </c>
      <c r="W76" s="179">
        <f t="shared" si="30"/>
        <v>-3217541.069</v>
      </c>
      <c r="X76" s="179">
        <f t="shared" si="30"/>
        <v>-3392105.644</v>
      </c>
      <c r="Y76" s="179">
        <f t="shared" si="30"/>
        <v>-3561733.482</v>
      </c>
      <c r="Z76" s="179">
        <f t="shared" si="30"/>
        <v>-3726444.048</v>
      </c>
      <c r="AA76" s="179">
        <f t="shared" si="30"/>
        <v>-3886256.318</v>
      </c>
      <c r="AB76" s="179">
        <f t="shared" si="30"/>
        <v>-4041188.795</v>
      </c>
      <c r="AC76" s="179">
        <f t="shared" si="30"/>
        <v>-4191259.52</v>
      </c>
      <c r="AD76" s="179">
        <f t="shared" si="30"/>
        <v>-4336486.083</v>
      </c>
      <c r="AE76" s="179">
        <f t="shared" si="30"/>
        <v>-4476885.631</v>
      </c>
      <c r="AF76" s="179">
        <f t="shared" si="30"/>
        <v>-4612474.887</v>
      </c>
      <c r="AG76" s="179">
        <f t="shared" si="30"/>
        <v>-4743270.154</v>
      </c>
      <c r="AH76" s="179">
        <f t="shared" si="30"/>
        <v>-4869287.325</v>
      </c>
      <c r="AI76" s="179">
        <f t="shared" si="30"/>
        <v>-4990541.9</v>
      </c>
      <c r="AJ76" s="179">
        <f t="shared" si="30"/>
        <v>-5107048.989</v>
      </c>
      <c r="AK76" s="179">
        <f t="shared" si="30"/>
        <v>-5218823.324</v>
      </c>
      <c r="AL76" s="179">
        <f t="shared" si="30"/>
        <v>-5325879.269</v>
      </c>
      <c r="AM76" s="179">
        <f t="shared" si="30"/>
        <v>-5428230.83</v>
      </c>
      <c r="AN76" s="179">
        <f t="shared" si="30"/>
        <v>-5525891.662</v>
      </c>
      <c r="AO76" s="179">
        <f t="shared" si="30"/>
        <v>-5618875.078</v>
      </c>
      <c r="AP76" s="179">
        <f t="shared" si="30"/>
        <v>-5707194.06</v>
      </c>
      <c r="AQ76" s="179">
        <f t="shared" si="30"/>
        <v>-5790861.264</v>
      </c>
      <c r="AR76" s="179">
        <f t="shared" si="30"/>
        <v>-5869889.029</v>
      </c>
      <c r="AS76" s="179">
        <f t="shared" si="30"/>
        <v>-5944289.387</v>
      </c>
      <c r="AT76" s="179">
        <f t="shared" si="30"/>
        <v>-6014074.069</v>
      </c>
      <c r="AU76" s="179">
        <f t="shared" si="30"/>
        <v>-6079254.512</v>
      </c>
      <c r="AV76" s="179">
        <f t="shared" si="30"/>
        <v>-6139841.868</v>
      </c>
      <c r="AW76" s="179">
        <f t="shared" si="30"/>
        <v>-6195847.009</v>
      </c>
      <c r="AX76" s="179">
        <f t="shared" si="30"/>
        <v>-6247280.536</v>
      </c>
      <c r="AY76" s="179">
        <f t="shared" si="30"/>
        <v>-6294152.785</v>
      </c>
      <c r="AZ76" s="179">
        <f t="shared" si="30"/>
        <v>-6336473.833</v>
      </c>
      <c r="BA76" s="179">
        <f t="shared" si="30"/>
        <v>-6374253.506</v>
      </c>
      <c r="BB76" s="179">
        <f t="shared" si="30"/>
        <v>-6407501.384</v>
      </c>
      <c r="BC76" s="179">
        <f t="shared" si="30"/>
        <v>-6436226.807</v>
      </c>
      <c r="BD76" s="179">
        <f t="shared" si="30"/>
        <v>-6460438.881</v>
      </c>
      <c r="BE76" s="179">
        <f t="shared" si="30"/>
        <v>-6480146.487</v>
      </c>
      <c r="BF76" s="179">
        <f t="shared" si="30"/>
        <v>-6495358.281</v>
      </c>
      <c r="BG76" s="179">
        <f t="shared" si="30"/>
        <v>-6506082.703</v>
      </c>
      <c r="BH76" s="179">
        <f t="shared" si="30"/>
        <v>-6512327.985</v>
      </c>
      <c r="BI76" s="179">
        <f t="shared" si="30"/>
        <v>-6514226.191</v>
      </c>
      <c r="BJ76" s="179">
        <f t="shared" si="30"/>
        <v>-6512865.15</v>
      </c>
      <c r="BK76" s="179">
        <f t="shared" si="30"/>
        <v>-6508250.455</v>
      </c>
      <c r="BL76" s="179">
        <f t="shared" si="30"/>
        <v>-6500387.563</v>
      </c>
      <c r="BM76" s="179">
        <f t="shared" si="30"/>
        <v>-6489281.79</v>
      </c>
    </row>
    <row r="77" hidden="1" outlineLevel="1">
      <c r="A77" s="167"/>
      <c r="B77" s="179"/>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c r="AA77" s="167"/>
      <c r="AB77" s="167"/>
      <c r="AC77" s="167"/>
      <c r="AD77" s="167"/>
      <c r="AE77" s="167"/>
      <c r="AF77" s="167"/>
      <c r="AG77" s="167"/>
      <c r="AH77" s="167"/>
      <c r="AI77" s="167"/>
      <c r="AJ77" s="167"/>
      <c r="AK77" s="167"/>
      <c r="AL77" s="167"/>
      <c r="AM77" s="167"/>
      <c r="AN77" s="167"/>
      <c r="AO77" s="167"/>
      <c r="AP77" s="167"/>
      <c r="AQ77" s="167"/>
      <c r="AR77" s="167"/>
      <c r="AS77" s="167"/>
      <c r="AT77" s="167"/>
      <c r="AU77" s="167"/>
      <c r="AV77" s="167"/>
      <c r="AW77" s="167"/>
      <c r="AX77" s="167"/>
      <c r="AY77" s="167"/>
      <c r="AZ77" s="167"/>
      <c r="BA77" s="167"/>
      <c r="BB77" s="167"/>
      <c r="BC77" s="167"/>
      <c r="BD77" s="167"/>
      <c r="BE77" s="167"/>
      <c r="BF77" s="167"/>
      <c r="BG77" s="167"/>
      <c r="BH77" s="167"/>
      <c r="BI77" s="167"/>
      <c r="BJ77" s="167"/>
      <c r="BK77" s="167"/>
      <c r="BL77" s="167"/>
      <c r="BM77" s="167"/>
    </row>
    <row r="78" hidden="1" outlineLevel="1">
      <c r="A78" s="167"/>
      <c r="B78" s="176" t="s">
        <v>191</v>
      </c>
      <c r="C78" s="167"/>
      <c r="D78" s="167"/>
      <c r="E78" s="167"/>
      <c r="F78" s="179">
        <f t="shared" ref="F78:BM78" si="31">F74+F70+F66</f>
        <v>-239748.6813</v>
      </c>
      <c r="G78" s="179">
        <f t="shared" si="31"/>
        <v>-254356.8518</v>
      </c>
      <c r="H78" s="179">
        <f t="shared" si="31"/>
        <v>-249976.1965</v>
      </c>
      <c r="I78" s="179">
        <f t="shared" si="31"/>
        <v>-245386.2797</v>
      </c>
      <c r="J78" s="179">
        <f t="shared" si="31"/>
        <v>-240560.0447</v>
      </c>
      <c r="K78" s="179">
        <f t="shared" si="31"/>
        <v>-235472.7223</v>
      </c>
      <c r="L78" s="179">
        <f t="shared" si="31"/>
        <v>-230267.4198</v>
      </c>
      <c r="M78" s="179">
        <f t="shared" si="31"/>
        <v>-225091.5674</v>
      </c>
      <c r="N78" s="179">
        <f t="shared" si="31"/>
        <v>-219941.4116</v>
      </c>
      <c r="O78" s="179">
        <f t="shared" si="31"/>
        <v>-214816.2645</v>
      </c>
      <c r="P78" s="179">
        <f t="shared" si="31"/>
        <v>-209710.2129</v>
      </c>
      <c r="Q78" s="179">
        <f t="shared" si="31"/>
        <v>-204622.5972</v>
      </c>
      <c r="R78" s="179">
        <f t="shared" si="31"/>
        <v>-199558.1384</v>
      </c>
      <c r="S78" s="179">
        <f t="shared" si="31"/>
        <v>-194516.3354</v>
      </c>
      <c r="T78" s="179">
        <f t="shared" si="31"/>
        <v>-189496.6229</v>
      </c>
      <c r="U78" s="179">
        <f t="shared" si="31"/>
        <v>-184498.4487</v>
      </c>
      <c r="V78" s="179">
        <f t="shared" si="31"/>
        <v>-179521.2743</v>
      </c>
      <c r="W78" s="179">
        <f t="shared" si="31"/>
        <v>-174564.5747</v>
      </c>
      <c r="X78" s="179">
        <f t="shared" si="31"/>
        <v>-169627.8381</v>
      </c>
      <c r="Y78" s="179">
        <f t="shared" si="31"/>
        <v>-164710.5654</v>
      </c>
      <c r="Z78" s="179">
        <f t="shared" si="31"/>
        <v>-159812.27</v>
      </c>
      <c r="AA78" s="179">
        <f t="shared" si="31"/>
        <v>-154932.4775</v>
      </c>
      <c r="AB78" s="179">
        <f t="shared" si="31"/>
        <v>-150070.7252</v>
      </c>
      <c r="AC78" s="179">
        <f t="shared" si="31"/>
        <v>-145226.5622</v>
      </c>
      <c r="AD78" s="179">
        <f t="shared" si="31"/>
        <v>-140399.5488</v>
      </c>
      <c r="AE78" s="179">
        <f t="shared" si="31"/>
        <v>-135589.2562</v>
      </c>
      <c r="AF78" s="179">
        <f t="shared" si="31"/>
        <v>-130795.2663</v>
      </c>
      <c r="AG78" s="179">
        <f t="shared" si="31"/>
        <v>-126017.1717</v>
      </c>
      <c r="AH78" s="179">
        <f t="shared" si="31"/>
        <v>-121254.5749</v>
      </c>
      <c r="AI78" s="179">
        <f t="shared" si="31"/>
        <v>-116507.0885</v>
      </c>
      <c r="AJ78" s="179">
        <f t="shared" si="31"/>
        <v>-111774.3347</v>
      </c>
      <c r="AK78" s="179">
        <f t="shared" si="31"/>
        <v>-107055.9453</v>
      </c>
      <c r="AL78" s="179">
        <f t="shared" si="31"/>
        <v>-102351.561</v>
      </c>
      <c r="AM78" s="179">
        <f t="shared" si="31"/>
        <v>-97660.83188</v>
      </c>
      <c r="AN78" s="179">
        <f t="shared" si="31"/>
        <v>-92983.41642</v>
      </c>
      <c r="AO78" s="179">
        <f t="shared" si="31"/>
        <v>-88318.98182</v>
      </c>
      <c r="AP78" s="179">
        <f t="shared" si="31"/>
        <v>-83667.20356</v>
      </c>
      <c r="AQ78" s="179">
        <f t="shared" si="31"/>
        <v>-79027.76523</v>
      </c>
      <c r="AR78" s="179">
        <f t="shared" si="31"/>
        <v>-74400.35832</v>
      </c>
      <c r="AS78" s="179">
        <f t="shared" si="31"/>
        <v>-69784.68206</v>
      </c>
      <c r="AT78" s="179">
        <f t="shared" si="31"/>
        <v>-65180.44318</v>
      </c>
      <c r="AU78" s="179">
        <f t="shared" si="31"/>
        <v>-60587.35575</v>
      </c>
      <c r="AV78" s="179">
        <f t="shared" si="31"/>
        <v>-56005.14097</v>
      </c>
      <c r="AW78" s="179">
        <f t="shared" si="31"/>
        <v>-51433.52703</v>
      </c>
      <c r="AX78" s="179">
        <f t="shared" si="31"/>
        <v>-46872.24892</v>
      </c>
      <c r="AY78" s="179">
        <f t="shared" si="31"/>
        <v>-42321.04823</v>
      </c>
      <c r="AZ78" s="179">
        <f t="shared" si="31"/>
        <v>-37779.67303</v>
      </c>
      <c r="BA78" s="179">
        <f t="shared" si="31"/>
        <v>-33247.87768</v>
      </c>
      <c r="BB78" s="179">
        <f t="shared" si="31"/>
        <v>-28725.42269</v>
      </c>
      <c r="BC78" s="179">
        <f t="shared" si="31"/>
        <v>-24212.07454</v>
      </c>
      <c r="BD78" s="179">
        <f t="shared" si="31"/>
        <v>-19707.60558</v>
      </c>
      <c r="BE78" s="179">
        <f t="shared" si="31"/>
        <v>-15211.7938</v>
      </c>
      <c r="BF78" s="179">
        <f t="shared" si="31"/>
        <v>-10724.4228</v>
      </c>
      <c r="BG78" s="179">
        <f t="shared" si="31"/>
        <v>-6245.281539</v>
      </c>
      <c r="BH78" s="179">
        <f t="shared" si="31"/>
        <v>-1898.205993</v>
      </c>
      <c r="BI78" s="179">
        <f t="shared" si="31"/>
        <v>1361.041309</v>
      </c>
      <c r="BJ78" s="179">
        <f t="shared" si="31"/>
        <v>4614.694233</v>
      </c>
      <c r="BK78" s="179">
        <f t="shared" si="31"/>
        <v>7862.892639</v>
      </c>
      <c r="BL78" s="179">
        <f t="shared" si="31"/>
        <v>11105.77289</v>
      </c>
      <c r="BM78" s="179">
        <f t="shared" si="31"/>
        <v>14343.46794</v>
      </c>
    </row>
    <row r="79" hidden="1" outlineLevel="1">
      <c r="A79" s="167"/>
      <c r="B79" s="179"/>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c r="AC79" s="167"/>
      <c r="AD79" s="167"/>
      <c r="AE79" s="167"/>
      <c r="AF79" s="167"/>
      <c r="AG79" s="167"/>
      <c r="AH79" s="167"/>
      <c r="AI79" s="167"/>
      <c r="AJ79" s="167"/>
      <c r="AK79" s="167"/>
      <c r="AL79" s="167"/>
      <c r="AM79" s="167"/>
      <c r="AN79" s="167"/>
      <c r="AO79" s="167"/>
      <c r="AP79" s="167"/>
      <c r="AQ79" s="167"/>
      <c r="AR79" s="167"/>
      <c r="AS79" s="167"/>
      <c r="AT79" s="167"/>
      <c r="AU79" s="167"/>
      <c r="AV79" s="167"/>
      <c r="AW79" s="167"/>
      <c r="AX79" s="167"/>
      <c r="AY79" s="167"/>
      <c r="AZ79" s="167"/>
      <c r="BA79" s="167"/>
      <c r="BB79" s="167"/>
      <c r="BC79" s="167"/>
      <c r="BD79" s="167"/>
      <c r="BE79" s="167"/>
      <c r="BF79" s="167"/>
      <c r="BG79" s="167"/>
      <c r="BH79" s="167"/>
      <c r="BI79" s="167"/>
      <c r="BJ79" s="167"/>
      <c r="BK79" s="167"/>
      <c r="BL79" s="167"/>
      <c r="BM79" s="167"/>
    </row>
    <row r="80" hidden="1" outlineLevel="1">
      <c r="A80" s="167"/>
      <c r="B80" s="176" t="s">
        <v>192</v>
      </c>
      <c r="C80" s="167"/>
      <c r="D80" s="167"/>
      <c r="E80" s="179"/>
      <c r="F80" s="179">
        <f t="shared" ref="F80:BM80" si="32">F76+F78</f>
        <v>260251.3188</v>
      </c>
      <c r="G80" s="179">
        <f t="shared" si="32"/>
        <v>5894.466969</v>
      </c>
      <c r="H80" s="179">
        <f t="shared" si="32"/>
        <v>-244081.7296</v>
      </c>
      <c r="I80" s="179">
        <f t="shared" si="32"/>
        <v>-489468.0093</v>
      </c>
      <c r="J80" s="179">
        <f t="shared" si="32"/>
        <v>-730028.054</v>
      </c>
      <c r="K80" s="179">
        <f t="shared" si="32"/>
        <v>-965500.7763</v>
      </c>
      <c r="L80" s="179">
        <f t="shared" si="32"/>
        <v>-1195768.196</v>
      </c>
      <c r="M80" s="179">
        <f t="shared" si="32"/>
        <v>-1420859.764</v>
      </c>
      <c r="N80" s="179">
        <f t="shared" si="32"/>
        <v>-1640801.175</v>
      </c>
      <c r="O80" s="179">
        <f t="shared" si="32"/>
        <v>-1855617.44</v>
      </c>
      <c r="P80" s="179">
        <f t="shared" si="32"/>
        <v>-2065327.653</v>
      </c>
      <c r="Q80" s="179">
        <f t="shared" si="32"/>
        <v>-2269950.25</v>
      </c>
      <c r="R80" s="179">
        <f t="shared" si="32"/>
        <v>-2469508.388</v>
      </c>
      <c r="S80" s="179">
        <f t="shared" si="32"/>
        <v>-2664024.723</v>
      </c>
      <c r="T80" s="179">
        <f t="shared" si="32"/>
        <v>-2853521.346</v>
      </c>
      <c r="U80" s="179">
        <f t="shared" si="32"/>
        <v>-3038019.795</v>
      </c>
      <c r="V80" s="179">
        <f t="shared" si="32"/>
        <v>-3217541.069</v>
      </c>
      <c r="W80" s="179">
        <f t="shared" si="32"/>
        <v>-3392105.644</v>
      </c>
      <c r="X80" s="179">
        <f t="shared" si="32"/>
        <v>-3561733.482</v>
      </c>
      <c r="Y80" s="179">
        <f t="shared" si="32"/>
        <v>-3726444.048</v>
      </c>
      <c r="Z80" s="179">
        <f t="shared" si="32"/>
        <v>-3886256.318</v>
      </c>
      <c r="AA80" s="179">
        <f t="shared" si="32"/>
        <v>-4041188.795</v>
      </c>
      <c r="AB80" s="179">
        <f t="shared" si="32"/>
        <v>-4191259.52</v>
      </c>
      <c r="AC80" s="179">
        <f t="shared" si="32"/>
        <v>-4336486.083</v>
      </c>
      <c r="AD80" s="179">
        <f t="shared" si="32"/>
        <v>-4476885.631</v>
      </c>
      <c r="AE80" s="179">
        <f t="shared" si="32"/>
        <v>-4612474.887</v>
      </c>
      <c r="AF80" s="179">
        <f t="shared" si="32"/>
        <v>-4743270.154</v>
      </c>
      <c r="AG80" s="179">
        <f t="shared" si="32"/>
        <v>-4869287.325</v>
      </c>
      <c r="AH80" s="179">
        <f t="shared" si="32"/>
        <v>-4990541.9</v>
      </c>
      <c r="AI80" s="179">
        <f t="shared" si="32"/>
        <v>-5107048.989</v>
      </c>
      <c r="AJ80" s="179">
        <f t="shared" si="32"/>
        <v>-5218823.324</v>
      </c>
      <c r="AK80" s="179">
        <f t="shared" si="32"/>
        <v>-5325879.269</v>
      </c>
      <c r="AL80" s="179">
        <f t="shared" si="32"/>
        <v>-5428230.83</v>
      </c>
      <c r="AM80" s="179">
        <f t="shared" si="32"/>
        <v>-5525891.662</v>
      </c>
      <c r="AN80" s="179">
        <f t="shared" si="32"/>
        <v>-5618875.078</v>
      </c>
      <c r="AO80" s="179">
        <f t="shared" si="32"/>
        <v>-5707194.06</v>
      </c>
      <c r="AP80" s="179">
        <f t="shared" si="32"/>
        <v>-5790861.264</v>
      </c>
      <c r="AQ80" s="179">
        <f t="shared" si="32"/>
        <v>-5869889.029</v>
      </c>
      <c r="AR80" s="179">
        <f t="shared" si="32"/>
        <v>-5944289.387</v>
      </c>
      <c r="AS80" s="179">
        <f t="shared" si="32"/>
        <v>-6014074.069</v>
      </c>
      <c r="AT80" s="179">
        <f t="shared" si="32"/>
        <v>-6079254.512</v>
      </c>
      <c r="AU80" s="179">
        <f t="shared" si="32"/>
        <v>-6139841.868</v>
      </c>
      <c r="AV80" s="179">
        <f t="shared" si="32"/>
        <v>-6195847.009</v>
      </c>
      <c r="AW80" s="179">
        <f t="shared" si="32"/>
        <v>-6247280.536</v>
      </c>
      <c r="AX80" s="179">
        <f t="shared" si="32"/>
        <v>-6294152.785</v>
      </c>
      <c r="AY80" s="179">
        <f t="shared" si="32"/>
        <v>-6336473.833</v>
      </c>
      <c r="AZ80" s="179">
        <f t="shared" si="32"/>
        <v>-6374253.506</v>
      </c>
      <c r="BA80" s="179">
        <f t="shared" si="32"/>
        <v>-6407501.384</v>
      </c>
      <c r="BB80" s="179">
        <f t="shared" si="32"/>
        <v>-6436226.807</v>
      </c>
      <c r="BC80" s="179">
        <f t="shared" si="32"/>
        <v>-6460438.881</v>
      </c>
      <c r="BD80" s="179">
        <f t="shared" si="32"/>
        <v>-6480146.487</v>
      </c>
      <c r="BE80" s="179">
        <f t="shared" si="32"/>
        <v>-6495358.281</v>
      </c>
      <c r="BF80" s="179">
        <f t="shared" si="32"/>
        <v>-6506082.703</v>
      </c>
      <c r="BG80" s="179">
        <f t="shared" si="32"/>
        <v>-6512327.985</v>
      </c>
      <c r="BH80" s="179">
        <f t="shared" si="32"/>
        <v>-6514226.191</v>
      </c>
      <c r="BI80" s="179">
        <f t="shared" si="32"/>
        <v>-6512865.15</v>
      </c>
      <c r="BJ80" s="179">
        <f t="shared" si="32"/>
        <v>-6508250.455</v>
      </c>
      <c r="BK80" s="179">
        <f t="shared" si="32"/>
        <v>-6500387.563</v>
      </c>
      <c r="BL80" s="179">
        <f t="shared" si="32"/>
        <v>-6489281.79</v>
      </c>
      <c r="BM80" s="179">
        <f t="shared" si="32"/>
        <v>-6474938.322</v>
      </c>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row>
    <row r="1006">
      <c r="A1006" s="30"/>
      <c r="B1006" s="30"/>
      <c r="C1006" s="39" t="s">
        <v>147</v>
      </c>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row>
  </sheetData>
  <conditionalFormatting sqref="F26:BM26 F28:BM28 F30:BM30 F37:BM37 F39:BM39">
    <cfRule type="cellIs" dxfId="0" priority="1" operator="lessThan">
      <formula>0</formula>
    </cfRule>
  </conditionalFormatting>
  <conditionalFormatting sqref="F80:BM80">
    <cfRule type="cellIs" dxfId="1" priority="2" operator="lessThan">
      <formula>0</formula>
    </cfRule>
  </conditionalFormatting>
  <printOptions gridLines="1" horizontalCentered="1"/>
  <pageMargins bottom="0.75" footer="0.0" header="0.0" left="0.7" right="0.7" top="0.75"/>
  <pageSetup fitToHeight="0" cellComments="atEnd" orientation="landscape" pageOrder="overThenDown"/>
  <drawing r:id="rId1"/>
</worksheet>
</file>